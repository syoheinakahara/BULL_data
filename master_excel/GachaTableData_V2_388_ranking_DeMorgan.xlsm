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40" yWindow="460" windowWidth="25160" windowHeight="15540" tabRatio="943" firstSheet="4" activeTab="13"/>
  </bookViews>
  <sheets>
    <sheet name="確率の考え方" sheetId="110" r:id="rId1"/>
    <sheet name="Sheet1" sheetId="107" r:id="rId2"/>
    <sheet name="output" sheetId="103" r:id="rId3"/>
    <sheet name="input_388101" sheetId="106" r:id="rId4"/>
    <sheet name="tables_388101" sheetId="82" r:id="rId5"/>
    <sheet name="input_388103" sheetId="147" r:id="rId6"/>
    <sheet name="tables_388103" sheetId="148" r:id="rId7"/>
    <sheet name="tables_settle_388103" sheetId="157" r:id="rId8"/>
    <sheet name="input_388104" sheetId="149" r:id="rId9"/>
    <sheet name="tables_388104" sheetId="150" r:id="rId10"/>
    <sheet name="input_388105" sheetId="158" r:id="rId11"/>
    <sheet name="tables_388105" sheetId="159" r:id="rId12"/>
    <sheet name="input_388100" sheetId="153" r:id="rId13"/>
    <sheet name="tables_388100" sheetId="154" r:id="rId14"/>
    <sheet name="gacha_bonus_tables" sheetId="98" r:id="rId15"/>
    <sheet name="R6追加前" sheetId="111" r:id="rId16"/>
    <sheet name="R6開放" sheetId="112" r:id="rId17"/>
  </sheets>
  <externalReferences>
    <externalReference r:id="rId18"/>
  </externalReferences>
  <definedNames>
    <definedName name="_xlnm._FilterDatabase" localSheetId="14" hidden="1">gacha_bonus_tables!$A$1:$F$1</definedName>
    <definedName name="_xlnm._FilterDatabase" localSheetId="13" hidden="1">tables_388100!$A$1:$V$300</definedName>
    <definedName name="_xlnm._FilterDatabase" localSheetId="4" hidden="1">tables_388101!$A$1:$V$294</definedName>
    <definedName name="_xlnm._FilterDatabase" localSheetId="6" hidden="1">tables_388103!$A$1:$V$300</definedName>
    <definedName name="_xlnm._FilterDatabase" localSheetId="9" hidden="1">tables_388104!$A$1:$V$294</definedName>
    <definedName name="_xlnm._FilterDatabase" localSheetId="11" hidden="1">tables_388105!$A$1:$V$300</definedName>
    <definedName name="_xlnm._FilterDatabase" localSheetId="7" hidden="1">tables_settle_388103!$A$1:$V$29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3" l="1"/>
  <c r="A287" i="154"/>
  <c r="A288" i="154"/>
  <c r="A289" i="154"/>
  <c r="A290" i="154"/>
  <c r="A291" i="154"/>
  <c r="A292" i="154"/>
  <c r="A293" i="154"/>
  <c r="A294" i="154"/>
  <c r="A295" i="154"/>
  <c r="A296" i="154"/>
  <c r="A297" i="154"/>
  <c r="A298" i="154"/>
  <c r="A299" i="154"/>
  <c r="A300" i="154"/>
  <c r="A2" i="158"/>
  <c r="A288" i="159"/>
  <c r="A289" i="159"/>
  <c r="A290" i="159"/>
  <c r="A291" i="159"/>
  <c r="A292" i="159"/>
  <c r="A293" i="159"/>
  <c r="A294" i="159"/>
  <c r="A295" i="159"/>
  <c r="A296" i="159"/>
  <c r="A297" i="159"/>
  <c r="A298" i="159"/>
  <c r="A299" i="159"/>
  <c r="A300" i="159"/>
  <c r="A2" i="149"/>
  <c r="A293" i="150"/>
  <c r="A294" i="150"/>
  <c r="A295" i="150"/>
  <c r="A296" i="150"/>
  <c r="A297" i="150"/>
  <c r="A298" i="150"/>
  <c r="A299" i="150"/>
  <c r="A300" i="150"/>
  <c r="A2" i="147"/>
  <c r="A289" i="148"/>
  <c r="A290" i="148"/>
  <c r="A291" i="148"/>
  <c r="A292" i="148"/>
  <c r="A293" i="148"/>
  <c r="A294" i="148"/>
  <c r="A295" i="148"/>
  <c r="A296" i="148"/>
  <c r="A297" i="148"/>
  <c r="A298" i="148"/>
  <c r="A299" i="148"/>
  <c r="A300" i="148"/>
  <c r="O3" i="157"/>
  <c r="O4" i="157"/>
  <c r="O5" i="157"/>
  <c r="O6" i="157"/>
  <c r="O7" i="157"/>
  <c r="O8" i="157"/>
  <c r="O9" i="157"/>
  <c r="O10" i="157"/>
  <c r="O11" i="157"/>
  <c r="O12" i="157"/>
  <c r="O13" i="157"/>
  <c r="O14" i="157"/>
  <c r="O15" i="157"/>
  <c r="O16" i="157"/>
  <c r="O17" i="157"/>
  <c r="O18" i="157"/>
  <c r="O19" i="157"/>
  <c r="O20" i="157"/>
  <c r="O21" i="157"/>
  <c r="O22" i="157"/>
  <c r="O23" i="157"/>
  <c r="O24" i="157"/>
  <c r="O25" i="157"/>
  <c r="O26" i="157"/>
  <c r="O27" i="157"/>
  <c r="O28" i="157"/>
  <c r="O29" i="157"/>
  <c r="O2" i="157"/>
  <c r="P3" i="157"/>
  <c r="P4" i="157"/>
  <c r="P5" i="157"/>
  <c r="P6" i="157"/>
  <c r="P7" i="157"/>
  <c r="P8" i="157"/>
  <c r="P9" i="157"/>
  <c r="P10" i="157"/>
  <c r="P11" i="157"/>
  <c r="P12" i="157"/>
  <c r="P13" i="157"/>
  <c r="P14" i="157"/>
  <c r="P15" i="157"/>
  <c r="P16" i="157"/>
  <c r="P17" i="157"/>
  <c r="P18" i="157"/>
  <c r="P19" i="157"/>
  <c r="P20" i="157"/>
  <c r="P21" i="157"/>
  <c r="P22" i="157"/>
  <c r="P23" i="157"/>
  <c r="P24" i="157"/>
  <c r="P25" i="157"/>
  <c r="P26" i="157"/>
  <c r="P27" i="157"/>
  <c r="P28" i="157"/>
  <c r="P29" i="157"/>
  <c r="P2" i="157"/>
  <c r="I2" i="157"/>
  <c r="I3" i="157"/>
  <c r="I4" i="157"/>
  <c r="I5" i="157"/>
  <c r="I6" i="157"/>
  <c r="I7" i="157"/>
  <c r="I8" i="157"/>
  <c r="I9" i="157"/>
  <c r="I11" i="157"/>
  <c r="I12" i="157"/>
  <c r="I13" i="157"/>
  <c r="I14" i="157"/>
  <c r="I15" i="157"/>
  <c r="I16" i="157"/>
  <c r="I17" i="157"/>
  <c r="I18" i="157"/>
  <c r="I19" i="157"/>
  <c r="I20" i="157"/>
  <c r="I21" i="157"/>
  <c r="I22" i="157"/>
  <c r="I23" i="157"/>
  <c r="I24" i="157"/>
  <c r="I25" i="157"/>
  <c r="I26" i="157"/>
  <c r="I27" i="157"/>
  <c r="I28" i="157"/>
  <c r="I29" i="157"/>
  <c r="I10" i="157"/>
  <c r="D3" i="157"/>
  <c r="J3" i="157"/>
  <c r="E3" i="157"/>
  <c r="F3" i="157"/>
  <c r="K3" i="157"/>
  <c r="G3" i="157"/>
  <c r="C3" i="157"/>
  <c r="H3" i="157"/>
  <c r="L3" i="157"/>
  <c r="M3" i="157"/>
  <c r="N3" i="157"/>
  <c r="D4" i="157"/>
  <c r="J4" i="157"/>
  <c r="E4" i="157"/>
  <c r="F4" i="157"/>
  <c r="K4" i="157"/>
  <c r="G4" i="157"/>
  <c r="C4" i="157"/>
  <c r="H4" i="157"/>
  <c r="L4" i="157"/>
  <c r="M4" i="157"/>
  <c r="N4" i="157"/>
  <c r="D5" i="157"/>
  <c r="J5" i="157"/>
  <c r="E5" i="157"/>
  <c r="F5" i="157"/>
  <c r="K5" i="157"/>
  <c r="G5" i="157"/>
  <c r="C5" i="157"/>
  <c r="H5" i="157"/>
  <c r="L5" i="157"/>
  <c r="M5" i="157"/>
  <c r="N5" i="157"/>
  <c r="D6" i="157"/>
  <c r="J6" i="157"/>
  <c r="E6" i="157"/>
  <c r="F6" i="157"/>
  <c r="K6" i="157"/>
  <c r="G6" i="157"/>
  <c r="C6" i="157"/>
  <c r="H6" i="157"/>
  <c r="L6" i="157"/>
  <c r="M6" i="157"/>
  <c r="N6" i="157"/>
  <c r="D7" i="157"/>
  <c r="J7" i="157"/>
  <c r="E7" i="157"/>
  <c r="F7" i="157"/>
  <c r="K7" i="157"/>
  <c r="G7" i="157"/>
  <c r="C7" i="157"/>
  <c r="H7" i="157"/>
  <c r="L7" i="157"/>
  <c r="M7" i="157"/>
  <c r="N7" i="157"/>
  <c r="D8" i="157"/>
  <c r="J8" i="157"/>
  <c r="E8" i="157"/>
  <c r="F8" i="157"/>
  <c r="K8" i="157"/>
  <c r="G8" i="157"/>
  <c r="C8" i="157"/>
  <c r="H8" i="157"/>
  <c r="L8" i="157"/>
  <c r="M8" i="157"/>
  <c r="N8" i="157"/>
  <c r="D9" i="157"/>
  <c r="J9" i="157"/>
  <c r="E9" i="157"/>
  <c r="F9" i="157"/>
  <c r="K9" i="157"/>
  <c r="G9" i="157"/>
  <c r="C9" i="157"/>
  <c r="H9" i="157"/>
  <c r="L9" i="157"/>
  <c r="M9" i="157"/>
  <c r="N9" i="157"/>
  <c r="D10" i="157"/>
  <c r="J10" i="157"/>
  <c r="E10" i="157"/>
  <c r="F10" i="157"/>
  <c r="K10" i="157"/>
  <c r="G10" i="157"/>
  <c r="C10" i="157"/>
  <c r="H10" i="157"/>
  <c r="L10" i="157"/>
  <c r="M10" i="157"/>
  <c r="N10" i="157"/>
  <c r="D11" i="157"/>
  <c r="J11" i="157"/>
  <c r="E11" i="157"/>
  <c r="F11" i="157"/>
  <c r="K11" i="157"/>
  <c r="G11" i="157"/>
  <c r="C11" i="157"/>
  <c r="H11" i="157"/>
  <c r="L11" i="157"/>
  <c r="M11" i="157"/>
  <c r="N11" i="157"/>
  <c r="D12" i="157"/>
  <c r="J12" i="157"/>
  <c r="E12" i="157"/>
  <c r="F12" i="157"/>
  <c r="K12" i="157"/>
  <c r="G12" i="157"/>
  <c r="C12" i="157"/>
  <c r="H12" i="157"/>
  <c r="L12" i="157"/>
  <c r="M12" i="157"/>
  <c r="N12" i="157"/>
  <c r="D13" i="157"/>
  <c r="J13" i="157"/>
  <c r="E13" i="157"/>
  <c r="F13" i="157"/>
  <c r="K13" i="157"/>
  <c r="G13" i="157"/>
  <c r="C13" i="157"/>
  <c r="H13" i="157"/>
  <c r="L13" i="157"/>
  <c r="M13" i="157"/>
  <c r="N13" i="157"/>
  <c r="D14" i="157"/>
  <c r="J14" i="157"/>
  <c r="E14" i="157"/>
  <c r="F14" i="157"/>
  <c r="K14" i="157"/>
  <c r="G14" i="157"/>
  <c r="C14" i="157"/>
  <c r="H14" i="157"/>
  <c r="L14" i="157"/>
  <c r="M14" i="157"/>
  <c r="N14" i="157"/>
  <c r="D15" i="157"/>
  <c r="J15" i="157"/>
  <c r="E15" i="157"/>
  <c r="F15" i="157"/>
  <c r="K15" i="157"/>
  <c r="G15" i="157"/>
  <c r="C15" i="157"/>
  <c r="H15" i="157"/>
  <c r="L15" i="157"/>
  <c r="M15" i="157"/>
  <c r="N15" i="157"/>
  <c r="D16" i="157"/>
  <c r="J16" i="157"/>
  <c r="E16" i="157"/>
  <c r="F16" i="157"/>
  <c r="K16" i="157"/>
  <c r="G16" i="157"/>
  <c r="C16" i="157"/>
  <c r="H16" i="157"/>
  <c r="L16" i="157"/>
  <c r="M16" i="157"/>
  <c r="N16" i="157"/>
  <c r="D17" i="157"/>
  <c r="J17" i="157"/>
  <c r="E17" i="157"/>
  <c r="F17" i="157"/>
  <c r="K17" i="157"/>
  <c r="G17" i="157"/>
  <c r="C17" i="157"/>
  <c r="H17" i="157"/>
  <c r="L17" i="157"/>
  <c r="M17" i="157"/>
  <c r="N17" i="157"/>
  <c r="D18" i="157"/>
  <c r="J18" i="157"/>
  <c r="E18" i="157"/>
  <c r="F18" i="157"/>
  <c r="K18" i="157"/>
  <c r="G18" i="157"/>
  <c r="C18" i="157"/>
  <c r="H18" i="157"/>
  <c r="L18" i="157"/>
  <c r="M18" i="157"/>
  <c r="N18" i="157"/>
  <c r="D19" i="157"/>
  <c r="J19" i="157"/>
  <c r="E19" i="157"/>
  <c r="F19" i="157"/>
  <c r="K19" i="157"/>
  <c r="G19" i="157"/>
  <c r="C19" i="157"/>
  <c r="H19" i="157"/>
  <c r="L19" i="157"/>
  <c r="M19" i="157"/>
  <c r="N19" i="157"/>
  <c r="D20" i="157"/>
  <c r="J20" i="157"/>
  <c r="E20" i="157"/>
  <c r="F20" i="157"/>
  <c r="K20" i="157"/>
  <c r="G20" i="157"/>
  <c r="C20" i="157"/>
  <c r="H20" i="157"/>
  <c r="L20" i="157"/>
  <c r="M20" i="157"/>
  <c r="N20" i="157"/>
  <c r="D21" i="157"/>
  <c r="J21" i="157"/>
  <c r="E21" i="157"/>
  <c r="F21" i="157"/>
  <c r="K21" i="157"/>
  <c r="G21" i="157"/>
  <c r="C21" i="157"/>
  <c r="H21" i="157"/>
  <c r="L21" i="157"/>
  <c r="M21" i="157"/>
  <c r="N21" i="157"/>
  <c r="D22" i="157"/>
  <c r="J22" i="157"/>
  <c r="E22" i="157"/>
  <c r="F22" i="157"/>
  <c r="K22" i="157"/>
  <c r="G22" i="157"/>
  <c r="C22" i="157"/>
  <c r="H22" i="157"/>
  <c r="L22" i="157"/>
  <c r="M22" i="157"/>
  <c r="N22" i="157"/>
  <c r="D23" i="157"/>
  <c r="J23" i="157"/>
  <c r="E23" i="157"/>
  <c r="F23" i="157"/>
  <c r="K23" i="157"/>
  <c r="G23" i="157"/>
  <c r="C23" i="157"/>
  <c r="H23" i="157"/>
  <c r="L23" i="157"/>
  <c r="M23" i="157"/>
  <c r="N23" i="157"/>
  <c r="D24" i="157"/>
  <c r="J24" i="157"/>
  <c r="E24" i="157"/>
  <c r="F24" i="157"/>
  <c r="K24" i="157"/>
  <c r="G24" i="157"/>
  <c r="C24" i="157"/>
  <c r="H24" i="157"/>
  <c r="L24" i="157"/>
  <c r="M24" i="157"/>
  <c r="N24" i="157"/>
  <c r="D25" i="157"/>
  <c r="J25" i="157"/>
  <c r="E25" i="157"/>
  <c r="F25" i="157"/>
  <c r="K25" i="157"/>
  <c r="G25" i="157"/>
  <c r="C25" i="157"/>
  <c r="H25" i="157"/>
  <c r="L25" i="157"/>
  <c r="M25" i="157"/>
  <c r="N25" i="157"/>
  <c r="D26" i="157"/>
  <c r="J26" i="157"/>
  <c r="E26" i="157"/>
  <c r="F26" i="157"/>
  <c r="K26" i="157"/>
  <c r="G26" i="157"/>
  <c r="C26" i="157"/>
  <c r="H26" i="157"/>
  <c r="L26" i="157"/>
  <c r="M26" i="157"/>
  <c r="N26" i="157"/>
  <c r="D27" i="157"/>
  <c r="J27" i="157"/>
  <c r="E27" i="157"/>
  <c r="F27" i="157"/>
  <c r="K27" i="157"/>
  <c r="G27" i="157"/>
  <c r="C27" i="157"/>
  <c r="H27" i="157"/>
  <c r="L27" i="157"/>
  <c r="M27" i="157"/>
  <c r="N27" i="157"/>
  <c r="D28" i="157"/>
  <c r="J28" i="157"/>
  <c r="E28" i="157"/>
  <c r="F28" i="157"/>
  <c r="K28" i="157"/>
  <c r="G28" i="157"/>
  <c r="C28" i="157"/>
  <c r="H28" i="157"/>
  <c r="L28" i="157"/>
  <c r="M28" i="157"/>
  <c r="N28" i="157"/>
  <c r="D29" i="157"/>
  <c r="J29" i="157"/>
  <c r="E29" i="157"/>
  <c r="F29" i="157"/>
  <c r="K29" i="157"/>
  <c r="G29" i="157"/>
  <c r="C29" i="157"/>
  <c r="H29" i="157"/>
  <c r="L29" i="157"/>
  <c r="M29" i="157"/>
  <c r="N29" i="157"/>
  <c r="N2" i="157"/>
  <c r="M2" i="157"/>
  <c r="L2" i="157"/>
  <c r="K2" i="157"/>
  <c r="J2" i="157"/>
  <c r="H2" i="157"/>
  <c r="G2" i="157"/>
  <c r="F2" i="157"/>
  <c r="E2" i="157"/>
  <c r="D2" i="157"/>
  <c r="C2" i="157"/>
  <c r="G300" i="150"/>
  <c r="G300" i="159"/>
  <c r="G300" i="154"/>
  <c r="G299" i="154"/>
  <c r="G298" i="154"/>
  <c r="G297" i="154"/>
  <c r="G296" i="154"/>
  <c r="G295" i="154"/>
  <c r="G294" i="154"/>
  <c r="G293" i="154"/>
  <c r="G292" i="154"/>
  <c r="G291" i="154"/>
  <c r="G290" i="154"/>
  <c r="G289" i="154"/>
  <c r="G288" i="154"/>
  <c r="G287" i="154"/>
  <c r="G286" i="154"/>
  <c r="G285" i="154"/>
  <c r="G284" i="154"/>
  <c r="G283" i="154"/>
  <c r="G282" i="154"/>
  <c r="G281" i="154"/>
  <c r="G280" i="154"/>
  <c r="G279" i="154"/>
  <c r="G278" i="154"/>
  <c r="G277" i="154"/>
  <c r="G276" i="154"/>
  <c r="G275" i="154"/>
  <c r="G274" i="154"/>
  <c r="G273" i="154"/>
  <c r="G272" i="154"/>
  <c r="G271" i="154"/>
  <c r="G270" i="154"/>
  <c r="G269" i="154"/>
  <c r="G268" i="154"/>
  <c r="G267" i="154"/>
  <c r="G266" i="154"/>
  <c r="G265" i="154"/>
  <c r="G264" i="154"/>
  <c r="G263" i="154"/>
  <c r="G262" i="154"/>
  <c r="G261" i="154"/>
  <c r="G260" i="154"/>
  <c r="G259" i="154"/>
  <c r="G258" i="154"/>
  <c r="G257" i="154"/>
  <c r="G256" i="154"/>
  <c r="G255" i="154"/>
  <c r="G254" i="154"/>
  <c r="G253" i="154"/>
  <c r="G252" i="154"/>
  <c r="G251" i="154"/>
  <c r="G250" i="154"/>
  <c r="G249" i="154"/>
  <c r="G248" i="154"/>
  <c r="G247" i="154"/>
  <c r="G246" i="154"/>
  <c r="G245" i="154"/>
  <c r="G244" i="154"/>
  <c r="G243" i="154"/>
  <c r="G242" i="154"/>
  <c r="G241" i="154"/>
  <c r="G240" i="154"/>
  <c r="G239" i="154"/>
  <c r="G238" i="154"/>
  <c r="G237" i="154"/>
  <c r="G236" i="154"/>
  <c r="G235" i="154"/>
  <c r="G234" i="154"/>
  <c r="G233" i="154"/>
  <c r="G232" i="154"/>
  <c r="G231" i="154"/>
  <c r="G230" i="154"/>
  <c r="G229" i="154"/>
  <c r="G228" i="154"/>
  <c r="G227" i="154"/>
  <c r="G226" i="154"/>
  <c r="G225" i="154"/>
  <c r="G224" i="154"/>
  <c r="G223" i="154"/>
  <c r="G222" i="154"/>
  <c r="G221" i="154"/>
  <c r="G220" i="154"/>
  <c r="G219" i="154"/>
  <c r="G218" i="154"/>
  <c r="G217" i="154"/>
  <c r="G216" i="154"/>
  <c r="G215" i="154"/>
  <c r="G214" i="154"/>
  <c r="G213" i="154"/>
  <c r="G212" i="154"/>
  <c r="G211" i="154"/>
  <c r="G210" i="154"/>
  <c r="G209" i="154"/>
  <c r="G208" i="154"/>
  <c r="G207" i="154"/>
  <c r="G206" i="154"/>
  <c r="G205" i="154"/>
  <c r="G204" i="154"/>
  <c r="G203" i="154"/>
  <c r="G202" i="154"/>
  <c r="G201" i="154"/>
  <c r="G200" i="154"/>
  <c r="G199" i="154"/>
  <c r="G198" i="154"/>
  <c r="G197" i="154"/>
  <c r="G196" i="154"/>
  <c r="G195" i="154"/>
  <c r="G194" i="154"/>
  <c r="G193" i="154"/>
  <c r="G192" i="154"/>
  <c r="G191" i="154"/>
  <c r="G190" i="154"/>
  <c r="G189" i="154"/>
  <c r="G188" i="154"/>
  <c r="G187" i="154"/>
  <c r="G186" i="154"/>
  <c r="G185" i="154"/>
  <c r="G184" i="154"/>
  <c r="G183" i="154"/>
  <c r="G182" i="154"/>
  <c r="G181" i="154"/>
  <c r="G180" i="154"/>
  <c r="G179" i="154"/>
  <c r="G178" i="154"/>
  <c r="G177" i="154"/>
  <c r="G176" i="154"/>
  <c r="G175" i="154"/>
  <c r="G174" i="154"/>
  <c r="G173" i="154"/>
  <c r="G172" i="154"/>
  <c r="G171" i="154"/>
  <c r="G170" i="154"/>
  <c r="G169" i="154"/>
  <c r="G168" i="154"/>
  <c r="G167" i="154"/>
  <c r="G166" i="154"/>
  <c r="G165" i="154"/>
  <c r="G164" i="154"/>
  <c r="G163" i="154"/>
  <c r="G162" i="154"/>
  <c r="G161" i="154"/>
  <c r="G160" i="154"/>
  <c r="G159" i="154"/>
  <c r="G158" i="154"/>
  <c r="G157" i="154"/>
  <c r="G156" i="154"/>
  <c r="G155" i="154"/>
  <c r="G154" i="154"/>
  <c r="G153" i="154"/>
  <c r="G152" i="154"/>
  <c r="G151" i="154"/>
  <c r="G150" i="154"/>
  <c r="G149" i="154"/>
  <c r="G148" i="154"/>
  <c r="G147" i="154"/>
  <c r="G146" i="154"/>
  <c r="G145" i="154"/>
  <c r="G144" i="154"/>
  <c r="G143" i="154"/>
  <c r="G142" i="154"/>
  <c r="G141" i="154"/>
  <c r="G140" i="154"/>
  <c r="G139" i="154"/>
  <c r="G138" i="154"/>
  <c r="G137" i="154"/>
  <c r="G136" i="154"/>
  <c r="G135" i="154"/>
  <c r="G134" i="154"/>
  <c r="G133" i="154"/>
  <c r="G132" i="154"/>
  <c r="G131" i="154"/>
  <c r="G130" i="154"/>
  <c r="G129" i="154"/>
  <c r="G128" i="154"/>
  <c r="G127" i="154"/>
  <c r="G126" i="154"/>
  <c r="G125" i="154"/>
  <c r="G124" i="154"/>
  <c r="G123" i="154"/>
  <c r="G122" i="154"/>
  <c r="G121" i="154"/>
  <c r="G120" i="154"/>
  <c r="G119" i="154"/>
  <c r="G118" i="154"/>
  <c r="G117" i="154"/>
  <c r="G116" i="154"/>
  <c r="G115" i="154"/>
  <c r="G114" i="154"/>
  <c r="G113" i="154"/>
  <c r="G112" i="154"/>
  <c r="G111" i="154"/>
  <c r="G110" i="154"/>
  <c r="G109" i="154"/>
  <c r="G108" i="154"/>
  <c r="G107" i="154"/>
  <c r="G106" i="154"/>
  <c r="G105" i="154"/>
  <c r="G104" i="154"/>
  <c r="G103" i="154"/>
  <c r="G102" i="154"/>
  <c r="G101" i="154"/>
  <c r="G100" i="154"/>
  <c r="G99" i="154"/>
  <c r="G98" i="154"/>
  <c r="G97" i="154"/>
  <c r="G96" i="154"/>
  <c r="G95" i="154"/>
  <c r="G94" i="154"/>
  <c r="G93" i="154"/>
  <c r="G92" i="154"/>
  <c r="G91" i="154"/>
  <c r="G90" i="154"/>
  <c r="G89" i="154"/>
  <c r="G88" i="154"/>
  <c r="G87" i="154"/>
  <c r="G86" i="154"/>
  <c r="G85" i="154"/>
  <c r="G84" i="154"/>
  <c r="G83" i="154"/>
  <c r="G82" i="154"/>
  <c r="G81" i="154"/>
  <c r="G80" i="154"/>
  <c r="G79" i="154"/>
  <c r="G78" i="154"/>
  <c r="G77" i="154"/>
  <c r="G76" i="154"/>
  <c r="G75" i="154"/>
  <c r="G74" i="154"/>
  <c r="G73" i="154"/>
  <c r="G72" i="154"/>
  <c r="G71" i="154"/>
  <c r="G70" i="154"/>
  <c r="G69" i="154"/>
  <c r="G68" i="154"/>
  <c r="G67" i="154"/>
  <c r="G66" i="154"/>
  <c r="G65" i="154"/>
  <c r="G64" i="154"/>
  <c r="G63" i="154"/>
  <c r="G62" i="154"/>
  <c r="G61" i="154"/>
  <c r="G60" i="154"/>
  <c r="G59" i="154"/>
  <c r="G58" i="154"/>
  <c r="G57" i="154"/>
  <c r="G56" i="154"/>
  <c r="G55" i="154"/>
  <c r="G54" i="154"/>
  <c r="G53" i="154"/>
  <c r="G52" i="154"/>
  <c r="G51" i="154"/>
  <c r="G50" i="154"/>
  <c r="G49" i="154"/>
  <c r="G48" i="154"/>
  <c r="G47" i="154"/>
  <c r="G46" i="154"/>
  <c r="G45" i="154"/>
  <c r="G44" i="154"/>
  <c r="G43" i="154"/>
  <c r="G42" i="154"/>
  <c r="G41" i="154"/>
  <c r="G40" i="154"/>
  <c r="G39" i="154"/>
  <c r="G38" i="154"/>
  <c r="G37" i="154"/>
  <c r="G36" i="154"/>
  <c r="G35" i="154"/>
  <c r="G34" i="154"/>
  <c r="G33" i="154"/>
  <c r="G32" i="154"/>
  <c r="G31" i="154"/>
  <c r="G30" i="154"/>
  <c r="G29" i="154"/>
  <c r="G28" i="154"/>
  <c r="G27" i="154"/>
  <c r="G26" i="154"/>
  <c r="G25" i="154"/>
  <c r="G24" i="154"/>
  <c r="G23" i="154"/>
  <c r="G22" i="154"/>
  <c r="G21" i="154"/>
  <c r="G20" i="154"/>
  <c r="G19" i="154"/>
  <c r="G18" i="154"/>
  <c r="G17" i="154"/>
  <c r="G16" i="154"/>
  <c r="G15" i="154"/>
  <c r="G14" i="154"/>
  <c r="G13" i="154"/>
  <c r="G12" i="154"/>
  <c r="G11" i="154"/>
  <c r="G10" i="154"/>
  <c r="G9" i="154"/>
  <c r="G8" i="154"/>
  <c r="G7" i="154"/>
  <c r="G6" i="154"/>
  <c r="G5" i="154"/>
  <c r="G4" i="154"/>
  <c r="G3" i="154"/>
  <c r="G2" i="154"/>
  <c r="C2" i="154"/>
  <c r="C3" i="154"/>
  <c r="C4" i="154"/>
  <c r="C5" i="154"/>
  <c r="C6" i="154"/>
  <c r="C7" i="154"/>
  <c r="C8" i="154"/>
  <c r="C9" i="154"/>
  <c r="C10" i="154"/>
  <c r="C11" i="154"/>
  <c r="C12" i="154"/>
  <c r="C13" i="154"/>
  <c r="C14" i="154"/>
  <c r="C15" i="154"/>
  <c r="C16" i="154"/>
  <c r="C17" i="154"/>
  <c r="C18" i="154"/>
  <c r="C19" i="154"/>
  <c r="C20" i="154"/>
  <c r="C21" i="154"/>
  <c r="C22" i="154"/>
  <c r="C23" i="154"/>
  <c r="C24" i="154"/>
  <c r="C25" i="154"/>
  <c r="C26" i="154"/>
  <c r="C27" i="154"/>
  <c r="C28" i="154"/>
  <c r="C29" i="154"/>
  <c r="C30" i="154"/>
  <c r="C31" i="154"/>
  <c r="C32" i="154"/>
  <c r="C33" i="154"/>
  <c r="C34" i="154"/>
  <c r="C35" i="154"/>
  <c r="C36" i="154"/>
  <c r="C37" i="154"/>
  <c r="C38" i="154"/>
  <c r="C39" i="154"/>
  <c r="C40" i="154"/>
  <c r="C41" i="154"/>
  <c r="C42" i="154"/>
  <c r="C43" i="154"/>
  <c r="C44" i="154"/>
  <c r="C45" i="154"/>
  <c r="C46" i="154"/>
  <c r="C47" i="154"/>
  <c r="C48" i="154"/>
  <c r="C49" i="154"/>
  <c r="C50" i="154"/>
  <c r="C51" i="154"/>
  <c r="C52" i="154"/>
  <c r="C53" i="154"/>
  <c r="C54" i="154"/>
  <c r="C55" i="154"/>
  <c r="C56" i="154"/>
  <c r="C57" i="154"/>
  <c r="C58" i="154"/>
  <c r="C59" i="154"/>
  <c r="C60" i="154"/>
  <c r="C61" i="154"/>
  <c r="C62" i="154"/>
  <c r="C63" i="154"/>
  <c r="C64" i="154"/>
  <c r="C65" i="154"/>
  <c r="C66" i="154"/>
  <c r="C67" i="154"/>
  <c r="C68" i="154"/>
  <c r="C69" i="154"/>
  <c r="C70" i="154"/>
  <c r="C71" i="154"/>
  <c r="C72" i="154"/>
  <c r="C73" i="154"/>
  <c r="C74" i="154"/>
  <c r="C75" i="154"/>
  <c r="C76" i="154"/>
  <c r="C77" i="154"/>
  <c r="C78" i="154"/>
  <c r="C79" i="154"/>
  <c r="C80" i="154"/>
  <c r="C81" i="154"/>
  <c r="C82" i="154"/>
  <c r="C83" i="154"/>
  <c r="C84" i="154"/>
  <c r="C85" i="154"/>
  <c r="C86" i="154"/>
  <c r="C87" i="154"/>
  <c r="C88" i="154"/>
  <c r="C89" i="154"/>
  <c r="C90" i="154"/>
  <c r="C91" i="154"/>
  <c r="C92" i="154"/>
  <c r="C93" i="154"/>
  <c r="C94" i="154"/>
  <c r="C95" i="154"/>
  <c r="C96" i="154"/>
  <c r="C97" i="154"/>
  <c r="C98" i="154"/>
  <c r="C99" i="154"/>
  <c r="C100" i="154"/>
  <c r="C101" i="154"/>
  <c r="C102" i="154"/>
  <c r="C103" i="154"/>
  <c r="C104" i="154"/>
  <c r="C105" i="154"/>
  <c r="C106" i="154"/>
  <c r="C107" i="154"/>
  <c r="C108" i="154"/>
  <c r="C109" i="154"/>
  <c r="C110" i="154"/>
  <c r="C111" i="154"/>
  <c r="C112" i="154"/>
  <c r="C113" i="154"/>
  <c r="C114" i="154"/>
  <c r="C115" i="154"/>
  <c r="C116" i="154"/>
  <c r="C117" i="154"/>
  <c r="C118" i="154"/>
  <c r="C119" i="154"/>
  <c r="C120" i="154"/>
  <c r="C121" i="154"/>
  <c r="C122" i="154"/>
  <c r="C123" i="154"/>
  <c r="C124" i="154"/>
  <c r="C125" i="154"/>
  <c r="C126" i="154"/>
  <c r="C127" i="154"/>
  <c r="C128" i="154"/>
  <c r="C129" i="154"/>
  <c r="C130" i="154"/>
  <c r="C131" i="154"/>
  <c r="C132" i="154"/>
  <c r="C133" i="154"/>
  <c r="C134" i="154"/>
  <c r="C135" i="154"/>
  <c r="C136" i="154"/>
  <c r="C137" i="154"/>
  <c r="C138" i="154"/>
  <c r="C139" i="154"/>
  <c r="C140" i="154"/>
  <c r="C141" i="154"/>
  <c r="C142" i="154"/>
  <c r="C143" i="154"/>
  <c r="C144" i="154"/>
  <c r="C145" i="154"/>
  <c r="C146" i="154"/>
  <c r="C147" i="154"/>
  <c r="C148" i="154"/>
  <c r="C149" i="154"/>
  <c r="C150" i="154"/>
  <c r="C151" i="154"/>
  <c r="C152" i="154"/>
  <c r="C153" i="154"/>
  <c r="C154" i="154"/>
  <c r="C155" i="154"/>
  <c r="C156" i="154"/>
  <c r="C157" i="154"/>
  <c r="C158" i="154"/>
  <c r="C159" i="154"/>
  <c r="C160" i="154"/>
  <c r="C161" i="154"/>
  <c r="C162" i="154"/>
  <c r="C163" i="154"/>
  <c r="C164" i="154"/>
  <c r="C165" i="154"/>
  <c r="C166" i="154"/>
  <c r="C167" i="154"/>
  <c r="C168" i="154"/>
  <c r="C169" i="154"/>
  <c r="C170" i="154"/>
  <c r="C171" i="154"/>
  <c r="C172" i="154"/>
  <c r="C173" i="154"/>
  <c r="C174" i="154"/>
  <c r="C175" i="154"/>
  <c r="C176" i="154"/>
  <c r="C177" i="154"/>
  <c r="C178" i="154"/>
  <c r="C179" i="154"/>
  <c r="C180" i="154"/>
  <c r="C181" i="154"/>
  <c r="C182" i="154"/>
  <c r="C183" i="154"/>
  <c r="C184" i="154"/>
  <c r="C185" i="154"/>
  <c r="C186" i="154"/>
  <c r="C187" i="154"/>
  <c r="C188" i="154"/>
  <c r="C189" i="154"/>
  <c r="C190" i="154"/>
  <c r="C191" i="154"/>
  <c r="C192" i="154"/>
  <c r="C193" i="154"/>
  <c r="C194" i="154"/>
  <c r="C195" i="154"/>
  <c r="C196" i="154"/>
  <c r="C197" i="154"/>
  <c r="C198" i="154"/>
  <c r="C199" i="154"/>
  <c r="C200" i="154"/>
  <c r="C201" i="154"/>
  <c r="C202" i="154"/>
  <c r="C203" i="154"/>
  <c r="C204" i="154"/>
  <c r="C205" i="154"/>
  <c r="C206" i="154"/>
  <c r="C207" i="154"/>
  <c r="C208" i="154"/>
  <c r="C209" i="154"/>
  <c r="C210" i="154"/>
  <c r="C211" i="154"/>
  <c r="C212" i="154"/>
  <c r="C213" i="154"/>
  <c r="C214" i="154"/>
  <c r="C215" i="154"/>
  <c r="C216" i="154"/>
  <c r="C217" i="154"/>
  <c r="C218" i="154"/>
  <c r="C219" i="154"/>
  <c r="C220" i="154"/>
  <c r="C221" i="154"/>
  <c r="C222" i="154"/>
  <c r="C223" i="154"/>
  <c r="C224" i="154"/>
  <c r="C225" i="154"/>
  <c r="C226" i="154"/>
  <c r="C227" i="154"/>
  <c r="C228" i="154"/>
  <c r="C229" i="154"/>
  <c r="C230" i="154"/>
  <c r="C231" i="154"/>
  <c r="C232" i="154"/>
  <c r="C233" i="154"/>
  <c r="C234" i="154"/>
  <c r="C235" i="154"/>
  <c r="C236" i="154"/>
  <c r="C237" i="154"/>
  <c r="C238" i="154"/>
  <c r="C239" i="154"/>
  <c r="C240" i="154"/>
  <c r="C241" i="154"/>
  <c r="C242" i="154"/>
  <c r="C243" i="154"/>
  <c r="C244" i="154"/>
  <c r="C245" i="154"/>
  <c r="C246" i="154"/>
  <c r="C247" i="154"/>
  <c r="C248" i="154"/>
  <c r="C249" i="154"/>
  <c r="C250" i="154"/>
  <c r="C251" i="154"/>
  <c r="C252" i="154"/>
  <c r="C253" i="154"/>
  <c r="C254" i="154"/>
  <c r="C255" i="154"/>
  <c r="C256" i="154"/>
  <c r="C257" i="154"/>
  <c r="C258" i="154"/>
  <c r="C259" i="154"/>
  <c r="C260" i="154"/>
  <c r="C261" i="154"/>
  <c r="C262" i="154"/>
  <c r="C263" i="154"/>
  <c r="C264" i="154"/>
  <c r="C265" i="154"/>
  <c r="C266" i="154"/>
  <c r="C267" i="154"/>
  <c r="C268" i="154"/>
  <c r="C269" i="154"/>
  <c r="C270" i="154"/>
  <c r="C271" i="154"/>
  <c r="C272" i="154"/>
  <c r="C273" i="154"/>
  <c r="C274" i="154"/>
  <c r="C275" i="154"/>
  <c r="C276" i="154"/>
  <c r="C277" i="154"/>
  <c r="C278" i="154"/>
  <c r="C279" i="154"/>
  <c r="C280" i="154"/>
  <c r="C281" i="154"/>
  <c r="C282" i="154"/>
  <c r="C283" i="154"/>
  <c r="C284" i="154"/>
  <c r="C285" i="154"/>
  <c r="C286" i="154"/>
  <c r="C287" i="154"/>
  <c r="C288" i="154"/>
  <c r="C289" i="154"/>
  <c r="C290" i="154"/>
  <c r="C291" i="154"/>
  <c r="C292" i="154"/>
  <c r="C293" i="154"/>
  <c r="C294" i="154"/>
  <c r="C295" i="154"/>
  <c r="C296" i="154"/>
  <c r="C297" i="154"/>
  <c r="C298" i="154"/>
  <c r="C299" i="154"/>
  <c r="C300" i="154"/>
  <c r="F5" i="153"/>
  <c r="F7" i="153"/>
  <c r="A51" i="153"/>
  <c r="G31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31" i="153"/>
  <c r="H31" i="153"/>
  <c r="G46" i="153"/>
  <c r="E46" i="153"/>
  <c r="H46" i="153"/>
  <c r="O300" i="154"/>
  <c r="E7" i="153"/>
  <c r="E26" i="153"/>
  <c r="B26" i="153"/>
  <c r="E5" i="153"/>
  <c r="E28" i="153"/>
  <c r="B28" i="153"/>
  <c r="E29" i="153"/>
  <c r="B29" i="153"/>
  <c r="E21" i="153"/>
  <c r="B21" i="153"/>
  <c r="B23" i="153"/>
  <c r="G23" i="153"/>
  <c r="E23" i="153"/>
  <c r="H23" i="153"/>
  <c r="O289" i="154"/>
  <c r="G29" i="153"/>
  <c r="H29" i="153"/>
  <c r="O290" i="154"/>
  <c r="F8" i="153"/>
  <c r="E8" i="153"/>
  <c r="E37" i="153"/>
  <c r="E41" i="153"/>
  <c r="B41" i="153"/>
  <c r="F6" i="153"/>
  <c r="E6" i="153"/>
  <c r="E43" i="153"/>
  <c r="B43" i="153"/>
  <c r="E44" i="153"/>
  <c r="B44" i="153"/>
  <c r="E36" i="153"/>
  <c r="B36" i="153"/>
  <c r="B38" i="153"/>
  <c r="B37" i="153"/>
  <c r="G37" i="153"/>
  <c r="H37" i="153"/>
  <c r="O291" i="154"/>
  <c r="G38" i="153"/>
  <c r="E38" i="153"/>
  <c r="H38" i="153"/>
  <c r="O292" i="154"/>
  <c r="O293" i="154"/>
  <c r="O294" i="154"/>
  <c r="O295" i="154"/>
  <c r="G44" i="153"/>
  <c r="H44" i="153"/>
  <c r="O296" i="154"/>
  <c r="E22" i="153"/>
  <c r="B22" i="153"/>
  <c r="G22" i="153"/>
  <c r="H22" i="153"/>
  <c r="O297" i="154"/>
  <c r="O298" i="154"/>
  <c r="O299" i="154"/>
  <c r="K299" i="159"/>
  <c r="G299" i="159"/>
  <c r="K298" i="159"/>
  <c r="G298" i="159"/>
  <c r="K297" i="159"/>
  <c r="G297" i="159"/>
  <c r="K296" i="159"/>
  <c r="G296" i="159"/>
  <c r="K295" i="159"/>
  <c r="G295" i="159"/>
  <c r="K294" i="159"/>
  <c r="G294" i="159"/>
  <c r="K293" i="159"/>
  <c r="G293" i="159"/>
  <c r="K292" i="159"/>
  <c r="G292" i="159"/>
  <c r="K291" i="159"/>
  <c r="G291" i="159"/>
  <c r="K290" i="159"/>
  <c r="G290" i="159"/>
  <c r="K289" i="159"/>
  <c r="G289" i="159"/>
  <c r="K288" i="159"/>
  <c r="G288" i="159"/>
  <c r="K287" i="159"/>
  <c r="G287" i="159"/>
  <c r="K286" i="159"/>
  <c r="G286" i="159"/>
  <c r="K285" i="159"/>
  <c r="G285" i="159"/>
  <c r="K284" i="159"/>
  <c r="G284" i="159"/>
  <c r="K283" i="159"/>
  <c r="G283" i="159"/>
  <c r="K282" i="159"/>
  <c r="G282" i="159"/>
  <c r="K281" i="159"/>
  <c r="G281" i="159"/>
  <c r="K280" i="159"/>
  <c r="G280" i="159"/>
  <c r="K279" i="159"/>
  <c r="G279" i="159"/>
  <c r="K278" i="159"/>
  <c r="G278" i="159"/>
  <c r="K277" i="159"/>
  <c r="G277" i="159"/>
  <c r="K276" i="159"/>
  <c r="G276" i="159"/>
  <c r="K275" i="159"/>
  <c r="G275" i="159"/>
  <c r="K274" i="159"/>
  <c r="G274" i="159"/>
  <c r="K273" i="159"/>
  <c r="G273" i="159"/>
  <c r="K272" i="159"/>
  <c r="G272" i="159"/>
  <c r="K271" i="159"/>
  <c r="G271" i="159"/>
  <c r="K270" i="159"/>
  <c r="G270" i="159"/>
  <c r="K269" i="159"/>
  <c r="G269" i="159"/>
  <c r="K268" i="159"/>
  <c r="G268" i="159"/>
  <c r="K267" i="159"/>
  <c r="G267" i="159"/>
  <c r="K266" i="159"/>
  <c r="G266" i="159"/>
  <c r="K265" i="159"/>
  <c r="G265" i="159"/>
  <c r="K264" i="159"/>
  <c r="G264" i="159"/>
  <c r="K263" i="159"/>
  <c r="G263" i="159"/>
  <c r="K262" i="159"/>
  <c r="G262" i="159"/>
  <c r="K261" i="159"/>
  <c r="G261" i="159"/>
  <c r="K260" i="159"/>
  <c r="G260" i="159"/>
  <c r="K259" i="159"/>
  <c r="G259" i="159"/>
  <c r="K258" i="159"/>
  <c r="G258" i="159"/>
  <c r="K257" i="159"/>
  <c r="G257" i="159"/>
  <c r="K256" i="159"/>
  <c r="G256" i="159"/>
  <c r="K255" i="159"/>
  <c r="G255" i="159"/>
  <c r="K254" i="159"/>
  <c r="G254" i="159"/>
  <c r="K253" i="159"/>
  <c r="G253" i="159"/>
  <c r="K252" i="159"/>
  <c r="G252" i="159"/>
  <c r="K251" i="159"/>
  <c r="G251" i="159"/>
  <c r="K250" i="159"/>
  <c r="G250" i="159"/>
  <c r="K249" i="159"/>
  <c r="G249" i="159"/>
  <c r="K248" i="159"/>
  <c r="G248" i="159"/>
  <c r="K247" i="159"/>
  <c r="G247" i="159"/>
  <c r="K246" i="159"/>
  <c r="G246" i="159"/>
  <c r="K245" i="159"/>
  <c r="G245" i="159"/>
  <c r="K244" i="159"/>
  <c r="G244" i="159"/>
  <c r="K243" i="159"/>
  <c r="G243" i="159"/>
  <c r="K242" i="159"/>
  <c r="G242" i="159"/>
  <c r="K241" i="159"/>
  <c r="G241" i="159"/>
  <c r="K240" i="159"/>
  <c r="G240" i="159"/>
  <c r="K239" i="159"/>
  <c r="G239" i="159"/>
  <c r="K238" i="159"/>
  <c r="G238" i="159"/>
  <c r="K237" i="159"/>
  <c r="G237" i="159"/>
  <c r="K236" i="159"/>
  <c r="G236" i="159"/>
  <c r="K235" i="159"/>
  <c r="G235" i="159"/>
  <c r="K234" i="159"/>
  <c r="G234" i="159"/>
  <c r="K233" i="159"/>
  <c r="G233" i="159"/>
  <c r="K232" i="159"/>
  <c r="G232" i="159"/>
  <c r="K231" i="159"/>
  <c r="G231" i="159"/>
  <c r="K230" i="159"/>
  <c r="G230" i="159"/>
  <c r="K229" i="159"/>
  <c r="G229" i="159"/>
  <c r="K228" i="159"/>
  <c r="G228" i="159"/>
  <c r="K227" i="159"/>
  <c r="G227" i="159"/>
  <c r="K226" i="159"/>
  <c r="G226" i="159"/>
  <c r="K225" i="159"/>
  <c r="G225" i="159"/>
  <c r="K224" i="159"/>
  <c r="G224" i="159"/>
  <c r="K223" i="159"/>
  <c r="G223" i="159"/>
  <c r="K222" i="159"/>
  <c r="G222" i="159"/>
  <c r="K221" i="159"/>
  <c r="G221" i="159"/>
  <c r="K220" i="159"/>
  <c r="G220" i="159"/>
  <c r="K219" i="159"/>
  <c r="G219" i="159"/>
  <c r="K218" i="159"/>
  <c r="G218" i="159"/>
  <c r="K217" i="159"/>
  <c r="G217" i="159"/>
  <c r="K216" i="159"/>
  <c r="G216" i="159"/>
  <c r="K215" i="159"/>
  <c r="G215" i="159"/>
  <c r="K214" i="159"/>
  <c r="G214" i="159"/>
  <c r="K213" i="159"/>
  <c r="G213" i="159"/>
  <c r="K212" i="159"/>
  <c r="G212" i="159"/>
  <c r="K211" i="159"/>
  <c r="G211" i="159"/>
  <c r="K210" i="159"/>
  <c r="G210" i="159"/>
  <c r="K209" i="159"/>
  <c r="G209" i="159"/>
  <c r="K208" i="159"/>
  <c r="G208" i="159"/>
  <c r="K207" i="159"/>
  <c r="G207" i="159"/>
  <c r="K206" i="159"/>
  <c r="G206" i="159"/>
  <c r="K205" i="159"/>
  <c r="G205" i="159"/>
  <c r="K204" i="159"/>
  <c r="G204" i="159"/>
  <c r="K203" i="159"/>
  <c r="G203" i="159"/>
  <c r="K202" i="159"/>
  <c r="G202" i="159"/>
  <c r="K201" i="159"/>
  <c r="G201" i="159"/>
  <c r="K200" i="159"/>
  <c r="G200" i="159"/>
  <c r="K199" i="159"/>
  <c r="G199" i="159"/>
  <c r="K198" i="159"/>
  <c r="G198" i="159"/>
  <c r="K197" i="159"/>
  <c r="G197" i="159"/>
  <c r="K196" i="159"/>
  <c r="G196" i="159"/>
  <c r="K195" i="159"/>
  <c r="G195" i="159"/>
  <c r="K194" i="159"/>
  <c r="G194" i="159"/>
  <c r="K193" i="159"/>
  <c r="G193" i="159"/>
  <c r="K192" i="159"/>
  <c r="G192" i="159"/>
  <c r="K191" i="159"/>
  <c r="G191" i="159"/>
  <c r="K190" i="159"/>
  <c r="G190" i="159"/>
  <c r="K189" i="159"/>
  <c r="G189" i="159"/>
  <c r="K188" i="159"/>
  <c r="G188" i="159"/>
  <c r="K187" i="159"/>
  <c r="G187" i="159"/>
  <c r="K186" i="159"/>
  <c r="G186" i="159"/>
  <c r="K185" i="159"/>
  <c r="G185" i="159"/>
  <c r="K184" i="159"/>
  <c r="G184" i="159"/>
  <c r="K183" i="159"/>
  <c r="G183" i="159"/>
  <c r="K182" i="159"/>
  <c r="G182" i="159"/>
  <c r="K181" i="159"/>
  <c r="G181" i="159"/>
  <c r="K180" i="159"/>
  <c r="G180" i="159"/>
  <c r="K179" i="159"/>
  <c r="G179" i="159"/>
  <c r="K178" i="159"/>
  <c r="G178" i="159"/>
  <c r="K177" i="159"/>
  <c r="G177" i="159"/>
  <c r="K176" i="159"/>
  <c r="G176" i="159"/>
  <c r="K175" i="159"/>
  <c r="G175" i="159"/>
  <c r="K174" i="159"/>
  <c r="G174" i="159"/>
  <c r="K173" i="159"/>
  <c r="G173" i="159"/>
  <c r="K172" i="159"/>
  <c r="G172" i="159"/>
  <c r="K171" i="159"/>
  <c r="G171" i="159"/>
  <c r="K170" i="159"/>
  <c r="G170" i="159"/>
  <c r="K169" i="159"/>
  <c r="G169" i="159"/>
  <c r="K168" i="159"/>
  <c r="G168" i="159"/>
  <c r="K167" i="159"/>
  <c r="G167" i="159"/>
  <c r="K166" i="159"/>
  <c r="G166" i="159"/>
  <c r="K165" i="159"/>
  <c r="G165" i="159"/>
  <c r="K164" i="159"/>
  <c r="G164" i="159"/>
  <c r="K163" i="159"/>
  <c r="G163" i="159"/>
  <c r="K162" i="159"/>
  <c r="G162" i="159"/>
  <c r="K161" i="159"/>
  <c r="G161" i="159"/>
  <c r="K160" i="159"/>
  <c r="G160" i="159"/>
  <c r="K159" i="159"/>
  <c r="G159" i="159"/>
  <c r="K158" i="159"/>
  <c r="G158" i="159"/>
  <c r="K157" i="159"/>
  <c r="G157" i="159"/>
  <c r="K156" i="159"/>
  <c r="G156" i="159"/>
  <c r="K155" i="159"/>
  <c r="G155" i="159"/>
  <c r="K154" i="159"/>
  <c r="G154" i="159"/>
  <c r="K153" i="159"/>
  <c r="G153" i="159"/>
  <c r="K152" i="159"/>
  <c r="G152" i="159"/>
  <c r="K151" i="159"/>
  <c r="G151" i="159"/>
  <c r="K150" i="159"/>
  <c r="G150" i="159"/>
  <c r="K149" i="159"/>
  <c r="G149" i="159"/>
  <c r="K148" i="159"/>
  <c r="G148" i="159"/>
  <c r="K147" i="159"/>
  <c r="G147" i="159"/>
  <c r="K146" i="159"/>
  <c r="G146" i="159"/>
  <c r="K145" i="159"/>
  <c r="G145" i="159"/>
  <c r="K144" i="159"/>
  <c r="G144" i="159"/>
  <c r="K143" i="159"/>
  <c r="G143" i="159"/>
  <c r="K142" i="159"/>
  <c r="G142" i="159"/>
  <c r="K141" i="159"/>
  <c r="G141" i="159"/>
  <c r="K140" i="159"/>
  <c r="G140" i="159"/>
  <c r="K139" i="159"/>
  <c r="G139" i="159"/>
  <c r="K138" i="159"/>
  <c r="G138" i="159"/>
  <c r="K137" i="159"/>
  <c r="G137" i="159"/>
  <c r="K136" i="159"/>
  <c r="G136" i="159"/>
  <c r="K135" i="159"/>
  <c r="G135" i="159"/>
  <c r="K134" i="159"/>
  <c r="G134" i="159"/>
  <c r="K133" i="159"/>
  <c r="G133" i="159"/>
  <c r="K132" i="159"/>
  <c r="G132" i="159"/>
  <c r="K131" i="159"/>
  <c r="G131" i="159"/>
  <c r="K130" i="159"/>
  <c r="G130" i="159"/>
  <c r="K129" i="159"/>
  <c r="G129" i="159"/>
  <c r="K128" i="159"/>
  <c r="G128" i="159"/>
  <c r="K127" i="159"/>
  <c r="G127" i="159"/>
  <c r="K126" i="159"/>
  <c r="G126" i="159"/>
  <c r="K125" i="159"/>
  <c r="G125" i="159"/>
  <c r="K124" i="159"/>
  <c r="G124" i="159"/>
  <c r="K123" i="159"/>
  <c r="G123" i="159"/>
  <c r="K122" i="159"/>
  <c r="G122" i="159"/>
  <c r="K121" i="159"/>
  <c r="G121" i="159"/>
  <c r="K120" i="159"/>
  <c r="G120" i="159"/>
  <c r="K119" i="159"/>
  <c r="G119" i="159"/>
  <c r="K118" i="159"/>
  <c r="G118" i="159"/>
  <c r="K117" i="159"/>
  <c r="G117" i="159"/>
  <c r="K116" i="159"/>
  <c r="G116" i="159"/>
  <c r="K115" i="159"/>
  <c r="G115" i="159"/>
  <c r="K114" i="159"/>
  <c r="G114" i="159"/>
  <c r="K113" i="159"/>
  <c r="G113" i="159"/>
  <c r="K112" i="159"/>
  <c r="G112" i="159"/>
  <c r="K111" i="159"/>
  <c r="G111" i="159"/>
  <c r="K110" i="159"/>
  <c r="G110" i="159"/>
  <c r="K109" i="159"/>
  <c r="G109" i="159"/>
  <c r="K108" i="159"/>
  <c r="G108" i="159"/>
  <c r="K107" i="159"/>
  <c r="G107" i="159"/>
  <c r="K106" i="159"/>
  <c r="G106" i="159"/>
  <c r="K105" i="159"/>
  <c r="G105" i="159"/>
  <c r="K104" i="159"/>
  <c r="G104" i="159"/>
  <c r="K103" i="159"/>
  <c r="G103" i="159"/>
  <c r="K102" i="159"/>
  <c r="G102" i="159"/>
  <c r="K101" i="159"/>
  <c r="G101" i="159"/>
  <c r="K100" i="159"/>
  <c r="G100" i="159"/>
  <c r="K99" i="159"/>
  <c r="G99" i="159"/>
  <c r="K98" i="159"/>
  <c r="G98" i="159"/>
  <c r="K97" i="159"/>
  <c r="G97" i="159"/>
  <c r="K96" i="159"/>
  <c r="G96" i="159"/>
  <c r="K95" i="159"/>
  <c r="G95" i="159"/>
  <c r="K94" i="159"/>
  <c r="G94" i="159"/>
  <c r="K93" i="159"/>
  <c r="G93" i="159"/>
  <c r="K92" i="159"/>
  <c r="G92" i="159"/>
  <c r="K91" i="159"/>
  <c r="G91" i="159"/>
  <c r="K90" i="159"/>
  <c r="G90" i="159"/>
  <c r="K89" i="159"/>
  <c r="G89" i="159"/>
  <c r="K88" i="159"/>
  <c r="G88" i="159"/>
  <c r="K87" i="159"/>
  <c r="G87" i="159"/>
  <c r="K86" i="159"/>
  <c r="G86" i="159"/>
  <c r="K85" i="159"/>
  <c r="G85" i="159"/>
  <c r="K84" i="159"/>
  <c r="G84" i="159"/>
  <c r="K83" i="159"/>
  <c r="G83" i="159"/>
  <c r="K82" i="159"/>
  <c r="G82" i="159"/>
  <c r="K81" i="159"/>
  <c r="G81" i="159"/>
  <c r="K80" i="159"/>
  <c r="G80" i="159"/>
  <c r="K79" i="159"/>
  <c r="G79" i="159"/>
  <c r="K78" i="159"/>
  <c r="G78" i="159"/>
  <c r="K77" i="159"/>
  <c r="G77" i="159"/>
  <c r="K76" i="159"/>
  <c r="G76" i="159"/>
  <c r="K75" i="159"/>
  <c r="G75" i="159"/>
  <c r="K74" i="159"/>
  <c r="G74" i="159"/>
  <c r="K73" i="159"/>
  <c r="G73" i="159"/>
  <c r="K72" i="159"/>
  <c r="G72" i="159"/>
  <c r="K71" i="159"/>
  <c r="G71" i="159"/>
  <c r="K70" i="159"/>
  <c r="G70" i="159"/>
  <c r="K69" i="159"/>
  <c r="G69" i="159"/>
  <c r="K68" i="159"/>
  <c r="G68" i="159"/>
  <c r="K67" i="159"/>
  <c r="G67" i="159"/>
  <c r="K66" i="159"/>
  <c r="G66" i="159"/>
  <c r="K65" i="159"/>
  <c r="G65" i="159"/>
  <c r="K64" i="159"/>
  <c r="G64" i="159"/>
  <c r="K63" i="159"/>
  <c r="G63" i="159"/>
  <c r="K62" i="159"/>
  <c r="G62" i="159"/>
  <c r="K61" i="159"/>
  <c r="G61" i="159"/>
  <c r="K60" i="159"/>
  <c r="G60" i="159"/>
  <c r="K59" i="159"/>
  <c r="G59" i="159"/>
  <c r="K58" i="159"/>
  <c r="G58" i="159"/>
  <c r="K57" i="159"/>
  <c r="G57" i="159"/>
  <c r="K56" i="159"/>
  <c r="G56" i="159"/>
  <c r="K55" i="159"/>
  <c r="G55" i="159"/>
  <c r="K54" i="159"/>
  <c r="G54" i="159"/>
  <c r="K53" i="159"/>
  <c r="G53" i="159"/>
  <c r="K52" i="159"/>
  <c r="G52" i="159"/>
  <c r="K51" i="159"/>
  <c r="G51" i="159"/>
  <c r="K50" i="159"/>
  <c r="G50" i="159"/>
  <c r="K49" i="159"/>
  <c r="G49" i="159"/>
  <c r="K48" i="159"/>
  <c r="G48" i="159"/>
  <c r="K47" i="159"/>
  <c r="G47" i="159"/>
  <c r="K46" i="159"/>
  <c r="G46" i="159"/>
  <c r="K45" i="159"/>
  <c r="G45" i="159"/>
  <c r="K44" i="159"/>
  <c r="G44" i="159"/>
  <c r="K43" i="159"/>
  <c r="G43" i="159"/>
  <c r="K42" i="159"/>
  <c r="G42" i="159"/>
  <c r="K41" i="159"/>
  <c r="G41" i="159"/>
  <c r="K40" i="159"/>
  <c r="G40" i="159"/>
  <c r="K39" i="159"/>
  <c r="G39" i="159"/>
  <c r="K38" i="159"/>
  <c r="G38" i="159"/>
  <c r="K37" i="159"/>
  <c r="G37" i="159"/>
  <c r="K36" i="159"/>
  <c r="G36" i="159"/>
  <c r="K35" i="159"/>
  <c r="G35" i="159"/>
  <c r="K34" i="159"/>
  <c r="G34" i="159"/>
  <c r="K33" i="159"/>
  <c r="G33" i="159"/>
  <c r="K32" i="159"/>
  <c r="G32" i="159"/>
  <c r="K31" i="159"/>
  <c r="G31" i="159"/>
  <c r="K30" i="159"/>
  <c r="G30" i="159"/>
  <c r="K29" i="159"/>
  <c r="G29" i="159"/>
  <c r="K28" i="159"/>
  <c r="G28" i="159"/>
  <c r="K27" i="159"/>
  <c r="G27" i="159"/>
  <c r="K26" i="159"/>
  <c r="G26" i="159"/>
  <c r="K25" i="159"/>
  <c r="G25" i="159"/>
  <c r="K24" i="159"/>
  <c r="G24" i="159"/>
  <c r="K23" i="159"/>
  <c r="G23" i="159"/>
  <c r="K22" i="159"/>
  <c r="G22" i="159"/>
  <c r="K21" i="159"/>
  <c r="G21" i="159"/>
  <c r="K20" i="159"/>
  <c r="G20" i="159"/>
  <c r="K19" i="159"/>
  <c r="G19" i="159"/>
  <c r="K18" i="159"/>
  <c r="G18" i="159"/>
  <c r="K17" i="159"/>
  <c r="G17" i="159"/>
  <c r="K16" i="159"/>
  <c r="G16" i="159"/>
  <c r="K15" i="159"/>
  <c r="G15" i="159"/>
  <c r="K14" i="159"/>
  <c r="G14" i="159"/>
  <c r="K13" i="159"/>
  <c r="G13" i="159"/>
  <c r="K12" i="159"/>
  <c r="G12" i="159"/>
  <c r="K11" i="159"/>
  <c r="G11" i="159"/>
  <c r="K10" i="159"/>
  <c r="G10" i="159"/>
  <c r="K9" i="159"/>
  <c r="G9" i="159"/>
  <c r="K8" i="159"/>
  <c r="G8" i="159"/>
  <c r="K7" i="159"/>
  <c r="G7" i="159"/>
  <c r="K6" i="159"/>
  <c r="G6" i="159"/>
  <c r="K5" i="159"/>
  <c r="G5" i="159"/>
  <c r="K4" i="159"/>
  <c r="G4" i="159"/>
  <c r="K3" i="159"/>
  <c r="G3" i="159"/>
  <c r="K2" i="159"/>
  <c r="G2" i="159"/>
  <c r="G299" i="150"/>
  <c r="G298" i="150"/>
  <c r="G297" i="150"/>
  <c r="G296" i="150"/>
  <c r="G295" i="150"/>
  <c r="G294" i="150"/>
  <c r="G293" i="150"/>
  <c r="G292" i="150"/>
  <c r="G291" i="150"/>
  <c r="G290" i="150"/>
  <c r="G289" i="150"/>
  <c r="G288" i="150"/>
  <c r="G287" i="150"/>
  <c r="G286" i="150"/>
  <c r="G285" i="150"/>
  <c r="G284" i="150"/>
  <c r="G283" i="150"/>
  <c r="G282" i="150"/>
  <c r="G281" i="150"/>
  <c r="G280" i="150"/>
  <c r="G279" i="150"/>
  <c r="G278" i="150"/>
  <c r="G277" i="150"/>
  <c r="G276" i="150"/>
  <c r="G275" i="150"/>
  <c r="G274" i="150"/>
  <c r="G273" i="150"/>
  <c r="G272" i="150"/>
  <c r="G271" i="150"/>
  <c r="G270" i="150"/>
  <c r="G269" i="150"/>
  <c r="G268" i="150"/>
  <c r="G267" i="150"/>
  <c r="G266" i="150"/>
  <c r="G265" i="150"/>
  <c r="G264" i="150"/>
  <c r="G263" i="150"/>
  <c r="G262" i="150"/>
  <c r="G261" i="150"/>
  <c r="G260" i="150"/>
  <c r="G259" i="150"/>
  <c r="G258" i="150"/>
  <c r="G257" i="150"/>
  <c r="G256" i="150"/>
  <c r="G255" i="150"/>
  <c r="G254" i="150"/>
  <c r="G253" i="150"/>
  <c r="G252" i="150"/>
  <c r="G251" i="150"/>
  <c r="G250" i="150"/>
  <c r="G249" i="150"/>
  <c r="G248" i="150"/>
  <c r="G247" i="150"/>
  <c r="G246" i="150"/>
  <c r="G245" i="150"/>
  <c r="G244" i="150"/>
  <c r="G243" i="150"/>
  <c r="G242" i="150"/>
  <c r="G241" i="150"/>
  <c r="G240" i="150"/>
  <c r="G239" i="150"/>
  <c r="G238" i="150"/>
  <c r="G237" i="150"/>
  <c r="G236" i="150"/>
  <c r="G235" i="150"/>
  <c r="G234" i="150"/>
  <c r="G233" i="150"/>
  <c r="G232" i="150"/>
  <c r="G231" i="150"/>
  <c r="G230" i="150"/>
  <c r="G229" i="150"/>
  <c r="G228" i="150"/>
  <c r="G227" i="150"/>
  <c r="G226" i="150"/>
  <c r="G225" i="150"/>
  <c r="G224" i="150"/>
  <c r="G223" i="150"/>
  <c r="G222" i="150"/>
  <c r="G221" i="150"/>
  <c r="G220" i="150"/>
  <c r="G219" i="150"/>
  <c r="G218" i="150"/>
  <c r="G217" i="150"/>
  <c r="G216" i="150"/>
  <c r="G215" i="150"/>
  <c r="G214" i="150"/>
  <c r="G213" i="150"/>
  <c r="G212" i="150"/>
  <c r="G211" i="150"/>
  <c r="G210" i="150"/>
  <c r="G209" i="150"/>
  <c r="G208" i="150"/>
  <c r="G207" i="150"/>
  <c r="G206" i="150"/>
  <c r="G205" i="150"/>
  <c r="G204" i="150"/>
  <c r="G203" i="150"/>
  <c r="G202" i="150"/>
  <c r="G201" i="150"/>
  <c r="G200" i="150"/>
  <c r="G199" i="150"/>
  <c r="G198" i="150"/>
  <c r="G197" i="150"/>
  <c r="G196" i="150"/>
  <c r="G195" i="150"/>
  <c r="G194" i="150"/>
  <c r="G193" i="150"/>
  <c r="G192" i="150"/>
  <c r="G191" i="150"/>
  <c r="G190" i="150"/>
  <c r="G189" i="150"/>
  <c r="G188" i="150"/>
  <c r="G187" i="150"/>
  <c r="G186" i="150"/>
  <c r="G185" i="150"/>
  <c r="G184" i="150"/>
  <c r="G183" i="150"/>
  <c r="G182" i="150"/>
  <c r="G181" i="150"/>
  <c r="G180" i="150"/>
  <c r="G179" i="150"/>
  <c r="G178" i="150"/>
  <c r="G177" i="150"/>
  <c r="G176" i="150"/>
  <c r="G175" i="150"/>
  <c r="G174" i="150"/>
  <c r="G173" i="150"/>
  <c r="G172" i="150"/>
  <c r="G171" i="150"/>
  <c r="G170" i="150"/>
  <c r="G169" i="150"/>
  <c r="G168" i="150"/>
  <c r="G167" i="150"/>
  <c r="G166" i="150"/>
  <c r="G165" i="150"/>
  <c r="G164" i="150"/>
  <c r="G163" i="150"/>
  <c r="G162" i="150"/>
  <c r="G161" i="150"/>
  <c r="G160" i="150"/>
  <c r="G159" i="150"/>
  <c r="G158" i="150"/>
  <c r="G157" i="150"/>
  <c r="G156" i="150"/>
  <c r="G155" i="150"/>
  <c r="G154" i="150"/>
  <c r="G153" i="150"/>
  <c r="G152" i="150"/>
  <c r="G151" i="150"/>
  <c r="G150" i="150"/>
  <c r="G149" i="150"/>
  <c r="G148" i="150"/>
  <c r="G147" i="150"/>
  <c r="G146" i="150"/>
  <c r="G145" i="150"/>
  <c r="G144" i="150"/>
  <c r="G143" i="150"/>
  <c r="G142" i="150"/>
  <c r="G141" i="150"/>
  <c r="G140" i="150"/>
  <c r="G139" i="150"/>
  <c r="G138" i="150"/>
  <c r="G137" i="150"/>
  <c r="G136" i="150"/>
  <c r="G135" i="150"/>
  <c r="G134" i="150"/>
  <c r="G133" i="150"/>
  <c r="G132" i="150"/>
  <c r="G131" i="150"/>
  <c r="G130" i="150"/>
  <c r="G129" i="150"/>
  <c r="G128" i="150"/>
  <c r="G127" i="150"/>
  <c r="G126" i="150"/>
  <c r="G125" i="150"/>
  <c r="G124" i="150"/>
  <c r="G123" i="150"/>
  <c r="G122" i="150"/>
  <c r="G121" i="150"/>
  <c r="G120" i="150"/>
  <c r="G119" i="150"/>
  <c r="G118" i="150"/>
  <c r="G117" i="150"/>
  <c r="G116" i="150"/>
  <c r="G115" i="150"/>
  <c r="G114" i="150"/>
  <c r="G113" i="150"/>
  <c r="G112" i="150"/>
  <c r="G111" i="150"/>
  <c r="G110" i="150"/>
  <c r="G109" i="150"/>
  <c r="G108" i="150"/>
  <c r="G107" i="150"/>
  <c r="G106" i="150"/>
  <c r="G105" i="150"/>
  <c r="G104" i="150"/>
  <c r="G103" i="150"/>
  <c r="G102" i="150"/>
  <c r="G101" i="150"/>
  <c r="G100" i="150"/>
  <c r="G99" i="150"/>
  <c r="G98" i="150"/>
  <c r="G97" i="150"/>
  <c r="G96" i="150"/>
  <c r="G95" i="150"/>
  <c r="G94" i="150"/>
  <c r="G93" i="150"/>
  <c r="G92" i="150"/>
  <c r="G91" i="150"/>
  <c r="G90" i="150"/>
  <c r="G89" i="150"/>
  <c r="G88" i="150"/>
  <c r="G87" i="150"/>
  <c r="G86" i="150"/>
  <c r="G85" i="150"/>
  <c r="G84" i="150"/>
  <c r="G83" i="150"/>
  <c r="G82" i="150"/>
  <c r="G81" i="150"/>
  <c r="G80" i="150"/>
  <c r="G79" i="150"/>
  <c r="G78" i="150"/>
  <c r="G77" i="150"/>
  <c r="G76" i="150"/>
  <c r="G75" i="150"/>
  <c r="G74" i="150"/>
  <c r="G73" i="150"/>
  <c r="G72" i="150"/>
  <c r="G71" i="150"/>
  <c r="G70" i="150"/>
  <c r="G69" i="150"/>
  <c r="G68" i="150"/>
  <c r="G67" i="150"/>
  <c r="G66" i="150"/>
  <c r="G65" i="150"/>
  <c r="G64" i="150"/>
  <c r="G63" i="150"/>
  <c r="G62" i="150"/>
  <c r="G61" i="150"/>
  <c r="G60" i="150"/>
  <c r="G59" i="150"/>
  <c r="G58" i="150"/>
  <c r="G57" i="150"/>
  <c r="G56" i="150"/>
  <c r="G55" i="150"/>
  <c r="G54" i="150"/>
  <c r="G53" i="150"/>
  <c r="G52" i="150"/>
  <c r="G51" i="150"/>
  <c r="G50" i="150"/>
  <c r="G49" i="150"/>
  <c r="G48" i="150"/>
  <c r="G47" i="150"/>
  <c r="G46" i="150"/>
  <c r="G45" i="150"/>
  <c r="G44" i="150"/>
  <c r="G43" i="150"/>
  <c r="G42" i="150"/>
  <c r="G41" i="150"/>
  <c r="G40" i="150"/>
  <c r="G39" i="150"/>
  <c r="G38" i="150"/>
  <c r="G37" i="150"/>
  <c r="G36" i="150"/>
  <c r="G35" i="150"/>
  <c r="G34" i="150"/>
  <c r="G33" i="150"/>
  <c r="G32" i="150"/>
  <c r="G31" i="150"/>
  <c r="G30" i="150"/>
  <c r="G29" i="150"/>
  <c r="G28" i="150"/>
  <c r="G27" i="150"/>
  <c r="G26" i="150"/>
  <c r="G25" i="150"/>
  <c r="G24" i="150"/>
  <c r="G23" i="150"/>
  <c r="G22" i="150"/>
  <c r="G21" i="150"/>
  <c r="G20" i="150"/>
  <c r="G19" i="150"/>
  <c r="G18" i="150"/>
  <c r="G17" i="150"/>
  <c r="G16" i="150"/>
  <c r="G15" i="150"/>
  <c r="G14" i="150"/>
  <c r="G13" i="150"/>
  <c r="G12" i="150"/>
  <c r="G11" i="150"/>
  <c r="G10" i="150"/>
  <c r="G9" i="150"/>
  <c r="G8" i="150"/>
  <c r="G7" i="150"/>
  <c r="G6" i="150"/>
  <c r="G5" i="150"/>
  <c r="G4" i="150"/>
  <c r="G3" i="150"/>
  <c r="G2" i="150"/>
  <c r="I294" i="148"/>
  <c r="D294" i="148"/>
  <c r="J294" i="148"/>
  <c r="E294" i="148"/>
  <c r="F294" i="148"/>
  <c r="K294" i="148"/>
  <c r="G294" i="148"/>
  <c r="C294" i="148"/>
  <c r="I2" i="148"/>
  <c r="D2" i="148"/>
  <c r="J2" i="148"/>
  <c r="E2" i="148"/>
  <c r="F2" i="148"/>
  <c r="K2" i="148"/>
  <c r="G2" i="148"/>
  <c r="C2" i="148"/>
  <c r="I3" i="148"/>
  <c r="D3" i="148"/>
  <c r="J3" i="148"/>
  <c r="E3" i="148"/>
  <c r="F3" i="148"/>
  <c r="K3" i="148"/>
  <c r="G3" i="148"/>
  <c r="C3" i="148"/>
  <c r="I4" i="148"/>
  <c r="D4" i="148"/>
  <c r="J4" i="148"/>
  <c r="E4" i="148"/>
  <c r="F4" i="148"/>
  <c r="K4" i="148"/>
  <c r="G4" i="148"/>
  <c r="C4" i="148"/>
  <c r="I5" i="148"/>
  <c r="D5" i="148"/>
  <c r="J5" i="148"/>
  <c r="E5" i="148"/>
  <c r="F5" i="148"/>
  <c r="K5" i="148"/>
  <c r="G5" i="148"/>
  <c r="C5" i="148"/>
  <c r="I6" i="148"/>
  <c r="D6" i="148"/>
  <c r="J6" i="148"/>
  <c r="E6" i="148"/>
  <c r="F6" i="148"/>
  <c r="K6" i="148"/>
  <c r="G6" i="148"/>
  <c r="C6" i="148"/>
  <c r="I7" i="148"/>
  <c r="D7" i="148"/>
  <c r="J7" i="148"/>
  <c r="E7" i="148"/>
  <c r="F7" i="148"/>
  <c r="K7" i="148"/>
  <c r="G7" i="148"/>
  <c r="C7" i="148"/>
  <c r="I8" i="148"/>
  <c r="D8" i="148"/>
  <c r="J8" i="148"/>
  <c r="E8" i="148"/>
  <c r="F8" i="148"/>
  <c r="K8" i="148"/>
  <c r="G8" i="148"/>
  <c r="C8" i="148"/>
  <c r="I9" i="148"/>
  <c r="D9" i="148"/>
  <c r="J9" i="148"/>
  <c r="E9" i="148"/>
  <c r="F9" i="148"/>
  <c r="K9" i="148"/>
  <c r="G9" i="148"/>
  <c r="C9" i="148"/>
  <c r="I10" i="148"/>
  <c r="D10" i="148"/>
  <c r="J10" i="148"/>
  <c r="E10" i="148"/>
  <c r="F10" i="148"/>
  <c r="K10" i="148"/>
  <c r="G10" i="148"/>
  <c r="C10" i="148"/>
  <c r="I11" i="148"/>
  <c r="D11" i="148"/>
  <c r="J11" i="148"/>
  <c r="E11" i="148"/>
  <c r="F11" i="148"/>
  <c r="K11" i="148"/>
  <c r="G11" i="148"/>
  <c r="C11" i="148"/>
  <c r="I12" i="148"/>
  <c r="D12" i="148"/>
  <c r="J12" i="148"/>
  <c r="E12" i="148"/>
  <c r="F12" i="148"/>
  <c r="K12" i="148"/>
  <c r="G12" i="148"/>
  <c r="C12" i="148"/>
  <c r="I13" i="148"/>
  <c r="D13" i="148"/>
  <c r="J13" i="148"/>
  <c r="E13" i="148"/>
  <c r="F13" i="148"/>
  <c r="K13" i="148"/>
  <c r="G13" i="148"/>
  <c r="C13" i="148"/>
  <c r="I14" i="148"/>
  <c r="D14" i="148"/>
  <c r="J14" i="148"/>
  <c r="E14" i="148"/>
  <c r="F14" i="148"/>
  <c r="K14" i="148"/>
  <c r="G14" i="148"/>
  <c r="C14" i="148"/>
  <c r="I15" i="148"/>
  <c r="D15" i="148"/>
  <c r="J15" i="148"/>
  <c r="E15" i="148"/>
  <c r="F15" i="148"/>
  <c r="K15" i="148"/>
  <c r="G15" i="148"/>
  <c r="C15" i="148"/>
  <c r="I16" i="148"/>
  <c r="D16" i="148"/>
  <c r="J16" i="148"/>
  <c r="E16" i="148"/>
  <c r="F16" i="148"/>
  <c r="K16" i="148"/>
  <c r="G16" i="148"/>
  <c r="C16" i="148"/>
  <c r="I17" i="148"/>
  <c r="D17" i="148"/>
  <c r="J17" i="148"/>
  <c r="E17" i="148"/>
  <c r="F17" i="148"/>
  <c r="K17" i="148"/>
  <c r="G17" i="148"/>
  <c r="C17" i="148"/>
  <c r="I18" i="148"/>
  <c r="D18" i="148"/>
  <c r="J18" i="148"/>
  <c r="E18" i="148"/>
  <c r="F18" i="148"/>
  <c r="K18" i="148"/>
  <c r="G18" i="148"/>
  <c r="C18" i="148"/>
  <c r="I19" i="148"/>
  <c r="D19" i="148"/>
  <c r="J19" i="148"/>
  <c r="E19" i="148"/>
  <c r="F19" i="148"/>
  <c r="K19" i="148"/>
  <c r="G19" i="148"/>
  <c r="C19" i="148"/>
  <c r="I20" i="148"/>
  <c r="D20" i="148"/>
  <c r="J20" i="148"/>
  <c r="E20" i="148"/>
  <c r="F20" i="148"/>
  <c r="K20" i="148"/>
  <c r="G20" i="148"/>
  <c r="C20" i="148"/>
  <c r="I21" i="148"/>
  <c r="D21" i="148"/>
  <c r="J21" i="148"/>
  <c r="E21" i="148"/>
  <c r="F21" i="148"/>
  <c r="K21" i="148"/>
  <c r="G21" i="148"/>
  <c r="C21" i="148"/>
  <c r="I22" i="148"/>
  <c r="D22" i="148"/>
  <c r="J22" i="148"/>
  <c r="E22" i="148"/>
  <c r="F22" i="148"/>
  <c r="K22" i="148"/>
  <c r="G22" i="148"/>
  <c r="C22" i="148"/>
  <c r="I23" i="148"/>
  <c r="D23" i="148"/>
  <c r="J23" i="148"/>
  <c r="E23" i="148"/>
  <c r="F23" i="148"/>
  <c r="K23" i="148"/>
  <c r="G23" i="148"/>
  <c r="C23" i="148"/>
  <c r="I24" i="148"/>
  <c r="D24" i="148"/>
  <c r="J24" i="148"/>
  <c r="E24" i="148"/>
  <c r="F24" i="148"/>
  <c r="K24" i="148"/>
  <c r="G24" i="148"/>
  <c r="C24" i="148"/>
  <c r="I25" i="148"/>
  <c r="D25" i="148"/>
  <c r="J25" i="148"/>
  <c r="E25" i="148"/>
  <c r="F25" i="148"/>
  <c r="K25" i="148"/>
  <c r="G25" i="148"/>
  <c r="C25" i="148"/>
  <c r="I26" i="148"/>
  <c r="D26" i="148"/>
  <c r="J26" i="148"/>
  <c r="E26" i="148"/>
  <c r="F26" i="148"/>
  <c r="K26" i="148"/>
  <c r="G26" i="148"/>
  <c r="C26" i="148"/>
  <c r="I27" i="148"/>
  <c r="D27" i="148"/>
  <c r="J27" i="148"/>
  <c r="E27" i="148"/>
  <c r="F27" i="148"/>
  <c r="K27" i="148"/>
  <c r="G27" i="148"/>
  <c r="C27" i="148"/>
  <c r="I28" i="148"/>
  <c r="D28" i="148"/>
  <c r="J28" i="148"/>
  <c r="E28" i="148"/>
  <c r="F28" i="148"/>
  <c r="K28" i="148"/>
  <c r="G28" i="148"/>
  <c r="C28" i="148"/>
  <c r="I29" i="148"/>
  <c r="D29" i="148"/>
  <c r="J29" i="148"/>
  <c r="E29" i="148"/>
  <c r="F29" i="148"/>
  <c r="K29" i="148"/>
  <c r="G29" i="148"/>
  <c r="C29" i="148"/>
  <c r="I30" i="148"/>
  <c r="D30" i="148"/>
  <c r="J30" i="148"/>
  <c r="E30" i="148"/>
  <c r="F30" i="148"/>
  <c r="K30" i="148"/>
  <c r="G30" i="148"/>
  <c r="C30" i="148"/>
  <c r="I31" i="148"/>
  <c r="D31" i="148"/>
  <c r="J31" i="148"/>
  <c r="E31" i="148"/>
  <c r="F31" i="148"/>
  <c r="K31" i="148"/>
  <c r="G31" i="148"/>
  <c r="C31" i="148"/>
  <c r="I32" i="148"/>
  <c r="D32" i="148"/>
  <c r="J32" i="148"/>
  <c r="E32" i="148"/>
  <c r="F32" i="148"/>
  <c r="K32" i="148"/>
  <c r="G32" i="148"/>
  <c r="C32" i="148"/>
  <c r="I33" i="148"/>
  <c r="D33" i="148"/>
  <c r="J33" i="148"/>
  <c r="E33" i="148"/>
  <c r="F33" i="148"/>
  <c r="K33" i="148"/>
  <c r="G33" i="148"/>
  <c r="C33" i="148"/>
  <c r="I34" i="148"/>
  <c r="D34" i="148"/>
  <c r="J34" i="148"/>
  <c r="E34" i="148"/>
  <c r="F34" i="148"/>
  <c r="K34" i="148"/>
  <c r="G34" i="148"/>
  <c r="C34" i="148"/>
  <c r="I35" i="148"/>
  <c r="D35" i="148"/>
  <c r="J35" i="148"/>
  <c r="E35" i="148"/>
  <c r="F35" i="148"/>
  <c r="K35" i="148"/>
  <c r="G35" i="148"/>
  <c r="C35" i="148"/>
  <c r="I36" i="148"/>
  <c r="D36" i="148"/>
  <c r="J36" i="148"/>
  <c r="E36" i="148"/>
  <c r="F36" i="148"/>
  <c r="K36" i="148"/>
  <c r="G36" i="148"/>
  <c r="C36" i="148"/>
  <c r="I37" i="148"/>
  <c r="D37" i="148"/>
  <c r="J37" i="148"/>
  <c r="E37" i="148"/>
  <c r="F37" i="148"/>
  <c r="K37" i="148"/>
  <c r="G37" i="148"/>
  <c r="C37" i="148"/>
  <c r="I38" i="148"/>
  <c r="D38" i="148"/>
  <c r="J38" i="148"/>
  <c r="E38" i="148"/>
  <c r="F38" i="148"/>
  <c r="K38" i="148"/>
  <c r="G38" i="148"/>
  <c r="C38" i="148"/>
  <c r="I39" i="148"/>
  <c r="D39" i="148"/>
  <c r="J39" i="148"/>
  <c r="E39" i="148"/>
  <c r="F39" i="148"/>
  <c r="K39" i="148"/>
  <c r="G39" i="148"/>
  <c r="C39" i="148"/>
  <c r="I40" i="148"/>
  <c r="D40" i="148"/>
  <c r="J40" i="148"/>
  <c r="E40" i="148"/>
  <c r="F40" i="148"/>
  <c r="K40" i="148"/>
  <c r="G40" i="148"/>
  <c r="C40" i="148"/>
  <c r="I41" i="148"/>
  <c r="D41" i="148"/>
  <c r="J41" i="148"/>
  <c r="E41" i="148"/>
  <c r="F41" i="148"/>
  <c r="K41" i="148"/>
  <c r="G41" i="148"/>
  <c r="C41" i="148"/>
  <c r="I42" i="148"/>
  <c r="D42" i="148"/>
  <c r="J42" i="148"/>
  <c r="E42" i="148"/>
  <c r="F42" i="148"/>
  <c r="K42" i="148"/>
  <c r="G42" i="148"/>
  <c r="C42" i="148"/>
  <c r="I43" i="148"/>
  <c r="D43" i="148"/>
  <c r="J43" i="148"/>
  <c r="E43" i="148"/>
  <c r="F43" i="148"/>
  <c r="K43" i="148"/>
  <c r="G43" i="148"/>
  <c r="C43" i="148"/>
  <c r="I44" i="148"/>
  <c r="D44" i="148"/>
  <c r="J44" i="148"/>
  <c r="E44" i="148"/>
  <c r="F44" i="148"/>
  <c r="K44" i="148"/>
  <c r="G44" i="148"/>
  <c r="C44" i="148"/>
  <c r="I45" i="148"/>
  <c r="D45" i="148"/>
  <c r="J45" i="148"/>
  <c r="E45" i="148"/>
  <c r="F45" i="148"/>
  <c r="K45" i="148"/>
  <c r="G45" i="148"/>
  <c r="C45" i="148"/>
  <c r="I46" i="148"/>
  <c r="D46" i="148"/>
  <c r="J46" i="148"/>
  <c r="E46" i="148"/>
  <c r="F46" i="148"/>
  <c r="K46" i="148"/>
  <c r="G46" i="148"/>
  <c r="C46" i="148"/>
  <c r="I47" i="148"/>
  <c r="D47" i="148"/>
  <c r="J47" i="148"/>
  <c r="E47" i="148"/>
  <c r="F47" i="148"/>
  <c r="K47" i="148"/>
  <c r="G47" i="148"/>
  <c r="C47" i="148"/>
  <c r="I48" i="148"/>
  <c r="D48" i="148"/>
  <c r="J48" i="148"/>
  <c r="E48" i="148"/>
  <c r="F48" i="148"/>
  <c r="K48" i="148"/>
  <c r="G48" i="148"/>
  <c r="C48" i="148"/>
  <c r="I49" i="148"/>
  <c r="D49" i="148"/>
  <c r="J49" i="148"/>
  <c r="E49" i="148"/>
  <c r="F49" i="148"/>
  <c r="K49" i="148"/>
  <c r="G49" i="148"/>
  <c r="C49" i="148"/>
  <c r="I50" i="148"/>
  <c r="D50" i="148"/>
  <c r="J50" i="148"/>
  <c r="E50" i="148"/>
  <c r="F50" i="148"/>
  <c r="K50" i="148"/>
  <c r="G50" i="148"/>
  <c r="C50" i="148"/>
  <c r="I51" i="148"/>
  <c r="D51" i="148"/>
  <c r="J51" i="148"/>
  <c r="E51" i="148"/>
  <c r="F51" i="148"/>
  <c r="K51" i="148"/>
  <c r="G51" i="148"/>
  <c r="C51" i="148"/>
  <c r="I52" i="148"/>
  <c r="D52" i="148"/>
  <c r="J52" i="148"/>
  <c r="E52" i="148"/>
  <c r="F52" i="148"/>
  <c r="K52" i="148"/>
  <c r="G52" i="148"/>
  <c r="C52" i="148"/>
  <c r="I53" i="148"/>
  <c r="D53" i="148"/>
  <c r="J53" i="148"/>
  <c r="E53" i="148"/>
  <c r="F53" i="148"/>
  <c r="K53" i="148"/>
  <c r="G53" i="148"/>
  <c r="C53" i="148"/>
  <c r="I54" i="148"/>
  <c r="D54" i="148"/>
  <c r="J54" i="148"/>
  <c r="E54" i="148"/>
  <c r="F54" i="148"/>
  <c r="K54" i="148"/>
  <c r="G54" i="148"/>
  <c r="C54" i="148"/>
  <c r="I55" i="148"/>
  <c r="D55" i="148"/>
  <c r="J55" i="148"/>
  <c r="E55" i="148"/>
  <c r="F55" i="148"/>
  <c r="K55" i="148"/>
  <c r="G55" i="148"/>
  <c r="C55" i="148"/>
  <c r="I56" i="148"/>
  <c r="D56" i="148"/>
  <c r="J56" i="148"/>
  <c r="E56" i="148"/>
  <c r="F56" i="148"/>
  <c r="K56" i="148"/>
  <c r="G56" i="148"/>
  <c r="C56" i="148"/>
  <c r="I57" i="148"/>
  <c r="D57" i="148"/>
  <c r="J57" i="148"/>
  <c r="E57" i="148"/>
  <c r="F57" i="148"/>
  <c r="K57" i="148"/>
  <c r="G57" i="148"/>
  <c r="C57" i="148"/>
  <c r="I58" i="148"/>
  <c r="D58" i="148"/>
  <c r="J58" i="148"/>
  <c r="E58" i="148"/>
  <c r="F58" i="148"/>
  <c r="K58" i="148"/>
  <c r="G58" i="148"/>
  <c r="C58" i="148"/>
  <c r="I59" i="148"/>
  <c r="D59" i="148"/>
  <c r="J59" i="148"/>
  <c r="E59" i="148"/>
  <c r="F59" i="148"/>
  <c r="K59" i="148"/>
  <c r="G59" i="148"/>
  <c r="C59" i="148"/>
  <c r="I60" i="148"/>
  <c r="D60" i="148"/>
  <c r="J60" i="148"/>
  <c r="E60" i="148"/>
  <c r="F60" i="148"/>
  <c r="K60" i="148"/>
  <c r="G60" i="148"/>
  <c r="C60" i="148"/>
  <c r="I61" i="148"/>
  <c r="D61" i="148"/>
  <c r="J61" i="148"/>
  <c r="E61" i="148"/>
  <c r="F61" i="148"/>
  <c r="K61" i="148"/>
  <c r="G61" i="148"/>
  <c r="C61" i="148"/>
  <c r="I62" i="148"/>
  <c r="D62" i="148"/>
  <c r="J62" i="148"/>
  <c r="E62" i="148"/>
  <c r="F62" i="148"/>
  <c r="K62" i="148"/>
  <c r="G62" i="148"/>
  <c r="C62" i="148"/>
  <c r="I63" i="148"/>
  <c r="D63" i="148"/>
  <c r="J63" i="148"/>
  <c r="E63" i="148"/>
  <c r="F63" i="148"/>
  <c r="K63" i="148"/>
  <c r="G63" i="148"/>
  <c r="C63" i="148"/>
  <c r="I64" i="148"/>
  <c r="D64" i="148"/>
  <c r="J64" i="148"/>
  <c r="E64" i="148"/>
  <c r="F64" i="148"/>
  <c r="K64" i="148"/>
  <c r="G64" i="148"/>
  <c r="C64" i="148"/>
  <c r="I65" i="148"/>
  <c r="D65" i="148"/>
  <c r="J65" i="148"/>
  <c r="E65" i="148"/>
  <c r="F65" i="148"/>
  <c r="K65" i="148"/>
  <c r="G65" i="148"/>
  <c r="C65" i="148"/>
  <c r="I66" i="148"/>
  <c r="D66" i="148"/>
  <c r="J66" i="148"/>
  <c r="E66" i="148"/>
  <c r="F66" i="148"/>
  <c r="K66" i="148"/>
  <c r="G66" i="148"/>
  <c r="C66" i="148"/>
  <c r="I67" i="148"/>
  <c r="D67" i="148"/>
  <c r="J67" i="148"/>
  <c r="E67" i="148"/>
  <c r="F67" i="148"/>
  <c r="K67" i="148"/>
  <c r="G67" i="148"/>
  <c r="C67" i="148"/>
  <c r="I68" i="148"/>
  <c r="D68" i="148"/>
  <c r="J68" i="148"/>
  <c r="E68" i="148"/>
  <c r="F68" i="148"/>
  <c r="K68" i="148"/>
  <c r="G68" i="148"/>
  <c r="C68" i="148"/>
  <c r="I69" i="148"/>
  <c r="D69" i="148"/>
  <c r="J69" i="148"/>
  <c r="E69" i="148"/>
  <c r="F69" i="148"/>
  <c r="K69" i="148"/>
  <c r="G69" i="148"/>
  <c r="C69" i="148"/>
  <c r="I70" i="148"/>
  <c r="D70" i="148"/>
  <c r="J70" i="148"/>
  <c r="E70" i="148"/>
  <c r="F70" i="148"/>
  <c r="K70" i="148"/>
  <c r="G70" i="148"/>
  <c r="C70" i="148"/>
  <c r="I71" i="148"/>
  <c r="D71" i="148"/>
  <c r="J71" i="148"/>
  <c r="E71" i="148"/>
  <c r="F71" i="148"/>
  <c r="K71" i="148"/>
  <c r="G71" i="148"/>
  <c r="C71" i="148"/>
  <c r="I72" i="148"/>
  <c r="D72" i="148"/>
  <c r="J72" i="148"/>
  <c r="E72" i="148"/>
  <c r="F72" i="148"/>
  <c r="K72" i="148"/>
  <c r="G72" i="148"/>
  <c r="C72" i="148"/>
  <c r="I73" i="148"/>
  <c r="D73" i="148"/>
  <c r="J73" i="148"/>
  <c r="E73" i="148"/>
  <c r="F73" i="148"/>
  <c r="K73" i="148"/>
  <c r="G73" i="148"/>
  <c r="C73" i="148"/>
  <c r="I74" i="148"/>
  <c r="D74" i="148"/>
  <c r="J74" i="148"/>
  <c r="E74" i="148"/>
  <c r="F74" i="148"/>
  <c r="K74" i="148"/>
  <c r="G74" i="148"/>
  <c r="C74" i="148"/>
  <c r="I75" i="148"/>
  <c r="D75" i="148"/>
  <c r="J75" i="148"/>
  <c r="E75" i="148"/>
  <c r="F75" i="148"/>
  <c r="K75" i="148"/>
  <c r="G75" i="148"/>
  <c r="C75" i="148"/>
  <c r="I76" i="148"/>
  <c r="D76" i="148"/>
  <c r="J76" i="148"/>
  <c r="E76" i="148"/>
  <c r="F76" i="148"/>
  <c r="K76" i="148"/>
  <c r="G76" i="148"/>
  <c r="C76" i="148"/>
  <c r="I77" i="148"/>
  <c r="D77" i="148"/>
  <c r="J77" i="148"/>
  <c r="E77" i="148"/>
  <c r="F77" i="148"/>
  <c r="K77" i="148"/>
  <c r="G77" i="148"/>
  <c r="C77" i="148"/>
  <c r="I78" i="148"/>
  <c r="D78" i="148"/>
  <c r="J78" i="148"/>
  <c r="E78" i="148"/>
  <c r="F78" i="148"/>
  <c r="K78" i="148"/>
  <c r="G78" i="148"/>
  <c r="C78" i="148"/>
  <c r="I79" i="148"/>
  <c r="D79" i="148"/>
  <c r="J79" i="148"/>
  <c r="E79" i="148"/>
  <c r="F79" i="148"/>
  <c r="K79" i="148"/>
  <c r="G79" i="148"/>
  <c r="C79" i="148"/>
  <c r="I80" i="148"/>
  <c r="D80" i="148"/>
  <c r="J80" i="148"/>
  <c r="E80" i="148"/>
  <c r="F80" i="148"/>
  <c r="K80" i="148"/>
  <c r="G80" i="148"/>
  <c r="C80" i="148"/>
  <c r="I81" i="148"/>
  <c r="D81" i="148"/>
  <c r="J81" i="148"/>
  <c r="E81" i="148"/>
  <c r="F81" i="148"/>
  <c r="K81" i="148"/>
  <c r="G81" i="148"/>
  <c r="C81" i="148"/>
  <c r="I82" i="148"/>
  <c r="D82" i="148"/>
  <c r="J82" i="148"/>
  <c r="E82" i="148"/>
  <c r="F82" i="148"/>
  <c r="K82" i="148"/>
  <c r="G82" i="148"/>
  <c r="C82" i="148"/>
  <c r="I83" i="148"/>
  <c r="D83" i="148"/>
  <c r="J83" i="148"/>
  <c r="E83" i="148"/>
  <c r="F83" i="148"/>
  <c r="K83" i="148"/>
  <c r="G83" i="148"/>
  <c r="C83" i="148"/>
  <c r="I84" i="148"/>
  <c r="D84" i="148"/>
  <c r="J84" i="148"/>
  <c r="E84" i="148"/>
  <c r="F84" i="148"/>
  <c r="K84" i="148"/>
  <c r="G84" i="148"/>
  <c r="C84" i="148"/>
  <c r="I85" i="148"/>
  <c r="D85" i="148"/>
  <c r="J85" i="148"/>
  <c r="E85" i="148"/>
  <c r="F85" i="148"/>
  <c r="K85" i="148"/>
  <c r="G85" i="148"/>
  <c r="C85" i="148"/>
  <c r="I86" i="148"/>
  <c r="D86" i="148"/>
  <c r="J86" i="148"/>
  <c r="E86" i="148"/>
  <c r="F86" i="148"/>
  <c r="K86" i="148"/>
  <c r="G86" i="148"/>
  <c r="C86" i="148"/>
  <c r="I87" i="148"/>
  <c r="D87" i="148"/>
  <c r="J87" i="148"/>
  <c r="E87" i="148"/>
  <c r="F87" i="148"/>
  <c r="K87" i="148"/>
  <c r="G87" i="148"/>
  <c r="C87" i="148"/>
  <c r="I88" i="148"/>
  <c r="D88" i="148"/>
  <c r="J88" i="148"/>
  <c r="E88" i="148"/>
  <c r="F88" i="148"/>
  <c r="K88" i="148"/>
  <c r="G88" i="148"/>
  <c r="C88" i="148"/>
  <c r="I89" i="148"/>
  <c r="D89" i="148"/>
  <c r="J89" i="148"/>
  <c r="E89" i="148"/>
  <c r="F89" i="148"/>
  <c r="K89" i="148"/>
  <c r="G89" i="148"/>
  <c r="C89" i="148"/>
  <c r="I90" i="148"/>
  <c r="D90" i="148"/>
  <c r="J90" i="148"/>
  <c r="E90" i="148"/>
  <c r="F90" i="148"/>
  <c r="K90" i="148"/>
  <c r="G90" i="148"/>
  <c r="C90" i="148"/>
  <c r="I91" i="148"/>
  <c r="D91" i="148"/>
  <c r="J91" i="148"/>
  <c r="E91" i="148"/>
  <c r="F91" i="148"/>
  <c r="K91" i="148"/>
  <c r="G91" i="148"/>
  <c r="C91" i="148"/>
  <c r="I92" i="148"/>
  <c r="D92" i="148"/>
  <c r="J92" i="148"/>
  <c r="E92" i="148"/>
  <c r="F92" i="148"/>
  <c r="K92" i="148"/>
  <c r="G92" i="148"/>
  <c r="C92" i="148"/>
  <c r="I93" i="148"/>
  <c r="D93" i="148"/>
  <c r="J93" i="148"/>
  <c r="E93" i="148"/>
  <c r="F93" i="148"/>
  <c r="K93" i="148"/>
  <c r="G93" i="148"/>
  <c r="C93" i="148"/>
  <c r="I94" i="148"/>
  <c r="D94" i="148"/>
  <c r="J94" i="148"/>
  <c r="E94" i="148"/>
  <c r="F94" i="148"/>
  <c r="K94" i="148"/>
  <c r="G94" i="148"/>
  <c r="C94" i="148"/>
  <c r="I95" i="148"/>
  <c r="D95" i="148"/>
  <c r="J95" i="148"/>
  <c r="E95" i="148"/>
  <c r="F95" i="148"/>
  <c r="K95" i="148"/>
  <c r="G95" i="148"/>
  <c r="C95" i="148"/>
  <c r="I96" i="148"/>
  <c r="D96" i="148"/>
  <c r="J96" i="148"/>
  <c r="E96" i="148"/>
  <c r="F96" i="148"/>
  <c r="K96" i="148"/>
  <c r="G96" i="148"/>
  <c r="C96" i="148"/>
  <c r="I97" i="148"/>
  <c r="D97" i="148"/>
  <c r="J97" i="148"/>
  <c r="E97" i="148"/>
  <c r="F97" i="148"/>
  <c r="K97" i="148"/>
  <c r="G97" i="148"/>
  <c r="C97" i="148"/>
  <c r="I98" i="148"/>
  <c r="D98" i="148"/>
  <c r="J98" i="148"/>
  <c r="E98" i="148"/>
  <c r="F98" i="148"/>
  <c r="K98" i="148"/>
  <c r="G98" i="148"/>
  <c r="C98" i="148"/>
  <c r="I99" i="148"/>
  <c r="D99" i="148"/>
  <c r="J99" i="148"/>
  <c r="E99" i="148"/>
  <c r="F99" i="148"/>
  <c r="K99" i="148"/>
  <c r="G99" i="148"/>
  <c r="C99" i="148"/>
  <c r="I100" i="148"/>
  <c r="D100" i="148"/>
  <c r="J100" i="148"/>
  <c r="E100" i="148"/>
  <c r="F100" i="148"/>
  <c r="K100" i="148"/>
  <c r="G100" i="148"/>
  <c r="C100" i="148"/>
  <c r="I101" i="148"/>
  <c r="D101" i="148"/>
  <c r="J101" i="148"/>
  <c r="E101" i="148"/>
  <c r="F101" i="148"/>
  <c r="K101" i="148"/>
  <c r="G101" i="148"/>
  <c r="C101" i="148"/>
  <c r="I102" i="148"/>
  <c r="D102" i="148"/>
  <c r="J102" i="148"/>
  <c r="E102" i="148"/>
  <c r="F102" i="148"/>
  <c r="K102" i="148"/>
  <c r="G102" i="148"/>
  <c r="C102" i="148"/>
  <c r="I103" i="148"/>
  <c r="D103" i="148"/>
  <c r="J103" i="148"/>
  <c r="E103" i="148"/>
  <c r="F103" i="148"/>
  <c r="K103" i="148"/>
  <c r="G103" i="148"/>
  <c r="C103" i="148"/>
  <c r="I104" i="148"/>
  <c r="D104" i="148"/>
  <c r="J104" i="148"/>
  <c r="E104" i="148"/>
  <c r="F104" i="148"/>
  <c r="K104" i="148"/>
  <c r="G104" i="148"/>
  <c r="C104" i="148"/>
  <c r="I105" i="148"/>
  <c r="D105" i="148"/>
  <c r="J105" i="148"/>
  <c r="E105" i="148"/>
  <c r="F105" i="148"/>
  <c r="K105" i="148"/>
  <c r="G105" i="148"/>
  <c r="C105" i="148"/>
  <c r="I106" i="148"/>
  <c r="D106" i="148"/>
  <c r="J106" i="148"/>
  <c r="E106" i="148"/>
  <c r="F106" i="148"/>
  <c r="K106" i="148"/>
  <c r="G106" i="148"/>
  <c r="C106" i="148"/>
  <c r="I107" i="148"/>
  <c r="D107" i="148"/>
  <c r="J107" i="148"/>
  <c r="E107" i="148"/>
  <c r="F107" i="148"/>
  <c r="K107" i="148"/>
  <c r="G107" i="148"/>
  <c r="C107" i="148"/>
  <c r="I108" i="148"/>
  <c r="D108" i="148"/>
  <c r="J108" i="148"/>
  <c r="E108" i="148"/>
  <c r="F108" i="148"/>
  <c r="K108" i="148"/>
  <c r="G108" i="148"/>
  <c r="C108" i="148"/>
  <c r="I109" i="148"/>
  <c r="D109" i="148"/>
  <c r="J109" i="148"/>
  <c r="E109" i="148"/>
  <c r="F109" i="148"/>
  <c r="K109" i="148"/>
  <c r="G109" i="148"/>
  <c r="C109" i="148"/>
  <c r="I110" i="148"/>
  <c r="D110" i="148"/>
  <c r="J110" i="148"/>
  <c r="E110" i="148"/>
  <c r="F110" i="148"/>
  <c r="K110" i="148"/>
  <c r="G110" i="148"/>
  <c r="C110" i="148"/>
  <c r="I111" i="148"/>
  <c r="D111" i="148"/>
  <c r="J111" i="148"/>
  <c r="E111" i="148"/>
  <c r="F111" i="148"/>
  <c r="K111" i="148"/>
  <c r="G111" i="148"/>
  <c r="C111" i="148"/>
  <c r="I112" i="148"/>
  <c r="D112" i="148"/>
  <c r="J112" i="148"/>
  <c r="E112" i="148"/>
  <c r="F112" i="148"/>
  <c r="K112" i="148"/>
  <c r="G112" i="148"/>
  <c r="C112" i="148"/>
  <c r="I113" i="148"/>
  <c r="D113" i="148"/>
  <c r="J113" i="148"/>
  <c r="E113" i="148"/>
  <c r="F113" i="148"/>
  <c r="K113" i="148"/>
  <c r="G113" i="148"/>
  <c r="C113" i="148"/>
  <c r="I114" i="148"/>
  <c r="D114" i="148"/>
  <c r="J114" i="148"/>
  <c r="E114" i="148"/>
  <c r="F114" i="148"/>
  <c r="K114" i="148"/>
  <c r="G114" i="148"/>
  <c r="C114" i="148"/>
  <c r="I115" i="148"/>
  <c r="D115" i="148"/>
  <c r="J115" i="148"/>
  <c r="E115" i="148"/>
  <c r="F115" i="148"/>
  <c r="K115" i="148"/>
  <c r="G115" i="148"/>
  <c r="C115" i="148"/>
  <c r="I116" i="148"/>
  <c r="D116" i="148"/>
  <c r="J116" i="148"/>
  <c r="E116" i="148"/>
  <c r="F116" i="148"/>
  <c r="K116" i="148"/>
  <c r="G116" i="148"/>
  <c r="C116" i="148"/>
  <c r="I117" i="148"/>
  <c r="D117" i="148"/>
  <c r="J117" i="148"/>
  <c r="E117" i="148"/>
  <c r="F117" i="148"/>
  <c r="K117" i="148"/>
  <c r="G117" i="148"/>
  <c r="C117" i="148"/>
  <c r="I118" i="148"/>
  <c r="D118" i="148"/>
  <c r="J118" i="148"/>
  <c r="E118" i="148"/>
  <c r="F118" i="148"/>
  <c r="K118" i="148"/>
  <c r="G118" i="148"/>
  <c r="C118" i="148"/>
  <c r="I119" i="148"/>
  <c r="D119" i="148"/>
  <c r="J119" i="148"/>
  <c r="E119" i="148"/>
  <c r="F119" i="148"/>
  <c r="K119" i="148"/>
  <c r="G119" i="148"/>
  <c r="C119" i="148"/>
  <c r="I120" i="148"/>
  <c r="D120" i="148"/>
  <c r="J120" i="148"/>
  <c r="E120" i="148"/>
  <c r="F120" i="148"/>
  <c r="K120" i="148"/>
  <c r="G120" i="148"/>
  <c r="C120" i="148"/>
  <c r="I121" i="148"/>
  <c r="D121" i="148"/>
  <c r="J121" i="148"/>
  <c r="E121" i="148"/>
  <c r="F121" i="148"/>
  <c r="K121" i="148"/>
  <c r="G121" i="148"/>
  <c r="C121" i="148"/>
  <c r="I122" i="148"/>
  <c r="D122" i="148"/>
  <c r="J122" i="148"/>
  <c r="E122" i="148"/>
  <c r="F122" i="148"/>
  <c r="K122" i="148"/>
  <c r="G122" i="148"/>
  <c r="C122" i="148"/>
  <c r="I123" i="148"/>
  <c r="D123" i="148"/>
  <c r="J123" i="148"/>
  <c r="E123" i="148"/>
  <c r="F123" i="148"/>
  <c r="K123" i="148"/>
  <c r="G123" i="148"/>
  <c r="C123" i="148"/>
  <c r="I124" i="148"/>
  <c r="D124" i="148"/>
  <c r="J124" i="148"/>
  <c r="E124" i="148"/>
  <c r="F124" i="148"/>
  <c r="K124" i="148"/>
  <c r="G124" i="148"/>
  <c r="C124" i="148"/>
  <c r="I125" i="148"/>
  <c r="D125" i="148"/>
  <c r="J125" i="148"/>
  <c r="E125" i="148"/>
  <c r="F125" i="148"/>
  <c r="K125" i="148"/>
  <c r="G125" i="148"/>
  <c r="C125" i="148"/>
  <c r="I126" i="148"/>
  <c r="D126" i="148"/>
  <c r="J126" i="148"/>
  <c r="E126" i="148"/>
  <c r="F126" i="148"/>
  <c r="K126" i="148"/>
  <c r="G126" i="148"/>
  <c r="C126" i="148"/>
  <c r="I127" i="148"/>
  <c r="D127" i="148"/>
  <c r="J127" i="148"/>
  <c r="E127" i="148"/>
  <c r="F127" i="148"/>
  <c r="K127" i="148"/>
  <c r="G127" i="148"/>
  <c r="C127" i="148"/>
  <c r="I128" i="148"/>
  <c r="D128" i="148"/>
  <c r="J128" i="148"/>
  <c r="E128" i="148"/>
  <c r="F128" i="148"/>
  <c r="K128" i="148"/>
  <c r="G128" i="148"/>
  <c r="C128" i="148"/>
  <c r="I129" i="148"/>
  <c r="D129" i="148"/>
  <c r="J129" i="148"/>
  <c r="E129" i="148"/>
  <c r="F129" i="148"/>
  <c r="K129" i="148"/>
  <c r="G129" i="148"/>
  <c r="C129" i="148"/>
  <c r="I130" i="148"/>
  <c r="D130" i="148"/>
  <c r="J130" i="148"/>
  <c r="E130" i="148"/>
  <c r="F130" i="148"/>
  <c r="K130" i="148"/>
  <c r="G130" i="148"/>
  <c r="C130" i="148"/>
  <c r="I131" i="148"/>
  <c r="D131" i="148"/>
  <c r="J131" i="148"/>
  <c r="E131" i="148"/>
  <c r="F131" i="148"/>
  <c r="K131" i="148"/>
  <c r="G131" i="148"/>
  <c r="C131" i="148"/>
  <c r="I132" i="148"/>
  <c r="D132" i="148"/>
  <c r="J132" i="148"/>
  <c r="E132" i="148"/>
  <c r="F132" i="148"/>
  <c r="K132" i="148"/>
  <c r="G132" i="148"/>
  <c r="C132" i="148"/>
  <c r="I133" i="148"/>
  <c r="D133" i="148"/>
  <c r="J133" i="148"/>
  <c r="E133" i="148"/>
  <c r="F133" i="148"/>
  <c r="K133" i="148"/>
  <c r="G133" i="148"/>
  <c r="C133" i="148"/>
  <c r="I134" i="148"/>
  <c r="D134" i="148"/>
  <c r="J134" i="148"/>
  <c r="E134" i="148"/>
  <c r="F134" i="148"/>
  <c r="K134" i="148"/>
  <c r="G134" i="148"/>
  <c r="C134" i="148"/>
  <c r="I135" i="148"/>
  <c r="D135" i="148"/>
  <c r="J135" i="148"/>
  <c r="E135" i="148"/>
  <c r="F135" i="148"/>
  <c r="K135" i="148"/>
  <c r="G135" i="148"/>
  <c r="C135" i="148"/>
  <c r="I136" i="148"/>
  <c r="D136" i="148"/>
  <c r="J136" i="148"/>
  <c r="E136" i="148"/>
  <c r="F136" i="148"/>
  <c r="K136" i="148"/>
  <c r="G136" i="148"/>
  <c r="C136" i="148"/>
  <c r="I137" i="148"/>
  <c r="D137" i="148"/>
  <c r="J137" i="148"/>
  <c r="E137" i="148"/>
  <c r="F137" i="148"/>
  <c r="K137" i="148"/>
  <c r="G137" i="148"/>
  <c r="C137" i="148"/>
  <c r="I138" i="148"/>
  <c r="D138" i="148"/>
  <c r="J138" i="148"/>
  <c r="E138" i="148"/>
  <c r="F138" i="148"/>
  <c r="K138" i="148"/>
  <c r="G138" i="148"/>
  <c r="C138" i="148"/>
  <c r="I139" i="148"/>
  <c r="D139" i="148"/>
  <c r="J139" i="148"/>
  <c r="E139" i="148"/>
  <c r="F139" i="148"/>
  <c r="K139" i="148"/>
  <c r="G139" i="148"/>
  <c r="C139" i="148"/>
  <c r="I140" i="148"/>
  <c r="D140" i="148"/>
  <c r="J140" i="148"/>
  <c r="E140" i="148"/>
  <c r="F140" i="148"/>
  <c r="K140" i="148"/>
  <c r="G140" i="148"/>
  <c r="C140" i="148"/>
  <c r="I141" i="148"/>
  <c r="D141" i="148"/>
  <c r="J141" i="148"/>
  <c r="E141" i="148"/>
  <c r="F141" i="148"/>
  <c r="K141" i="148"/>
  <c r="G141" i="148"/>
  <c r="C141" i="148"/>
  <c r="I142" i="148"/>
  <c r="D142" i="148"/>
  <c r="J142" i="148"/>
  <c r="E142" i="148"/>
  <c r="F142" i="148"/>
  <c r="K142" i="148"/>
  <c r="G142" i="148"/>
  <c r="C142" i="148"/>
  <c r="I143" i="148"/>
  <c r="D143" i="148"/>
  <c r="J143" i="148"/>
  <c r="E143" i="148"/>
  <c r="F143" i="148"/>
  <c r="K143" i="148"/>
  <c r="G143" i="148"/>
  <c r="C143" i="148"/>
  <c r="I144" i="148"/>
  <c r="D144" i="148"/>
  <c r="J144" i="148"/>
  <c r="E144" i="148"/>
  <c r="F144" i="148"/>
  <c r="K144" i="148"/>
  <c r="G144" i="148"/>
  <c r="C144" i="148"/>
  <c r="I145" i="148"/>
  <c r="D145" i="148"/>
  <c r="J145" i="148"/>
  <c r="E145" i="148"/>
  <c r="F145" i="148"/>
  <c r="K145" i="148"/>
  <c r="G145" i="148"/>
  <c r="C145" i="148"/>
  <c r="I146" i="148"/>
  <c r="D146" i="148"/>
  <c r="J146" i="148"/>
  <c r="E146" i="148"/>
  <c r="F146" i="148"/>
  <c r="K146" i="148"/>
  <c r="G146" i="148"/>
  <c r="C146" i="148"/>
  <c r="I147" i="148"/>
  <c r="D147" i="148"/>
  <c r="J147" i="148"/>
  <c r="E147" i="148"/>
  <c r="F147" i="148"/>
  <c r="K147" i="148"/>
  <c r="G147" i="148"/>
  <c r="C147" i="148"/>
  <c r="I148" i="148"/>
  <c r="D148" i="148"/>
  <c r="J148" i="148"/>
  <c r="E148" i="148"/>
  <c r="F148" i="148"/>
  <c r="K148" i="148"/>
  <c r="G148" i="148"/>
  <c r="C148" i="148"/>
  <c r="I149" i="148"/>
  <c r="D149" i="148"/>
  <c r="J149" i="148"/>
  <c r="E149" i="148"/>
  <c r="F149" i="148"/>
  <c r="K149" i="148"/>
  <c r="G149" i="148"/>
  <c r="C149" i="148"/>
  <c r="I150" i="148"/>
  <c r="D150" i="148"/>
  <c r="J150" i="148"/>
  <c r="E150" i="148"/>
  <c r="F150" i="148"/>
  <c r="K150" i="148"/>
  <c r="G150" i="148"/>
  <c r="C150" i="148"/>
  <c r="I151" i="148"/>
  <c r="D151" i="148"/>
  <c r="J151" i="148"/>
  <c r="E151" i="148"/>
  <c r="F151" i="148"/>
  <c r="K151" i="148"/>
  <c r="G151" i="148"/>
  <c r="C151" i="148"/>
  <c r="I152" i="148"/>
  <c r="D152" i="148"/>
  <c r="J152" i="148"/>
  <c r="E152" i="148"/>
  <c r="F152" i="148"/>
  <c r="K152" i="148"/>
  <c r="G152" i="148"/>
  <c r="C152" i="148"/>
  <c r="I153" i="148"/>
  <c r="D153" i="148"/>
  <c r="J153" i="148"/>
  <c r="E153" i="148"/>
  <c r="F153" i="148"/>
  <c r="K153" i="148"/>
  <c r="G153" i="148"/>
  <c r="C153" i="148"/>
  <c r="I154" i="148"/>
  <c r="D154" i="148"/>
  <c r="J154" i="148"/>
  <c r="E154" i="148"/>
  <c r="F154" i="148"/>
  <c r="K154" i="148"/>
  <c r="G154" i="148"/>
  <c r="C154" i="148"/>
  <c r="I155" i="148"/>
  <c r="D155" i="148"/>
  <c r="J155" i="148"/>
  <c r="E155" i="148"/>
  <c r="F155" i="148"/>
  <c r="K155" i="148"/>
  <c r="G155" i="148"/>
  <c r="C155" i="148"/>
  <c r="I156" i="148"/>
  <c r="D156" i="148"/>
  <c r="J156" i="148"/>
  <c r="E156" i="148"/>
  <c r="F156" i="148"/>
  <c r="K156" i="148"/>
  <c r="G156" i="148"/>
  <c r="C156" i="148"/>
  <c r="I157" i="148"/>
  <c r="D157" i="148"/>
  <c r="J157" i="148"/>
  <c r="E157" i="148"/>
  <c r="F157" i="148"/>
  <c r="K157" i="148"/>
  <c r="G157" i="148"/>
  <c r="C157" i="148"/>
  <c r="I158" i="148"/>
  <c r="D158" i="148"/>
  <c r="J158" i="148"/>
  <c r="E158" i="148"/>
  <c r="F158" i="148"/>
  <c r="K158" i="148"/>
  <c r="G158" i="148"/>
  <c r="C158" i="148"/>
  <c r="I159" i="148"/>
  <c r="D159" i="148"/>
  <c r="J159" i="148"/>
  <c r="E159" i="148"/>
  <c r="F159" i="148"/>
  <c r="K159" i="148"/>
  <c r="G159" i="148"/>
  <c r="C159" i="148"/>
  <c r="I160" i="148"/>
  <c r="D160" i="148"/>
  <c r="J160" i="148"/>
  <c r="E160" i="148"/>
  <c r="F160" i="148"/>
  <c r="K160" i="148"/>
  <c r="G160" i="148"/>
  <c r="C160" i="148"/>
  <c r="I161" i="148"/>
  <c r="D161" i="148"/>
  <c r="J161" i="148"/>
  <c r="E161" i="148"/>
  <c r="F161" i="148"/>
  <c r="K161" i="148"/>
  <c r="G161" i="148"/>
  <c r="C161" i="148"/>
  <c r="I162" i="148"/>
  <c r="D162" i="148"/>
  <c r="J162" i="148"/>
  <c r="E162" i="148"/>
  <c r="F162" i="148"/>
  <c r="K162" i="148"/>
  <c r="G162" i="148"/>
  <c r="C162" i="148"/>
  <c r="I163" i="148"/>
  <c r="D163" i="148"/>
  <c r="J163" i="148"/>
  <c r="E163" i="148"/>
  <c r="F163" i="148"/>
  <c r="K163" i="148"/>
  <c r="G163" i="148"/>
  <c r="C163" i="148"/>
  <c r="I164" i="148"/>
  <c r="D164" i="148"/>
  <c r="J164" i="148"/>
  <c r="E164" i="148"/>
  <c r="F164" i="148"/>
  <c r="K164" i="148"/>
  <c r="G164" i="148"/>
  <c r="C164" i="148"/>
  <c r="I165" i="148"/>
  <c r="D165" i="148"/>
  <c r="J165" i="148"/>
  <c r="E165" i="148"/>
  <c r="F165" i="148"/>
  <c r="K165" i="148"/>
  <c r="G165" i="148"/>
  <c r="C165" i="148"/>
  <c r="I166" i="148"/>
  <c r="D166" i="148"/>
  <c r="J166" i="148"/>
  <c r="E166" i="148"/>
  <c r="F166" i="148"/>
  <c r="K166" i="148"/>
  <c r="G166" i="148"/>
  <c r="C166" i="148"/>
  <c r="I167" i="148"/>
  <c r="D167" i="148"/>
  <c r="J167" i="148"/>
  <c r="E167" i="148"/>
  <c r="F167" i="148"/>
  <c r="K167" i="148"/>
  <c r="G167" i="148"/>
  <c r="C167" i="148"/>
  <c r="I168" i="148"/>
  <c r="D168" i="148"/>
  <c r="J168" i="148"/>
  <c r="E168" i="148"/>
  <c r="F168" i="148"/>
  <c r="K168" i="148"/>
  <c r="G168" i="148"/>
  <c r="C168" i="148"/>
  <c r="I169" i="148"/>
  <c r="D169" i="148"/>
  <c r="J169" i="148"/>
  <c r="E169" i="148"/>
  <c r="F169" i="148"/>
  <c r="K169" i="148"/>
  <c r="G169" i="148"/>
  <c r="C169" i="148"/>
  <c r="I170" i="148"/>
  <c r="D170" i="148"/>
  <c r="J170" i="148"/>
  <c r="E170" i="148"/>
  <c r="F170" i="148"/>
  <c r="K170" i="148"/>
  <c r="G170" i="148"/>
  <c r="C170" i="148"/>
  <c r="I171" i="148"/>
  <c r="D171" i="148"/>
  <c r="J171" i="148"/>
  <c r="E171" i="148"/>
  <c r="F171" i="148"/>
  <c r="K171" i="148"/>
  <c r="G171" i="148"/>
  <c r="C171" i="148"/>
  <c r="I172" i="148"/>
  <c r="D172" i="148"/>
  <c r="J172" i="148"/>
  <c r="E172" i="148"/>
  <c r="F172" i="148"/>
  <c r="K172" i="148"/>
  <c r="G172" i="148"/>
  <c r="C172" i="148"/>
  <c r="I173" i="148"/>
  <c r="D173" i="148"/>
  <c r="J173" i="148"/>
  <c r="E173" i="148"/>
  <c r="F173" i="148"/>
  <c r="K173" i="148"/>
  <c r="G173" i="148"/>
  <c r="C173" i="148"/>
  <c r="I174" i="148"/>
  <c r="D174" i="148"/>
  <c r="J174" i="148"/>
  <c r="E174" i="148"/>
  <c r="F174" i="148"/>
  <c r="K174" i="148"/>
  <c r="G174" i="148"/>
  <c r="C174" i="148"/>
  <c r="I175" i="148"/>
  <c r="D175" i="148"/>
  <c r="J175" i="148"/>
  <c r="E175" i="148"/>
  <c r="F175" i="148"/>
  <c r="K175" i="148"/>
  <c r="G175" i="148"/>
  <c r="C175" i="148"/>
  <c r="I176" i="148"/>
  <c r="D176" i="148"/>
  <c r="J176" i="148"/>
  <c r="E176" i="148"/>
  <c r="F176" i="148"/>
  <c r="K176" i="148"/>
  <c r="G176" i="148"/>
  <c r="C176" i="148"/>
  <c r="I177" i="148"/>
  <c r="D177" i="148"/>
  <c r="J177" i="148"/>
  <c r="E177" i="148"/>
  <c r="F177" i="148"/>
  <c r="K177" i="148"/>
  <c r="G177" i="148"/>
  <c r="C177" i="148"/>
  <c r="I178" i="148"/>
  <c r="D178" i="148"/>
  <c r="J178" i="148"/>
  <c r="E178" i="148"/>
  <c r="F178" i="148"/>
  <c r="K178" i="148"/>
  <c r="G178" i="148"/>
  <c r="C178" i="148"/>
  <c r="I179" i="148"/>
  <c r="D179" i="148"/>
  <c r="J179" i="148"/>
  <c r="E179" i="148"/>
  <c r="F179" i="148"/>
  <c r="K179" i="148"/>
  <c r="G179" i="148"/>
  <c r="C179" i="148"/>
  <c r="I180" i="148"/>
  <c r="D180" i="148"/>
  <c r="J180" i="148"/>
  <c r="E180" i="148"/>
  <c r="F180" i="148"/>
  <c r="K180" i="148"/>
  <c r="G180" i="148"/>
  <c r="C180" i="148"/>
  <c r="I181" i="148"/>
  <c r="D181" i="148"/>
  <c r="J181" i="148"/>
  <c r="E181" i="148"/>
  <c r="F181" i="148"/>
  <c r="K181" i="148"/>
  <c r="G181" i="148"/>
  <c r="C181" i="148"/>
  <c r="I182" i="148"/>
  <c r="D182" i="148"/>
  <c r="J182" i="148"/>
  <c r="E182" i="148"/>
  <c r="F182" i="148"/>
  <c r="K182" i="148"/>
  <c r="G182" i="148"/>
  <c r="C182" i="148"/>
  <c r="I183" i="148"/>
  <c r="D183" i="148"/>
  <c r="J183" i="148"/>
  <c r="E183" i="148"/>
  <c r="F183" i="148"/>
  <c r="K183" i="148"/>
  <c r="G183" i="148"/>
  <c r="C183" i="148"/>
  <c r="I184" i="148"/>
  <c r="D184" i="148"/>
  <c r="J184" i="148"/>
  <c r="E184" i="148"/>
  <c r="F184" i="148"/>
  <c r="K184" i="148"/>
  <c r="G184" i="148"/>
  <c r="C184" i="148"/>
  <c r="I185" i="148"/>
  <c r="D185" i="148"/>
  <c r="J185" i="148"/>
  <c r="E185" i="148"/>
  <c r="F185" i="148"/>
  <c r="K185" i="148"/>
  <c r="G185" i="148"/>
  <c r="C185" i="148"/>
  <c r="I186" i="148"/>
  <c r="D186" i="148"/>
  <c r="J186" i="148"/>
  <c r="E186" i="148"/>
  <c r="F186" i="148"/>
  <c r="K186" i="148"/>
  <c r="G186" i="148"/>
  <c r="C186" i="148"/>
  <c r="I187" i="148"/>
  <c r="D187" i="148"/>
  <c r="J187" i="148"/>
  <c r="E187" i="148"/>
  <c r="F187" i="148"/>
  <c r="K187" i="148"/>
  <c r="G187" i="148"/>
  <c r="C187" i="148"/>
  <c r="I188" i="148"/>
  <c r="D188" i="148"/>
  <c r="J188" i="148"/>
  <c r="E188" i="148"/>
  <c r="F188" i="148"/>
  <c r="K188" i="148"/>
  <c r="G188" i="148"/>
  <c r="C188" i="148"/>
  <c r="I189" i="148"/>
  <c r="D189" i="148"/>
  <c r="J189" i="148"/>
  <c r="E189" i="148"/>
  <c r="F189" i="148"/>
  <c r="K189" i="148"/>
  <c r="G189" i="148"/>
  <c r="C189" i="148"/>
  <c r="I190" i="148"/>
  <c r="D190" i="148"/>
  <c r="J190" i="148"/>
  <c r="E190" i="148"/>
  <c r="F190" i="148"/>
  <c r="K190" i="148"/>
  <c r="G190" i="148"/>
  <c r="C190" i="148"/>
  <c r="I191" i="148"/>
  <c r="D191" i="148"/>
  <c r="J191" i="148"/>
  <c r="E191" i="148"/>
  <c r="F191" i="148"/>
  <c r="K191" i="148"/>
  <c r="G191" i="148"/>
  <c r="C191" i="148"/>
  <c r="I192" i="148"/>
  <c r="D192" i="148"/>
  <c r="J192" i="148"/>
  <c r="E192" i="148"/>
  <c r="F192" i="148"/>
  <c r="K192" i="148"/>
  <c r="G192" i="148"/>
  <c r="C192" i="148"/>
  <c r="I193" i="148"/>
  <c r="D193" i="148"/>
  <c r="J193" i="148"/>
  <c r="E193" i="148"/>
  <c r="F193" i="148"/>
  <c r="K193" i="148"/>
  <c r="G193" i="148"/>
  <c r="C193" i="148"/>
  <c r="I194" i="148"/>
  <c r="D194" i="148"/>
  <c r="J194" i="148"/>
  <c r="E194" i="148"/>
  <c r="F194" i="148"/>
  <c r="K194" i="148"/>
  <c r="G194" i="148"/>
  <c r="C194" i="148"/>
  <c r="I195" i="148"/>
  <c r="D195" i="148"/>
  <c r="J195" i="148"/>
  <c r="E195" i="148"/>
  <c r="F195" i="148"/>
  <c r="K195" i="148"/>
  <c r="G195" i="148"/>
  <c r="C195" i="148"/>
  <c r="I196" i="148"/>
  <c r="D196" i="148"/>
  <c r="J196" i="148"/>
  <c r="E196" i="148"/>
  <c r="F196" i="148"/>
  <c r="K196" i="148"/>
  <c r="G196" i="148"/>
  <c r="C196" i="148"/>
  <c r="I197" i="148"/>
  <c r="D197" i="148"/>
  <c r="J197" i="148"/>
  <c r="E197" i="148"/>
  <c r="F197" i="148"/>
  <c r="K197" i="148"/>
  <c r="G197" i="148"/>
  <c r="C197" i="148"/>
  <c r="I198" i="148"/>
  <c r="D198" i="148"/>
  <c r="J198" i="148"/>
  <c r="E198" i="148"/>
  <c r="F198" i="148"/>
  <c r="K198" i="148"/>
  <c r="G198" i="148"/>
  <c r="C198" i="148"/>
  <c r="I199" i="148"/>
  <c r="D199" i="148"/>
  <c r="J199" i="148"/>
  <c r="E199" i="148"/>
  <c r="F199" i="148"/>
  <c r="K199" i="148"/>
  <c r="G199" i="148"/>
  <c r="C199" i="148"/>
  <c r="I200" i="148"/>
  <c r="D200" i="148"/>
  <c r="J200" i="148"/>
  <c r="E200" i="148"/>
  <c r="F200" i="148"/>
  <c r="K200" i="148"/>
  <c r="G200" i="148"/>
  <c r="C200" i="148"/>
  <c r="I201" i="148"/>
  <c r="D201" i="148"/>
  <c r="J201" i="148"/>
  <c r="E201" i="148"/>
  <c r="F201" i="148"/>
  <c r="K201" i="148"/>
  <c r="G201" i="148"/>
  <c r="C201" i="148"/>
  <c r="I202" i="148"/>
  <c r="D202" i="148"/>
  <c r="J202" i="148"/>
  <c r="E202" i="148"/>
  <c r="F202" i="148"/>
  <c r="K202" i="148"/>
  <c r="G202" i="148"/>
  <c r="C202" i="148"/>
  <c r="I203" i="148"/>
  <c r="D203" i="148"/>
  <c r="J203" i="148"/>
  <c r="E203" i="148"/>
  <c r="F203" i="148"/>
  <c r="K203" i="148"/>
  <c r="G203" i="148"/>
  <c r="C203" i="148"/>
  <c r="I204" i="148"/>
  <c r="D204" i="148"/>
  <c r="J204" i="148"/>
  <c r="E204" i="148"/>
  <c r="F204" i="148"/>
  <c r="K204" i="148"/>
  <c r="G204" i="148"/>
  <c r="C204" i="148"/>
  <c r="I205" i="148"/>
  <c r="D205" i="148"/>
  <c r="J205" i="148"/>
  <c r="E205" i="148"/>
  <c r="F205" i="148"/>
  <c r="K205" i="148"/>
  <c r="G205" i="148"/>
  <c r="C205" i="148"/>
  <c r="I206" i="148"/>
  <c r="D206" i="148"/>
  <c r="J206" i="148"/>
  <c r="E206" i="148"/>
  <c r="F206" i="148"/>
  <c r="K206" i="148"/>
  <c r="G206" i="148"/>
  <c r="C206" i="148"/>
  <c r="I207" i="148"/>
  <c r="D207" i="148"/>
  <c r="J207" i="148"/>
  <c r="E207" i="148"/>
  <c r="F207" i="148"/>
  <c r="K207" i="148"/>
  <c r="G207" i="148"/>
  <c r="C207" i="148"/>
  <c r="I208" i="148"/>
  <c r="D208" i="148"/>
  <c r="J208" i="148"/>
  <c r="E208" i="148"/>
  <c r="F208" i="148"/>
  <c r="K208" i="148"/>
  <c r="G208" i="148"/>
  <c r="C208" i="148"/>
  <c r="I209" i="148"/>
  <c r="D209" i="148"/>
  <c r="J209" i="148"/>
  <c r="E209" i="148"/>
  <c r="F209" i="148"/>
  <c r="K209" i="148"/>
  <c r="G209" i="148"/>
  <c r="C209" i="148"/>
  <c r="I210" i="148"/>
  <c r="D210" i="148"/>
  <c r="J210" i="148"/>
  <c r="E210" i="148"/>
  <c r="F210" i="148"/>
  <c r="K210" i="148"/>
  <c r="G210" i="148"/>
  <c r="C210" i="148"/>
  <c r="I211" i="148"/>
  <c r="D211" i="148"/>
  <c r="J211" i="148"/>
  <c r="E211" i="148"/>
  <c r="F211" i="148"/>
  <c r="K211" i="148"/>
  <c r="G211" i="148"/>
  <c r="C211" i="148"/>
  <c r="I212" i="148"/>
  <c r="D212" i="148"/>
  <c r="J212" i="148"/>
  <c r="E212" i="148"/>
  <c r="F212" i="148"/>
  <c r="K212" i="148"/>
  <c r="G212" i="148"/>
  <c r="C212" i="148"/>
  <c r="I213" i="148"/>
  <c r="D213" i="148"/>
  <c r="J213" i="148"/>
  <c r="E213" i="148"/>
  <c r="F213" i="148"/>
  <c r="K213" i="148"/>
  <c r="G213" i="148"/>
  <c r="C213" i="148"/>
  <c r="I214" i="148"/>
  <c r="D214" i="148"/>
  <c r="J214" i="148"/>
  <c r="E214" i="148"/>
  <c r="F214" i="148"/>
  <c r="K214" i="148"/>
  <c r="G214" i="148"/>
  <c r="C214" i="148"/>
  <c r="I215" i="148"/>
  <c r="D215" i="148"/>
  <c r="J215" i="148"/>
  <c r="E215" i="148"/>
  <c r="F215" i="148"/>
  <c r="K215" i="148"/>
  <c r="G215" i="148"/>
  <c r="C215" i="148"/>
  <c r="I216" i="148"/>
  <c r="D216" i="148"/>
  <c r="J216" i="148"/>
  <c r="E216" i="148"/>
  <c r="F216" i="148"/>
  <c r="K216" i="148"/>
  <c r="G216" i="148"/>
  <c r="C216" i="148"/>
  <c r="I217" i="148"/>
  <c r="D217" i="148"/>
  <c r="J217" i="148"/>
  <c r="E217" i="148"/>
  <c r="F217" i="148"/>
  <c r="K217" i="148"/>
  <c r="G217" i="148"/>
  <c r="C217" i="148"/>
  <c r="I218" i="148"/>
  <c r="D218" i="148"/>
  <c r="J218" i="148"/>
  <c r="E218" i="148"/>
  <c r="F218" i="148"/>
  <c r="K218" i="148"/>
  <c r="G218" i="148"/>
  <c r="C218" i="148"/>
  <c r="I219" i="148"/>
  <c r="D219" i="148"/>
  <c r="J219" i="148"/>
  <c r="E219" i="148"/>
  <c r="F219" i="148"/>
  <c r="K219" i="148"/>
  <c r="G219" i="148"/>
  <c r="C219" i="148"/>
  <c r="I220" i="148"/>
  <c r="D220" i="148"/>
  <c r="J220" i="148"/>
  <c r="E220" i="148"/>
  <c r="F220" i="148"/>
  <c r="K220" i="148"/>
  <c r="G220" i="148"/>
  <c r="C220" i="148"/>
  <c r="I221" i="148"/>
  <c r="D221" i="148"/>
  <c r="J221" i="148"/>
  <c r="E221" i="148"/>
  <c r="F221" i="148"/>
  <c r="K221" i="148"/>
  <c r="G221" i="148"/>
  <c r="C221" i="148"/>
  <c r="I222" i="148"/>
  <c r="D222" i="148"/>
  <c r="J222" i="148"/>
  <c r="E222" i="148"/>
  <c r="F222" i="148"/>
  <c r="K222" i="148"/>
  <c r="G222" i="148"/>
  <c r="C222" i="148"/>
  <c r="I223" i="148"/>
  <c r="D223" i="148"/>
  <c r="J223" i="148"/>
  <c r="E223" i="148"/>
  <c r="F223" i="148"/>
  <c r="K223" i="148"/>
  <c r="G223" i="148"/>
  <c r="C223" i="148"/>
  <c r="I224" i="148"/>
  <c r="D224" i="148"/>
  <c r="J224" i="148"/>
  <c r="E224" i="148"/>
  <c r="F224" i="148"/>
  <c r="K224" i="148"/>
  <c r="G224" i="148"/>
  <c r="C224" i="148"/>
  <c r="I225" i="148"/>
  <c r="D225" i="148"/>
  <c r="J225" i="148"/>
  <c r="E225" i="148"/>
  <c r="F225" i="148"/>
  <c r="K225" i="148"/>
  <c r="G225" i="148"/>
  <c r="C225" i="148"/>
  <c r="I226" i="148"/>
  <c r="D226" i="148"/>
  <c r="J226" i="148"/>
  <c r="E226" i="148"/>
  <c r="F226" i="148"/>
  <c r="K226" i="148"/>
  <c r="G226" i="148"/>
  <c r="C226" i="148"/>
  <c r="I227" i="148"/>
  <c r="D227" i="148"/>
  <c r="J227" i="148"/>
  <c r="E227" i="148"/>
  <c r="F227" i="148"/>
  <c r="K227" i="148"/>
  <c r="G227" i="148"/>
  <c r="C227" i="148"/>
  <c r="I228" i="148"/>
  <c r="D228" i="148"/>
  <c r="J228" i="148"/>
  <c r="E228" i="148"/>
  <c r="F228" i="148"/>
  <c r="K228" i="148"/>
  <c r="G228" i="148"/>
  <c r="C228" i="148"/>
  <c r="I229" i="148"/>
  <c r="D229" i="148"/>
  <c r="J229" i="148"/>
  <c r="E229" i="148"/>
  <c r="F229" i="148"/>
  <c r="K229" i="148"/>
  <c r="G229" i="148"/>
  <c r="C229" i="148"/>
  <c r="I230" i="148"/>
  <c r="D230" i="148"/>
  <c r="J230" i="148"/>
  <c r="E230" i="148"/>
  <c r="F230" i="148"/>
  <c r="K230" i="148"/>
  <c r="G230" i="148"/>
  <c r="C230" i="148"/>
  <c r="I231" i="148"/>
  <c r="D231" i="148"/>
  <c r="J231" i="148"/>
  <c r="E231" i="148"/>
  <c r="F231" i="148"/>
  <c r="K231" i="148"/>
  <c r="G231" i="148"/>
  <c r="C231" i="148"/>
  <c r="I232" i="148"/>
  <c r="D232" i="148"/>
  <c r="J232" i="148"/>
  <c r="E232" i="148"/>
  <c r="F232" i="148"/>
  <c r="K232" i="148"/>
  <c r="G232" i="148"/>
  <c r="C232" i="148"/>
  <c r="I233" i="148"/>
  <c r="D233" i="148"/>
  <c r="J233" i="148"/>
  <c r="E233" i="148"/>
  <c r="F233" i="148"/>
  <c r="K233" i="148"/>
  <c r="G233" i="148"/>
  <c r="C233" i="148"/>
  <c r="I234" i="148"/>
  <c r="D234" i="148"/>
  <c r="J234" i="148"/>
  <c r="E234" i="148"/>
  <c r="F234" i="148"/>
  <c r="K234" i="148"/>
  <c r="G234" i="148"/>
  <c r="C234" i="148"/>
  <c r="I235" i="148"/>
  <c r="D235" i="148"/>
  <c r="J235" i="148"/>
  <c r="E235" i="148"/>
  <c r="F235" i="148"/>
  <c r="K235" i="148"/>
  <c r="G235" i="148"/>
  <c r="C235" i="148"/>
  <c r="I236" i="148"/>
  <c r="D236" i="148"/>
  <c r="J236" i="148"/>
  <c r="E236" i="148"/>
  <c r="F236" i="148"/>
  <c r="K236" i="148"/>
  <c r="G236" i="148"/>
  <c r="C236" i="148"/>
  <c r="I237" i="148"/>
  <c r="D237" i="148"/>
  <c r="J237" i="148"/>
  <c r="E237" i="148"/>
  <c r="F237" i="148"/>
  <c r="K237" i="148"/>
  <c r="G237" i="148"/>
  <c r="C237" i="148"/>
  <c r="I238" i="148"/>
  <c r="D238" i="148"/>
  <c r="J238" i="148"/>
  <c r="E238" i="148"/>
  <c r="F238" i="148"/>
  <c r="K238" i="148"/>
  <c r="G238" i="148"/>
  <c r="C238" i="148"/>
  <c r="I239" i="148"/>
  <c r="D239" i="148"/>
  <c r="J239" i="148"/>
  <c r="E239" i="148"/>
  <c r="F239" i="148"/>
  <c r="K239" i="148"/>
  <c r="G239" i="148"/>
  <c r="C239" i="148"/>
  <c r="I240" i="148"/>
  <c r="D240" i="148"/>
  <c r="J240" i="148"/>
  <c r="E240" i="148"/>
  <c r="F240" i="148"/>
  <c r="K240" i="148"/>
  <c r="G240" i="148"/>
  <c r="C240" i="148"/>
  <c r="I241" i="148"/>
  <c r="D241" i="148"/>
  <c r="J241" i="148"/>
  <c r="E241" i="148"/>
  <c r="F241" i="148"/>
  <c r="K241" i="148"/>
  <c r="G241" i="148"/>
  <c r="C241" i="148"/>
  <c r="I242" i="148"/>
  <c r="D242" i="148"/>
  <c r="J242" i="148"/>
  <c r="E242" i="148"/>
  <c r="F242" i="148"/>
  <c r="K242" i="148"/>
  <c r="G242" i="148"/>
  <c r="C242" i="148"/>
  <c r="I243" i="148"/>
  <c r="D243" i="148"/>
  <c r="J243" i="148"/>
  <c r="E243" i="148"/>
  <c r="F243" i="148"/>
  <c r="K243" i="148"/>
  <c r="G243" i="148"/>
  <c r="C243" i="148"/>
  <c r="I244" i="148"/>
  <c r="D244" i="148"/>
  <c r="J244" i="148"/>
  <c r="E244" i="148"/>
  <c r="F244" i="148"/>
  <c r="K244" i="148"/>
  <c r="G244" i="148"/>
  <c r="C244" i="148"/>
  <c r="I245" i="148"/>
  <c r="D245" i="148"/>
  <c r="J245" i="148"/>
  <c r="E245" i="148"/>
  <c r="F245" i="148"/>
  <c r="K245" i="148"/>
  <c r="G245" i="148"/>
  <c r="C245" i="148"/>
  <c r="I246" i="148"/>
  <c r="D246" i="148"/>
  <c r="J246" i="148"/>
  <c r="E246" i="148"/>
  <c r="F246" i="148"/>
  <c r="K246" i="148"/>
  <c r="G246" i="148"/>
  <c r="C246" i="148"/>
  <c r="I247" i="148"/>
  <c r="D247" i="148"/>
  <c r="J247" i="148"/>
  <c r="E247" i="148"/>
  <c r="F247" i="148"/>
  <c r="K247" i="148"/>
  <c r="G247" i="148"/>
  <c r="C247" i="148"/>
  <c r="I248" i="148"/>
  <c r="D248" i="148"/>
  <c r="J248" i="148"/>
  <c r="E248" i="148"/>
  <c r="F248" i="148"/>
  <c r="K248" i="148"/>
  <c r="G248" i="148"/>
  <c r="C248" i="148"/>
  <c r="I249" i="148"/>
  <c r="D249" i="148"/>
  <c r="J249" i="148"/>
  <c r="E249" i="148"/>
  <c r="F249" i="148"/>
  <c r="K249" i="148"/>
  <c r="G249" i="148"/>
  <c r="C249" i="148"/>
  <c r="I250" i="148"/>
  <c r="D250" i="148"/>
  <c r="J250" i="148"/>
  <c r="E250" i="148"/>
  <c r="F250" i="148"/>
  <c r="K250" i="148"/>
  <c r="G250" i="148"/>
  <c r="C250" i="148"/>
  <c r="I251" i="148"/>
  <c r="D251" i="148"/>
  <c r="J251" i="148"/>
  <c r="E251" i="148"/>
  <c r="F251" i="148"/>
  <c r="K251" i="148"/>
  <c r="G251" i="148"/>
  <c r="C251" i="148"/>
  <c r="I252" i="148"/>
  <c r="D252" i="148"/>
  <c r="J252" i="148"/>
  <c r="E252" i="148"/>
  <c r="F252" i="148"/>
  <c r="K252" i="148"/>
  <c r="G252" i="148"/>
  <c r="C252" i="148"/>
  <c r="I253" i="148"/>
  <c r="D253" i="148"/>
  <c r="J253" i="148"/>
  <c r="E253" i="148"/>
  <c r="F253" i="148"/>
  <c r="K253" i="148"/>
  <c r="G253" i="148"/>
  <c r="C253" i="148"/>
  <c r="I254" i="148"/>
  <c r="D254" i="148"/>
  <c r="J254" i="148"/>
  <c r="E254" i="148"/>
  <c r="F254" i="148"/>
  <c r="K254" i="148"/>
  <c r="G254" i="148"/>
  <c r="C254" i="148"/>
  <c r="I255" i="148"/>
  <c r="D255" i="148"/>
  <c r="J255" i="148"/>
  <c r="E255" i="148"/>
  <c r="F255" i="148"/>
  <c r="K255" i="148"/>
  <c r="G255" i="148"/>
  <c r="C255" i="148"/>
  <c r="I256" i="148"/>
  <c r="D256" i="148"/>
  <c r="J256" i="148"/>
  <c r="E256" i="148"/>
  <c r="F256" i="148"/>
  <c r="K256" i="148"/>
  <c r="G256" i="148"/>
  <c r="C256" i="148"/>
  <c r="I257" i="148"/>
  <c r="D257" i="148"/>
  <c r="J257" i="148"/>
  <c r="E257" i="148"/>
  <c r="F257" i="148"/>
  <c r="K257" i="148"/>
  <c r="G257" i="148"/>
  <c r="C257" i="148"/>
  <c r="I258" i="148"/>
  <c r="D258" i="148"/>
  <c r="J258" i="148"/>
  <c r="E258" i="148"/>
  <c r="F258" i="148"/>
  <c r="K258" i="148"/>
  <c r="G258" i="148"/>
  <c r="C258" i="148"/>
  <c r="I259" i="148"/>
  <c r="D259" i="148"/>
  <c r="J259" i="148"/>
  <c r="E259" i="148"/>
  <c r="F259" i="148"/>
  <c r="K259" i="148"/>
  <c r="G259" i="148"/>
  <c r="C259" i="148"/>
  <c r="I260" i="148"/>
  <c r="D260" i="148"/>
  <c r="J260" i="148"/>
  <c r="E260" i="148"/>
  <c r="F260" i="148"/>
  <c r="K260" i="148"/>
  <c r="G260" i="148"/>
  <c r="C260" i="148"/>
  <c r="I261" i="148"/>
  <c r="D261" i="148"/>
  <c r="J261" i="148"/>
  <c r="E261" i="148"/>
  <c r="F261" i="148"/>
  <c r="K261" i="148"/>
  <c r="G261" i="148"/>
  <c r="C261" i="148"/>
  <c r="I262" i="148"/>
  <c r="D262" i="148"/>
  <c r="J262" i="148"/>
  <c r="E262" i="148"/>
  <c r="F262" i="148"/>
  <c r="K262" i="148"/>
  <c r="G262" i="148"/>
  <c r="C262" i="148"/>
  <c r="I263" i="148"/>
  <c r="D263" i="148"/>
  <c r="J263" i="148"/>
  <c r="E263" i="148"/>
  <c r="F263" i="148"/>
  <c r="K263" i="148"/>
  <c r="G263" i="148"/>
  <c r="C263" i="148"/>
  <c r="I264" i="148"/>
  <c r="D264" i="148"/>
  <c r="J264" i="148"/>
  <c r="E264" i="148"/>
  <c r="F264" i="148"/>
  <c r="K264" i="148"/>
  <c r="G264" i="148"/>
  <c r="C264" i="148"/>
  <c r="I265" i="148"/>
  <c r="D265" i="148"/>
  <c r="J265" i="148"/>
  <c r="E265" i="148"/>
  <c r="F265" i="148"/>
  <c r="K265" i="148"/>
  <c r="G265" i="148"/>
  <c r="C265" i="148"/>
  <c r="I266" i="148"/>
  <c r="D266" i="148"/>
  <c r="J266" i="148"/>
  <c r="E266" i="148"/>
  <c r="F266" i="148"/>
  <c r="K266" i="148"/>
  <c r="G266" i="148"/>
  <c r="C266" i="148"/>
  <c r="I267" i="148"/>
  <c r="D267" i="148"/>
  <c r="J267" i="148"/>
  <c r="E267" i="148"/>
  <c r="F267" i="148"/>
  <c r="K267" i="148"/>
  <c r="G267" i="148"/>
  <c r="C267" i="148"/>
  <c r="I268" i="148"/>
  <c r="D268" i="148"/>
  <c r="J268" i="148"/>
  <c r="E268" i="148"/>
  <c r="F268" i="148"/>
  <c r="K268" i="148"/>
  <c r="G268" i="148"/>
  <c r="C268" i="148"/>
  <c r="I269" i="148"/>
  <c r="D269" i="148"/>
  <c r="J269" i="148"/>
  <c r="E269" i="148"/>
  <c r="F269" i="148"/>
  <c r="K269" i="148"/>
  <c r="G269" i="148"/>
  <c r="C269" i="148"/>
  <c r="I270" i="148"/>
  <c r="D270" i="148"/>
  <c r="J270" i="148"/>
  <c r="E270" i="148"/>
  <c r="F270" i="148"/>
  <c r="K270" i="148"/>
  <c r="G270" i="148"/>
  <c r="C270" i="148"/>
  <c r="I271" i="148"/>
  <c r="D271" i="148"/>
  <c r="J271" i="148"/>
  <c r="E271" i="148"/>
  <c r="F271" i="148"/>
  <c r="K271" i="148"/>
  <c r="G271" i="148"/>
  <c r="C271" i="148"/>
  <c r="I272" i="148"/>
  <c r="D272" i="148"/>
  <c r="J272" i="148"/>
  <c r="E272" i="148"/>
  <c r="F272" i="148"/>
  <c r="K272" i="148"/>
  <c r="G272" i="148"/>
  <c r="C272" i="148"/>
  <c r="I273" i="148"/>
  <c r="D273" i="148"/>
  <c r="J273" i="148"/>
  <c r="E273" i="148"/>
  <c r="F273" i="148"/>
  <c r="K273" i="148"/>
  <c r="G273" i="148"/>
  <c r="C273" i="148"/>
  <c r="I274" i="148"/>
  <c r="D274" i="148"/>
  <c r="J274" i="148"/>
  <c r="E274" i="148"/>
  <c r="F274" i="148"/>
  <c r="K274" i="148"/>
  <c r="G274" i="148"/>
  <c r="C274" i="148"/>
  <c r="I275" i="148"/>
  <c r="D275" i="148"/>
  <c r="J275" i="148"/>
  <c r="E275" i="148"/>
  <c r="F275" i="148"/>
  <c r="K275" i="148"/>
  <c r="G275" i="148"/>
  <c r="C275" i="148"/>
  <c r="I276" i="148"/>
  <c r="D276" i="148"/>
  <c r="J276" i="148"/>
  <c r="E276" i="148"/>
  <c r="F276" i="148"/>
  <c r="K276" i="148"/>
  <c r="G276" i="148"/>
  <c r="C276" i="148"/>
  <c r="I277" i="148"/>
  <c r="D277" i="148"/>
  <c r="J277" i="148"/>
  <c r="E277" i="148"/>
  <c r="F277" i="148"/>
  <c r="K277" i="148"/>
  <c r="G277" i="148"/>
  <c r="C277" i="148"/>
  <c r="I278" i="148"/>
  <c r="D278" i="148"/>
  <c r="J278" i="148"/>
  <c r="E278" i="148"/>
  <c r="F278" i="148"/>
  <c r="K278" i="148"/>
  <c r="G278" i="148"/>
  <c r="C278" i="148"/>
  <c r="I279" i="148"/>
  <c r="D279" i="148"/>
  <c r="J279" i="148"/>
  <c r="E279" i="148"/>
  <c r="F279" i="148"/>
  <c r="K279" i="148"/>
  <c r="G279" i="148"/>
  <c r="C279" i="148"/>
  <c r="I280" i="148"/>
  <c r="D280" i="148"/>
  <c r="J280" i="148"/>
  <c r="E280" i="148"/>
  <c r="F280" i="148"/>
  <c r="K280" i="148"/>
  <c r="G280" i="148"/>
  <c r="C280" i="148"/>
  <c r="I281" i="148"/>
  <c r="D281" i="148"/>
  <c r="J281" i="148"/>
  <c r="E281" i="148"/>
  <c r="F281" i="148"/>
  <c r="K281" i="148"/>
  <c r="G281" i="148"/>
  <c r="C281" i="148"/>
  <c r="I282" i="148"/>
  <c r="D282" i="148"/>
  <c r="J282" i="148"/>
  <c r="E282" i="148"/>
  <c r="F282" i="148"/>
  <c r="K282" i="148"/>
  <c r="G282" i="148"/>
  <c r="C282" i="148"/>
  <c r="I283" i="148"/>
  <c r="D283" i="148"/>
  <c r="J283" i="148"/>
  <c r="E283" i="148"/>
  <c r="F283" i="148"/>
  <c r="K283" i="148"/>
  <c r="G283" i="148"/>
  <c r="C283" i="148"/>
  <c r="I284" i="148"/>
  <c r="D284" i="148"/>
  <c r="J284" i="148"/>
  <c r="E284" i="148"/>
  <c r="F284" i="148"/>
  <c r="K284" i="148"/>
  <c r="G284" i="148"/>
  <c r="C284" i="148"/>
  <c r="I285" i="148"/>
  <c r="D285" i="148"/>
  <c r="J285" i="148"/>
  <c r="E285" i="148"/>
  <c r="F285" i="148"/>
  <c r="K285" i="148"/>
  <c r="G285" i="148"/>
  <c r="C285" i="148"/>
  <c r="I286" i="148"/>
  <c r="D286" i="148"/>
  <c r="J286" i="148"/>
  <c r="E286" i="148"/>
  <c r="F286" i="148"/>
  <c r="K286" i="148"/>
  <c r="G286" i="148"/>
  <c r="C286" i="148"/>
  <c r="I287" i="148"/>
  <c r="D287" i="148"/>
  <c r="J287" i="148"/>
  <c r="E287" i="148"/>
  <c r="F287" i="148"/>
  <c r="K287" i="148"/>
  <c r="G287" i="148"/>
  <c r="C287" i="148"/>
  <c r="I288" i="148"/>
  <c r="D288" i="148"/>
  <c r="J288" i="148"/>
  <c r="E288" i="148"/>
  <c r="F288" i="148"/>
  <c r="K288" i="148"/>
  <c r="G288" i="148"/>
  <c r="C288" i="148"/>
  <c r="I289" i="148"/>
  <c r="D289" i="148"/>
  <c r="J289" i="148"/>
  <c r="E289" i="148"/>
  <c r="F289" i="148"/>
  <c r="K289" i="148"/>
  <c r="G289" i="148"/>
  <c r="C289" i="148"/>
  <c r="I290" i="148"/>
  <c r="D290" i="148"/>
  <c r="J290" i="148"/>
  <c r="E290" i="148"/>
  <c r="F290" i="148"/>
  <c r="K290" i="148"/>
  <c r="G290" i="148"/>
  <c r="C290" i="148"/>
  <c r="I291" i="148"/>
  <c r="D291" i="148"/>
  <c r="J291" i="148"/>
  <c r="E291" i="148"/>
  <c r="F291" i="148"/>
  <c r="K291" i="148"/>
  <c r="G291" i="148"/>
  <c r="C291" i="148"/>
  <c r="I292" i="148"/>
  <c r="D292" i="148"/>
  <c r="J292" i="148"/>
  <c r="E292" i="148"/>
  <c r="F292" i="148"/>
  <c r="K292" i="148"/>
  <c r="G292" i="148"/>
  <c r="C292" i="148"/>
  <c r="I293" i="148"/>
  <c r="D293" i="148"/>
  <c r="J293" i="148"/>
  <c r="E293" i="148"/>
  <c r="F293" i="148"/>
  <c r="K293" i="148"/>
  <c r="G293" i="148"/>
  <c r="C293" i="148"/>
  <c r="I295" i="148"/>
  <c r="D295" i="148"/>
  <c r="J295" i="148"/>
  <c r="E295" i="148"/>
  <c r="F295" i="148"/>
  <c r="K295" i="148"/>
  <c r="G295" i="148"/>
  <c r="C295" i="148"/>
  <c r="I296" i="148"/>
  <c r="D296" i="148"/>
  <c r="J296" i="148"/>
  <c r="E296" i="148"/>
  <c r="F296" i="148"/>
  <c r="K296" i="148"/>
  <c r="G296" i="148"/>
  <c r="C296" i="148"/>
  <c r="I297" i="148"/>
  <c r="D297" i="148"/>
  <c r="J297" i="148"/>
  <c r="E297" i="148"/>
  <c r="F297" i="148"/>
  <c r="K297" i="148"/>
  <c r="G297" i="148"/>
  <c r="C297" i="148"/>
  <c r="I298" i="148"/>
  <c r="D298" i="148"/>
  <c r="J298" i="148"/>
  <c r="E298" i="148"/>
  <c r="F298" i="148"/>
  <c r="K298" i="148"/>
  <c r="G298" i="148"/>
  <c r="C298" i="148"/>
  <c r="I299" i="148"/>
  <c r="D299" i="148"/>
  <c r="J299" i="148"/>
  <c r="E299" i="148"/>
  <c r="F299" i="148"/>
  <c r="K299" i="148"/>
  <c r="G299" i="148"/>
  <c r="C299" i="148"/>
  <c r="I300" i="148"/>
  <c r="D300" i="148"/>
  <c r="J300" i="148"/>
  <c r="E300" i="148"/>
  <c r="F300" i="148"/>
  <c r="K300" i="148"/>
  <c r="G300" i="148"/>
  <c r="C300" i="148"/>
  <c r="F5" i="147"/>
  <c r="F7" i="147"/>
  <c r="A51" i="147"/>
  <c r="E5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E29" i="147"/>
  <c r="B29" i="147"/>
  <c r="G29" i="147"/>
  <c r="H29" i="147"/>
  <c r="O294" i="148"/>
  <c r="O295" i="148"/>
  <c r="F6" i="147"/>
  <c r="E6" i="147"/>
  <c r="E44" i="147"/>
  <c r="B44" i="147"/>
  <c r="G44" i="147"/>
  <c r="H44" i="147"/>
  <c r="O296" i="148"/>
  <c r="E7" i="147"/>
  <c r="E22" i="147"/>
  <c r="E26" i="147"/>
  <c r="B26" i="147"/>
  <c r="E28" i="147"/>
  <c r="B28" i="147"/>
  <c r="E21" i="147"/>
  <c r="B21" i="147"/>
  <c r="B23" i="147"/>
  <c r="B22" i="147"/>
  <c r="G22" i="147"/>
  <c r="H22" i="147"/>
  <c r="O297" i="148"/>
  <c r="G23" i="147"/>
  <c r="E23" i="147"/>
  <c r="H23" i="147"/>
  <c r="O298" i="148"/>
  <c r="O299" i="148"/>
  <c r="G46" i="147"/>
  <c r="E46" i="147"/>
  <c r="H46" i="147"/>
  <c r="O300" i="148"/>
  <c r="F6" i="106"/>
  <c r="G3" i="82"/>
  <c r="G4" i="82"/>
  <c r="G5" i="82"/>
  <c r="G6" i="82"/>
  <c r="G7" i="82"/>
  <c r="G8" i="82"/>
  <c r="G9" i="82"/>
  <c r="G10" i="82"/>
  <c r="G11" i="82"/>
  <c r="G12" i="82"/>
  <c r="G13" i="82"/>
  <c r="G14" i="82"/>
  <c r="G15" i="82"/>
  <c r="G16" i="82"/>
  <c r="G17" i="82"/>
  <c r="G18" i="82"/>
  <c r="G19" i="82"/>
  <c r="G20" i="82"/>
  <c r="G21" i="82"/>
  <c r="G22" i="82"/>
  <c r="G23" i="82"/>
  <c r="G24" i="82"/>
  <c r="G25" i="82"/>
  <c r="G26" i="82"/>
  <c r="G27" i="82"/>
  <c r="G28" i="82"/>
  <c r="G29" i="82"/>
  <c r="G30" i="82"/>
  <c r="G31" i="82"/>
  <c r="G32" i="82"/>
  <c r="G33" i="82"/>
  <c r="G34" i="82"/>
  <c r="G35" i="82"/>
  <c r="G36" i="82"/>
  <c r="G37" i="82"/>
  <c r="G38" i="82"/>
  <c r="G39" i="82"/>
  <c r="G40" i="82"/>
  <c r="G41" i="82"/>
  <c r="G42" i="82"/>
  <c r="G43" i="82"/>
  <c r="G44" i="82"/>
  <c r="G45" i="82"/>
  <c r="G46" i="82"/>
  <c r="G47" i="82"/>
  <c r="G48" i="82"/>
  <c r="G49" i="82"/>
  <c r="G50" i="82"/>
  <c r="G51" i="82"/>
  <c r="G52" i="82"/>
  <c r="G53" i="82"/>
  <c r="G54" i="82"/>
  <c r="G55" i="82"/>
  <c r="G56" i="82"/>
  <c r="G57" i="82"/>
  <c r="G58" i="82"/>
  <c r="G59" i="82"/>
  <c r="G60" i="82"/>
  <c r="G61" i="82"/>
  <c r="G62" i="82"/>
  <c r="G63" i="82"/>
  <c r="G64" i="82"/>
  <c r="G65" i="82"/>
  <c r="G66" i="82"/>
  <c r="G67" i="82"/>
  <c r="G68" i="82"/>
  <c r="G69" i="82"/>
  <c r="G70" i="82"/>
  <c r="G71" i="82"/>
  <c r="G72" i="82"/>
  <c r="G73" i="82"/>
  <c r="G74" i="82"/>
  <c r="G75" i="82"/>
  <c r="G76" i="82"/>
  <c r="G77" i="82"/>
  <c r="G78" i="82"/>
  <c r="G79" i="82"/>
  <c r="G80" i="82"/>
  <c r="G81" i="82"/>
  <c r="G82" i="82"/>
  <c r="G83" i="82"/>
  <c r="G84" i="82"/>
  <c r="G85" i="82"/>
  <c r="G86" i="82"/>
  <c r="G87" i="82"/>
  <c r="G88" i="82"/>
  <c r="G89" i="82"/>
  <c r="G90" i="82"/>
  <c r="G91" i="82"/>
  <c r="G92" i="82"/>
  <c r="G93" i="82"/>
  <c r="G94" i="82"/>
  <c r="G95" i="82"/>
  <c r="G96" i="82"/>
  <c r="G97" i="82"/>
  <c r="G98" i="82"/>
  <c r="G99" i="82"/>
  <c r="G100" i="82"/>
  <c r="G101" i="82"/>
  <c r="G102" i="82"/>
  <c r="G103" i="82"/>
  <c r="G104" i="82"/>
  <c r="G105" i="82"/>
  <c r="G106" i="82"/>
  <c r="G107" i="82"/>
  <c r="G108" i="82"/>
  <c r="G109" i="82"/>
  <c r="G110" i="82"/>
  <c r="G111" i="82"/>
  <c r="G112" i="82"/>
  <c r="G113" i="82"/>
  <c r="G114" i="82"/>
  <c r="G115" i="82"/>
  <c r="G116" i="82"/>
  <c r="G117" i="82"/>
  <c r="G118" i="82"/>
  <c r="G119" i="82"/>
  <c r="G120" i="82"/>
  <c r="G121" i="82"/>
  <c r="G122" i="82"/>
  <c r="G123" i="82"/>
  <c r="G124" i="82"/>
  <c r="G125" i="82"/>
  <c r="G126" i="82"/>
  <c r="G127" i="82"/>
  <c r="G128" i="82"/>
  <c r="G129" i="82"/>
  <c r="G130" i="82"/>
  <c r="G131" i="82"/>
  <c r="G132" i="82"/>
  <c r="G133" i="82"/>
  <c r="G134" i="82"/>
  <c r="G135" i="82"/>
  <c r="G136" i="82"/>
  <c r="G137" i="82"/>
  <c r="G138" i="82"/>
  <c r="G139" i="82"/>
  <c r="G140" i="82"/>
  <c r="G141" i="82"/>
  <c r="G142" i="82"/>
  <c r="G143" i="82"/>
  <c r="G144" i="82"/>
  <c r="G145" i="82"/>
  <c r="G146" i="82"/>
  <c r="G147" i="82"/>
  <c r="G148" i="82"/>
  <c r="G149" i="82"/>
  <c r="G150" i="82"/>
  <c r="G151" i="82"/>
  <c r="G152" i="82"/>
  <c r="G153" i="82"/>
  <c r="G154" i="82"/>
  <c r="G155" i="82"/>
  <c r="G156" i="82"/>
  <c r="G157" i="82"/>
  <c r="G158" i="82"/>
  <c r="G159" i="82"/>
  <c r="G160" i="82"/>
  <c r="G161" i="82"/>
  <c r="G162" i="82"/>
  <c r="G163" i="82"/>
  <c r="G164" i="82"/>
  <c r="G165" i="82"/>
  <c r="G166" i="82"/>
  <c r="G167" i="82"/>
  <c r="G168" i="82"/>
  <c r="G169" i="82"/>
  <c r="G170" i="82"/>
  <c r="G171" i="82"/>
  <c r="G172" i="82"/>
  <c r="G173" i="82"/>
  <c r="G174" i="82"/>
  <c r="G175" i="82"/>
  <c r="G176" i="82"/>
  <c r="G177" i="82"/>
  <c r="G178" i="82"/>
  <c r="G179" i="82"/>
  <c r="G180" i="82"/>
  <c r="G181" i="82"/>
  <c r="G182" i="82"/>
  <c r="G183" i="82"/>
  <c r="G184" i="82"/>
  <c r="G185" i="82"/>
  <c r="G186" i="82"/>
  <c r="G187" i="82"/>
  <c r="G188" i="82"/>
  <c r="G189" i="82"/>
  <c r="G190" i="82"/>
  <c r="G191" i="82"/>
  <c r="G192" i="82"/>
  <c r="G193" i="82"/>
  <c r="G194" i="82"/>
  <c r="G195" i="82"/>
  <c r="G196" i="82"/>
  <c r="G197" i="82"/>
  <c r="G198" i="82"/>
  <c r="G199" i="82"/>
  <c r="G200" i="82"/>
  <c r="G201" i="82"/>
  <c r="G202" i="82"/>
  <c r="G203" i="82"/>
  <c r="G204" i="82"/>
  <c r="G205" i="82"/>
  <c r="G206" i="82"/>
  <c r="G207" i="82"/>
  <c r="G208" i="82"/>
  <c r="G209" i="82"/>
  <c r="G210" i="82"/>
  <c r="G211" i="82"/>
  <c r="G212" i="82"/>
  <c r="G213" i="82"/>
  <c r="G214" i="82"/>
  <c r="G215" i="82"/>
  <c r="G216" i="82"/>
  <c r="G217" i="82"/>
  <c r="G218" i="82"/>
  <c r="G219" i="82"/>
  <c r="G220" i="82"/>
  <c r="G221" i="82"/>
  <c r="G222" i="82"/>
  <c r="G223" i="82"/>
  <c r="G224" i="82"/>
  <c r="G225" i="82"/>
  <c r="G226" i="82"/>
  <c r="G227" i="82"/>
  <c r="G228" i="82"/>
  <c r="G229" i="82"/>
  <c r="G230" i="82"/>
  <c r="G231" i="82"/>
  <c r="G232" i="82"/>
  <c r="G233" i="82"/>
  <c r="G234" i="82"/>
  <c r="G235" i="82"/>
  <c r="G236" i="82"/>
  <c r="G237" i="82"/>
  <c r="G238" i="82"/>
  <c r="G239" i="82"/>
  <c r="G240" i="82"/>
  <c r="G241" i="82"/>
  <c r="G242" i="82"/>
  <c r="G243" i="82"/>
  <c r="G244" i="82"/>
  <c r="G245" i="82"/>
  <c r="G246" i="82"/>
  <c r="G247" i="82"/>
  <c r="G248" i="82"/>
  <c r="G249" i="82"/>
  <c r="G250" i="82"/>
  <c r="G251" i="82"/>
  <c r="G252" i="82"/>
  <c r="G253" i="82"/>
  <c r="G254" i="82"/>
  <c r="G255" i="82"/>
  <c r="G256" i="82"/>
  <c r="G257" i="82"/>
  <c r="G258" i="82"/>
  <c r="G259" i="82"/>
  <c r="G260" i="82"/>
  <c r="G261" i="82"/>
  <c r="G262" i="82"/>
  <c r="G263" i="82"/>
  <c r="G264" i="82"/>
  <c r="G265" i="82"/>
  <c r="G266" i="82"/>
  <c r="G267" i="82"/>
  <c r="G268" i="82"/>
  <c r="G269" i="82"/>
  <c r="G270" i="82"/>
  <c r="G271" i="82"/>
  <c r="G272" i="82"/>
  <c r="G273" i="82"/>
  <c r="G274" i="82"/>
  <c r="G275" i="82"/>
  <c r="G276" i="82"/>
  <c r="G277" i="82"/>
  <c r="G278" i="82"/>
  <c r="G279" i="82"/>
  <c r="G280" i="82"/>
  <c r="G281" i="82"/>
  <c r="G282" i="82"/>
  <c r="G283" i="82"/>
  <c r="G284" i="82"/>
  <c r="G285" i="82"/>
  <c r="G286" i="82"/>
  <c r="G287" i="82"/>
  <c r="G288" i="82"/>
  <c r="G289" i="82"/>
  <c r="G290" i="82"/>
  <c r="G291" i="82"/>
  <c r="G292" i="82"/>
  <c r="G293" i="82"/>
  <c r="G294" i="82"/>
  <c r="G295" i="82"/>
  <c r="G296" i="82"/>
  <c r="G297" i="82"/>
  <c r="G298" i="82"/>
  <c r="G299" i="82"/>
  <c r="G300" i="82"/>
  <c r="G2" i="82"/>
  <c r="I293" i="150"/>
  <c r="D293" i="150"/>
  <c r="J293" i="150"/>
  <c r="E293" i="150"/>
  <c r="F293" i="150"/>
  <c r="C293" i="150"/>
  <c r="I2" i="150"/>
  <c r="D2" i="150"/>
  <c r="J2" i="150"/>
  <c r="E2" i="150"/>
  <c r="F2" i="150"/>
  <c r="C2" i="150"/>
  <c r="I3" i="150"/>
  <c r="D3" i="150"/>
  <c r="J3" i="150"/>
  <c r="E3" i="150"/>
  <c r="F3" i="150"/>
  <c r="C3" i="150"/>
  <c r="I4" i="150"/>
  <c r="D4" i="150"/>
  <c r="J4" i="150"/>
  <c r="E4" i="150"/>
  <c r="F4" i="150"/>
  <c r="C4" i="150"/>
  <c r="I5" i="150"/>
  <c r="D5" i="150"/>
  <c r="J5" i="150"/>
  <c r="E5" i="150"/>
  <c r="F5" i="150"/>
  <c r="C5" i="150"/>
  <c r="I6" i="150"/>
  <c r="D6" i="150"/>
  <c r="J6" i="150"/>
  <c r="E6" i="150"/>
  <c r="F6" i="150"/>
  <c r="C6" i="150"/>
  <c r="I7" i="150"/>
  <c r="D7" i="150"/>
  <c r="J7" i="150"/>
  <c r="E7" i="150"/>
  <c r="F7" i="150"/>
  <c r="C7" i="150"/>
  <c r="I8" i="150"/>
  <c r="D8" i="150"/>
  <c r="J8" i="150"/>
  <c r="E8" i="150"/>
  <c r="F8" i="150"/>
  <c r="C8" i="150"/>
  <c r="I9" i="150"/>
  <c r="D9" i="150"/>
  <c r="J9" i="150"/>
  <c r="E9" i="150"/>
  <c r="F9" i="150"/>
  <c r="C9" i="150"/>
  <c r="I10" i="150"/>
  <c r="D10" i="150"/>
  <c r="J10" i="150"/>
  <c r="E10" i="150"/>
  <c r="F10" i="150"/>
  <c r="C10" i="150"/>
  <c r="I11" i="150"/>
  <c r="D11" i="150"/>
  <c r="J11" i="150"/>
  <c r="E11" i="150"/>
  <c r="F11" i="150"/>
  <c r="C11" i="150"/>
  <c r="I12" i="150"/>
  <c r="D12" i="150"/>
  <c r="J12" i="150"/>
  <c r="E12" i="150"/>
  <c r="F12" i="150"/>
  <c r="C12" i="150"/>
  <c r="I13" i="150"/>
  <c r="D13" i="150"/>
  <c r="J13" i="150"/>
  <c r="E13" i="150"/>
  <c r="F13" i="150"/>
  <c r="C13" i="150"/>
  <c r="I14" i="150"/>
  <c r="D14" i="150"/>
  <c r="J14" i="150"/>
  <c r="E14" i="150"/>
  <c r="F14" i="150"/>
  <c r="C14" i="150"/>
  <c r="I15" i="150"/>
  <c r="D15" i="150"/>
  <c r="J15" i="150"/>
  <c r="E15" i="150"/>
  <c r="F15" i="150"/>
  <c r="C15" i="150"/>
  <c r="I16" i="150"/>
  <c r="D16" i="150"/>
  <c r="J16" i="150"/>
  <c r="E16" i="150"/>
  <c r="F16" i="150"/>
  <c r="C16" i="150"/>
  <c r="I17" i="150"/>
  <c r="D17" i="150"/>
  <c r="J17" i="150"/>
  <c r="E17" i="150"/>
  <c r="F17" i="150"/>
  <c r="C17" i="150"/>
  <c r="I18" i="150"/>
  <c r="D18" i="150"/>
  <c r="J18" i="150"/>
  <c r="E18" i="150"/>
  <c r="F18" i="150"/>
  <c r="C18" i="150"/>
  <c r="I19" i="150"/>
  <c r="D19" i="150"/>
  <c r="J19" i="150"/>
  <c r="E19" i="150"/>
  <c r="F19" i="150"/>
  <c r="C19" i="150"/>
  <c r="I20" i="150"/>
  <c r="D20" i="150"/>
  <c r="J20" i="150"/>
  <c r="E20" i="150"/>
  <c r="F20" i="150"/>
  <c r="C20" i="150"/>
  <c r="I21" i="150"/>
  <c r="D21" i="150"/>
  <c r="J21" i="150"/>
  <c r="E21" i="150"/>
  <c r="F21" i="150"/>
  <c r="C21" i="150"/>
  <c r="I22" i="150"/>
  <c r="D22" i="150"/>
  <c r="J22" i="150"/>
  <c r="E22" i="150"/>
  <c r="F22" i="150"/>
  <c r="C22" i="150"/>
  <c r="I23" i="150"/>
  <c r="D23" i="150"/>
  <c r="J23" i="150"/>
  <c r="E23" i="150"/>
  <c r="F23" i="150"/>
  <c r="C23" i="150"/>
  <c r="I24" i="150"/>
  <c r="D24" i="150"/>
  <c r="J24" i="150"/>
  <c r="E24" i="150"/>
  <c r="F24" i="150"/>
  <c r="C24" i="150"/>
  <c r="I25" i="150"/>
  <c r="D25" i="150"/>
  <c r="J25" i="150"/>
  <c r="E25" i="150"/>
  <c r="F25" i="150"/>
  <c r="C25" i="150"/>
  <c r="I26" i="150"/>
  <c r="D26" i="150"/>
  <c r="J26" i="150"/>
  <c r="E26" i="150"/>
  <c r="F26" i="150"/>
  <c r="C26" i="150"/>
  <c r="I27" i="150"/>
  <c r="D27" i="150"/>
  <c r="J27" i="150"/>
  <c r="E27" i="150"/>
  <c r="F27" i="150"/>
  <c r="C27" i="150"/>
  <c r="I28" i="150"/>
  <c r="D28" i="150"/>
  <c r="J28" i="150"/>
  <c r="E28" i="150"/>
  <c r="F28" i="150"/>
  <c r="C28" i="150"/>
  <c r="I29" i="150"/>
  <c r="D29" i="150"/>
  <c r="J29" i="150"/>
  <c r="E29" i="150"/>
  <c r="F29" i="150"/>
  <c r="C29" i="150"/>
  <c r="I30" i="150"/>
  <c r="D30" i="150"/>
  <c r="J30" i="150"/>
  <c r="E30" i="150"/>
  <c r="F30" i="150"/>
  <c r="C30" i="150"/>
  <c r="I31" i="150"/>
  <c r="D31" i="150"/>
  <c r="J31" i="150"/>
  <c r="E31" i="150"/>
  <c r="F31" i="150"/>
  <c r="C31" i="150"/>
  <c r="I32" i="150"/>
  <c r="D32" i="150"/>
  <c r="J32" i="150"/>
  <c r="E32" i="150"/>
  <c r="F32" i="150"/>
  <c r="C32" i="150"/>
  <c r="I33" i="150"/>
  <c r="D33" i="150"/>
  <c r="J33" i="150"/>
  <c r="E33" i="150"/>
  <c r="F33" i="150"/>
  <c r="C33" i="150"/>
  <c r="I34" i="150"/>
  <c r="D34" i="150"/>
  <c r="J34" i="150"/>
  <c r="E34" i="150"/>
  <c r="F34" i="150"/>
  <c r="C34" i="150"/>
  <c r="I35" i="150"/>
  <c r="D35" i="150"/>
  <c r="J35" i="150"/>
  <c r="E35" i="150"/>
  <c r="F35" i="150"/>
  <c r="C35" i="150"/>
  <c r="I36" i="150"/>
  <c r="D36" i="150"/>
  <c r="J36" i="150"/>
  <c r="E36" i="150"/>
  <c r="F36" i="150"/>
  <c r="C36" i="150"/>
  <c r="I37" i="150"/>
  <c r="D37" i="150"/>
  <c r="J37" i="150"/>
  <c r="E37" i="150"/>
  <c r="F37" i="150"/>
  <c r="C37" i="150"/>
  <c r="I38" i="150"/>
  <c r="D38" i="150"/>
  <c r="J38" i="150"/>
  <c r="E38" i="150"/>
  <c r="F38" i="150"/>
  <c r="C38" i="150"/>
  <c r="I39" i="150"/>
  <c r="D39" i="150"/>
  <c r="J39" i="150"/>
  <c r="E39" i="150"/>
  <c r="F39" i="150"/>
  <c r="C39" i="150"/>
  <c r="I40" i="150"/>
  <c r="D40" i="150"/>
  <c r="J40" i="150"/>
  <c r="E40" i="150"/>
  <c r="F40" i="150"/>
  <c r="C40" i="150"/>
  <c r="I41" i="150"/>
  <c r="D41" i="150"/>
  <c r="J41" i="150"/>
  <c r="E41" i="150"/>
  <c r="F41" i="150"/>
  <c r="C41" i="150"/>
  <c r="I42" i="150"/>
  <c r="D42" i="150"/>
  <c r="J42" i="150"/>
  <c r="E42" i="150"/>
  <c r="F42" i="150"/>
  <c r="C42" i="150"/>
  <c r="I43" i="150"/>
  <c r="D43" i="150"/>
  <c r="J43" i="150"/>
  <c r="E43" i="150"/>
  <c r="F43" i="150"/>
  <c r="C43" i="150"/>
  <c r="I44" i="150"/>
  <c r="D44" i="150"/>
  <c r="J44" i="150"/>
  <c r="E44" i="150"/>
  <c r="F44" i="150"/>
  <c r="C44" i="150"/>
  <c r="I45" i="150"/>
  <c r="D45" i="150"/>
  <c r="J45" i="150"/>
  <c r="E45" i="150"/>
  <c r="F45" i="150"/>
  <c r="C45" i="150"/>
  <c r="I46" i="150"/>
  <c r="D46" i="150"/>
  <c r="J46" i="150"/>
  <c r="E46" i="150"/>
  <c r="F46" i="150"/>
  <c r="C46" i="150"/>
  <c r="I47" i="150"/>
  <c r="D47" i="150"/>
  <c r="J47" i="150"/>
  <c r="E47" i="150"/>
  <c r="F47" i="150"/>
  <c r="C47" i="150"/>
  <c r="I48" i="150"/>
  <c r="D48" i="150"/>
  <c r="J48" i="150"/>
  <c r="E48" i="150"/>
  <c r="F48" i="150"/>
  <c r="C48" i="150"/>
  <c r="I49" i="150"/>
  <c r="D49" i="150"/>
  <c r="J49" i="150"/>
  <c r="E49" i="150"/>
  <c r="F49" i="150"/>
  <c r="C49" i="150"/>
  <c r="I50" i="150"/>
  <c r="D50" i="150"/>
  <c r="J50" i="150"/>
  <c r="E50" i="150"/>
  <c r="F50" i="150"/>
  <c r="C50" i="150"/>
  <c r="I51" i="150"/>
  <c r="D51" i="150"/>
  <c r="J51" i="150"/>
  <c r="E51" i="150"/>
  <c r="F51" i="150"/>
  <c r="C51" i="150"/>
  <c r="I52" i="150"/>
  <c r="D52" i="150"/>
  <c r="J52" i="150"/>
  <c r="E52" i="150"/>
  <c r="F52" i="150"/>
  <c r="C52" i="150"/>
  <c r="I53" i="150"/>
  <c r="D53" i="150"/>
  <c r="J53" i="150"/>
  <c r="E53" i="150"/>
  <c r="F53" i="150"/>
  <c r="C53" i="150"/>
  <c r="I54" i="150"/>
  <c r="D54" i="150"/>
  <c r="J54" i="150"/>
  <c r="E54" i="150"/>
  <c r="F54" i="150"/>
  <c r="C54" i="150"/>
  <c r="I55" i="150"/>
  <c r="D55" i="150"/>
  <c r="J55" i="150"/>
  <c r="E55" i="150"/>
  <c r="F55" i="150"/>
  <c r="C55" i="150"/>
  <c r="I56" i="150"/>
  <c r="D56" i="150"/>
  <c r="J56" i="150"/>
  <c r="E56" i="150"/>
  <c r="F56" i="150"/>
  <c r="C56" i="150"/>
  <c r="I57" i="150"/>
  <c r="D57" i="150"/>
  <c r="J57" i="150"/>
  <c r="E57" i="150"/>
  <c r="F57" i="150"/>
  <c r="C57" i="150"/>
  <c r="I58" i="150"/>
  <c r="D58" i="150"/>
  <c r="J58" i="150"/>
  <c r="E58" i="150"/>
  <c r="F58" i="150"/>
  <c r="C58" i="150"/>
  <c r="I59" i="150"/>
  <c r="D59" i="150"/>
  <c r="J59" i="150"/>
  <c r="E59" i="150"/>
  <c r="F59" i="150"/>
  <c r="C59" i="150"/>
  <c r="I60" i="150"/>
  <c r="D60" i="150"/>
  <c r="J60" i="150"/>
  <c r="E60" i="150"/>
  <c r="F60" i="150"/>
  <c r="C60" i="150"/>
  <c r="I61" i="150"/>
  <c r="D61" i="150"/>
  <c r="J61" i="150"/>
  <c r="E61" i="150"/>
  <c r="F61" i="150"/>
  <c r="C61" i="150"/>
  <c r="I62" i="150"/>
  <c r="D62" i="150"/>
  <c r="J62" i="150"/>
  <c r="E62" i="150"/>
  <c r="F62" i="150"/>
  <c r="C62" i="150"/>
  <c r="I63" i="150"/>
  <c r="D63" i="150"/>
  <c r="J63" i="150"/>
  <c r="E63" i="150"/>
  <c r="F63" i="150"/>
  <c r="C63" i="150"/>
  <c r="I64" i="150"/>
  <c r="D64" i="150"/>
  <c r="J64" i="150"/>
  <c r="E64" i="150"/>
  <c r="F64" i="150"/>
  <c r="C64" i="150"/>
  <c r="I65" i="150"/>
  <c r="D65" i="150"/>
  <c r="J65" i="150"/>
  <c r="E65" i="150"/>
  <c r="F65" i="150"/>
  <c r="C65" i="150"/>
  <c r="I66" i="150"/>
  <c r="D66" i="150"/>
  <c r="J66" i="150"/>
  <c r="E66" i="150"/>
  <c r="F66" i="150"/>
  <c r="C66" i="150"/>
  <c r="I67" i="150"/>
  <c r="D67" i="150"/>
  <c r="J67" i="150"/>
  <c r="E67" i="150"/>
  <c r="F67" i="150"/>
  <c r="C67" i="150"/>
  <c r="I68" i="150"/>
  <c r="D68" i="150"/>
  <c r="J68" i="150"/>
  <c r="E68" i="150"/>
  <c r="F68" i="150"/>
  <c r="C68" i="150"/>
  <c r="I69" i="150"/>
  <c r="D69" i="150"/>
  <c r="J69" i="150"/>
  <c r="E69" i="150"/>
  <c r="F69" i="150"/>
  <c r="C69" i="150"/>
  <c r="I70" i="150"/>
  <c r="D70" i="150"/>
  <c r="J70" i="150"/>
  <c r="E70" i="150"/>
  <c r="F70" i="150"/>
  <c r="C70" i="150"/>
  <c r="I71" i="150"/>
  <c r="D71" i="150"/>
  <c r="J71" i="150"/>
  <c r="E71" i="150"/>
  <c r="F71" i="150"/>
  <c r="C71" i="150"/>
  <c r="I72" i="150"/>
  <c r="D72" i="150"/>
  <c r="J72" i="150"/>
  <c r="E72" i="150"/>
  <c r="F72" i="150"/>
  <c r="C72" i="150"/>
  <c r="I73" i="150"/>
  <c r="D73" i="150"/>
  <c r="J73" i="150"/>
  <c r="E73" i="150"/>
  <c r="F73" i="150"/>
  <c r="C73" i="150"/>
  <c r="I74" i="150"/>
  <c r="D74" i="150"/>
  <c r="J74" i="150"/>
  <c r="E74" i="150"/>
  <c r="F74" i="150"/>
  <c r="C74" i="150"/>
  <c r="I75" i="150"/>
  <c r="D75" i="150"/>
  <c r="J75" i="150"/>
  <c r="E75" i="150"/>
  <c r="F75" i="150"/>
  <c r="C75" i="150"/>
  <c r="I76" i="150"/>
  <c r="D76" i="150"/>
  <c r="J76" i="150"/>
  <c r="E76" i="150"/>
  <c r="F76" i="150"/>
  <c r="C76" i="150"/>
  <c r="I77" i="150"/>
  <c r="D77" i="150"/>
  <c r="J77" i="150"/>
  <c r="E77" i="150"/>
  <c r="F77" i="150"/>
  <c r="C77" i="150"/>
  <c r="I78" i="150"/>
  <c r="D78" i="150"/>
  <c r="J78" i="150"/>
  <c r="E78" i="150"/>
  <c r="F78" i="150"/>
  <c r="C78" i="150"/>
  <c r="I79" i="150"/>
  <c r="D79" i="150"/>
  <c r="J79" i="150"/>
  <c r="E79" i="150"/>
  <c r="F79" i="150"/>
  <c r="C79" i="150"/>
  <c r="I80" i="150"/>
  <c r="D80" i="150"/>
  <c r="J80" i="150"/>
  <c r="E80" i="150"/>
  <c r="F80" i="150"/>
  <c r="C80" i="150"/>
  <c r="I81" i="150"/>
  <c r="D81" i="150"/>
  <c r="J81" i="150"/>
  <c r="E81" i="150"/>
  <c r="F81" i="150"/>
  <c r="C81" i="150"/>
  <c r="I82" i="150"/>
  <c r="D82" i="150"/>
  <c r="J82" i="150"/>
  <c r="E82" i="150"/>
  <c r="F82" i="150"/>
  <c r="C82" i="150"/>
  <c r="I83" i="150"/>
  <c r="D83" i="150"/>
  <c r="J83" i="150"/>
  <c r="E83" i="150"/>
  <c r="F83" i="150"/>
  <c r="C83" i="150"/>
  <c r="I84" i="150"/>
  <c r="D84" i="150"/>
  <c r="J84" i="150"/>
  <c r="E84" i="150"/>
  <c r="F84" i="150"/>
  <c r="C84" i="150"/>
  <c r="I85" i="150"/>
  <c r="D85" i="150"/>
  <c r="J85" i="150"/>
  <c r="E85" i="150"/>
  <c r="F85" i="150"/>
  <c r="C85" i="150"/>
  <c r="I86" i="150"/>
  <c r="D86" i="150"/>
  <c r="J86" i="150"/>
  <c r="E86" i="150"/>
  <c r="F86" i="150"/>
  <c r="C86" i="150"/>
  <c r="I87" i="150"/>
  <c r="D87" i="150"/>
  <c r="J87" i="150"/>
  <c r="E87" i="150"/>
  <c r="F87" i="150"/>
  <c r="C87" i="150"/>
  <c r="I88" i="150"/>
  <c r="D88" i="150"/>
  <c r="J88" i="150"/>
  <c r="E88" i="150"/>
  <c r="F88" i="150"/>
  <c r="C88" i="150"/>
  <c r="I89" i="150"/>
  <c r="D89" i="150"/>
  <c r="J89" i="150"/>
  <c r="E89" i="150"/>
  <c r="F89" i="150"/>
  <c r="C89" i="150"/>
  <c r="I90" i="150"/>
  <c r="D90" i="150"/>
  <c r="J90" i="150"/>
  <c r="E90" i="150"/>
  <c r="F90" i="150"/>
  <c r="C90" i="150"/>
  <c r="I91" i="150"/>
  <c r="D91" i="150"/>
  <c r="J91" i="150"/>
  <c r="E91" i="150"/>
  <c r="F91" i="150"/>
  <c r="C91" i="150"/>
  <c r="I92" i="150"/>
  <c r="D92" i="150"/>
  <c r="J92" i="150"/>
  <c r="E92" i="150"/>
  <c r="F92" i="150"/>
  <c r="C92" i="150"/>
  <c r="I93" i="150"/>
  <c r="D93" i="150"/>
  <c r="J93" i="150"/>
  <c r="E93" i="150"/>
  <c r="F93" i="150"/>
  <c r="C93" i="150"/>
  <c r="I94" i="150"/>
  <c r="D94" i="150"/>
  <c r="J94" i="150"/>
  <c r="E94" i="150"/>
  <c r="F94" i="150"/>
  <c r="C94" i="150"/>
  <c r="I95" i="150"/>
  <c r="D95" i="150"/>
  <c r="J95" i="150"/>
  <c r="E95" i="150"/>
  <c r="F95" i="150"/>
  <c r="C95" i="150"/>
  <c r="I96" i="150"/>
  <c r="D96" i="150"/>
  <c r="J96" i="150"/>
  <c r="E96" i="150"/>
  <c r="F96" i="150"/>
  <c r="C96" i="150"/>
  <c r="I97" i="150"/>
  <c r="D97" i="150"/>
  <c r="J97" i="150"/>
  <c r="E97" i="150"/>
  <c r="F97" i="150"/>
  <c r="C97" i="150"/>
  <c r="I98" i="150"/>
  <c r="D98" i="150"/>
  <c r="J98" i="150"/>
  <c r="E98" i="150"/>
  <c r="F98" i="150"/>
  <c r="C98" i="150"/>
  <c r="I99" i="150"/>
  <c r="D99" i="150"/>
  <c r="J99" i="150"/>
  <c r="E99" i="150"/>
  <c r="F99" i="150"/>
  <c r="C99" i="150"/>
  <c r="I100" i="150"/>
  <c r="D100" i="150"/>
  <c r="J100" i="150"/>
  <c r="E100" i="150"/>
  <c r="F100" i="150"/>
  <c r="C100" i="150"/>
  <c r="I101" i="150"/>
  <c r="D101" i="150"/>
  <c r="J101" i="150"/>
  <c r="E101" i="150"/>
  <c r="F101" i="150"/>
  <c r="C101" i="150"/>
  <c r="I102" i="150"/>
  <c r="D102" i="150"/>
  <c r="J102" i="150"/>
  <c r="E102" i="150"/>
  <c r="F102" i="150"/>
  <c r="C102" i="150"/>
  <c r="I103" i="150"/>
  <c r="D103" i="150"/>
  <c r="J103" i="150"/>
  <c r="E103" i="150"/>
  <c r="F103" i="150"/>
  <c r="C103" i="150"/>
  <c r="I104" i="150"/>
  <c r="D104" i="150"/>
  <c r="J104" i="150"/>
  <c r="E104" i="150"/>
  <c r="F104" i="150"/>
  <c r="C104" i="150"/>
  <c r="I105" i="150"/>
  <c r="D105" i="150"/>
  <c r="J105" i="150"/>
  <c r="E105" i="150"/>
  <c r="F105" i="150"/>
  <c r="C105" i="150"/>
  <c r="I106" i="150"/>
  <c r="D106" i="150"/>
  <c r="J106" i="150"/>
  <c r="E106" i="150"/>
  <c r="F106" i="150"/>
  <c r="C106" i="150"/>
  <c r="I107" i="150"/>
  <c r="D107" i="150"/>
  <c r="J107" i="150"/>
  <c r="E107" i="150"/>
  <c r="F107" i="150"/>
  <c r="C107" i="150"/>
  <c r="I108" i="150"/>
  <c r="D108" i="150"/>
  <c r="J108" i="150"/>
  <c r="E108" i="150"/>
  <c r="F108" i="150"/>
  <c r="C108" i="150"/>
  <c r="I109" i="150"/>
  <c r="D109" i="150"/>
  <c r="J109" i="150"/>
  <c r="E109" i="150"/>
  <c r="F109" i="150"/>
  <c r="C109" i="150"/>
  <c r="I110" i="150"/>
  <c r="D110" i="150"/>
  <c r="J110" i="150"/>
  <c r="E110" i="150"/>
  <c r="F110" i="150"/>
  <c r="C110" i="150"/>
  <c r="I111" i="150"/>
  <c r="D111" i="150"/>
  <c r="J111" i="150"/>
  <c r="E111" i="150"/>
  <c r="F111" i="150"/>
  <c r="C111" i="150"/>
  <c r="I112" i="150"/>
  <c r="D112" i="150"/>
  <c r="J112" i="150"/>
  <c r="E112" i="150"/>
  <c r="F112" i="150"/>
  <c r="C112" i="150"/>
  <c r="I113" i="150"/>
  <c r="D113" i="150"/>
  <c r="J113" i="150"/>
  <c r="E113" i="150"/>
  <c r="F113" i="150"/>
  <c r="C113" i="150"/>
  <c r="I114" i="150"/>
  <c r="D114" i="150"/>
  <c r="J114" i="150"/>
  <c r="E114" i="150"/>
  <c r="F114" i="150"/>
  <c r="C114" i="150"/>
  <c r="I115" i="150"/>
  <c r="D115" i="150"/>
  <c r="J115" i="150"/>
  <c r="E115" i="150"/>
  <c r="F115" i="150"/>
  <c r="C115" i="150"/>
  <c r="I116" i="150"/>
  <c r="D116" i="150"/>
  <c r="J116" i="150"/>
  <c r="E116" i="150"/>
  <c r="F116" i="150"/>
  <c r="C116" i="150"/>
  <c r="I117" i="150"/>
  <c r="D117" i="150"/>
  <c r="J117" i="150"/>
  <c r="E117" i="150"/>
  <c r="F117" i="150"/>
  <c r="C117" i="150"/>
  <c r="I118" i="150"/>
  <c r="D118" i="150"/>
  <c r="J118" i="150"/>
  <c r="E118" i="150"/>
  <c r="F118" i="150"/>
  <c r="C118" i="150"/>
  <c r="I119" i="150"/>
  <c r="D119" i="150"/>
  <c r="J119" i="150"/>
  <c r="E119" i="150"/>
  <c r="F119" i="150"/>
  <c r="C119" i="150"/>
  <c r="I120" i="150"/>
  <c r="D120" i="150"/>
  <c r="J120" i="150"/>
  <c r="E120" i="150"/>
  <c r="F120" i="150"/>
  <c r="C120" i="150"/>
  <c r="I121" i="150"/>
  <c r="D121" i="150"/>
  <c r="J121" i="150"/>
  <c r="E121" i="150"/>
  <c r="F121" i="150"/>
  <c r="C121" i="150"/>
  <c r="I122" i="150"/>
  <c r="D122" i="150"/>
  <c r="J122" i="150"/>
  <c r="E122" i="150"/>
  <c r="F122" i="150"/>
  <c r="C122" i="150"/>
  <c r="I123" i="150"/>
  <c r="D123" i="150"/>
  <c r="J123" i="150"/>
  <c r="E123" i="150"/>
  <c r="F123" i="150"/>
  <c r="C123" i="150"/>
  <c r="I124" i="150"/>
  <c r="D124" i="150"/>
  <c r="J124" i="150"/>
  <c r="E124" i="150"/>
  <c r="F124" i="150"/>
  <c r="C124" i="150"/>
  <c r="I125" i="150"/>
  <c r="D125" i="150"/>
  <c r="J125" i="150"/>
  <c r="E125" i="150"/>
  <c r="F125" i="150"/>
  <c r="C125" i="150"/>
  <c r="I126" i="150"/>
  <c r="D126" i="150"/>
  <c r="J126" i="150"/>
  <c r="E126" i="150"/>
  <c r="F126" i="150"/>
  <c r="C126" i="150"/>
  <c r="I127" i="150"/>
  <c r="D127" i="150"/>
  <c r="J127" i="150"/>
  <c r="E127" i="150"/>
  <c r="F127" i="150"/>
  <c r="C127" i="150"/>
  <c r="I128" i="150"/>
  <c r="D128" i="150"/>
  <c r="J128" i="150"/>
  <c r="E128" i="150"/>
  <c r="F128" i="150"/>
  <c r="C128" i="150"/>
  <c r="I129" i="150"/>
  <c r="D129" i="150"/>
  <c r="J129" i="150"/>
  <c r="E129" i="150"/>
  <c r="F129" i="150"/>
  <c r="C129" i="150"/>
  <c r="I130" i="150"/>
  <c r="D130" i="150"/>
  <c r="J130" i="150"/>
  <c r="E130" i="150"/>
  <c r="F130" i="150"/>
  <c r="C130" i="150"/>
  <c r="I131" i="150"/>
  <c r="D131" i="150"/>
  <c r="J131" i="150"/>
  <c r="E131" i="150"/>
  <c r="F131" i="150"/>
  <c r="C131" i="150"/>
  <c r="I132" i="150"/>
  <c r="D132" i="150"/>
  <c r="J132" i="150"/>
  <c r="E132" i="150"/>
  <c r="F132" i="150"/>
  <c r="C132" i="150"/>
  <c r="I133" i="150"/>
  <c r="D133" i="150"/>
  <c r="J133" i="150"/>
  <c r="E133" i="150"/>
  <c r="F133" i="150"/>
  <c r="C133" i="150"/>
  <c r="I134" i="150"/>
  <c r="D134" i="150"/>
  <c r="J134" i="150"/>
  <c r="E134" i="150"/>
  <c r="F134" i="150"/>
  <c r="C134" i="150"/>
  <c r="I135" i="150"/>
  <c r="D135" i="150"/>
  <c r="J135" i="150"/>
  <c r="E135" i="150"/>
  <c r="F135" i="150"/>
  <c r="C135" i="150"/>
  <c r="I136" i="150"/>
  <c r="D136" i="150"/>
  <c r="J136" i="150"/>
  <c r="E136" i="150"/>
  <c r="F136" i="150"/>
  <c r="C136" i="150"/>
  <c r="I137" i="150"/>
  <c r="D137" i="150"/>
  <c r="J137" i="150"/>
  <c r="E137" i="150"/>
  <c r="F137" i="150"/>
  <c r="C137" i="150"/>
  <c r="I138" i="150"/>
  <c r="D138" i="150"/>
  <c r="J138" i="150"/>
  <c r="E138" i="150"/>
  <c r="F138" i="150"/>
  <c r="C138" i="150"/>
  <c r="I139" i="150"/>
  <c r="D139" i="150"/>
  <c r="J139" i="150"/>
  <c r="E139" i="150"/>
  <c r="F139" i="150"/>
  <c r="C139" i="150"/>
  <c r="I140" i="150"/>
  <c r="D140" i="150"/>
  <c r="J140" i="150"/>
  <c r="E140" i="150"/>
  <c r="F140" i="150"/>
  <c r="C140" i="150"/>
  <c r="I141" i="150"/>
  <c r="D141" i="150"/>
  <c r="J141" i="150"/>
  <c r="E141" i="150"/>
  <c r="F141" i="150"/>
  <c r="C141" i="150"/>
  <c r="I142" i="150"/>
  <c r="D142" i="150"/>
  <c r="J142" i="150"/>
  <c r="E142" i="150"/>
  <c r="F142" i="150"/>
  <c r="C142" i="150"/>
  <c r="I143" i="150"/>
  <c r="D143" i="150"/>
  <c r="J143" i="150"/>
  <c r="E143" i="150"/>
  <c r="F143" i="150"/>
  <c r="C143" i="150"/>
  <c r="I144" i="150"/>
  <c r="D144" i="150"/>
  <c r="J144" i="150"/>
  <c r="E144" i="150"/>
  <c r="F144" i="150"/>
  <c r="C144" i="150"/>
  <c r="I145" i="150"/>
  <c r="D145" i="150"/>
  <c r="J145" i="150"/>
  <c r="E145" i="150"/>
  <c r="F145" i="150"/>
  <c r="C145" i="150"/>
  <c r="I146" i="150"/>
  <c r="D146" i="150"/>
  <c r="J146" i="150"/>
  <c r="E146" i="150"/>
  <c r="F146" i="150"/>
  <c r="C146" i="150"/>
  <c r="I147" i="150"/>
  <c r="D147" i="150"/>
  <c r="J147" i="150"/>
  <c r="E147" i="150"/>
  <c r="F147" i="150"/>
  <c r="C147" i="150"/>
  <c r="I148" i="150"/>
  <c r="D148" i="150"/>
  <c r="J148" i="150"/>
  <c r="E148" i="150"/>
  <c r="F148" i="150"/>
  <c r="C148" i="150"/>
  <c r="I149" i="150"/>
  <c r="D149" i="150"/>
  <c r="J149" i="150"/>
  <c r="E149" i="150"/>
  <c r="F149" i="150"/>
  <c r="C149" i="150"/>
  <c r="I150" i="150"/>
  <c r="D150" i="150"/>
  <c r="J150" i="150"/>
  <c r="E150" i="150"/>
  <c r="F150" i="150"/>
  <c r="C150" i="150"/>
  <c r="I151" i="150"/>
  <c r="D151" i="150"/>
  <c r="J151" i="150"/>
  <c r="E151" i="150"/>
  <c r="F151" i="150"/>
  <c r="C151" i="150"/>
  <c r="I152" i="150"/>
  <c r="D152" i="150"/>
  <c r="J152" i="150"/>
  <c r="E152" i="150"/>
  <c r="F152" i="150"/>
  <c r="C152" i="150"/>
  <c r="I153" i="150"/>
  <c r="D153" i="150"/>
  <c r="J153" i="150"/>
  <c r="E153" i="150"/>
  <c r="F153" i="150"/>
  <c r="C153" i="150"/>
  <c r="I154" i="150"/>
  <c r="D154" i="150"/>
  <c r="J154" i="150"/>
  <c r="E154" i="150"/>
  <c r="F154" i="150"/>
  <c r="C154" i="150"/>
  <c r="I155" i="150"/>
  <c r="D155" i="150"/>
  <c r="J155" i="150"/>
  <c r="E155" i="150"/>
  <c r="F155" i="150"/>
  <c r="C155" i="150"/>
  <c r="I156" i="150"/>
  <c r="D156" i="150"/>
  <c r="J156" i="150"/>
  <c r="E156" i="150"/>
  <c r="F156" i="150"/>
  <c r="C156" i="150"/>
  <c r="I157" i="150"/>
  <c r="D157" i="150"/>
  <c r="J157" i="150"/>
  <c r="E157" i="150"/>
  <c r="F157" i="150"/>
  <c r="C157" i="150"/>
  <c r="I158" i="150"/>
  <c r="D158" i="150"/>
  <c r="J158" i="150"/>
  <c r="E158" i="150"/>
  <c r="F158" i="150"/>
  <c r="C158" i="150"/>
  <c r="I159" i="150"/>
  <c r="D159" i="150"/>
  <c r="J159" i="150"/>
  <c r="E159" i="150"/>
  <c r="F159" i="150"/>
  <c r="C159" i="150"/>
  <c r="I160" i="150"/>
  <c r="D160" i="150"/>
  <c r="J160" i="150"/>
  <c r="E160" i="150"/>
  <c r="F160" i="150"/>
  <c r="C160" i="150"/>
  <c r="I161" i="150"/>
  <c r="D161" i="150"/>
  <c r="J161" i="150"/>
  <c r="E161" i="150"/>
  <c r="F161" i="150"/>
  <c r="C161" i="150"/>
  <c r="I162" i="150"/>
  <c r="D162" i="150"/>
  <c r="J162" i="150"/>
  <c r="E162" i="150"/>
  <c r="F162" i="150"/>
  <c r="C162" i="150"/>
  <c r="I163" i="150"/>
  <c r="D163" i="150"/>
  <c r="J163" i="150"/>
  <c r="E163" i="150"/>
  <c r="F163" i="150"/>
  <c r="C163" i="150"/>
  <c r="I164" i="150"/>
  <c r="D164" i="150"/>
  <c r="J164" i="150"/>
  <c r="E164" i="150"/>
  <c r="F164" i="150"/>
  <c r="C164" i="150"/>
  <c r="I165" i="150"/>
  <c r="D165" i="150"/>
  <c r="J165" i="150"/>
  <c r="E165" i="150"/>
  <c r="F165" i="150"/>
  <c r="C165" i="150"/>
  <c r="I166" i="150"/>
  <c r="D166" i="150"/>
  <c r="J166" i="150"/>
  <c r="E166" i="150"/>
  <c r="F166" i="150"/>
  <c r="C166" i="150"/>
  <c r="I167" i="150"/>
  <c r="D167" i="150"/>
  <c r="J167" i="150"/>
  <c r="E167" i="150"/>
  <c r="F167" i="150"/>
  <c r="C167" i="150"/>
  <c r="I168" i="150"/>
  <c r="D168" i="150"/>
  <c r="J168" i="150"/>
  <c r="E168" i="150"/>
  <c r="F168" i="150"/>
  <c r="C168" i="150"/>
  <c r="I169" i="150"/>
  <c r="D169" i="150"/>
  <c r="J169" i="150"/>
  <c r="E169" i="150"/>
  <c r="F169" i="150"/>
  <c r="C169" i="150"/>
  <c r="I170" i="150"/>
  <c r="D170" i="150"/>
  <c r="J170" i="150"/>
  <c r="E170" i="150"/>
  <c r="F170" i="150"/>
  <c r="C170" i="150"/>
  <c r="I171" i="150"/>
  <c r="D171" i="150"/>
  <c r="J171" i="150"/>
  <c r="E171" i="150"/>
  <c r="F171" i="150"/>
  <c r="C171" i="150"/>
  <c r="I172" i="150"/>
  <c r="D172" i="150"/>
  <c r="J172" i="150"/>
  <c r="E172" i="150"/>
  <c r="F172" i="150"/>
  <c r="C172" i="150"/>
  <c r="I173" i="150"/>
  <c r="D173" i="150"/>
  <c r="J173" i="150"/>
  <c r="E173" i="150"/>
  <c r="F173" i="150"/>
  <c r="C173" i="150"/>
  <c r="I174" i="150"/>
  <c r="D174" i="150"/>
  <c r="J174" i="150"/>
  <c r="E174" i="150"/>
  <c r="F174" i="150"/>
  <c r="C174" i="150"/>
  <c r="I175" i="150"/>
  <c r="D175" i="150"/>
  <c r="J175" i="150"/>
  <c r="E175" i="150"/>
  <c r="F175" i="150"/>
  <c r="C175" i="150"/>
  <c r="I176" i="150"/>
  <c r="D176" i="150"/>
  <c r="J176" i="150"/>
  <c r="E176" i="150"/>
  <c r="F176" i="150"/>
  <c r="C176" i="150"/>
  <c r="I177" i="150"/>
  <c r="D177" i="150"/>
  <c r="J177" i="150"/>
  <c r="E177" i="150"/>
  <c r="F177" i="150"/>
  <c r="C177" i="150"/>
  <c r="I178" i="150"/>
  <c r="D178" i="150"/>
  <c r="J178" i="150"/>
  <c r="E178" i="150"/>
  <c r="F178" i="150"/>
  <c r="C178" i="150"/>
  <c r="I179" i="150"/>
  <c r="D179" i="150"/>
  <c r="J179" i="150"/>
  <c r="E179" i="150"/>
  <c r="F179" i="150"/>
  <c r="C179" i="150"/>
  <c r="I180" i="150"/>
  <c r="D180" i="150"/>
  <c r="J180" i="150"/>
  <c r="E180" i="150"/>
  <c r="F180" i="150"/>
  <c r="C180" i="150"/>
  <c r="I181" i="150"/>
  <c r="D181" i="150"/>
  <c r="J181" i="150"/>
  <c r="E181" i="150"/>
  <c r="F181" i="150"/>
  <c r="C181" i="150"/>
  <c r="I182" i="150"/>
  <c r="D182" i="150"/>
  <c r="J182" i="150"/>
  <c r="E182" i="150"/>
  <c r="F182" i="150"/>
  <c r="C182" i="150"/>
  <c r="I183" i="150"/>
  <c r="D183" i="150"/>
  <c r="J183" i="150"/>
  <c r="E183" i="150"/>
  <c r="F183" i="150"/>
  <c r="C183" i="150"/>
  <c r="I184" i="150"/>
  <c r="D184" i="150"/>
  <c r="J184" i="150"/>
  <c r="E184" i="150"/>
  <c r="F184" i="150"/>
  <c r="C184" i="150"/>
  <c r="I185" i="150"/>
  <c r="D185" i="150"/>
  <c r="J185" i="150"/>
  <c r="E185" i="150"/>
  <c r="F185" i="150"/>
  <c r="C185" i="150"/>
  <c r="I186" i="150"/>
  <c r="D186" i="150"/>
  <c r="J186" i="150"/>
  <c r="E186" i="150"/>
  <c r="F186" i="150"/>
  <c r="C186" i="150"/>
  <c r="I187" i="150"/>
  <c r="D187" i="150"/>
  <c r="J187" i="150"/>
  <c r="E187" i="150"/>
  <c r="F187" i="150"/>
  <c r="C187" i="150"/>
  <c r="I188" i="150"/>
  <c r="D188" i="150"/>
  <c r="J188" i="150"/>
  <c r="E188" i="150"/>
  <c r="F188" i="150"/>
  <c r="C188" i="150"/>
  <c r="I189" i="150"/>
  <c r="D189" i="150"/>
  <c r="J189" i="150"/>
  <c r="E189" i="150"/>
  <c r="F189" i="150"/>
  <c r="C189" i="150"/>
  <c r="I190" i="150"/>
  <c r="D190" i="150"/>
  <c r="J190" i="150"/>
  <c r="E190" i="150"/>
  <c r="F190" i="150"/>
  <c r="C190" i="150"/>
  <c r="I191" i="150"/>
  <c r="D191" i="150"/>
  <c r="J191" i="150"/>
  <c r="E191" i="150"/>
  <c r="F191" i="150"/>
  <c r="C191" i="150"/>
  <c r="I192" i="150"/>
  <c r="D192" i="150"/>
  <c r="J192" i="150"/>
  <c r="E192" i="150"/>
  <c r="F192" i="150"/>
  <c r="C192" i="150"/>
  <c r="I193" i="150"/>
  <c r="D193" i="150"/>
  <c r="J193" i="150"/>
  <c r="E193" i="150"/>
  <c r="F193" i="150"/>
  <c r="C193" i="150"/>
  <c r="I194" i="150"/>
  <c r="D194" i="150"/>
  <c r="J194" i="150"/>
  <c r="E194" i="150"/>
  <c r="F194" i="150"/>
  <c r="C194" i="150"/>
  <c r="I195" i="150"/>
  <c r="D195" i="150"/>
  <c r="J195" i="150"/>
  <c r="E195" i="150"/>
  <c r="F195" i="150"/>
  <c r="C195" i="150"/>
  <c r="I196" i="150"/>
  <c r="D196" i="150"/>
  <c r="J196" i="150"/>
  <c r="E196" i="150"/>
  <c r="F196" i="150"/>
  <c r="C196" i="150"/>
  <c r="I197" i="150"/>
  <c r="D197" i="150"/>
  <c r="J197" i="150"/>
  <c r="E197" i="150"/>
  <c r="F197" i="150"/>
  <c r="C197" i="150"/>
  <c r="I198" i="150"/>
  <c r="D198" i="150"/>
  <c r="J198" i="150"/>
  <c r="E198" i="150"/>
  <c r="F198" i="150"/>
  <c r="C198" i="150"/>
  <c r="I199" i="150"/>
  <c r="D199" i="150"/>
  <c r="J199" i="150"/>
  <c r="E199" i="150"/>
  <c r="F199" i="150"/>
  <c r="C199" i="150"/>
  <c r="I200" i="150"/>
  <c r="D200" i="150"/>
  <c r="J200" i="150"/>
  <c r="E200" i="150"/>
  <c r="F200" i="150"/>
  <c r="C200" i="150"/>
  <c r="I201" i="150"/>
  <c r="D201" i="150"/>
  <c r="J201" i="150"/>
  <c r="E201" i="150"/>
  <c r="F201" i="150"/>
  <c r="C201" i="150"/>
  <c r="I202" i="150"/>
  <c r="D202" i="150"/>
  <c r="J202" i="150"/>
  <c r="E202" i="150"/>
  <c r="F202" i="150"/>
  <c r="C202" i="150"/>
  <c r="I203" i="150"/>
  <c r="D203" i="150"/>
  <c r="J203" i="150"/>
  <c r="E203" i="150"/>
  <c r="F203" i="150"/>
  <c r="C203" i="150"/>
  <c r="I204" i="150"/>
  <c r="D204" i="150"/>
  <c r="J204" i="150"/>
  <c r="E204" i="150"/>
  <c r="F204" i="150"/>
  <c r="C204" i="150"/>
  <c r="I205" i="150"/>
  <c r="D205" i="150"/>
  <c r="J205" i="150"/>
  <c r="E205" i="150"/>
  <c r="F205" i="150"/>
  <c r="C205" i="150"/>
  <c r="I206" i="150"/>
  <c r="D206" i="150"/>
  <c r="J206" i="150"/>
  <c r="E206" i="150"/>
  <c r="F206" i="150"/>
  <c r="C206" i="150"/>
  <c r="I207" i="150"/>
  <c r="D207" i="150"/>
  <c r="J207" i="150"/>
  <c r="E207" i="150"/>
  <c r="F207" i="150"/>
  <c r="C207" i="150"/>
  <c r="I208" i="150"/>
  <c r="D208" i="150"/>
  <c r="J208" i="150"/>
  <c r="E208" i="150"/>
  <c r="F208" i="150"/>
  <c r="C208" i="150"/>
  <c r="I209" i="150"/>
  <c r="D209" i="150"/>
  <c r="J209" i="150"/>
  <c r="E209" i="150"/>
  <c r="F209" i="150"/>
  <c r="C209" i="150"/>
  <c r="I210" i="150"/>
  <c r="D210" i="150"/>
  <c r="J210" i="150"/>
  <c r="E210" i="150"/>
  <c r="F210" i="150"/>
  <c r="C210" i="150"/>
  <c r="I211" i="150"/>
  <c r="D211" i="150"/>
  <c r="J211" i="150"/>
  <c r="E211" i="150"/>
  <c r="F211" i="150"/>
  <c r="C211" i="150"/>
  <c r="I212" i="150"/>
  <c r="D212" i="150"/>
  <c r="J212" i="150"/>
  <c r="E212" i="150"/>
  <c r="F212" i="150"/>
  <c r="C212" i="150"/>
  <c r="I213" i="150"/>
  <c r="D213" i="150"/>
  <c r="J213" i="150"/>
  <c r="E213" i="150"/>
  <c r="F213" i="150"/>
  <c r="C213" i="150"/>
  <c r="I214" i="150"/>
  <c r="D214" i="150"/>
  <c r="J214" i="150"/>
  <c r="E214" i="150"/>
  <c r="F214" i="150"/>
  <c r="C214" i="150"/>
  <c r="I215" i="150"/>
  <c r="D215" i="150"/>
  <c r="J215" i="150"/>
  <c r="E215" i="150"/>
  <c r="F215" i="150"/>
  <c r="C215" i="150"/>
  <c r="I216" i="150"/>
  <c r="D216" i="150"/>
  <c r="J216" i="150"/>
  <c r="E216" i="150"/>
  <c r="F216" i="150"/>
  <c r="C216" i="150"/>
  <c r="I217" i="150"/>
  <c r="D217" i="150"/>
  <c r="J217" i="150"/>
  <c r="E217" i="150"/>
  <c r="F217" i="150"/>
  <c r="C217" i="150"/>
  <c r="I218" i="150"/>
  <c r="D218" i="150"/>
  <c r="J218" i="150"/>
  <c r="E218" i="150"/>
  <c r="F218" i="150"/>
  <c r="C218" i="150"/>
  <c r="I219" i="150"/>
  <c r="D219" i="150"/>
  <c r="J219" i="150"/>
  <c r="E219" i="150"/>
  <c r="F219" i="150"/>
  <c r="C219" i="150"/>
  <c r="I220" i="150"/>
  <c r="D220" i="150"/>
  <c r="J220" i="150"/>
  <c r="E220" i="150"/>
  <c r="F220" i="150"/>
  <c r="C220" i="150"/>
  <c r="I221" i="150"/>
  <c r="D221" i="150"/>
  <c r="J221" i="150"/>
  <c r="E221" i="150"/>
  <c r="F221" i="150"/>
  <c r="C221" i="150"/>
  <c r="I222" i="150"/>
  <c r="D222" i="150"/>
  <c r="J222" i="150"/>
  <c r="E222" i="150"/>
  <c r="F222" i="150"/>
  <c r="C222" i="150"/>
  <c r="I223" i="150"/>
  <c r="D223" i="150"/>
  <c r="J223" i="150"/>
  <c r="E223" i="150"/>
  <c r="F223" i="150"/>
  <c r="C223" i="150"/>
  <c r="I224" i="150"/>
  <c r="D224" i="150"/>
  <c r="J224" i="150"/>
  <c r="E224" i="150"/>
  <c r="F224" i="150"/>
  <c r="C224" i="150"/>
  <c r="I225" i="150"/>
  <c r="D225" i="150"/>
  <c r="J225" i="150"/>
  <c r="E225" i="150"/>
  <c r="F225" i="150"/>
  <c r="C225" i="150"/>
  <c r="I226" i="150"/>
  <c r="D226" i="150"/>
  <c r="J226" i="150"/>
  <c r="E226" i="150"/>
  <c r="F226" i="150"/>
  <c r="C226" i="150"/>
  <c r="I227" i="150"/>
  <c r="D227" i="150"/>
  <c r="J227" i="150"/>
  <c r="E227" i="150"/>
  <c r="F227" i="150"/>
  <c r="C227" i="150"/>
  <c r="I228" i="150"/>
  <c r="D228" i="150"/>
  <c r="J228" i="150"/>
  <c r="E228" i="150"/>
  <c r="F228" i="150"/>
  <c r="C228" i="150"/>
  <c r="I229" i="150"/>
  <c r="D229" i="150"/>
  <c r="J229" i="150"/>
  <c r="E229" i="150"/>
  <c r="F229" i="150"/>
  <c r="C229" i="150"/>
  <c r="I230" i="150"/>
  <c r="D230" i="150"/>
  <c r="J230" i="150"/>
  <c r="E230" i="150"/>
  <c r="F230" i="150"/>
  <c r="C230" i="150"/>
  <c r="I231" i="150"/>
  <c r="D231" i="150"/>
  <c r="J231" i="150"/>
  <c r="E231" i="150"/>
  <c r="F231" i="150"/>
  <c r="C231" i="150"/>
  <c r="I232" i="150"/>
  <c r="D232" i="150"/>
  <c r="J232" i="150"/>
  <c r="E232" i="150"/>
  <c r="F232" i="150"/>
  <c r="C232" i="150"/>
  <c r="I233" i="150"/>
  <c r="D233" i="150"/>
  <c r="J233" i="150"/>
  <c r="E233" i="150"/>
  <c r="F233" i="150"/>
  <c r="C233" i="150"/>
  <c r="I234" i="150"/>
  <c r="D234" i="150"/>
  <c r="J234" i="150"/>
  <c r="E234" i="150"/>
  <c r="F234" i="150"/>
  <c r="C234" i="150"/>
  <c r="I235" i="150"/>
  <c r="D235" i="150"/>
  <c r="J235" i="150"/>
  <c r="E235" i="150"/>
  <c r="F235" i="150"/>
  <c r="C235" i="150"/>
  <c r="I236" i="150"/>
  <c r="D236" i="150"/>
  <c r="J236" i="150"/>
  <c r="E236" i="150"/>
  <c r="F236" i="150"/>
  <c r="C236" i="150"/>
  <c r="I237" i="150"/>
  <c r="D237" i="150"/>
  <c r="J237" i="150"/>
  <c r="E237" i="150"/>
  <c r="F237" i="150"/>
  <c r="C237" i="150"/>
  <c r="I238" i="150"/>
  <c r="D238" i="150"/>
  <c r="J238" i="150"/>
  <c r="E238" i="150"/>
  <c r="F238" i="150"/>
  <c r="C238" i="150"/>
  <c r="I239" i="150"/>
  <c r="D239" i="150"/>
  <c r="J239" i="150"/>
  <c r="E239" i="150"/>
  <c r="F239" i="150"/>
  <c r="C239" i="150"/>
  <c r="I240" i="150"/>
  <c r="D240" i="150"/>
  <c r="J240" i="150"/>
  <c r="E240" i="150"/>
  <c r="F240" i="150"/>
  <c r="C240" i="150"/>
  <c r="I241" i="150"/>
  <c r="D241" i="150"/>
  <c r="J241" i="150"/>
  <c r="E241" i="150"/>
  <c r="F241" i="150"/>
  <c r="C241" i="150"/>
  <c r="I242" i="150"/>
  <c r="D242" i="150"/>
  <c r="J242" i="150"/>
  <c r="E242" i="150"/>
  <c r="F242" i="150"/>
  <c r="C242" i="150"/>
  <c r="I243" i="150"/>
  <c r="D243" i="150"/>
  <c r="J243" i="150"/>
  <c r="E243" i="150"/>
  <c r="F243" i="150"/>
  <c r="C243" i="150"/>
  <c r="I244" i="150"/>
  <c r="D244" i="150"/>
  <c r="J244" i="150"/>
  <c r="E244" i="150"/>
  <c r="F244" i="150"/>
  <c r="C244" i="150"/>
  <c r="I245" i="150"/>
  <c r="D245" i="150"/>
  <c r="J245" i="150"/>
  <c r="E245" i="150"/>
  <c r="F245" i="150"/>
  <c r="C245" i="150"/>
  <c r="I246" i="150"/>
  <c r="D246" i="150"/>
  <c r="J246" i="150"/>
  <c r="E246" i="150"/>
  <c r="F246" i="150"/>
  <c r="C246" i="150"/>
  <c r="I247" i="150"/>
  <c r="D247" i="150"/>
  <c r="J247" i="150"/>
  <c r="E247" i="150"/>
  <c r="F247" i="150"/>
  <c r="C247" i="150"/>
  <c r="I248" i="150"/>
  <c r="D248" i="150"/>
  <c r="J248" i="150"/>
  <c r="E248" i="150"/>
  <c r="F248" i="150"/>
  <c r="C248" i="150"/>
  <c r="I249" i="150"/>
  <c r="D249" i="150"/>
  <c r="J249" i="150"/>
  <c r="E249" i="150"/>
  <c r="F249" i="150"/>
  <c r="C249" i="150"/>
  <c r="I250" i="150"/>
  <c r="D250" i="150"/>
  <c r="J250" i="150"/>
  <c r="E250" i="150"/>
  <c r="F250" i="150"/>
  <c r="C250" i="150"/>
  <c r="I251" i="150"/>
  <c r="D251" i="150"/>
  <c r="J251" i="150"/>
  <c r="E251" i="150"/>
  <c r="F251" i="150"/>
  <c r="C251" i="150"/>
  <c r="I252" i="150"/>
  <c r="D252" i="150"/>
  <c r="J252" i="150"/>
  <c r="E252" i="150"/>
  <c r="F252" i="150"/>
  <c r="C252" i="150"/>
  <c r="I253" i="150"/>
  <c r="D253" i="150"/>
  <c r="J253" i="150"/>
  <c r="E253" i="150"/>
  <c r="F253" i="150"/>
  <c r="C253" i="150"/>
  <c r="I254" i="150"/>
  <c r="D254" i="150"/>
  <c r="J254" i="150"/>
  <c r="E254" i="150"/>
  <c r="F254" i="150"/>
  <c r="C254" i="150"/>
  <c r="I255" i="150"/>
  <c r="D255" i="150"/>
  <c r="J255" i="150"/>
  <c r="E255" i="150"/>
  <c r="F255" i="150"/>
  <c r="C255" i="150"/>
  <c r="I256" i="150"/>
  <c r="D256" i="150"/>
  <c r="J256" i="150"/>
  <c r="E256" i="150"/>
  <c r="F256" i="150"/>
  <c r="C256" i="150"/>
  <c r="I257" i="150"/>
  <c r="D257" i="150"/>
  <c r="J257" i="150"/>
  <c r="E257" i="150"/>
  <c r="F257" i="150"/>
  <c r="C257" i="150"/>
  <c r="I258" i="150"/>
  <c r="D258" i="150"/>
  <c r="J258" i="150"/>
  <c r="E258" i="150"/>
  <c r="F258" i="150"/>
  <c r="C258" i="150"/>
  <c r="I259" i="150"/>
  <c r="D259" i="150"/>
  <c r="J259" i="150"/>
  <c r="E259" i="150"/>
  <c r="F259" i="150"/>
  <c r="C259" i="150"/>
  <c r="I260" i="150"/>
  <c r="D260" i="150"/>
  <c r="J260" i="150"/>
  <c r="E260" i="150"/>
  <c r="F260" i="150"/>
  <c r="C260" i="150"/>
  <c r="I261" i="150"/>
  <c r="D261" i="150"/>
  <c r="J261" i="150"/>
  <c r="E261" i="150"/>
  <c r="F261" i="150"/>
  <c r="C261" i="150"/>
  <c r="I262" i="150"/>
  <c r="D262" i="150"/>
  <c r="J262" i="150"/>
  <c r="E262" i="150"/>
  <c r="F262" i="150"/>
  <c r="C262" i="150"/>
  <c r="I263" i="150"/>
  <c r="D263" i="150"/>
  <c r="J263" i="150"/>
  <c r="E263" i="150"/>
  <c r="F263" i="150"/>
  <c r="C263" i="150"/>
  <c r="I264" i="150"/>
  <c r="D264" i="150"/>
  <c r="J264" i="150"/>
  <c r="E264" i="150"/>
  <c r="F264" i="150"/>
  <c r="C264" i="150"/>
  <c r="I265" i="150"/>
  <c r="D265" i="150"/>
  <c r="J265" i="150"/>
  <c r="E265" i="150"/>
  <c r="F265" i="150"/>
  <c r="C265" i="150"/>
  <c r="I266" i="150"/>
  <c r="D266" i="150"/>
  <c r="J266" i="150"/>
  <c r="E266" i="150"/>
  <c r="F266" i="150"/>
  <c r="C266" i="150"/>
  <c r="I267" i="150"/>
  <c r="D267" i="150"/>
  <c r="J267" i="150"/>
  <c r="E267" i="150"/>
  <c r="F267" i="150"/>
  <c r="C267" i="150"/>
  <c r="I268" i="150"/>
  <c r="D268" i="150"/>
  <c r="J268" i="150"/>
  <c r="E268" i="150"/>
  <c r="F268" i="150"/>
  <c r="C268" i="150"/>
  <c r="I269" i="150"/>
  <c r="D269" i="150"/>
  <c r="J269" i="150"/>
  <c r="E269" i="150"/>
  <c r="F269" i="150"/>
  <c r="C269" i="150"/>
  <c r="I270" i="150"/>
  <c r="D270" i="150"/>
  <c r="J270" i="150"/>
  <c r="E270" i="150"/>
  <c r="F270" i="150"/>
  <c r="C270" i="150"/>
  <c r="I271" i="150"/>
  <c r="D271" i="150"/>
  <c r="J271" i="150"/>
  <c r="E271" i="150"/>
  <c r="F271" i="150"/>
  <c r="C271" i="150"/>
  <c r="I272" i="150"/>
  <c r="D272" i="150"/>
  <c r="J272" i="150"/>
  <c r="E272" i="150"/>
  <c r="F272" i="150"/>
  <c r="C272" i="150"/>
  <c r="I273" i="150"/>
  <c r="D273" i="150"/>
  <c r="J273" i="150"/>
  <c r="E273" i="150"/>
  <c r="F273" i="150"/>
  <c r="C273" i="150"/>
  <c r="I274" i="150"/>
  <c r="D274" i="150"/>
  <c r="J274" i="150"/>
  <c r="E274" i="150"/>
  <c r="F274" i="150"/>
  <c r="C274" i="150"/>
  <c r="I275" i="150"/>
  <c r="D275" i="150"/>
  <c r="J275" i="150"/>
  <c r="E275" i="150"/>
  <c r="F275" i="150"/>
  <c r="C275" i="150"/>
  <c r="I276" i="150"/>
  <c r="D276" i="150"/>
  <c r="J276" i="150"/>
  <c r="E276" i="150"/>
  <c r="F276" i="150"/>
  <c r="C276" i="150"/>
  <c r="I277" i="150"/>
  <c r="D277" i="150"/>
  <c r="J277" i="150"/>
  <c r="E277" i="150"/>
  <c r="F277" i="150"/>
  <c r="C277" i="150"/>
  <c r="I278" i="150"/>
  <c r="D278" i="150"/>
  <c r="J278" i="150"/>
  <c r="E278" i="150"/>
  <c r="F278" i="150"/>
  <c r="C278" i="150"/>
  <c r="I279" i="150"/>
  <c r="D279" i="150"/>
  <c r="J279" i="150"/>
  <c r="E279" i="150"/>
  <c r="F279" i="150"/>
  <c r="C279" i="150"/>
  <c r="I280" i="150"/>
  <c r="D280" i="150"/>
  <c r="J280" i="150"/>
  <c r="E280" i="150"/>
  <c r="F280" i="150"/>
  <c r="C280" i="150"/>
  <c r="I281" i="150"/>
  <c r="D281" i="150"/>
  <c r="J281" i="150"/>
  <c r="E281" i="150"/>
  <c r="F281" i="150"/>
  <c r="C281" i="150"/>
  <c r="I282" i="150"/>
  <c r="D282" i="150"/>
  <c r="J282" i="150"/>
  <c r="E282" i="150"/>
  <c r="F282" i="150"/>
  <c r="C282" i="150"/>
  <c r="I283" i="150"/>
  <c r="D283" i="150"/>
  <c r="J283" i="150"/>
  <c r="E283" i="150"/>
  <c r="F283" i="150"/>
  <c r="C283" i="150"/>
  <c r="I284" i="150"/>
  <c r="D284" i="150"/>
  <c r="J284" i="150"/>
  <c r="E284" i="150"/>
  <c r="F284" i="150"/>
  <c r="C284" i="150"/>
  <c r="I285" i="150"/>
  <c r="D285" i="150"/>
  <c r="J285" i="150"/>
  <c r="E285" i="150"/>
  <c r="F285" i="150"/>
  <c r="C285" i="150"/>
  <c r="I286" i="150"/>
  <c r="D286" i="150"/>
  <c r="J286" i="150"/>
  <c r="E286" i="150"/>
  <c r="F286" i="150"/>
  <c r="C286" i="150"/>
  <c r="I287" i="150"/>
  <c r="D287" i="150"/>
  <c r="J287" i="150"/>
  <c r="E287" i="150"/>
  <c r="F287" i="150"/>
  <c r="C287" i="150"/>
  <c r="I288" i="150"/>
  <c r="D288" i="150"/>
  <c r="J288" i="150"/>
  <c r="E288" i="150"/>
  <c r="F288" i="150"/>
  <c r="C288" i="150"/>
  <c r="I289" i="150"/>
  <c r="D289" i="150"/>
  <c r="J289" i="150"/>
  <c r="E289" i="150"/>
  <c r="F289" i="150"/>
  <c r="C289" i="150"/>
  <c r="I290" i="150"/>
  <c r="D290" i="150"/>
  <c r="J290" i="150"/>
  <c r="E290" i="150"/>
  <c r="F290" i="150"/>
  <c r="C290" i="150"/>
  <c r="I291" i="150"/>
  <c r="D291" i="150"/>
  <c r="J291" i="150"/>
  <c r="E291" i="150"/>
  <c r="F291" i="150"/>
  <c r="C291" i="150"/>
  <c r="I292" i="150"/>
  <c r="D292" i="150"/>
  <c r="J292" i="150"/>
  <c r="E292" i="150"/>
  <c r="F292" i="150"/>
  <c r="C292" i="150"/>
  <c r="I294" i="150"/>
  <c r="D294" i="150"/>
  <c r="J294" i="150"/>
  <c r="E294" i="150"/>
  <c r="F294" i="150"/>
  <c r="C294" i="150"/>
  <c r="I295" i="150"/>
  <c r="D295" i="150"/>
  <c r="J295" i="150"/>
  <c r="E295" i="150"/>
  <c r="F295" i="150"/>
  <c r="C295" i="150"/>
  <c r="I296" i="150"/>
  <c r="D296" i="150"/>
  <c r="J296" i="150"/>
  <c r="E296" i="150"/>
  <c r="F296" i="150"/>
  <c r="C296" i="150"/>
  <c r="I297" i="150"/>
  <c r="D297" i="150"/>
  <c r="J297" i="150"/>
  <c r="E297" i="150"/>
  <c r="F297" i="150"/>
  <c r="C297" i="150"/>
  <c r="I298" i="150"/>
  <c r="D298" i="150"/>
  <c r="J298" i="150"/>
  <c r="E298" i="150"/>
  <c r="F298" i="150"/>
  <c r="C298" i="150"/>
  <c r="I299" i="150"/>
  <c r="D299" i="150"/>
  <c r="J299" i="150"/>
  <c r="E299" i="150"/>
  <c r="F299" i="150"/>
  <c r="C299" i="150"/>
  <c r="I300" i="150"/>
  <c r="D300" i="150"/>
  <c r="J300" i="150"/>
  <c r="E300" i="150"/>
  <c r="F300" i="150"/>
  <c r="C300" i="150"/>
  <c r="F5" i="149"/>
  <c r="F7" i="149"/>
  <c r="A51" i="149"/>
  <c r="E5" i="149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29" i="149"/>
  <c r="B29" i="149"/>
  <c r="G29" i="149"/>
  <c r="H29" i="149"/>
  <c r="O293" i="150"/>
  <c r="O294" i="150"/>
  <c r="O295" i="150"/>
  <c r="F6" i="149"/>
  <c r="E6" i="149"/>
  <c r="E44" i="149"/>
  <c r="B44" i="149"/>
  <c r="G44" i="149"/>
  <c r="H44" i="149"/>
  <c r="O296" i="150"/>
  <c r="E7" i="149"/>
  <c r="E22" i="149"/>
  <c r="E26" i="149"/>
  <c r="B26" i="149"/>
  <c r="E28" i="149"/>
  <c r="B28" i="149"/>
  <c r="E21" i="149"/>
  <c r="B21" i="149"/>
  <c r="B23" i="149"/>
  <c r="B22" i="149"/>
  <c r="G22" i="149"/>
  <c r="H22" i="149"/>
  <c r="O297" i="150"/>
  <c r="G23" i="149"/>
  <c r="E23" i="149"/>
  <c r="H23" i="149"/>
  <c r="O298" i="150"/>
  <c r="O299" i="150"/>
  <c r="G31" i="149"/>
  <c r="E31" i="149"/>
  <c r="H31" i="149"/>
  <c r="G46" i="149"/>
  <c r="E46" i="149"/>
  <c r="H46" i="149"/>
  <c r="O300" i="150"/>
  <c r="I300" i="159"/>
  <c r="D300" i="159"/>
  <c r="J300" i="159"/>
  <c r="E300" i="159"/>
  <c r="F300" i="159"/>
  <c r="C300" i="159"/>
  <c r="I2" i="159"/>
  <c r="D2" i="159"/>
  <c r="J2" i="159"/>
  <c r="E2" i="159"/>
  <c r="F2" i="159"/>
  <c r="C2" i="159"/>
  <c r="I3" i="159"/>
  <c r="D3" i="159"/>
  <c r="J3" i="159"/>
  <c r="E3" i="159"/>
  <c r="F3" i="159"/>
  <c r="C3" i="159"/>
  <c r="I4" i="159"/>
  <c r="D4" i="159"/>
  <c r="J4" i="159"/>
  <c r="E4" i="159"/>
  <c r="F4" i="159"/>
  <c r="C4" i="159"/>
  <c r="I5" i="159"/>
  <c r="D5" i="159"/>
  <c r="J5" i="159"/>
  <c r="E5" i="159"/>
  <c r="F5" i="159"/>
  <c r="C5" i="159"/>
  <c r="I6" i="159"/>
  <c r="D6" i="159"/>
  <c r="J6" i="159"/>
  <c r="E6" i="159"/>
  <c r="F6" i="159"/>
  <c r="C6" i="159"/>
  <c r="I7" i="159"/>
  <c r="D7" i="159"/>
  <c r="J7" i="159"/>
  <c r="E7" i="159"/>
  <c r="F7" i="159"/>
  <c r="C7" i="159"/>
  <c r="I8" i="159"/>
  <c r="D8" i="159"/>
  <c r="J8" i="159"/>
  <c r="E8" i="159"/>
  <c r="F8" i="159"/>
  <c r="C8" i="159"/>
  <c r="I9" i="159"/>
  <c r="D9" i="159"/>
  <c r="J9" i="159"/>
  <c r="E9" i="159"/>
  <c r="F9" i="159"/>
  <c r="C9" i="159"/>
  <c r="I10" i="159"/>
  <c r="D10" i="159"/>
  <c r="J10" i="159"/>
  <c r="E10" i="159"/>
  <c r="F10" i="159"/>
  <c r="C10" i="159"/>
  <c r="I11" i="159"/>
  <c r="D11" i="159"/>
  <c r="J11" i="159"/>
  <c r="E11" i="159"/>
  <c r="F11" i="159"/>
  <c r="C11" i="159"/>
  <c r="I12" i="159"/>
  <c r="D12" i="159"/>
  <c r="J12" i="159"/>
  <c r="E12" i="159"/>
  <c r="F12" i="159"/>
  <c r="C12" i="159"/>
  <c r="I13" i="159"/>
  <c r="D13" i="159"/>
  <c r="J13" i="159"/>
  <c r="E13" i="159"/>
  <c r="F13" i="159"/>
  <c r="C13" i="159"/>
  <c r="I14" i="159"/>
  <c r="D14" i="159"/>
  <c r="J14" i="159"/>
  <c r="E14" i="159"/>
  <c r="F14" i="159"/>
  <c r="C14" i="159"/>
  <c r="I15" i="159"/>
  <c r="D15" i="159"/>
  <c r="J15" i="159"/>
  <c r="E15" i="159"/>
  <c r="F15" i="159"/>
  <c r="C15" i="159"/>
  <c r="I16" i="159"/>
  <c r="D16" i="159"/>
  <c r="J16" i="159"/>
  <c r="E16" i="159"/>
  <c r="F16" i="159"/>
  <c r="C16" i="159"/>
  <c r="I17" i="159"/>
  <c r="D17" i="159"/>
  <c r="J17" i="159"/>
  <c r="E17" i="159"/>
  <c r="F17" i="159"/>
  <c r="C17" i="159"/>
  <c r="I18" i="159"/>
  <c r="D18" i="159"/>
  <c r="J18" i="159"/>
  <c r="E18" i="159"/>
  <c r="F18" i="159"/>
  <c r="C18" i="159"/>
  <c r="I19" i="159"/>
  <c r="D19" i="159"/>
  <c r="J19" i="159"/>
  <c r="E19" i="159"/>
  <c r="F19" i="159"/>
  <c r="C19" i="159"/>
  <c r="I20" i="159"/>
  <c r="D20" i="159"/>
  <c r="J20" i="159"/>
  <c r="E20" i="159"/>
  <c r="F20" i="159"/>
  <c r="C20" i="159"/>
  <c r="I21" i="159"/>
  <c r="D21" i="159"/>
  <c r="J21" i="159"/>
  <c r="E21" i="159"/>
  <c r="F21" i="159"/>
  <c r="C21" i="159"/>
  <c r="I22" i="159"/>
  <c r="D22" i="159"/>
  <c r="J22" i="159"/>
  <c r="E22" i="159"/>
  <c r="F22" i="159"/>
  <c r="C22" i="159"/>
  <c r="I23" i="159"/>
  <c r="D23" i="159"/>
  <c r="J23" i="159"/>
  <c r="E23" i="159"/>
  <c r="F23" i="159"/>
  <c r="C23" i="159"/>
  <c r="I24" i="159"/>
  <c r="D24" i="159"/>
  <c r="J24" i="159"/>
  <c r="E24" i="159"/>
  <c r="F24" i="159"/>
  <c r="C24" i="159"/>
  <c r="I25" i="159"/>
  <c r="D25" i="159"/>
  <c r="J25" i="159"/>
  <c r="E25" i="159"/>
  <c r="F25" i="159"/>
  <c r="C25" i="159"/>
  <c r="I26" i="159"/>
  <c r="D26" i="159"/>
  <c r="J26" i="159"/>
  <c r="E26" i="159"/>
  <c r="F26" i="159"/>
  <c r="C26" i="159"/>
  <c r="I27" i="159"/>
  <c r="D27" i="159"/>
  <c r="J27" i="159"/>
  <c r="E27" i="159"/>
  <c r="F27" i="159"/>
  <c r="C27" i="159"/>
  <c r="I28" i="159"/>
  <c r="D28" i="159"/>
  <c r="J28" i="159"/>
  <c r="E28" i="159"/>
  <c r="F28" i="159"/>
  <c r="C28" i="159"/>
  <c r="I29" i="159"/>
  <c r="D29" i="159"/>
  <c r="J29" i="159"/>
  <c r="E29" i="159"/>
  <c r="F29" i="159"/>
  <c r="C29" i="159"/>
  <c r="I30" i="159"/>
  <c r="D30" i="159"/>
  <c r="J30" i="159"/>
  <c r="E30" i="159"/>
  <c r="F30" i="159"/>
  <c r="C30" i="159"/>
  <c r="I31" i="159"/>
  <c r="D31" i="159"/>
  <c r="J31" i="159"/>
  <c r="E31" i="159"/>
  <c r="F31" i="159"/>
  <c r="C31" i="159"/>
  <c r="I32" i="159"/>
  <c r="D32" i="159"/>
  <c r="J32" i="159"/>
  <c r="E32" i="159"/>
  <c r="F32" i="159"/>
  <c r="C32" i="159"/>
  <c r="I33" i="159"/>
  <c r="D33" i="159"/>
  <c r="J33" i="159"/>
  <c r="E33" i="159"/>
  <c r="F33" i="159"/>
  <c r="C33" i="159"/>
  <c r="I34" i="159"/>
  <c r="D34" i="159"/>
  <c r="J34" i="159"/>
  <c r="E34" i="159"/>
  <c r="F34" i="159"/>
  <c r="C34" i="159"/>
  <c r="I35" i="159"/>
  <c r="D35" i="159"/>
  <c r="J35" i="159"/>
  <c r="E35" i="159"/>
  <c r="F35" i="159"/>
  <c r="C35" i="159"/>
  <c r="I36" i="159"/>
  <c r="D36" i="159"/>
  <c r="J36" i="159"/>
  <c r="E36" i="159"/>
  <c r="F36" i="159"/>
  <c r="C36" i="159"/>
  <c r="I37" i="159"/>
  <c r="D37" i="159"/>
  <c r="J37" i="159"/>
  <c r="E37" i="159"/>
  <c r="F37" i="159"/>
  <c r="C37" i="159"/>
  <c r="I38" i="159"/>
  <c r="D38" i="159"/>
  <c r="J38" i="159"/>
  <c r="E38" i="159"/>
  <c r="F38" i="159"/>
  <c r="C38" i="159"/>
  <c r="I39" i="159"/>
  <c r="D39" i="159"/>
  <c r="J39" i="159"/>
  <c r="E39" i="159"/>
  <c r="F39" i="159"/>
  <c r="C39" i="159"/>
  <c r="I40" i="159"/>
  <c r="D40" i="159"/>
  <c r="J40" i="159"/>
  <c r="E40" i="159"/>
  <c r="F40" i="159"/>
  <c r="C40" i="159"/>
  <c r="I41" i="159"/>
  <c r="D41" i="159"/>
  <c r="J41" i="159"/>
  <c r="E41" i="159"/>
  <c r="F41" i="159"/>
  <c r="C41" i="159"/>
  <c r="I42" i="159"/>
  <c r="D42" i="159"/>
  <c r="J42" i="159"/>
  <c r="E42" i="159"/>
  <c r="F42" i="159"/>
  <c r="C42" i="159"/>
  <c r="I43" i="159"/>
  <c r="D43" i="159"/>
  <c r="J43" i="159"/>
  <c r="E43" i="159"/>
  <c r="F43" i="159"/>
  <c r="C43" i="159"/>
  <c r="I44" i="159"/>
  <c r="D44" i="159"/>
  <c r="J44" i="159"/>
  <c r="E44" i="159"/>
  <c r="F44" i="159"/>
  <c r="C44" i="159"/>
  <c r="I45" i="159"/>
  <c r="D45" i="159"/>
  <c r="J45" i="159"/>
  <c r="E45" i="159"/>
  <c r="F45" i="159"/>
  <c r="C45" i="159"/>
  <c r="I46" i="159"/>
  <c r="D46" i="159"/>
  <c r="J46" i="159"/>
  <c r="E46" i="159"/>
  <c r="F46" i="159"/>
  <c r="C46" i="159"/>
  <c r="I47" i="159"/>
  <c r="D47" i="159"/>
  <c r="J47" i="159"/>
  <c r="E47" i="159"/>
  <c r="F47" i="159"/>
  <c r="C47" i="159"/>
  <c r="I48" i="159"/>
  <c r="D48" i="159"/>
  <c r="J48" i="159"/>
  <c r="E48" i="159"/>
  <c r="F48" i="159"/>
  <c r="C48" i="159"/>
  <c r="I49" i="159"/>
  <c r="D49" i="159"/>
  <c r="J49" i="159"/>
  <c r="E49" i="159"/>
  <c r="F49" i="159"/>
  <c r="C49" i="159"/>
  <c r="I50" i="159"/>
  <c r="D50" i="159"/>
  <c r="J50" i="159"/>
  <c r="E50" i="159"/>
  <c r="F50" i="159"/>
  <c r="C50" i="159"/>
  <c r="I51" i="159"/>
  <c r="D51" i="159"/>
  <c r="J51" i="159"/>
  <c r="E51" i="159"/>
  <c r="F51" i="159"/>
  <c r="C51" i="159"/>
  <c r="I52" i="159"/>
  <c r="D52" i="159"/>
  <c r="J52" i="159"/>
  <c r="E52" i="159"/>
  <c r="F52" i="159"/>
  <c r="C52" i="159"/>
  <c r="I53" i="159"/>
  <c r="D53" i="159"/>
  <c r="J53" i="159"/>
  <c r="E53" i="159"/>
  <c r="F53" i="159"/>
  <c r="C53" i="159"/>
  <c r="I54" i="159"/>
  <c r="D54" i="159"/>
  <c r="J54" i="159"/>
  <c r="E54" i="159"/>
  <c r="F54" i="159"/>
  <c r="C54" i="159"/>
  <c r="I55" i="159"/>
  <c r="D55" i="159"/>
  <c r="J55" i="159"/>
  <c r="E55" i="159"/>
  <c r="F55" i="159"/>
  <c r="C55" i="159"/>
  <c r="I56" i="159"/>
  <c r="D56" i="159"/>
  <c r="J56" i="159"/>
  <c r="E56" i="159"/>
  <c r="F56" i="159"/>
  <c r="C56" i="159"/>
  <c r="I57" i="159"/>
  <c r="D57" i="159"/>
  <c r="J57" i="159"/>
  <c r="E57" i="159"/>
  <c r="F57" i="159"/>
  <c r="C57" i="159"/>
  <c r="I58" i="159"/>
  <c r="D58" i="159"/>
  <c r="J58" i="159"/>
  <c r="E58" i="159"/>
  <c r="F58" i="159"/>
  <c r="C58" i="159"/>
  <c r="I59" i="159"/>
  <c r="D59" i="159"/>
  <c r="J59" i="159"/>
  <c r="E59" i="159"/>
  <c r="F59" i="159"/>
  <c r="C59" i="159"/>
  <c r="I60" i="159"/>
  <c r="D60" i="159"/>
  <c r="J60" i="159"/>
  <c r="E60" i="159"/>
  <c r="F60" i="159"/>
  <c r="C60" i="159"/>
  <c r="I61" i="159"/>
  <c r="D61" i="159"/>
  <c r="J61" i="159"/>
  <c r="E61" i="159"/>
  <c r="F61" i="159"/>
  <c r="C61" i="159"/>
  <c r="I62" i="159"/>
  <c r="D62" i="159"/>
  <c r="J62" i="159"/>
  <c r="E62" i="159"/>
  <c r="F62" i="159"/>
  <c r="C62" i="159"/>
  <c r="I63" i="159"/>
  <c r="D63" i="159"/>
  <c r="J63" i="159"/>
  <c r="E63" i="159"/>
  <c r="F63" i="159"/>
  <c r="C63" i="159"/>
  <c r="I64" i="159"/>
  <c r="D64" i="159"/>
  <c r="J64" i="159"/>
  <c r="E64" i="159"/>
  <c r="F64" i="159"/>
  <c r="C64" i="159"/>
  <c r="I65" i="159"/>
  <c r="D65" i="159"/>
  <c r="J65" i="159"/>
  <c r="E65" i="159"/>
  <c r="F65" i="159"/>
  <c r="C65" i="159"/>
  <c r="I66" i="159"/>
  <c r="D66" i="159"/>
  <c r="J66" i="159"/>
  <c r="E66" i="159"/>
  <c r="F66" i="159"/>
  <c r="C66" i="159"/>
  <c r="I67" i="159"/>
  <c r="D67" i="159"/>
  <c r="J67" i="159"/>
  <c r="E67" i="159"/>
  <c r="F67" i="159"/>
  <c r="C67" i="159"/>
  <c r="I68" i="159"/>
  <c r="D68" i="159"/>
  <c r="J68" i="159"/>
  <c r="E68" i="159"/>
  <c r="F68" i="159"/>
  <c r="C68" i="159"/>
  <c r="I69" i="159"/>
  <c r="D69" i="159"/>
  <c r="J69" i="159"/>
  <c r="E69" i="159"/>
  <c r="F69" i="159"/>
  <c r="C69" i="159"/>
  <c r="I70" i="159"/>
  <c r="D70" i="159"/>
  <c r="J70" i="159"/>
  <c r="E70" i="159"/>
  <c r="F70" i="159"/>
  <c r="C70" i="159"/>
  <c r="I71" i="159"/>
  <c r="D71" i="159"/>
  <c r="J71" i="159"/>
  <c r="E71" i="159"/>
  <c r="F71" i="159"/>
  <c r="C71" i="159"/>
  <c r="I72" i="159"/>
  <c r="D72" i="159"/>
  <c r="J72" i="159"/>
  <c r="E72" i="159"/>
  <c r="F72" i="159"/>
  <c r="C72" i="159"/>
  <c r="I73" i="159"/>
  <c r="D73" i="159"/>
  <c r="J73" i="159"/>
  <c r="E73" i="159"/>
  <c r="F73" i="159"/>
  <c r="C73" i="159"/>
  <c r="I74" i="159"/>
  <c r="D74" i="159"/>
  <c r="J74" i="159"/>
  <c r="E74" i="159"/>
  <c r="F74" i="159"/>
  <c r="C74" i="159"/>
  <c r="I75" i="159"/>
  <c r="D75" i="159"/>
  <c r="J75" i="159"/>
  <c r="E75" i="159"/>
  <c r="F75" i="159"/>
  <c r="C75" i="159"/>
  <c r="I76" i="159"/>
  <c r="D76" i="159"/>
  <c r="J76" i="159"/>
  <c r="E76" i="159"/>
  <c r="F76" i="159"/>
  <c r="C76" i="159"/>
  <c r="I77" i="159"/>
  <c r="D77" i="159"/>
  <c r="J77" i="159"/>
  <c r="E77" i="159"/>
  <c r="F77" i="159"/>
  <c r="C77" i="159"/>
  <c r="I78" i="159"/>
  <c r="D78" i="159"/>
  <c r="J78" i="159"/>
  <c r="E78" i="159"/>
  <c r="F78" i="159"/>
  <c r="C78" i="159"/>
  <c r="I79" i="159"/>
  <c r="D79" i="159"/>
  <c r="J79" i="159"/>
  <c r="E79" i="159"/>
  <c r="F79" i="159"/>
  <c r="C79" i="159"/>
  <c r="I80" i="159"/>
  <c r="D80" i="159"/>
  <c r="J80" i="159"/>
  <c r="E80" i="159"/>
  <c r="F80" i="159"/>
  <c r="C80" i="159"/>
  <c r="I81" i="159"/>
  <c r="D81" i="159"/>
  <c r="J81" i="159"/>
  <c r="E81" i="159"/>
  <c r="F81" i="159"/>
  <c r="C81" i="159"/>
  <c r="I82" i="159"/>
  <c r="D82" i="159"/>
  <c r="J82" i="159"/>
  <c r="E82" i="159"/>
  <c r="F82" i="159"/>
  <c r="C82" i="159"/>
  <c r="I83" i="159"/>
  <c r="D83" i="159"/>
  <c r="J83" i="159"/>
  <c r="E83" i="159"/>
  <c r="F83" i="159"/>
  <c r="C83" i="159"/>
  <c r="I84" i="159"/>
  <c r="D84" i="159"/>
  <c r="J84" i="159"/>
  <c r="E84" i="159"/>
  <c r="F84" i="159"/>
  <c r="C84" i="159"/>
  <c r="I85" i="159"/>
  <c r="D85" i="159"/>
  <c r="J85" i="159"/>
  <c r="E85" i="159"/>
  <c r="F85" i="159"/>
  <c r="C85" i="159"/>
  <c r="I86" i="159"/>
  <c r="D86" i="159"/>
  <c r="J86" i="159"/>
  <c r="E86" i="159"/>
  <c r="F86" i="159"/>
  <c r="C86" i="159"/>
  <c r="I87" i="159"/>
  <c r="D87" i="159"/>
  <c r="J87" i="159"/>
  <c r="E87" i="159"/>
  <c r="F87" i="159"/>
  <c r="C87" i="159"/>
  <c r="I88" i="159"/>
  <c r="D88" i="159"/>
  <c r="J88" i="159"/>
  <c r="E88" i="159"/>
  <c r="F88" i="159"/>
  <c r="C88" i="159"/>
  <c r="I89" i="159"/>
  <c r="D89" i="159"/>
  <c r="J89" i="159"/>
  <c r="E89" i="159"/>
  <c r="F89" i="159"/>
  <c r="C89" i="159"/>
  <c r="I90" i="159"/>
  <c r="D90" i="159"/>
  <c r="J90" i="159"/>
  <c r="E90" i="159"/>
  <c r="F90" i="159"/>
  <c r="C90" i="159"/>
  <c r="I91" i="159"/>
  <c r="D91" i="159"/>
  <c r="J91" i="159"/>
  <c r="E91" i="159"/>
  <c r="F91" i="159"/>
  <c r="C91" i="159"/>
  <c r="I92" i="159"/>
  <c r="D92" i="159"/>
  <c r="J92" i="159"/>
  <c r="E92" i="159"/>
  <c r="F92" i="159"/>
  <c r="C92" i="159"/>
  <c r="I93" i="159"/>
  <c r="D93" i="159"/>
  <c r="J93" i="159"/>
  <c r="E93" i="159"/>
  <c r="F93" i="159"/>
  <c r="C93" i="159"/>
  <c r="I94" i="159"/>
  <c r="D94" i="159"/>
  <c r="J94" i="159"/>
  <c r="E94" i="159"/>
  <c r="F94" i="159"/>
  <c r="C94" i="159"/>
  <c r="I95" i="159"/>
  <c r="D95" i="159"/>
  <c r="J95" i="159"/>
  <c r="E95" i="159"/>
  <c r="F95" i="159"/>
  <c r="C95" i="159"/>
  <c r="I96" i="159"/>
  <c r="D96" i="159"/>
  <c r="J96" i="159"/>
  <c r="E96" i="159"/>
  <c r="F96" i="159"/>
  <c r="C96" i="159"/>
  <c r="I97" i="159"/>
  <c r="D97" i="159"/>
  <c r="J97" i="159"/>
  <c r="E97" i="159"/>
  <c r="F97" i="159"/>
  <c r="C97" i="159"/>
  <c r="I98" i="159"/>
  <c r="D98" i="159"/>
  <c r="J98" i="159"/>
  <c r="E98" i="159"/>
  <c r="F98" i="159"/>
  <c r="C98" i="159"/>
  <c r="I99" i="159"/>
  <c r="D99" i="159"/>
  <c r="J99" i="159"/>
  <c r="E99" i="159"/>
  <c r="F99" i="159"/>
  <c r="C99" i="159"/>
  <c r="I100" i="159"/>
  <c r="D100" i="159"/>
  <c r="J100" i="159"/>
  <c r="E100" i="159"/>
  <c r="F100" i="159"/>
  <c r="C100" i="159"/>
  <c r="I101" i="159"/>
  <c r="D101" i="159"/>
  <c r="J101" i="159"/>
  <c r="E101" i="159"/>
  <c r="F101" i="159"/>
  <c r="C101" i="159"/>
  <c r="I102" i="159"/>
  <c r="D102" i="159"/>
  <c r="J102" i="159"/>
  <c r="E102" i="159"/>
  <c r="F102" i="159"/>
  <c r="C102" i="159"/>
  <c r="I103" i="159"/>
  <c r="D103" i="159"/>
  <c r="J103" i="159"/>
  <c r="E103" i="159"/>
  <c r="F103" i="159"/>
  <c r="C103" i="159"/>
  <c r="I104" i="159"/>
  <c r="D104" i="159"/>
  <c r="J104" i="159"/>
  <c r="E104" i="159"/>
  <c r="F104" i="159"/>
  <c r="C104" i="159"/>
  <c r="I105" i="159"/>
  <c r="D105" i="159"/>
  <c r="J105" i="159"/>
  <c r="E105" i="159"/>
  <c r="F105" i="159"/>
  <c r="C105" i="159"/>
  <c r="I106" i="159"/>
  <c r="D106" i="159"/>
  <c r="J106" i="159"/>
  <c r="E106" i="159"/>
  <c r="F106" i="159"/>
  <c r="C106" i="159"/>
  <c r="I107" i="159"/>
  <c r="D107" i="159"/>
  <c r="J107" i="159"/>
  <c r="E107" i="159"/>
  <c r="F107" i="159"/>
  <c r="C107" i="159"/>
  <c r="I108" i="159"/>
  <c r="D108" i="159"/>
  <c r="J108" i="159"/>
  <c r="E108" i="159"/>
  <c r="F108" i="159"/>
  <c r="C108" i="159"/>
  <c r="I109" i="159"/>
  <c r="D109" i="159"/>
  <c r="J109" i="159"/>
  <c r="E109" i="159"/>
  <c r="F109" i="159"/>
  <c r="C109" i="159"/>
  <c r="I110" i="159"/>
  <c r="D110" i="159"/>
  <c r="J110" i="159"/>
  <c r="E110" i="159"/>
  <c r="F110" i="159"/>
  <c r="C110" i="159"/>
  <c r="I111" i="159"/>
  <c r="D111" i="159"/>
  <c r="J111" i="159"/>
  <c r="E111" i="159"/>
  <c r="F111" i="159"/>
  <c r="C111" i="159"/>
  <c r="I112" i="159"/>
  <c r="D112" i="159"/>
  <c r="J112" i="159"/>
  <c r="E112" i="159"/>
  <c r="F112" i="159"/>
  <c r="C112" i="159"/>
  <c r="I113" i="159"/>
  <c r="D113" i="159"/>
  <c r="J113" i="159"/>
  <c r="E113" i="159"/>
  <c r="F113" i="159"/>
  <c r="C113" i="159"/>
  <c r="I114" i="159"/>
  <c r="D114" i="159"/>
  <c r="J114" i="159"/>
  <c r="E114" i="159"/>
  <c r="F114" i="159"/>
  <c r="C114" i="159"/>
  <c r="I115" i="159"/>
  <c r="D115" i="159"/>
  <c r="J115" i="159"/>
  <c r="E115" i="159"/>
  <c r="F115" i="159"/>
  <c r="C115" i="159"/>
  <c r="I116" i="159"/>
  <c r="D116" i="159"/>
  <c r="J116" i="159"/>
  <c r="E116" i="159"/>
  <c r="F116" i="159"/>
  <c r="C116" i="159"/>
  <c r="I117" i="159"/>
  <c r="D117" i="159"/>
  <c r="J117" i="159"/>
  <c r="E117" i="159"/>
  <c r="F117" i="159"/>
  <c r="C117" i="159"/>
  <c r="I118" i="159"/>
  <c r="D118" i="159"/>
  <c r="J118" i="159"/>
  <c r="E118" i="159"/>
  <c r="F118" i="159"/>
  <c r="C118" i="159"/>
  <c r="I119" i="159"/>
  <c r="D119" i="159"/>
  <c r="J119" i="159"/>
  <c r="E119" i="159"/>
  <c r="F119" i="159"/>
  <c r="C119" i="159"/>
  <c r="I120" i="159"/>
  <c r="D120" i="159"/>
  <c r="J120" i="159"/>
  <c r="E120" i="159"/>
  <c r="F120" i="159"/>
  <c r="C120" i="159"/>
  <c r="I121" i="159"/>
  <c r="D121" i="159"/>
  <c r="J121" i="159"/>
  <c r="E121" i="159"/>
  <c r="F121" i="159"/>
  <c r="C121" i="159"/>
  <c r="I122" i="159"/>
  <c r="D122" i="159"/>
  <c r="J122" i="159"/>
  <c r="E122" i="159"/>
  <c r="F122" i="159"/>
  <c r="C122" i="159"/>
  <c r="I123" i="159"/>
  <c r="D123" i="159"/>
  <c r="J123" i="159"/>
  <c r="E123" i="159"/>
  <c r="F123" i="159"/>
  <c r="C123" i="159"/>
  <c r="I124" i="159"/>
  <c r="D124" i="159"/>
  <c r="J124" i="159"/>
  <c r="E124" i="159"/>
  <c r="F124" i="159"/>
  <c r="C124" i="159"/>
  <c r="I125" i="159"/>
  <c r="D125" i="159"/>
  <c r="J125" i="159"/>
  <c r="E125" i="159"/>
  <c r="F125" i="159"/>
  <c r="C125" i="159"/>
  <c r="I126" i="159"/>
  <c r="D126" i="159"/>
  <c r="J126" i="159"/>
  <c r="E126" i="159"/>
  <c r="F126" i="159"/>
  <c r="C126" i="159"/>
  <c r="I127" i="159"/>
  <c r="D127" i="159"/>
  <c r="J127" i="159"/>
  <c r="E127" i="159"/>
  <c r="F127" i="159"/>
  <c r="C127" i="159"/>
  <c r="I128" i="159"/>
  <c r="D128" i="159"/>
  <c r="J128" i="159"/>
  <c r="E128" i="159"/>
  <c r="F128" i="159"/>
  <c r="C128" i="159"/>
  <c r="I129" i="159"/>
  <c r="D129" i="159"/>
  <c r="J129" i="159"/>
  <c r="E129" i="159"/>
  <c r="F129" i="159"/>
  <c r="C129" i="159"/>
  <c r="I130" i="159"/>
  <c r="D130" i="159"/>
  <c r="J130" i="159"/>
  <c r="E130" i="159"/>
  <c r="F130" i="159"/>
  <c r="C130" i="159"/>
  <c r="I131" i="159"/>
  <c r="D131" i="159"/>
  <c r="J131" i="159"/>
  <c r="E131" i="159"/>
  <c r="F131" i="159"/>
  <c r="C131" i="159"/>
  <c r="I132" i="159"/>
  <c r="D132" i="159"/>
  <c r="J132" i="159"/>
  <c r="E132" i="159"/>
  <c r="F132" i="159"/>
  <c r="C132" i="159"/>
  <c r="I133" i="159"/>
  <c r="D133" i="159"/>
  <c r="J133" i="159"/>
  <c r="E133" i="159"/>
  <c r="F133" i="159"/>
  <c r="C133" i="159"/>
  <c r="I134" i="159"/>
  <c r="D134" i="159"/>
  <c r="J134" i="159"/>
  <c r="E134" i="159"/>
  <c r="F134" i="159"/>
  <c r="C134" i="159"/>
  <c r="I135" i="159"/>
  <c r="D135" i="159"/>
  <c r="J135" i="159"/>
  <c r="E135" i="159"/>
  <c r="F135" i="159"/>
  <c r="C135" i="159"/>
  <c r="I136" i="159"/>
  <c r="D136" i="159"/>
  <c r="J136" i="159"/>
  <c r="E136" i="159"/>
  <c r="F136" i="159"/>
  <c r="C136" i="159"/>
  <c r="I137" i="159"/>
  <c r="D137" i="159"/>
  <c r="J137" i="159"/>
  <c r="E137" i="159"/>
  <c r="F137" i="159"/>
  <c r="C137" i="159"/>
  <c r="I138" i="159"/>
  <c r="D138" i="159"/>
  <c r="J138" i="159"/>
  <c r="E138" i="159"/>
  <c r="F138" i="159"/>
  <c r="C138" i="159"/>
  <c r="I139" i="159"/>
  <c r="D139" i="159"/>
  <c r="J139" i="159"/>
  <c r="E139" i="159"/>
  <c r="F139" i="159"/>
  <c r="C139" i="159"/>
  <c r="I140" i="159"/>
  <c r="D140" i="159"/>
  <c r="J140" i="159"/>
  <c r="E140" i="159"/>
  <c r="F140" i="159"/>
  <c r="C140" i="159"/>
  <c r="I141" i="159"/>
  <c r="D141" i="159"/>
  <c r="J141" i="159"/>
  <c r="E141" i="159"/>
  <c r="F141" i="159"/>
  <c r="C141" i="159"/>
  <c r="I142" i="159"/>
  <c r="D142" i="159"/>
  <c r="J142" i="159"/>
  <c r="E142" i="159"/>
  <c r="F142" i="159"/>
  <c r="C142" i="159"/>
  <c r="I143" i="159"/>
  <c r="D143" i="159"/>
  <c r="J143" i="159"/>
  <c r="E143" i="159"/>
  <c r="F143" i="159"/>
  <c r="C143" i="159"/>
  <c r="I144" i="159"/>
  <c r="D144" i="159"/>
  <c r="J144" i="159"/>
  <c r="E144" i="159"/>
  <c r="F144" i="159"/>
  <c r="C144" i="159"/>
  <c r="I145" i="159"/>
  <c r="D145" i="159"/>
  <c r="J145" i="159"/>
  <c r="E145" i="159"/>
  <c r="F145" i="159"/>
  <c r="C145" i="159"/>
  <c r="I146" i="159"/>
  <c r="D146" i="159"/>
  <c r="J146" i="159"/>
  <c r="E146" i="159"/>
  <c r="F146" i="159"/>
  <c r="C146" i="159"/>
  <c r="I147" i="159"/>
  <c r="D147" i="159"/>
  <c r="J147" i="159"/>
  <c r="E147" i="159"/>
  <c r="F147" i="159"/>
  <c r="C147" i="159"/>
  <c r="I148" i="159"/>
  <c r="D148" i="159"/>
  <c r="J148" i="159"/>
  <c r="E148" i="159"/>
  <c r="F148" i="159"/>
  <c r="C148" i="159"/>
  <c r="I149" i="159"/>
  <c r="D149" i="159"/>
  <c r="J149" i="159"/>
  <c r="E149" i="159"/>
  <c r="F149" i="159"/>
  <c r="C149" i="159"/>
  <c r="I150" i="159"/>
  <c r="D150" i="159"/>
  <c r="J150" i="159"/>
  <c r="E150" i="159"/>
  <c r="F150" i="159"/>
  <c r="C150" i="159"/>
  <c r="I151" i="159"/>
  <c r="D151" i="159"/>
  <c r="J151" i="159"/>
  <c r="E151" i="159"/>
  <c r="F151" i="159"/>
  <c r="C151" i="159"/>
  <c r="I152" i="159"/>
  <c r="D152" i="159"/>
  <c r="J152" i="159"/>
  <c r="E152" i="159"/>
  <c r="F152" i="159"/>
  <c r="C152" i="159"/>
  <c r="I153" i="159"/>
  <c r="D153" i="159"/>
  <c r="J153" i="159"/>
  <c r="E153" i="159"/>
  <c r="F153" i="159"/>
  <c r="C153" i="159"/>
  <c r="I154" i="159"/>
  <c r="D154" i="159"/>
  <c r="J154" i="159"/>
  <c r="E154" i="159"/>
  <c r="F154" i="159"/>
  <c r="C154" i="159"/>
  <c r="I155" i="159"/>
  <c r="D155" i="159"/>
  <c r="J155" i="159"/>
  <c r="E155" i="159"/>
  <c r="F155" i="159"/>
  <c r="C155" i="159"/>
  <c r="I156" i="159"/>
  <c r="D156" i="159"/>
  <c r="J156" i="159"/>
  <c r="E156" i="159"/>
  <c r="F156" i="159"/>
  <c r="C156" i="159"/>
  <c r="I157" i="159"/>
  <c r="D157" i="159"/>
  <c r="J157" i="159"/>
  <c r="E157" i="159"/>
  <c r="F157" i="159"/>
  <c r="C157" i="159"/>
  <c r="I158" i="159"/>
  <c r="D158" i="159"/>
  <c r="J158" i="159"/>
  <c r="E158" i="159"/>
  <c r="F158" i="159"/>
  <c r="C158" i="159"/>
  <c r="I159" i="159"/>
  <c r="D159" i="159"/>
  <c r="J159" i="159"/>
  <c r="E159" i="159"/>
  <c r="F159" i="159"/>
  <c r="C159" i="159"/>
  <c r="I160" i="159"/>
  <c r="D160" i="159"/>
  <c r="J160" i="159"/>
  <c r="E160" i="159"/>
  <c r="F160" i="159"/>
  <c r="C160" i="159"/>
  <c r="I161" i="159"/>
  <c r="D161" i="159"/>
  <c r="J161" i="159"/>
  <c r="E161" i="159"/>
  <c r="F161" i="159"/>
  <c r="C161" i="159"/>
  <c r="I162" i="159"/>
  <c r="D162" i="159"/>
  <c r="J162" i="159"/>
  <c r="E162" i="159"/>
  <c r="F162" i="159"/>
  <c r="C162" i="159"/>
  <c r="I163" i="159"/>
  <c r="D163" i="159"/>
  <c r="J163" i="159"/>
  <c r="E163" i="159"/>
  <c r="F163" i="159"/>
  <c r="C163" i="159"/>
  <c r="I164" i="159"/>
  <c r="D164" i="159"/>
  <c r="J164" i="159"/>
  <c r="E164" i="159"/>
  <c r="F164" i="159"/>
  <c r="C164" i="159"/>
  <c r="I165" i="159"/>
  <c r="D165" i="159"/>
  <c r="J165" i="159"/>
  <c r="E165" i="159"/>
  <c r="F165" i="159"/>
  <c r="C165" i="159"/>
  <c r="I166" i="159"/>
  <c r="D166" i="159"/>
  <c r="J166" i="159"/>
  <c r="E166" i="159"/>
  <c r="F166" i="159"/>
  <c r="C166" i="159"/>
  <c r="I167" i="159"/>
  <c r="D167" i="159"/>
  <c r="J167" i="159"/>
  <c r="E167" i="159"/>
  <c r="F167" i="159"/>
  <c r="C167" i="159"/>
  <c r="I168" i="159"/>
  <c r="D168" i="159"/>
  <c r="J168" i="159"/>
  <c r="E168" i="159"/>
  <c r="F168" i="159"/>
  <c r="C168" i="159"/>
  <c r="I169" i="159"/>
  <c r="D169" i="159"/>
  <c r="J169" i="159"/>
  <c r="E169" i="159"/>
  <c r="F169" i="159"/>
  <c r="C169" i="159"/>
  <c r="I170" i="159"/>
  <c r="D170" i="159"/>
  <c r="J170" i="159"/>
  <c r="E170" i="159"/>
  <c r="F170" i="159"/>
  <c r="C170" i="159"/>
  <c r="I171" i="159"/>
  <c r="D171" i="159"/>
  <c r="J171" i="159"/>
  <c r="E171" i="159"/>
  <c r="F171" i="159"/>
  <c r="C171" i="159"/>
  <c r="I172" i="159"/>
  <c r="D172" i="159"/>
  <c r="J172" i="159"/>
  <c r="E172" i="159"/>
  <c r="F172" i="159"/>
  <c r="C172" i="159"/>
  <c r="I173" i="159"/>
  <c r="D173" i="159"/>
  <c r="J173" i="159"/>
  <c r="E173" i="159"/>
  <c r="F173" i="159"/>
  <c r="C173" i="159"/>
  <c r="I174" i="159"/>
  <c r="D174" i="159"/>
  <c r="J174" i="159"/>
  <c r="E174" i="159"/>
  <c r="F174" i="159"/>
  <c r="C174" i="159"/>
  <c r="I175" i="159"/>
  <c r="D175" i="159"/>
  <c r="J175" i="159"/>
  <c r="E175" i="159"/>
  <c r="F175" i="159"/>
  <c r="C175" i="159"/>
  <c r="I176" i="159"/>
  <c r="D176" i="159"/>
  <c r="J176" i="159"/>
  <c r="E176" i="159"/>
  <c r="F176" i="159"/>
  <c r="C176" i="159"/>
  <c r="I177" i="159"/>
  <c r="D177" i="159"/>
  <c r="J177" i="159"/>
  <c r="E177" i="159"/>
  <c r="F177" i="159"/>
  <c r="C177" i="159"/>
  <c r="I178" i="159"/>
  <c r="D178" i="159"/>
  <c r="J178" i="159"/>
  <c r="E178" i="159"/>
  <c r="F178" i="159"/>
  <c r="C178" i="159"/>
  <c r="I179" i="159"/>
  <c r="D179" i="159"/>
  <c r="J179" i="159"/>
  <c r="E179" i="159"/>
  <c r="F179" i="159"/>
  <c r="C179" i="159"/>
  <c r="I180" i="159"/>
  <c r="D180" i="159"/>
  <c r="J180" i="159"/>
  <c r="E180" i="159"/>
  <c r="F180" i="159"/>
  <c r="C180" i="159"/>
  <c r="I181" i="159"/>
  <c r="D181" i="159"/>
  <c r="J181" i="159"/>
  <c r="E181" i="159"/>
  <c r="F181" i="159"/>
  <c r="C181" i="159"/>
  <c r="I182" i="159"/>
  <c r="D182" i="159"/>
  <c r="J182" i="159"/>
  <c r="E182" i="159"/>
  <c r="F182" i="159"/>
  <c r="C182" i="159"/>
  <c r="I183" i="159"/>
  <c r="D183" i="159"/>
  <c r="J183" i="159"/>
  <c r="E183" i="159"/>
  <c r="F183" i="159"/>
  <c r="C183" i="159"/>
  <c r="I184" i="159"/>
  <c r="D184" i="159"/>
  <c r="J184" i="159"/>
  <c r="E184" i="159"/>
  <c r="F184" i="159"/>
  <c r="C184" i="159"/>
  <c r="I185" i="159"/>
  <c r="D185" i="159"/>
  <c r="J185" i="159"/>
  <c r="E185" i="159"/>
  <c r="F185" i="159"/>
  <c r="C185" i="159"/>
  <c r="I186" i="159"/>
  <c r="D186" i="159"/>
  <c r="J186" i="159"/>
  <c r="E186" i="159"/>
  <c r="F186" i="159"/>
  <c r="C186" i="159"/>
  <c r="I187" i="159"/>
  <c r="D187" i="159"/>
  <c r="J187" i="159"/>
  <c r="E187" i="159"/>
  <c r="F187" i="159"/>
  <c r="C187" i="159"/>
  <c r="I188" i="159"/>
  <c r="D188" i="159"/>
  <c r="J188" i="159"/>
  <c r="E188" i="159"/>
  <c r="F188" i="159"/>
  <c r="C188" i="159"/>
  <c r="I189" i="159"/>
  <c r="D189" i="159"/>
  <c r="J189" i="159"/>
  <c r="E189" i="159"/>
  <c r="F189" i="159"/>
  <c r="C189" i="159"/>
  <c r="I190" i="159"/>
  <c r="D190" i="159"/>
  <c r="J190" i="159"/>
  <c r="E190" i="159"/>
  <c r="F190" i="159"/>
  <c r="C190" i="159"/>
  <c r="I191" i="159"/>
  <c r="D191" i="159"/>
  <c r="J191" i="159"/>
  <c r="E191" i="159"/>
  <c r="F191" i="159"/>
  <c r="C191" i="159"/>
  <c r="I192" i="159"/>
  <c r="D192" i="159"/>
  <c r="J192" i="159"/>
  <c r="E192" i="159"/>
  <c r="F192" i="159"/>
  <c r="C192" i="159"/>
  <c r="I193" i="159"/>
  <c r="D193" i="159"/>
  <c r="J193" i="159"/>
  <c r="E193" i="159"/>
  <c r="F193" i="159"/>
  <c r="C193" i="159"/>
  <c r="I194" i="159"/>
  <c r="D194" i="159"/>
  <c r="J194" i="159"/>
  <c r="E194" i="159"/>
  <c r="F194" i="159"/>
  <c r="C194" i="159"/>
  <c r="I195" i="159"/>
  <c r="D195" i="159"/>
  <c r="J195" i="159"/>
  <c r="E195" i="159"/>
  <c r="F195" i="159"/>
  <c r="C195" i="159"/>
  <c r="I196" i="159"/>
  <c r="D196" i="159"/>
  <c r="J196" i="159"/>
  <c r="E196" i="159"/>
  <c r="F196" i="159"/>
  <c r="C196" i="159"/>
  <c r="I197" i="159"/>
  <c r="D197" i="159"/>
  <c r="J197" i="159"/>
  <c r="E197" i="159"/>
  <c r="F197" i="159"/>
  <c r="C197" i="159"/>
  <c r="I198" i="159"/>
  <c r="D198" i="159"/>
  <c r="J198" i="159"/>
  <c r="E198" i="159"/>
  <c r="F198" i="159"/>
  <c r="C198" i="159"/>
  <c r="I199" i="159"/>
  <c r="D199" i="159"/>
  <c r="J199" i="159"/>
  <c r="E199" i="159"/>
  <c r="F199" i="159"/>
  <c r="C199" i="159"/>
  <c r="I200" i="159"/>
  <c r="D200" i="159"/>
  <c r="J200" i="159"/>
  <c r="E200" i="159"/>
  <c r="F200" i="159"/>
  <c r="C200" i="159"/>
  <c r="I201" i="159"/>
  <c r="D201" i="159"/>
  <c r="J201" i="159"/>
  <c r="E201" i="159"/>
  <c r="F201" i="159"/>
  <c r="C201" i="159"/>
  <c r="I202" i="159"/>
  <c r="D202" i="159"/>
  <c r="J202" i="159"/>
  <c r="E202" i="159"/>
  <c r="F202" i="159"/>
  <c r="C202" i="159"/>
  <c r="I203" i="159"/>
  <c r="D203" i="159"/>
  <c r="J203" i="159"/>
  <c r="E203" i="159"/>
  <c r="F203" i="159"/>
  <c r="C203" i="159"/>
  <c r="I204" i="159"/>
  <c r="D204" i="159"/>
  <c r="J204" i="159"/>
  <c r="E204" i="159"/>
  <c r="F204" i="159"/>
  <c r="C204" i="159"/>
  <c r="I205" i="159"/>
  <c r="D205" i="159"/>
  <c r="J205" i="159"/>
  <c r="E205" i="159"/>
  <c r="F205" i="159"/>
  <c r="C205" i="159"/>
  <c r="I206" i="159"/>
  <c r="D206" i="159"/>
  <c r="J206" i="159"/>
  <c r="E206" i="159"/>
  <c r="F206" i="159"/>
  <c r="C206" i="159"/>
  <c r="I207" i="159"/>
  <c r="D207" i="159"/>
  <c r="J207" i="159"/>
  <c r="E207" i="159"/>
  <c r="F207" i="159"/>
  <c r="C207" i="159"/>
  <c r="I208" i="159"/>
  <c r="D208" i="159"/>
  <c r="J208" i="159"/>
  <c r="E208" i="159"/>
  <c r="F208" i="159"/>
  <c r="C208" i="159"/>
  <c r="I209" i="159"/>
  <c r="D209" i="159"/>
  <c r="J209" i="159"/>
  <c r="E209" i="159"/>
  <c r="F209" i="159"/>
  <c r="C209" i="159"/>
  <c r="I210" i="159"/>
  <c r="D210" i="159"/>
  <c r="J210" i="159"/>
  <c r="E210" i="159"/>
  <c r="F210" i="159"/>
  <c r="C210" i="159"/>
  <c r="I211" i="159"/>
  <c r="D211" i="159"/>
  <c r="J211" i="159"/>
  <c r="E211" i="159"/>
  <c r="F211" i="159"/>
  <c r="C211" i="159"/>
  <c r="I212" i="159"/>
  <c r="D212" i="159"/>
  <c r="J212" i="159"/>
  <c r="E212" i="159"/>
  <c r="F212" i="159"/>
  <c r="C212" i="159"/>
  <c r="I213" i="159"/>
  <c r="D213" i="159"/>
  <c r="J213" i="159"/>
  <c r="E213" i="159"/>
  <c r="F213" i="159"/>
  <c r="C213" i="159"/>
  <c r="I214" i="159"/>
  <c r="D214" i="159"/>
  <c r="J214" i="159"/>
  <c r="E214" i="159"/>
  <c r="F214" i="159"/>
  <c r="C214" i="159"/>
  <c r="I215" i="159"/>
  <c r="D215" i="159"/>
  <c r="J215" i="159"/>
  <c r="E215" i="159"/>
  <c r="F215" i="159"/>
  <c r="C215" i="159"/>
  <c r="I216" i="159"/>
  <c r="D216" i="159"/>
  <c r="J216" i="159"/>
  <c r="E216" i="159"/>
  <c r="F216" i="159"/>
  <c r="C216" i="159"/>
  <c r="I217" i="159"/>
  <c r="D217" i="159"/>
  <c r="J217" i="159"/>
  <c r="E217" i="159"/>
  <c r="F217" i="159"/>
  <c r="C217" i="159"/>
  <c r="I218" i="159"/>
  <c r="D218" i="159"/>
  <c r="J218" i="159"/>
  <c r="E218" i="159"/>
  <c r="F218" i="159"/>
  <c r="C218" i="159"/>
  <c r="I219" i="159"/>
  <c r="D219" i="159"/>
  <c r="J219" i="159"/>
  <c r="E219" i="159"/>
  <c r="F219" i="159"/>
  <c r="C219" i="159"/>
  <c r="I220" i="159"/>
  <c r="D220" i="159"/>
  <c r="J220" i="159"/>
  <c r="E220" i="159"/>
  <c r="F220" i="159"/>
  <c r="C220" i="159"/>
  <c r="I221" i="159"/>
  <c r="D221" i="159"/>
  <c r="J221" i="159"/>
  <c r="E221" i="159"/>
  <c r="F221" i="159"/>
  <c r="C221" i="159"/>
  <c r="I222" i="159"/>
  <c r="D222" i="159"/>
  <c r="J222" i="159"/>
  <c r="E222" i="159"/>
  <c r="F222" i="159"/>
  <c r="C222" i="159"/>
  <c r="I223" i="159"/>
  <c r="D223" i="159"/>
  <c r="J223" i="159"/>
  <c r="E223" i="159"/>
  <c r="F223" i="159"/>
  <c r="C223" i="159"/>
  <c r="I224" i="159"/>
  <c r="D224" i="159"/>
  <c r="J224" i="159"/>
  <c r="E224" i="159"/>
  <c r="F224" i="159"/>
  <c r="C224" i="159"/>
  <c r="I225" i="159"/>
  <c r="D225" i="159"/>
  <c r="J225" i="159"/>
  <c r="E225" i="159"/>
  <c r="F225" i="159"/>
  <c r="C225" i="159"/>
  <c r="I226" i="159"/>
  <c r="D226" i="159"/>
  <c r="J226" i="159"/>
  <c r="E226" i="159"/>
  <c r="F226" i="159"/>
  <c r="C226" i="159"/>
  <c r="I227" i="159"/>
  <c r="D227" i="159"/>
  <c r="J227" i="159"/>
  <c r="E227" i="159"/>
  <c r="F227" i="159"/>
  <c r="C227" i="159"/>
  <c r="I228" i="159"/>
  <c r="D228" i="159"/>
  <c r="J228" i="159"/>
  <c r="E228" i="159"/>
  <c r="F228" i="159"/>
  <c r="C228" i="159"/>
  <c r="I229" i="159"/>
  <c r="D229" i="159"/>
  <c r="J229" i="159"/>
  <c r="E229" i="159"/>
  <c r="F229" i="159"/>
  <c r="C229" i="159"/>
  <c r="I230" i="159"/>
  <c r="D230" i="159"/>
  <c r="J230" i="159"/>
  <c r="E230" i="159"/>
  <c r="F230" i="159"/>
  <c r="C230" i="159"/>
  <c r="I231" i="159"/>
  <c r="D231" i="159"/>
  <c r="J231" i="159"/>
  <c r="E231" i="159"/>
  <c r="F231" i="159"/>
  <c r="C231" i="159"/>
  <c r="I232" i="159"/>
  <c r="D232" i="159"/>
  <c r="J232" i="159"/>
  <c r="E232" i="159"/>
  <c r="F232" i="159"/>
  <c r="C232" i="159"/>
  <c r="I233" i="159"/>
  <c r="D233" i="159"/>
  <c r="J233" i="159"/>
  <c r="E233" i="159"/>
  <c r="F233" i="159"/>
  <c r="C233" i="159"/>
  <c r="I234" i="159"/>
  <c r="D234" i="159"/>
  <c r="J234" i="159"/>
  <c r="E234" i="159"/>
  <c r="F234" i="159"/>
  <c r="C234" i="159"/>
  <c r="I235" i="159"/>
  <c r="D235" i="159"/>
  <c r="J235" i="159"/>
  <c r="E235" i="159"/>
  <c r="F235" i="159"/>
  <c r="C235" i="159"/>
  <c r="I236" i="159"/>
  <c r="D236" i="159"/>
  <c r="J236" i="159"/>
  <c r="E236" i="159"/>
  <c r="F236" i="159"/>
  <c r="C236" i="159"/>
  <c r="I237" i="159"/>
  <c r="D237" i="159"/>
  <c r="J237" i="159"/>
  <c r="E237" i="159"/>
  <c r="F237" i="159"/>
  <c r="C237" i="159"/>
  <c r="I238" i="159"/>
  <c r="D238" i="159"/>
  <c r="J238" i="159"/>
  <c r="E238" i="159"/>
  <c r="F238" i="159"/>
  <c r="C238" i="159"/>
  <c r="I239" i="159"/>
  <c r="D239" i="159"/>
  <c r="J239" i="159"/>
  <c r="E239" i="159"/>
  <c r="F239" i="159"/>
  <c r="C239" i="159"/>
  <c r="I240" i="159"/>
  <c r="D240" i="159"/>
  <c r="J240" i="159"/>
  <c r="E240" i="159"/>
  <c r="F240" i="159"/>
  <c r="C240" i="159"/>
  <c r="I241" i="159"/>
  <c r="D241" i="159"/>
  <c r="J241" i="159"/>
  <c r="E241" i="159"/>
  <c r="F241" i="159"/>
  <c r="C241" i="159"/>
  <c r="I242" i="159"/>
  <c r="D242" i="159"/>
  <c r="J242" i="159"/>
  <c r="E242" i="159"/>
  <c r="F242" i="159"/>
  <c r="C242" i="159"/>
  <c r="I243" i="159"/>
  <c r="D243" i="159"/>
  <c r="J243" i="159"/>
  <c r="E243" i="159"/>
  <c r="F243" i="159"/>
  <c r="C243" i="159"/>
  <c r="I244" i="159"/>
  <c r="D244" i="159"/>
  <c r="J244" i="159"/>
  <c r="E244" i="159"/>
  <c r="F244" i="159"/>
  <c r="C244" i="159"/>
  <c r="I245" i="159"/>
  <c r="D245" i="159"/>
  <c r="J245" i="159"/>
  <c r="E245" i="159"/>
  <c r="F245" i="159"/>
  <c r="C245" i="159"/>
  <c r="I246" i="159"/>
  <c r="D246" i="159"/>
  <c r="J246" i="159"/>
  <c r="E246" i="159"/>
  <c r="F246" i="159"/>
  <c r="C246" i="159"/>
  <c r="I247" i="159"/>
  <c r="D247" i="159"/>
  <c r="J247" i="159"/>
  <c r="E247" i="159"/>
  <c r="F247" i="159"/>
  <c r="C247" i="159"/>
  <c r="I248" i="159"/>
  <c r="D248" i="159"/>
  <c r="J248" i="159"/>
  <c r="E248" i="159"/>
  <c r="F248" i="159"/>
  <c r="C248" i="159"/>
  <c r="I249" i="159"/>
  <c r="D249" i="159"/>
  <c r="J249" i="159"/>
  <c r="E249" i="159"/>
  <c r="F249" i="159"/>
  <c r="C249" i="159"/>
  <c r="I250" i="159"/>
  <c r="D250" i="159"/>
  <c r="J250" i="159"/>
  <c r="E250" i="159"/>
  <c r="F250" i="159"/>
  <c r="C250" i="159"/>
  <c r="I251" i="159"/>
  <c r="D251" i="159"/>
  <c r="J251" i="159"/>
  <c r="E251" i="159"/>
  <c r="F251" i="159"/>
  <c r="C251" i="159"/>
  <c r="I252" i="159"/>
  <c r="D252" i="159"/>
  <c r="J252" i="159"/>
  <c r="E252" i="159"/>
  <c r="F252" i="159"/>
  <c r="C252" i="159"/>
  <c r="I253" i="159"/>
  <c r="D253" i="159"/>
  <c r="J253" i="159"/>
  <c r="E253" i="159"/>
  <c r="F253" i="159"/>
  <c r="C253" i="159"/>
  <c r="I254" i="159"/>
  <c r="D254" i="159"/>
  <c r="J254" i="159"/>
  <c r="E254" i="159"/>
  <c r="F254" i="159"/>
  <c r="C254" i="159"/>
  <c r="I255" i="159"/>
  <c r="D255" i="159"/>
  <c r="J255" i="159"/>
  <c r="E255" i="159"/>
  <c r="F255" i="159"/>
  <c r="C255" i="159"/>
  <c r="I256" i="159"/>
  <c r="D256" i="159"/>
  <c r="J256" i="159"/>
  <c r="E256" i="159"/>
  <c r="F256" i="159"/>
  <c r="C256" i="159"/>
  <c r="I257" i="159"/>
  <c r="D257" i="159"/>
  <c r="J257" i="159"/>
  <c r="E257" i="159"/>
  <c r="F257" i="159"/>
  <c r="C257" i="159"/>
  <c r="I258" i="159"/>
  <c r="D258" i="159"/>
  <c r="J258" i="159"/>
  <c r="E258" i="159"/>
  <c r="F258" i="159"/>
  <c r="C258" i="159"/>
  <c r="I259" i="159"/>
  <c r="D259" i="159"/>
  <c r="J259" i="159"/>
  <c r="E259" i="159"/>
  <c r="F259" i="159"/>
  <c r="C259" i="159"/>
  <c r="I260" i="159"/>
  <c r="D260" i="159"/>
  <c r="J260" i="159"/>
  <c r="E260" i="159"/>
  <c r="F260" i="159"/>
  <c r="C260" i="159"/>
  <c r="I261" i="159"/>
  <c r="D261" i="159"/>
  <c r="J261" i="159"/>
  <c r="E261" i="159"/>
  <c r="F261" i="159"/>
  <c r="C261" i="159"/>
  <c r="I262" i="159"/>
  <c r="D262" i="159"/>
  <c r="J262" i="159"/>
  <c r="E262" i="159"/>
  <c r="F262" i="159"/>
  <c r="C262" i="159"/>
  <c r="I263" i="159"/>
  <c r="D263" i="159"/>
  <c r="J263" i="159"/>
  <c r="E263" i="159"/>
  <c r="F263" i="159"/>
  <c r="C263" i="159"/>
  <c r="I264" i="159"/>
  <c r="D264" i="159"/>
  <c r="J264" i="159"/>
  <c r="E264" i="159"/>
  <c r="F264" i="159"/>
  <c r="C264" i="159"/>
  <c r="I265" i="159"/>
  <c r="D265" i="159"/>
  <c r="J265" i="159"/>
  <c r="E265" i="159"/>
  <c r="F265" i="159"/>
  <c r="C265" i="159"/>
  <c r="I266" i="159"/>
  <c r="D266" i="159"/>
  <c r="J266" i="159"/>
  <c r="E266" i="159"/>
  <c r="F266" i="159"/>
  <c r="C266" i="159"/>
  <c r="I267" i="159"/>
  <c r="D267" i="159"/>
  <c r="J267" i="159"/>
  <c r="E267" i="159"/>
  <c r="F267" i="159"/>
  <c r="C267" i="159"/>
  <c r="I268" i="159"/>
  <c r="D268" i="159"/>
  <c r="J268" i="159"/>
  <c r="E268" i="159"/>
  <c r="F268" i="159"/>
  <c r="C268" i="159"/>
  <c r="I269" i="159"/>
  <c r="D269" i="159"/>
  <c r="J269" i="159"/>
  <c r="E269" i="159"/>
  <c r="F269" i="159"/>
  <c r="C269" i="159"/>
  <c r="I270" i="159"/>
  <c r="D270" i="159"/>
  <c r="J270" i="159"/>
  <c r="E270" i="159"/>
  <c r="F270" i="159"/>
  <c r="C270" i="159"/>
  <c r="I271" i="159"/>
  <c r="D271" i="159"/>
  <c r="J271" i="159"/>
  <c r="E271" i="159"/>
  <c r="F271" i="159"/>
  <c r="C271" i="159"/>
  <c r="I272" i="159"/>
  <c r="D272" i="159"/>
  <c r="J272" i="159"/>
  <c r="E272" i="159"/>
  <c r="F272" i="159"/>
  <c r="C272" i="159"/>
  <c r="I273" i="159"/>
  <c r="D273" i="159"/>
  <c r="J273" i="159"/>
  <c r="E273" i="159"/>
  <c r="F273" i="159"/>
  <c r="C273" i="159"/>
  <c r="I274" i="159"/>
  <c r="D274" i="159"/>
  <c r="J274" i="159"/>
  <c r="E274" i="159"/>
  <c r="F274" i="159"/>
  <c r="C274" i="159"/>
  <c r="I275" i="159"/>
  <c r="D275" i="159"/>
  <c r="J275" i="159"/>
  <c r="E275" i="159"/>
  <c r="F275" i="159"/>
  <c r="C275" i="159"/>
  <c r="I276" i="159"/>
  <c r="D276" i="159"/>
  <c r="J276" i="159"/>
  <c r="E276" i="159"/>
  <c r="F276" i="159"/>
  <c r="C276" i="159"/>
  <c r="I277" i="159"/>
  <c r="D277" i="159"/>
  <c r="J277" i="159"/>
  <c r="E277" i="159"/>
  <c r="F277" i="159"/>
  <c r="C277" i="159"/>
  <c r="I278" i="159"/>
  <c r="D278" i="159"/>
  <c r="J278" i="159"/>
  <c r="E278" i="159"/>
  <c r="F278" i="159"/>
  <c r="C278" i="159"/>
  <c r="I279" i="159"/>
  <c r="D279" i="159"/>
  <c r="J279" i="159"/>
  <c r="E279" i="159"/>
  <c r="F279" i="159"/>
  <c r="C279" i="159"/>
  <c r="I280" i="159"/>
  <c r="D280" i="159"/>
  <c r="J280" i="159"/>
  <c r="E280" i="159"/>
  <c r="F280" i="159"/>
  <c r="C280" i="159"/>
  <c r="I281" i="159"/>
  <c r="D281" i="159"/>
  <c r="J281" i="159"/>
  <c r="E281" i="159"/>
  <c r="F281" i="159"/>
  <c r="C281" i="159"/>
  <c r="I282" i="159"/>
  <c r="D282" i="159"/>
  <c r="J282" i="159"/>
  <c r="E282" i="159"/>
  <c r="F282" i="159"/>
  <c r="C282" i="159"/>
  <c r="I283" i="159"/>
  <c r="D283" i="159"/>
  <c r="J283" i="159"/>
  <c r="E283" i="159"/>
  <c r="F283" i="159"/>
  <c r="C283" i="159"/>
  <c r="I284" i="159"/>
  <c r="D284" i="159"/>
  <c r="J284" i="159"/>
  <c r="E284" i="159"/>
  <c r="F284" i="159"/>
  <c r="C284" i="159"/>
  <c r="I285" i="159"/>
  <c r="D285" i="159"/>
  <c r="J285" i="159"/>
  <c r="E285" i="159"/>
  <c r="F285" i="159"/>
  <c r="C285" i="159"/>
  <c r="I286" i="159"/>
  <c r="D286" i="159"/>
  <c r="J286" i="159"/>
  <c r="E286" i="159"/>
  <c r="F286" i="159"/>
  <c r="C286" i="159"/>
  <c r="I287" i="159"/>
  <c r="D287" i="159"/>
  <c r="J287" i="159"/>
  <c r="E287" i="159"/>
  <c r="F287" i="159"/>
  <c r="C287" i="159"/>
  <c r="I288" i="159"/>
  <c r="D288" i="159"/>
  <c r="J288" i="159"/>
  <c r="E288" i="159"/>
  <c r="F288" i="159"/>
  <c r="C288" i="159"/>
  <c r="I289" i="159"/>
  <c r="D289" i="159"/>
  <c r="J289" i="159"/>
  <c r="E289" i="159"/>
  <c r="F289" i="159"/>
  <c r="C289" i="159"/>
  <c r="I290" i="159"/>
  <c r="D290" i="159"/>
  <c r="J290" i="159"/>
  <c r="E290" i="159"/>
  <c r="F290" i="159"/>
  <c r="C290" i="159"/>
  <c r="I291" i="159"/>
  <c r="D291" i="159"/>
  <c r="J291" i="159"/>
  <c r="E291" i="159"/>
  <c r="F291" i="159"/>
  <c r="C291" i="159"/>
  <c r="I292" i="159"/>
  <c r="D292" i="159"/>
  <c r="J292" i="159"/>
  <c r="E292" i="159"/>
  <c r="F292" i="159"/>
  <c r="C292" i="159"/>
  <c r="I293" i="159"/>
  <c r="D293" i="159"/>
  <c r="J293" i="159"/>
  <c r="E293" i="159"/>
  <c r="F293" i="159"/>
  <c r="C293" i="159"/>
  <c r="I294" i="159"/>
  <c r="D294" i="159"/>
  <c r="J294" i="159"/>
  <c r="E294" i="159"/>
  <c r="F294" i="159"/>
  <c r="C294" i="159"/>
  <c r="I295" i="159"/>
  <c r="D295" i="159"/>
  <c r="J295" i="159"/>
  <c r="E295" i="159"/>
  <c r="F295" i="159"/>
  <c r="C295" i="159"/>
  <c r="I296" i="159"/>
  <c r="D296" i="159"/>
  <c r="J296" i="159"/>
  <c r="E296" i="159"/>
  <c r="F296" i="159"/>
  <c r="C296" i="159"/>
  <c r="I297" i="159"/>
  <c r="D297" i="159"/>
  <c r="J297" i="159"/>
  <c r="E297" i="159"/>
  <c r="F297" i="159"/>
  <c r="C297" i="159"/>
  <c r="I298" i="159"/>
  <c r="D298" i="159"/>
  <c r="J298" i="159"/>
  <c r="E298" i="159"/>
  <c r="F298" i="159"/>
  <c r="C298" i="159"/>
  <c r="I299" i="159"/>
  <c r="D299" i="159"/>
  <c r="J299" i="159"/>
  <c r="E299" i="159"/>
  <c r="F299" i="159"/>
  <c r="C299" i="159"/>
  <c r="F5" i="158"/>
  <c r="F7" i="158"/>
  <c r="A51" i="158"/>
  <c r="G31" i="158"/>
  <c r="Q3" i="158"/>
  <c r="Q4" i="158"/>
  <c r="Q5" i="158"/>
  <c r="Q6" i="158"/>
  <c r="Q7" i="158"/>
  <c r="Q8" i="158"/>
  <c r="Q9" i="158"/>
  <c r="Q10" i="158"/>
  <c r="Q11" i="158"/>
  <c r="Q12" i="158"/>
  <c r="Q13" i="158"/>
  <c r="Q14" i="158"/>
  <c r="Q15" i="158"/>
  <c r="Q16" i="158"/>
  <c r="Q17" i="158"/>
  <c r="Q18" i="158"/>
  <c r="Q19" i="158"/>
  <c r="Q20" i="158"/>
  <c r="E31" i="158"/>
  <c r="H31" i="158"/>
  <c r="G46" i="158"/>
  <c r="E46" i="158"/>
  <c r="H46" i="158"/>
  <c r="O300" i="159"/>
  <c r="E5" i="158"/>
  <c r="E29" i="158"/>
  <c r="B29" i="158"/>
  <c r="G29" i="158"/>
  <c r="H29" i="158"/>
  <c r="O299" i="159"/>
  <c r="E7" i="158"/>
  <c r="E26" i="158"/>
  <c r="B26" i="158"/>
  <c r="E28" i="158"/>
  <c r="B28" i="158"/>
  <c r="E21" i="158"/>
  <c r="B21" i="158"/>
  <c r="B23" i="158"/>
  <c r="G23" i="158"/>
  <c r="E23" i="158"/>
  <c r="H23" i="158"/>
  <c r="O298" i="159"/>
  <c r="E22" i="158"/>
  <c r="B22" i="158"/>
  <c r="G22" i="158"/>
  <c r="H22" i="158"/>
  <c r="O297" i="159"/>
  <c r="F6" i="158"/>
  <c r="E6" i="158"/>
  <c r="E44" i="158"/>
  <c r="B44" i="158"/>
  <c r="G44" i="158"/>
  <c r="H44" i="158"/>
  <c r="O296" i="159"/>
  <c r="O295" i="159"/>
  <c r="O294" i="159"/>
  <c r="O293" i="159"/>
  <c r="O290" i="159"/>
  <c r="O285" i="159"/>
  <c r="O284" i="159"/>
  <c r="O283" i="159"/>
  <c r="O282" i="159"/>
  <c r="O273" i="159"/>
  <c r="I300" i="154"/>
  <c r="D300" i="154"/>
  <c r="J300" i="154"/>
  <c r="E300" i="154"/>
  <c r="F300" i="154"/>
  <c r="I2" i="154"/>
  <c r="D2" i="154"/>
  <c r="J2" i="154"/>
  <c r="E2" i="154"/>
  <c r="F2" i="154"/>
  <c r="I3" i="154"/>
  <c r="D3" i="154"/>
  <c r="J3" i="154"/>
  <c r="E3" i="154"/>
  <c r="F3" i="154"/>
  <c r="I4" i="154"/>
  <c r="D4" i="154"/>
  <c r="J4" i="154"/>
  <c r="E4" i="154"/>
  <c r="F4" i="154"/>
  <c r="I5" i="154"/>
  <c r="D5" i="154"/>
  <c r="J5" i="154"/>
  <c r="E5" i="154"/>
  <c r="F5" i="154"/>
  <c r="I6" i="154"/>
  <c r="D6" i="154"/>
  <c r="J6" i="154"/>
  <c r="E6" i="154"/>
  <c r="F6" i="154"/>
  <c r="I7" i="154"/>
  <c r="D7" i="154"/>
  <c r="J7" i="154"/>
  <c r="E7" i="154"/>
  <c r="F7" i="154"/>
  <c r="I8" i="154"/>
  <c r="D8" i="154"/>
  <c r="J8" i="154"/>
  <c r="E8" i="154"/>
  <c r="F8" i="154"/>
  <c r="I9" i="154"/>
  <c r="D9" i="154"/>
  <c r="J9" i="154"/>
  <c r="E9" i="154"/>
  <c r="F9" i="154"/>
  <c r="I10" i="154"/>
  <c r="D10" i="154"/>
  <c r="J10" i="154"/>
  <c r="E10" i="154"/>
  <c r="F10" i="154"/>
  <c r="I11" i="154"/>
  <c r="D11" i="154"/>
  <c r="J11" i="154"/>
  <c r="E11" i="154"/>
  <c r="F11" i="154"/>
  <c r="I12" i="154"/>
  <c r="D12" i="154"/>
  <c r="J12" i="154"/>
  <c r="E12" i="154"/>
  <c r="F12" i="154"/>
  <c r="I13" i="154"/>
  <c r="D13" i="154"/>
  <c r="J13" i="154"/>
  <c r="E13" i="154"/>
  <c r="F13" i="154"/>
  <c r="I14" i="154"/>
  <c r="D14" i="154"/>
  <c r="J14" i="154"/>
  <c r="E14" i="154"/>
  <c r="F14" i="154"/>
  <c r="I15" i="154"/>
  <c r="D15" i="154"/>
  <c r="J15" i="154"/>
  <c r="E15" i="154"/>
  <c r="F15" i="154"/>
  <c r="I16" i="154"/>
  <c r="D16" i="154"/>
  <c r="J16" i="154"/>
  <c r="E16" i="154"/>
  <c r="F16" i="154"/>
  <c r="I17" i="154"/>
  <c r="D17" i="154"/>
  <c r="J17" i="154"/>
  <c r="E17" i="154"/>
  <c r="F17" i="154"/>
  <c r="I18" i="154"/>
  <c r="D18" i="154"/>
  <c r="J18" i="154"/>
  <c r="E18" i="154"/>
  <c r="F18" i="154"/>
  <c r="I19" i="154"/>
  <c r="D19" i="154"/>
  <c r="J19" i="154"/>
  <c r="E19" i="154"/>
  <c r="F19" i="154"/>
  <c r="I20" i="154"/>
  <c r="D20" i="154"/>
  <c r="J20" i="154"/>
  <c r="E20" i="154"/>
  <c r="F20" i="154"/>
  <c r="I21" i="154"/>
  <c r="D21" i="154"/>
  <c r="J21" i="154"/>
  <c r="E21" i="154"/>
  <c r="F21" i="154"/>
  <c r="I22" i="154"/>
  <c r="D22" i="154"/>
  <c r="J22" i="154"/>
  <c r="E22" i="154"/>
  <c r="F22" i="154"/>
  <c r="I23" i="154"/>
  <c r="D23" i="154"/>
  <c r="J23" i="154"/>
  <c r="E23" i="154"/>
  <c r="F23" i="154"/>
  <c r="I24" i="154"/>
  <c r="D24" i="154"/>
  <c r="J24" i="154"/>
  <c r="E24" i="154"/>
  <c r="F24" i="154"/>
  <c r="I25" i="154"/>
  <c r="D25" i="154"/>
  <c r="J25" i="154"/>
  <c r="E25" i="154"/>
  <c r="F25" i="154"/>
  <c r="I26" i="154"/>
  <c r="D26" i="154"/>
  <c r="J26" i="154"/>
  <c r="E26" i="154"/>
  <c r="F26" i="154"/>
  <c r="I27" i="154"/>
  <c r="D27" i="154"/>
  <c r="J27" i="154"/>
  <c r="E27" i="154"/>
  <c r="F27" i="154"/>
  <c r="I28" i="154"/>
  <c r="D28" i="154"/>
  <c r="J28" i="154"/>
  <c r="E28" i="154"/>
  <c r="F28" i="154"/>
  <c r="I29" i="154"/>
  <c r="D29" i="154"/>
  <c r="J29" i="154"/>
  <c r="E29" i="154"/>
  <c r="F29" i="154"/>
  <c r="I30" i="154"/>
  <c r="D30" i="154"/>
  <c r="J30" i="154"/>
  <c r="E30" i="154"/>
  <c r="F30" i="154"/>
  <c r="I31" i="154"/>
  <c r="D31" i="154"/>
  <c r="J31" i="154"/>
  <c r="E31" i="154"/>
  <c r="F31" i="154"/>
  <c r="I32" i="154"/>
  <c r="D32" i="154"/>
  <c r="J32" i="154"/>
  <c r="E32" i="154"/>
  <c r="F32" i="154"/>
  <c r="I33" i="154"/>
  <c r="D33" i="154"/>
  <c r="J33" i="154"/>
  <c r="E33" i="154"/>
  <c r="F33" i="154"/>
  <c r="I34" i="154"/>
  <c r="D34" i="154"/>
  <c r="J34" i="154"/>
  <c r="E34" i="154"/>
  <c r="F34" i="154"/>
  <c r="I35" i="154"/>
  <c r="D35" i="154"/>
  <c r="J35" i="154"/>
  <c r="E35" i="154"/>
  <c r="F35" i="154"/>
  <c r="I36" i="154"/>
  <c r="D36" i="154"/>
  <c r="J36" i="154"/>
  <c r="E36" i="154"/>
  <c r="F36" i="154"/>
  <c r="I37" i="154"/>
  <c r="D37" i="154"/>
  <c r="J37" i="154"/>
  <c r="E37" i="154"/>
  <c r="F37" i="154"/>
  <c r="I38" i="154"/>
  <c r="D38" i="154"/>
  <c r="J38" i="154"/>
  <c r="E38" i="154"/>
  <c r="F38" i="154"/>
  <c r="I39" i="154"/>
  <c r="D39" i="154"/>
  <c r="J39" i="154"/>
  <c r="E39" i="154"/>
  <c r="F39" i="154"/>
  <c r="I40" i="154"/>
  <c r="D40" i="154"/>
  <c r="J40" i="154"/>
  <c r="E40" i="154"/>
  <c r="F40" i="154"/>
  <c r="I41" i="154"/>
  <c r="D41" i="154"/>
  <c r="J41" i="154"/>
  <c r="E41" i="154"/>
  <c r="F41" i="154"/>
  <c r="I42" i="154"/>
  <c r="D42" i="154"/>
  <c r="J42" i="154"/>
  <c r="E42" i="154"/>
  <c r="F42" i="154"/>
  <c r="I43" i="154"/>
  <c r="D43" i="154"/>
  <c r="J43" i="154"/>
  <c r="E43" i="154"/>
  <c r="F43" i="154"/>
  <c r="I44" i="154"/>
  <c r="D44" i="154"/>
  <c r="J44" i="154"/>
  <c r="E44" i="154"/>
  <c r="F44" i="154"/>
  <c r="I45" i="154"/>
  <c r="D45" i="154"/>
  <c r="J45" i="154"/>
  <c r="E45" i="154"/>
  <c r="F45" i="154"/>
  <c r="I46" i="154"/>
  <c r="D46" i="154"/>
  <c r="J46" i="154"/>
  <c r="E46" i="154"/>
  <c r="F46" i="154"/>
  <c r="I47" i="154"/>
  <c r="D47" i="154"/>
  <c r="J47" i="154"/>
  <c r="E47" i="154"/>
  <c r="F47" i="154"/>
  <c r="I48" i="154"/>
  <c r="D48" i="154"/>
  <c r="J48" i="154"/>
  <c r="E48" i="154"/>
  <c r="F48" i="154"/>
  <c r="I49" i="154"/>
  <c r="D49" i="154"/>
  <c r="J49" i="154"/>
  <c r="E49" i="154"/>
  <c r="F49" i="154"/>
  <c r="I50" i="154"/>
  <c r="D50" i="154"/>
  <c r="J50" i="154"/>
  <c r="E50" i="154"/>
  <c r="F50" i="154"/>
  <c r="I51" i="154"/>
  <c r="D51" i="154"/>
  <c r="J51" i="154"/>
  <c r="E51" i="154"/>
  <c r="F51" i="154"/>
  <c r="I52" i="154"/>
  <c r="D52" i="154"/>
  <c r="J52" i="154"/>
  <c r="E52" i="154"/>
  <c r="F52" i="154"/>
  <c r="I53" i="154"/>
  <c r="D53" i="154"/>
  <c r="J53" i="154"/>
  <c r="E53" i="154"/>
  <c r="F53" i="154"/>
  <c r="I54" i="154"/>
  <c r="D54" i="154"/>
  <c r="J54" i="154"/>
  <c r="E54" i="154"/>
  <c r="F54" i="154"/>
  <c r="I55" i="154"/>
  <c r="D55" i="154"/>
  <c r="J55" i="154"/>
  <c r="E55" i="154"/>
  <c r="F55" i="154"/>
  <c r="I56" i="154"/>
  <c r="D56" i="154"/>
  <c r="J56" i="154"/>
  <c r="E56" i="154"/>
  <c r="F56" i="154"/>
  <c r="I57" i="154"/>
  <c r="D57" i="154"/>
  <c r="J57" i="154"/>
  <c r="E57" i="154"/>
  <c r="F57" i="154"/>
  <c r="I58" i="154"/>
  <c r="D58" i="154"/>
  <c r="J58" i="154"/>
  <c r="E58" i="154"/>
  <c r="F58" i="154"/>
  <c r="I59" i="154"/>
  <c r="D59" i="154"/>
  <c r="J59" i="154"/>
  <c r="E59" i="154"/>
  <c r="F59" i="154"/>
  <c r="I60" i="154"/>
  <c r="D60" i="154"/>
  <c r="J60" i="154"/>
  <c r="E60" i="154"/>
  <c r="F60" i="154"/>
  <c r="I61" i="154"/>
  <c r="D61" i="154"/>
  <c r="J61" i="154"/>
  <c r="E61" i="154"/>
  <c r="F61" i="154"/>
  <c r="I62" i="154"/>
  <c r="D62" i="154"/>
  <c r="J62" i="154"/>
  <c r="E62" i="154"/>
  <c r="F62" i="154"/>
  <c r="I63" i="154"/>
  <c r="D63" i="154"/>
  <c r="J63" i="154"/>
  <c r="E63" i="154"/>
  <c r="F63" i="154"/>
  <c r="I64" i="154"/>
  <c r="D64" i="154"/>
  <c r="J64" i="154"/>
  <c r="E64" i="154"/>
  <c r="F64" i="154"/>
  <c r="I65" i="154"/>
  <c r="D65" i="154"/>
  <c r="J65" i="154"/>
  <c r="E65" i="154"/>
  <c r="F65" i="154"/>
  <c r="I66" i="154"/>
  <c r="D66" i="154"/>
  <c r="J66" i="154"/>
  <c r="E66" i="154"/>
  <c r="F66" i="154"/>
  <c r="I67" i="154"/>
  <c r="D67" i="154"/>
  <c r="J67" i="154"/>
  <c r="E67" i="154"/>
  <c r="F67" i="154"/>
  <c r="I68" i="154"/>
  <c r="D68" i="154"/>
  <c r="J68" i="154"/>
  <c r="E68" i="154"/>
  <c r="F68" i="154"/>
  <c r="I69" i="154"/>
  <c r="D69" i="154"/>
  <c r="J69" i="154"/>
  <c r="E69" i="154"/>
  <c r="F69" i="154"/>
  <c r="I70" i="154"/>
  <c r="D70" i="154"/>
  <c r="J70" i="154"/>
  <c r="E70" i="154"/>
  <c r="F70" i="154"/>
  <c r="I71" i="154"/>
  <c r="D71" i="154"/>
  <c r="J71" i="154"/>
  <c r="E71" i="154"/>
  <c r="F71" i="154"/>
  <c r="I72" i="154"/>
  <c r="D72" i="154"/>
  <c r="J72" i="154"/>
  <c r="E72" i="154"/>
  <c r="F72" i="154"/>
  <c r="I73" i="154"/>
  <c r="D73" i="154"/>
  <c r="J73" i="154"/>
  <c r="E73" i="154"/>
  <c r="F73" i="154"/>
  <c r="I74" i="154"/>
  <c r="D74" i="154"/>
  <c r="J74" i="154"/>
  <c r="E74" i="154"/>
  <c r="F74" i="154"/>
  <c r="I75" i="154"/>
  <c r="D75" i="154"/>
  <c r="J75" i="154"/>
  <c r="E75" i="154"/>
  <c r="F75" i="154"/>
  <c r="I76" i="154"/>
  <c r="D76" i="154"/>
  <c r="J76" i="154"/>
  <c r="E76" i="154"/>
  <c r="F76" i="154"/>
  <c r="I77" i="154"/>
  <c r="D77" i="154"/>
  <c r="J77" i="154"/>
  <c r="E77" i="154"/>
  <c r="F77" i="154"/>
  <c r="I78" i="154"/>
  <c r="D78" i="154"/>
  <c r="J78" i="154"/>
  <c r="E78" i="154"/>
  <c r="F78" i="154"/>
  <c r="I79" i="154"/>
  <c r="D79" i="154"/>
  <c r="J79" i="154"/>
  <c r="E79" i="154"/>
  <c r="F79" i="154"/>
  <c r="I80" i="154"/>
  <c r="D80" i="154"/>
  <c r="J80" i="154"/>
  <c r="E80" i="154"/>
  <c r="F80" i="154"/>
  <c r="I81" i="154"/>
  <c r="D81" i="154"/>
  <c r="J81" i="154"/>
  <c r="E81" i="154"/>
  <c r="F81" i="154"/>
  <c r="I82" i="154"/>
  <c r="D82" i="154"/>
  <c r="J82" i="154"/>
  <c r="E82" i="154"/>
  <c r="F82" i="154"/>
  <c r="I83" i="154"/>
  <c r="D83" i="154"/>
  <c r="J83" i="154"/>
  <c r="E83" i="154"/>
  <c r="F83" i="154"/>
  <c r="I84" i="154"/>
  <c r="D84" i="154"/>
  <c r="J84" i="154"/>
  <c r="E84" i="154"/>
  <c r="F84" i="154"/>
  <c r="I85" i="154"/>
  <c r="D85" i="154"/>
  <c r="J85" i="154"/>
  <c r="E85" i="154"/>
  <c r="F85" i="154"/>
  <c r="I86" i="154"/>
  <c r="D86" i="154"/>
  <c r="J86" i="154"/>
  <c r="E86" i="154"/>
  <c r="F86" i="154"/>
  <c r="I87" i="154"/>
  <c r="D87" i="154"/>
  <c r="J87" i="154"/>
  <c r="E87" i="154"/>
  <c r="F87" i="154"/>
  <c r="I88" i="154"/>
  <c r="D88" i="154"/>
  <c r="J88" i="154"/>
  <c r="E88" i="154"/>
  <c r="F88" i="154"/>
  <c r="I89" i="154"/>
  <c r="D89" i="154"/>
  <c r="J89" i="154"/>
  <c r="E89" i="154"/>
  <c r="F89" i="154"/>
  <c r="I90" i="154"/>
  <c r="D90" i="154"/>
  <c r="J90" i="154"/>
  <c r="E90" i="154"/>
  <c r="F90" i="154"/>
  <c r="I91" i="154"/>
  <c r="D91" i="154"/>
  <c r="J91" i="154"/>
  <c r="E91" i="154"/>
  <c r="F91" i="154"/>
  <c r="I92" i="154"/>
  <c r="D92" i="154"/>
  <c r="J92" i="154"/>
  <c r="E92" i="154"/>
  <c r="F92" i="154"/>
  <c r="I93" i="154"/>
  <c r="D93" i="154"/>
  <c r="J93" i="154"/>
  <c r="E93" i="154"/>
  <c r="F93" i="154"/>
  <c r="I94" i="154"/>
  <c r="D94" i="154"/>
  <c r="J94" i="154"/>
  <c r="E94" i="154"/>
  <c r="F94" i="154"/>
  <c r="I95" i="154"/>
  <c r="D95" i="154"/>
  <c r="J95" i="154"/>
  <c r="E95" i="154"/>
  <c r="F95" i="154"/>
  <c r="I96" i="154"/>
  <c r="D96" i="154"/>
  <c r="J96" i="154"/>
  <c r="E96" i="154"/>
  <c r="F96" i="154"/>
  <c r="I97" i="154"/>
  <c r="D97" i="154"/>
  <c r="J97" i="154"/>
  <c r="E97" i="154"/>
  <c r="F97" i="154"/>
  <c r="I98" i="154"/>
  <c r="D98" i="154"/>
  <c r="J98" i="154"/>
  <c r="E98" i="154"/>
  <c r="F98" i="154"/>
  <c r="I99" i="154"/>
  <c r="D99" i="154"/>
  <c r="J99" i="154"/>
  <c r="E99" i="154"/>
  <c r="F99" i="154"/>
  <c r="I100" i="154"/>
  <c r="D100" i="154"/>
  <c r="J100" i="154"/>
  <c r="E100" i="154"/>
  <c r="F100" i="154"/>
  <c r="I101" i="154"/>
  <c r="D101" i="154"/>
  <c r="J101" i="154"/>
  <c r="E101" i="154"/>
  <c r="F101" i="154"/>
  <c r="I102" i="154"/>
  <c r="D102" i="154"/>
  <c r="J102" i="154"/>
  <c r="E102" i="154"/>
  <c r="F102" i="154"/>
  <c r="I103" i="154"/>
  <c r="D103" i="154"/>
  <c r="J103" i="154"/>
  <c r="E103" i="154"/>
  <c r="F103" i="154"/>
  <c r="I104" i="154"/>
  <c r="D104" i="154"/>
  <c r="J104" i="154"/>
  <c r="E104" i="154"/>
  <c r="F104" i="154"/>
  <c r="I105" i="154"/>
  <c r="D105" i="154"/>
  <c r="J105" i="154"/>
  <c r="E105" i="154"/>
  <c r="F105" i="154"/>
  <c r="I106" i="154"/>
  <c r="D106" i="154"/>
  <c r="J106" i="154"/>
  <c r="E106" i="154"/>
  <c r="F106" i="154"/>
  <c r="I107" i="154"/>
  <c r="D107" i="154"/>
  <c r="J107" i="154"/>
  <c r="E107" i="154"/>
  <c r="F107" i="154"/>
  <c r="I108" i="154"/>
  <c r="D108" i="154"/>
  <c r="J108" i="154"/>
  <c r="E108" i="154"/>
  <c r="F108" i="154"/>
  <c r="I109" i="154"/>
  <c r="D109" i="154"/>
  <c r="J109" i="154"/>
  <c r="E109" i="154"/>
  <c r="F109" i="154"/>
  <c r="I110" i="154"/>
  <c r="D110" i="154"/>
  <c r="J110" i="154"/>
  <c r="E110" i="154"/>
  <c r="F110" i="154"/>
  <c r="I111" i="154"/>
  <c r="D111" i="154"/>
  <c r="J111" i="154"/>
  <c r="E111" i="154"/>
  <c r="F111" i="154"/>
  <c r="I112" i="154"/>
  <c r="D112" i="154"/>
  <c r="J112" i="154"/>
  <c r="E112" i="154"/>
  <c r="F112" i="154"/>
  <c r="I113" i="154"/>
  <c r="D113" i="154"/>
  <c r="J113" i="154"/>
  <c r="E113" i="154"/>
  <c r="F113" i="154"/>
  <c r="I114" i="154"/>
  <c r="D114" i="154"/>
  <c r="J114" i="154"/>
  <c r="E114" i="154"/>
  <c r="F114" i="154"/>
  <c r="I115" i="154"/>
  <c r="D115" i="154"/>
  <c r="J115" i="154"/>
  <c r="E115" i="154"/>
  <c r="F115" i="154"/>
  <c r="I116" i="154"/>
  <c r="D116" i="154"/>
  <c r="J116" i="154"/>
  <c r="E116" i="154"/>
  <c r="F116" i="154"/>
  <c r="I117" i="154"/>
  <c r="D117" i="154"/>
  <c r="J117" i="154"/>
  <c r="E117" i="154"/>
  <c r="F117" i="154"/>
  <c r="I118" i="154"/>
  <c r="D118" i="154"/>
  <c r="J118" i="154"/>
  <c r="E118" i="154"/>
  <c r="F118" i="154"/>
  <c r="I119" i="154"/>
  <c r="D119" i="154"/>
  <c r="J119" i="154"/>
  <c r="E119" i="154"/>
  <c r="F119" i="154"/>
  <c r="I120" i="154"/>
  <c r="D120" i="154"/>
  <c r="J120" i="154"/>
  <c r="E120" i="154"/>
  <c r="F120" i="154"/>
  <c r="I121" i="154"/>
  <c r="D121" i="154"/>
  <c r="J121" i="154"/>
  <c r="E121" i="154"/>
  <c r="F121" i="154"/>
  <c r="I122" i="154"/>
  <c r="D122" i="154"/>
  <c r="J122" i="154"/>
  <c r="E122" i="154"/>
  <c r="F122" i="154"/>
  <c r="I123" i="154"/>
  <c r="D123" i="154"/>
  <c r="J123" i="154"/>
  <c r="E123" i="154"/>
  <c r="F123" i="154"/>
  <c r="I124" i="154"/>
  <c r="D124" i="154"/>
  <c r="J124" i="154"/>
  <c r="E124" i="154"/>
  <c r="F124" i="154"/>
  <c r="I125" i="154"/>
  <c r="D125" i="154"/>
  <c r="J125" i="154"/>
  <c r="E125" i="154"/>
  <c r="F125" i="154"/>
  <c r="I126" i="154"/>
  <c r="D126" i="154"/>
  <c r="J126" i="154"/>
  <c r="E126" i="154"/>
  <c r="F126" i="154"/>
  <c r="I127" i="154"/>
  <c r="D127" i="154"/>
  <c r="J127" i="154"/>
  <c r="E127" i="154"/>
  <c r="F127" i="154"/>
  <c r="I128" i="154"/>
  <c r="D128" i="154"/>
  <c r="J128" i="154"/>
  <c r="E128" i="154"/>
  <c r="F128" i="154"/>
  <c r="I129" i="154"/>
  <c r="D129" i="154"/>
  <c r="J129" i="154"/>
  <c r="E129" i="154"/>
  <c r="F129" i="154"/>
  <c r="I130" i="154"/>
  <c r="D130" i="154"/>
  <c r="J130" i="154"/>
  <c r="E130" i="154"/>
  <c r="F130" i="154"/>
  <c r="I131" i="154"/>
  <c r="D131" i="154"/>
  <c r="J131" i="154"/>
  <c r="E131" i="154"/>
  <c r="F131" i="154"/>
  <c r="I132" i="154"/>
  <c r="D132" i="154"/>
  <c r="J132" i="154"/>
  <c r="E132" i="154"/>
  <c r="F132" i="154"/>
  <c r="I133" i="154"/>
  <c r="D133" i="154"/>
  <c r="J133" i="154"/>
  <c r="E133" i="154"/>
  <c r="F133" i="154"/>
  <c r="I134" i="154"/>
  <c r="D134" i="154"/>
  <c r="J134" i="154"/>
  <c r="E134" i="154"/>
  <c r="F134" i="154"/>
  <c r="I135" i="154"/>
  <c r="D135" i="154"/>
  <c r="J135" i="154"/>
  <c r="E135" i="154"/>
  <c r="F135" i="154"/>
  <c r="I136" i="154"/>
  <c r="D136" i="154"/>
  <c r="J136" i="154"/>
  <c r="E136" i="154"/>
  <c r="F136" i="154"/>
  <c r="I137" i="154"/>
  <c r="D137" i="154"/>
  <c r="J137" i="154"/>
  <c r="E137" i="154"/>
  <c r="F137" i="154"/>
  <c r="I138" i="154"/>
  <c r="D138" i="154"/>
  <c r="J138" i="154"/>
  <c r="E138" i="154"/>
  <c r="F138" i="154"/>
  <c r="I139" i="154"/>
  <c r="D139" i="154"/>
  <c r="J139" i="154"/>
  <c r="E139" i="154"/>
  <c r="F139" i="154"/>
  <c r="I140" i="154"/>
  <c r="D140" i="154"/>
  <c r="J140" i="154"/>
  <c r="E140" i="154"/>
  <c r="F140" i="154"/>
  <c r="I141" i="154"/>
  <c r="D141" i="154"/>
  <c r="J141" i="154"/>
  <c r="E141" i="154"/>
  <c r="F141" i="154"/>
  <c r="I142" i="154"/>
  <c r="D142" i="154"/>
  <c r="J142" i="154"/>
  <c r="E142" i="154"/>
  <c r="F142" i="154"/>
  <c r="I143" i="154"/>
  <c r="D143" i="154"/>
  <c r="J143" i="154"/>
  <c r="E143" i="154"/>
  <c r="F143" i="154"/>
  <c r="I144" i="154"/>
  <c r="D144" i="154"/>
  <c r="J144" i="154"/>
  <c r="E144" i="154"/>
  <c r="F144" i="154"/>
  <c r="I145" i="154"/>
  <c r="D145" i="154"/>
  <c r="J145" i="154"/>
  <c r="E145" i="154"/>
  <c r="F145" i="154"/>
  <c r="I146" i="154"/>
  <c r="D146" i="154"/>
  <c r="J146" i="154"/>
  <c r="E146" i="154"/>
  <c r="F146" i="154"/>
  <c r="I147" i="154"/>
  <c r="D147" i="154"/>
  <c r="J147" i="154"/>
  <c r="E147" i="154"/>
  <c r="F147" i="154"/>
  <c r="I148" i="154"/>
  <c r="D148" i="154"/>
  <c r="J148" i="154"/>
  <c r="E148" i="154"/>
  <c r="F148" i="154"/>
  <c r="I149" i="154"/>
  <c r="D149" i="154"/>
  <c r="J149" i="154"/>
  <c r="E149" i="154"/>
  <c r="F149" i="154"/>
  <c r="I150" i="154"/>
  <c r="D150" i="154"/>
  <c r="J150" i="154"/>
  <c r="E150" i="154"/>
  <c r="F150" i="154"/>
  <c r="I151" i="154"/>
  <c r="D151" i="154"/>
  <c r="J151" i="154"/>
  <c r="E151" i="154"/>
  <c r="F151" i="154"/>
  <c r="I152" i="154"/>
  <c r="D152" i="154"/>
  <c r="J152" i="154"/>
  <c r="E152" i="154"/>
  <c r="F152" i="154"/>
  <c r="I153" i="154"/>
  <c r="D153" i="154"/>
  <c r="J153" i="154"/>
  <c r="E153" i="154"/>
  <c r="F153" i="154"/>
  <c r="I154" i="154"/>
  <c r="D154" i="154"/>
  <c r="J154" i="154"/>
  <c r="E154" i="154"/>
  <c r="F154" i="154"/>
  <c r="I155" i="154"/>
  <c r="D155" i="154"/>
  <c r="J155" i="154"/>
  <c r="E155" i="154"/>
  <c r="F155" i="154"/>
  <c r="I156" i="154"/>
  <c r="D156" i="154"/>
  <c r="J156" i="154"/>
  <c r="E156" i="154"/>
  <c r="F156" i="154"/>
  <c r="I157" i="154"/>
  <c r="D157" i="154"/>
  <c r="J157" i="154"/>
  <c r="E157" i="154"/>
  <c r="F157" i="154"/>
  <c r="I158" i="154"/>
  <c r="D158" i="154"/>
  <c r="J158" i="154"/>
  <c r="E158" i="154"/>
  <c r="F158" i="154"/>
  <c r="I159" i="154"/>
  <c r="D159" i="154"/>
  <c r="J159" i="154"/>
  <c r="E159" i="154"/>
  <c r="F159" i="154"/>
  <c r="I160" i="154"/>
  <c r="D160" i="154"/>
  <c r="J160" i="154"/>
  <c r="E160" i="154"/>
  <c r="F160" i="154"/>
  <c r="I161" i="154"/>
  <c r="D161" i="154"/>
  <c r="J161" i="154"/>
  <c r="E161" i="154"/>
  <c r="F161" i="154"/>
  <c r="I162" i="154"/>
  <c r="D162" i="154"/>
  <c r="J162" i="154"/>
  <c r="E162" i="154"/>
  <c r="F162" i="154"/>
  <c r="I163" i="154"/>
  <c r="D163" i="154"/>
  <c r="J163" i="154"/>
  <c r="E163" i="154"/>
  <c r="F163" i="154"/>
  <c r="I164" i="154"/>
  <c r="D164" i="154"/>
  <c r="J164" i="154"/>
  <c r="E164" i="154"/>
  <c r="F164" i="154"/>
  <c r="I165" i="154"/>
  <c r="D165" i="154"/>
  <c r="J165" i="154"/>
  <c r="E165" i="154"/>
  <c r="F165" i="154"/>
  <c r="I166" i="154"/>
  <c r="D166" i="154"/>
  <c r="J166" i="154"/>
  <c r="E166" i="154"/>
  <c r="F166" i="154"/>
  <c r="I167" i="154"/>
  <c r="D167" i="154"/>
  <c r="J167" i="154"/>
  <c r="E167" i="154"/>
  <c r="F167" i="154"/>
  <c r="I168" i="154"/>
  <c r="D168" i="154"/>
  <c r="J168" i="154"/>
  <c r="E168" i="154"/>
  <c r="F168" i="154"/>
  <c r="I169" i="154"/>
  <c r="D169" i="154"/>
  <c r="J169" i="154"/>
  <c r="E169" i="154"/>
  <c r="F169" i="154"/>
  <c r="I170" i="154"/>
  <c r="D170" i="154"/>
  <c r="J170" i="154"/>
  <c r="E170" i="154"/>
  <c r="F170" i="154"/>
  <c r="I171" i="154"/>
  <c r="D171" i="154"/>
  <c r="J171" i="154"/>
  <c r="E171" i="154"/>
  <c r="F171" i="154"/>
  <c r="I172" i="154"/>
  <c r="D172" i="154"/>
  <c r="J172" i="154"/>
  <c r="E172" i="154"/>
  <c r="F172" i="154"/>
  <c r="I173" i="154"/>
  <c r="D173" i="154"/>
  <c r="J173" i="154"/>
  <c r="E173" i="154"/>
  <c r="F173" i="154"/>
  <c r="I174" i="154"/>
  <c r="D174" i="154"/>
  <c r="J174" i="154"/>
  <c r="E174" i="154"/>
  <c r="F174" i="154"/>
  <c r="I175" i="154"/>
  <c r="D175" i="154"/>
  <c r="J175" i="154"/>
  <c r="E175" i="154"/>
  <c r="F175" i="154"/>
  <c r="I176" i="154"/>
  <c r="D176" i="154"/>
  <c r="J176" i="154"/>
  <c r="E176" i="154"/>
  <c r="F176" i="154"/>
  <c r="I177" i="154"/>
  <c r="D177" i="154"/>
  <c r="J177" i="154"/>
  <c r="E177" i="154"/>
  <c r="F177" i="154"/>
  <c r="I178" i="154"/>
  <c r="D178" i="154"/>
  <c r="J178" i="154"/>
  <c r="E178" i="154"/>
  <c r="F178" i="154"/>
  <c r="I179" i="154"/>
  <c r="D179" i="154"/>
  <c r="J179" i="154"/>
  <c r="E179" i="154"/>
  <c r="F179" i="154"/>
  <c r="I180" i="154"/>
  <c r="D180" i="154"/>
  <c r="J180" i="154"/>
  <c r="E180" i="154"/>
  <c r="F180" i="154"/>
  <c r="I181" i="154"/>
  <c r="D181" i="154"/>
  <c r="J181" i="154"/>
  <c r="E181" i="154"/>
  <c r="F181" i="154"/>
  <c r="I182" i="154"/>
  <c r="D182" i="154"/>
  <c r="J182" i="154"/>
  <c r="E182" i="154"/>
  <c r="F182" i="154"/>
  <c r="I183" i="154"/>
  <c r="D183" i="154"/>
  <c r="J183" i="154"/>
  <c r="E183" i="154"/>
  <c r="F183" i="154"/>
  <c r="I184" i="154"/>
  <c r="D184" i="154"/>
  <c r="J184" i="154"/>
  <c r="E184" i="154"/>
  <c r="F184" i="154"/>
  <c r="I185" i="154"/>
  <c r="D185" i="154"/>
  <c r="J185" i="154"/>
  <c r="E185" i="154"/>
  <c r="F185" i="154"/>
  <c r="I186" i="154"/>
  <c r="D186" i="154"/>
  <c r="J186" i="154"/>
  <c r="E186" i="154"/>
  <c r="F186" i="154"/>
  <c r="I187" i="154"/>
  <c r="D187" i="154"/>
  <c r="J187" i="154"/>
  <c r="E187" i="154"/>
  <c r="F187" i="154"/>
  <c r="I188" i="154"/>
  <c r="D188" i="154"/>
  <c r="J188" i="154"/>
  <c r="E188" i="154"/>
  <c r="F188" i="154"/>
  <c r="I189" i="154"/>
  <c r="D189" i="154"/>
  <c r="J189" i="154"/>
  <c r="E189" i="154"/>
  <c r="F189" i="154"/>
  <c r="I190" i="154"/>
  <c r="D190" i="154"/>
  <c r="J190" i="154"/>
  <c r="E190" i="154"/>
  <c r="F190" i="154"/>
  <c r="I191" i="154"/>
  <c r="D191" i="154"/>
  <c r="J191" i="154"/>
  <c r="E191" i="154"/>
  <c r="F191" i="154"/>
  <c r="I192" i="154"/>
  <c r="D192" i="154"/>
  <c r="J192" i="154"/>
  <c r="E192" i="154"/>
  <c r="F192" i="154"/>
  <c r="I193" i="154"/>
  <c r="D193" i="154"/>
  <c r="J193" i="154"/>
  <c r="E193" i="154"/>
  <c r="F193" i="154"/>
  <c r="I194" i="154"/>
  <c r="D194" i="154"/>
  <c r="J194" i="154"/>
  <c r="E194" i="154"/>
  <c r="F194" i="154"/>
  <c r="I195" i="154"/>
  <c r="D195" i="154"/>
  <c r="J195" i="154"/>
  <c r="E195" i="154"/>
  <c r="F195" i="154"/>
  <c r="I196" i="154"/>
  <c r="D196" i="154"/>
  <c r="J196" i="154"/>
  <c r="E196" i="154"/>
  <c r="F196" i="154"/>
  <c r="I197" i="154"/>
  <c r="D197" i="154"/>
  <c r="J197" i="154"/>
  <c r="E197" i="154"/>
  <c r="F197" i="154"/>
  <c r="I198" i="154"/>
  <c r="D198" i="154"/>
  <c r="J198" i="154"/>
  <c r="E198" i="154"/>
  <c r="F198" i="154"/>
  <c r="I199" i="154"/>
  <c r="D199" i="154"/>
  <c r="J199" i="154"/>
  <c r="E199" i="154"/>
  <c r="F199" i="154"/>
  <c r="I200" i="154"/>
  <c r="D200" i="154"/>
  <c r="J200" i="154"/>
  <c r="E200" i="154"/>
  <c r="F200" i="154"/>
  <c r="I201" i="154"/>
  <c r="D201" i="154"/>
  <c r="J201" i="154"/>
  <c r="E201" i="154"/>
  <c r="F201" i="154"/>
  <c r="I202" i="154"/>
  <c r="D202" i="154"/>
  <c r="J202" i="154"/>
  <c r="E202" i="154"/>
  <c r="F202" i="154"/>
  <c r="I203" i="154"/>
  <c r="D203" i="154"/>
  <c r="J203" i="154"/>
  <c r="E203" i="154"/>
  <c r="F203" i="154"/>
  <c r="I204" i="154"/>
  <c r="D204" i="154"/>
  <c r="J204" i="154"/>
  <c r="E204" i="154"/>
  <c r="F204" i="154"/>
  <c r="I205" i="154"/>
  <c r="D205" i="154"/>
  <c r="J205" i="154"/>
  <c r="E205" i="154"/>
  <c r="F205" i="154"/>
  <c r="I206" i="154"/>
  <c r="D206" i="154"/>
  <c r="J206" i="154"/>
  <c r="E206" i="154"/>
  <c r="F206" i="154"/>
  <c r="I207" i="154"/>
  <c r="D207" i="154"/>
  <c r="J207" i="154"/>
  <c r="E207" i="154"/>
  <c r="F207" i="154"/>
  <c r="I208" i="154"/>
  <c r="D208" i="154"/>
  <c r="J208" i="154"/>
  <c r="E208" i="154"/>
  <c r="F208" i="154"/>
  <c r="I209" i="154"/>
  <c r="D209" i="154"/>
  <c r="J209" i="154"/>
  <c r="E209" i="154"/>
  <c r="F209" i="154"/>
  <c r="I210" i="154"/>
  <c r="D210" i="154"/>
  <c r="J210" i="154"/>
  <c r="E210" i="154"/>
  <c r="F210" i="154"/>
  <c r="I211" i="154"/>
  <c r="D211" i="154"/>
  <c r="J211" i="154"/>
  <c r="E211" i="154"/>
  <c r="F211" i="154"/>
  <c r="I212" i="154"/>
  <c r="D212" i="154"/>
  <c r="J212" i="154"/>
  <c r="E212" i="154"/>
  <c r="F212" i="154"/>
  <c r="I213" i="154"/>
  <c r="D213" i="154"/>
  <c r="J213" i="154"/>
  <c r="E213" i="154"/>
  <c r="F213" i="154"/>
  <c r="I214" i="154"/>
  <c r="D214" i="154"/>
  <c r="J214" i="154"/>
  <c r="E214" i="154"/>
  <c r="F214" i="154"/>
  <c r="I215" i="154"/>
  <c r="D215" i="154"/>
  <c r="J215" i="154"/>
  <c r="E215" i="154"/>
  <c r="F215" i="154"/>
  <c r="I216" i="154"/>
  <c r="D216" i="154"/>
  <c r="J216" i="154"/>
  <c r="E216" i="154"/>
  <c r="F216" i="154"/>
  <c r="I217" i="154"/>
  <c r="D217" i="154"/>
  <c r="J217" i="154"/>
  <c r="E217" i="154"/>
  <c r="F217" i="154"/>
  <c r="I218" i="154"/>
  <c r="D218" i="154"/>
  <c r="J218" i="154"/>
  <c r="E218" i="154"/>
  <c r="F218" i="154"/>
  <c r="I219" i="154"/>
  <c r="D219" i="154"/>
  <c r="J219" i="154"/>
  <c r="E219" i="154"/>
  <c r="F219" i="154"/>
  <c r="I220" i="154"/>
  <c r="D220" i="154"/>
  <c r="J220" i="154"/>
  <c r="E220" i="154"/>
  <c r="F220" i="154"/>
  <c r="I221" i="154"/>
  <c r="D221" i="154"/>
  <c r="J221" i="154"/>
  <c r="E221" i="154"/>
  <c r="F221" i="154"/>
  <c r="I222" i="154"/>
  <c r="D222" i="154"/>
  <c r="J222" i="154"/>
  <c r="E222" i="154"/>
  <c r="F222" i="154"/>
  <c r="I223" i="154"/>
  <c r="D223" i="154"/>
  <c r="J223" i="154"/>
  <c r="E223" i="154"/>
  <c r="F223" i="154"/>
  <c r="I224" i="154"/>
  <c r="D224" i="154"/>
  <c r="J224" i="154"/>
  <c r="E224" i="154"/>
  <c r="F224" i="154"/>
  <c r="I225" i="154"/>
  <c r="D225" i="154"/>
  <c r="J225" i="154"/>
  <c r="E225" i="154"/>
  <c r="F225" i="154"/>
  <c r="I226" i="154"/>
  <c r="D226" i="154"/>
  <c r="J226" i="154"/>
  <c r="E226" i="154"/>
  <c r="F226" i="154"/>
  <c r="I227" i="154"/>
  <c r="D227" i="154"/>
  <c r="J227" i="154"/>
  <c r="E227" i="154"/>
  <c r="F227" i="154"/>
  <c r="I228" i="154"/>
  <c r="D228" i="154"/>
  <c r="J228" i="154"/>
  <c r="E228" i="154"/>
  <c r="F228" i="154"/>
  <c r="I229" i="154"/>
  <c r="D229" i="154"/>
  <c r="J229" i="154"/>
  <c r="E229" i="154"/>
  <c r="F229" i="154"/>
  <c r="I230" i="154"/>
  <c r="D230" i="154"/>
  <c r="J230" i="154"/>
  <c r="E230" i="154"/>
  <c r="F230" i="154"/>
  <c r="I231" i="154"/>
  <c r="D231" i="154"/>
  <c r="J231" i="154"/>
  <c r="E231" i="154"/>
  <c r="F231" i="154"/>
  <c r="I232" i="154"/>
  <c r="D232" i="154"/>
  <c r="J232" i="154"/>
  <c r="E232" i="154"/>
  <c r="F232" i="154"/>
  <c r="I233" i="154"/>
  <c r="D233" i="154"/>
  <c r="J233" i="154"/>
  <c r="E233" i="154"/>
  <c r="F233" i="154"/>
  <c r="I234" i="154"/>
  <c r="D234" i="154"/>
  <c r="J234" i="154"/>
  <c r="E234" i="154"/>
  <c r="F234" i="154"/>
  <c r="I235" i="154"/>
  <c r="D235" i="154"/>
  <c r="J235" i="154"/>
  <c r="E235" i="154"/>
  <c r="F235" i="154"/>
  <c r="I236" i="154"/>
  <c r="D236" i="154"/>
  <c r="J236" i="154"/>
  <c r="E236" i="154"/>
  <c r="F236" i="154"/>
  <c r="I237" i="154"/>
  <c r="D237" i="154"/>
  <c r="J237" i="154"/>
  <c r="E237" i="154"/>
  <c r="F237" i="154"/>
  <c r="I238" i="154"/>
  <c r="D238" i="154"/>
  <c r="J238" i="154"/>
  <c r="E238" i="154"/>
  <c r="F238" i="154"/>
  <c r="I239" i="154"/>
  <c r="D239" i="154"/>
  <c r="J239" i="154"/>
  <c r="E239" i="154"/>
  <c r="F239" i="154"/>
  <c r="I240" i="154"/>
  <c r="D240" i="154"/>
  <c r="J240" i="154"/>
  <c r="E240" i="154"/>
  <c r="F240" i="154"/>
  <c r="I241" i="154"/>
  <c r="D241" i="154"/>
  <c r="J241" i="154"/>
  <c r="E241" i="154"/>
  <c r="F241" i="154"/>
  <c r="I242" i="154"/>
  <c r="D242" i="154"/>
  <c r="J242" i="154"/>
  <c r="E242" i="154"/>
  <c r="F242" i="154"/>
  <c r="I243" i="154"/>
  <c r="D243" i="154"/>
  <c r="J243" i="154"/>
  <c r="E243" i="154"/>
  <c r="F243" i="154"/>
  <c r="I244" i="154"/>
  <c r="D244" i="154"/>
  <c r="J244" i="154"/>
  <c r="E244" i="154"/>
  <c r="F244" i="154"/>
  <c r="I245" i="154"/>
  <c r="D245" i="154"/>
  <c r="J245" i="154"/>
  <c r="E245" i="154"/>
  <c r="F245" i="154"/>
  <c r="I246" i="154"/>
  <c r="D246" i="154"/>
  <c r="J246" i="154"/>
  <c r="E246" i="154"/>
  <c r="F246" i="154"/>
  <c r="I247" i="154"/>
  <c r="D247" i="154"/>
  <c r="J247" i="154"/>
  <c r="E247" i="154"/>
  <c r="F247" i="154"/>
  <c r="I248" i="154"/>
  <c r="D248" i="154"/>
  <c r="J248" i="154"/>
  <c r="E248" i="154"/>
  <c r="F248" i="154"/>
  <c r="I249" i="154"/>
  <c r="D249" i="154"/>
  <c r="J249" i="154"/>
  <c r="E249" i="154"/>
  <c r="F249" i="154"/>
  <c r="I250" i="154"/>
  <c r="D250" i="154"/>
  <c r="J250" i="154"/>
  <c r="E250" i="154"/>
  <c r="F250" i="154"/>
  <c r="I251" i="154"/>
  <c r="D251" i="154"/>
  <c r="J251" i="154"/>
  <c r="E251" i="154"/>
  <c r="F251" i="154"/>
  <c r="I252" i="154"/>
  <c r="D252" i="154"/>
  <c r="J252" i="154"/>
  <c r="E252" i="154"/>
  <c r="F252" i="154"/>
  <c r="I253" i="154"/>
  <c r="D253" i="154"/>
  <c r="J253" i="154"/>
  <c r="E253" i="154"/>
  <c r="F253" i="154"/>
  <c r="I254" i="154"/>
  <c r="D254" i="154"/>
  <c r="J254" i="154"/>
  <c r="E254" i="154"/>
  <c r="F254" i="154"/>
  <c r="I255" i="154"/>
  <c r="D255" i="154"/>
  <c r="J255" i="154"/>
  <c r="E255" i="154"/>
  <c r="F255" i="154"/>
  <c r="I256" i="154"/>
  <c r="D256" i="154"/>
  <c r="J256" i="154"/>
  <c r="E256" i="154"/>
  <c r="F256" i="154"/>
  <c r="I257" i="154"/>
  <c r="D257" i="154"/>
  <c r="J257" i="154"/>
  <c r="E257" i="154"/>
  <c r="F257" i="154"/>
  <c r="I258" i="154"/>
  <c r="D258" i="154"/>
  <c r="J258" i="154"/>
  <c r="E258" i="154"/>
  <c r="F258" i="154"/>
  <c r="I259" i="154"/>
  <c r="D259" i="154"/>
  <c r="J259" i="154"/>
  <c r="E259" i="154"/>
  <c r="F259" i="154"/>
  <c r="I260" i="154"/>
  <c r="D260" i="154"/>
  <c r="J260" i="154"/>
  <c r="E260" i="154"/>
  <c r="F260" i="154"/>
  <c r="I261" i="154"/>
  <c r="D261" i="154"/>
  <c r="J261" i="154"/>
  <c r="E261" i="154"/>
  <c r="F261" i="154"/>
  <c r="I262" i="154"/>
  <c r="D262" i="154"/>
  <c r="J262" i="154"/>
  <c r="E262" i="154"/>
  <c r="F262" i="154"/>
  <c r="I263" i="154"/>
  <c r="D263" i="154"/>
  <c r="J263" i="154"/>
  <c r="E263" i="154"/>
  <c r="F263" i="154"/>
  <c r="I264" i="154"/>
  <c r="D264" i="154"/>
  <c r="J264" i="154"/>
  <c r="E264" i="154"/>
  <c r="F264" i="154"/>
  <c r="I265" i="154"/>
  <c r="D265" i="154"/>
  <c r="J265" i="154"/>
  <c r="E265" i="154"/>
  <c r="F265" i="154"/>
  <c r="I266" i="154"/>
  <c r="D266" i="154"/>
  <c r="J266" i="154"/>
  <c r="E266" i="154"/>
  <c r="F266" i="154"/>
  <c r="I267" i="154"/>
  <c r="D267" i="154"/>
  <c r="J267" i="154"/>
  <c r="E267" i="154"/>
  <c r="F267" i="154"/>
  <c r="I268" i="154"/>
  <c r="D268" i="154"/>
  <c r="J268" i="154"/>
  <c r="E268" i="154"/>
  <c r="F268" i="154"/>
  <c r="I269" i="154"/>
  <c r="D269" i="154"/>
  <c r="J269" i="154"/>
  <c r="E269" i="154"/>
  <c r="F269" i="154"/>
  <c r="I270" i="154"/>
  <c r="D270" i="154"/>
  <c r="J270" i="154"/>
  <c r="E270" i="154"/>
  <c r="F270" i="154"/>
  <c r="I271" i="154"/>
  <c r="D271" i="154"/>
  <c r="J271" i="154"/>
  <c r="E271" i="154"/>
  <c r="F271" i="154"/>
  <c r="I272" i="154"/>
  <c r="D272" i="154"/>
  <c r="J272" i="154"/>
  <c r="E272" i="154"/>
  <c r="F272" i="154"/>
  <c r="I273" i="154"/>
  <c r="D273" i="154"/>
  <c r="J273" i="154"/>
  <c r="E273" i="154"/>
  <c r="F273" i="154"/>
  <c r="I274" i="154"/>
  <c r="D274" i="154"/>
  <c r="J274" i="154"/>
  <c r="E274" i="154"/>
  <c r="F274" i="154"/>
  <c r="I275" i="154"/>
  <c r="D275" i="154"/>
  <c r="J275" i="154"/>
  <c r="E275" i="154"/>
  <c r="F275" i="154"/>
  <c r="I276" i="154"/>
  <c r="D276" i="154"/>
  <c r="J276" i="154"/>
  <c r="E276" i="154"/>
  <c r="F276" i="154"/>
  <c r="I277" i="154"/>
  <c r="D277" i="154"/>
  <c r="J277" i="154"/>
  <c r="E277" i="154"/>
  <c r="F277" i="154"/>
  <c r="I278" i="154"/>
  <c r="D278" i="154"/>
  <c r="J278" i="154"/>
  <c r="E278" i="154"/>
  <c r="F278" i="154"/>
  <c r="I279" i="154"/>
  <c r="D279" i="154"/>
  <c r="J279" i="154"/>
  <c r="E279" i="154"/>
  <c r="F279" i="154"/>
  <c r="I280" i="154"/>
  <c r="D280" i="154"/>
  <c r="J280" i="154"/>
  <c r="E280" i="154"/>
  <c r="F280" i="154"/>
  <c r="I281" i="154"/>
  <c r="D281" i="154"/>
  <c r="J281" i="154"/>
  <c r="E281" i="154"/>
  <c r="F281" i="154"/>
  <c r="I282" i="154"/>
  <c r="D282" i="154"/>
  <c r="J282" i="154"/>
  <c r="E282" i="154"/>
  <c r="F282" i="154"/>
  <c r="I283" i="154"/>
  <c r="D283" i="154"/>
  <c r="J283" i="154"/>
  <c r="E283" i="154"/>
  <c r="F283" i="154"/>
  <c r="I284" i="154"/>
  <c r="D284" i="154"/>
  <c r="J284" i="154"/>
  <c r="E284" i="154"/>
  <c r="F284" i="154"/>
  <c r="I285" i="154"/>
  <c r="D285" i="154"/>
  <c r="J285" i="154"/>
  <c r="E285" i="154"/>
  <c r="F285" i="154"/>
  <c r="I286" i="154"/>
  <c r="D286" i="154"/>
  <c r="J286" i="154"/>
  <c r="E286" i="154"/>
  <c r="F286" i="154"/>
  <c r="I287" i="154"/>
  <c r="D287" i="154"/>
  <c r="J287" i="154"/>
  <c r="E287" i="154"/>
  <c r="F287" i="154"/>
  <c r="I288" i="154"/>
  <c r="D288" i="154"/>
  <c r="J288" i="154"/>
  <c r="E288" i="154"/>
  <c r="F288" i="154"/>
  <c r="I289" i="154"/>
  <c r="D289" i="154"/>
  <c r="J289" i="154"/>
  <c r="E289" i="154"/>
  <c r="F289" i="154"/>
  <c r="I290" i="154"/>
  <c r="D290" i="154"/>
  <c r="J290" i="154"/>
  <c r="E290" i="154"/>
  <c r="F290" i="154"/>
  <c r="I291" i="154"/>
  <c r="D291" i="154"/>
  <c r="J291" i="154"/>
  <c r="E291" i="154"/>
  <c r="F291" i="154"/>
  <c r="I292" i="154"/>
  <c r="D292" i="154"/>
  <c r="J292" i="154"/>
  <c r="E292" i="154"/>
  <c r="F292" i="154"/>
  <c r="I293" i="154"/>
  <c r="D293" i="154"/>
  <c r="J293" i="154"/>
  <c r="E293" i="154"/>
  <c r="F293" i="154"/>
  <c r="I294" i="154"/>
  <c r="D294" i="154"/>
  <c r="J294" i="154"/>
  <c r="E294" i="154"/>
  <c r="F294" i="154"/>
  <c r="I295" i="154"/>
  <c r="D295" i="154"/>
  <c r="J295" i="154"/>
  <c r="E295" i="154"/>
  <c r="F295" i="154"/>
  <c r="I296" i="154"/>
  <c r="D296" i="154"/>
  <c r="J296" i="154"/>
  <c r="E296" i="154"/>
  <c r="F296" i="154"/>
  <c r="I297" i="154"/>
  <c r="D297" i="154"/>
  <c r="J297" i="154"/>
  <c r="E297" i="154"/>
  <c r="F297" i="154"/>
  <c r="I298" i="154"/>
  <c r="D298" i="154"/>
  <c r="J298" i="154"/>
  <c r="E298" i="154"/>
  <c r="F298" i="154"/>
  <c r="I299" i="154"/>
  <c r="D299" i="154"/>
  <c r="J299" i="154"/>
  <c r="E299" i="154"/>
  <c r="F299" i="154"/>
  <c r="O285" i="154"/>
  <c r="O284" i="154"/>
  <c r="O283" i="154"/>
  <c r="O282" i="154"/>
  <c r="O273" i="154"/>
  <c r="O272" i="154"/>
  <c r="G28" i="153"/>
  <c r="H28" i="153"/>
  <c r="G43" i="153"/>
  <c r="H43" i="153"/>
  <c r="O265" i="154"/>
  <c r="E27" i="153"/>
  <c r="B27" i="153"/>
  <c r="G27" i="153"/>
  <c r="H27" i="153"/>
  <c r="E42" i="153"/>
  <c r="B42" i="153"/>
  <c r="G42" i="153"/>
  <c r="H42" i="153"/>
  <c r="O264" i="154"/>
  <c r="O263" i="154"/>
  <c r="O262" i="154"/>
  <c r="O261" i="154"/>
  <c r="O260" i="154"/>
  <c r="A2" i="106"/>
  <c r="E34" i="153"/>
  <c r="B34" i="153"/>
  <c r="E39" i="153"/>
  <c r="B39" i="153"/>
  <c r="B32" i="153"/>
  <c r="G32" i="153"/>
  <c r="E32" i="153"/>
  <c r="H32" i="153"/>
  <c r="E19" i="153"/>
  <c r="B19" i="153"/>
  <c r="E24" i="153"/>
  <c r="B24" i="153"/>
  <c r="B17" i="153"/>
  <c r="G17" i="153"/>
  <c r="E17" i="153"/>
  <c r="H17" i="153"/>
  <c r="O2" i="154"/>
  <c r="E33" i="153"/>
  <c r="B33" i="153"/>
  <c r="G33" i="153"/>
  <c r="H33" i="153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39" i="153"/>
  <c r="H39" i="153"/>
  <c r="G24" i="153"/>
  <c r="H24" i="153"/>
  <c r="O42" i="154"/>
  <c r="E40" i="153"/>
  <c r="B40" i="153"/>
  <c r="G40" i="153"/>
  <c r="H40" i="153"/>
  <c r="E25" i="153"/>
  <c r="B25" i="153"/>
  <c r="G25" i="153"/>
  <c r="H25" i="153"/>
  <c r="O43" i="154"/>
  <c r="G41" i="153"/>
  <c r="H41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G21" i="153"/>
  <c r="H21" i="153"/>
  <c r="O53" i="154"/>
  <c r="G34" i="153"/>
  <c r="H34" i="153"/>
  <c r="O54" i="154"/>
  <c r="E35" i="153"/>
  <c r="B35" i="153"/>
  <c r="G35" i="153"/>
  <c r="H35" i="153"/>
  <c r="O55" i="154"/>
  <c r="G36" i="153"/>
  <c r="H36" i="153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O138" i="154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6" i="154"/>
  <c r="O267" i="154"/>
  <c r="O268" i="154"/>
  <c r="O269" i="154"/>
  <c r="O270" i="154"/>
  <c r="O271" i="154"/>
  <c r="O274" i="154"/>
  <c r="O275" i="154"/>
  <c r="O276" i="154"/>
  <c r="O277" i="154"/>
  <c r="O278" i="154"/>
  <c r="O279" i="154"/>
  <c r="O280" i="154"/>
  <c r="O281" i="154"/>
  <c r="O286" i="154"/>
  <c r="O287" i="154"/>
  <c r="O288" i="154"/>
  <c r="P300" i="154"/>
  <c r="N300" i="154"/>
  <c r="M300" i="154"/>
  <c r="L300" i="154"/>
  <c r="K300" i="154"/>
  <c r="H300" i="154"/>
  <c r="P299" i="154"/>
  <c r="N299" i="154"/>
  <c r="M299" i="154"/>
  <c r="L299" i="154"/>
  <c r="K299" i="154"/>
  <c r="H299" i="154"/>
  <c r="P298" i="154"/>
  <c r="N298" i="154"/>
  <c r="M298" i="154"/>
  <c r="L298" i="154"/>
  <c r="K298" i="154"/>
  <c r="H298" i="154"/>
  <c r="P297" i="154"/>
  <c r="N297" i="154"/>
  <c r="M297" i="154"/>
  <c r="L297" i="154"/>
  <c r="K297" i="154"/>
  <c r="H297" i="154"/>
  <c r="P296" i="154"/>
  <c r="N296" i="154"/>
  <c r="M296" i="154"/>
  <c r="L296" i="154"/>
  <c r="K296" i="154"/>
  <c r="H296" i="154"/>
  <c r="P295" i="154"/>
  <c r="N295" i="154"/>
  <c r="M295" i="154"/>
  <c r="L295" i="154"/>
  <c r="K295" i="154"/>
  <c r="H295" i="154"/>
  <c r="F8" i="158"/>
  <c r="E8" i="158"/>
  <c r="E34" i="158"/>
  <c r="B34" i="158"/>
  <c r="E39" i="158"/>
  <c r="B39" i="158"/>
  <c r="B32" i="158"/>
  <c r="G32" i="158"/>
  <c r="E32" i="158"/>
  <c r="H32" i="158"/>
  <c r="E19" i="158"/>
  <c r="B19" i="158"/>
  <c r="E24" i="158"/>
  <c r="B24" i="158"/>
  <c r="B17" i="158"/>
  <c r="G17" i="158"/>
  <c r="E17" i="158"/>
  <c r="H17" i="158"/>
  <c r="O2" i="159"/>
  <c r="E33" i="158"/>
  <c r="B33" i="158"/>
  <c r="G33" i="158"/>
  <c r="H33" i="158"/>
  <c r="E18" i="158"/>
  <c r="B18" i="158"/>
  <c r="G18" i="158"/>
  <c r="H18" i="158"/>
  <c r="O3" i="159"/>
  <c r="O4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G39" i="158"/>
  <c r="H39" i="158"/>
  <c r="G24" i="158"/>
  <c r="H24" i="158"/>
  <c r="O42" i="159"/>
  <c r="E40" i="158"/>
  <c r="B40" i="158"/>
  <c r="G40" i="158"/>
  <c r="H40" i="158"/>
  <c r="E25" i="158"/>
  <c r="B25" i="158"/>
  <c r="G25" i="158"/>
  <c r="H25" i="158"/>
  <c r="O43" i="159"/>
  <c r="E41" i="158"/>
  <c r="B41" i="158"/>
  <c r="G41" i="158"/>
  <c r="H41" i="158"/>
  <c r="G26" i="158"/>
  <c r="H26" i="158"/>
  <c r="O44" i="159"/>
  <c r="O45" i="159"/>
  <c r="O46" i="159"/>
  <c r="O47" i="159"/>
  <c r="O48" i="159"/>
  <c r="O49" i="159"/>
  <c r="O50" i="159"/>
  <c r="G19" i="158"/>
  <c r="H19" i="158"/>
  <c r="O51" i="159"/>
  <c r="E20" i="158"/>
  <c r="B20" i="158"/>
  <c r="G20" i="158"/>
  <c r="H20" i="158"/>
  <c r="O52" i="159"/>
  <c r="G21" i="158"/>
  <c r="H21" i="158"/>
  <c r="O53" i="159"/>
  <c r="G34" i="158"/>
  <c r="H34" i="158"/>
  <c r="O54" i="159"/>
  <c r="E35" i="158"/>
  <c r="B35" i="158"/>
  <c r="G35" i="158"/>
  <c r="H35" i="158"/>
  <c r="O55" i="159"/>
  <c r="E36" i="158"/>
  <c r="B36" i="158"/>
  <c r="G36" i="158"/>
  <c r="H36" i="158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E42" i="158"/>
  <c r="B42" i="158"/>
  <c r="G42" i="158"/>
  <c r="H42" i="158"/>
  <c r="E27" i="158"/>
  <c r="B27" i="158"/>
  <c r="G27" i="158"/>
  <c r="H27" i="158"/>
  <c r="O138" i="159"/>
  <c r="E43" i="158"/>
  <c r="B43" i="158"/>
  <c r="G43" i="158"/>
  <c r="H43" i="158"/>
  <c r="G28" i="158"/>
  <c r="H28" i="158"/>
  <c r="O139" i="159"/>
  <c r="O140" i="159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O159" i="159"/>
  <c r="O160" i="159"/>
  <c r="O161" i="159"/>
  <c r="O162" i="159"/>
  <c r="O163" i="159"/>
  <c r="O164" i="159"/>
  <c r="O165" i="159"/>
  <c r="O166" i="159"/>
  <c r="O167" i="159"/>
  <c r="O168" i="159"/>
  <c r="O169" i="159"/>
  <c r="O170" i="159"/>
  <c r="O171" i="159"/>
  <c r="O172" i="159"/>
  <c r="O173" i="159"/>
  <c r="O174" i="159"/>
  <c r="O175" i="159"/>
  <c r="O176" i="159"/>
  <c r="O177" i="159"/>
  <c r="O178" i="159"/>
  <c r="O179" i="159"/>
  <c r="O180" i="159"/>
  <c r="O181" i="159"/>
  <c r="O182" i="159"/>
  <c r="O183" i="159"/>
  <c r="O184" i="159"/>
  <c r="O185" i="159"/>
  <c r="O186" i="159"/>
  <c r="O187" i="159"/>
  <c r="O188" i="159"/>
  <c r="O189" i="159"/>
  <c r="O190" i="159"/>
  <c r="O191" i="159"/>
  <c r="O192" i="159"/>
  <c r="O193" i="159"/>
  <c r="O194" i="159"/>
  <c r="O195" i="159"/>
  <c r="O196" i="159"/>
  <c r="O197" i="159"/>
  <c r="O198" i="159"/>
  <c r="O199" i="159"/>
  <c r="O200" i="159"/>
  <c r="O201" i="159"/>
  <c r="O202" i="159"/>
  <c r="O203" i="159"/>
  <c r="O204" i="159"/>
  <c r="O205" i="159"/>
  <c r="O206" i="159"/>
  <c r="O207" i="159"/>
  <c r="O208" i="159"/>
  <c r="O209" i="159"/>
  <c r="O210" i="159"/>
  <c r="O211" i="159"/>
  <c r="O212" i="159"/>
  <c r="O213" i="159"/>
  <c r="O214" i="159"/>
  <c r="O215" i="159"/>
  <c r="O216" i="159"/>
  <c r="O217" i="159"/>
  <c r="O218" i="159"/>
  <c r="O219" i="159"/>
  <c r="O220" i="159"/>
  <c r="O221" i="159"/>
  <c r="O222" i="159"/>
  <c r="O223" i="159"/>
  <c r="O224" i="159"/>
  <c r="O225" i="159"/>
  <c r="O226" i="159"/>
  <c r="O227" i="159"/>
  <c r="O228" i="159"/>
  <c r="O229" i="159"/>
  <c r="O230" i="159"/>
  <c r="O231" i="159"/>
  <c r="O232" i="159"/>
  <c r="O233" i="159"/>
  <c r="O234" i="159"/>
  <c r="O235" i="159"/>
  <c r="O236" i="159"/>
  <c r="O237" i="159"/>
  <c r="O238" i="159"/>
  <c r="O239" i="159"/>
  <c r="O240" i="159"/>
  <c r="O241" i="159"/>
  <c r="O242" i="159"/>
  <c r="O243" i="159"/>
  <c r="O244" i="159"/>
  <c r="O245" i="159"/>
  <c r="O246" i="159"/>
  <c r="O247" i="159"/>
  <c r="O248" i="159"/>
  <c r="O249" i="159"/>
  <c r="O250" i="159"/>
  <c r="O251" i="159"/>
  <c r="O252" i="159"/>
  <c r="O253" i="159"/>
  <c r="O254" i="159"/>
  <c r="O255" i="159"/>
  <c r="E37" i="158"/>
  <c r="B38" i="158"/>
  <c r="B37" i="158"/>
  <c r="G37" i="158"/>
  <c r="H37" i="158"/>
  <c r="O256" i="159"/>
  <c r="G38" i="158"/>
  <c r="E38" i="158"/>
  <c r="H38" i="158"/>
  <c r="O257" i="159"/>
  <c r="O258" i="159"/>
  <c r="O259" i="159"/>
  <c r="O260" i="159"/>
  <c r="O261" i="159"/>
  <c r="O262" i="159"/>
  <c r="O263" i="159"/>
  <c r="O264" i="159"/>
  <c r="O265" i="159"/>
  <c r="O266" i="159"/>
  <c r="O267" i="159"/>
  <c r="O268" i="159"/>
  <c r="O269" i="159"/>
  <c r="O270" i="159"/>
  <c r="O271" i="159"/>
  <c r="O272" i="159"/>
  <c r="O274" i="159"/>
  <c r="O275" i="159"/>
  <c r="O276" i="159"/>
  <c r="O277" i="159"/>
  <c r="O278" i="159"/>
  <c r="O279" i="159"/>
  <c r="O280" i="159"/>
  <c r="O281" i="159"/>
  <c r="O286" i="159"/>
  <c r="O287" i="159"/>
  <c r="O288" i="159"/>
  <c r="O289" i="159"/>
  <c r="O291" i="159"/>
  <c r="O292" i="159"/>
  <c r="P300" i="159"/>
  <c r="N300" i="159"/>
  <c r="M300" i="159"/>
  <c r="L300" i="159"/>
  <c r="K300" i="159"/>
  <c r="H300" i="159"/>
  <c r="P299" i="159"/>
  <c r="N299" i="159"/>
  <c r="M299" i="159"/>
  <c r="L299" i="159"/>
  <c r="H299" i="159"/>
  <c r="P298" i="159"/>
  <c r="N298" i="159"/>
  <c r="M298" i="159"/>
  <c r="L298" i="159"/>
  <c r="H298" i="159"/>
  <c r="P297" i="159"/>
  <c r="N297" i="159"/>
  <c r="M297" i="159"/>
  <c r="L297" i="159"/>
  <c r="H297" i="159"/>
  <c r="P296" i="159"/>
  <c r="N296" i="159"/>
  <c r="M296" i="159"/>
  <c r="L296" i="159"/>
  <c r="H296" i="159"/>
  <c r="P295" i="159"/>
  <c r="N295" i="159"/>
  <c r="M295" i="159"/>
  <c r="L295" i="159"/>
  <c r="H295" i="159"/>
  <c r="F8" i="149"/>
  <c r="E8" i="149"/>
  <c r="E34" i="149"/>
  <c r="B34" i="149"/>
  <c r="E39" i="149"/>
  <c r="B39" i="149"/>
  <c r="B32" i="149"/>
  <c r="G32" i="149"/>
  <c r="E32" i="149"/>
  <c r="H32" i="149"/>
  <c r="E19" i="149"/>
  <c r="B19" i="149"/>
  <c r="E24" i="149"/>
  <c r="B24" i="149"/>
  <c r="B17" i="149"/>
  <c r="G17" i="149"/>
  <c r="E17" i="149"/>
  <c r="H17" i="149"/>
  <c r="O2" i="150"/>
  <c r="E33" i="149"/>
  <c r="B33" i="149"/>
  <c r="G33" i="149"/>
  <c r="H33" i="149"/>
  <c r="E18" i="149"/>
  <c r="B18" i="149"/>
  <c r="G18" i="149"/>
  <c r="H18" i="149"/>
  <c r="O3" i="150"/>
  <c r="O4" i="150"/>
  <c r="O5" i="150"/>
  <c r="O6" i="150"/>
  <c r="O7" i="150"/>
  <c r="O8" i="150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G39" i="149"/>
  <c r="H39" i="149"/>
  <c r="G24" i="149"/>
  <c r="H24" i="149"/>
  <c r="O42" i="150"/>
  <c r="E40" i="149"/>
  <c r="B40" i="149"/>
  <c r="G40" i="149"/>
  <c r="H40" i="149"/>
  <c r="E25" i="149"/>
  <c r="B25" i="149"/>
  <c r="G25" i="149"/>
  <c r="H25" i="149"/>
  <c r="O43" i="150"/>
  <c r="E41" i="149"/>
  <c r="B41" i="149"/>
  <c r="G41" i="149"/>
  <c r="H41" i="149"/>
  <c r="G26" i="149"/>
  <c r="H26" i="149"/>
  <c r="O44" i="150"/>
  <c r="O45" i="150"/>
  <c r="O46" i="150"/>
  <c r="O47" i="150"/>
  <c r="O48" i="150"/>
  <c r="O49" i="150"/>
  <c r="O50" i="150"/>
  <c r="G19" i="149"/>
  <c r="H19" i="149"/>
  <c r="O51" i="150"/>
  <c r="E20" i="149"/>
  <c r="B20" i="149"/>
  <c r="G20" i="149"/>
  <c r="H20" i="149"/>
  <c r="O52" i="150"/>
  <c r="G21" i="149"/>
  <c r="H21" i="149"/>
  <c r="O53" i="150"/>
  <c r="G34" i="149"/>
  <c r="H34" i="149"/>
  <c r="O54" i="150"/>
  <c r="E35" i="149"/>
  <c r="B35" i="149"/>
  <c r="G35" i="149"/>
  <c r="H35" i="149"/>
  <c r="O55" i="150"/>
  <c r="E36" i="149"/>
  <c r="B36" i="149"/>
  <c r="G36" i="149"/>
  <c r="H36" i="149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O125" i="150"/>
  <c r="O126" i="150"/>
  <c r="O127" i="150"/>
  <c r="O128" i="150"/>
  <c r="O129" i="150"/>
  <c r="O130" i="150"/>
  <c r="O131" i="150"/>
  <c r="O132" i="150"/>
  <c r="O133" i="150"/>
  <c r="O134" i="150"/>
  <c r="O135" i="150"/>
  <c r="O136" i="150"/>
  <c r="O137" i="150"/>
  <c r="E42" i="149"/>
  <c r="B42" i="149"/>
  <c r="G42" i="149"/>
  <c r="H42" i="149"/>
  <c r="E27" i="149"/>
  <c r="B27" i="149"/>
  <c r="G27" i="149"/>
  <c r="H27" i="149"/>
  <c r="O138" i="150"/>
  <c r="E43" i="149"/>
  <c r="B43" i="149"/>
  <c r="G43" i="149"/>
  <c r="H43" i="149"/>
  <c r="G28" i="149"/>
  <c r="H28" i="149"/>
  <c r="O139" i="150"/>
  <c r="O140" i="150"/>
  <c r="O141" i="150"/>
  <c r="O142" i="150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O215" i="150"/>
  <c r="O216" i="150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247" i="150"/>
  <c r="O248" i="150"/>
  <c r="O249" i="150"/>
  <c r="O250" i="150"/>
  <c r="O251" i="150"/>
  <c r="O252" i="150"/>
  <c r="O253" i="150"/>
  <c r="O254" i="150"/>
  <c r="O255" i="150"/>
  <c r="E37" i="149"/>
  <c r="B38" i="149"/>
  <c r="B37" i="149"/>
  <c r="G37" i="149"/>
  <c r="H37" i="149"/>
  <c r="O256" i="150"/>
  <c r="G38" i="149"/>
  <c r="E38" i="149"/>
  <c r="H38" i="149"/>
  <c r="O257" i="150"/>
  <c r="O258" i="150"/>
  <c r="O259" i="150"/>
  <c r="O260" i="150"/>
  <c r="O261" i="150"/>
  <c r="O262" i="150"/>
  <c r="O263" i="150"/>
  <c r="O264" i="150"/>
  <c r="O265" i="150"/>
  <c r="O266" i="150"/>
  <c r="O267" i="150"/>
  <c r="O268" i="150"/>
  <c r="O269" i="150"/>
  <c r="O270" i="150"/>
  <c r="O271" i="150"/>
  <c r="O272" i="150"/>
  <c r="O273" i="150"/>
  <c r="O274" i="150"/>
  <c r="O275" i="150"/>
  <c r="O276" i="150"/>
  <c r="O277" i="150"/>
  <c r="O278" i="150"/>
  <c r="O279" i="150"/>
  <c r="O280" i="150"/>
  <c r="O281" i="150"/>
  <c r="O282" i="150"/>
  <c r="O283" i="150"/>
  <c r="O284" i="150"/>
  <c r="O285" i="150"/>
  <c r="O286" i="150"/>
  <c r="O287" i="150"/>
  <c r="O288" i="150"/>
  <c r="O289" i="150"/>
  <c r="O290" i="150"/>
  <c r="O291" i="150"/>
  <c r="O292" i="150"/>
  <c r="P300" i="150"/>
  <c r="N300" i="150"/>
  <c r="M300" i="150"/>
  <c r="L300" i="150"/>
  <c r="K300" i="150"/>
  <c r="H300" i="150"/>
  <c r="P299" i="150"/>
  <c r="N299" i="150"/>
  <c r="M299" i="150"/>
  <c r="L299" i="150"/>
  <c r="K299" i="150"/>
  <c r="H299" i="150"/>
  <c r="P298" i="150"/>
  <c r="N298" i="150"/>
  <c r="M298" i="150"/>
  <c r="L298" i="150"/>
  <c r="K298" i="150"/>
  <c r="H298" i="150"/>
  <c r="P297" i="150"/>
  <c r="N297" i="150"/>
  <c r="M297" i="150"/>
  <c r="L297" i="150"/>
  <c r="K297" i="150"/>
  <c r="H297" i="150"/>
  <c r="P296" i="150"/>
  <c r="N296" i="150"/>
  <c r="M296" i="150"/>
  <c r="L296" i="150"/>
  <c r="K296" i="150"/>
  <c r="H296" i="150"/>
  <c r="P295" i="150"/>
  <c r="N295" i="150"/>
  <c r="M295" i="150"/>
  <c r="L295" i="150"/>
  <c r="K295" i="150"/>
  <c r="H295" i="150"/>
  <c r="C2" i="82"/>
  <c r="C3" i="82"/>
  <c r="C4" i="82"/>
  <c r="C5" i="82"/>
  <c r="C6" i="82"/>
  <c r="C7" i="82"/>
  <c r="C8" i="82"/>
  <c r="C9" i="82"/>
  <c r="C10" i="82"/>
  <c r="C11" i="82"/>
  <c r="C12" i="82"/>
  <c r="C13" i="82"/>
  <c r="C14" i="82"/>
  <c r="C15" i="82"/>
  <c r="C16" i="82"/>
  <c r="C17" i="82"/>
  <c r="C18" i="82"/>
  <c r="C19" i="82"/>
  <c r="C20" i="82"/>
  <c r="C21" i="82"/>
  <c r="C22" i="82"/>
  <c r="C23" i="82"/>
  <c r="C24" i="82"/>
  <c r="C25" i="82"/>
  <c r="C26" i="82"/>
  <c r="C27" i="82"/>
  <c r="C28" i="82"/>
  <c r="C29" i="82"/>
  <c r="C30" i="82"/>
  <c r="C31" i="82"/>
  <c r="C32" i="82"/>
  <c r="C33" i="82"/>
  <c r="C34" i="82"/>
  <c r="C35" i="82"/>
  <c r="C36" i="82"/>
  <c r="C37" i="82"/>
  <c r="C38" i="82"/>
  <c r="C39" i="82"/>
  <c r="C40" i="82"/>
  <c r="C41" i="82"/>
  <c r="C42" i="82"/>
  <c r="C43" i="82"/>
  <c r="C44" i="82"/>
  <c r="C45" i="82"/>
  <c r="C46" i="82"/>
  <c r="C47" i="82"/>
  <c r="C48" i="82"/>
  <c r="C49" i="82"/>
  <c r="C50" i="82"/>
  <c r="C51" i="82"/>
  <c r="C52" i="82"/>
  <c r="C53" i="82"/>
  <c r="C54" i="82"/>
  <c r="C55" i="82"/>
  <c r="C56" i="82"/>
  <c r="C57" i="82"/>
  <c r="C58" i="82"/>
  <c r="C59" i="82"/>
  <c r="C60" i="82"/>
  <c r="C61" i="82"/>
  <c r="C62" i="82"/>
  <c r="C63" i="82"/>
  <c r="C64" i="82"/>
  <c r="C65" i="82"/>
  <c r="C66" i="82"/>
  <c r="C67" i="82"/>
  <c r="C68" i="82"/>
  <c r="C69" i="82"/>
  <c r="C70" i="82"/>
  <c r="C71" i="82"/>
  <c r="C72" i="82"/>
  <c r="C73" i="82"/>
  <c r="C74" i="82"/>
  <c r="C75" i="82"/>
  <c r="C76" i="82"/>
  <c r="C77" i="82"/>
  <c r="C78" i="82"/>
  <c r="C79" i="82"/>
  <c r="C80" i="82"/>
  <c r="C81" i="82"/>
  <c r="C82" i="82"/>
  <c r="C83" i="82"/>
  <c r="C84" i="82"/>
  <c r="C85" i="82"/>
  <c r="C86" i="82"/>
  <c r="C87" i="82"/>
  <c r="C88" i="82"/>
  <c r="C89" i="82"/>
  <c r="C90" i="82"/>
  <c r="C91" i="82"/>
  <c r="C92" i="82"/>
  <c r="C93" i="82"/>
  <c r="C94" i="82"/>
  <c r="C95" i="82"/>
  <c r="C96" i="82"/>
  <c r="C97" i="82"/>
  <c r="C98" i="82"/>
  <c r="C99" i="82"/>
  <c r="C100" i="82"/>
  <c r="C101" i="82"/>
  <c r="C102" i="82"/>
  <c r="C103" i="82"/>
  <c r="C104" i="82"/>
  <c r="C105" i="82"/>
  <c r="C106" i="82"/>
  <c r="C107" i="82"/>
  <c r="C108" i="82"/>
  <c r="C109" i="82"/>
  <c r="C110" i="82"/>
  <c r="C111" i="82"/>
  <c r="C112" i="82"/>
  <c r="C113" i="82"/>
  <c r="C114" i="82"/>
  <c r="C115" i="82"/>
  <c r="C116" i="82"/>
  <c r="C117" i="82"/>
  <c r="C118" i="82"/>
  <c r="C119" i="82"/>
  <c r="C120" i="82"/>
  <c r="C121" i="82"/>
  <c r="C122" i="82"/>
  <c r="C123" i="82"/>
  <c r="C124" i="82"/>
  <c r="C125" i="82"/>
  <c r="C126" i="82"/>
  <c r="C127" i="82"/>
  <c r="C128" i="82"/>
  <c r="C129" i="82"/>
  <c r="C130" i="82"/>
  <c r="C131" i="82"/>
  <c r="C132" i="82"/>
  <c r="C133" i="82"/>
  <c r="C134" i="82"/>
  <c r="C135" i="82"/>
  <c r="C136" i="82"/>
  <c r="C137" i="82"/>
  <c r="C138" i="82"/>
  <c r="C139" i="82"/>
  <c r="C140" i="82"/>
  <c r="C141" i="82"/>
  <c r="C142" i="82"/>
  <c r="C143" i="82"/>
  <c r="C144" i="82"/>
  <c r="C145" i="82"/>
  <c r="C146" i="82"/>
  <c r="C147" i="82"/>
  <c r="C148" i="82"/>
  <c r="C149" i="82"/>
  <c r="C150" i="82"/>
  <c r="C151" i="82"/>
  <c r="C152" i="82"/>
  <c r="C153" i="82"/>
  <c r="C154" i="82"/>
  <c r="C155" i="82"/>
  <c r="C156" i="82"/>
  <c r="C157" i="82"/>
  <c r="C158" i="82"/>
  <c r="C159" i="82"/>
  <c r="C160" i="82"/>
  <c r="C161" i="82"/>
  <c r="C162" i="82"/>
  <c r="C163" i="82"/>
  <c r="C164" i="82"/>
  <c r="C165" i="82"/>
  <c r="C166" i="82"/>
  <c r="C167" i="82"/>
  <c r="C168" i="82"/>
  <c r="C169" i="82"/>
  <c r="C170" i="82"/>
  <c r="C171" i="82"/>
  <c r="C172" i="82"/>
  <c r="C173" i="82"/>
  <c r="C174" i="82"/>
  <c r="C175" i="82"/>
  <c r="C176" i="82"/>
  <c r="C177" i="82"/>
  <c r="C178" i="82"/>
  <c r="C179" i="82"/>
  <c r="C180" i="82"/>
  <c r="C181" i="82"/>
  <c r="C182" i="82"/>
  <c r="C183" i="82"/>
  <c r="C184" i="82"/>
  <c r="C185" i="82"/>
  <c r="C186" i="82"/>
  <c r="C187" i="82"/>
  <c r="C188" i="82"/>
  <c r="C189" i="82"/>
  <c r="C190" i="82"/>
  <c r="C191" i="82"/>
  <c r="C192" i="82"/>
  <c r="C193" i="82"/>
  <c r="C194" i="82"/>
  <c r="C195" i="82"/>
  <c r="C196" i="82"/>
  <c r="C197" i="82"/>
  <c r="C198" i="82"/>
  <c r="C199" i="82"/>
  <c r="C200" i="82"/>
  <c r="C201" i="82"/>
  <c r="C202" i="82"/>
  <c r="C203" i="82"/>
  <c r="C204" i="82"/>
  <c r="C205" i="82"/>
  <c r="C206" i="82"/>
  <c r="C207" i="82"/>
  <c r="C208" i="82"/>
  <c r="C209" i="82"/>
  <c r="C210" i="82"/>
  <c r="C211" i="82"/>
  <c r="C212" i="82"/>
  <c r="C213" i="82"/>
  <c r="C214" i="82"/>
  <c r="C215" i="82"/>
  <c r="C216" i="82"/>
  <c r="C217" i="82"/>
  <c r="C218" i="82"/>
  <c r="C219" i="82"/>
  <c r="C220" i="82"/>
  <c r="C221" i="82"/>
  <c r="C222" i="82"/>
  <c r="C223" i="82"/>
  <c r="C224" i="82"/>
  <c r="C225" i="82"/>
  <c r="C226" i="82"/>
  <c r="C227" i="82"/>
  <c r="C228" i="82"/>
  <c r="C229" i="82"/>
  <c r="C230" i="82"/>
  <c r="C231" i="82"/>
  <c r="C232" i="82"/>
  <c r="C233" i="82"/>
  <c r="C234" i="82"/>
  <c r="C235" i="82"/>
  <c r="C236" i="82"/>
  <c r="C237" i="82"/>
  <c r="C238" i="82"/>
  <c r="C239" i="82"/>
  <c r="C240" i="82"/>
  <c r="C241" i="82"/>
  <c r="C242" i="82"/>
  <c r="C243" i="82"/>
  <c r="C244" i="82"/>
  <c r="C245" i="82"/>
  <c r="C246" i="82"/>
  <c r="C247" i="82"/>
  <c r="C248" i="82"/>
  <c r="C249" i="82"/>
  <c r="C250" i="82"/>
  <c r="C251" i="82"/>
  <c r="C252" i="82"/>
  <c r="C253" i="82"/>
  <c r="C254" i="82"/>
  <c r="C255" i="82"/>
  <c r="C256" i="82"/>
  <c r="C257" i="82"/>
  <c r="C258" i="82"/>
  <c r="C259" i="82"/>
  <c r="C260" i="82"/>
  <c r="C261" i="82"/>
  <c r="C262" i="82"/>
  <c r="C263" i="82"/>
  <c r="C264" i="82"/>
  <c r="C265" i="82"/>
  <c r="C266" i="82"/>
  <c r="C267" i="82"/>
  <c r="C268" i="82"/>
  <c r="C269" i="82"/>
  <c r="C270" i="82"/>
  <c r="C271" i="82"/>
  <c r="C272" i="82"/>
  <c r="C273" i="82"/>
  <c r="C274" i="82"/>
  <c r="C275" i="82"/>
  <c r="C276" i="82"/>
  <c r="C277" i="82"/>
  <c r="C278" i="82"/>
  <c r="C279" i="82"/>
  <c r="C280" i="82"/>
  <c r="C281" i="82"/>
  <c r="C282" i="82"/>
  <c r="C283" i="82"/>
  <c r="C284" i="82"/>
  <c r="C285" i="82"/>
  <c r="C286" i="82"/>
  <c r="C287" i="82"/>
  <c r="C288" i="82"/>
  <c r="C289" i="82"/>
  <c r="C290" i="82"/>
  <c r="C291" i="82"/>
  <c r="C292" i="82"/>
  <c r="C293" i="82"/>
  <c r="C294" i="82"/>
  <c r="C295" i="82"/>
  <c r="C296" i="82"/>
  <c r="C297" i="82"/>
  <c r="C298" i="82"/>
  <c r="C299" i="82"/>
  <c r="C300" i="82"/>
  <c r="F5" i="106"/>
  <c r="F7" i="106"/>
  <c r="A51" i="106"/>
  <c r="F8" i="147"/>
  <c r="E8" i="147"/>
  <c r="E34" i="147"/>
  <c r="B34" i="147"/>
  <c r="E39" i="147"/>
  <c r="B39" i="147"/>
  <c r="B32" i="147"/>
  <c r="G32" i="147"/>
  <c r="E32" i="147"/>
  <c r="H32" i="147"/>
  <c r="E19" i="147"/>
  <c r="B19" i="147"/>
  <c r="E24" i="147"/>
  <c r="B24" i="147"/>
  <c r="B17" i="147"/>
  <c r="G17" i="147"/>
  <c r="E17" i="147"/>
  <c r="H17" i="147"/>
  <c r="O2" i="148"/>
  <c r="E33" i="147"/>
  <c r="B33" i="147"/>
  <c r="G33" i="147"/>
  <c r="H33" i="147"/>
  <c r="E18" i="147"/>
  <c r="B18" i="147"/>
  <c r="G18" i="147"/>
  <c r="H18" i="147"/>
  <c r="O3" i="148"/>
  <c r="O4" i="148"/>
  <c r="O5" i="148"/>
  <c r="O6" i="148"/>
  <c r="O7" i="148"/>
  <c r="O8" i="148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39" i="147"/>
  <c r="H39" i="147"/>
  <c r="G24" i="147"/>
  <c r="H24" i="147"/>
  <c r="O42" i="148"/>
  <c r="E40" i="147"/>
  <c r="B40" i="147"/>
  <c r="G40" i="147"/>
  <c r="H40" i="147"/>
  <c r="E25" i="147"/>
  <c r="B25" i="147"/>
  <c r="G25" i="147"/>
  <c r="H25" i="147"/>
  <c r="O43" i="148"/>
  <c r="E41" i="147"/>
  <c r="B41" i="147"/>
  <c r="G41" i="147"/>
  <c r="H41" i="147"/>
  <c r="G26" i="147"/>
  <c r="H26" i="147"/>
  <c r="O44" i="148"/>
  <c r="O45" i="148"/>
  <c r="O46" i="148"/>
  <c r="O47" i="148"/>
  <c r="O48" i="148"/>
  <c r="O49" i="148"/>
  <c r="O50" i="148"/>
  <c r="G19" i="147"/>
  <c r="H19" i="147"/>
  <c r="O51" i="148"/>
  <c r="E20" i="147"/>
  <c r="B20" i="147"/>
  <c r="G20" i="147"/>
  <c r="H20" i="147"/>
  <c r="O52" i="148"/>
  <c r="G21" i="147"/>
  <c r="H21" i="147"/>
  <c r="O53" i="148"/>
  <c r="G34" i="147"/>
  <c r="H34" i="147"/>
  <c r="O54" i="148"/>
  <c r="E35" i="147"/>
  <c r="B35" i="147"/>
  <c r="G35" i="147"/>
  <c r="H35" i="147"/>
  <c r="O55" i="148"/>
  <c r="E36" i="147"/>
  <c r="B36" i="147"/>
  <c r="G36" i="147"/>
  <c r="H36" i="147"/>
  <c r="O56" i="148"/>
  <c r="O57" i="148"/>
  <c r="O58" i="148"/>
  <c r="O59" i="148"/>
  <c r="O60" i="148"/>
  <c r="O61" i="148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O111" i="148"/>
  <c r="O112" i="148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E42" i="147"/>
  <c r="B42" i="147"/>
  <c r="G42" i="147"/>
  <c r="H42" i="147"/>
  <c r="E27" i="147"/>
  <c r="B27" i="147"/>
  <c r="G27" i="147"/>
  <c r="H27" i="147"/>
  <c r="O138" i="148"/>
  <c r="E43" i="147"/>
  <c r="B43" i="147"/>
  <c r="G43" i="147"/>
  <c r="H43" i="147"/>
  <c r="G28" i="147"/>
  <c r="H28" i="147"/>
  <c r="O139" i="148"/>
  <c r="O140" i="148"/>
  <c r="O141" i="148"/>
  <c r="O142" i="148"/>
  <c r="O143" i="148"/>
  <c r="O144" i="148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O215" i="148"/>
  <c r="O216" i="148"/>
  <c r="O217" i="148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E37" i="147"/>
  <c r="B38" i="147"/>
  <c r="B37" i="147"/>
  <c r="G37" i="147"/>
  <c r="H37" i="147"/>
  <c r="O256" i="148"/>
  <c r="G38" i="147"/>
  <c r="E38" i="147"/>
  <c r="H38" i="147"/>
  <c r="O257" i="148"/>
  <c r="O258" i="148"/>
  <c r="O259" i="148"/>
  <c r="O260" i="148"/>
  <c r="O261" i="148"/>
  <c r="O262" i="148"/>
  <c r="O263" i="148"/>
  <c r="O264" i="148"/>
  <c r="O265" i="148"/>
  <c r="O266" i="148"/>
  <c r="O267" i="148"/>
  <c r="O268" i="148"/>
  <c r="O269" i="148"/>
  <c r="O270" i="148"/>
  <c r="O271" i="148"/>
  <c r="O272" i="148"/>
  <c r="O273" i="148"/>
  <c r="O274" i="148"/>
  <c r="O275" i="148"/>
  <c r="O276" i="148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1" i="148"/>
  <c r="O292" i="148"/>
  <c r="O293" i="148"/>
  <c r="E5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9" i="106"/>
  <c r="B29" i="106"/>
  <c r="G29" i="106"/>
  <c r="H29" i="106"/>
  <c r="E6" i="106"/>
  <c r="E44" i="106"/>
  <c r="B44" i="106"/>
  <c r="G44" i="106"/>
  <c r="H44" i="106"/>
  <c r="E7" i="106"/>
  <c r="E22" i="106"/>
  <c r="E26" i="106"/>
  <c r="B26" i="106"/>
  <c r="E28" i="106"/>
  <c r="B28" i="106"/>
  <c r="E21" i="106"/>
  <c r="B21" i="106"/>
  <c r="B23" i="106"/>
  <c r="B22" i="106"/>
  <c r="G22" i="106"/>
  <c r="H22" i="106"/>
  <c r="G23" i="106"/>
  <c r="E23" i="106"/>
  <c r="H23" i="106"/>
  <c r="G31" i="106"/>
  <c r="E31" i="106"/>
  <c r="H31" i="106"/>
  <c r="G46" i="106"/>
  <c r="E46" i="106"/>
  <c r="H46" i="106"/>
  <c r="P300" i="148"/>
  <c r="N300" i="148"/>
  <c r="M300" i="148"/>
  <c r="L300" i="148"/>
  <c r="H300" i="148"/>
  <c r="P299" i="148"/>
  <c r="N299" i="148"/>
  <c r="M299" i="148"/>
  <c r="L299" i="148"/>
  <c r="H299" i="148"/>
  <c r="P298" i="148"/>
  <c r="N298" i="148"/>
  <c r="M298" i="148"/>
  <c r="L298" i="148"/>
  <c r="H298" i="148"/>
  <c r="P297" i="148"/>
  <c r="N297" i="148"/>
  <c r="M297" i="148"/>
  <c r="L297" i="148"/>
  <c r="H297" i="148"/>
  <c r="P296" i="148"/>
  <c r="N296" i="148"/>
  <c r="M296" i="148"/>
  <c r="L296" i="148"/>
  <c r="H296" i="148"/>
  <c r="P295" i="148"/>
  <c r="N295" i="148"/>
  <c r="M295" i="148"/>
  <c r="L295" i="148"/>
  <c r="H295" i="148"/>
  <c r="A299" i="82"/>
  <c r="I299" i="82"/>
  <c r="D299" i="82"/>
  <c r="J299" i="82"/>
  <c r="E299" i="82"/>
  <c r="F299" i="82"/>
  <c r="H299" i="82"/>
  <c r="K299" i="82"/>
  <c r="L299" i="82"/>
  <c r="M299" i="82"/>
  <c r="N299" i="82"/>
  <c r="I300" i="82"/>
  <c r="D300" i="82"/>
  <c r="J300" i="82"/>
  <c r="E300" i="82"/>
  <c r="F300" i="82"/>
  <c r="I295" i="82"/>
  <c r="D295" i="82"/>
  <c r="J295" i="82"/>
  <c r="E295" i="82"/>
  <c r="F295" i="82"/>
  <c r="I296" i="82"/>
  <c r="D296" i="82"/>
  <c r="J296" i="82"/>
  <c r="E296" i="82"/>
  <c r="F296" i="82"/>
  <c r="I297" i="82"/>
  <c r="D297" i="82"/>
  <c r="J297" i="82"/>
  <c r="E297" i="82"/>
  <c r="F297" i="82"/>
  <c r="I298" i="82"/>
  <c r="D298" i="82"/>
  <c r="J298" i="82"/>
  <c r="E298" i="82"/>
  <c r="F298" i="82"/>
  <c r="O299" i="82"/>
  <c r="F8" i="106"/>
  <c r="E8" i="106"/>
  <c r="E34" i="106"/>
  <c r="B34" i="106"/>
  <c r="E39" i="106"/>
  <c r="B39" i="106"/>
  <c r="B32" i="106"/>
  <c r="G32" i="106"/>
  <c r="E32" i="106"/>
  <c r="H32" i="106"/>
  <c r="E19" i="106"/>
  <c r="B19" i="106"/>
  <c r="E24" i="106"/>
  <c r="B24" i="106"/>
  <c r="B17" i="106"/>
  <c r="G17" i="106"/>
  <c r="E17" i="106"/>
  <c r="H17" i="106"/>
  <c r="O2" i="82"/>
  <c r="E33" i="106"/>
  <c r="B33" i="106"/>
  <c r="G33" i="106"/>
  <c r="H33" i="106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39" i="106"/>
  <c r="H39" i="106"/>
  <c r="G24" i="106"/>
  <c r="H24" i="106"/>
  <c r="O42" i="82"/>
  <c r="E40" i="106"/>
  <c r="B40" i="106"/>
  <c r="G40" i="106"/>
  <c r="H40" i="106"/>
  <c r="E25" i="106"/>
  <c r="B25" i="106"/>
  <c r="G25" i="106"/>
  <c r="H25" i="106"/>
  <c r="O43" i="82"/>
  <c r="E41" i="106"/>
  <c r="B41" i="106"/>
  <c r="G41" i="106"/>
  <c r="H41" i="106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G21" i="106"/>
  <c r="H21" i="106"/>
  <c r="O53" i="82"/>
  <c r="G34" i="106"/>
  <c r="H34" i="106"/>
  <c r="O54" i="82"/>
  <c r="E35" i="106"/>
  <c r="B35" i="106"/>
  <c r="G35" i="106"/>
  <c r="H35" i="106"/>
  <c r="O55" i="82"/>
  <c r="E36" i="106"/>
  <c r="B36" i="106"/>
  <c r="G36" i="106"/>
  <c r="H36" i="106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42" i="106"/>
  <c r="B42" i="106"/>
  <c r="G42" i="106"/>
  <c r="H42" i="106"/>
  <c r="E27" i="106"/>
  <c r="B27" i="106"/>
  <c r="G27" i="106"/>
  <c r="H27" i="106"/>
  <c r="O138" i="82"/>
  <c r="E43" i="106"/>
  <c r="B43" i="106"/>
  <c r="G43" i="106"/>
  <c r="H43" i="106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E37" i="106"/>
  <c r="B38" i="106"/>
  <c r="B37" i="106"/>
  <c r="G37" i="106"/>
  <c r="H37" i="106"/>
  <c r="O256" i="82"/>
  <c r="G38" i="106"/>
  <c r="E38" i="106"/>
  <c r="H38" i="106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O295" i="82"/>
  <c r="O296" i="82"/>
  <c r="O297" i="82"/>
  <c r="O298" i="82"/>
  <c r="O300" i="82"/>
  <c r="P299" i="82"/>
  <c r="A300" i="82"/>
  <c r="H300" i="82"/>
  <c r="K300" i="82"/>
  <c r="L300" i="82"/>
  <c r="M300" i="82"/>
  <c r="N300" i="82"/>
  <c r="P300" i="82"/>
  <c r="H295" i="82"/>
  <c r="H296" i="82"/>
  <c r="H297" i="82"/>
  <c r="H298" i="82"/>
  <c r="A295" i="82"/>
  <c r="K295" i="82"/>
  <c r="L295" i="82"/>
  <c r="M295" i="82"/>
  <c r="N295" i="82"/>
  <c r="P295" i="82"/>
  <c r="A296" i="82"/>
  <c r="K296" i="82"/>
  <c r="L296" i="82"/>
  <c r="M296" i="82"/>
  <c r="N296" i="82"/>
  <c r="P296" i="82"/>
  <c r="A297" i="82"/>
  <c r="K297" i="82"/>
  <c r="L297" i="82"/>
  <c r="M297" i="82"/>
  <c r="N297" i="82"/>
  <c r="P297" i="82"/>
  <c r="A298" i="82"/>
  <c r="K298" i="82"/>
  <c r="L298" i="82"/>
  <c r="M298" i="82"/>
  <c r="N298" i="82"/>
  <c r="P298" i="82"/>
  <c r="B46" i="158"/>
  <c r="B10" i="158"/>
  <c r="P294" i="159"/>
  <c r="N294" i="159"/>
  <c r="M294" i="159"/>
  <c r="L294" i="159"/>
  <c r="H294" i="159"/>
  <c r="P293" i="159"/>
  <c r="N293" i="159"/>
  <c r="M293" i="159"/>
  <c r="L293" i="159"/>
  <c r="H293" i="159"/>
  <c r="P292" i="159"/>
  <c r="N292" i="159"/>
  <c r="M292" i="159"/>
  <c r="L292" i="159"/>
  <c r="H292" i="159"/>
  <c r="P291" i="159"/>
  <c r="N291" i="159"/>
  <c r="M291" i="159"/>
  <c r="L291" i="159"/>
  <c r="H291" i="159"/>
  <c r="P290" i="159"/>
  <c r="N290" i="159"/>
  <c r="M290" i="159"/>
  <c r="L290" i="159"/>
  <c r="H290" i="159"/>
  <c r="P289" i="159"/>
  <c r="N289" i="159"/>
  <c r="M289" i="159"/>
  <c r="L289" i="159"/>
  <c r="H289" i="159"/>
  <c r="P288" i="159"/>
  <c r="N288" i="159"/>
  <c r="M288" i="159"/>
  <c r="L288" i="159"/>
  <c r="H288" i="159"/>
  <c r="P287" i="159"/>
  <c r="N287" i="159"/>
  <c r="M287" i="159"/>
  <c r="L287" i="159"/>
  <c r="H287" i="159"/>
  <c r="A287" i="159"/>
  <c r="P286" i="159"/>
  <c r="N286" i="159"/>
  <c r="M286" i="159"/>
  <c r="L286" i="159"/>
  <c r="H286" i="159"/>
  <c r="A286" i="159"/>
  <c r="P285" i="159"/>
  <c r="N285" i="159"/>
  <c r="M285" i="159"/>
  <c r="L285" i="159"/>
  <c r="H285" i="159"/>
  <c r="A285" i="159"/>
  <c r="P284" i="159"/>
  <c r="N284" i="159"/>
  <c r="M284" i="159"/>
  <c r="L284" i="159"/>
  <c r="H284" i="159"/>
  <c r="A284" i="159"/>
  <c r="P283" i="159"/>
  <c r="N283" i="159"/>
  <c r="M283" i="159"/>
  <c r="L283" i="159"/>
  <c r="H283" i="159"/>
  <c r="A283" i="159"/>
  <c r="P282" i="159"/>
  <c r="N282" i="159"/>
  <c r="M282" i="159"/>
  <c r="L282" i="159"/>
  <c r="H282" i="159"/>
  <c r="A282" i="159"/>
  <c r="P281" i="159"/>
  <c r="N281" i="159"/>
  <c r="M281" i="159"/>
  <c r="L281" i="159"/>
  <c r="H281" i="159"/>
  <c r="A281" i="159"/>
  <c r="P280" i="159"/>
  <c r="N280" i="159"/>
  <c r="M280" i="159"/>
  <c r="L280" i="159"/>
  <c r="H280" i="159"/>
  <c r="A280" i="159"/>
  <c r="P279" i="159"/>
  <c r="N279" i="159"/>
  <c r="M279" i="159"/>
  <c r="L279" i="159"/>
  <c r="H279" i="159"/>
  <c r="A279" i="159"/>
  <c r="P278" i="159"/>
  <c r="N278" i="159"/>
  <c r="M278" i="159"/>
  <c r="L278" i="159"/>
  <c r="H278" i="159"/>
  <c r="A278" i="159"/>
  <c r="P277" i="159"/>
  <c r="N277" i="159"/>
  <c r="M277" i="159"/>
  <c r="L277" i="159"/>
  <c r="H277" i="159"/>
  <c r="A277" i="159"/>
  <c r="P276" i="159"/>
  <c r="N276" i="159"/>
  <c r="M276" i="159"/>
  <c r="L276" i="159"/>
  <c r="H276" i="159"/>
  <c r="A276" i="159"/>
  <c r="P275" i="159"/>
  <c r="N275" i="159"/>
  <c r="M275" i="159"/>
  <c r="L275" i="159"/>
  <c r="H275" i="159"/>
  <c r="A275" i="159"/>
  <c r="P274" i="159"/>
  <c r="N274" i="159"/>
  <c r="M274" i="159"/>
  <c r="L274" i="159"/>
  <c r="H274" i="159"/>
  <c r="A274" i="159"/>
  <c r="P273" i="159"/>
  <c r="N273" i="159"/>
  <c r="M273" i="159"/>
  <c r="L273" i="159"/>
  <c r="H273" i="159"/>
  <c r="A273" i="159"/>
  <c r="P272" i="159"/>
  <c r="N272" i="159"/>
  <c r="M272" i="159"/>
  <c r="L272" i="159"/>
  <c r="H272" i="159"/>
  <c r="A272" i="159"/>
  <c r="P271" i="159"/>
  <c r="N271" i="159"/>
  <c r="M271" i="159"/>
  <c r="L271" i="159"/>
  <c r="H271" i="159"/>
  <c r="A271" i="159"/>
  <c r="P270" i="159"/>
  <c r="N270" i="159"/>
  <c r="M270" i="159"/>
  <c r="L270" i="159"/>
  <c r="H270" i="159"/>
  <c r="A270" i="159"/>
  <c r="P269" i="159"/>
  <c r="N269" i="159"/>
  <c r="M269" i="159"/>
  <c r="L269" i="159"/>
  <c r="H269" i="159"/>
  <c r="A269" i="159"/>
  <c r="P268" i="159"/>
  <c r="N268" i="159"/>
  <c r="M268" i="159"/>
  <c r="L268" i="159"/>
  <c r="H268" i="159"/>
  <c r="A268" i="159"/>
  <c r="P267" i="159"/>
  <c r="N267" i="159"/>
  <c r="M267" i="159"/>
  <c r="L267" i="159"/>
  <c r="H267" i="159"/>
  <c r="A267" i="159"/>
  <c r="P266" i="159"/>
  <c r="N266" i="159"/>
  <c r="M266" i="159"/>
  <c r="L266" i="159"/>
  <c r="H266" i="159"/>
  <c r="A266" i="159"/>
  <c r="P265" i="159"/>
  <c r="N265" i="159"/>
  <c r="M265" i="159"/>
  <c r="L265" i="159"/>
  <c r="H265" i="159"/>
  <c r="A265" i="159"/>
  <c r="P264" i="159"/>
  <c r="N264" i="159"/>
  <c r="M264" i="159"/>
  <c r="L264" i="159"/>
  <c r="H264" i="159"/>
  <c r="A264" i="159"/>
  <c r="P263" i="159"/>
  <c r="N263" i="159"/>
  <c r="M263" i="159"/>
  <c r="L263" i="159"/>
  <c r="H263" i="159"/>
  <c r="A263" i="159"/>
  <c r="P262" i="159"/>
  <c r="N262" i="159"/>
  <c r="M262" i="159"/>
  <c r="L262" i="159"/>
  <c r="H262" i="159"/>
  <c r="A262" i="159"/>
  <c r="P261" i="159"/>
  <c r="N261" i="159"/>
  <c r="M261" i="159"/>
  <c r="L261" i="159"/>
  <c r="H261" i="159"/>
  <c r="A261" i="159"/>
  <c r="P260" i="159"/>
  <c r="N260" i="159"/>
  <c r="M260" i="159"/>
  <c r="L260" i="159"/>
  <c r="H260" i="159"/>
  <c r="A260" i="159"/>
  <c r="P259" i="159"/>
  <c r="N259" i="159"/>
  <c r="M259" i="159"/>
  <c r="L259" i="159"/>
  <c r="H259" i="159"/>
  <c r="A259" i="159"/>
  <c r="P258" i="159"/>
  <c r="N258" i="159"/>
  <c r="M258" i="159"/>
  <c r="L258" i="159"/>
  <c r="H258" i="159"/>
  <c r="A258" i="159"/>
  <c r="P257" i="159"/>
  <c r="N257" i="159"/>
  <c r="M257" i="159"/>
  <c r="L257" i="159"/>
  <c r="H257" i="159"/>
  <c r="A257" i="159"/>
  <c r="P256" i="159"/>
  <c r="N256" i="159"/>
  <c r="M256" i="159"/>
  <c r="L256" i="159"/>
  <c r="H256" i="159"/>
  <c r="A256" i="159"/>
  <c r="P255" i="159"/>
  <c r="N255" i="159"/>
  <c r="M255" i="159"/>
  <c r="L255" i="159"/>
  <c r="H255" i="159"/>
  <c r="A255" i="159"/>
  <c r="P254" i="159"/>
  <c r="N254" i="159"/>
  <c r="M254" i="159"/>
  <c r="L254" i="159"/>
  <c r="H254" i="159"/>
  <c r="A254" i="159"/>
  <c r="P253" i="159"/>
  <c r="N253" i="159"/>
  <c r="M253" i="159"/>
  <c r="L253" i="159"/>
  <c r="H253" i="159"/>
  <c r="A253" i="159"/>
  <c r="P252" i="159"/>
  <c r="N252" i="159"/>
  <c r="M252" i="159"/>
  <c r="L252" i="159"/>
  <c r="H252" i="159"/>
  <c r="A252" i="159"/>
  <c r="P251" i="159"/>
  <c r="N251" i="159"/>
  <c r="M251" i="159"/>
  <c r="L251" i="159"/>
  <c r="H251" i="159"/>
  <c r="A251" i="159"/>
  <c r="P250" i="159"/>
  <c r="N250" i="159"/>
  <c r="M250" i="159"/>
  <c r="L250" i="159"/>
  <c r="H250" i="159"/>
  <c r="A250" i="159"/>
  <c r="P249" i="159"/>
  <c r="N249" i="159"/>
  <c r="M249" i="159"/>
  <c r="L249" i="159"/>
  <c r="H249" i="159"/>
  <c r="A249" i="159"/>
  <c r="P248" i="159"/>
  <c r="N248" i="159"/>
  <c r="M248" i="159"/>
  <c r="L248" i="159"/>
  <c r="H248" i="159"/>
  <c r="A248" i="159"/>
  <c r="P247" i="159"/>
  <c r="N247" i="159"/>
  <c r="M247" i="159"/>
  <c r="L247" i="159"/>
  <c r="H247" i="159"/>
  <c r="A247" i="159"/>
  <c r="P246" i="159"/>
  <c r="N246" i="159"/>
  <c r="M246" i="159"/>
  <c r="L246" i="159"/>
  <c r="H246" i="159"/>
  <c r="A246" i="159"/>
  <c r="P245" i="159"/>
  <c r="N245" i="159"/>
  <c r="M245" i="159"/>
  <c r="L245" i="159"/>
  <c r="H245" i="159"/>
  <c r="A245" i="159"/>
  <c r="P244" i="159"/>
  <c r="N244" i="159"/>
  <c r="M244" i="159"/>
  <c r="L244" i="159"/>
  <c r="H244" i="159"/>
  <c r="A244" i="159"/>
  <c r="P243" i="159"/>
  <c r="N243" i="159"/>
  <c r="M243" i="159"/>
  <c r="L243" i="159"/>
  <c r="H243" i="159"/>
  <c r="A243" i="159"/>
  <c r="P242" i="159"/>
  <c r="N242" i="159"/>
  <c r="M242" i="159"/>
  <c r="L242" i="159"/>
  <c r="H242" i="159"/>
  <c r="A242" i="159"/>
  <c r="P241" i="159"/>
  <c r="N241" i="159"/>
  <c r="M241" i="159"/>
  <c r="L241" i="159"/>
  <c r="H241" i="159"/>
  <c r="A241" i="159"/>
  <c r="P240" i="159"/>
  <c r="N240" i="159"/>
  <c r="M240" i="159"/>
  <c r="L240" i="159"/>
  <c r="H240" i="159"/>
  <c r="A240" i="159"/>
  <c r="P239" i="159"/>
  <c r="N239" i="159"/>
  <c r="M239" i="159"/>
  <c r="L239" i="159"/>
  <c r="H239" i="159"/>
  <c r="A239" i="159"/>
  <c r="P238" i="159"/>
  <c r="N238" i="159"/>
  <c r="M238" i="159"/>
  <c r="L238" i="159"/>
  <c r="H238" i="159"/>
  <c r="A238" i="159"/>
  <c r="P237" i="159"/>
  <c r="N237" i="159"/>
  <c r="M237" i="159"/>
  <c r="L237" i="159"/>
  <c r="H237" i="159"/>
  <c r="A237" i="159"/>
  <c r="P236" i="159"/>
  <c r="N236" i="159"/>
  <c r="M236" i="159"/>
  <c r="L236" i="159"/>
  <c r="H236" i="159"/>
  <c r="A236" i="159"/>
  <c r="P235" i="159"/>
  <c r="N235" i="159"/>
  <c r="M235" i="159"/>
  <c r="L235" i="159"/>
  <c r="H235" i="159"/>
  <c r="A235" i="159"/>
  <c r="P234" i="159"/>
  <c r="N234" i="159"/>
  <c r="M234" i="159"/>
  <c r="L234" i="159"/>
  <c r="H234" i="159"/>
  <c r="A234" i="159"/>
  <c r="P233" i="159"/>
  <c r="N233" i="159"/>
  <c r="M233" i="159"/>
  <c r="L233" i="159"/>
  <c r="H233" i="159"/>
  <c r="A233" i="159"/>
  <c r="P232" i="159"/>
  <c r="N232" i="159"/>
  <c r="M232" i="159"/>
  <c r="L232" i="159"/>
  <c r="H232" i="159"/>
  <c r="A232" i="159"/>
  <c r="P231" i="159"/>
  <c r="N231" i="159"/>
  <c r="M231" i="159"/>
  <c r="L231" i="159"/>
  <c r="H231" i="159"/>
  <c r="A231" i="159"/>
  <c r="P230" i="159"/>
  <c r="N230" i="159"/>
  <c r="M230" i="159"/>
  <c r="L230" i="159"/>
  <c r="H230" i="159"/>
  <c r="A230" i="159"/>
  <c r="P229" i="159"/>
  <c r="N229" i="159"/>
  <c r="M229" i="159"/>
  <c r="L229" i="159"/>
  <c r="H229" i="159"/>
  <c r="A229" i="159"/>
  <c r="P228" i="159"/>
  <c r="N228" i="159"/>
  <c r="M228" i="159"/>
  <c r="L228" i="159"/>
  <c r="H228" i="159"/>
  <c r="A228" i="159"/>
  <c r="P227" i="159"/>
  <c r="N227" i="159"/>
  <c r="M227" i="159"/>
  <c r="L227" i="159"/>
  <c r="H227" i="159"/>
  <c r="A227" i="159"/>
  <c r="P226" i="159"/>
  <c r="N226" i="159"/>
  <c r="M226" i="159"/>
  <c r="L226" i="159"/>
  <c r="H226" i="159"/>
  <c r="A226" i="159"/>
  <c r="P225" i="159"/>
  <c r="N225" i="159"/>
  <c r="M225" i="159"/>
  <c r="L225" i="159"/>
  <c r="H225" i="159"/>
  <c r="A225" i="159"/>
  <c r="P224" i="159"/>
  <c r="N224" i="159"/>
  <c r="M224" i="159"/>
  <c r="L224" i="159"/>
  <c r="H224" i="159"/>
  <c r="A224" i="159"/>
  <c r="P223" i="159"/>
  <c r="N223" i="159"/>
  <c r="M223" i="159"/>
  <c r="L223" i="159"/>
  <c r="H223" i="159"/>
  <c r="A223" i="159"/>
  <c r="P222" i="159"/>
  <c r="N222" i="159"/>
  <c r="M222" i="159"/>
  <c r="L222" i="159"/>
  <c r="H222" i="159"/>
  <c r="A222" i="159"/>
  <c r="P221" i="159"/>
  <c r="N221" i="159"/>
  <c r="M221" i="159"/>
  <c r="L221" i="159"/>
  <c r="H221" i="159"/>
  <c r="A221" i="159"/>
  <c r="P220" i="159"/>
  <c r="N220" i="159"/>
  <c r="M220" i="159"/>
  <c r="L220" i="159"/>
  <c r="H220" i="159"/>
  <c r="A220" i="159"/>
  <c r="P219" i="159"/>
  <c r="N219" i="159"/>
  <c r="M219" i="159"/>
  <c r="L219" i="159"/>
  <c r="H219" i="159"/>
  <c r="A219" i="159"/>
  <c r="P218" i="159"/>
  <c r="N218" i="159"/>
  <c r="M218" i="159"/>
  <c r="L218" i="159"/>
  <c r="H218" i="159"/>
  <c r="A218" i="159"/>
  <c r="P217" i="159"/>
  <c r="N217" i="159"/>
  <c r="M217" i="159"/>
  <c r="L217" i="159"/>
  <c r="H217" i="159"/>
  <c r="A217" i="159"/>
  <c r="P216" i="159"/>
  <c r="N216" i="159"/>
  <c r="M216" i="159"/>
  <c r="L216" i="159"/>
  <c r="H216" i="159"/>
  <c r="A216" i="159"/>
  <c r="P215" i="159"/>
  <c r="N215" i="159"/>
  <c r="M215" i="159"/>
  <c r="L215" i="159"/>
  <c r="H215" i="159"/>
  <c r="A215" i="159"/>
  <c r="P214" i="159"/>
  <c r="N214" i="159"/>
  <c r="M214" i="159"/>
  <c r="L214" i="159"/>
  <c r="H214" i="159"/>
  <c r="A214" i="159"/>
  <c r="P213" i="159"/>
  <c r="N213" i="159"/>
  <c r="M213" i="159"/>
  <c r="L213" i="159"/>
  <c r="H213" i="159"/>
  <c r="A213" i="159"/>
  <c r="P212" i="159"/>
  <c r="N212" i="159"/>
  <c r="M212" i="159"/>
  <c r="L212" i="159"/>
  <c r="H212" i="159"/>
  <c r="A212" i="159"/>
  <c r="P211" i="159"/>
  <c r="N211" i="159"/>
  <c r="M211" i="159"/>
  <c r="L211" i="159"/>
  <c r="H211" i="159"/>
  <c r="A211" i="159"/>
  <c r="P210" i="159"/>
  <c r="N210" i="159"/>
  <c r="M210" i="159"/>
  <c r="L210" i="159"/>
  <c r="H210" i="159"/>
  <c r="A210" i="159"/>
  <c r="P209" i="159"/>
  <c r="N209" i="159"/>
  <c r="M209" i="159"/>
  <c r="L209" i="159"/>
  <c r="H209" i="159"/>
  <c r="A209" i="159"/>
  <c r="P208" i="159"/>
  <c r="N208" i="159"/>
  <c r="M208" i="159"/>
  <c r="L208" i="159"/>
  <c r="H208" i="159"/>
  <c r="A208" i="159"/>
  <c r="P207" i="159"/>
  <c r="N207" i="159"/>
  <c r="M207" i="159"/>
  <c r="L207" i="159"/>
  <c r="H207" i="159"/>
  <c r="A207" i="159"/>
  <c r="P206" i="159"/>
  <c r="N206" i="159"/>
  <c r="M206" i="159"/>
  <c r="L206" i="159"/>
  <c r="H206" i="159"/>
  <c r="A206" i="159"/>
  <c r="P205" i="159"/>
  <c r="N205" i="159"/>
  <c r="M205" i="159"/>
  <c r="L205" i="159"/>
  <c r="H205" i="159"/>
  <c r="A205" i="159"/>
  <c r="P204" i="159"/>
  <c r="N204" i="159"/>
  <c r="M204" i="159"/>
  <c r="L204" i="159"/>
  <c r="H204" i="159"/>
  <c r="A204" i="159"/>
  <c r="P203" i="159"/>
  <c r="N203" i="159"/>
  <c r="M203" i="159"/>
  <c r="L203" i="159"/>
  <c r="H203" i="159"/>
  <c r="A203" i="159"/>
  <c r="P202" i="159"/>
  <c r="N202" i="159"/>
  <c r="M202" i="159"/>
  <c r="L202" i="159"/>
  <c r="H202" i="159"/>
  <c r="A202" i="159"/>
  <c r="P201" i="159"/>
  <c r="N201" i="159"/>
  <c r="M201" i="159"/>
  <c r="L201" i="159"/>
  <c r="H201" i="159"/>
  <c r="A201" i="159"/>
  <c r="P200" i="159"/>
  <c r="N200" i="159"/>
  <c r="M200" i="159"/>
  <c r="L200" i="159"/>
  <c r="H200" i="159"/>
  <c r="A200" i="159"/>
  <c r="P199" i="159"/>
  <c r="N199" i="159"/>
  <c r="M199" i="159"/>
  <c r="L199" i="159"/>
  <c r="H199" i="159"/>
  <c r="A199" i="159"/>
  <c r="P198" i="159"/>
  <c r="N198" i="159"/>
  <c r="M198" i="159"/>
  <c r="L198" i="159"/>
  <c r="H198" i="159"/>
  <c r="A198" i="159"/>
  <c r="P197" i="159"/>
  <c r="N197" i="159"/>
  <c r="M197" i="159"/>
  <c r="L197" i="159"/>
  <c r="H197" i="159"/>
  <c r="A197" i="159"/>
  <c r="P196" i="159"/>
  <c r="N196" i="159"/>
  <c r="M196" i="159"/>
  <c r="L196" i="159"/>
  <c r="H196" i="159"/>
  <c r="A196" i="159"/>
  <c r="P195" i="159"/>
  <c r="N195" i="159"/>
  <c r="M195" i="159"/>
  <c r="L195" i="159"/>
  <c r="H195" i="159"/>
  <c r="A195" i="159"/>
  <c r="P194" i="159"/>
  <c r="N194" i="159"/>
  <c r="M194" i="159"/>
  <c r="L194" i="159"/>
  <c r="H194" i="159"/>
  <c r="A194" i="159"/>
  <c r="P193" i="159"/>
  <c r="N193" i="159"/>
  <c r="M193" i="159"/>
  <c r="L193" i="159"/>
  <c r="H193" i="159"/>
  <c r="A193" i="159"/>
  <c r="P192" i="159"/>
  <c r="N192" i="159"/>
  <c r="M192" i="159"/>
  <c r="L192" i="159"/>
  <c r="H192" i="159"/>
  <c r="A192" i="159"/>
  <c r="P191" i="159"/>
  <c r="N191" i="159"/>
  <c r="M191" i="159"/>
  <c r="L191" i="159"/>
  <c r="H191" i="159"/>
  <c r="A191" i="159"/>
  <c r="P190" i="159"/>
  <c r="N190" i="159"/>
  <c r="M190" i="159"/>
  <c r="L190" i="159"/>
  <c r="H190" i="159"/>
  <c r="A190" i="159"/>
  <c r="P189" i="159"/>
  <c r="N189" i="159"/>
  <c r="M189" i="159"/>
  <c r="L189" i="159"/>
  <c r="H189" i="159"/>
  <c r="A189" i="159"/>
  <c r="P188" i="159"/>
  <c r="N188" i="159"/>
  <c r="M188" i="159"/>
  <c r="L188" i="159"/>
  <c r="H188" i="159"/>
  <c r="A188" i="159"/>
  <c r="P187" i="159"/>
  <c r="N187" i="159"/>
  <c r="M187" i="159"/>
  <c r="L187" i="159"/>
  <c r="H187" i="159"/>
  <c r="A187" i="159"/>
  <c r="P186" i="159"/>
  <c r="N186" i="159"/>
  <c r="M186" i="159"/>
  <c r="L186" i="159"/>
  <c r="H186" i="159"/>
  <c r="A186" i="159"/>
  <c r="P185" i="159"/>
  <c r="N185" i="159"/>
  <c r="M185" i="159"/>
  <c r="L185" i="159"/>
  <c r="H185" i="159"/>
  <c r="A185" i="159"/>
  <c r="P184" i="159"/>
  <c r="N184" i="159"/>
  <c r="M184" i="159"/>
  <c r="L184" i="159"/>
  <c r="H184" i="159"/>
  <c r="A184" i="159"/>
  <c r="P183" i="159"/>
  <c r="N183" i="159"/>
  <c r="M183" i="159"/>
  <c r="L183" i="159"/>
  <c r="H183" i="159"/>
  <c r="A183" i="159"/>
  <c r="P182" i="159"/>
  <c r="N182" i="159"/>
  <c r="M182" i="159"/>
  <c r="L182" i="159"/>
  <c r="H182" i="159"/>
  <c r="A182" i="159"/>
  <c r="P181" i="159"/>
  <c r="N181" i="159"/>
  <c r="M181" i="159"/>
  <c r="L181" i="159"/>
  <c r="H181" i="159"/>
  <c r="A181" i="159"/>
  <c r="P180" i="159"/>
  <c r="N180" i="159"/>
  <c r="M180" i="159"/>
  <c r="L180" i="159"/>
  <c r="H180" i="159"/>
  <c r="A180" i="159"/>
  <c r="P179" i="159"/>
  <c r="N179" i="159"/>
  <c r="M179" i="159"/>
  <c r="L179" i="159"/>
  <c r="H179" i="159"/>
  <c r="A179" i="159"/>
  <c r="P178" i="159"/>
  <c r="N178" i="159"/>
  <c r="M178" i="159"/>
  <c r="L178" i="159"/>
  <c r="H178" i="159"/>
  <c r="A178" i="159"/>
  <c r="P177" i="159"/>
  <c r="N177" i="159"/>
  <c r="M177" i="159"/>
  <c r="L177" i="159"/>
  <c r="H177" i="159"/>
  <c r="A177" i="159"/>
  <c r="P176" i="159"/>
  <c r="N176" i="159"/>
  <c r="M176" i="159"/>
  <c r="L176" i="159"/>
  <c r="H176" i="159"/>
  <c r="A176" i="159"/>
  <c r="P175" i="159"/>
  <c r="N175" i="159"/>
  <c r="M175" i="159"/>
  <c r="L175" i="159"/>
  <c r="H175" i="159"/>
  <c r="A175" i="159"/>
  <c r="P174" i="159"/>
  <c r="N174" i="159"/>
  <c r="M174" i="159"/>
  <c r="L174" i="159"/>
  <c r="H174" i="159"/>
  <c r="A174" i="159"/>
  <c r="P173" i="159"/>
  <c r="N173" i="159"/>
  <c r="M173" i="159"/>
  <c r="L173" i="159"/>
  <c r="H173" i="159"/>
  <c r="A173" i="159"/>
  <c r="P172" i="159"/>
  <c r="N172" i="159"/>
  <c r="M172" i="159"/>
  <c r="L172" i="159"/>
  <c r="H172" i="159"/>
  <c r="A172" i="159"/>
  <c r="P171" i="159"/>
  <c r="N171" i="159"/>
  <c r="M171" i="159"/>
  <c r="L171" i="159"/>
  <c r="H171" i="159"/>
  <c r="A171" i="159"/>
  <c r="P170" i="159"/>
  <c r="N170" i="159"/>
  <c r="M170" i="159"/>
  <c r="L170" i="159"/>
  <c r="H170" i="159"/>
  <c r="A170" i="159"/>
  <c r="P169" i="159"/>
  <c r="N169" i="159"/>
  <c r="M169" i="159"/>
  <c r="L169" i="159"/>
  <c r="H169" i="159"/>
  <c r="A169" i="159"/>
  <c r="P168" i="159"/>
  <c r="N168" i="159"/>
  <c r="M168" i="159"/>
  <c r="L168" i="159"/>
  <c r="H168" i="159"/>
  <c r="A168" i="159"/>
  <c r="P167" i="159"/>
  <c r="N167" i="159"/>
  <c r="M167" i="159"/>
  <c r="L167" i="159"/>
  <c r="H167" i="159"/>
  <c r="A167" i="159"/>
  <c r="P166" i="159"/>
  <c r="N166" i="159"/>
  <c r="M166" i="159"/>
  <c r="L166" i="159"/>
  <c r="H166" i="159"/>
  <c r="A166" i="159"/>
  <c r="P165" i="159"/>
  <c r="N165" i="159"/>
  <c r="M165" i="159"/>
  <c r="L165" i="159"/>
  <c r="H165" i="159"/>
  <c r="A165" i="159"/>
  <c r="P164" i="159"/>
  <c r="N164" i="159"/>
  <c r="M164" i="159"/>
  <c r="L164" i="159"/>
  <c r="H164" i="159"/>
  <c r="A164" i="159"/>
  <c r="P163" i="159"/>
  <c r="N163" i="159"/>
  <c r="M163" i="159"/>
  <c r="L163" i="159"/>
  <c r="H163" i="159"/>
  <c r="A163" i="159"/>
  <c r="P162" i="159"/>
  <c r="N162" i="159"/>
  <c r="M162" i="159"/>
  <c r="L162" i="159"/>
  <c r="H162" i="159"/>
  <c r="A162" i="159"/>
  <c r="P161" i="159"/>
  <c r="N161" i="159"/>
  <c r="M161" i="159"/>
  <c r="L161" i="159"/>
  <c r="H161" i="159"/>
  <c r="A161" i="159"/>
  <c r="P160" i="159"/>
  <c r="N160" i="159"/>
  <c r="M160" i="159"/>
  <c r="L160" i="159"/>
  <c r="H160" i="159"/>
  <c r="A160" i="159"/>
  <c r="P159" i="159"/>
  <c r="N159" i="159"/>
  <c r="M159" i="159"/>
  <c r="L159" i="159"/>
  <c r="H159" i="159"/>
  <c r="A159" i="159"/>
  <c r="P158" i="159"/>
  <c r="N158" i="159"/>
  <c r="M158" i="159"/>
  <c r="L158" i="159"/>
  <c r="H158" i="159"/>
  <c r="A158" i="159"/>
  <c r="P157" i="159"/>
  <c r="N157" i="159"/>
  <c r="M157" i="159"/>
  <c r="L157" i="159"/>
  <c r="H157" i="159"/>
  <c r="A157" i="159"/>
  <c r="P156" i="159"/>
  <c r="N156" i="159"/>
  <c r="M156" i="159"/>
  <c r="L156" i="159"/>
  <c r="H156" i="159"/>
  <c r="A156" i="159"/>
  <c r="P155" i="159"/>
  <c r="N155" i="159"/>
  <c r="M155" i="159"/>
  <c r="L155" i="159"/>
  <c r="H155" i="159"/>
  <c r="A155" i="159"/>
  <c r="P154" i="159"/>
  <c r="N154" i="159"/>
  <c r="M154" i="159"/>
  <c r="L154" i="159"/>
  <c r="H154" i="159"/>
  <c r="A154" i="159"/>
  <c r="P153" i="159"/>
  <c r="N153" i="159"/>
  <c r="M153" i="159"/>
  <c r="L153" i="159"/>
  <c r="H153" i="159"/>
  <c r="A153" i="159"/>
  <c r="P152" i="159"/>
  <c r="N152" i="159"/>
  <c r="M152" i="159"/>
  <c r="L152" i="159"/>
  <c r="H152" i="159"/>
  <c r="A152" i="159"/>
  <c r="P151" i="159"/>
  <c r="N151" i="159"/>
  <c r="M151" i="159"/>
  <c r="L151" i="159"/>
  <c r="H151" i="159"/>
  <c r="A151" i="159"/>
  <c r="P150" i="159"/>
  <c r="N150" i="159"/>
  <c r="M150" i="159"/>
  <c r="L150" i="159"/>
  <c r="H150" i="159"/>
  <c r="A150" i="159"/>
  <c r="P149" i="159"/>
  <c r="N149" i="159"/>
  <c r="M149" i="159"/>
  <c r="L149" i="159"/>
  <c r="H149" i="159"/>
  <c r="A149" i="159"/>
  <c r="P148" i="159"/>
  <c r="N148" i="159"/>
  <c r="M148" i="159"/>
  <c r="L148" i="159"/>
  <c r="H148" i="159"/>
  <c r="A148" i="159"/>
  <c r="P147" i="159"/>
  <c r="N147" i="159"/>
  <c r="M147" i="159"/>
  <c r="L147" i="159"/>
  <c r="H147" i="159"/>
  <c r="A147" i="159"/>
  <c r="P146" i="159"/>
  <c r="N146" i="159"/>
  <c r="M146" i="159"/>
  <c r="L146" i="159"/>
  <c r="H146" i="159"/>
  <c r="A146" i="159"/>
  <c r="P145" i="159"/>
  <c r="N145" i="159"/>
  <c r="M145" i="159"/>
  <c r="L145" i="159"/>
  <c r="H145" i="159"/>
  <c r="A145" i="159"/>
  <c r="P144" i="159"/>
  <c r="N144" i="159"/>
  <c r="M144" i="159"/>
  <c r="L144" i="159"/>
  <c r="H144" i="159"/>
  <c r="A144" i="159"/>
  <c r="P143" i="159"/>
  <c r="N143" i="159"/>
  <c r="M143" i="159"/>
  <c r="L143" i="159"/>
  <c r="H143" i="159"/>
  <c r="A143" i="159"/>
  <c r="P142" i="159"/>
  <c r="N142" i="159"/>
  <c r="M142" i="159"/>
  <c r="L142" i="159"/>
  <c r="H142" i="159"/>
  <c r="A142" i="159"/>
  <c r="P141" i="159"/>
  <c r="N141" i="159"/>
  <c r="M141" i="159"/>
  <c r="L141" i="159"/>
  <c r="H141" i="159"/>
  <c r="A141" i="159"/>
  <c r="P140" i="159"/>
  <c r="N140" i="159"/>
  <c r="M140" i="159"/>
  <c r="L140" i="159"/>
  <c r="H140" i="159"/>
  <c r="A140" i="159"/>
  <c r="P139" i="159"/>
  <c r="N139" i="159"/>
  <c r="M139" i="159"/>
  <c r="L139" i="159"/>
  <c r="H139" i="159"/>
  <c r="A139" i="159"/>
  <c r="P138" i="159"/>
  <c r="N138" i="159"/>
  <c r="M138" i="159"/>
  <c r="L138" i="159"/>
  <c r="H138" i="159"/>
  <c r="A138" i="159"/>
  <c r="P137" i="159"/>
  <c r="N137" i="159"/>
  <c r="M137" i="159"/>
  <c r="L137" i="159"/>
  <c r="H137" i="159"/>
  <c r="A137" i="159"/>
  <c r="P136" i="159"/>
  <c r="N136" i="159"/>
  <c r="M136" i="159"/>
  <c r="L136" i="159"/>
  <c r="H136" i="159"/>
  <c r="A136" i="159"/>
  <c r="P135" i="159"/>
  <c r="N135" i="159"/>
  <c r="M135" i="159"/>
  <c r="L135" i="159"/>
  <c r="H135" i="159"/>
  <c r="A135" i="159"/>
  <c r="P134" i="159"/>
  <c r="N134" i="159"/>
  <c r="M134" i="159"/>
  <c r="L134" i="159"/>
  <c r="H134" i="159"/>
  <c r="A134" i="159"/>
  <c r="P133" i="159"/>
  <c r="N133" i="159"/>
  <c r="M133" i="159"/>
  <c r="L133" i="159"/>
  <c r="H133" i="159"/>
  <c r="A133" i="159"/>
  <c r="P132" i="159"/>
  <c r="N132" i="159"/>
  <c r="M132" i="159"/>
  <c r="L132" i="159"/>
  <c r="H132" i="159"/>
  <c r="A132" i="159"/>
  <c r="P131" i="159"/>
  <c r="N131" i="159"/>
  <c r="M131" i="159"/>
  <c r="L131" i="159"/>
  <c r="H131" i="159"/>
  <c r="A131" i="159"/>
  <c r="P130" i="159"/>
  <c r="N130" i="159"/>
  <c r="M130" i="159"/>
  <c r="L130" i="159"/>
  <c r="H130" i="159"/>
  <c r="A130" i="159"/>
  <c r="P129" i="159"/>
  <c r="N129" i="159"/>
  <c r="M129" i="159"/>
  <c r="L129" i="159"/>
  <c r="H129" i="159"/>
  <c r="A129" i="159"/>
  <c r="P128" i="159"/>
  <c r="N128" i="159"/>
  <c r="M128" i="159"/>
  <c r="L128" i="159"/>
  <c r="H128" i="159"/>
  <c r="A128" i="159"/>
  <c r="P127" i="159"/>
  <c r="N127" i="159"/>
  <c r="M127" i="159"/>
  <c r="L127" i="159"/>
  <c r="H127" i="159"/>
  <c r="A127" i="159"/>
  <c r="P126" i="159"/>
  <c r="N126" i="159"/>
  <c r="M126" i="159"/>
  <c r="L126" i="159"/>
  <c r="H126" i="159"/>
  <c r="A126" i="159"/>
  <c r="P125" i="159"/>
  <c r="N125" i="159"/>
  <c r="M125" i="159"/>
  <c r="L125" i="159"/>
  <c r="H125" i="159"/>
  <c r="A125" i="159"/>
  <c r="P124" i="159"/>
  <c r="N124" i="159"/>
  <c r="M124" i="159"/>
  <c r="L124" i="159"/>
  <c r="H124" i="159"/>
  <c r="A124" i="159"/>
  <c r="P123" i="159"/>
  <c r="N123" i="159"/>
  <c r="M123" i="159"/>
  <c r="L123" i="159"/>
  <c r="H123" i="159"/>
  <c r="A123" i="159"/>
  <c r="P122" i="159"/>
  <c r="N122" i="159"/>
  <c r="M122" i="159"/>
  <c r="L122" i="159"/>
  <c r="H122" i="159"/>
  <c r="A122" i="159"/>
  <c r="P121" i="159"/>
  <c r="N121" i="159"/>
  <c r="M121" i="159"/>
  <c r="L121" i="159"/>
  <c r="H121" i="159"/>
  <c r="A121" i="159"/>
  <c r="P120" i="159"/>
  <c r="N120" i="159"/>
  <c r="M120" i="159"/>
  <c r="L120" i="159"/>
  <c r="H120" i="159"/>
  <c r="A120" i="159"/>
  <c r="P119" i="159"/>
  <c r="N119" i="159"/>
  <c r="M119" i="159"/>
  <c r="L119" i="159"/>
  <c r="H119" i="159"/>
  <c r="A119" i="159"/>
  <c r="P118" i="159"/>
  <c r="N118" i="159"/>
  <c r="M118" i="159"/>
  <c r="L118" i="159"/>
  <c r="H118" i="159"/>
  <c r="A118" i="159"/>
  <c r="P117" i="159"/>
  <c r="N117" i="159"/>
  <c r="M117" i="159"/>
  <c r="L117" i="159"/>
  <c r="H117" i="159"/>
  <c r="A117" i="159"/>
  <c r="P116" i="159"/>
  <c r="N116" i="159"/>
  <c r="M116" i="159"/>
  <c r="L116" i="159"/>
  <c r="H116" i="159"/>
  <c r="A116" i="159"/>
  <c r="P115" i="159"/>
  <c r="N115" i="159"/>
  <c r="M115" i="159"/>
  <c r="L115" i="159"/>
  <c r="H115" i="159"/>
  <c r="A115" i="159"/>
  <c r="P114" i="159"/>
  <c r="N114" i="159"/>
  <c r="M114" i="159"/>
  <c r="L114" i="159"/>
  <c r="H114" i="159"/>
  <c r="A114" i="159"/>
  <c r="P113" i="159"/>
  <c r="N113" i="159"/>
  <c r="M113" i="159"/>
  <c r="L113" i="159"/>
  <c r="H113" i="159"/>
  <c r="A113" i="159"/>
  <c r="P112" i="159"/>
  <c r="N112" i="159"/>
  <c r="M112" i="159"/>
  <c r="L112" i="159"/>
  <c r="H112" i="159"/>
  <c r="A112" i="159"/>
  <c r="P111" i="159"/>
  <c r="N111" i="159"/>
  <c r="M111" i="159"/>
  <c r="L111" i="159"/>
  <c r="H111" i="159"/>
  <c r="A111" i="159"/>
  <c r="P110" i="159"/>
  <c r="N110" i="159"/>
  <c r="M110" i="159"/>
  <c r="L110" i="159"/>
  <c r="H110" i="159"/>
  <c r="A110" i="159"/>
  <c r="P109" i="159"/>
  <c r="N109" i="159"/>
  <c r="M109" i="159"/>
  <c r="L109" i="159"/>
  <c r="H109" i="159"/>
  <c r="A109" i="159"/>
  <c r="P108" i="159"/>
  <c r="N108" i="159"/>
  <c r="M108" i="159"/>
  <c r="L108" i="159"/>
  <c r="H108" i="159"/>
  <c r="A108" i="159"/>
  <c r="P107" i="159"/>
  <c r="N107" i="159"/>
  <c r="M107" i="159"/>
  <c r="L107" i="159"/>
  <c r="H107" i="159"/>
  <c r="A107" i="159"/>
  <c r="P106" i="159"/>
  <c r="N106" i="159"/>
  <c r="M106" i="159"/>
  <c r="L106" i="159"/>
  <c r="H106" i="159"/>
  <c r="A106" i="159"/>
  <c r="P105" i="159"/>
  <c r="N105" i="159"/>
  <c r="M105" i="159"/>
  <c r="L105" i="159"/>
  <c r="H105" i="159"/>
  <c r="A105" i="159"/>
  <c r="P104" i="159"/>
  <c r="N104" i="159"/>
  <c r="M104" i="159"/>
  <c r="L104" i="159"/>
  <c r="H104" i="159"/>
  <c r="A104" i="159"/>
  <c r="P103" i="159"/>
  <c r="N103" i="159"/>
  <c r="M103" i="159"/>
  <c r="L103" i="159"/>
  <c r="H103" i="159"/>
  <c r="A103" i="159"/>
  <c r="P102" i="159"/>
  <c r="N102" i="159"/>
  <c r="M102" i="159"/>
  <c r="L102" i="159"/>
  <c r="H102" i="159"/>
  <c r="A102" i="159"/>
  <c r="P101" i="159"/>
  <c r="N101" i="159"/>
  <c r="M101" i="159"/>
  <c r="L101" i="159"/>
  <c r="H101" i="159"/>
  <c r="A101" i="159"/>
  <c r="P100" i="159"/>
  <c r="N100" i="159"/>
  <c r="M100" i="159"/>
  <c r="L100" i="159"/>
  <c r="H100" i="159"/>
  <c r="A100" i="159"/>
  <c r="P99" i="159"/>
  <c r="N99" i="159"/>
  <c r="M99" i="159"/>
  <c r="L99" i="159"/>
  <c r="H99" i="159"/>
  <c r="A99" i="159"/>
  <c r="P98" i="159"/>
  <c r="N98" i="159"/>
  <c r="M98" i="159"/>
  <c r="L98" i="159"/>
  <c r="H98" i="159"/>
  <c r="A98" i="159"/>
  <c r="P97" i="159"/>
  <c r="N97" i="159"/>
  <c r="M97" i="159"/>
  <c r="L97" i="159"/>
  <c r="H97" i="159"/>
  <c r="A97" i="159"/>
  <c r="P96" i="159"/>
  <c r="N96" i="159"/>
  <c r="M96" i="159"/>
  <c r="L96" i="159"/>
  <c r="H96" i="159"/>
  <c r="A96" i="159"/>
  <c r="P95" i="159"/>
  <c r="N95" i="159"/>
  <c r="M95" i="159"/>
  <c r="L95" i="159"/>
  <c r="H95" i="159"/>
  <c r="A95" i="159"/>
  <c r="P94" i="159"/>
  <c r="N94" i="159"/>
  <c r="M94" i="159"/>
  <c r="L94" i="159"/>
  <c r="H94" i="159"/>
  <c r="A94" i="159"/>
  <c r="P93" i="159"/>
  <c r="N93" i="159"/>
  <c r="M93" i="159"/>
  <c r="L93" i="159"/>
  <c r="H93" i="159"/>
  <c r="A93" i="159"/>
  <c r="P92" i="159"/>
  <c r="N92" i="159"/>
  <c r="M92" i="159"/>
  <c r="L92" i="159"/>
  <c r="H92" i="159"/>
  <c r="A92" i="159"/>
  <c r="P91" i="159"/>
  <c r="N91" i="159"/>
  <c r="M91" i="159"/>
  <c r="L91" i="159"/>
  <c r="H91" i="159"/>
  <c r="A91" i="159"/>
  <c r="P90" i="159"/>
  <c r="N90" i="159"/>
  <c r="M90" i="159"/>
  <c r="L90" i="159"/>
  <c r="H90" i="159"/>
  <c r="A90" i="159"/>
  <c r="P89" i="159"/>
  <c r="N89" i="159"/>
  <c r="M89" i="159"/>
  <c r="L89" i="159"/>
  <c r="H89" i="159"/>
  <c r="A89" i="159"/>
  <c r="P88" i="159"/>
  <c r="N88" i="159"/>
  <c r="M88" i="159"/>
  <c r="L88" i="159"/>
  <c r="H88" i="159"/>
  <c r="A88" i="159"/>
  <c r="P87" i="159"/>
  <c r="N87" i="159"/>
  <c r="M87" i="159"/>
  <c r="L87" i="159"/>
  <c r="H87" i="159"/>
  <c r="A87" i="159"/>
  <c r="P86" i="159"/>
  <c r="N86" i="159"/>
  <c r="M86" i="159"/>
  <c r="L86" i="159"/>
  <c r="H86" i="159"/>
  <c r="A86" i="159"/>
  <c r="P85" i="159"/>
  <c r="N85" i="159"/>
  <c r="M85" i="159"/>
  <c r="L85" i="159"/>
  <c r="H85" i="159"/>
  <c r="A85" i="159"/>
  <c r="P84" i="159"/>
  <c r="N84" i="159"/>
  <c r="M84" i="159"/>
  <c r="L84" i="159"/>
  <c r="H84" i="159"/>
  <c r="A84" i="159"/>
  <c r="P83" i="159"/>
  <c r="N83" i="159"/>
  <c r="M83" i="159"/>
  <c r="L83" i="159"/>
  <c r="H83" i="159"/>
  <c r="A83" i="159"/>
  <c r="P82" i="159"/>
  <c r="N82" i="159"/>
  <c r="M82" i="159"/>
  <c r="L82" i="159"/>
  <c r="H82" i="159"/>
  <c r="A82" i="159"/>
  <c r="P81" i="159"/>
  <c r="N81" i="159"/>
  <c r="M81" i="159"/>
  <c r="L81" i="159"/>
  <c r="H81" i="159"/>
  <c r="A81" i="159"/>
  <c r="P80" i="159"/>
  <c r="N80" i="159"/>
  <c r="M80" i="159"/>
  <c r="L80" i="159"/>
  <c r="H80" i="159"/>
  <c r="A80" i="159"/>
  <c r="P79" i="159"/>
  <c r="N79" i="159"/>
  <c r="M79" i="159"/>
  <c r="L79" i="159"/>
  <c r="H79" i="159"/>
  <c r="A79" i="159"/>
  <c r="P78" i="159"/>
  <c r="N78" i="159"/>
  <c r="M78" i="159"/>
  <c r="L78" i="159"/>
  <c r="H78" i="159"/>
  <c r="A78" i="159"/>
  <c r="P77" i="159"/>
  <c r="N77" i="159"/>
  <c r="M77" i="159"/>
  <c r="L77" i="159"/>
  <c r="H77" i="159"/>
  <c r="A77" i="159"/>
  <c r="P76" i="159"/>
  <c r="N76" i="159"/>
  <c r="M76" i="159"/>
  <c r="L76" i="159"/>
  <c r="H76" i="159"/>
  <c r="A76" i="159"/>
  <c r="P75" i="159"/>
  <c r="N75" i="159"/>
  <c r="M75" i="159"/>
  <c r="L75" i="159"/>
  <c r="H75" i="159"/>
  <c r="A75" i="159"/>
  <c r="P74" i="159"/>
  <c r="N74" i="159"/>
  <c r="M74" i="159"/>
  <c r="L74" i="159"/>
  <c r="H74" i="159"/>
  <c r="A74" i="159"/>
  <c r="P73" i="159"/>
  <c r="N73" i="159"/>
  <c r="M73" i="159"/>
  <c r="L73" i="159"/>
  <c r="H73" i="159"/>
  <c r="A73" i="159"/>
  <c r="P72" i="159"/>
  <c r="N72" i="159"/>
  <c r="M72" i="159"/>
  <c r="L72" i="159"/>
  <c r="H72" i="159"/>
  <c r="A72" i="159"/>
  <c r="P71" i="159"/>
  <c r="N71" i="159"/>
  <c r="M71" i="159"/>
  <c r="L71" i="159"/>
  <c r="H71" i="159"/>
  <c r="A71" i="159"/>
  <c r="P70" i="159"/>
  <c r="N70" i="159"/>
  <c r="M70" i="159"/>
  <c r="L70" i="159"/>
  <c r="H70" i="159"/>
  <c r="A70" i="159"/>
  <c r="P69" i="159"/>
  <c r="N69" i="159"/>
  <c r="M69" i="159"/>
  <c r="L69" i="159"/>
  <c r="H69" i="159"/>
  <c r="A69" i="159"/>
  <c r="P68" i="159"/>
  <c r="N68" i="159"/>
  <c r="M68" i="159"/>
  <c r="L68" i="159"/>
  <c r="H68" i="159"/>
  <c r="A68" i="159"/>
  <c r="P67" i="159"/>
  <c r="N67" i="159"/>
  <c r="M67" i="159"/>
  <c r="L67" i="159"/>
  <c r="H67" i="159"/>
  <c r="A67" i="159"/>
  <c r="P66" i="159"/>
  <c r="N66" i="159"/>
  <c r="M66" i="159"/>
  <c r="L66" i="159"/>
  <c r="H66" i="159"/>
  <c r="A66" i="159"/>
  <c r="P65" i="159"/>
  <c r="N65" i="159"/>
  <c r="M65" i="159"/>
  <c r="L65" i="159"/>
  <c r="H65" i="159"/>
  <c r="A65" i="159"/>
  <c r="P64" i="159"/>
  <c r="N64" i="159"/>
  <c r="M64" i="159"/>
  <c r="L64" i="159"/>
  <c r="H64" i="159"/>
  <c r="A64" i="159"/>
  <c r="P63" i="159"/>
  <c r="N63" i="159"/>
  <c r="M63" i="159"/>
  <c r="L63" i="159"/>
  <c r="H63" i="159"/>
  <c r="A63" i="159"/>
  <c r="P62" i="159"/>
  <c r="N62" i="159"/>
  <c r="M62" i="159"/>
  <c r="L62" i="159"/>
  <c r="H62" i="159"/>
  <c r="A62" i="159"/>
  <c r="P61" i="159"/>
  <c r="N61" i="159"/>
  <c r="M61" i="159"/>
  <c r="L61" i="159"/>
  <c r="H61" i="159"/>
  <c r="A61" i="159"/>
  <c r="P60" i="159"/>
  <c r="N60" i="159"/>
  <c r="M60" i="159"/>
  <c r="L60" i="159"/>
  <c r="H60" i="159"/>
  <c r="A60" i="159"/>
  <c r="P59" i="159"/>
  <c r="N59" i="159"/>
  <c r="M59" i="159"/>
  <c r="L59" i="159"/>
  <c r="H59" i="159"/>
  <c r="A59" i="159"/>
  <c r="P58" i="159"/>
  <c r="N58" i="159"/>
  <c r="M58" i="159"/>
  <c r="L58" i="159"/>
  <c r="H58" i="159"/>
  <c r="A58" i="159"/>
  <c r="P57" i="159"/>
  <c r="N57" i="159"/>
  <c r="M57" i="159"/>
  <c r="L57" i="159"/>
  <c r="H57" i="159"/>
  <c r="A57" i="159"/>
  <c r="P56" i="159"/>
  <c r="N56" i="159"/>
  <c r="M56" i="159"/>
  <c r="L56" i="159"/>
  <c r="H56" i="159"/>
  <c r="A56" i="159"/>
  <c r="P55" i="159"/>
  <c r="N55" i="159"/>
  <c r="M55" i="159"/>
  <c r="L55" i="159"/>
  <c r="H55" i="159"/>
  <c r="A55" i="159"/>
  <c r="P54" i="159"/>
  <c r="N54" i="159"/>
  <c r="M54" i="159"/>
  <c r="L54" i="159"/>
  <c r="H54" i="159"/>
  <c r="A54" i="159"/>
  <c r="P53" i="159"/>
  <c r="N53" i="159"/>
  <c r="M53" i="159"/>
  <c r="L53" i="159"/>
  <c r="H53" i="159"/>
  <c r="A53" i="159"/>
  <c r="P52" i="159"/>
  <c r="N52" i="159"/>
  <c r="M52" i="159"/>
  <c r="L52" i="159"/>
  <c r="H52" i="159"/>
  <c r="A52" i="159"/>
  <c r="P51" i="159"/>
  <c r="N51" i="159"/>
  <c r="M51" i="159"/>
  <c r="L51" i="159"/>
  <c r="H51" i="159"/>
  <c r="A51" i="159"/>
  <c r="P50" i="159"/>
  <c r="N50" i="159"/>
  <c r="M50" i="159"/>
  <c r="L50" i="159"/>
  <c r="H50" i="159"/>
  <c r="A50" i="159"/>
  <c r="P49" i="159"/>
  <c r="N49" i="159"/>
  <c r="M49" i="159"/>
  <c r="L49" i="159"/>
  <c r="H49" i="159"/>
  <c r="A49" i="159"/>
  <c r="P48" i="159"/>
  <c r="N48" i="159"/>
  <c r="M48" i="159"/>
  <c r="L48" i="159"/>
  <c r="H48" i="159"/>
  <c r="A48" i="159"/>
  <c r="P47" i="159"/>
  <c r="N47" i="159"/>
  <c r="M47" i="159"/>
  <c r="L47" i="159"/>
  <c r="H47" i="159"/>
  <c r="A47" i="159"/>
  <c r="P46" i="159"/>
  <c r="N46" i="159"/>
  <c r="M46" i="159"/>
  <c r="L46" i="159"/>
  <c r="H46" i="159"/>
  <c r="A46" i="159"/>
  <c r="P45" i="159"/>
  <c r="N45" i="159"/>
  <c r="M45" i="159"/>
  <c r="L45" i="159"/>
  <c r="H45" i="159"/>
  <c r="A45" i="159"/>
  <c r="P44" i="159"/>
  <c r="N44" i="159"/>
  <c r="M44" i="159"/>
  <c r="L44" i="159"/>
  <c r="H44" i="159"/>
  <c r="A44" i="159"/>
  <c r="P43" i="159"/>
  <c r="N43" i="159"/>
  <c r="M43" i="159"/>
  <c r="L43" i="159"/>
  <c r="H43" i="159"/>
  <c r="A43" i="159"/>
  <c r="P42" i="159"/>
  <c r="N42" i="159"/>
  <c r="M42" i="159"/>
  <c r="L42" i="159"/>
  <c r="H42" i="159"/>
  <c r="A42" i="159"/>
  <c r="P41" i="159"/>
  <c r="N41" i="159"/>
  <c r="M41" i="159"/>
  <c r="L41" i="159"/>
  <c r="H41" i="159"/>
  <c r="A41" i="159"/>
  <c r="P40" i="159"/>
  <c r="N40" i="159"/>
  <c r="M40" i="159"/>
  <c r="L40" i="159"/>
  <c r="H40" i="159"/>
  <c r="A40" i="159"/>
  <c r="P39" i="159"/>
  <c r="N39" i="159"/>
  <c r="M39" i="159"/>
  <c r="L39" i="159"/>
  <c r="H39" i="159"/>
  <c r="A39" i="159"/>
  <c r="P38" i="159"/>
  <c r="N38" i="159"/>
  <c r="M38" i="159"/>
  <c r="L38" i="159"/>
  <c r="H38" i="159"/>
  <c r="A38" i="159"/>
  <c r="P37" i="159"/>
  <c r="N37" i="159"/>
  <c r="M37" i="159"/>
  <c r="L37" i="159"/>
  <c r="H37" i="159"/>
  <c r="A37" i="159"/>
  <c r="P36" i="159"/>
  <c r="N36" i="159"/>
  <c r="M36" i="159"/>
  <c r="L36" i="159"/>
  <c r="H36" i="159"/>
  <c r="A36" i="159"/>
  <c r="P35" i="159"/>
  <c r="N35" i="159"/>
  <c r="M35" i="159"/>
  <c r="L35" i="159"/>
  <c r="H35" i="159"/>
  <c r="A35" i="159"/>
  <c r="P34" i="159"/>
  <c r="N34" i="159"/>
  <c r="M34" i="159"/>
  <c r="L34" i="159"/>
  <c r="H34" i="159"/>
  <c r="A34" i="159"/>
  <c r="P33" i="159"/>
  <c r="N33" i="159"/>
  <c r="M33" i="159"/>
  <c r="L33" i="159"/>
  <c r="H33" i="159"/>
  <c r="A33" i="159"/>
  <c r="P32" i="159"/>
  <c r="N32" i="159"/>
  <c r="M32" i="159"/>
  <c r="L32" i="159"/>
  <c r="H32" i="159"/>
  <c r="A32" i="159"/>
  <c r="P31" i="159"/>
  <c r="N31" i="159"/>
  <c r="M31" i="159"/>
  <c r="L31" i="159"/>
  <c r="H31" i="159"/>
  <c r="A31" i="159"/>
  <c r="P30" i="159"/>
  <c r="N30" i="159"/>
  <c r="M30" i="159"/>
  <c r="L30" i="159"/>
  <c r="H30" i="159"/>
  <c r="A30" i="159"/>
  <c r="P29" i="159"/>
  <c r="N29" i="159"/>
  <c r="M29" i="159"/>
  <c r="L29" i="159"/>
  <c r="H29" i="159"/>
  <c r="A29" i="159"/>
  <c r="P28" i="159"/>
  <c r="N28" i="159"/>
  <c r="M28" i="159"/>
  <c r="L28" i="159"/>
  <c r="H28" i="159"/>
  <c r="A28" i="159"/>
  <c r="P27" i="159"/>
  <c r="N27" i="159"/>
  <c r="M27" i="159"/>
  <c r="L27" i="159"/>
  <c r="H27" i="159"/>
  <c r="A27" i="159"/>
  <c r="P26" i="159"/>
  <c r="N26" i="159"/>
  <c r="M26" i="159"/>
  <c r="L26" i="159"/>
  <c r="H26" i="159"/>
  <c r="A26" i="159"/>
  <c r="P25" i="159"/>
  <c r="N25" i="159"/>
  <c r="M25" i="159"/>
  <c r="L25" i="159"/>
  <c r="H25" i="159"/>
  <c r="A25" i="159"/>
  <c r="P24" i="159"/>
  <c r="N24" i="159"/>
  <c r="M24" i="159"/>
  <c r="L24" i="159"/>
  <c r="H24" i="159"/>
  <c r="A24" i="159"/>
  <c r="P23" i="159"/>
  <c r="N23" i="159"/>
  <c r="M23" i="159"/>
  <c r="L23" i="159"/>
  <c r="H23" i="159"/>
  <c r="A23" i="159"/>
  <c r="P22" i="159"/>
  <c r="N22" i="159"/>
  <c r="M22" i="159"/>
  <c r="L22" i="159"/>
  <c r="H22" i="159"/>
  <c r="A22" i="159"/>
  <c r="P21" i="159"/>
  <c r="N21" i="159"/>
  <c r="M21" i="159"/>
  <c r="L21" i="159"/>
  <c r="H21" i="159"/>
  <c r="A21" i="159"/>
  <c r="P20" i="159"/>
  <c r="N20" i="159"/>
  <c r="M20" i="159"/>
  <c r="L20" i="159"/>
  <c r="H20" i="159"/>
  <c r="A20" i="159"/>
  <c r="P19" i="159"/>
  <c r="N19" i="159"/>
  <c r="M19" i="159"/>
  <c r="L19" i="159"/>
  <c r="H19" i="159"/>
  <c r="A19" i="159"/>
  <c r="P18" i="159"/>
  <c r="N18" i="159"/>
  <c r="M18" i="159"/>
  <c r="L18" i="159"/>
  <c r="H18" i="159"/>
  <c r="A18" i="159"/>
  <c r="P17" i="159"/>
  <c r="N17" i="159"/>
  <c r="M17" i="159"/>
  <c r="L17" i="159"/>
  <c r="H17" i="159"/>
  <c r="A17" i="159"/>
  <c r="P16" i="159"/>
  <c r="N16" i="159"/>
  <c r="M16" i="159"/>
  <c r="L16" i="159"/>
  <c r="H16" i="159"/>
  <c r="A16" i="159"/>
  <c r="P15" i="159"/>
  <c r="N15" i="159"/>
  <c r="M15" i="159"/>
  <c r="L15" i="159"/>
  <c r="H15" i="159"/>
  <c r="A15" i="159"/>
  <c r="P14" i="159"/>
  <c r="N14" i="159"/>
  <c r="M14" i="159"/>
  <c r="L14" i="159"/>
  <c r="H14" i="159"/>
  <c r="A14" i="159"/>
  <c r="P13" i="159"/>
  <c r="N13" i="159"/>
  <c r="M13" i="159"/>
  <c r="L13" i="159"/>
  <c r="H13" i="159"/>
  <c r="A13" i="159"/>
  <c r="P12" i="159"/>
  <c r="N12" i="159"/>
  <c r="M12" i="159"/>
  <c r="L12" i="159"/>
  <c r="H12" i="159"/>
  <c r="A12" i="159"/>
  <c r="P11" i="159"/>
  <c r="N11" i="159"/>
  <c r="M11" i="159"/>
  <c r="L11" i="159"/>
  <c r="H11" i="159"/>
  <c r="A11" i="159"/>
  <c r="P10" i="159"/>
  <c r="N10" i="159"/>
  <c r="M10" i="159"/>
  <c r="L10" i="159"/>
  <c r="H10" i="159"/>
  <c r="A10" i="159"/>
  <c r="P9" i="159"/>
  <c r="N9" i="159"/>
  <c r="M9" i="159"/>
  <c r="L9" i="159"/>
  <c r="H9" i="159"/>
  <c r="A9" i="159"/>
  <c r="P8" i="159"/>
  <c r="N8" i="159"/>
  <c r="M8" i="159"/>
  <c r="L8" i="159"/>
  <c r="H8" i="159"/>
  <c r="A8" i="159"/>
  <c r="P7" i="159"/>
  <c r="N7" i="159"/>
  <c r="M7" i="159"/>
  <c r="L7" i="159"/>
  <c r="H7" i="159"/>
  <c r="A7" i="159"/>
  <c r="P6" i="159"/>
  <c r="N6" i="159"/>
  <c r="M6" i="159"/>
  <c r="L6" i="159"/>
  <c r="H6" i="159"/>
  <c r="A6" i="159"/>
  <c r="P5" i="159"/>
  <c r="N5" i="159"/>
  <c r="M5" i="159"/>
  <c r="L5" i="159"/>
  <c r="H5" i="159"/>
  <c r="A5" i="159"/>
  <c r="P4" i="159"/>
  <c r="N4" i="159"/>
  <c r="M4" i="159"/>
  <c r="L4" i="159"/>
  <c r="H4" i="159"/>
  <c r="A4" i="159"/>
  <c r="P3" i="159"/>
  <c r="N3" i="159"/>
  <c r="M3" i="159"/>
  <c r="L3" i="159"/>
  <c r="H3" i="159"/>
  <c r="A3" i="159"/>
  <c r="P2" i="159"/>
  <c r="N2" i="159"/>
  <c r="M2" i="159"/>
  <c r="L2" i="159"/>
  <c r="H2" i="159"/>
  <c r="A2" i="159"/>
  <c r="F63" i="158"/>
  <c r="F62" i="158"/>
  <c r="B55" i="158"/>
  <c r="B56" i="158"/>
  <c r="B57" i="158"/>
  <c r="B58" i="158"/>
  <c r="B59" i="158"/>
  <c r="B60" i="158"/>
  <c r="B61" i="158"/>
  <c r="B62" i="158"/>
  <c r="C55" i="158"/>
  <c r="C56" i="158"/>
  <c r="C57" i="158"/>
  <c r="C58" i="158"/>
  <c r="C59" i="158"/>
  <c r="C60" i="158"/>
  <c r="C61" i="158"/>
  <c r="C62" i="158"/>
  <c r="F61" i="158"/>
  <c r="F60" i="158"/>
  <c r="F57" i="158"/>
  <c r="G57" i="158"/>
  <c r="F56" i="158"/>
  <c r="G56" i="158"/>
  <c r="F55" i="158"/>
  <c r="G55" i="158"/>
  <c r="B47" i="158"/>
  <c r="C19" i="158"/>
  <c r="C20" i="158"/>
  <c r="C21" i="158"/>
  <c r="C22" i="158"/>
  <c r="C23" i="158"/>
  <c r="C24" i="158"/>
  <c r="C25" i="158"/>
  <c r="C26" i="158"/>
  <c r="C27" i="158"/>
  <c r="C28" i="158"/>
  <c r="C29" i="158"/>
  <c r="C30" i="158"/>
  <c r="C31" i="158"/>
  <c r="C47" i="158"/>
  <c r="D47" i="158"/>
  <c r="I46" i="158"/>
  <c r="J46" i="158"/>
  <c r="F46" i="158"/>
  <c r="C46" i="158"/>
  <c r="D46" i="158"/>
  <c r="G45" i="158"/>
  <c r="E45" i="158"/>
  <c r="H45" i="158"/>
  <c r="I45" i="158"/>
  <c r="J45" i="158"/>
  <c r="F45" i="158"/>
  <c r="C45" i="158"/>
  <c r="D45" i="158"/>
  <c r="I44" i="158"/>
  <c r="J44" i="158"/>
  <c r="F44" i="158"/>
  <c r="C44" i="158"/>
  <c r="D44" i="158"/>
  <c r="I43" i="158"/>
  <c r="J43" i="158"/>
  <c r="F43" i="158"/>
  <c r="C43" i="158"/>
  <c r="D43" i="158"/>
  <c r="I42" i="158"/>
  <c r="J42" i="158"/>
  <c r="F42" i="158"/>
  <c r="C42" i="158"/>
  <c r="D42" i="158"/>
  <c r="I41" i="158"/>
  <c r="J41" i="158"/>
  <c r="F41" i="158"/>
  <c r="C41" i="158"/>
  <c r="D41" i="158"/>
  <c r="I40" i="158"/>
  <c r="J40" i="158"/>
  <c r="F40" i="158"/>
  <c r="C40" i="158"/>
  <c r="D40" i="158"/>
  <c r="I39" i="158"/>
  <c r="J39" i="158"/>
  <c r="F39" i="158"/>
  <c r="C39" i="158"/>
  <c r="D39" i="158"/>
  <c r="I38" i="158"/>
  <c r="J38" i="158"/>
  <c r="F38" i="158"/>
  <c r="C38" i="158"/>
  <c r="D38" i="158"/>
  <c r="I37" i="158"/>
  <c r="J37" i="158"/>
  <c r="F37" i="158"/>
  <c r="C37" i="158"/>
  <c r="D37" i="158"/>
  <c r="I36" i="158"/>
  <c r="J36" i="158"/>
  <c r="F36" i="158"/>
  <c r="C36" i="158"/>
  <c r="D36" i="158"/>
  <c r="I35" i="158"/>
  <c r="J35" i="158"/>
  <c r="F35" i="158"/>
  <c r="C35" i="158"/>
  <c r="D35" i="158"/>
  <c r="I34" i="158"/>
  <c r="J34" i="158"/>
  <c r="F34" i="158"/>
  <c r="C34" i="158"/>
  <c r="D34" i="158"/>
  <c r="I33" i="158"/>
  <c r="J33" i="158"/>
  <c r="F33" i="158"/>
  <c r="C33" i="158"/>
  <c r="D33" i="158"/>
  <c r="I32" i="158"/>
  <c r="J32" i="158"/>
  <c r="F32" i="158"/>
  <c r="C32" i="158"/>
  <c r="D32" i="158"/>
  <c r="I31" i="158"/>
  <c r="J31" i="158"/>
  <c r="F31" i="158"/>
  <c r="D31" i="158"/>
  <c r="G30" i="158"/>
  <c r="E30" i="158"/>
  <c r="H30" i="158"/>
  <c r="I30" i="158"/>
  <c r="J30" i="158"/>
  <c r="F30" i="158"/>
  <c r="D30" i="158"/>
  <c r="I29" i="158"/>
  <c r="J29" i="158"/>
  <c r="F29" i="158"/>
  <c r="D29" i="158"/>
  <c r="I28" i="158"/>
  <c r="J28" i="158"/>
  <c r="F28" i="158"/>
  <c r="D28" i="158"/>
  <c r="I27" i="158"/>
  <c r="J27" i="158"/>
  <c r="F27" i="158"/>
  <c r="D27" i="158"/>
  <c r="I26" i="158"/>
  <c r="J26" i="158"/>
  <c r="F26" i="158"/>
  <c r="D26" i="158"/>
  <c r="I25" i="158"/>
  <c r="J25" i="158"/>
  <c r="F25" i="158"/>
  <c r="D25" i="158"/>
  <c r="I24" i="158"/>
  <c r="J24" i="158"/>
  <c r="F24" i="158"/>
  <c r="D24" i="158"/>
  <c r="I23" i="158"/>
  <c r="J23" i="158"/>
  <c r="F23" i="158"/>
  <c r="D23" i="158"/>
  <c r="I22" i="158"/>
  <c r="J22" i="158"/>
  <c r="F22" i="158"/>
  <c r="D22" i="158"/>
  <c r="I21" i="158"/>
  <c r="J21" i="158"/>
  <c r="F21" i="158"/>
  <c r="D21" i="158"/>
  <c r="R20" i="158"/>
  <c r="P20" i="158"/>
  <c r="O20" i="158"/>
  <c r="M20" i="158"/>
  <c r="I20" i="158"/>
  <c r="J20" i="158"/>
  <c r="F20" i="158"/>
  <c r="D20" i="158"/>
  <c r="R19" i="158"/>
  <c r="P19" i="158"/>
  <c r="O19" i="158"/>
  <c r="M19" i="158"/>
  <c r="I19" i="158"/>
  <c r="J19" i="158"/>
  <c r="F19" i="158"/>
  <c r="D19" i="158"/>
  <c r="R18" i="158"/>
  <c r="P18" i="158"/>
  <c r="O18" i="158"/>
  <c r="M18" i="158"/>
  <c r="I18" i="158"/>
  <c r="J18" i="158"/>
  <c r="F18" i="158"/>
  <c r="C18" i="158"/>
  <c r="D18" i="158"/>
  <c r="R17" i="158"/>
  <c r="P17" i="158"/>
  <c r="O17" i="158"/>
  <c r="M17" i="158"/>
  <c r="I17" i="158"/>
  <c r="J17" i="158"/>
  <c r="F17" i="158"/>
  <c r="C17" i="158"/>
  <c r="D17" i="158"/>
  <c r="V16" i="158"/>
  <c r="R16" i="158"/>
  <c r="P16" i="158"/>
  <c r="O16" i="158"/>
  <c r="M16" i="158"/>
  <c r="V15" i="158"/>
  <c r="R15" i="158"/>
  <c r="P15" i="158"/>
  <c r="O15" i="158"/>
  <c r="M15" i="158"/>
  <c r="V14" i="158"/>
  <c r="R14" i="158"/>
  <c r="P14" i="158"/>
  <c r="O14" i="158"/>
  <c r="M14" i="158"/>
  <c r="V13" i="158"/>
  <c r="R13" i="158"/>
  <c r="P13" i="158"/>
  <c r="O13" i="158"/>
  <c r="M13" i="158"/>
  <c r="V12" i="158"/>
  <c r="R12" i="158"/>
  <c r="P12" i="158"/>
  <c r="O12" i="158"/>
  <c r="M12" i="158"/>
  <c r="V11" i="158"/>
  <c r="R11" i="158"/>
  <c r="P11" i="158"/>
  <c r="O11" i="158"/>
  <c r="M11" i="158"/>
  <c r="V10" i="158"/>
  <c r="R10" i="158"/>
  <c r="P10" i="158"/>
  <c r="O10" i="158"/>
  <c r="M10" i="158"/>
  <c r="V9" i="158"/>
  <c r="R9" i="158"/>
  <c r="P9" i="158"/>
  <c r="O9" i="158"/>
  <c r="M9" i="158"/>
  <c r="V8" i="158"/>
  <c r="R8" i="158"/>
  <c r="P8" i="158"/>
  <c r="O8" i="158"/>
  <c r="M8" i="158"/>
  <c r="V7" i="158"/>
  <c r="R7" i="158"/>
  <c r="P7" i="158"/>
  <c r="O7" i="158"/>
  <c r="M7" i="158"/>
  <c r="V6" i="158"/>
  <c r="R6" i="158"/>
  <c r="P6" i="158"/>
  <c r="O6" i="158"/>
  <c r="M6" i="158"/>
  <c r="V5" i="158"/>
  <c r="R5" i="158"/>
  <c r="P5" i="158"/>
  <c r="O5" i="158"/>
  <c r="M5" i="158"/>
  <c r="V4" i="158"/>
  <c r="R4" i="158"/>
  <c r="P4" i="158"/>
  <c r="O4" i="158"/>
  <c r="M4" i="158"/>
  <c r="V3" i="158"/>
  <c r="R3" i="158"/>
  <c r="P3" i="158"/>
  <c r="O3" i="158"/>
  <c r="M3" i="158"/>
  <c r="V2" i="158"/>
  <c r="I2" i="82"/>
  <c r="D2" i="82"/>
  <c r="J2" i="82"/>
  <c r="E2" i="82"/>
  <c r="F2" i="82"/>
  <c r="I3" i="82"/>
  <c r="D3" i="82"/>
  <c r="J3" i="82"/>
  <c r="E3" i="82"/>
  <c r="F3" i="82"/>
  <c r="I4" i="82"/>
  <c r="D4" i="82"/>
  <c r="J4" i="82"/>
  <c r="E4" i="82"/>
  <c r="F4" i="82"/>
  <c r="I5" i="82"/>
  <c r="D5" i="82"/>
  <c r="J5" i="82"/>
  <c r="E5" i="82"/>
  <c r="F5" i="82"/>
  <c r="I6" i="82"/>
  <c r="D6" i="82"/>
  <c r="J6" i="82"/>
  <c r="E6" i="82"/>
  <c r="F6" i="82"/>
  <c r="I7" i="82"/>
  <c r="D7" i="82"/>
  <c r="J7" i="82"/>
  <c r="E7" i="82"/>
  <c r="F7" i="82"/>
  <c r="I8" i="82"/>
  <c r="D8" i="82"/>
  <c r="J8" i="82"/>
  <c r="E8" i="82"/>
  <c r="F8" i="82"/>
  <c r="I9" i="82"/>
  <c r="D9" i="82"/>
  <c r="J9" i="82"/>
  <c r="E9" i="82"/>
  <c r="F9" i="82"/>
  <c r="I10" i="82"/>
  <c r="D10" i="82"/>
  <c r="J10" i="82"/>
  <c r="E10" i="82"/>
  <c r="F10" i="82"/>
  <c r="I11" i="82"/>
  <c r="D11" i="82"/>
  <c r="J11" i="82"/>
  <c r="E11" i="82"/>
  <c r="F11" i="82"/>
  <c r="I12" i="82"/>
  <c r="D12" i="82"/>
  <c r="J12" i="82"/>
  <c r="E12" i="82"/>
  <c r="F12" i="82"/>
  <c r="I13" i="82"/>
  <c r="D13" i="82"/>
  <c r="J13" i="82"/>
  <c r="E13" i="82"/>
  <c r="F13" i="82"/>
  <c r="I14" i="82"/>
  <c r="D14" i="82"/>
  <c r="J14" i="82"/>
  <c r="E14" i="82"/>
  <c r="F14" i="82"/>
  <c r="I15" i="82"/>
  <c r="D15" i="82"/>
  <c r="J15" i="82"/>
  <c r="E15" i="82"/>
  <c r="F15" i="82"/>
  <c r="I16" i="82"/>
  <c r="D16" i="82"/>
  <c r="J16" i="82"/>
  <c r="E16" i="82"/>
  <c r="F16" i="82"/>
  <c r="I17" i="82"/>
  <c r="D17" i="82"/>
  <c r="J17" i="82"/>
  <c r="E17" i="82"/>
  <c r="F17" i="82"/>
  <c r="I18" i="82"/>
  <c r="D18" i="82"/>
  <c r="J18" i="82"/>
  <c r="E18" i="82"/>
  <c r="F18" i="82"/>
  <c r="I19" i="82"/>
  <c r="D19" i="82"/>
  <c r="J19" i="82"/>
  <c r="E19" i="82"/>
  <c r="F19" i="82"/>
  <c r="I20" i="82"/>
  <c r="D20" i="82"/>
  <c r="J20" i="82"/>
  <c r="E20" i="82"/>
  <c r="F20" i="82"/>
  <c r="I21" i="82"/>
  <c r="D21" i="82"/>
  <c r="J21" i="82"/>
  <c r="E21" i="82"/>
  <c r="F21" i="82"/>
  <c r="I22" i="82"/>
  <c r="D22" i="82"/>
  <c r="J22" i="82"/>
  <c r="E22" i="82"/>
  <c r="F22" i="82"/>
  <c r="I23" i="82"/>
  <c r="D23" i="82"/>
  <c r="J23" i="82"/>
  <c r="E23" i="82"/>
  <c r="F23" i="82"/>
  <c r="I24" i="82"/>
  <c r="D24" i="82"/>
  <c r="J24" i="82"/>
  <c r="E24" i="82"/>
  <c r="F24" i="82"/>
  <c r="I25" i="82"/>
  <c r="D25" i="82"/>
  <c r="J25" i="82"/>
  <c r="E25" i="82"/>
  <c r="F25" i="82"/>
  <c r="I26" i="82"/>
  <c r="D26" i="82"/>
  <c r="J26" i="82"/>
  <c r="E26" i="82"/>
  <c r="F26" i="82"/>
  <c r="I27" i="82"/>
  <c r="D27" i="82"/>
  <c r="J27" i="82"/>
  <c r="E27" i="82"/>
  <c r="F27" i="82"/>
  <c r="I28" i="82"/>
  <c r="D28" i="82"/>
  <c r="J28" i="82"/>
  <c r="E28" i="82"/>
  <c r="F28" i="82"/>
  <c r="I29" i="82"/>
  <c r="D29" i="82"/>
  <c r="J29" i="82"/>
  <c r="E29" i="82"/>
  <c r="F29" i="82"/>
  <c r="I30" i="82"/>
  <c r="D30" i="82"/>
  <c r="J30" i="82"/>
  <c r="E30" i="82"/>
  <c r="F30" i="82"/>
  <c r="I31" i="82"/>
  <c r="D31" i="82"/>
  <c r="J31" i="82"/>
  <c r="E31" i="82"/>
  <c r="F31" i="82"/>
  <c r="I32" i="82"/>
  <c r="D32" i="82"/>
  <c r="J32" i="82"/>
  <c r="E32" i="82"/>
  <c r="F32" i="82"/>
  <c r="I33" i="82"/>
  <c r="D33" i="82"/>
  <c r="J33" i="82"/>
  <c r="E33" i="82"/>
  <c r="F33" i="82"/>
  <c r="I34" i="82"/>
  <c r="D34" i="82"/>
  <c r="J34" i="82"/>
  <c r="E34" i="82"/>
  <c r="F34" i="82"/>
  <c r="I35" i="82"/>
  <c r="D35" i="82"/>
  <c r="J35" i="82"/>
  <c r="E35" i="82"/>
  <c r="F35" i="82"/>
  <c r="I36" i="82"/>
  <c r="D36" i="82"/>
  <c r="J36" i="82"/>
  <c r="E36" i="82"/>
  <c r="F36" i="82"/>
  <c r="I37" i="82"/>
  <c r="D37" i="82"/>
  <c r="J37" i="82"/>
  <c r="E37" i="82"/>
  <c r="F37" i="82"/>
  <c r="I38" i="82"/>
  <c r="D38" i="82"/>
  <c r="J38" i="82"/>
  <c r="E38" i="82"/>
  <c r="F38" i="82"/>
  <c r="I39" i="82"/>
  <c r="D39" i="82"/>
  <c r="J39" i="82"/>
  <c r="E39" i="82"/>
  <c r="F39" i="82"/>
  <c r="I40" i="82"/>
  <c r="D40" i="82"/>
  <c r="J40" i="82"/>
  <c r="E40" i="82"/>
  <c r="F40" i="82"/>
  <c r="I41" i="82"/>
  <c r="D41" i="82"/>
  <c r="J41" i="82"/>
  <c r="E41" i="82"/>
  <c r="F41" i="82"/>
  <c r="I42" i="82"/>
  <c r="D42" i="82"/>
  <c r="J42" i="82"/>
  <c r="E42" i="82"/>
  <c r="F42" i="82"/>
  <c r="I43" i="82"/>
  <c r="D43" i="82"/>
  <c r="J43" i="82"/>
  <c r="E43" i="82"/>
  <c r="F43" i="82"/>
  <c r="I44" i="82"/>
  <c r="D44" i="82"/>
  <c r="J44" i="82"/>
  <c r="E44" i="82"/>
  <c r="F44" i="82"/>
  <c r="I45" i="82"/>
  <c r="D45" i="82"/>
  <c r="J45" i="82"/>
  <c r="E45" i="82"/>
  <c r="F45" i="82"/>
  <c r="I46" i="82"/>
  <c r="D46" i="82"/>
  <c r="J46" i="82"/>
  <c r="E46" i="82"/>
  <c r="F46" i="82"/>
  <c r="I47" i="82"/>
  <c r="D47" i="82"/>
  <c r="J47" i="82"/>
  <c r="E47" i="82"/>
  <c r="F47" i="82"/>
  <c r="I48" i="82"/>
  <c r="D48" i="82"/>
  <c r="J48" i="82"/>
  <c r="E48" i="82"/>
  <c r="F48" i="82"/>
  <c r="I49" i="82"/>
  <c r="D49" i="82"/>
  <c r="J49" i="82"/>
  <c r="E49" i="82"/>
  <c r="F49" i="82"/>
  <c r="I50" i="82"/>
  <c r="D50" i="82"/>
  <c r="J50" i="82"/>
  <c r="E50" i="82"/>
  <c r="F50" i="82"/>
  <c r="I51" i="82"/>
  <c r="D51" i="82"/>
  <c r="J51" i="82"/>
  <c r="E51" i="82"/>
  <c r="F51" i="82"/>
  <c r="I52" i="82"/>
  <c r="D52" i="82"/>
  <c r="J52" i="82"/>
  <c r="E52" i="82"/>
  <c r="F52" i="82"/>
  <c r="I53" i="82"/>
  <c r="D53" i="82"/>
  <c r="J53" i="82"/>
  <c r="E53" i="82"/>
  <c r="F53" i="82"/>
  <c r="I54" i="82"/>
  <c r="D54" i="82"/>
  <c r="J54" i="82"/>
  <c r="E54" i="82"/>
  <c r="F54" i="82"/>
  <c r="I55" i="82"/>
  <c r="D55" i="82"/>
  <c r="J55" i="82"/>
  <c r="E55" i="82"/>
  <c r="F55" i="82"/>
  <c r="I56" i="82"/>
  <c r="D56" i="82"/>
  <c r="J56" i="82"/>
  <c r="E56" i="82"/>
  <c r="F56" i="82"/>
  <c r="I57" i="82"/>
  <c r="D57" i="82"/>
  <c r="J57" i="82"/>
  <c r="E57" i="82"/>
  <c r="F57" i="82"/>
  <c r="I58" i="82"/>
  <c r="D58" i="82"/>
  <c r="J58" i="82"/>
  <c r="E58" i="82"/>
  <c r="F58" i="82"/>
  <c r="I59" i="82"/>
  <c r="D59" i="82"/>
  <c r="J59" i="82"/>
  <c r="E59" i="82"/>
  <c r="F59" i="82"/>
  <c r="I60" i="82"/>
  <c r="D60" i="82"/>
  <c r="J60" i="82"/>
  <c r="E60" i="82"/>
  <c r="F60" i="82"/>
  <c r="I61" i="82"/>
  <c r="D61" i="82"/>
  <c r="J61" i="82"/>
  <c r="E61" i="82"/>
  <c r="F61" i="82"/>
  <c r="I62" i="82"/>
  <c r="D62" i="82"/>
  <c r="J62" i="82"/>
  <c r="E62" i="82"/>
  <c r="F62" i="82"/>
  <c r="I63" i="82"/>
  <c r="D63" i="82"/>
  <c r="J63" i="82"/>
  <c r="E63" i="82"/>
  <c r="F63" i="82"/>
  <c r="I64" i="82"/>
  <c r="D64" i="82"/>
  <c r="J64" i="82"/>
  <c r="E64" i="82"/>
  <c r="F64" i="82"/>
  <c r="I65" i="82"/>
  <c r="D65" i="82"/>
  <c r="J65" i="82"/>
  <c r="E65" i="82"/>
  <c r="F65" i="82"/>
  <c r="I66" i="82"/>
  <c r="D66" i="82"/>
  <c r="J66" i="82"/>
  <c r="E66" i="82"/>
  <c r="F66" i="82"/>
  <c r="I67" i="82"/>
  <c r="D67" i="82"/>
  <c r="J67" i="82"/>
  <c r="E67" i="82"/>
  <c r="F67" i="82"/>
  <c r="I68" i="82"/>
  <c r="D68" i="82"/>
  <c r="J68" i="82"/>
  <c r="E68" i="82"/>
  <c r="F68" i="82"/>
  <c r="I69" i="82"/>
  <c r="D69" i="82"/>
  <c r="J69" i="82"/>
  <c r="E69" i="82"/>
  <c r="F69" i="82"/>
  <c r="I70" i="82"/>
  <c r="D70" i="82"/>
  <c r="J70" i="82"/>
  <c r="E70" i="82"/>
  <c r="F70" i="82"/>
  <c r="I71" i="82"/>
  <c r="D71" i="82"/>
  <c r="J71" i="82"/>
  <c r="E71" i="82"/>
  <c r="F71" i="82"/>
  <c r="I72" i="82"/>
  <c r="D72" i="82"/>
  <c r="J72" i="82"/>
  <c r="E72" i="82"/>
  <c r="F72" i="82"/>
  <c r="I73" i="82"/>
  <c r="D73" i="82"/>
  <c r="J73" i="82"/>
  <c r="E73" i="82"/>
  <c r="F73" i="82"/>
  <c r="I74" i="82"/>
  <c r="D74" i="82"/>
  <c r="J74" i="82"/>
  <c r="E74" i="82"/>
  <c r="F74" i="82"/>
  <c r="I75" i="82"/>
  <c r="D75" i="82"/>
  <c r="J75" i="82"/>
  <c r="E75" i="82"/>
  <c r="F75" i="82"/>
  <c r="I76" i="82"/>
  <c r="D76" i="82"/>
  <c r="J76" i="82"/>
  <c r="E76" i="82"/>
  <c r="F76" i="82"/>
  <c r="I77" i="82"/>
  <c r="D77" i="82"/>
  <c r="J77" i="82"/>
  <c r="E77" i="82"/>
  <c r="F77" i="82"/>
  <c r="I78" i="82"/>
  <c r="D78" i="82"/>
  <c r="J78" i="82"/>
  <c r="E78" i="82"/>
  <c r="F78" i="82"/>
  <c r="I79" i="82"/>
  <c r="D79" i="82"/>
  <c r="J79" i="82"/>
  <c r="E79" i="82"/>
  <c r="F79" i="82"/>
  <c r="I80" i="82"/>
  <c r="D80" i="82"/>
  <c r="J80" i="82"/>
  <c r="E80" i="82"/>
  <c r="F80" i="82"/>
  <c r="I81" i="82"/>
  <c r="D81" i="82"/>
  <c r="J81" i="82"/>
  <c r="E81" i="82"/>
  <c r="F81" i="82"/>
  <c r="I82" i="82"/>
  <c r="D82" i="82"/>
  <c r="J82" i="82"/>
  <c r="E82" i="82"/>
  <c r="F82" i="82"/>
  <c r="I83" i="82"/>
  <c r="D83" i="82"/>
  <c r="J83" i="82"/>
  <c r="E83" i="82"/>
  <c r="F83" i="82"/>
  <c r="I84" i="82"/>
  <c r="D84" i="82"/>
  <c r="J84" i="82"/>
  <c r="E84" i="82"/>
  <c r="F84" i="82"/>
  <c r="I85" i="82"/>
  <c r="D85" i="82"/>
  <c r="J85" i="82"/>
  <c r="E85" i="82"/>
  <c r="F85" i="82"/>
  <c r="I86" i="82"/>
  <c r="D86" i="82"/>
  <c r="J86" i="82"/>
  <c r="E86" i="82"/>
  <c r="F86" i="82"/>
  <c r="I87" i="82"/>
  <c r="D87" i="82"/>
  <c r="J87" i="82"/>
  <c r="E87" i="82"/>
  <c r="F87" i="82"/>
  <c r="I88" i="82"/>
  <c r="D88" i="82"/>
  <c r="J88" i="82"/>
  <c r="E88" i="82"/>
  <c r="F88" i="82"/>
  <c r="I89" i="82"/>
  <c r="D89" i="82"/>
  <c r="J89" i="82"/>
  <c r="E89" i="82"/>
  <c r="F89" i="82"/>
  <c r="I90" i="82"/>
  <c r="D90" i="82"/>
  <c r="J90" i="82"/>
  <c r="E90" i="82"/>
  <c r="F90" i="82"/>
  <c r="I91" i="82"/>
  <c r="D91" i="82"/>
  <c r="J91" i="82"/>
  <c r="E91" i="82"/>
  <c r="F91" i="82"/>
  <c r="I92" i="82"/>
  <c r="D92" i="82"/>
  <c r="J92" i="82"/>
  <c r="E92" i="82"/>
  <c r="F92" i="82"/>
  <c r="I93" i="82"/>
  <c r="D93" i="82"/>
  <c r="J93" i="82"/>
  <c r="E93" i="82"/>
  <c r="F93" i="82"/>
  <c r="I94" i="82"/>
  <c r="D94" i="82"/>
  <c r="J94" i="82"/>
  <c r="E94" i="82"/>
  <c r="F94" i="82"/>
  <c r="I95" i="82"/>
  <c r="D95" i="82"/>
  <c r="J95" i="82"/>
  <c r="E95" i="82"/>
  <c r="F95" i="82"/>
  <c r="I96" i="82"/>
  <c r="D96" i="82"/>
  <c r="J96" i="82"/>
  <c r="E96" i="82"/>
  <c r="F96" i="82"/>
  <c r="I97" i="82"/>
  <c r="D97" i="82"/>
  <c r="J97" i="82"/>
  <c r="E97" i="82"/>
  <c r="F97" i="82"/>
  <c r="I98" i="82"/>
  <c r="D98" i="82"/>
  <c r="J98" i="82"/>
  <c r="E98" i="82"/>
  <c r="F98" i="82"/>
  <c r="I99" i="82"/>
  <c r="D99" i="82"/>
  <c r="J99" i="82"/>
  <c r="E99" i="82"/>
  <c r="F99" i="82"/>
  <c r="I100" i="82"/>
  <c r="D100" i="82"/>
  <c r="J100" i="82"/>
  <c r="E100" i="82"/>
  <c r="F100" i="82"/>
  <c r="I101" i="82"/>
  <c r="D101" i="82"/>
  <c r="J101" i="82"/>
  <c r="E101" i="82"/>
  <c r="F101" i="82"/>
  <c r="I102" i="82"/>
  <c r="D102" i="82"/>
  <c r="J102" i="82"/>
  <c r="E102" i="82"/>
  <c r="F102" i="82"/>
  <c r="I103" i="82"/>
  <c r="D103" i="82"/>
  <c r="J103" i="82"/>
  <c r="E103" i="82"/>
  <c r="F103" i="82"/>
  <c r="I104" i="82"/>
  <c r="D104" i="82"/>
  <c r="J104" i="82"/>
  <c r="E104" i="82"/>
  <c r="F104" i="82"/>
  <c r="I105" i="82"/>
  <c r="D105" i="82"/>
  <c r="J105" i="82"/>
  <c r="E105" i="82"/>
  <c r="F105" i="82"/>
  <c r="I106" i="82"/>
  <c r="D106" i="82"/>
  <c r="J106" i="82"/>
  <c r="E106" i="82"/>
  <c r="F106" i="82"/>
  <c r="I107" i="82"/>
  <c r="D107" i="82"/>
  <c r="J107" i="82"/>
  <c r="E107" i="82"/>
  <c r="F107" i="82"/>
  <c r="I108" i="82"/>
  <c r="D108" i="82"/>
  <c r="J108" i="82"/>
  <c r="E108" i="82"/>
  <c r="F108" i="82"/>
  <c r="I109" i="82"/>
  <c r="D109" i="82"/>
  <c r="J109" i="82"/>
  <c r="E109" i="82"/>
  <c r="F109" i="82"/>
  <c r="I110" i="82"/>
  <c r="D110" i="82"/>
  <c r="J110" i="82"/>
  <c r="E110" i="82"/>
  <c r="F110" i="82"/>
  <c r="I111" i="82"/>
  <c r="D111" i="82"/>
  <c r="J111" i="82"/>
  <c r="E111" i="82"/>
  <c r="F111" i="82"/>
  <c r="I112" i="82"/>
  <c r="D112" i="82"/>
  <c r="J112" i="82"/>
  <c r="E112" i="82"/>
  <c r="F112" i="82"/>
  <c r="I113" i="82"/>
  <c r="D113" i="82"/>
  <c r="J113" i="82"/>
  <c r="E113" i="82"/>
  <c r="F113" i="82"/>
  <c r="I114" i="82"/>
  <c r="D114" i="82"/>
  <c r="J114" i="82"/>
  <c r="E114" i="82"/>
  <c r="F114" i="82"/>
  <c r="I115" i="82"/>
  <c r="D115" i="82"/>
  <c r="J115" i="82"/>
  <c r="E115" i="82"/>
  <c r="F115" i="82"/>
  <c r="I116" i="82"/>
  <c r="D116" i="82"/>
  <c r="J116" i="82"/>
  <c r="E116" i="82"/>
  <c r="F116" i="82"/>
  <c r="I117" i="82"/>
  <c r="D117" i="82"/>
  <c r="J117" i="82"/>
  <c r="E117" i="82"/>
  <c r="F117" i="82"/>
  <c r="I118" i="82"/>
  <c r="D118" i="82"/>
  <c r="J118" i="82"/>
  <c r="E118" i="82"/>
  <c r="F118" i="82"/>
  <c r="I119" i="82"/>
  <c r="D119" i="82"/>
  <c r="J119" i="82"/>
  <c r="E119" i="82"/>
  <c r="F119" i="82"/>
  <c r="I120" i="82"/>
  <c r="D120" i="82"/>
  <c r="J120" i="82"/>
  <c r="E120" i="82"/>
  <c r="F120" i="82"/>
  <c r="I121" i="82"/>
  <c r="D121" i="82"/>
  <c r="J121" i="82"/>
  <c r="E121" i="82"/>
  <c r="F121" i="82"/>
  <c r="I122" i="82"/>
  <c r="D122" i="82"/>
  <c r="J122" i="82"/>
  <c r="E122" i="82"/>
  <c r="F122" i="82"/>
  <c r="I123" i="82"/>
  <c r="D123" i="82"/>
  <c r="J123" i="82"/>
  <c r="E123" i="82"/>
  <c r="F123" i="82"/>
  <c r="I124" i="82"/>
  <c r="D124" i="82"/>
  <c r="J124" i="82"/>
  <c r="E124" i="82"/>
  <c r="F124" i="82"/>
  <c r="I125" i="82"/>
  <c r="D125" i="82"/>
  <c r="J125" i="82"/>
  <c r="E125" i="82"/>
  <c r="F125" i="82"/>
  <c r="I126" i="82"/>
  <c r="D126" i="82"/>
  <c r="J126" i="82"/>
  <c r="E126" i="82"/>
  <c r="F126" i="82"/>
  <c r="I127" i="82"/>
  <c r="D127" i="82"/>
  <c r="J127" i="82"/>
  <c r="E127" i="82"/>
  <c r="F127" i="82"/>
  <c r="I128" i="82"/>
  <c r="D128" i="82"/>
  <c r="J128" i="82"/>
  <c r="E128" i="82"/>
  <c r="F128" i="82"/>
  <c r="I129" i="82"/>
  <c r="D129" i="82"/>
  <c r="J129" i="82"/>
  <c r="E129" i="82"/>
  <c r="F129" i="82"/>
  <c r="I130" i="82"/>
  <c r="D130" i="82"/>
  <c r="J130" i="82"/>
  <c r="E130" i="82"/>
  <c r="F130" i="82"/>
  <c r="I131" i="82"/>
  <c r="D131" i="82"/>
  <c r="J131" i="82"/>
  <c r="E131" i="82"/>
  <c r="F131" i="82"/>
  <c r="I132" i="82"/>
  <c r="D132" i="82"/>
  <c r="J132" i="82"/>
  <c r="E132" i="82"/>
  <c r="F132" i="82"/>
  <c r="I133" i="82"/>
  <c r="D133" i="82"/>
  <c r="J133" i="82"/>
  <c r="E133" i="82"/>
  <c r="F133" i="82"/>
  <c r="I134" i="82"/>
  <c r="D134" i="82"/>
  <c r="J134" i="82"/>
  <c r="E134" i="82"/>
  <c r="F134" i="82"/>
  <c r="I135" i="82"/>
  <c r="D135" i="82"/>
  <c r="J135" i="82"/>
  <c r="E135" i="82"/>
  <c r="F135" i="82"/>
  <c r="I136" i="82"/>
  <c r="D136" i="82"/>
  <c r="J136" i="82"/>
  <c r="E136" i="82"/>
  <c r="F136" i="82"/>
  <c r="I137" i="82"/>
  <c r="D137" i="82"/>
  <c r="J137" i="82"/>
  <c r="E137" i="82"/>
  <c r="F137" i="82"/>
  <c r="I138" i="82"/>
  <c r="D138" i="82"/>
  <c r="J138" i="82"/>
  <c r="E138" i="82"/>
  <c r="F138" i="82"/>
  <c r="I139" i="82"/>
  <c r="D139" i="82"/>
  <c r="J139" i="82"/>
  <c r="E139" i="82"/>
  <c r="F139" i="82"/>
  <c r="I140" i="82"/>
  <c r="D140" i="82"/>
  <c r="J140" i="82"/>
  <c r="E140" i="82"/>
  <c r="F140" i="82"/>
  <c r="I141" i="82"/>
  <c r="D141" i="82"/>
  <c r="J141" i="82"/>
  <c r="E141" i="82"/>
  <c r="F141" i="82"/>
  <c r="I142" i="82"/>
  <c r="D142" i="82"/>
  <c r="J142" i="82"/>
  <c r="E142" i="82"/>
  <c r="F142" i="82"/>
  <c r="I143" i="82"/>
  <c r="D143" i="82"/>
  <c r="J143" i="82"/>
  <c r="E143" i="82"/>
  <c r="F143" i="82"/>
  <c r="I144" i="82"/>
  <c r="D144" i="82"/>
  <c r="J144" i="82"/>
  <c r="E144" i="82"/>
  <c r="F144" i="82"/>
  <c r="I145" i="82"/>
  <c r="D145" i="82"/>
  <c r="J145" i="82"/>
  <c r="E145" i="82"/>
  <c r="F145" i="82"/>
  <c r="I146" i="82"/>
  <c r="D146" i="82"/>
  <c r="J146" i="82"/>
  <c r="E146" i="82"/>
  <c r="F146" i="82"/>
  <c r="I147" i="82"/>
  <c r="D147" i="82"/>
  <c r="J147" i="82"/>
  <c r="E147" i="82"/>
  <c r="F147" i="82"/>
  <c r="I148" i="82"/>
  <c r="D148" i="82"/>
  <c r="J148" i="82"/>
  <c r="E148" i="82"/>
  <c r="F148" i="82"/>
  <c r="I149" i="82"/>
  <c r="D149" i="82"/>
  <c r="J149" i="82"/>
  <c r="E149" i="82"/>
  <c r="F149" i="82"/>
  <c r="I150" i="82"/>
  <c r="D150" i="82"/>
  <c r="J150" i="82"/>
  <c r="E150" i="82"/>
  <c r="F150" i="82"/>
  <c r="I151" i="82"/>
  <c r="D151" i="82"/>
  <c r="J151" i="82"/>
  <c r="E151" i="82"/>
  <c r="F151" i="82"/>
  <c r="I152" i="82"/>
  <c r="D152" i="82"/>
  <c r="J152" i="82"/>
  <c r="E152" i="82"/>
  <c r="F152" i="82"/>
  <c r="I153" i="82"/>
  <c r="D153" i="82"/>
  <c r="J153" i="82"/>
  <c r="E153" i="82"/>
  <c r="F153" i="82"/>
  <c r="I154" i="82"/>
  <c r="D154" i="82"/>
  <c r="J154" i="82"/>
  <c r="E154" i="82"/>
  <c r="F154" i="82"/>
  <c r="I155" i="82"/>
  <c r="D155" i="82"/>
  <c r="J155" i="82"/>
  <c r="E155" i="82"/>
  <c r="F155" i="82"/>
  <c r="I156" i="82"/>
  <c r="D156" i="82"/>
  <c r="J156" i="82"/>
  <c r="E156" i="82"/>
  <c r="F156" i="82"/>
  <c r="I157" i="82"/>
  <c r="D157" i="82"/>
  <c r="J157" i="82"/>
  <c r="E157" i="82"/>
  <c r="F157" i="82"/>
  <c r="I158" i="82"/>
  <c r="D158" i="82"/>
  <c r="J158" i="82"/>
  <c r="E158" i="82"/>
  <c r="F158" i="82"/>
  <c r="I159" i="82"/>
  <c r="D159" i="82"/>
  <c r="J159" i="82"/>
  <c r="E159" i="82"/>
  <c r="F159" i="82"/>
  <c r="I160" i="82"/>
  <c r="D160" i="82"/>
  <c r="J160" i="82"/>
  <c r="E160" i="82"/>
  <c r="F160" i="82"/>
  <c r="I161" i="82"/>
  <c r="D161" i="82"/>
  <c r="J161" i="82"/>
  <c r="E161" i="82"/>
  <c r="F161" i="82"/>
  <c r="I162" i="82"/>
  <c r="D162" i="82"/>
  <c r="J162" i="82"/>
  <c r="E162" i="82"/>
  <c r="F162" i="82"/>
  <c r="I163" i="82"/>
  <c r="D163" i="82"/>
  <c r="J163" i="82"/>
  <c r="E163" i="82"/>
  <c r="F163" i="82"/>
  <c r="I164" i="82"/>
  <c r="D164" i="82"/>
  <c r="J164" i="82"/>
  <c r="E164" i="82"/>
  <c r="F164" i="82"/>
  <c r="I165" i="82"/>
  <c r="D165" i="82"/>
  <c r="J165" i="82"/>
  <c r="E165" i="82"/>
  <c r="F165" i="82"/>
  <c r="I166" i="82"/>
  <c r="D166" i="82"/>
  <c r="J166" i="82"/>
  <c r="E166" i="82"/>
  <c r="F166" i="82"/>
  <c r="I167" i="82"/>
  <c r="D167" i="82"/>
  <c r="J167" i="82"/>
  <c r="E167" i="82"/>
  <c r="F167" i="82"/>
  <c r="I168" i="82"/>
  <c r="D168" i="82"/>
  <c r="J168" i="82"/>
  <c r="E168" i="82"/>
  <c r="F168" i="82"/>
  <c r="I169" i="82"/>
  <c r="D169" i="82"/>
  <c r="J169" i="82"/>
  <c r="E169" i="82"/>
  <c r="F169" i="82"/>
  <c r="I170" i="82"/>
  <c r="D170" i="82"/>
  <c r="J170" i="82"/>
  <c r="E170" i="82"/>
  <c r="F170" i="82"/>
  <c r="I171" i="82"/>
  <c r="D171" i="82"/>
  <c r="J171" i="82"/>
  <c r="E171" i="82"/>
  <c r="F171" i="82"/>
  <c r="I172" i="82"/>
  <c r="D172" i="82"/>
  <c r="J172" i="82"/>
  <c r="E172" i="82"/>
  <c r="F172" i="82"/>
  <c r="I173" i="82"/>
  <c r="D173" i="82"/>
  <c r="J173" i="82"/>
  <c r="E173" i="82"/>
  <c r="F173" i="82"/>
  <c r="I174" i="82"/>
  <c r="D174" i="82"/>
  <c r="J174" i="82"/>
  <c r="E174" i="82"/>
  <c r="F174" i="82"/>
  <c r="I175" i="82"/>
  <c r="D175" i="82"/>
  <c r="J175" i="82"/>
  <c r="E175" i="82"/>
  <c r="F175" i="82"/>
  <c r="I176" i="82"/>
  <c r="D176" i="82"/>
  <c r="J176" i="82"/>
  <c r="E176" i="82"/>
  <c r="F176" i="82"/>
  <c r="I177" i="82"/>
  <c r="D177" i="82"/>
  <c r="J177" i="82"/>
  <c r="E177" i="82"/>
  <c r="F177" i="82"/>
  <c r="I178" i="82"/>
  <c r="D178" i="82"/>
  <c r="J178" i="82"/>
  <c r="E178" i="82"/>
  <c r="F178" i="82"/>
  <c r="I179" i="82"/>
  <c r="D179" i="82"/>
  <c r="J179" i="82"/>
  <c r="E179" i="82"/>
  <c r="F179" i="82"/>
  <c r="I180" i="82"/>
  <c r="D180" i="82"/>
  <c r="J180" i="82"/>
  <c r="E180" i="82"/>
  <c r="F180" i="82"/>
  <c r="I181" i="82"/>
  <c r="D181" i="82"/>
  <c r="J181" i="82"/>
  <c r="E181" i="82"/>
  <c r="F181" i="82"/>
  <c r="I182" i="82"/>
  <c r="D182" i="82"/>
  <c r="J182" i="82"/>
  <c r="E182" i="82"/>
  <c r="F182" i="82"/>
  <c r="I183" i="82"/>
  <c r="D183" i="82"/>
  <c r="J183" i="82"/>
  <c r="E183" i="82"/>
  <c r="F183" i="82"/>
  <c r="I184" i="82"/>
  <c r="D184" i="82"/>
  <c r="J184" i="82"/>
  <c r="E184" i="82"/>
  <c r="F184" i="82"/>
  <c r="I185" i="82"/>
  <c r="D185" i="82"/>
  <c r="J185" i="82"/>
  <c r="E185" i="82"/>
  <c r="F185" i="82"/>
  <c r="I186" i="82"/>
  <c r="D186" i="82"/>
  <c r="J186" i="82"/>
  <c r="E186" i="82"/>
  <c r="F186" i="82"/>
  <c r="I187" i="82"/>
  <c r="D187" i="82"/>
  <c r="J187" i="82"/>
  <c r="E187" i="82"/>
  <c r="F187" i="82"/>
  <c r="I188" i="82"/>
  <c r="D188" i="82"/>
  <c r="J188" i="82"/>
  <c r="E188" i="82"/>
  <c r="F188" i="82"/>
  <c r="I189" i="82"/>
  <c r="D189" i="82"/>
  <c r="J189" i="82"/>
  <c r="E189" i="82"/>
  <c r="F189" i="82"/>
  <c r="I190" i="82"/>
  <c r="D190" i="82"/>
  <c r="J190" i="82"/>
  <c r="E190" i="82"/>
  <c r="F190" i="82"/>
  <c r="I191" i="82"/>
  <c r="D191" i="82"/>
  <c r="J191" i="82"/>
  <c r="E191" i="82"/>
  <c r="F191" i="82"/>
  <c r="I192" i="82"/>
  <c r="D192" i="82"/>
  <c r="J192" i="82"/>
  <c r="E192" i="82"/>
  <c r="F192" i="82"/>
  <c r="I193" i="82"/>
  <c r="D193" i="82"/>
  <c r="J193" i="82"/>
  <c r="E193" i="82"/>
  <c r="F193" i="82"/>
  <c r="I194" i="82"/>
  <c r="D194" i="82"/>
  <c r="J194" i="82"/>
  <c r="E194" i="82"/>
  <c r="F194" i="82"/>
  <c r="I195" i="82"/>
  <c r="D195" i="82"/>
  <c r="J195" i="82"/>
  <c r="E195" i="82"/>
  <c r="F195" i="82"/>
  <c r="I196" i="82"/>
  <c r="D196" i="82"/>
  <c r="J196" i="82"/>
  <c r="E196" i="82"/>
  <c r="F196" i="82"/>
  <c r="I197" i="82"/>
  <c r="D197" i="82"/>
  <c r="J197" i="82"/>
  <c r="E197" i="82"/>
  <c r="F197" i="82"/>
  <c r="I198" i="82"/>
  <c r="D198" i="82"/>
  <c r="J198" i="82"/>
  <c r="E198" i="82"/>
  <c r="F198" i="82"/>
  <c r="I199" i="82"/>
  <c r="D199" i="82"/>
  <c r="J199" i="82"/>
  <c r="E199" i="82"/>
  <c r="F199" i="82"/>
  <c r="I200" i="82"/>
  <c r="D200" i="82"/>
  <c r="J200" i="82"/>
  <c r="E200" i="82"/>
  <c r="F200" i="82"/>
  <c r="I201" i="82"/>
  <c r="D201" i="82"/>
  <c r="J201" i="82"/>
  <c r="E201" i="82"/>
  <c r="F201" i="82"/>
  <c r="I202" i="82"/>
  <c r="D202" i="82"/>
  <c r="J202" i="82"/>
  <c r="E202" i="82"/>
  <c r="F202" i="82"/>
  <c r="I203" i="82"/>
  <c r="D203" i="82"/>
  <c r="J203" i="82"/>
  <c r="E203" i="82"/>
  <c r="F203" i="82"/>
  <c r="I204" i="82"/>
  <c r="D204" i="82"/>
  <c r="J204" i="82"/>
  <c r="E204" i="82"/>
  <c r="F204" i="82"/>
  <c r="I205" i="82"/>
  <c r="D205" i="82"/>
  <c r="J205" i="82"/>
  <c r="E205" i="82"/>
  <c r="F205" i="82"/>
  <c r="I206" i="82"/>
  <c r="D206" i="82"/>
  <c r="J206" i="82"/>
  <c r="E206" i="82"/>
  <c r="F206" i="82"/>
  <c r="I207" i="82"/>
  <c r="D207" i="82"/>
  <c r="J207" i="82"/>
  <c r="E207" i="82"/>
  <c r="F207" i="82"/>
  <c r="I208" i="82"/>
  <c r="D208" i="82"/>
  <c r="J208" i="82"/>
  <c r="E208" i="82"/>
  <c r="F208" i="82"/>
  <c r="I209" i="82"/>
  <c r="D209" i="82"/>
  <c r="J209" i="82"/>
  <c r="E209" i="82"/>
  <c r="F209" i="82"/>
  <c r="I210" i="82"/>
  <c r="D210" i="82"/>
  <c r="J210" i="82"/>
  <c r="E210" i="82"/>
  <c r="F210" i="82"/>
  <c r="I211" i="82"/>
  <c r="D211" i="82"/>
  <c r="J211" i="82"/>
  <c r="E211" i="82"/>
  <c r="F211" i="82"/>
  <c r="I212" i="82"/>
  <c r="D212" i="82"/>
  <c r="J212" i="82"/>
  <c r="E212" i="82"/>
  <c r="F212" i="82"/>
  <c r="I213" i="82"/>
  <c r="D213" i="82"/>
  <c r="J213" i="82"/>
  <c r="E213" i="82"/>
  <c r="F213" i="82"/>
  <c r="I214" i="82"/>
  <c r="D214" i="82"/>
  <c r="J214" i="82"/>
  <c r="E214" i="82"/>
  <c r="F214" i="82"/>
  <c r="I215" i="82"/>
  <c r="D215" i="82"/>
  <c r="J215" i="82"/>
  <c r="E215" i="82"/>
  <c r="F215" i="82"/>
  <c r="I216" i="82"/>
  <c r="D216" i="82"/>
  <c r="J216" i="82"/>
  <c r="E216" i="82"/>
  <c r="F216" i="82"/>
  <c r="I217" i="82"/>
  <c r="D217" i="82"/>
  <c r="J217" i="82"/>
  <c r="E217" i="82"/>
  <c r="F217" i="82"/>
  <c r="I218" i="82"/>
  <c r="D218" i="82"/>
  <c r="J218" i="82"/>
  <c r="E218" i="82"/>
  <c r="F218" i="82"/>
  <c r="I219" i="82"/>
  <c r="D219" i="82"/>
  <c r="J219" i="82"/>
  <c r="E219" i="82"/>
  <c r="F219" i="82"/>
  <c r="I220" i="82"/>
  <c r="D220" i="82"/>
  <c r="J220" i="82"/>
  <c r="E220" i="82"/>
  <c r="F220" i="82"/>
  <c r="I221" i="82"/>
  <c r="D221" i="82"/>
  <c r="J221" i="82"/>
  <c r="E221" i="82"/>
  <c r="F221" i="82"/>
  <c r="I222" i="82"/>
  <c r="D222" i="82"/>
  <c r="J222" i="82"/>
  <c r="E222" i="82"/>
  <c r="F222" i="82"/>
  <c r="I223" i="82"/>
  <c r="D223" i="82"/>
  <c r="J223" i="82"/>
  <c r="E223" i="82"/>
  <c r="F223" i="82"/>
  <c r="I224" i="82"/>
  <c r="D224" i="82"/>
  <c r="J224" i="82"/>
  <c r="E224" i="82"/>
  <c r="F224" i="82"/>
  <c r="I225" i="82"/>
  <c r="D225" i="82"/>
  <c r="J225" i="82"/>
  <c r="E225" i="82"/>
  <c r="F225" i="82"/>
  <c r="I226" i="82"/>
  <c r="D226" i="82"/>
  <c r="J226" i="82"/>
  <c r="E226" i="82"/>
  <c r="F226" i="82"/>
  <c r="I227" i="82"/>
  <c r="D227" i="82"/>
  <c r="J227" i="82"/>
  <c r="E227" i="82"/>
  <c r="F227" i="82"/>
  <c r="I228" i="82"/>
  <c r="D228" i="82"/>
  <c r="J228" i="82"/>
  <c r="E228" i="82"/>
  <c r="F228" i="82"/>
  <c r="I229" i="82"/>
  <c r="D229" i="82"/>
  <c r="J229" i="82"/>
  <c r="E229" i="82"/>
  <c r="F229" i="82"/>
  <c r="I230" i="82"/>
  <c r="D230" i="82"/>
  <c r="J230" i="82"/>
  <c r="E230" i="82"/>
  <c r="F230" i="82"/>
  <c r="I231" i="82"/>
  <c r="D231" i="82"/>
  <c r="J231" i="82"/>
  <c r="E231" i="82"/>
  <c r="F231" i="82"/>
  <c r="I232" i="82"/>
  <c r="D232" i="82"/>
  <c r="J232" i="82"/>
  <c r="E232" i="82"/>
  <c r="F232" i="82"/>
  <c r="I233" i="82"/>
  <c r="D233" i="82"/>
  <c r="J233" i="82"/>
  <c r="E233" i="82"/>
  <c r="F233" i="82"/>
  <c r="I234" i="82"/>
  <c r="D234" i="82"/>
  <c r="J234" i="82"/>
  <c r="E234" i="82"/>
  <c r="F234" i="82"/>
  <c r="I235" i="82"/>
  <c r="D235" i="82"/>
  <c r="J235" i="82"/>
  <c r="E235" i="82"/>
  <c r="F235" i="82"/>
  <c r="I236" i="82"/>
  <c r="D236" i="82"/>
  <c r="J236" i="82"/>
  <c r="E236" i="82"/>
  <c r="F236" i="82"/>
  <c r="I237" i="82"/>
  <c r="D237" i="82"/>
  <c r="J237" i="82"/>
  <c r="E237" i="82"/>
  <c r="F237" i="82"/>
  <c r="I238" i="82"/>
  <c r="D238" i="82"/>
  <c r="J238" i="82"/>
  <c r="E238" i="82"/>
  <c r="F238" i="82"/>
  <c r="I239" i="82"/>
  <c r="D239" i="82"/>
  <c r="J239" i="82"/>
  <c r="E239" i="82"/>
  <c r="F239" i="82"/>
  <c r="I240" i="82"/>
  <c r="D240" i="82"/>
  <c r="J240" i="82"/>
  <c r="E240" i="82"/>
  <c r="F240" i="82"/>
  <c r="I241" i="82"/>
  <c r="D241" i="82"/>
  <c r="J241" i="82"/>
  <c r="E241" i="82"/>
  <c r="F241" i="82"/>
  <c r="I242" i="82"/>
  <c r="D242" i="82"/>
  <c r="J242" i="82"/>
  <c r="E242" i="82"/>
  <c r="F242" i="82"/>
  <c r="I243" i="82"/>
  <c r="D243" i="82"/>
  <c r="J243" i="82"/>
  <c r="E243" i="82"/>
  <c r="F243" i="82"/>
  <c r="I244" i="82"/>
  <c r="D244" i="82"/>
  <c r="J244" i="82"/>
  <c r="E244" i="82"/>
  <c r="F244" i="82"/>
  <c r="I245" i="82"/>
  <c r="D245" i="82"/>
  <c r="J245" i="82"/>
  <c r="E245" i="82"/>
  <c r="F245" i="82"/>
  <c r="I246" i="82"/>
  <c r="D246" i="82"/>
  <c r="J246" i="82"/>
  <c r="E246" i="82"/>
  <c r="F246" i="82"/>
  <c r="I247" i="82"/>
  <c r="D247" i="82"/>
  <c r="J247" i="82"/>
  <c r="E247" i="82"/>
  <c r="F247" i="82"/>
  <c r="I248" i="82"/>
  <c r="D248" i="82"/>
  <c r="J248" i="82"/>
  <c r="E248" i="82"/>
  <c r="F248" i="82"/>
  <c r="I249" i="82"/>
  <c r="D249" i="82"/>
  <c r="J249" i="82"/>
  <c r="E249" i="82"/>
  <c r="F249" i="82"/>
  <c r="I250" i="82"/>
  <c r="D250" i="82"/>
  <c r="J250" i="82"/>
  <c r="E250" i="82"/>
  <c r="F250" i="82"/>
  <c r="I251" i="82"/>
  <c r="D251" i="82"/>
  <c r="J251" i="82"/>
  <c r="E251" i="82"/>
  <c r="F251" i="82"/>
  <c r="I252" i="82"/>
  <c r="D252" i="82"/>
  <c r="J252" i="82"/>
  <c r="E252" i="82"/>
  <c r="F252" i="82"/>
  <c r="I253" i="82"/>
  <c r="D253" i="82"/>
  <c r="J253" i="82"/>
  <c r="E253" i="82"/>
  <c r="F253" i="82"/>
  <c r="I254" i="82"/>
  <c r="D254" i="82"/>
  <c r="J254" i="82"/>
  <c r="E254" i="82"/>
  <c r="F254" i="82"/>
  <c r="I255" i="82"/>
  <c r="D255" i="82"/>
  <c r="J255" i="82"/>
  <c r="E255" i="82"/>
  <c r="F255" i="82"/>
  <c r="I256" i="82"/>
  <c r="D256" i="82"/>
  <c r="J256" i="82"/>
  <c r="E256" i="82"/>
  <c r="F256" i="82"/>
  <c r="I257" i="82"/>
  <c r="D257" i="82"/>
  <c r="J257" i="82"/>
  <c r="E257" i="82"/>
  <c r="F257" i="82"/>
  <c r="I258" i="82"/>
  <c r="D258" i="82"/>
  <c r="J258" i="82"/>
  <c r="E258" i="82"/>
  <c r="F258" i="82"/>
  <c r="I259" i="82"/>
  <c r="D259" i="82"/>
  <c r="J259" i="82"/>
  <c r="E259" i="82"/>
  <c r="F259" i="82"/>
  <c r="I260" i="82"/>
  <c r="D260" i="82"/>
  <c r="J260" i="82"/>
  <c r="E260" i="82"/>
  <c r="F260" i="82"/>
  <c r="I261" i="82"/>
  <c r="D261" i="82"/>
  <c r="J261" i="82"/>
  <c r="E261" i="82"/>
  <c r="F261" i="82"/>
  <c r="I262" i="82"/>
  <c r="D262" i="82"/>
  <c r="J262" i="82"/>
  <c r="E262" i="82"/>
  <c r="F262" i="82"/>
  <c r="I263" i="82"/>
  <c r="D263" i="82"/>
  <c r="J263" i="82"/>
  <c r="E263" i="82"/>
  <c r="F263" i="82"/>
  <c r="I264" i="82"/>
  <c r="D264" i="82"/>
  <c r="J264" i="82"/>
  <c r="E264" i="82"/>
  <c r="F264" i="82"/>
  <c r="I265" i="82"/>
  <c r="D265" i="82"/>
  <c r="J265" i="82"/>
  <c r="E265" i="82"/>
  <c r="F265" i="82"/>
  <c r="I266" i="82"/>
  <c r="D266" i="82"/>
  <c r="J266" i="82"/>
  <c r="E266" i="82"/>
  <c r="F266" i="82"/>
  <c r="I267" i="82"/>
  <c r="D267" i="82"/>
  <c r="J267" i="82"/>
  <c r="E267" i="82"/>
  <c r="F267" i="82"/>
  <c r="I268" i="82"/>
  <c r="D268" i="82"/>
  <c r="J268" i="82"/>
  <c r="E268" i="82"/>
  <c r="F268" i="82"/>
  <c r="I269" i="82"/>
  <c r="D269" i="82"/>
  <c r="J269" i="82"/>
  <c r="E269" i="82"/>
  <c r="F269" i="82"/>
  <c r="I270" i="82"/>
  <c r="D270" i="82"/>
  <c r="J270" i="82"/>
  <c r="E270" i="82"/>
  <c r="F270" i="82"/>
  <c r="I271" i="82"/>
  <c r="D271" i="82"/>
  <c r="J271" i="82"/>
  <c r="E271" i="82"/>
  <c r="F271" i="82"/>
  <c r="I272" i="82"/>
  <c r="D272" i="82"/>
  <c r="J272" i="82"/>
  <c r="E272" i="82"/>
  <c r="F272" i="82"/>
  <c r="I273" i="82"/>
  <c r="D273" i="82"/>
  <c r="J273" i="82"/>
  <c r="E273" i="82"/>
  <c r="F273" i="82"/>
  <c r="I274" i="82"/>
  <c r="D274" i="82"/>
  <c r="J274" i="82"/>
  <c r="E274" i="82"/>
  <c r="F274" i="82"/>
  <c r="I275" i="82"/>
  <c r="D275" i="82"/>
  <c r="J275" i="82"/>
  <c r="E275" i="82"/>
  <c r="F275" i="82"/>
  <c r="I276" i="82"/>
  <c r="D276" i="82"/>
  <c r="J276" i="82"/>
  <c r="E276" i="82"/>
  <c r="F276" i="82"/>
  <c r="I277" i="82"/>
  <c r="D277" i="82"/>
  <c r="J277" i="82"/>
  <c r="E277" i="82"/>
  <c r="F277" i="82"/>
  <c r="I278" i="82"/>
  <c r="D278" i="82"/>
  <c r="J278" i="82"/>
  <c r="E278" i="82"/>
  <c r="F278" i="82"/>
  <c r="I279" i="82"/>
  <c r="D279" i="82"/>
  <c r="J279" i="82"/>
  <c r="E279" i="82"/>
  <c r="F279" i="82"/>
  <c r="I280" i="82"/>
  <c r="D280" i="82"/>
  <c r="J280" i="82"/>
  <c r="E280" i="82"/>
  <c r="F280" i="82"/>
  <c r="I281" i="82"/>
  <c r="D281" i="82"/>
  <c r="J281" i="82"/>
  <c r="E281" i="82"/>
  <c r="F281" i="82"/>
  <c r="I282" i="82"/>
  <c r="D282" i="82"/>
  <c r="J282" i="82"/>
  <c r="E282" i="82"/>
  <c r="F282" i="82"/>
  <c r="I283" i="82"/>
  <c r="D283" i="82"/>
  <c r="J283" i="82"/>
  <c r="E283" i="82"/>
  <c r="F283" i="82"/>
  <c r="I284" i="82"/>
  <c r="D284" i="82"/>
  <c r="J284" i="82"/>
  <c r="E284" i="82"/>
  <c r="F284" i="82"/>
  <c r="I285" i="82"/>
  <c r="D285" i="82"/>
  <c r="J285" i="82"/>
  <c r="E285" i="82"/>
  <c r="F285" i="82"/>
  <c r="I286" i="82"/>
  <c r="D286" i="82"/>
  <c r="J286" i="82"/>
  <c r="E286" i="82"/>
  <c r="F286" i="82"/>
  <c r="I287" i="82"/>
  <c r="D287" i="82"/>
  <c r="J287" i="82"/>
  <c r="E287" i="82"/>
  <c r="F287" i="82"/>
  <c r="I288" i="82"/>
  <c r="D288" i="82"/>
  <c r="J288" i="82"/>
  <c r="E288" i="82"/>
  <c r="F288" i="82"/>
  <c r="I289" i="82"/>
  <c r="D289" i="82"/>
  <c r="J289" i="82"/>
  <c r="E289" i="82"/>
  <c r="F289" i="82"/>
  <c r="I290" i="82"/>
  <c r="D290" i="82"/>
  <c r="J290" i="82"/>
  <c r="E290" i="82"/>
  <c r="F290" i="82"/>
  <c r="I291" i="82"/>
  <c r="D291" i="82"/>
  <c r="J291" i="82"/>
  <c r="E291" i="82"/>
  <c r="F291" i="82"/>
  <c r="I292" i="82"/>
  <c r="D292" i="82"/>
  <c r="J292" i="82"/>
  <c r="E292" i="82"/>
  <c r="F292" i="82"/>
  <c r="I293" i="82"/>
  <c r="D293" i="82"/>
  <c r="J293" i="82"/>
  <c r="E293" i="82"/>
  <c r="F293" i="82"/>
  <c r="I294" i="82"/>
  <c r="D294" i="82"/>
  <c r="J294" i="82"/>
  <c r="E294" i="82"/>
  <c r="F294" i="82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" i="154"/>
  <c r="P3" i="150"/>
  <c r="P4" i="150"/>
  <c r="P5" i="150"/>
  <c r="P6" i="150"/>
  <c r="P7" i="150"/>
  <c r="P8" i="150"/>
  <c r="P9" i="150"/>
  <c r="P10" i="150"/>
  <c r="P11" i="150"/>
  <c r="P12" i="150"/>
  <c r="P13" i="150"/>
  <c r="P14" i="150"/>
  <c r="P15" i="150"/>
  <c r="P16" i="150"/>
  <c r="P17" i="150"/>
  <c r="P18" i="150"/>
  <c r="P19" i="150"/>
  <c r="P20" i="150"/>
  <c r="P21" i="150"/>
  <c r="P22" i="150"/>
  <c r="P23" i="150"/>
  <c r="P24" i="150"/>
  <c r="P25" i="150"/>
  <c r="P26" i="150"/>
  <c r="P27" i="150"/>
  <c r="P28" i="150"/>
  <c r="P29" i="150"/>
  <c r="P30" i="150"/>
  <c r="P31" i="150"/>
  <c r="P32" i="150"/>
  <c r="P33" i="150"/>
  <c r="P34" i="150"/>
  <c r="P35" i="150"/>
  <c r="P36" i="150"/>
  <c r="P37" i="150"/>
  <c r="P38" i="150"/>
  <c r="P39" i="150"/>
  <c r="P40" i="150"/>
  <c r="P41" i="150"/>
  <c r="P42" i="150"/>
  <c r="P43" i="150"/>
  <c r="P44" i="150"/>
  <c r="P45" i="150"/>
  <c r="P46" i="150"/>
  <c r="P47" i="150"/>
  <c r="P48" i="150"/>
  <c r="P49" i="150"/>
  <c r="P50" i="150"/>
  <c r="P51" i="150"/>
  <c r="P52" i="150"/>
  <c r="P53" i="150"/>
  <c r="P54" i="150"/>
  <c r="P55" i="150"/>
  <c r="P56" i="150"/>
  <c r="P57" i="150"/>
  <c r="P58" i="150"/>
  <c r="P59" i="150"/>
  <c r="P60" i="150"/>
  <c r="P61" i="150"/>
  <c r="P62" i="150"/>
  <c r="P63" i="150"/>
  <c r="P64" i="150"/>
  <c r="P65" i="150"/>
  <c r="P66" i="150"/>
  <c r="P67" i="150"/>
  <c r="P68" i="150"/>
  <c r="P69" i="150"/>
  <c r="P70" i="150"/>
  <c r="P71" i="150"/>
  <c r="P72" i="150"/>
  <c r="P73" i="150"/>
  <c r="P74" i="150"/>
  <c r="P75" i="150"/>
  <c r="P76" i="150"/>
  <c r="P77" i="150"/>
  <c r="P78" i="150"/>
  <c r="P79" i="150"/>
  <c r="P80" i="150"/>
  <c r="P81" i="150"/>
  <c r="P82" i="150"/>
  <c r="P83" i="150"/>
  <c r="P84" i="150"/>
  <c r="P85" i="150"/>
  <c r="P86" i="150"/>
  <c r="P87" i="150"/>
  <c r="P88" i="150"/>
  <c r="P89" i="150"/>
  <c r="P90" i="150"/>
  <c r="P91" i="150"/>
  <c r="P92" i="150"/>
  <c r="P93" i="150"/>
  <c r="P94" i="150"/>
  <c r="P95" i="150"/>
  <c r="P96" i="150"/>
  <c r="P97" i="150"/>
  <c r="P98" i="150"/>
  <c r="P99" i="150"/>
  <c r="P100" i="150"/>
  <c r="P101" i="150"/>
  <c r="P102" i="150"/>
  <c r="P103" i="150"/>
  <c r="P104" i="150"/>
  <c r="P105" i="150"/>
  <c r="P106" i="150"/>
  <c r="P107" i="150"/>
  <c r="P108" i="150"/>
  <c r="P109" i="150"/>
  <c r="P110" i="150"/>
  <c r="P111" i="150"/>
  <c r="P112" i="150"/>
  <c r="P113" i="150"/>
  <c r="P114" i="150"/>
  <c r="P115" i="150"/>
  <c r="P116" i="150"/>
  <c r="P117" i="150"/>
  <c r="P118" i="150"/>
  <c r="P119" i="150"/>
  <c r="P120" i="150"/>
  <c r="P121" i="150"/>
  <c r="P122" i="150"/>
  <c r="P123" i="150"/>
  <c r="P124" i="150"/>
  <c r="P125" i="150"/>
  <c r="P126" i="150"/>
  <c r="P127" i="150"/>
  <c r="P128" i="150"/>
  <c r="P129" i="150"/>
  <c r="P130" i="150"/>
  <c r="P131" i="150"/>
  <c r="P132" i="150"/>
  <c r="P133" i="150"/>
  <c r="P134" i="150"/>
  <c r="P135" i="150"/>
  <c r="P136" i="150"/>
  <c r="P137" i="150"/>
  <c r="P138" i="150"/>
  <c r="P139" i="150"/>
  <c r="P140" i="150"/>
  <c r="P141" i="150"/>
  <c r="P142" i="150"/>
  <c r="P143" i="150"/>
  <c r="P144" i="150"/>
  <c r="P145" i="150"/>
  <c r="P146" i="150"/>
  <c r="P147" i="150"/>
  <c r="P148" i="150"/>
  <c r="P149" i="150"/>
  <c r="P150" i="150"/>
  <c r="P151" i="150"/>
  <c r="P152" i="150"/>
  <c r="P153" i="150"/>
  <c r="P154" i="150"/>
  <c r="P155" i="150"/>
  <c r="P156" i="150"/>
  <c r="P157" i="150"/>
  <c r="P158" i="150"/>
  <c r="P159" i="150"/>
  <c r="P160" i="150"/>
  <c r="P161" i="150"/>
  <c r="P162" i="150"/>
  <c r="P163" i="150"/>
  <c r="P164" i="150"/>
  <c r="P165" i="150"/>
  <c r="P166" i="150"/>
  <c r="P167" i="150"/>
  <c r="P168" i="150"/>
  <c r="P169" i="150"/>
  <c r="P170" i="150"/>
  <c r="P171" i="150"/>
  <c r="P172" i="150"/>
  <c r="P173" i="150"/>
  <c r="P174" i="150"/>
  <c r="P175" i="150"/>
  <c r="P176" i="150"/>
  <c r="P177" i="150"/>
  <c r="P178" i="150"/>
  <c r="P179" i="150"/>
  <c r="P180" i="150"/>
  <c r="P181" i="150"/>
  <c r="P182" i="150"/>
  <c r="P183" i="150"/>
  <c r="P184" i="150"/>
  <c r="P185" i="150"/>
  <c r="P186" i="150"/>
  <c r="P187" i="150"/>
  <c r="P188" i="150"/>
  <c r="P189" i="150"/>
  <c r="P190" i="150"/>
  <c r="P191" i="150"/>
  <c r="P192" i="150"/>
  <c r="P193" i="150"/>
  <c r="P194" i="150"/>
  <c r="P195" i="150"/>
  <c r="P196" i="150"/>
  <c r="P197" i="150"/>
  <c r="P198" i="150"/>
  <c r="P199" i="150"/>
  <c r="P200" i="150"/>
  <c r="P201" i="150"/>
  <c r="P202" i="150"/>
  <c r="P203" i="150"/>
  <c r="P204" i="150"/>
  <c r="P205" i="150"/>
  <c r="P206" i="150"/>
  <c r="P207" i="150"/>
  <c r="P208" i="150"/>
  <c r="P209" i="150"/>
  <c r="P210" i="150"/>
  <c r="P211" i="150"/>
  <c r="P212" i="150"/>
  <c r="P213" i="150"/>
  <c r="P214" i="150"/>
  <c r="P215" i="150"/>
  <c r="P216" i="150"/>
  <c r="P217" i="150"/>
  <c r="P218" i="150"/>
  <c r="P219" i="150"/>
  <c r="P220" i="150"/>
  <c r="P221" i="150"/>
  <c r="P222" i="150"/>
  <c r="P223" i="150"/>
  <c r="P224" i="150"/>
  <c r="P225" i="150"/>
  <c r="P226" i="150"/>
  <c r="P227" i="150"/>
  <c r="P228" i="150"/>
  <c r="P229" i="150"/>
  <c r="P230" i="150"/>
  <c r="P231" i="150"/>
  <c r="P232" i="150"/>
  <c r="P233" i="150"/>
  <c r="P234" i="150"/>
  <c r="P235" i="150"/>
  <c r="P236" i="150"/>
  <c r="P237" i="150"/>
  <c r="P238" i="150"/>
  <c r="P239" i="150"/>
  <c r="P240" i="150"/>
  <c r="P241" i="150"/>
  <c r="P242" i="150"/>
  <c r="P243" i="150"/>
  <c r="P244" i="150"/>
  <c r="P245" i="150"/>
  <c r="P246" i="150"/>
  <c r="P247" i="150"/>
  <c r="P248" i="150"/>
  <c r="P249" i="150"/>
  <c r="P250" i="150"/>
  <c r="P251" i="150"/>
  <c r="P252" i="150"/>
  <c r="P253" i="150"/>
  <c r="P254" i="150"/>
  <c r="P255" i="150"/>
  <c r="P256" i="150"/>
  <c r="P257" i="150"/>
  <c r="P258" i="150"/>
  <c r="P259" i="150"/>
  <c r="P260" i="150"/>
  <c r="P261" i="150"/>
  <c r="P262" i="150"/>
  <c r="P263" i="150"/>
  <c r="P264" i="150"/>
  <c r="P265" i="150"/>
  <c r="P266" i="150"/>
  <c r="P267" i="150"/>
  <c r="P268" i="150"/>
  <c r="P269" i="150"/>
  <c r="P270" i="150"/>
  <c r="P271" i="150"/>
  <c r="P272" i="150"/>
  <c r="P273" i="150"/>
  <c r="P274" i="150"/>
  <c r="P275" i="150"/>
  <c r="P276" i="150"/>
  <c r="P277" i="150"/>
  <c r="P278" i="150"/>
  <c r="P279" i="150"/>
  <c r="P280" i="150"/>
  <c r="P281" i="150"/>
  <c r="P282" i="150"/>
  <c r="P283" i="150"/>
  <c r="P284" i="150"/>
  <c r="P285" i="150"/>
  <c r="P286" i="150"/>
  <c r="P287" i="150"/>
  <c r="P288" i="150"/>
  <c r="P289" i="150"/>
  <c r="P290" i="150"/>
  <c r="P291" i="150"/>
  <c r="P292" i="150"/>
  <c r="P293" i="150"/>
  <c r="P294" i="150"/>
  <c r="P2" i="150"/>
  <c r="P3" i="148"/>
  <c r="P4" i="148"/>
  <c r="P5" i="148"/>
  <c r="P6" i="148"/>
  <c r="P7" i="148"/>
  <c r="P8" i="148"/>
  <c r="P9" i="148"/>
  <c r="P10" i="148"/>
  <c r="P11" i="148"/>
  <c r="P12" i="148"/>
  <c r="P13" i="148"/>
  <c r="P14" i="148"/>
  <c r="P15" i="148"/>
  <c r="P16" i="148"/>
  <c r="P17" i="148"/>
  <c r="P18" i="148"/>
  <c r="P19" i="148"/>
  <c r="P20" i="148"/>
  <c r="P21" i="148"/>
  <c r="P22" i="148"/>
  <c r="P23" i="148"/>
  <c r="P24" i="148"/>
  <c r="P25" i="148"/>
  <c r="P26" i="148"/>
  <c r="P27" i="148"/>
  <c r="P28" i="148"/>
  <c r="P29" i="148"/>
  <c r="P30" i="148"/>
  <c r="P31" i="148"/>
  <c r="P32" i="148"/>
  <c r="P33" i="148"/>
  <c r="P34" i="148"/>
  <c r="P35" i="148"/>
  <c r="P36" i="148"/>
  <c r="P37" i="148"/>
  <c r="P38" i="148"/>
  <c r="P39" i="148"/>
  <c r="P40" i="148"/>
  <c r="P41" i="148"/>
  <c r="P42" i="148"/>
  <c r="P43" i="148"/>
  <c r="P44" i="148"/>
  <c r="P45" i="148"/>
  <c r="P46" i="148"/>
  <c r="P47" i="148"/>
  <c r="P48" i="148"/>
  <c r="P49" i="148"/>
  <c r="P50" i="148"/>
  <c r="P51" i="148"/>
  <c r="P52" i="148"/>
  <c r="P53" i="148"/>
  <c r="P54" i="148"/>
  <c r="P55" i="148"/>
  <c r="P56" i="148"/>
  <c r="P57" i="148"/>
  <c r="P58" i="148"/>
  <c r="P59" i="148"/>
  <c r="P60" i="148"/>
  <c r="P61" i="148"/>
  <c r="P62" i="148"/>
  <c r="P63" i="148"/>
  <c r="P64" i="148"/>
  <c r="P65" i="148"/>
  <c r="P66" i="148"/>
  <c r="P67" i="148"/>
  <c r="P68" i="148"/>
  <c r="P69" i="148"/>
  <c r="P70" i="148"/>
  <c r="P71" i="148"/>
  <c r="P72" i="148"/>
  <c r="P73" i="148"/>
  <c r="P74" i="148"/>
  <c r="P75" i="148"/>
  <c r="P76" i="148"/>
  <c r="P77" i="148"/>
  <c r="P78" i="148"/>
  <c r="P79" i="148"/>
  <c r="P80" i="148"/>
  <c r="P81" i="148"/>
  <c r="P82" i="148"/>
  <c r="P83" i="148"/>
  <c r="P84" i="148"/>
  <c r="P85" i="148"/>
  <c r="P86" i="148"/>
  <c r="P87" i="148"/>
  <c r="P88" i="148"/>
  <c r="P89" i="148"/>
  <c r="P90" i="148"/>
  <c r="P91" i="148"/>
  <c r="P92" i="148"/>
  <c r="P93" i="148"/>
  <c r="P94" i="148"/>
  <c r="P95" i="148"/>
  <c r="P96" i="148"/>
  <c r="P97" i="148"/>
  <c r="P98" i="148"/>
  <c r="P99" i="148"/>
  <c r="P100" i="148"/>
  <c r="P101" i="148"/>
  <c r="P102" i="148"/>
  <c r="P103" i="148"/>
  <c r="P104" i="148"/>
  <c r="P105" i="148"/>
  <c r="P106" i="148"/>
  <c r="P107" i="148"/>
  <c r="P108" i="148"/>
  <c r="P109" i="148"/>
  <c r="P110" i="148"/>
  <c r="P111" i="148"/>
  <c r="P112" i="148"/>
  <c r="P113" i="148"/>
  <c r="P114" i="148"/>
  <c r="P115" i="148"/>
  <c r="P116" i="148"/>
  <c r="P117" i="148"/>
  <c r="P118" i="148"/>
  <c r="P119" i="148"/>
  <c r="P120" i="148"/>
  <c r="P121" i="148"/>
  <c r="P122" i="148"/>
  <c r="P123" i="148"/>
  <c r="P124" i="148"/>
  <c r="P125" i="148"/>
  <c r="P126" i="148"/>
  <c r="P127" i="148"/>
  <c r="P128" i="148"/>
  <c r="P129" i="148"/>
  <c r="P130" i="148"/>
  <c r="P131" i="148"/>
  <c r="P132" i="148"/>
  <c r="P133" i="148"/>
  <c r="P134" i="148"/>
  <c r="P135" i="148"/>
  <c r="P136" i="148"/>
  <c r="P137" i="148"/>
  <c r="P138" i="148"/>
  <c r="P139" i="148"/>
  <c r="P140" i="148"/>
  <c r="P141" i="148"/>
  <c r="P142" i="148"/>
  <c r="P143" i="148"/>
  <c r="P144" i="148"/>
  <c r="P145" i="148"/>
  <c r="P146" i="148"/>
  <c r="P147" i="148"/>
  <c r="P148" i="148"/>
  <c r="P149" i="148"/>
  <c r="P150" i="148"/>
  <c r="P151" i="148"/>
  <c r="P152" i="148"/>
  <c r="P153" i="148"/>
  <c r="P154" i="148"/>
  <c r="P155" i="148"/>
  <c r="P156" i="148"/>
  <c r="P157" i="148"/>
  <c r="P158" i="148"/>
  <c r="P159" i="148"/>
  <c r="P160" i="148"/>
  <c r="P161" i="148"/>
  <c r="P162" i="148"/>
  <c r="P163" i="148"/>
  <c r="P164" i="148"/>
  <c r="P165" i="148"/>
  <c r="P166" i="148"/>
  <c r="P167" i="148"/>
  <c r="P168" i="148"/>
  <c r="P169" i="148"/>
  <c r="P170" i="148"/>
  <c r="P171" i="148"/>
  <c r="P172" i="148"/>
  <c r="P173" i="148"/>
  <c r="P174" i="148"/>
  <c r="P175" i="148"/>
  <c r="P176" i="148"/>
  <c r="P177" i="148"/>
  <c r="P178" i="148"/>
  <c r="P179" i="148"/>
  <c r="P180" i="148"/>
  <c r="P181" i="148"/>
  <c r="P182" i="148"/>
  <c r="P183" i="148"/>
  <c r="P184" i="148"/>
  <c r="P185" i="148"/>
  <c r="P186" i="148"/>
  <c r="P187" i="148"/>
  <c r="P188" i="148"/>
  <c r="P189" i="148"/>
  <c r="P190" i="148"/>
  <c r="P191" i="148"/>
  <c r="P192" i="148"/>
  <c r="P193" i="148"/>
  <c r="P194" i="148"/>
  <c r="P195" i="148"/>
  <c r="P196" i="148"/>
  <c r="P197" i="148"/>
  <c r="P198" i="148"/>
  <c r="P199" i="148"/>
  <c r="P200" i="148"/>
  <c r="P201" i="148"/>
  <c r="P202" i="148"/>
  <c r="P203" i="148"/>
  <c r="P204" i="148"/>
  <c r="P205" i="148"/>
  <c r="P206" i="148"/>
  <c r="P207" i="148"/>
  <c r="P208" i="148"/>
  <c r="P209" i="148"/>
  <c r="P210" i="148"/>
  <c r="P211" i="148"/>
  <c r="P212" i="148"/>
  <c r="P213" i="148"/>
  <c r="P214" i="148"/>
  <c r="P215" i="148"/>
  <c r="P216" i="148"/>
  <c r="P217" i="148"/>
  <c r="P218" i="148"/>
  <c r="P219" i="148"/>
  <c r="P220" i="148"/>
  <c r="P221" i="148"/>
  <c r="P222" i="148"/>
  <c r="P223" i="148"/>
  <c r="P224" i="148"/>
  <c r="P225" i="148"/>
  <c r="P226" i="148"/>
  <c r="P227" i="148"/>
  <c r="P228" i="148"/>
  <c r="P229" i="148"/>
  <c r="P230" i="148"/>
  <c r="P231" i="148"/>
  <c r="P232" i="148"/>
  <c r="P233" i="148"/>
  <c r="P234" i="148"/>
  <c r="P235" i="148"/>
  <c r="P236" i="148"/>
  <c r="P237" i="148"/>
  <c r="P238" i="148"/>
  <c r="P239" i="148"/>
  <c r="P240" i="148"/>
  <c r="P241" i="148"/>
  <c r="P242" i="148"/>
  <c r="P243" i="148"/>
  <c r="P244" i="148"/>
  <c r="P245" i="148"/>
  <c r="P246" i="148"/>
  <c r="P247" i="148"/>
  <c r="P248" i="148"/>
  <c r="P249" i="148"/>
  <c r="P250" i="148"/>
  <c r="P251" i="148"/>
  <c r="P252" i="148"/>
  <c r="P253" i="148"/>
  <c r="P254" i="148"/>
  <c r="P255" i="148"/>
  <c r="P256" i="148"/>
  <c r="P257" i="148"/>
  <c r="P258" i="148"/>
  <c r="P259" i="148"/>
  <c r="P260" i="148"/>
  <c r="P261" i="148"/>
  <c r="P262" i="148"/>
  <c r="P263" i="148"/>
  <c r="P264" i="148"/>
  <c r="P265" i="148"/>
  <c r="P266" i="148"/>
  <c r="P267" i="148"/>
  <c r="P268" i="148"/>
  <c r="P269" i="148"/>
  <c r="P270" i="148"/>
  <c r="P271" i="148"/>
  <c r="P272" i="148"/>
  <c r="P273" i="148"/>
  <c r="P274" i="148"/>
  <c r="P275" i="148"/>
  <c r="P276" i="148"/>
  <c r="P277" i="148"/>
  <c r="P278" i="148"/>
  <c r="P279" i="148"/>
  <c r="P280" i="148"/>
  <c r="P281" i="148"/>
  <c r="P282" i="148"/>
  <c r="P283" i="148"/>
  <c r="P284" i="148"/>
  <c r="P285" i="148"/>
  <c r="P286" i="148"/>
  <c r="P287" i="148"/>
  <c r="P288" i="148"/>
  <c r="P289" i="148"/>
  <c r="P290" i="148"/>
  <c r="P291" i="148"/>
  <c r="P292" i="148"/>
  <c r="P293" i="148"/>
  <c r="P294" i="148"/>
  <c r="P2" i="148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P274" i="82"/>
  <c r="P275" i="82"/>
  <c r="P276" i="82"/>
  <c r="P277" i="82"/>
  <c r="P278" i="82"/>
  <c r="P279" i="82"/>
  <c r="P280" i="82"/>
  <c r="P281" i="82"/>
  <c r="P282" i="82"/>
  <c r="P283" i="82"/>
  <c r="P284" i="82"/>
  <c r="P285" i="82"/>
  <c r="P286" i="82"/>
  <c r="P287" i="82"/>
  <c r="P288" i="82"/>
  <c r="P289" i="82"/>
  <c r="P290" i="82"/>
  <c r="P291" i="82"/>
  <c r="P292" i="82"/>
  <c r="P293" i="82"/>
  <c r="P294" i="82"/>
  <c r="P2" i="82"/>
  <c r="H291" i="154"/>
  <c r="K291" i="154"/>
  <c r="L291" i="154"/>
  <c r="M291" i="154"/>
  <c r="N291" i="154"/>
  <c r="B10" i="153"/>
  <c r="H292" i="154"/>
  <c r="K292" i="154"/>
  <c r="L292" i="154"/>
  <c r="M292" i="154"/>
  <c r="N292" i="154"/>
  <c r="H293" i="154"/>
  <c r="K293" i="154"/>
  <c r="L293" i="154"/>
  <c r="M293" i="154"/>
  <c r="N293" i="154"/>
  <c r="H294" i="154"/>
  <c r="K294" i="154"/>
  <c r="L294" i="154"/>
  <c r="M294" i="154"/>
  <c r="N294" i="154"/>
  <c r="A291" i="150"/>
  <c r="H291" i="150"/>
  <c r="K291" i="150"/>
  <c r="L291" i="150"/>
  <c r="M291" i="150"/>
  <c r="N291" i="150"/>
  <c r="B10" i="149"/>
  <c r="A292" i="150"/>
  <c r="H292" i="150"/>
  <c r="K292" i="150"/>
  <c r="L292" i="150"/>
  <c r="M292" i="150"/>
  <c r="N292" i="150"/>
  <c r="H293" i="150"/>
  <c r="K293" i="150"/>
  <c r="L293" i="150"/>
  <c r="M293" i="150"/>
  <c r="N293" i="150"/>
  <c r="H294" i="150"/>
  <c r="K294" i="150"/>
  <c r="L294" i="150"/>
  <c r="M294" i="150"/>
  <c r="N294" i="150"/>
  <c r="H291" i="148"/>
  <c r="L291" i="148"/>
  <c r="M291" i="148"/>
  <c r="N291" i="148"/>
  <c r="B10" i="147"/>
  <c r="H292" i="148"/>
  <c r="L292" i="148"/>
  <c r="M292" i="148"/>
  <c r="N292" i="148"/>
  <c r="H293" i="148"/>
  <c r="L293" i="148"/>
  <c r="M293" i="148"/>
  <c r="N293" i="148"/>
  <c r="H294" i="148"/>
  <c r="L294" i="148"/>
  <c r="M294" i="148"/>
  <c r="N294" i="148"/>
  <c r="A291" i="82"/>
  <c r="H291" i="82"/>
  <c r="K291" i="82"/>
  <c r="L291" i="82"/>
  <c r="M291" i="82"/>
  <c r="N291" i="82"/>
  <c r="B10" i="106"/>
  <c r="A292" i="82"/>
  <c r="H292" i="82"/>
  <c r="K292" i="82"/>
  <c r="L292" i="82"/>
  <c r="M292" i="82"/>
  <c r="N292" i="82"/>
  <c r="A293" i="82"/>
  <c r="H293" i="82"/>
  <c r="K293" i="82"/>
  <c r="L293" i="82"/>
  <c r="M293" i="82"/>
  <c r="N293" i="82"/>
  <c r="A294" i="82"/>
  <c r="H294" i="82"/>
  <c r="K294" i="82"/>
  <c r="L294" i="82"/>
  <c r="M294" i="82"/>
  <c r="N294" i="82"/>
  <c r="A285" i="154"/>
  <c r="A286" i="154"/>
  <c r="H285" i="154"/>
  <c r="K285" i="154"/>
  <c r="L285" i="154"/>
  <c r="M285" i="154"/>
  <c r="N285" i="154"/>
  <c r="H286" i="154"/>
  <c r="K286" i="154"/>
  <c r="L286" i="154"/>
  <c r="M286" i="154"/>
  <c r="N286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H290" i="154"/>
  <c r="K290" i="154"/>
  <c r="L290" i="154"/>
  <c r="M290" i="154"/>
  <c r="N290" i="154"/>
  <c r="A284" i="150"/>
  <c r="A285" i="150"/>
  <c r="A286" i="150"/>
  <c r="A287" i="150"/>
  <c r="A288" i="150"/>
  <c r="A289" i="150"/>
  <c r="A290" i="150"/>
  <c r="H285" i="150"/>
  <c r="K285" i="150"/>
  <c r="L285" i="150"/>
  <c r="M285" i="150"/>
  <c r="N285" i="150"/>
  <c r="H286" i="150"/>
  <c r="K286" i="150"/>
  <c r="L286" i="150"/>
  <c r="M286" i="150"/>
  <c r="N286" i="150"/>
  <c r="H287" i="150"/>
  <c r="K287" i="150"/>
  <c r="L287" i="150"/>
  <c r="M287" i="150"/>
  <c r="N287" i="150"/>
  <c r="H288" i="150"/>
  <c r="K288" i="150"/>
  <c r="L288" i="150"/>
  <c r="M288" i="150"/>
  <c r="N288" i="150"/>
  <c r="H289" i="150"/>
  <c r="K289" i="150"/>
  <c r="L289" i="150"/>
  <c r="M289" i="150"/>
  <c r="N289" i="150"/>
  <c r="H290" i="150"/>
  <c r="K290" i="150"/>
  <c r="L290" i="150"/>
  <c r="M290" i="150"/>
  <c r="N290" i="150"/>
  <c r="A285" i="148"/>
  <c r="A286" i="148"/>
  <c r="A287" i="148"/>
  <c r="A288" i="148"/>
  <c r="H285" i="148"/>
  <c r="L285" i="148"/>
  <c r="M285" i="148"/>
  <c r="N285" i="148"/>
  <c r="H286" i="148"/>
  <c r="L286" i="148"/>
  <c r="M286" i="148"/>
  <c r="N286" i="148"/>
  <c r="H287" i="148"/>
  <c r="L287" i="148"/>
  <c r="M287" i="148"/>
  <c r="N287" i="148"/>
  <c r="H288" i="148"/>
  <c r="L288" i="148"/>
  <c r="M288" i="148"/>
  <c r="N288" i="148"/>
  <c r="H289" i="148"/>
  <c r="L289" i="148"/>
  <c r="M289" i="148"/>
  <c r="N289" i="148"/>
  <c r="H290" i="148"/>
  <c r="L290" i="148"/>
  <c r="M290" i="148"/>
  <c r="N290" i="148"/>
  <c r="A285" i="82"/>
  <c r="H285" i="82"/>
  <c r="K285" i="82"/>
  <c r="L285" i="82"/>
  <c r="M285" i="82"/>
  <c r="N285" i="82"/>
  <c r="A286" i="82"/>
  <c r="H286" i="82"/>
  <c r="K286" i="82"/>
  <c r="L286" i="82"/>
  <c r="M286" i="82"/>
  <c r="N286" i="82"/>
  <c r="A287" i="82"/>
  <c r="H287" i="82"/>
  <c r="K287" i="82"/>
  <c r="L287" i="82"/>
  <c r="M287" i="82"/>
  <c r="N287" i="82"/>
  <c r="A288" i="82"/>
  <c r="H288" i="82"/>
  <c r="K288" i="82"/>
  <c r="L288" i="82"/>
  <c r="M288" i="82"/>
  <c r="N288" i="82"/>
  <c r="A289" i="82"/>
  <c r="H289" i="82"/>
  <c r="K289" i="82"/>
  <c r="L289" i="82"/>
  <c r="M289" i="82"/>
  <c r="N289" i="82"/>
  <c r="A290" i="82"/>
  <c r="H290" i="82"/>
  <c r="K290" i="82"/>
  <c r="L290" i="82"/>
  <c r="M290" i="82"/>
  <c r="N290" i="82"/>
  <c r="C5" i="103"/>
  <c r="E5" i="103"/>
  <c r="C6" i="103"/>
  <c r="E6" i="103"/>
  <c r="C2" i="103"/>
  <c r="E2" i="103"/>
  <c r="B46" i="153"/>
  <c r="N284" i="154"/>
  <c r="M284" i="154"/>
  <c r="L284" i="154"/>
  <c r="K284" i="154"/>
  <c r="H284" i="154"/>
  <c r="A284" i="154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63" i="153"/>
  <c r="F62" i="153"/>
  <c r="B55" i="153"/>
  <c r="B56" i="153"/>
  <c r="B57" i="153"/>
  <c r="B58" i="153"/>
  <c r="B59" i="153"/>
  <c r="B60" i="153"/>
  <c r="B61" i="153"/>
  <c r="B62" i="153"/>
  <c r="C55" i="153"/>
  <c r="C56" i="153"/>
  <c r="C57" i="153"/>
  <c r="C58" i="153"/>
  <c r="C59" i="153"/>
  <c r="C60" i="153"/>
  <c r="C61" i="153"/>
  <c r="C62" i="153"/>
  <c r="F61" i="153"/>
  <c r="F60" i="153"/>
  <c r="F57" i="153"/>
  <c r="G57" i="153"/>
  <c r="F56" i="153"/>
  <c r="G56" i="153"/>
  <c r="F55" i="153"/>
  <c r="G55" i="153"/>
  <c r="B47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47" i="153"/>
  <c r="D47" i="153"/>
  <c r="I46" i="153"/>
  <c r="J46" i="153"/>
  <c r="F46" i="153"/>
  <c r="C46" i="153"/>
  <c r="D46" i="153"/>
  <c r="G45" i="153"/>
  <c r="E45" i="153"/>
  <c r="H45" i="153"/>
  <c r="I45" i="153"/>
  <c r="J45" i="153"/>
  <c r="F45" i="153"/>
  <c r="C45" i="153"/>
  <c r="D45" i="153"/>
  <c r="I44" i="153"/>
  <c r="J44" i="153"/>
  <c r="F44" i="153"/>
  <c r="C44" i="153"/>
  <c r="D44" i="153"/>
  <c r="I43" i="153"/>
  <c r="J43" i="153"/>
  <c r="F43" i="153"/>
  <c r="C43" i="153"/>
  <c r="D43" i="153"/>
  <c r="I42" i="153"/>
  <c r="J42" i="153"/>
  <c r="F42" i="153"/>
  <c r="C42" i="153"/>
  <c r="D42" i="153"/>
  <c r="I41" i="153"/>
  <c r="J41" i="153"/>
  <c r="F41" i="153"/>
  <c r="C41" i="153"/>
  <c r="D41" i="153"/>
  <c r="I40" i="153"/>
  <c r="J40" i="153"/>
  <c r="F40" i="153"/>
  <c r="C40" i="153"/>
  <c r="D40" i="153"/>
  <c r="I39" i="153"/>
  <c r="J39" i="153"/>
  <c r="F39" i="153"/>
  <c r="C39" i="153"/>
  <c r="D39" i="153"/>
  <c r="I38" i="153"/>
  <c r="J38" i="153"/>
  <c r="F38" i="153"/>
  <c r="C38" i="153"/>
  <c r="D38" i="153"/>
  <c r="I37" i="153"/>
  <c r="J37" i="153"/>
  <c r="F37" i="153"/>
  <c r="C37" i="153"/>
  <c r="D37" i="153"/>
  <c r="I36" i="153"/>
  <c r="J36" i="153"/>
  <c r="F36" i="153"/>
  <c r="C36" i="153"/>
  <c r="D36" i="153"/>
  <c r="I35" i="153"/>
  <c r="J35" i="153"/>
  <c r="F35" i="153"/>
  <c r="C35" i="153"/>
  <c r="D35" i="153"/>
  <c r="I34" i="153"/>
  <c r="J34" i="153"/>
  <c r="F34" i="153"/>
  <c r="C34" i="153"/>
  <c r="D34" i="153"/>
  <c r="I33" i="153"/>
  <c r="J33" i="153"/>
  <c r="F33" i="153"/>
  <c r="C33" i="153"/>
  <c r="D33" i="153"/>
  <c r="I32" i="153"/>
  <c r="J32" i="153"/>
  <c r="F32" i="153"/>
  <c r="C32" i="153"/>
  <c r="D32" i="153"/>
  <c r="I31" i="153"/>
  <c r="J31" i="153"/>
  <c r="F31" i="153"/>
  <c r="D31" i="153"/>
  <c r="G30" i="153"/>
  <c r="E30" i="153"/>
  <c r="H3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R3" i="153"/>
  <c r="P3" i="153"/>
  <c r="O3" i="153"/>
  <c r="M3" i="153"/>
  <c r="V2" i="153"/>
  <c r="B46" i="149"/>
  <c r="N284" i="150"/>
  <c r="M284" i="150"/>
  <c r="L284" i="150"/>
  <c r="K284" i="150"/>
  <c r="H284" i="150"/>
  <c r="N283" i="150"/>
  <c r="M283" i="150"/>
  <c r="L283" i="150"/>
  <c r="K283" i="150"/>
  <c r="H283" i="150"/>
  <c r="A283" i="150"/>
  <c r="N282" i="150"/>
  <c r="M282" i="150"/>
  <c r="L282" i="150"/>
  <c r="K282" i="150"/>
  <c r="H282" i="150"/>
  <c r="A282" i="150"/>
  <c r="N281" i="150"/>
  <c r="M281" i="150"/>
  <c r="L281" i="150"/>
  <c r="K281" i="150"/>
  <c r="H281" i="150"/>
  <c r="A281" i="150"/>
  <c r="N280" i="150"/>
  <c r="M280" i="150"/>
  <c r="L280" i="150"/>
  <c r="K280" i="150"/>
  <c r="H280" i="150"/>
  <c r="A280" i="150"/>
  <c r="N279" i="150"/>
  <c r="M279" i="150"/>
  <c r="L279" i="150"/>
  <c r="K279" i="150"/>
  <c r="H279" i="150"/>
  <c r="A279" i="150"/>
  <c r="N278" i="150"/>
  <c r="M278" i="150"/>
  <c r="L278" i="150"/>
  <c r="K278" i="150"/>
  <c r="H278" i="150"/>
  <c r="A278" i="150"/>
  <c r="N277" i="150"/>
  <c r="M277" i="150"/>
  <c r="L277" i="150"/>
  <c r="K277" i="150"/>
  <c r="H277" i="150"/>
  <c r="A277" i="150"/>
  <c r="N276" i="150"/>
  <c r="M276" i="150"/>
  <c r="L276" i="150"/>
  <c r="K276" i="150"/>
  <c r="H276" i="150"/>
  <c r="A276" i="150"/>
  <c r="N275" i="150"/>
  <c r="M275" i="150"/>
  <c r="L275" i="150"/>
  <c r="K275" i="150"/>
  <c r="H275" i="150"/>
  <c r="A275" i="150"/>
  <c r="N274" i="150"/>
  <c r="M274" i="150"/>
  <c r="L274" i="150"/>
  <c r="K274" i="150"/>
  <c r="H274" i="150"/>
  <c r="A274" i="150"/>
  <c r="N273" i="150"/>
  <c r="M273" i="150"/>
  <c r="L273" i="150"/>
  <c r="K273" i="150"/>
  <c r="H273" i="150"/>
  <c r="A273" i="150"/>
  <c r="N272" i="150"/>
  <c r="M272" i="150"/>
  <c r="L272" i="150"/>
  <c r="K272" i="150"/>
  <c r="H272" i="150"/>
  <c r="A272" i="150"/>
  <c r="N271" i="150"/>
  <c r="M271" i="150"/>
  <c r="L271" i="150"/>
  <c r="K271" i="150"/>
  <c r="H271" i="150"/>
  <c r="A271" i="150"/>
  <c r="N270" i="150"/>
  <c r="M270" i="150"/>
  <c r="L270" i="150"/>
  <c r="K270" i="150"/>
  <c r="H270" i="150"/>
  <c r="A270" i="150"/>
  <c r="N269" i="150"/>
  <c r="M269" i="150"/>
  <c r="L269" i="150"/>
  <c r="K269" i="150"/>
  <c r="H269" i="150"/>
  <c r="A269" i="150"/>
  <c r="N268" i="150"/>
  <c r="M268" i="150"/>
  <c r="L268" i="150"/>
  <c r="K268" i="150"/>
  <c r="H268" i="150"/>
  <c r="A268" i="150"/>
  <c r="N267" i="150"/>
  <c r="M267" i="150"/>
  <c r="L267" i="150"/>
  <c r="K267" i="150"/>
  <c r="H267" i="150"/>
  <c r="A267" i="150"/>
  <c r="N266" i="150"/>
  <c r="M266" i="150"/>
  <c r="L266" i="150"/>
  <c r="K266" i="150"/>
  <c r="H266" i="150"/>
  <c r="A266" i="150"/>
  <c r="N265" i="150"/>
  <c r="M265" i="150"/>
  <c r="L265" i="150"/>
  <c r="K265" i="150"/>
  <c r="H265" i="150"/>
  <c r="A265" i="150"/>
  <c r="N264" i="150"/>
  <c r="M264" i="150"/>
  <c r="L264" i="150"/>
  <c r="K264" i="150"/>
  <c r="H264" i="150"/>
  <c r="A264" i="150"/>
  <c r="N263" i="150"/>
  <c r="M263" i="150"/>
  <c r="L263" i="150"/>
  <c r="K263" i="150"/>
  <c r="H263" i="150"/>
  <c r="A263" i="150"/>
  <c r="N262" i="150"/>
  <c r="M262" i="150"/>
  <c r="L262" i="150"/>
  <c r="K262" i="150"/>
  <c r="H262" i="150"/>
  <c r="A262" i="150"/>
  <c r="N261" i="150"/>
  <c r="M261" i="150"/>
  <c r="L261" i="150"/>
  <c r="K261" i="150"/>
  <c r="H261" i="150"/>
  <c r="A261" i="150"/>
  <c r="N260" i="150"/>
  <c r="M260" i="150"/>
  <c r="L260" i="150"/>
  <c r="K260" i="150"/>
  <c r="H260" i="150"/>
  <c r="A260" i="150"/>
  <c r="N259" i="150"/>
  <c r="M259" i="150"/>
  <c r="L259" i="150"/>
  <c r="K259" i="150"/>
  <c r="H259" i="150"/>
  <c r="A259" i="150"/>
  <c r="N258" i="150"/>
  <c r="M258" i="150"/>
  <c r="L258" i="150"/>
  <c r="K258" i="150"/>
  <c r="H258" i="150"/>
  <c r="A258" i="150"/>
  <c r="N257" i="150"/>
  <c r="M257" i="150"/>
  <c r="L257" i="150"/>
  <c r="K257" i="150"/>
  <c r="H257" i="150"/>
  <c r="A257" i="150"/>
  <c r="N256" i="150"/>
  <c r="M256" i="150"/>
  <c r="L256" i="150"/>
  <c r="K256" i="150"/>
  <c r="H256" i="150"/>
  <c r="A256" i="150"/>
  <c r="N255" i="150"/>
  <c r="M255" i="150"/>
  <c r="L255" i="150"/>
  <c r="K255" i="150"/>
  <c r="H255" i="150"/>
  <c r="A255" i="150"/>
  <c r="N254" i="150"/>
  <c r="M254" i="150"/>
  <c r="L254" i="150"/>
  <c r="K254" i="150"/>
  <c r="H254" i="150"/>
  <c r="A254" i="150"/>
  <c r="N253" i="150"/>
  <c r="M253" i="150"/>
  <c r="L253" i="150"/>
  <c r="K253" i="150"/>
  <c r="H253" i="150"/>
  <c r="A253" i="150"/>
  <c r="N252" i="150"/>
  <c r="M252" i="150"/>
  <c r="L252" i="150"/>
  <c r="K252" i="150"/>
  <c r="H252" i="150"/>
  <c r="A252" i="150"/>
  <c r="N251" i="150"/>
  <c r="M251" i="150"/>
  <c r="L251" i="150"/>
  <c r="K251" i="150"/>
  <c r="H251" i="150"/>
  <c r="A251" i="150"/>
  <c r="N250" i="150"/>
  <c r="M250" i="150"/>
  <c r="L250" i="150"/>
  <c r="K250" i="150"/>
  <c r="H250" i="150"/>
  <c r="A250" i="150"/>
  <c r="N249" i="150"/>
  <c r="M249" i="150"/>
  <c r="L249" i="150"/>
  <c r="K249" i="150"/>
  <c r="H249" i="150"/>
  <c r="A249" i="150"/>
  <c r="N248" i="150"/>
  <c r="M248" i="150"/>
  <c r="L248" i="150"/>
  <c r="K248" i="150"/>
  <c r="H248" i="150"/>
  <c r="A248" i="150"/>
  <c r="N247" i="150"/>
  <c r="M247" i="150"/>
  <c r="L247" i="150"/>
  <c r="K247" i="150"/>
  <c r="H247" i="150"/>
  <c r="A247" i="150"/>
  <c r="N246" i="150"/>
  <c r="M246" i="150"/>
  <c r="L246" i="150"/>
  <c r="K246" i="150"/>
  <c r="H246" i="150"/>
  <c r="A246" i="150"/>
  <c r="N245" i="150"/>
  <c r="M245" i="150"/>
  <c r="L245" i="150"/>
  <c r="K245" i="150"/>
  <c r="H245" i="150"/>
  <c r="A245" i="150"/>
  <c r="N244" i="150"/>
  <c r="M244" i="150"/>
  <c r="L244" i="150"/>
  <c r="K244" i="150"/>
  <c r="H244" i="150"/>
  <c r="A244" i="150"/>
  <c r="N243" i="150"/>
  <c r="M243" i="150"/>
  <c r="L243" i="150"/>
  <c r="K243" i="150"/>
  <c r="H243" i="150"/>
  <c r="A243" i="150"/>
  <c r="N242" i="150"/>
  <c r="M242" i="150"/>
  <c r="L242" i="150"/>
  <c r="K242" i="150"/>
  <c r="H242" i="150"/>
  <c r="A242" i="150"/>
  <c r="N241" i="150"/>
  <c r="M241" i="150"/>
  <c r="L241" i="150"/>
  <c r="K241" i="150"/>
  <c r="H241" i="150"/>
  <c r="A241" i="150"/>
  <c r="N240" i="150"/>
  <c r="M240" i="150"/>
  <c r="L240" i="150"/>
  <c r="K240" i="150"/>
  <c r="H240" i="150"/>
  <c r="A240" i="150"/>
  <c r="N239" i="150"/>
  <c r="M239" i="150"/>
  <c r="L239" i="150"/>
  <c r="K239" i="150"/>
  <c r="H239" i="150"/>
  <c r="A239" i="150"/>
  <c r="N238" i="150"/>
  <c r="M238" i="150"/>
  <c r="L238" i="150"/>
  <c r="K238" i="150"/>
  <c r="H238" i="150"/>
  <c r="A238" i="150"/>
  <c r="N237" i="150"/>
  <c r="M237" i="150"/>
  <c r="L237" i="150"/>
  <c r="K237" i="150"/>
  <c r="H237" i="150"/>
  <c r="A237" i="150"/>
  <c r="N236" i="150"/>
  <c r="M236" i="150"/>
  <c r="L236" i="150"/>
  <c r="K236" i="150"/>
  <c r="H236" i="150"/>
  <c r="A236" i="150"/>
  <c r="N235" i="150"/>
  <c r="M235" i="150"/>
  <c r="L235" i="150"/>
  <c r="K235" i="150"/>
  <c r="H235" i="150"/>
  <c r="A235" i="150"/>
  <c r="N234" i="150"/>
  <c r="M234" i="150"/>
  <c r="L234" i="150"/>
  <c r="K234" i="150"/>
  <c r="H234" i="150"/>
  <c r="A234" i="150"/>
  <c r="N233" i="150"/>
  <c r="M233" i="150"/>
  <c r="L233" i="150"/>
  <c r="K233" i="150"/>
  <c r="H233" i="150"/>
  <c r="A233" i="150"/>
  <c r="N232" i="150"/>
  <c r="M232" i="150"/>
  <c r="L232" i="150"/>
  <c r="K232" i="150"/>
  <c r="H232" i="150"/>
  <c r="A232" i="150"/>
  <c r="N231" i="150"/>
  <c r="M231" i="150"/>
  <c r="L231" i="150"/>
  <c r="K231" i="150"/>
  <c r="H231" i="150"/>
  <c r="A231" i="150"/>
  <c r="N230" i="150"/>
  <c r="M230" i="150"/>
  <c r="L230" i="150"/>
  <c r="K230" i="150"/>
  <c r="H230" i="150"/>
  <c r="A230" i="150"/>
  <c r="N229" i="150"/>
  <c r="M229" i="150"/>
  <c r="L229" i="150"/>
  <c r="K229" i="150"/>
  <c r="H229" i="150"/>
  <c r="A229" i="150"/>
  <c r="N228" i="150"/>
  <c r="M228" i="150"/>
  <c r="L228" i="150"/>
  <c r="K228" i="150"/>
  <c r="H228" i="150"/>
  <c r="A228" i="150"/>
  <c r="N227" i="150"/>
  <c r="M227" i="150"/>
  <c r="L227" i="150"/>
  <c r="K227" i="150"/>
  <c r="H227" i="150"/>
  <c r="A227" i="150"/>
  <c r="N226" i="150"/>
  <c r="M226" i="150"/>
  <c r="L226" i="150"/>
  <c r="K226" i="150"/>
  <c r="H226" i="150"/>
  <c r="A226" i="150"/>
  <c r="N225" i="150"/>
  <c r="M225" i="150"/>
  <c r="L225" i="150"/>
  <c r="K225" i="150"/>
  <c r="H225" i="150"/>
  <c r="A225" i="150"/>
  <c r="N224" i="150"/>
  <c r="M224" i="150"/>
  <c r="L224" i="150"/>
  <c r="K224" i="150"/>
  <c r="H224" i="150"/>
  <c r="A224" i="150"/>
  <c r="N223" i="150"/>
  <c r="M223" i="150"/>
  <c r="L223" i="150"/>
  <c r="K223" i="150"/>
  <c r="H223" i="150"/>
  <c r="A223" i="150"/>
  <c r="N222" i="150"/>
  <c r="M222" i="150"/>
  <c r="L222" i="150"/>
  <c r="K222" i="150"/>
  <c r="H222" i="150"/>
  <c r="A222" i="150"/>
  <c r="N221" i="150"/>
  <c r="M221" i="150"/>
  <c r="L221" i="150"/>
  <c r="K221" i="150"/>
  <c r="H221" i="150"/>
  <c r="A221" i="150"/>
  <c r="N220" i="150"/>
  <c r="M220" i="150"/>
  <c r="L220" i="150"/>
  <c r="K220" i="150"/>
  <c r="H220" i="150"/>
  <c r="A220" i="150"/>
  <c r="N219" i="150"/>
  <c r="M219" i="150"/>
  <c r="L219" i="150"/>
  <c r="K219" i="150"/>
  <c r="H219" i="150"/>
  <c r="A219" i="150"/>
  <c r="N218" i="150"/>
  <c r="M218" i="150"/>
  <c r="L218" i="150"/>
  <c r="K218" i="150"/>
  <c r="H218" i="150"/>
  <c r="A218" i="150"/>
  <c r="N217" i="150"/>
  <c r="M217" i="150"/>
  <c r="L217" i="150"/>
  <c r="K217" i="150"/>
  <c r="H217" i="150"/>
  <c r="A217" i="150"/>
  <c r="N216" i="150"/>
  <c r="M216" i="150"/>
  <c r="L216" i="150"/>
  <c r="K216" i="150"/>
  <c r="H216" i="150"/>
  <c r="A216" i="150"/>
  <c r="N215" i="150"/>
  <c r="M215" i="150"/>
  <c r="L215" i="150"/>
  <c r="K215" i="150"/>
  <c r="H215" i="150"/>
  <c r="A215" i="150"/>
  <c r="N214" i="150"/>
  <c r="M214" i="150"/>
  <c r="L214" i="150"/>
  <c r="K214" i="150"/>
  <c r="H214" i="150"/>
  <c r="A214" i="150"/>
  <c r="N213" i="150"/>
  <c r="M213" i="150"/>
  <c r="L213" i="150"/>
  <c r="K213" i="150"/>
  <c r="H213" i="150"/>
  <c r="A213" i="150"/>
  <c r="N212" i="150"/>
  <c r="M212" i="150"/>
  <c r="L212" i="150"/>
  <c r="K212" i="150"/>
  <c r="H212" i="150"/>
  <c r="A212" i="150"/>
  <c r="N211" i="150"/>
  <c r="M211" i="150"/>
  <c r="L211" i="150"/>
  <c r="K211" i="150"/>
  <c r="H211" i="150"/>
  <c r="A211" i="150"/>
  <c r="N210" i="150"/>
  <c r="M210" i="150"/>
  <c r="L210" i="150"/>
  <c r="K210" i="150"/>
  <c r="H210" i="150"/>
  <c r="A210" i="150"/>
  <c r="N209" i="150"/>
  <c r="M209" i="150"/>
  <c r="L209" i="150"/>
  <c r="K209" i="150"/>
  <c r="H209" i="150"/>
  <c r="A209" i="150"/>
  <c r="N208" i="150"/>
  <c r="M208" i="150"/>
  <c r="L208" i="150"/>
  <c r="K208" i="150"/>
  <c r="H208" i="150"/>
  <c r="A208" i="150"/>
  <c r="N207" i="150"/>
  <c r="M207" i="150"/>
  <c r="L207" i="150"/>
  <c r="K207" i="150"/>
  <c r="H207" i="150"/>
  <c r="A207" i="150"/>
  <c r="N206" i="150"/>
  <c r="M206" i="150"/>
  <c r="L206" i="150"/>
  <c r="K206" i="150"/>
  <c r="H206" i="150"/>
  <c r="A206" i="150"/>
  <c r="N205" i="150"/>
  <c r="M205" i="150"/>
  <c r="L205" i="150"/>
  <c r="K205" i="150"/>
  <c r="H205" i="150"/>
  <c r="A205" i="150"/>
  <c r="N204" i="150"/>
  <c r="M204" i="150"/>
  <c r="L204" i="150"/>
  <c r="K204" i="150"/>
  <c r="H204" i="150"/>
  <c r="A204" i="150"/>
  <c r="N203" i="150"/>
  <c r="M203" i="150"/>
  <c r="L203" i="150"/>
  <c r="K203" i="150"/>
  <c r="H203" i="150"/>
  <c r="A203" i="150"/>
  <c r="N202" i="150"/>
  <c r="M202" i="150"/>
  <c r="L202" i="150"/>
  <c r="K202" i="150"/>
  <c r="H202" i="150"/>
  <c r="A202" i="150"/>
  <c r="N201" i="150"/>
  <c r="M201" i="150"/>
  <c r="L201" i="150"/>
  <c r="K201" i="150"/>
  <c r="H201" i="150"/>
  <c r="A201" i="150"/>
  <c r="N200" i="150"/>
  <c r="M200" i="150"/>
  <c r="L200" i="150"/>
  <c r="K200" i="150"/>
  <c r="H200" i="150"/>
  <c r="A200" i="150"/>
  <c r="N199" i="150"/>
  <c r="M199" i="150"/>
  <c r="L199" i="150"/>
  <c r="K199" i="150"/>
  <c r="H199" i="150"/>
  <c r="A199" i="150"/>
  <c r="N198" i="150"/>
  <c r="M198" i="150"/>
  <c r="L198" i="150"/>
  <c r="K198" i="150"/>
  <c r="H198" i="150"/>
  <c r="A198" i="150"/>
  <c r="N197" i="150"/>
  <c r="M197" i="150"/>
  <c r="L197" i="150"/>
  <c r="K197" i="150"/>
  <c r="H197" i="150"/>
  <c r="A197" i="150"/>
  <c r="N196" i="150"/>
  <c r="M196" i="150"/>
  <c r="L196" i="150"/>
  <c r="K196" i="150"/>
  <c r="H196" i="150"/>
  <c r="A196" i="150"/>
  <c r="N195" i="150"/>
  <c r="M195" i="150"/>
  <c r="L195" i="150"/>
  <c r="K195" i="150"/>
  <c r="H195" i="150"/>
  <c r="A195" i="150"/>
  <c r="N194" i="150"/>
  <c r="M194" i="150"/>
  <c r="L194" i="150"/>
  <c r="K194" i="150"/>
  <c r="H194" i="150"/>
  <c r="A194" i="150"/>
  <c r="N193" i="150"/>
  <c r="M193" i="150"/>
  <c r="L193" i="150"/>
  <c r="K193" i="150"/>
  <c r="H193" i="150"/>
  <c r="A193" i="150"/>
  <c r="N192" i="150"/>
  <c r="M192" i="150"/>
  <c r="L192" i="150"/>
  <c r="K192" i="150"/>
  <c r="H192" i="150"/>
  <c r="A192" i="150"/>
  <c r="N191" i="150"/>
  <c r="M191" i="150"/>
  <c r="L191" i="150"/>
  <c r="K191" i="150"/>
  <c r="H191" i="150"/>
  <c r="A191" i="150"/>
  <c r="N190" i="150"/>
  <c r="M190" i="150"/>
  <c r="L190" i="150"/>
  <c r="K190" i="150"/>
  <c r="H190" i="150"/>
  <c r="A190" i="150"/>
  <c r="N189" i="150"/>
  <c r="M189" i="150"/>
  <c r="L189" i="150"/>
  <c r="K189" i="150"/>
  <c r="H189" i="150"/>
  <c r="A189" i="150"/>
  <c r="N188" i="150"/>
  <c r="M188" i="150"/>
  <c r="L188" i="150"/>
  <c r="K188" i="150"/>
  <c r="H188" i="150"/>
  <c r="A188" i="150"/>
  <c r="N187" i="150"/>
  <c r="M187" i="150"/>
  <c r="L187" i="150"/>
  <c r="K187" i="150"/>
  <c r="H187" i="150"/>
  <c r="A187" i="150"/>
  <c r="N186" i="150"/>
  <c r="M186" i="150"/>
  <c r="L186" i="150"/>
  <c r="K186" i="150"/>
  <c r="H186" i="150"/>
  <c r="A186" i="150"/>
  <c r="N185" i="150"/>
  <c r="M185" i="150"/>
  <c r="L185" i="150"/>
  <c r="K185" i="150"/>
  <c r="H185" i="150"/>
  <c r="A185" i="150"/>
  <c r="N184" i="150"/>
  <c r="M184" i="150"/>
  <c r="L184" i="150"/>
  <c r="K184" i="150"/>
  <c r="H184" i="150"/>
  <c r="A184" i="150"/>
  <c r="N183" i="150"/>
  <c r="M183" i="150"/>
  <c r="L183" i="150"/>
  <c r="K183" i="150"/>
  <c r="H183" i="150"/>
  <c r="A183" i="150"/>
  <c r="N182" i="150"/>
  <c r="M182" i="150"/>
  <c r="L182" i="150"/>
  <c r="K182" i="150"/>
  <c r="H182" i="150"/>
  <c r="A182" i="150"/>
  <c r="N181" i="150"/>
  <c r="M181" i="150"/>
  <c r="L181" i="150"/>
  <c r="K181" i="150"/>
  <c r="H181" i="150"/>
  <c r="A181" i="150"/>
  <c r="N180" i="150"/>
  <c r="M180" i="150"/>
  <c r="L180" i="150"/>
  <c r="K180" i="150"/>
  <c r="H180" i="150"/>
  <c r="A180" i="150"/>
  <c r="N179" i="150"/>
  <c r="M179" i="150"/>
  <c r="L179" i="150"/>
  <c r="K179" i="150"/>
  <c r="H179" i="150"/>
  <c r="A179" i="150"/>
  <c r="N178" i="150"/>
  <c r="M178" i="150"/>
  <c r="L178" i="150"/>
  <c r="K178" i="150"/>
  <c r="H178" i="150"/>
  <c r="A178" i="150"/>
  <c r="N177" i="150"/>
  <c r="M177" i="150"/>
  <c r="L177" i="150"/>
  <c r="K177" i="150"/>
  <c r="H177" i="150"/>
  <c r="A177" i="150"/>
  <c r="N176" i="150"/>
  <c r="M176" i="150"/>
  <c r="L176" i="150"/>
  <c r="K176" i="150"/>
  <c r="H176" i="150"/>
  <c r="A176" i="150"/>
  <c r="N175" i="150"/>
  <c r="M175" i="150"/>
  <c r="L175" i="150"/>
  <c r="K175" i="150"/>
  <c r="H175" i="150"/>
  <c r="A175" i="150"/>
  <c r="N174" i="150"/>
  <c r="M174" i="150"/>
  <c r="L174" i="150"/>
  <c r="K174" i="150"/>
  <c r="H174" i="150"/>
  <c r="A174" i="150"/>
  <c r="N173" i="150"/>
  <c r="M173" i="150"/>
  <c r="L173" i="150"/>
  <c r="K173" i="150"/>
  <c r="H173" i="150"/>
  <c r="A173" i="150"/>
  <c r="N172" i="150"/>
  <c r="M172" i="150"/>
  <c r="L172" i="150"/>
  <c r="K172" i="150"/>
  <c r="H172" i="150"/>
  <c r="A172" i="150"/>
  <c r="N171" i="150"/>
  <c r="M171" i="150"/>
  <c r="L171" i="150"/>
  <c r="K171" i="150"/>
  <c r="H171" i="150"/>
  <c r="A171" i="150"/>
  <c r="N170" i="150"/>
  <c r="M170" i="150"/>
  <c r="L170" i="150"/>
  <c r="K170" i="150"/>
  <c r="H170" i="150"/>
  <c r="A170" i="150"/>
  <c r="N169" i="150"/>
  <c r="M169" i="150"/>
  <c r="L169" i="150"/>
  <c r="K169" i="150"/>
  <c r="H169" i="150"/>
  <c r="A169" i="150"/>
  <c r="N168" i="150"/>
  <c r="M168" i="150"/>
  <c r="L168" i="150"/>
  <c r="K168" i="150"/>
  <c r="H168" i="150"/>
  <c r="A168" i="150"/>
  <c r="N167" i="150"/>
  <c r="M167" i="150"/>
  <c r="L167" i="150"/>
  <c r="K167" i="150"/>
  <c r="H167" i="150"/>
  <c r="A167" i="150"/>
  <c r="N166" i="150"/>
  <c r="M166" i="150"/>
  <c r="L166" i="150"/>
  <c r="K166" i="150"/>
  <c r="H166" i="150"/>
  <c r="A166" i="150"/>
  <c r="N165" i="150"/>
  <c r="M165" i="150"/>
  <c r="L165" i="150"/>
  <c r="K165" i="150"/>
  <c r="H165" i="150"/>
  <c r="A165" i="150"/>
  <c r="N164" i="150"/>
  <c r="M164" i="150"/>
  <c r="L164" i="150"/>
  <c r="K164" i="150"/>
  <c r="H164" i="150"/>
  <c r="A164" i="150"/>
  <c r="N163" i="150"/>
  <c r="M163" i="150"/>
  <c r="L163" i="150"/>
  <c r="K163" i="150"/>
  <c r="H163" i="150"/>
  <c r="A163" i="150"/>
  <c r="N162" i="150"/>
  <c r="M162" i="150"/>
  <c r="L162" i="150"/>
  <c r="K162" i="150"/>
  <c r="H162" i="150"/>
  <c r="A162" i="150"/>
  <c r="N161" i="150"/>
  <c r="M161" i="150"/>
  <c r="L161" i="150"/>
  <c r="K161" i="150"/>
  <c r="H161" i="150"/>
  <c r="A161" i="150"/>
  <c r="N160" i="150"/>
  <c r="M160" i="150"/>
  <c r="L160" i="150"/>
  <c r="K160" i="150"/>
  <c r="H160" i="150"/>
  <c r="A160" i="150"/>
  <c r="N159" i="150"/>
  <c r="M159" i="150"/>
  <c r="L159" i="150"/>
  <c r="K159" i="150"/>
  <c r="H159" i="150"/>
  <c r="A159" i="150"/>
  <c r="N158" i="150"/>
  <c r="M158" i="150"/>
  <c r="L158" i="150"/>
  <c r="K158" i="150"/>
  <c r="H158" i="150"/>
  <c r="A158" i="150"/>
  <c r="N157" i="150"/>
  <c r="M157" i="150"/>
  <c r="L157" i="150"/>
  <c r="K157" i="150"/>
  <c r="H157" i="150"/>
  <c r="A157" i="150"/>
  <c r="N156" i="150"/>
  <c r="M156" i="150"/>
  <c r="L156" i="150"/>
  <c r="K156" i="150"/>
  <c r="H156" i="150"/>
  <c r="A156" i="150"/>
  <c r="N155" i="150"/>
  <c r="M155" i="150"/>
  <c r="L155" i="150"/>
  <c r="K155" i="150"/>
  <c r="H155" i="150"/>
  <c r="A155" i="150"/>
  <c r="N154" i="150"/>
  <c r="M154" i="150"/>
  <c r="L154" i="150"/>
  <c r="K154" i="150"/>
  <c r="H154" i="150"/>
  <c r="A154" i="150"/>
  <c r="N153" i="150"/>
  <c r="M153" i="150"/>
  <c r="L153" i="150"/>
  <c r="K153" i="150"/>
  <c r="H153" i="150"/>
  <c r="A153" i="150"/>
  <c r="N152" i="150"/>
  <c r="M152" i="150"/>
  <c r="L152" i="150"/>
  <c r="K152" i="150"/>
  <c r="H152" i="150"/>
  <c r="A152" i="150"/>
  <c r="N151" i="150"/>
  <c r="M151" i="150"/>
  <c r="L151" i="150"/>
  <c r="K151" i="150"/>
  <c r="H151" i="150"/>
  <c r="A151" i="150"/>
  <c r="N150" i="150"/>
  <c r="M150" i="150"/>
  <c r="L150" i="150"/>
  <c r="K150" i="150"/>
  <c r="H150" i="150"/>
  <c r="A150" i="150"/>
  <c r="N149" i="150"/>
  <c r="M149" i="150"/>
  <c r="L149" i="150"/>
  <c r="K149" i="150"/>
  <c r="H149" i="150"/>
  <c r="A149" i="150"/>
  <c r="N148" i="150"/>
  <c r="M148" i="150"/>
  <c r="L148" i="150"/>
  <c r="K148" i="150"/>
  <c r="H148" i="150"/>
  <c r="A148" i="150"/>
  <c r="N147" i="150"/>
  <c r="M147" i="150"/>
  <c r="L147" i="150"/>
  <c r="K147" i="150"/>
  <c r="H147" i="150"/>
  <c r="A147" i="150"/>
  <c r="N146" i="150"/>
  <c r="M146" i="150"/>
  <c r="L146" i="150"/>
  <c r="K146" i="150"/>
  <c r="H146" i="150"/>
  <c r="A146" i="150"/>
  <c r="N145" i="150"/>
  <c r="M145" i="150"/>
  <c r="L145" i="150"/>
  <c r="K145" i="150"/>
  <c r="H145" i="150"/>
  <c r="A145" i="150"/>
  <c r="N144" i="150"/>
  <c r="M144" i="150"/>
  <c r="L144" i="150"/>
  <c r="K144" i="150"/>
  <c r="H144" i="150"/>
  <c r="A144" i="150"/>
  <c r="N143" i="150"/>
  <c r="M143" i="150"/>
  <c r="L143" i="150"/>
  <c r="K143" i="150"/>
  <c r="H143" i="150"/>
  <c r="A143" i="150"/>
  <c r="N142" i="150"/>
  <c r="M142" i="150"/>
  <c r="L142" i="150"/>
  <c r="K142" i="150"/>
  <c r="H142" i="150"/>
  <c r="A142" i="150"/>
  <c r="N141" i="150"/>
  <c r="M141" i="150"/>
  <c r="L141" i="150"/>
  <c r="K141" i="150"/>
  <c r="H141" i="150"/>
  <c r="A141" i="150"/>
  <c r="N140" i="150"/>
  <c r="M140" i="150"/>
  <c r="L140" i="150"/>
  <c r="K140" i="150"/>
  <c r="H140" i="150"/>
  <c r="A140" i="150"/>
  <c r="N139" i="150"/>
  <c r="M139" i="150"/>
  <c r="L139" i="150"/>
  <c r="K139" i="150"/>
  <c r="H139" i="150"/>
  <c r="A139" i="150"/>
  <c r="N138" i="150"/>
  <c r="M138" i="150"/>
  <c r="L138" i="150"/>
  <c r="K138" i="150"/>
  <c r="H138" i="150"/>
  <c r="A138" i="150"/>
  <c r="N137" i="150"/>
  <c r="M137" i="150"/>
  <c r="L137" i="150"/>
  <c r="K137" i="150"/>
  <c r="H137" i="150"/>
  <c r="A137" i="150"/>
  <c r="N136" i="150"/>
  <c r="M136" i="150"/>
  <c r="L136" i="150"/>
  <c r="K136" i="150"/>
  <c r="H136" i="150"/>
  <c r="A136" i="150"/>
  <c r="N135" i="150"/>
  <c r="M135" i="150"/>
  <c r="L135" i="150"/>
  <c r="K135" i="150"/>
  <c r="H135" i="150"/>
  <c r="A135" i="150"/>
  <c r="N134" i="150"/>
  <c r="M134" i="150"/>
  <c r="L134" i="150"/>
  <c r="K134" i="150"/>
  <c r="H134" i="150"/>
  <c r="A134" i="150"/>
  <c r="N133" i="150"/>
  <c r="M133" i="150"/>
  <c r="L133" i="150"/>
  <c r="K133" i="150"/>
  <c r="H133" i="150"/>
  <c r="A133" i="150"/>
  <c r="N132" i="150"/>
  <c r="M132" i="150"/>
  <c r="L132" i="150"/>
  <c r="K132" i="150"/>
  <c r="H132" i="150"/>
  <c r="A132" i="150"/>
  <c r="N131" i="150"/>
  <c r="M131" i="150"/>
  <c r="L131" i="150"/>
  <c r="K131" i="150"/>
  <c r="H131" i="150"/>
  <c r="A131" i="150"/>
  <c r="N130" i="150"/>
  <c r="M130" i="150"/>
  <c r="L130" i="150"/>
  <c r="K130" i="150"/>
  <c r="H130" i="150"/>
  <c r="A130" i="150"/>
  <c r="N129" i="150"/>
  <c r="M129" i="150"/>
  <c r="L129" i="150"/>
  <c r="K129" i="150"/>
  <c r="H129" i="150"/>
  <c r="A129" i="150"/>
  <c r="N128" i="150"/>
  <c r="M128" i="150"/>
  <c r="L128" i="150"/>
  <c r="K128" i="150"/>
  <c r="H128" i="150"/>
  <c r="A128" i="150"/>
  <c r="N127" i="150"/>
  <c r="M127" i="150"/>
  <c r="L127" i="150"/>
  <c r="K127" i="150"/>
  <c r="H127" i="150"/>
  <c r="A127" i="150"/>
  <c r="N126" i="150"/>
  <c r="M126" i="150"/>
  <c r="L126" i="150"/>
  <c r="K126" i="150"/>
  <c r="H126" i="150"/>
  <c r="A126" i="150"/>
  <c r="N125" i="150"/>
  <c r="M125" i="150"/>
  <c r="L125" i="150"/>
  <c r="K125" i="150"/>
  <c r="H125" i="150"/>
  <c r="A125" i="150"/>
  <c r="N124" i="150"/>
  <c r="M124" i="150"/>
  <c r="L124" i="150"/>
  <c r="K124" i="150"/>
  <c r="H124" i="150"/>
  <c r="A124" i="150"/>
  <c r="N123" i="150"/>
  <c r="M123" i="150"/>
  <c r="L123" i="150"/>
  <c r="K123" i="150"/>
  <c r="H123" i="150"/>
  <c r="A123" i="150"/>
  <c r="N122" i="150"/>
  <c r="M122" i="150"/>
  <c r="L122" i="150"/>
  <c r="K122" i="150"/>
  <c r="H122" i="150"/>
  <c r="A122" i="150"/>
  <c r="N121" i="150"/>
  <c r="M121" i="150"/>
  <c r="L121" i="150"/>
  <c r="K121" i="150"/>
  <c r="H121" i="150"/>
  <c r="A121" i="150"/>
  <c r="N120" i="150"/>
  <c r="M120" i="150"/>
  <c r="L120" i="150"/>
  <c r="K120" i="150"/>
  <c r="H120" i="150"/>
  <c r="A120" i="150"/>
  <c r="N119" i="150"/>
  <c r="M119" i="150"/>
  <c r="L119" i="150"/>
  <c r="K119" i="150"/>
  <c r="H119" i="150"/>
  <c r="A119" i="150"/>
  <c r="N118" i="150"/>
  <c r="M118" i="150"/>
  <c r="L118" i="150"/>
  <c r="K118" i="150"/>
  <c r="H118" i="150"/>
  <c r="A118" i="150"/>
  <c r="N117" i="150"/>
  <c r="M117" i="150"/>
  <c r="L117" i="150"/>
  <c r="K117" i="150"/>
  <c r="H117" i="150"/>
  <c r="A117" i="150"/>
  <c r="N116" i="150"/>
  <c r="M116" i="150"/>
  <c r="L116" i="150"/>
  <c r="K116" i="150"/>
  <c r="H116" i="150"/>
  <c r="A116" i="150"/>
  <c r="N115" i="150"/>
  <c r="M115" i="150"/>
  <c r="L115" i="150"/>
  <c r="K115" i="150"/>
  <c r="H115" i="150"/>
  <c r="A115" i="150"/>
  <c r="N114" i="150"/>
  <c r="M114" i="150"/>
  <c r="L114" i="150"/>
  <c r="K114" i="150"/>
  <c r="H114" i="150"/>
  <c r="A114" i="150"/>
  <c r="N113" i="150"/>
  <c r="M113" i="150"/>
  <c r="L113" i="150"/>
  <c r="K113" i="150"/>
  <c r="H113" i="150"/>
  <c r="A113" i="150"/>
  <c r="N112" i="150"/>
  <c r="M112" i="150"/>
  <c r="L112" i="150"/>
  <c r="K112" i="150"/>
  <c r="H112" i="150"/>
  <c r="A112" i="150"/>
  <c r="N111" i="150"/>
  <c r="M111" i="150"/>
  <c r="L111" i="150"/>
  <c r="K111" i="150"/>
  <c r="H111" i="150"/>
  <c r="A111" i="150"/>
  <c r="N110" i="150"/>
  <c r="M110" i="150"/>
  <c r="L110" i="150"/>
  <c r="K110" i="150"/>
  <c r="H110" i="150"/>
  <c r="A110" i="150"/>
  <c r="N109" i="150"/>
  <c r="M109" i="150"/>
  <c r="L109" i="150"/>
  <c r="K109" i="150"/>
  <c r="H109" i="150"/>
  <c r="A109" i="150"/>
  <c r="N108" i="150"/>
  <c r="M108" i="150"/>
  <c r="L108" i="150"/>
  <c r="K108" i="150"/>
  <c r="H108" i="150"/>
  <c r="A108" i="150"/>
  <c r="N107" i="150"/>
  <c r="M107" i="150"/>
  <c r="L107" i="150"/>
  <c r="K107" i="150"/>
  <c r="H107" i="150"/>
  <c r="A107" i="150"/>
  <c r="N106" i="150"/>
  <c r="M106" i="150"/>
  <c r="L106" i="150"/>
  <c r="K106" i="150"/>
  <c r="H106" i="150"/>
  <c r="A106" i="150"/>
  <c r="N105" i="150"/>
  <c r="M105" i="150"/>
  <c r="L105" i="150"/>
  <c r="K105" i="150"/>
  <c r="H105" i="150"/>
  <c r="A105" i="150"/>
  <c r="N104" i="150"/>
  <c r="M104" i="150"/>
  <c r="L104" i="150"/>
  <c r="K104" i="150"/>
  <c r="H104" i="150"/>
  <c r="A104" i="150"/>
  <c r="N103" i="150"/>
  <c r="M103" i="150"/>
  <c r="L103" i="150"/>
  <c r="K103" i="150"/>
  <c r="H103" i="150"/>
  <c r="A103" i="150"/>
  <c r="N102" i="150"/>
  <c r="M102" i="150"/>
  <c r="L102" i="150"/>
  <c r="K102" i="150"/>
  <c r="H102" i="150"/>
  <c r="A102" i="150"/>
  <c r="N101" i="150"/>
  <c r="M101" i="150"/>
  <c r="L101" i="150"/>
  <c r="K101" i="150"/>
  <c r="H101" i="150"/>
  <c r="A101" i="150"/>
  <c r="N100" i="150"/>
  <c r="M100" i="150"/>
  <c r="L100" i="150"/>
  <c r="K100" i="150"/>
  <c r="H100" i="150"/>
  <c r="A100" i="150"/>
  <c r="N99" i="150"/>
  <c r="M99" i="150"/>
  <c r="L99" i="150"/>
  <c r="K99" i="150"/>
  <c r="H99" i="150"/>
  <c r="A99" i="150"/>
  <c r="N98" i="150"/>
  <c r="M98" i="150"/>
  <c r="L98" i="150"/>
  <c r="K98" i="150"/>
  <c r="H98" i="150"/>
  <c r="A98" i="150"/>
  <c r="N97" i="150"/>
  <c r="M97" i="150"/>
  <c r="L97" i="150"/>
  <c r="K97" i="150"/>
  <c r="H97" i="150"/>
  <c r="A97" i="150"/>
  <c r="N96" i="150"/>
  <c r="M96" i="150"/>
  <c r="L96" i="150"/>
  <c r="K96" i="150"/>
  <c r="H96" i="150"/>
  <c r="A96" i="150"/>
  <c r="N95" i="150"/>
  <c r="M95" i="150"/>
  <c r="L95" i="150"/>
  <c r="K95" i="150"/>
  <c r="H95" i="150"/>
  <c r="A95" i="150"/>
  <c r="N94" i="150"/>
  <c r="M94" i="150"/>
  <c r="L94" i="150"/>
  <c r="K94" i="150"/>
  <c r="H94" i="150"/>
  <c r="A94" i="150"/>
  <c r="N93" i="150"/>
  <c r="M93" i="150"/>
  <c r="L93" i="150"/>
  <c r="K93" i="150"/>
  <c r="H93" i="150"/>
  <c r="A93" i="150"/>
  <c r="N92" i="150"/>
  <c r="M92" i="150"/>
  <c r="L92" i="150"/>
  <c r="K92" i="150"/>
  <c r="H92" i="150"/>
  <c r="A92" i="150"/>
  <c r="N91" i="150"/>
  <c r="M91" i="150"/>
  <c r="L91" i="150"/>
  <c r="K91" i="150"/>
  <c r="H91" i="150"/>
  <c r="A91" i="150"/>
  <c r="N90" i="150"/>
  <c r="M90" i="150"/>
  <c r="L90" i="150"/>
  <c r="K90" i="150"/>
  <c r="H90" i="150"/>
  <c r="A90" i="150"/>
  <c r="N89" i="150"/>
  <c r="M89" i="150"/>
  <c r="L89" i="150"/>
  <c r="K89" i="150"/>
  <c r="H89" i="150"/>
  <c r="A89" i="150"/>
  <c r="N88" i="150"/>
  <c r="M88" i="150"/>
  <c r="L88" i="150"/>
  <c r="K88" i="150"/>
  <c r="H88" i="150"/>
  <c r="A88" i="150"/>
  <c r="N87" i="150"/>
  <c r="M87" i="150"/>
  <c r="L87" i="150"/>
  <c r="K87" i="150"/>
  <c r="H87" i="150"/>
  <c r="A87" i="150"/>
  <c r="N86" i="150"/>
  <c r="M86" i="150"/>
  <c r="L86" i="150"/>
  <c r="K86" i="150"/>
  <c r="H86" i="150"/>
  <c r="A86" i="150"/>
  <c r="N85" i="150"/>
  <c r="M85" i="150"/>
  <c r="L85" i="150"/>
  <c r="K85" i="150"/>
  <c r="H85" i="150"/>
  <c r="A85" i="150"/>
  <c r="N84" i="150"/>
  <c r="M84" i="150"/>
  <c r="L84" i="150"/>
  <c r="K84" i="150"/>
  <c r="H84" i="150"/>
  <c r="A84" i="150"/>
  <c r="N83" i="150"/>
  <c r="M83" i="150"/>
  <c r="L83" i="150"/>
  <c r="K83" i="150"/>
  <c r="H83" i="150"/>
  <c r="A83" i="150"/>
  <c r="N82" i="150"/>
  <c r="M82" i="150"/>
  <c r="L82" i="150"/>
  <c r="K82" i="150"/>
  <c r="H82" i="150"/>
  <c r="A82" i="150"/>
  <c r="N81" i="150"/>
  <c r="M81" i="150"/>
  <c r="L81" i="150"/>
  <c r="K81" i="150"/>
  <c r="H81" i="150"/>
  <c r="A81" i="150"/>
  <c r="N80" i="150"/>
  <c r="M80" i="150"/>
  <c r="L80" i="150"/>
  <c r="K80" i="150"/>
  <c r="H80" i="150"/>
  <c r="A80" i="150"/>
  <c r="N79" i="150"/>
  <c r="M79" i="150"/>
  <c r="L79" i="150"/>
  <c r="K79" i="150"/>
  <c r="H79" i="150"/>
  <c r="A79" i="150"/>
  <c r="N78" i="150"/>
  <c r="M78" i="150"/>
  <c r="L78" i="150"/>
  <c r="K78" i="150"/>
  <c r="H78" i="150"/>
  <c r="A78" i="150"/>
  <c r="N77" i="150"/>
  <c r="M77" i="150"/>
  <c r="L77" i="150"/>
  <c r="K77" i="150"/>
  <c r="H77" i="150"/>
  <c r="A77" i="150"/>
  <c r="N76" i="150"/>
  <c r="M76" i="150"/>
  <c r="L76" i="150"/>
  <c r="K76" i="150"/>
  <c r="H76" i="150"/>
  <c r="A76" i="150"/>
  <c r="N75" i="150"/>
  <c r="M75" i="150"/>
  <c r="L75" i="150"/>
  <c r="K75" i="150"/>
  <c r="H75" i="150"/>
  <c r="A75" i="150"/>
  <c r="N74" i="150"/>
  <c r="M74" i="150"/>
  <c r="L74" i="150"/>
  <c r="K74" i="150"/>
  <c r="H74" i="150"/>
  <c r="A74" i="150"/>
  <c r="N73" i="150"/>
  <c r="M73" i="150"/>
  <c r="L73" i="150"/>
  <c r="K73" i="150"/>
  <c r="H73" i="150"/>
  <c r="A73" i="150"/>
  <c r="N72" i="150"/>
  <c r="M72" i="150"/>
  <c r="L72" i="150"/>
  <c r="K72" i="150"/>
  <c r="H72" i="150"/>
  <c r="A72" i="150"/>
  <c r="N71" i="150"/>
  <c r="M71" i="150"/>
  <c r="L71" i="150"/>
  <c r="K71" i="150"/>
  <c r="H71" i="150"/>
  <c r="A71" i="150"/>
  <c r="N70" i="150"/>
  <c r="M70" i="150"/>
  <c r="L70" i="150"/>
  <c r="K70" i="150"/>
  <c r="H70" i="150"/>
  <c r="A70" i="150"/>
  <c r="N69" i="150"/>
  <c r="M69" i="150"/>
  <c r="L69" i="150"/>
  <c r="K69" i="150"/>
  <c r="H69" i="150"/>
  <c r="A69" i="150"/>
  <c r="N68" i="150"/>
  <c r="M68" i="150"/>
  <c r="L68" i="150"/>
  <c r="K68" i="150"/>
  <c r="H68" i="150"/>
  <c r="A68" i="150"/>
  <c r="N67" i="150"/>
  <c r="M67" i="150"/>
  <c r="L67" i="150"/>
  <c r="K67" i="150"/>
  <c r="H67" i="150"/>
  <c r="A67" i="150"/>
  <c r="N66" i="150"/>
  <c r="M66" i="150"/>
  <c r="L66" i="150"/>
  <c r="K66" i="150"/>
  <c r="H66" i="150"/>
  <c r="A66" i="150"/>
  <c r="N65" i="150"/>
  <c r="M65" i="150"/>
  <c r="L65" i="150"/>
  <c r="K65" i="150"/>
  <c r="H65" i="150"/>
  <c r="A65" i="150"/>
  <c r="N64" i="150"/>
  <c r="M64" i="150"/>
  <c r="L64" i="150"/>
  <c r="K64" i="150"/>
  <c r="H64" i="150"/>
  <c r="A64" i="150"/>
  <c r="N63" i="150"/>
  <c r="M63" i="150"/>
  <c r="L63" i="150"/>
  <c r="K63" i="150"/>
  <c r="H63" i="150"/>
  <c r="A63" i="150"/>
  <c r="N62" i="150"/>
  <c r="M62" i="150"/>
  <c r="L62" i="150"/>
  <c r="K62" i="150"/>
  <c r="H62" i="150"/>
  <c r="A62" i="150"/>
  <c r="N61" i="150"/>
  <c r="M61" i="150"/>
  <c r="L61" i="150"/>
  <c r="K61" i="150"/>
  <c r="H61" i="150"/>
  <c r="A61" i="150"/>
  <c r="N60" i="150"/>
  <c r="M60" i="150"/>
  <c r="L60" i="150"/>
  <c r="K60" i="150"/>
  <c r="H60" i="150"/>
  <c r="A60" i="150"/>
  <c r="N59" i="150"/>
  <c r="M59" i="150"/>
  <c r="L59" i="150"/>
  <c r="K59" i="150"/>
  <c r="H59" i="150"/>
  <c r="A59" i="150"/>
  <c r="N58" i="150"/>
  <c r="M58" i="150"/>
  <c r="L58" i="150"/>
  <c r="K58" i="150"/>
  <c r="H58" i="150"/>
  <c r="A58" i="150"/>
  <c r="N57" i="150"/>
  <c r="M57" i="150"/>
  <c r="L57" i="150"/>
  <c r="K57" i="150"/>
  <c r="H57" i="150"/>
  <c r="A57" i="150"/>
  <c r="N56" i="150"/>
  <c r="M56" i="150"/>
  <c r="L56" i="150"/>
  <c r="K56" i="150"/>
  <c r="H56" i="150"/>
  <c r="A56" i="150"/>
  <c r="N55" i="150"/>
  <c r="M55" i="150"/>
  <c r="L55" i="150"/>
  <c r="K55" i="150"/>
  <c r="H55" i="150"/>
  <c r="A55" i="150"/>
  <c r="N54" i="150"/>
  <c r="M54" i="150"/>
  <c r="L54" i="150"/>
  <c r="K54" i="150"/>
  <c r="H54" i="150"/>
  <c r="A54" i="150"/>
  <c r="N53" i="150"/>
  <c r="M53" i="150"/>
  <c r="L53" i="150"/>
  <c r="K53" i="150"/>
  <c r="H53" i="150"/>
  <c r="A53" i="150"/>
  <c r="N52" i="150"/>
  <c r="M52" i="150"/>
  <c r="L52" i="150"/>
  <c r="K52" i="150"/>
  <c r="H52" i="150"/>
  <c r="A52" i="150"/>
  <c r="N51" i="150"/>
  <c r="M51" i="150"/>
  <c r="L51" i="150"/>
  <c r="K51" i="150"/>
  <c r="H51" i="150"/>
  <c r="A51" i="150"/>
  <c r="N50" i="150"/>
  <c r="M50" i="150"/>
  <c r="L50" i="150"/>
  <c r="K50" i="150"/>
  <c r="H50" i="150"/>
  <c r="A50" i="150"/>
  <c r="N49" i="150"/>
  <c r="M49" i="150"/>
  <c r="L49" i="150"/>
  <c r="K49" i="150"/>
  <c r="H49" i="150"/>
  <c r="A49" i="150"/>
  <c r="N48" i="150"/>
  <c r="M48" i="150"/>
  <c r="L48" i="150"/>
  <c r="K48" i="150"/>
  <c r="H48" i="150"/>
  <c r="A48" i="150"/>
  <c r="N47" i="150"/>
  <c r="M47" i="150"/>
  <c r="L47" i="150"/>
  <c r="K47" i="150"/>
  <c r="H47" i="150"/>
  <c r="A47" i="150"/>
  <c r="N46" i="150"/>
  <c r="M46" i="150"/>
  <c r="L46" i="150"/>
  <c r="K46" i="150"/>
  <c r="H46" i="150"/>
  <c r="A46" i="150"/>
  <c r="N45" i="150"/>
  <c r="M45" i="150"/>
  <c r="L45" i="150"/>
  <c r="K45" i="150"/>
  <c r="H45" i="150"/>
  <c r="A45" i="150"/>
  <c r="N44" i="150"/>
  <c r="M44" i="150"/>
  <c r="L44" i="150"/>
  <c r="K44" i="150"/>
  <c r="H44" i="150"/>
  <c r="A44" i="150"/>
  <c r="N43" i="150"/>
  <c r="M43" i="150"/>
  <c r="L43" i="150"/>
  <c r="K43" i="150"/>
  <c r="H43" i="150"/>
  <c r="A43" i="150"/>
  <c r="N42" i="150"/>
  <c r="M42" i="150"/>
  <c r="L42" i="150"/>
  <c r="K42" i="150"/>
  <c r="H42" i="150"/>
  <c r="A42" i="150"/>
  <c r="N41" i="150"/>
  <c r="M41" i="150"/>
  <c r="L41" i="150"/>
  <c r="K41" i="150"/>
  <c r="H41" i="150"/>
  <c r="A41" i="150"/>
  <c r="N40" i="150"/>
  <c r="M40" i="150"/>
  <c r="L40" i="150"/>
  <c r="K40" i="150"/>
  <c r="H40" i="150"/>
  <c r="A40" i="150"/>
  <c r="N39" i="150"/>
  <c r="M39" i="150"/>
  <c r="L39" i="150"/>
  <c r="K39" i="150"/>
  <c r="H39" i="150"/>
  <c r="A39" i="150"/>
  <c r="N38" i="150"/>
  <c r="M38" i="150"/>
  <c r="L38" i="150"/>
  <c r="K38" i="150"/>
  <c r="H38" i="150"/>
  <c r="A38" i="150"/>
  <c r="N37" i="150"/>
  <c r="M37" i="150"/>
  <c r="L37" i="150"/>
  <c r="K37" i="150"/>
  <c r="H37" i="150"/>
  <c r="A37" i="150"/>
  <c r="N36" i="150"/>
  <c r="M36" i="150"/>
  <c r="L36" i="150"/>
  <c r="K36" i="150"/>
  <c r="H36" i="150"/>
  <c r="A36" i="150"/>
  <c r="N35" i="150"/>
  <c r="M35" i="150"/>
  <c r="L35" i="150"/>
  <c r="K35" i="150"/>
  <c r="H35" i="150"/>
  <c r="A35" i="150"/>
  <c r="N34" i="150"/>
  <c r="M34" i="150"/>
  <c r="L34" i="150"/>
  <c r="K34" i="150"/>
  <c r="H34" i="150"/>
  <c r="A34" i="150"/>
  <c r="N33" i="150"/>
  <c r="M33" i="150"/>
  <c r="L33" i="150"/>
  <c r="K33" i="150"/>
  <c r="H33" i="150"/>
  <c r="A33" i="150"/>
  <c r="N32" i="150"/>
  <c r="M32" i="150"/>
  <c r="L32" i="150"/>
  <c r="K32" i="150"/>
  <c r="H32" i="150"/>
  <c r="A32" i="150"/>
  <c r="N31" i="150"/>
  <c r="M31" i="150"/>
  <c r="L31" i="150"/>
  <c r="K31" i="150"/>
  <c r="H31" i="150"/>
  <c r="A31" i="150"/>
  <c r="N30" i="150"/>
  <c r="M30" i="150"/>
  <c r="L30" i="150"/>
  <c r="K30" i="150"/>
  <c r="H30" i="150"/>
  <c r="A30" i="150"/>
  <c r="N29" i="150"/>
  <c r="M29" i="150"/>
  <c r="L29" i="150"/>
  <c r="K29" i="150"/>
  <c r="H29" i="150"/>
  <c r="A29" i="150"/>
  <c r="N28" i="150"/>
  <c r="M28" i="150"/>
  <c r="L28" i="150"/>
  <c r="K28" i="150"/>
  <c r="H28" i="150"/>
  <c r="A28" i="150"/>
  <c r="N27" i="150"/>
  <c r="M27" i="150"/>
  <c r="L27" i="150"/>
  <c r="K27" i="150"/>
  <c r="H27" i="150"/>
  <c r="A27" i="150"/>
  <c r="N26" i="150"/>
  <c r="M26" i="150"/>
  <c r="L26" i="150"/>
  <c r="K26" i="150"/>
  <c r="H26" i="150"/>
  <c r="A26" i="150"/>
  <c r="N25" i="150"/>
  <c r="M25" i="150"/>
  <c r="L25" i="150"/>
  <c r="K25" i="150"/>
  <c r="H25" i="150"/>
  <c r="A25" i="150"/>
  <c r="N24" i="150"/>
  <c r="M24" i="150"/>
  <c r="L24" i="150"/>
  <c r="K24" i="150"/>
  <c r="H24" i="150"/>
  <c r="A24" i="150"/>
  <c r="N23" i="150"/>
  <c r="M23" i="150"/>
  <c r="L23" i="150"/>
  <c r="K23" i="150"/>
  <c r="H23" i="150"/>
  <c r="A23" i="150"/>
  <c r="N22" i="150"/>
  <c r="M22" i="150"/>
  <c r="L22" i="150"/>
  <c r="K22" i="150"/>
  <c r="H22" i="150"/>
  <c r="A22" i="150"/>
  <c r="N21" i="150"/>
  <c r="M21" i="150"/>
  <c r="L21" i="150"/>
  <c r="K21" i="150"/>
  <c r="H21" i="150"/>
  <c r="A21" i="150"/>
  <c r="N20" i="150"/>
  <c r="M20" i="150"/>
  <c r="L20" i="150"/>
  <c r="K20" i="150"/>
  <c r="H20" i="150"/>
  <c r="A20" i="150"/>
  <c r="N19" i="150"/>
  <c r="M19" i="150"/>
  <c r="L19" i="150"/>
  <c r="K19" i="150"/>
  <c r="H19" i="150"/>
  <c r="A19" i="150"/>
  <c r="N18" i="150"/>
  <c r="M18" i="150"/>
  <c r="L18" i="150"/>
  <c r="K18" i="150"/>
  <c r="H18" i="150"/>
  <c r="A18" i="150"/>
  <c r="N17" i="150"/>
  <c r="M17" i="150"/>
  <c r="L17" i="150"/>
  <c r="K17" i="150"/>
  <c r="H17" i="150"/>
  <c r="A17" i="150"/>
  <c r="N16" i="150"/>
  <c r="M16" i="150"/>
  <c r="L16" i="150"/>
  <c r="K16" i="150"/>
  <c r="H16" i="150"/>
  <c r="A16" i="150"/>
  <c r="N15" i="150"/>
  <c r="M15" i="150"/>
  <c r="L15" i="150"/>
  <c r="K15" i="150"/>
  <c r="H15" i="150"/>
  <c r="A15" i="150"/>
  <c r="N14" i="150"/>
  <c r="M14" i="150"/>
  <c r="L14" i="150"/>
  <c r="K14" i="150"/>
  <c r="H14" i="150"/>
  <c r="A14" i="150"/>
  <c r="N13" i="150"/>
  <c r="M13" i="150"/>
  <c r="L13" i="150"/>
  <c r="K13" i="150"/>
  <c r="H13" i="150"/>
  <c r="A13" i="150"/>
  <c r="N12" i="150"/>
  <c r="M12" i="150"/>
  <c r="L12" i="150"/>
  <c r="K12" i="150"/>
  <c r="H12" i="150"/>
  <c r="A12" i="150"/>
  <c r="N11" i="150"/>
  <c r="M11" i="150"/>
  <c r="L11" i="150"/>
  <c r="K11" i="150"/>
  <c r="H11" i="150"/>
  <c r="A11" i="150"/>
  <c r="N10" i="150"/>
  <c r="M10" i="150"/>
  <c r="L10" i="150"/>
  <c r="K10" i="150"/>
  <c r="H10" i="150"/>
  <c r="A10" i="150"/>
  <c r="N9" i="150"/>
  <c r="M9" i="150"/>
  <c r="L9" i="150"/>
  <c r="K9" i="150"/>
  <c r="H9" i="150"/>
  <c r="A9" i="150"/>
  <c r="N8" i="150"/>
  <c r="M8" i="150"/>
  <c r="L8" i="150"/>
  <c r="K8" i="150"/>
  <c r="H8" i="150"/>
  <c r="A8" i="150"/>
  <c r="N7" i="150"/>
  <c r="M7" i="150"/>
  <c r="L7" i="150"/>
  <c r="K7" i="150"/>
  <c r="H7" i="150"/>
  <c r="A7" i="150"/>
  <c r="N6" i="150"/>
  <c r="M6" i="150"/>
  <c r="L6" i="150"/>
  <c r="K6" i="150"/>
  <c r="H6" i="150"/>
  <c r="A6" i="150"/>
  <c r="N5" i="150"/>
  <c r="M5" i="150"/>
  <c r="L5" i="150"/>
  <c r="K5" i="150"/>
  <c r="H5" i="150"/>
  <c r="A5" i="150"/>
  <c r="N4" i="150"/>
  <c r="M4" i="150"/>
  <c r="L4" i="150"/>
  <c r="K4" i="150"/>
  <c r="H4" i="150"/>
  <c r="A4" i="150"/>
  <c r="N3" i="150"/>
  <c r="M3" i="150"/>
  <c r="L3" i="150"/>
  <c r="K3" i="150"/>
  <c r="H3" i="150"/>
  <c r="A3" i="150"/>
  <c r="N2" i="150"/>
  <c r="M2" i="150"/>
  <c r="L2" i="150"/>
  <c r="K2" i="150"/>
  <c r="H2" i="150"/>
  <c r="A2" i="150"/>
  <c r="F63" i="149"/>
  <c r="F62" i="149"/>
  <c r="B55" i="149"/>
  <c r="B56" i="149"/>
  <c r="B57" i="149"/>
  <c r="B58" i="149"/>
  <c r="B59" i="149"/>
  <c r="B60" i="149"/>
  <c r="B61" i="149"/>
  <c r="B62" i="149"/>
  <c r="C55" i="149"/>
  <c r="C56" i="149"/>
  <c r="C57" i="149"/>
  <c r="C58" i="149"/>
  <c r="C59" i="149"/>
  <c r="C60" i="149"/>
  <c r="C61" i="149"/>
  <c r="C62" i="149"/>
  <c r="F61" i="149"/>
  <c r="F60" i="149"/>
  <c r="F57" i="149"/>
  <c r="G57" i="149"/>
  <c r="F56" i="149"/>
  <c r="G56" i="149"/>
  <c r="F55" i="149"/>
  <c r="G55" i="149"/>
  <c r="B47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47" i="149"/>
  <c r="D47" i="149"/>
  <c r="I46" i="149"/>
  <c r="J46" i="149"/>
  <c r="F46" i="149"/>
  <c r="C46" i="149"/>
  <c r="D46" i="149"/>
  <c r="G45" i="149"/>
  <c r="E45" i="149"/>
  <c r="H45" i="149"/>
  <c r="I45" i="149"/>
  <c r="J45" i="149"/>
  <c r="F45" i="149"/>
  <c r="C45" i="149"/>
  <c r="D45" i="149"/>
  <c r="I44" i="149"/>
  <c r="J44" i="149"/>
  <c r="F44" i="149"/>
  <c r="C44" i="149"/>
  <c r="D44" i="149"/>
  <c r="I43" i="149"/>
  <c r="J43" i="149"/>
  <c r="F43" i="149"/>
  <c r="C43" i="149"/>
  <c r="D43" i="149"/>
  <c r="I42" i="149"/>
  <c r="J42" i="149"/>
  <c r="F42" i="149"/>
  <c r="C42" i="149"/>
  <c r="D42" i="149"/>
  <c r="I41" i="149"/>
  <c r="J41" i="149"/>
  <c r="F41" i="149"/>
  <c r="C41" i="149"/>
  <c r="D41" i="149"/>
  <c r="I40" i="149"/>
  <c r="J40" i="149"/>
  <c r="F40" i="149"/>
  <c r="C40" i="149"/>
  <c r="D40" i="149"/>
  <c r="I39" i="149"/>
  <c r="J39" i="149"/>
  <c r="F39" i="149"/>
  <c r="C39" i="149"/>
  <c r="D39" i="149"/>
  <c r="I38" i="149"/>
  <c r="J38" i="149"/>
  <c r="F38" i="149"/>
  <c r="C38" i="149"/>
  <c r="D38" i="149"/>
  <c r="I37" i="149"/>
  <c r="J37" i="149"/>
  <c r="F37" i="149"/>
  <c r="C37" i="149"/>
  <c r="D37" i="149"/>
  <c r="I36" i="149"/>
  <c r="J36" i="149"/>
  <c r="F36" i="149"/>
  <c r="C36" i="149"/>
  <c r="D36" i="149"/>
  <c r="I35" i="149"/>
  <c r="J35" i="149"/>
  <c r="F35" i="149"/>
  <c r="C35" i="149"/>
  <c r="D35" i="149"/>
  <c r="I34" i="149"/>
  <c r="J34" i="149"/>
  <c r="F34" i="149"/>
  <c r="C34" i="149"/>
  <c r="D34" i="149"/>
  <c r="I33" i="149"/>
  <c r="J33" i="149"/>
  <c r="F33" i="149"/>
  <c r="C33" i="149"/>
  <c r="D33" i="149"/>
  <c r="I32" i="149"/>
  <c r="J32" i="149"/>
  <c r="F32" i="149"/>
  <c r="C32" i="149"/>
  <c r="D32" i="149"/>
  <c r="I31" i="149"/>
  <c r="J31" i="149"/>
  <c r="F31" i="149"/>
  <c r="D31" i="149"/>
  <c r="G30" i="149"/>
  <c r="E30" i="149"/>
  <c r="H30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I21" i="149"/>
  <c r="J21" i="149"/>
  <c r="F21" i="149"/>
  <c r="D21" i="149"/>
  <c r="R20" i="149"/>
  <c r="P20" i="149"/>
  <c r="O20" i="149"/>
  <c r="M20" i="149"/>
  <c r="I20" i="149"/>
  <c r="J20" i="149"/>
  <c r="F20" i="149"/>
  <c r="D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C18" i="149"/>
  <c r="D18" i="149"/>
  <c r="R17" i="149"/>
  <c r="P17" i="149"/>
  <c r="O17" i="149"/>
  <c r="M17" i="149"/>
  <c r="I17" i="149"/>
  <c r="J17" i="149"/>
  <c r="F17" i="149"/>
  <c r="C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R3" i="149"/>
  <c r="P3" i="149"/>
  <c r="O3" i="149"/>
  <c r="M3" i="149"/>
  <c r="V2" i="149"/>
  <c r="B46" i="147"/>
  <c r="N284" i="148"/>
  <c r="M284" i="148"/>
  <c r="L284" i="148"/>
  <c r="H284" i="148"/>
  <c r="A284" i="148"/>
  <c r="N283" i="148"/>
  <c r="M283" i="148"/>
  <c r="L283" i="148"/>
  <c r="H283" i="148"/>
  <c r="A283" i="148"/>
  <c r="N282" i="148"/>
  <c r="M282" i="148"/>
  <c r="L282" i="148"/>
  <c r="H282" i="148"/>
  <c r="A282" i="148"/>
  <c r="N281" i="148"/>
  <c r="M281" i="148"/>
  <c r="L281" i="148"/>
  <c r="H281" i="148"/>
  <c r="A281" i="148"/>
  <c r="N280" i="148"/>
  <c r="M280" i="148"/>
  <c r="L280" i="148"/>
  <c r="H280" i="148"/>
  <c r="A280" i="148"/>
  <c r="N279" i="148"/>
  <c r="M279" i="148"/>
  <c r="L279" i="148"/>
  <c r="H279" i="148"/>
  <c r="A279" i="148"/>
  <c r="N278" i="148"/>
  <c r="M278" i="148"/>
  <c r="L278" i="148"/>
  <c r="H278" i="148"/>
  <c r="A278" i="148"/>
  <c r="N277" i="148"/>
  <c r="M277" i="148"/>
  <c r="L277" i="148"/>
  <c r="H277" i="148"/>
  <c r="A277" i="148"/>
  <c r="N276" i="148"/>
  <c r="M276" i="148"/>
  <c r="L276" i="148"/>
  <c r="H276" i="148"/>
  <c r="A276" i="148"/>
  <c r="N275" i="148"/>
  <c r="M275" i="148"/>
  <c r="L275" i="148"/>
  <c r="H275" i="148"/>
  <c r="A275" i="148"/>
  <c r="N274" i="148"/>
  <c r="M274" i="148"/>
  <c r="L274" i="148"/>
  <c r="H274" i="148"/>
  <c r="A274" i="148"/>
  <c r="N273" i="148"/>
  <c r="M273" i="148"/>
  <c r="L273" i="148"/>
  <c r="H273" i="148"/>
  <c r="A273" i="148"/>
  <c r="N272" i="148"/>
  <c r="M272" i="148"/>
  <c r="L272" i="148"/>
  <c r="H272" i="148"/>
  <c r="A272" i="148"/>
  <c r="N271" i="148"/>
  <c r="M271" i="148"/>
  <c r="L271" i="148"/>
  <c r="H271" i="148"/>
  <c r="A271" i="148"/>
  <c r="N270" i="148"/>
  <c r="M270" i="148"/>
  <c r="L270" i="148"/>
  <c r="H270" i="148"/>
  <c r="A270" i="148"/>
  <c r="N269" i="148"/>
  <c r="M269" i="148"/>
  <c r="L269" i="148"/>
  <c r="H269" i="148"/>
  <c r="A269" i="148"/>
  <c r="N268" i="148"/>
  <c r="M268" i="148"/>
  <c r="L268" i="148"/>
  <c r="H268" i="148"/>
  <c r="A268" i="148"/>
  <c r="N267" i="148"/>
  <c r="M267" i="148"/>
  <c r="L267" i="148"/>
  <c r="H267" i="148"/>
  <c r="A267" i="148"/>
  <c r="N266" i="148"/>
  <c r="M266" i="148"/>
  <c r="L266" i="148"/>
  <c r="H266" i="148"/>
  <c r="A266" i="148"/>
  <c r="N265" i="148"/>
  <c r="M265" i="148"/>
  <c r="L265" i="148"/>
  <c r="H265" i="148"/>
  <c r="A265" i="148"/>
  <c r="N264" i="148"/>
  <c r="M264" i="148"/>
  <c r="L264" i="148"/>
  <c r="H264" i="148"/>
  <c r="A264" i="148"/>
  <c r="N263" i="148"/>
  <c r="M263" i="148"/>
  <c r="L263" i="148"/>
  <c r="H263" i="148"/>
  <c r="A263" i="148"/>
  <c r="N262" i="148"/>
  <c r="M262" i="148"/>
  <c r="L262" i="148"/>
  <c r="H262" i="148"/>
  <c r="A262" i="148"/>
  <c r="N261" i="148"/>
  <c r="M261" i="148"/>
  <c r="L261" i="148"/>
  <c r="H261" i="148"/>
  <c r="A261" i="148"/>
  <c r="N260" i="148"/>
  <c r="M260" i="148"/>
  <c r="L260" i="148"/>
  <c r="H260" i="148"/>
  <c r="A260" i="148"/>
  <c r="N259" i="148"/>
  <c r="M259" i="148"/>
  <c r="L259" i="148"/>
  <c r="H259" i="148"/>
  <c r="A259" i="148"/>
  <c r="N258" i="148"/>
  <c r="M258" i="148"/>
  <c r="L258" i="148"/>
  <c r="H258" i="148"/>
  <c r="A258" i="148"/>
  <c r="N257" i="148"/>
  <c r="M257" i="148"/>
  <c r="L257" i="148"/>
  <c r="H257" i="148"/>
  <c r="A257" i="148"/>
  <c r="N256" i="148"/>
  <c r="M256" i="148"/>
  <c r="L256" i="148"/>
  <c r="H256" i="148"/>
  <c r="A256" i="148"/>
  <c r="N255" i="148"/>
  <c r="M255" i="148"/>
  <c r="L255" i="148"/>
  <c r="H255" i="148"/>
  <c r="A255" i="148"/>
  <c r="N254" i="148"/>
  <c r="M254" i="148"/>
  <c r="L254" i="148"/>
  <c r="H254" i="148"/>
  <c r="A254" i="148"/>
  <c r="N253" i="148"/>
  <c r="M253" i="148"/>
  <c r="L253" i="148"/>
  <c r="H253" i="148"/>
  <c r="A253" i="148"/>
  <c r="N252" i="148"/>
  <c r="M252" i="148"/>
  <c r="L252" i="148"/>
  <c r="H252" i="148"/>
  <c r="A252" i="148"/>
  <c r="N251" i="148"/>
  <c r="M251" i="148"/>
  <c r="L251" i="148"/>
  <c r="H251" i="148"/>
  <c r="A251" i="148"/>
  <c r="N250" i="148"/>
  <c r="M250" i="148"/>
  <c r="L250" i="148"/>
  <c r="H250" i="148"/>
  <c r="A250" i="148"/>
  <c r="N249" i="148"/>
  <c r="M249" i="148"/>
  <c r="L249" i="148"/>
  <c r="H249" i="148"/>
  <c r="A249" i="148"/>
  <c r="N248" i="148"/>
  <c r="M248" i="148"/>
  <c r="L248" i="148"/>
  <c r="H248" i="148"/>
  <c r="A248" i="148"/>
  <c r="N247" i="148"/>
  <c r="M247" i="148"/>
  <c r="L247" i="148"/>
  <c r="H247" i="148"/>
  <c r="A247" i="148"/>
  <c r="N246" i="148"/>
  <c r="M246" i="148"/>
  <c r="L246" i="148"/>
  <c r="H246" i="148"/>
  <c r="A246" i="148"/>
  <c r="N245" i="148"/>
  <c r="M245" i="148"/>
  <c r="L245" i="148"/>
  <c r="H245" i="148"/>
  <c r="A245" i="148"/>
  <c r="N244" i="148"/>
  <c r="M244" i="148"/>
  <c r="L244" i="148"/>
  <c r="H244" i="148"/>
  <c r="A244" i="148"/>
  <c r="N243" i="148"/>
  <c r="M243" i="148"/>
  <c r="L243" i="148"/>
  <c r="H243" i="148"/>
  <c r="A243" i="148"/>
  <c r="N242" i="148"/>
  <c r="M242" i="148"/>
  <c r="L242" i="148"/>
  <c r="H242" i="148"/>
  <c r="A242" i="148"/>
  <c r="N241" i="148"/>
  <c r="M241" i="148"/>
  <c r="L241" i="148"/>
  <c r="H241" i="148"/>
  <c r="A241" i="148"/>
  <c r="N240" i="148"/>
  <c r="M240" i="148"/>
  <c r="L240" i="148"/>
  <c r="H240" i="148"/>
  <c r="A240" i="148"/>
  <c r="N239" i="148"/>
  <c r="M239" i="148"/>
  <c r="L239" i="148"/>
  <c r="H239" i="148"/>
  <c r="A239" i="148"/>
  <c r="N238" i="148"/>
  <c r="M238" i="148"/>
  <c r="L238" i="148"/>
  <c r="H238" i="148"/>
  <c r="A238" i="148"/>
  <c r="N237" i="148"/>
  <c r="M237" i="148"/>
  <c r="L237" i="148"/>
  <c r="H237" i="148"/>
  <c r="A237" i="148"/>
  <c r="N236" i="148"/>
  <c r="M236" i="148"/>
  <c r="L236" i="148"/>
  <c r="H236" i="148"/>
  <c r="A236" i="148"/>
  <c r="N235" i="148"/>
  <c r="M235" i="148"/>
  <c r="L235" i="148"/>
  <c r="H235" i="148"/>
  <c r="A235" i="148"/>
  <c r="N234" i="148"/>
  <c r="M234" i="148"/>
  <c r="L234" i="148"/>
  <c r="H234" i="148"/>
  <c r="A234" i="148"/>
  <c r="N233" i="148"/>
  <c r="M233" i="148"/>
  <c r="L233" i="148"/>
  <c r="H233" i="148"/>
  <c r="A233" i="148"/>
  <c r="N232" i="148"/>
  <c r="M232" i="148"/>
  <c r="L232" i="148"/>
  <c r="H232" i="148"/>
  <c r="A232" i="148"/>
  <c r="N231" i="148"/>
  <c r="M231" i="148"/>
  <c r="L231" i="148"/>
  <c r="H231" i="148"/>
  <c r="A231" i="148"/>
  <c r="N230" i="148"/>
  <c r="M230" i="148"/>
  <c r="L230" i="148"/>
  <c r="H230" i="148"/>
  <c r="A230" i="148"/>
  <c r="N229" i="148"/>
  <c r="M229" i="148"/>
  <c r="L229" i="148"/>
  <c r="H229" i="148"/>
  <c r="A229" i="148"/>
  <c r="N228" i="148"/>
  <c r="M228" i="148"/>
  <c r="L228" i="148"/>
  <c r="H228" i="148"/>
  <c r="A228" i="148"/>
  <c r="N227" i="148"/>
  <c r="M227" i="148"/>
  <c r="L227" i="148"/>
  <c r="H227" i="148"/>
  <c r="A227" i="148"/>
  <c r="N226" i="148"/>
  <c r="M226" i="148"/>
  <c r="L226" i="148"/>
  <c r="H226" i="148"/>
  <c r="A226" i="148"/>
  <c r="N225" i="148"/>
  <c r="M225" i="148"/>
  <c r="L225" i="148"/>
  <c r="H225" i="148"/>
  <c r="A225" i="148"/>
  <c r="N224" i="148"/>
  <c r="M224" i="148"/>
  <c r="L224" i="148"/>
  <c r="H224" i="148"/>
  <c r="A224" i="148"/>
  <c r="N223" i="148"/>
  <c r="M223" i="148"/>
  <c r="L223" i="148"/>
  <c r="H223" i="148"/>
  <c r="A223" i="148"/>
  <c r="N222" i="148"/>
  <c r="M222" i="148"/>
  <c r="L222" i="148"/>
  <c r="H222" i="148"/>
  <c r="A222" i="148"/>
  <c r="N221" i="148"/>
  <c r="M221" i="148"/>
  <c r="L221" i="148"/>
  <c r="H221" i="148"/>
  <c r="A221" i="148"/>
  <c r="N220" i="148"/>
  <c r="M220" i="148"/>
  <c r="L220" i="148"/>
  <c r="H220" i="148"/>
  <c r="A220" i="148"/>
  <c r="N219" i="148"/>
  <c r="M219" i="148"/>
  <c r="L219" i="148"/>
  <c r="H219" i="148"/>
  <c r="A219" i="148"/>
  <c r="N218" i="148"/>
  <c r="M218" i="148"/>
  <c r="L218" i="148"/>
  <c r="H218" i="148"/>
  <c r="A218" i="148"/>
  <c r="N217" i="148"/>
  <c r="M217" i="148"/>
  <c r="L217" i="148"/>
  <c r="H217" i="148"/>
  <c r="A217" i="148"/>
  <c r="N216" i="148"/>
  <c r="M216" i="148"/>
  <c r="L216" i="148"/>
  <c r="H216" i="148"/>
  <c r="A216" i="148"/>
  <c r="N215" i="148"/>
  <c r="M215" i="148"/>
  <c r="L215" i="148"/>
  <c r="H215" i="148"/>
  <c r="A215" i="148"/>
  <c r="N214" i="148"/>
  <c r="M214" i="148"/>
  <c r="L214" i="148"/>
  <c r="H214" i="148"/>
  <c r="A214" i="148"/>
  <c r="N213" i="148"/>
  <c r="M213" i="148"/>
  <c r="L213" i="148"/>
  <c r="H213" i="148"/>
  <c r="A213" i="148"/>
  <c r="N212" i="148"/>
  <c r="M212" i="148"/>
  <c r="L212" i="148"/>
  <c r="H212" i="148"/>
  <c r="A212" i="148"/>
  <c r="N211" i="148"/>
  <c r="M211" i="148"/>
  <c r="L211" i="148"/>
  <c r="H211" i="148"/>
  <c r="A211" i="148"/>
  <c r="N210" i="148"/>
  <c r="M210" i="148"/>
  <c r="L210" i="148"/>
  <c r="H210" i="148"/>
  <c r="A210" i="148"/>
  <c r="N209" i="148"/>
  <c r="M209" i="148"/>
  <c r="L209" i="148"/>
  <c r="H209" i="148"/>
  <c r="A209" i="148"/>
  <c r="N208" i="148"/>
  <c r="M208" i="148"/>
  <c r="L208" i="148"/>
  <c r="H208" i="148"/>
  <c r="A208" i="148"/>
  <c r="N207" i="148"/>
  <c r="M207" i="148"/>
  <c r="L207" i="148"/>
  <c r="H207" i="148"/>
  <c r="A207" i="148"/>
  <c r="N206" i="148"/>
  <c r="M206" i="148"/>
  <c r="L206" i="148"/>
  <c r="H206" i="148"/>
  <c r="A206" i="148"/>
  <c r="N205" i="148"/>
  <c r="M205" i="148"/>
  <c r="L205" i="148"/>
  <c r="H205" i="148"/>
  <c r="A205" i="148"/>
  <c r="N204" i="148"/>
  <c r="M204" i="148"/>
  <c r="L204" i="148"/>
  <c r="H204" i="148"/>
  <c r="A204" i="148"/>
  <c r="N203" i="148"/>
  <c r="M203" i="148"/>
  <c r="L203" i="148"/>
  <c r="H203" i="148"/>
  <c r="A203" i="148"/>
  <c r="N202" i="148"/>
  <c r="M202" i="148"/>
  <c r="L202" i="148"/>
  <c r="H202" i="148"/>
  <c r="A202" i="148"/>
  <c r="N201" i="148"/>
  <c r="M201" i="148"/>
  <c r="L201" i="148"/>
  <c r="H201" i="148"/>
  <c r="A201" i="148"/>
  <c r="N200" i="148"/>
  <c r="M200" i="148"/>
  <c r="L200" i="148"/>
  <c r="H200" i="148"/>
  <c r="A200" i="148"/>
  <c r="N199" i="148"/>
  <c r="M199" i="148"/>
  <c r="L199" i="148"/>
  <c r="H199" i="148"/>
  <c r="A199" i="148"/>
  <c r="N198" i="148"/>
  <c r="M198" i="148"/>
  <c r="L198" i="148"/>
  <c r="H198" i="148"/>
  <c r="A198" i="148"/>
  <c r="N197" i="148"/>
  <c r="M197" i="148"/>
  <c r="L197" i="148"/>
  <c r="H197" i="148"/>
  <c r="A197" i="148"/>
  <c r="N196" i="148"/>
  <c r="M196" i="148"/>
  <c r="L196" i="148"/>
  <c r="H196" i="148"/>
  <c r="A196" i="148"/>
  <c r="N195" i="148"/>
  <c r="M195" i="148"/>
  <c r="L195" i="148"/>
  <c r="H195" i="148"/>
  <c r="A195" i="148"/>
  <c r="N194" i="148"/>
  <c r="M194" i="148"/>
  <c r="L194" i="148"/>
  <c r="H194" i="148"/>
  <c r="A194" i="148"/>
  <c r="N193" i="148"/>
  <c r="M193" i="148"/>
  <c r="L193" i="148"/>
  <c r="H193" i="148"/>
  <c r="A193" i="148"/>
  <c r="N192" i="148"/>
  <c r="M192" i="148"/>
  <c r="L192" i="148"/>
  <c r="H192" i="148"/>
  <c r="A192" i="148"/>
  <c r="N191" i="148"/>
  <c r="M191" i="148"/>
  <c r="L191" i="148"/>
  <c r="H191" i="148"/>
  <c r="A191" i="148"/>
  <c r="N190" i="148"/>
  <c r="M190" i="148"/>
  <c r="L190" i="148"/>
  <c r="H190" i="148"/>
  <c r="A190" i="148"/>
  <c r="N189" i="148"/>
  <c r="M189" i="148"/>
  <c r="L189" i="148"/>
  <c r="H189" i="148"/>
  <c r="A189" i="148"/>
  <c r="N188" i="148"/>
  <c r="M188" i="148"/>
  <c r="L188" i="148"/>
  <c r="H188" i="148"/>
  <c r="A188" i="148"/>
  <c r="N187" i="148"/>
  <c r="M187" i="148"/>
  <c r="L187" i="148"/>
  <c r="H187" i="148"/>
  <c r="A187" i="148"/>
  <c r="N186" i="148"/>
  <c r="M186" i="148"/>
  <c r="L186" i="148"/>
  <c r="H186" i="148"/>
  <c r="A186" i="148"/>
  <c r="N185" i="148"/>
  <c r="M185" i="148"/>
  <c r="L185" i="148"/>
  <c r="H185" i="148"/>
  <c r="A185" i="148"/>
  <c r="N184" i="148"/>
  <c r="M184" i="148"/>
  <c r="L184" i="148"/>
  <c r="H184" i="148"/>
  <c r="A184" i="148"/>
  <c r="N183" i="148"/>
  <c r="M183" i="148"/>
  <c r="L183" i="148"/>
  <c r="H183" i="148"/>
  <c r="A183" i="148"/>
  <c r="N182" i="148"/>
  <c r="M182" i="148"/>
  <c r="L182" i="148"/>
  <c r="H182" i="148"/>
  <c r="A182" i="148"/>
  <c r="N181" i="148"/>
  <c r="M181" i="148"/>
  <c r="L181" i="148"/>
  <c r="H181" i="148"/>
  <c r="A181" i="148"/>
  <c r="N180" i="148"/>
  <c r="M180" i="148"/>
  <c r="L180" i="148"/>
  <c r="H180" i="148"/>
  <c r="A180" i="148"/>
  <c r="N179" i="148"/>
  <c r="M179" i="148"/>
  <c r="L179" i="148"/>
  <c r="H179" i="148"/>
  <c r="A179" i="148"/>
  <c r="N178" i="148"/>
  <c r="M178" i="148"/>
  <c r="L178" i="148"/>
  <c r="H178" i="148"/>
  <c r="A178" i="148"/>
  <c r="N177" i="148"/>
  <c r="M177" i="148"/>
  <c r="L177" i="148"/>
  <c r="H177" i="148"/>
  <c r="A177" i="148"/>
  <c r="N176" i="148"/>
  <c r="M176" i="148"/>
  <c r="L176" i="148"/>
  <c r="H176" i="148"/>
  <c r="A176" i="148"/>
  <c r="N175" i="148"/>
  <c r="M175" i="148"/>
  <c r="L175" i="148"/>
  <c r="H175" i="148"/>
  <c r="A175" i="148"/>
  <c r="N174" i="148"/>
  <c r="M174" i="148"/>
  <c r="L174" i="148"/>
  <c r="H174" i="148"/>
  <c r="A174" i="148"/>
  <c r="N173" i="148"/>
  <c r="M173" i="148"/>
  <c r="L173" i="148"/>
  <c r="H173" i="148"/>
  <c r="A173" i="148"/>
  <c r="N172" i="148"/>
  <c r="M172" i="148"/>
  <c r="L172" i="148"/>
  <c r="H172" i="148"/>
  <c r="A172" i="148"/>
  <c r="N171" i="148"/>
  <c r="M171" i="148"/>
  <c r="L171" i="148"/>
  <c r="H171" i="148"/>
  <c r="A171" i="148"/>
  <c r="N170" i="148"/>
  <c r="M170" i="148"/>
  <c r="L170" i="148"/>
  <c r="H170" i="148"/>
  <c r="A170" i="148"/>
  <c r="N169" i="148"/>
  <c r="M169" i="148"/>
  <c r="L169" i="148"/>
  <c r="H169" i="148"/>
  <c r="A169" i="148"/>
  <c r="N168" i="148"/>
  <c r="M168" i="148"/>
  <c r="L168" i="148"/>
  <c r="H168" i="148"/>
  <c r="A168" i="148"/>
  <c r="N167" i="148"/>
  <c r="M167" i="148"/>
  <c r="L167" i="148"/>
  <c r="H167" i="148"/>
  <c r="A167" i="148"/>
  <c r="N166" i="148"/>
  <c r="M166" i="148"/>
  <c r="L166" i="148"/>
  <c r="H166" i="148"/>
  <c r="A166" i="148"/>
  <c r="N165" i="148"/>
  <c r="M165" i="148"/>
  <c r="L165" i="148"/>
  <c r="H165" i="148"/>
  <c r="A165" i="148"/>
  <c r="N164" i="148"/>
  <c r="M164" i="148"/>
  <c r="L164" i="148"/>
  <c r="H164" i="148"/>
  <c r="A164" i="148"/>
  <c r="N163" i="148"/>
  <c r="M163" i="148"/>
  <c r="L163" i="148"/>
  <c r="H163" i="148"/>
  <c r="A163" i="148"/>
  <c r="N162" i="148"/>
  <c r="M162" i="148"/>
  <c r="L162" i="148"/>
  <c r="H162" i="148"/>
  <c r="A162" i="148"/>
  <c r="N161" i="148"/>
  <c r="M161" i="148"/>
  <c r="L161" i="148"/>
  <c r="H161" i="148"/>
  <c r="A161" i="148"/>
  <c r="N160" i="148"/>
  <c r="M160" i="148"/>
  <c r="L160" i="148"/>
  <c r="H160" i="148"/>
  <c r="A160" i="148"/>
  <c r="N159" i="148"/>
  <c r="M159" i="148"/>
  <c r="L159" i="148"/>
  <c r="H159" i="148"/>
  <c r="A159" i="148"/>
  <c r="N158" i="148"/>
  <c r="M158" i="148"/>
  <c r="L158" i="148"/>
  <c r="H158" i="148"/>
  <c r="A158" i="148"/>
  <c r="N157" i="148"/>
  <c r="M157" i="148"/>
  <c r="L157" i="148"/>
  <c r="H157" i="148"/>
  <c r="A157" i="148"/>
  <c r="N156" i="148"/>
  <c r="M156" i="148"/>
  <c r="L156" i="148"/>
  <c r="H156" i="148"/>
  <c r="A156" i="148"/>
  <c r="N155" i="148"/>
  <c r="M155" i="148"/>
  <c r="L155" i="148"/>
  <c r="H155" i="148"/>
  <c r="A155" i="148"/>
  <c r="N154" i="148"/>
  <c r="M154" i="148"/>
  <c r="L154" i="148"/>
  <c r="H154" i="148"/>
  <c r="A154" i="148"/>
  <c r="N153" i="148"/>
  <c r="M153" i="148"/>
  <c r="L153" i="148"/>
  <c r="H153" i="148"/>
  <c r="A153" i="148"/>
  <c r="N152" i="148"/>
  <c r="M152" i="148"/>
  <c r="L152" i="148"/>
  <c r="H152" i="148"/>
  <c r="A152" i="148"/>
  <c r="N151" i="148"/>
  <c r="M151" i="148"/>
  <c r="L151" i="148"/>
  <c r="H151" i="148"/>
  <c r="A151" i="148"/>
  <c r="N150" i="148"/>
  <c r="M150" i="148"/>
  <c r="L150" i="148"/>
  <c r="H150" i="148"/>
  <c r="A150" i="148"/>
  <c r="N149" i="148"/>
  <c r="M149" i="148"/>
  <c r="L149" i="148"/>
  <c r="H149" i="148"/>
  <c r="A149" i="148"/>
  <c r="N148" i="148"/>
  <c r="M148" i="148"/>
  <c r="L148" i="148"/>
  <c r="H148" i="148"/>
  <c r="A148" i="148"/>
  <c r="N147" i="148"/>
  <c r="M147" i="148"/>
  <c r="L147" i="148"/>
  <c r="H147" i="148"/>
  <c r="A147" i="148"/>
  <c r="N146" i="148"/>
  <c r="M146" i="148"/>
  <c r="L146" i="148"/>
  <c r="H146" i="148"/>
  <c r="A146" i="148"/>
  <c r="N145" i="148"/>
  <c r="M145" i="148"/>
  <c r="L145" i="148"/>
  <c r="H145" i="148"/>
  <c r="A145" i="148"/>
  <c r="N144" i="148"/>
  <c r="M144" i="148"/>
  <c r="L144" i="148"/>
  <c r="H144" i="148"/>
  <c r="A144" i="148"/>
  <c r="N143" i="148"/>
  <c r="M143" i="148"/>
  <c r="L143" i="148"/>
  <c r="H143" i="148"/>
  <c r="A143" i="148"/>
  <c r="N142" i="148"/>
  <c r="M142" i="148"/>
  <c r="L142" i="148"/>
  <c r="H142" i="148"/>
  <c r="A142" i="148"/>
  <c r="N141" i="148"/>
  <c r="M141" i="148"/>
  <c r="L141" i="148"/>
  <c r="H141" i="148"/>
  <c r="A141" i="148"/>
  <c r="N140" i="148"/>
  <c r="M140" i="148"/>
  <c r="L140" i="148"/>
  <c r="H140" i="148"/>
  <c r="A140" i="148"/>
  <c r="N139" i="148"/>
  <c r="M139" i="148"/>
  <c r="L139" i="148"/>
  <c r="H139" i="148"/>
  <c r="A139" i="148"/>
  <c r="N138" i="148"/>
  <c r="M138" i="148"/>
  <c r="L138" i="148"/>
  <c r="H138" i="148"/>
  <c r="A138" i="148"/>
  <c r="N137" i="148"/>
  <c r="M137" i="148"/>
  <c r="L137" i="148"/>
  <c r="H137" i="148"/>
  <c r="A137" i="148"/>
  <c r="N136" i="148"/>
  <c r="M136" i="148"/>
  <c r="L136" i="148"/>
  <c r="H136" i="148"/>
  <c r="A136" i="148"/>
  <c r="N135" i="148"/>
  <c r="M135" i="148"/>
  <c r="L135" i="148"/>
  <c r="H135" i="148"/>
  <c r="A135" i="148"/>
  <c r="N134" i="148"/>
  <c r="M134" i="148"/>
  <c r="L134" i="148"/>
  <c r="H134" i="148"/>
  <c r="A134" i="148"/>
  <c r="N133" i="148"/>
  <c r="M133" i="148"/>
  <c r="L133" i="148"/>
  <c r="H133" i="148"/>
  <c r="A133" i="148"/>
  <c r="N132" i="148"/>
  <c r="M132" i="148"/>
  <c r="L132" i="148"/>
  <c r="H132" i="148"/>
  <c r="A132" i="148"/>
  <c r="N131" i="148"/>
  <c r="M131" i="148"/>
  <c r="L131" i="148"/>
  <c r="H131" i="148"/>
  <c r="A131" i="148"/>
  <c r="N130" i="148"/>
  <c r="M130" i="148"/>
  <c r="L130" i="148"/>
  <c r="H130" i="148"/>
  <c r="A130" i="148"/>
  <c r="N129" i="148"/>
  <c r="M129" i="148"/>
  <c r="L129" i="148"/>
  <c r="H129" i="148"/>
  <c r="A129" i="148"/>
  <c r="N128" i="148"/>
  <c r="M128" i="148"/>
  <c r="L128" i="148"/>
  <c r="H128" i="148"/>
  <c r="A128" i="148"/>
  <c r="N127" i="148"/>
  <c r="M127" i="148"/>
  <c r="L127" i="148"/>
  <c r="H127" i="148"/>
  <c r="A127" i="148"/>
  <c r="N126" i="148"/>
  <c r="M126" i="148"/>
  <c r="L126" i="148"/>
  <c r="H126" i="148"/>
  <c r="A126" i="148"/>
  <c r="N125" i="148"/>
  <c r="M125" i="148"/>
  <c r="L125" i="148"/>
  <c r="H125" i="148"/>
  <c r="A125" i="148"/>
  <c r="N124" i="148"/>
  <c r="M124" i="148"/>
  <c r="L124" i="148"/>
  <c r="H124" i="148"/>
  <c r="A124" i="148"/>
  <c r="N123" i="148"/>
  <c r="M123" i="148"/>
  <c r="L123" i="148"/>
  <c r="H123" i="148"/>
  <c r="A123" i="148"/>
  <c r="N122" i="148"/>
  <c r="M122" i="148"/>
  <c r="L122" i="148"/>
  <c r="H122" i="148"/>
  <c r="A122" i="148"/>
  <c r="N121" i="148"/>
  <c r="M121" i="148"/>
  <c r="L121" i="148"/>
  <c r="H121" i="148"/>
  <c r="A121" i="148"/>
  <c r="N120" i="148"/>
  <c r="M120" i="148"/>
  <c r="L120" i="148"/>
  <c r="H120" i="148"/>
  <c r="A120" i="148"/>
  <c r="N119" i="148"/>
  <c r="M119" i="148"/>
  <c r="L119" i="148"/>
  <c r="H119" i="148"/>
  <c r="A119" i="148"/>
  <c r="N118" i="148"/>
  <c r="M118" i="148"/>
  <c r="L118" i="148"/>
  <c r="H118" i="148"/>
  <c r="A118" i="148"/>
  <c r="N117" i="148"/>
  <c r="M117" i="148"/>
  <c r="L117" i="148"/>
  <c r="H117" i="148"/>
  <c r="A117" i="148"/>
  <c r="N116" i="148"/>
  <c r="M116" i="148"/>
  <c r="L116" i="148"/>
  <c r="H116" i="148"/>
  <c r="A116" i="148"/>
  <c r="N115" i="148"/>
  <c r="M115" i="148"/>
  <c r="L115" i="148"/>
  <c r="H115" i="148"/>
  <c r="A115" i="148"/>
  <c r="N114" i="148"/>
  <c r="M114" i="148"/>
  <c r="L114" i="148"/>
  <c r="H114" i="148"/>
  <c r="A114" i="148"/>
  <c r="N113" i="148"/>
  <c r="M113" i="148"/>
  <c r="L113" i="148"/>
  <c r="H113" i="148"/>
  <c r="A113" i="148"/>
  <c r="N112" i="148"/>
  <c r="M112" i="148"/>
  <c r="L112" i="148"/>
  <c r="H112" i="148"/>
  <c r="A112" i="148"/>
  <c r="N111" i="148"/>
  <c r="M111" i="148"/>
  <c r="L111" i="148"/>
  <c r="H111" i="148"/>
  <c r="A111" i="148"/>
  <c r="N110" i="148"/>
  <c r="M110" i="148"/>
  <c r="L110" i="148"/>
  <c r="H110" i="148"/>
  <c r="A110" i="148"/>
  <c r="N109" i="148"/>
  <c r="M109" i="148"/>
  <c r="L109" i="148"/>
  <c r="H109" i="148"/>
  <c r="A109" i="148"/>
  <c r="N108" i="148"/>
  <c r="M108" i="148"/>
  <c r="L108" i="148"/>
  <c r="H108" i="148"/>
  <c r="A108" i="148"/>
  <c r="N107" i="148"/>
  <c r="M107" i="148"/>
  <c r="L107" i="148"/>
  <c r="H107" i="148"/>
  <c r="A107" i="148"/>
  <c r="N106" i="148"/>
  <c r="M106" i="148"/>
  <c r="L106" i="148"/>
  <c r="H106" i="148"/>
  <c r="A106" i="148"/>
  <c r="N105" i="148"/>
  <c r="M105" i="148"/>
  <c r="L105" i="148"/>
  <c r="H105" i="148"/>
  <c r="A105" i="148"/>
  <c r="N104" i="148"/>
  <c r="M104" i="148"/>
  <c r="L104" i="148"/>
  <c r="H104" i="148"/>
  <c r="A104" i="148"/>
  <c r="N103" i="148"/>
  <c r="M103" i="148"/>
  <c r="L103" i="148"/>
  <c r="H103" i="148"/>
  <c r="A103" i="148"/>
  <c r="N102" i="148"/>
  <c r="M102" i="148"/>
  <c r="L102" i="148"/>
  <c r="H102" i="148"/>
  <c r="A102" i="148"/>
  <c r="N101" i="148"/>
  <c r="M101" i="148"/>
  <c r="L101" i="148"/>
  <c r="H101" i="148"/>
  <c r="A101" i="148"/>
  <c r="N100" i="148"/>
  <c r="M100" i="148"/>
  <c r="L100" i="148"/>
  <c r="H100" i="148"/>
  <c r="A100" i="148"/>
  <c r="N99" i="148"/>
  <c r="M99" i="148"/>
  <c r="L99" i="148"/>
  <c r="H99" i="148"/>
  <c r="A99" i="148"/>
  <c r="N98" i="148"/>
  <c r="M98" i="148"/>
  <c r="L98" i="148"/>
  <c r="H98" i="148"/>
  <c r="A98" i="148"/>
  <c r="N97" i="148"/>
  <c r="M97" i="148"/>
  <c r="L97" i="148"/>
  <c r="H97" i="148"/>
  <c r="A97" i="148"/>
  <c r="N96" i="148"/>
  <c r="M96" i="148"/>
  <c r="L96" i="148"/>
  <c r="H96" i="148"/>
  <c r="A96" i="148"/>
  <c r="N95" i="148"/>
  <c r="M95" i="148"/>
  <c r="L95" i="148"/>
  <c r="H95" i="148"/>
  <c r="A95" i="148"/>
  <c r="N94" i="148"/>
  <c r="M94" i="148"/>
  <c r="L94" i="148"/>
  <c r="H94" i="148"/>
  <c r="A94" i="148"/>
  <c r="N93" i="148"/>
  <c r="M93" i="148"/>
  <c r="L93" i="148"/>
  <c r="H93" i="148"/>
  <c r="A93" i="148"/>
  <c r="N92" i="148"/>
  <c r="M92" i="148"/>
  <c r="L92" i="148"/>
  <c r="H92" i="148"/>
  <c r="A92" i="148"/>
  <c r="N91" i="148"/>
  <c r="M91" i="148"/>
  <c r="L91" i="148"/>
  <c r="H91" i="148"/>
  <c r="A91" i="148"/>
  <c r="N90" i="148"/>
  <c r="M90" i="148"/>
  <c r="L90" i="148"/>
  <c r="H90" i="148"/>
  <c r="A90" i="148"/>
  <c r="N89" i="148"/>
  <c r="M89" i="148"/>
  <c r="L89" i="148"/>
  <c r="H89" i="148"/>
  <c r="A89" i="148"/>
  <c r="N88" i="148"/>
  <c r="M88" i="148"/>
  <c r="L88" i="148"/>
  <c r="H88" i="148"/>
  <c r="A88" i="148"/>
  <c r="N87" i="148"/>
  <c r="M87" i="148"/>
  <c r="L87" i="148"/>
  <c r="H87" i="148"/>
  <c r="A87" i="148"/>
  <c r="N86" i="148"/>
  <c r="M86" i="148"/>
  <c r="L86" i="148"/>
  <c r="H86" i="148"/>
  <c r="A86" i="148"/>
  <c r="N85" i="148"/>
  <c r="M85" i="148"/>
  <c r="L85" i="148"/>
  <c r="H85" i="148"/>
  <c r="A85" i="148"/>
  <c r="N84" i="148"/>
  <c r="M84" i="148"/>
  <c r="L84" i="148"/>
  <c r="H84" i="148"/>
  <c r="A84" i="148"/>
  <c r="N83" i="148"/>
  <c r="M83" i="148"/>
  <c r="L83" i="148"/>
  <c r="H83" i="148"/>
  <c r="A83" i="148"/>
  <c r="N82" i="148"/>
  <c r="M82" i="148"/>
  <c r="L82" i="148"/>
  <c r="H82" i="148"/>
  <c r="A82" i="148"/>
  <c r="N81" i="148"/>
  <c r="M81" i="148"/>
  <c r="L81" i="148"/>
  <c r="H81" i="148"/>
  <c r="A81" i="148"/>
  <c r="N80" i="148"/>
  <c r="M80" i="148"/>
  <c r="L80" i="148"/>
  <c r="H80" i="148"/>
  <c r="A80" i="148"/>
  <c r="N79" i="148"/>
  <c r="M79" i="148"/>
  <c r="L79" i="148"/>
  <c r="H79" i="148"/>
  <c r="A79" i="148"/>
  <c r="N78" i="148"/>
  <c r="M78" i="148"/>
  <c r="L78" i="148"/>
  <c r="H78" i="148"/>
  <c r="A78" i="148"/>
  <c r="N77" i="148"/>
  <c r="M77" i="148"/>
  <c r="L77" i="148"/>
  <c r="H77" i="148"/>
  <c r="A77" i="148"/>
  <c r="N76" i="148"/>
  <c r="M76" i="148"/>
  <c r="L76" i="148"/>
  <c r="H76" i="148"/>
  <c r="A76" i="148"/>
  <c r="N75" i="148"/>
  <c r="M75" i="148"/>
  <c r="L75" i="148"/>
  <c r="H75" i="148"/>
  <c r="A75" i="148"/>
  <c r="N74" i="148"/>
  <c r="M74" i="148"/>
  <c r="L74" i="148"/>
  <c r="H74" i="148"/>
  <c r="A74" i="148"/>
  <c r="N73" i="148"/>
  <c r="M73" i="148"/>
  <c r="L73" i="148"/>
  <c r="H73" i="148"/>
  <c r="A73" i="148"/>
  <c r="N72" i="148"/>
  <c r="M72" i="148"/>
  <c r="L72" i="148"/>
  <c r="H72" i="148"/>
  <c r="A72" i="148"/>
  <c r="N71" i="148"/>
  <c r="M71" i="148"/>
  <c r="L71" i="148"/>
  <c r="H71" i="148"/>
  <c r="A71" i="148"/>
  <c r="N70" i="148"/>
  <c r="M70" i="148"/>
  <c r="L70" i="148"/>
  <c r="H70" i="148"/>
  <c r="A70" i="148"/>
  <c r="N69" i="148"/>
  <c r="M69" i="148"/>
  <c r="L69" i="148"/>
  <c r="H69" i="148"/>
  <c r="A69" i="148"/>
  <c r="N68" i="148"/>
  <c r="M68" i="148"/>
  <c r="L68" i="148"/>
  <c r="H68" i="148"/>
  <c r="A68" i="148"/>
  <c r="N67" i="148"/>
  <c r="M67" i="148"/>
  <c r="L67" i="148"/>
  <c r="H67" i="148"/>
  <c r="A67" i="148"/>
  <c r="N66" i="148"/>
  <c r="M66" i="148"/>
  <c r="L66" i="148"/>
  <c r="H66" i="148"/>
  <c r="A66" i="148"/>
  <c r="N65" i="148"/>
  <c r="M65" i="148"/>
  <c r="L65" i="148"/>
  <c r="H65" i="148"/>
  <c r="A65" i="148"/>
  <c r="N64" i="148"/>
  <c r="M64" i="148"/>
  <c r="L64" i="148"/>
  <c r="H64" i="148"/>
  <c r="A64" i="148"/>
  <c r="N63" i="148"/>
  <c r="M63" i="148"/>
  <c r="L63" i="148"/>
  <c r="H63" i="148"/>
  <c r="A63" i="148"/>
  <c r="N62" i="148"/>
  <c r="M62" i="148"/>
  <c r="L62" i="148"/>
  <c r="H62" i="148"/>
  <c r="A62" i="148"/>
  <c r="N61" i="148"/>
  <c r="M61" i="148"/>
  <c r="L61" i="148"/>
  <c r="H61" i="148"/>
  <c r="A61" i="148"/>
  <c r="N60" i="148"/>
  <c r="M60" i="148"/>
  <c r="L60" i="148"/>
  <c r="H60" i="148"/>
  <c r="A60" i="148"/>
  <c r="N59" i="148"/>
  <c r="M59" i="148"/>
  <c r="L59" i="148"/>
  <c r="H59" i="148"/>
  <c r="A59" i="148"/>
  <c r="N58" i="148"/>
  <c r="M58" i="148"/>
  <c r="L58" i="148"/>
  <c r="H58" i="148"/>
  <c r="A58" i="148"/>
  <c r="N57" i="148"/>
  <c r="M57" i="148"/>
  <c r="L57" i="148"/>
  <c r="H57" i="148"/>
  <c r="A57" i="148"/>
  <c r="N56" i="148"/>
  <c r="M56" i="148"/>
  <c r="L56" i="148"/>
  <c r="H56" i="148"/>
  <c r="A56" i="148"/>
  <c r="N55" i="148"/>
  <c r="M55" i="148"/>
  <c r="L55" i="148"/>
  <c r="H55" i="148"/>
  <c r="A55" i="148"/>
  <c r="N54" i="148"/>
  <c r="M54" i="148"/>
  <c r="L54" i="148"/>
  <c r="H54" i="148"/>
  <c r="A54" i="148"/>
  <c r="N53" i="148"/>
  <c r="M53" i="148"/>
  <c r="L53" i="148"/>
  <c r="H53" i="148"/>
  <c r="A53" i="148"/>
  <c r="N52" i="148"/>
  <c r="M52" i="148"/>
  <c r="L52" i="148"/>
  <c r="H52" i="148"/>
  <c r="A52" i="148"/>
  <c r="N51" i="148"/>
  <c r="M51" i="148"/>
  <c r="L51" i="148"/>
  <c r="H51" i="148"/>
  <c r="A51" i="148"/>
  <c r="N50" i="148"/>
  <c r="M50" i="148"/>
  <c r="L50" i="148"/>
  <c r="H50" i="148"/>
  <c r="A50" i="148"/>
  <c r="N49" i="148"/>
  <c r="M49" i="148"/>
  <c r="L49" i="148"/>
  <c r="H49" i="148"/>
  <c r="A49" i="148"/>
  <c r="N48" i="148"/>
  <c r="M48" i="148"/>
  <c r="L48" i="148"/>
  <c r="H48" i="148"/>
  <c r="A48" i="148"/>
  <c r="N47" i="148"/>
  <c r="M47" i="148"/>
  <c r="L47" i="148"/>
  <c r="H47" i="148"/>
  <c r="A47" i="148"/>
  <c r="N46" i="148"/>
  <c r="M46" i="148"/>
  <c r="L46" i="148"/>
  <c r="H46" i="148"/>
  <c r="A46" i="148"/>
  <c r="N45" i="148"/>
  <c r="M45" i="148"/>
  <c r="L45" i="148"/>
  <c r="H45" i="148"/>
  <c r="A45" i="148"/>
  <c r="N44" i="148"/>
  <c r="M44" i="148"/>
  <c r="L44" i="148"/>
  <c r="H44" i="148"/>
  <c r="A44" i="148"/>
  <c r="N43" i="148"/>
  <c r="M43" i="148"/>
  <c r="L43" i="148"/>
  <c r="H43" i="148"/>
  <c r="A43" i="148"/>
  <c r="N42" i="148"/>
  <c r="M42" i="148"/>
  <c r="L42" i="148"/>
  <c r="H42" i="148"/>
  <c r="A42" i="148"/>
  <c r="N41" i="148"/>
  <c r="M41" i="148"/>
  <c r="L41" i="148"/>
  <c r="H41" i="148"/>
  <c r="A41" i="148"/>
  <c r="N40" i="148"/>
  <c r="M40" i="148"/>
  <c r="L40" i="148"/>
  <c r="H40" i="148"/>
  <c r="A40" i="148"/>
  <c r="N39" i="148"/>
  <c r="M39" i="148"/>
  <c r="L39" i="148"/>
  <c r="H39" i="148"/>
  <c r="A39" i="148"/>
  <c r="N38" i="148"/>
  <c r="M38" i="148"/>
  <c r="L38" i="148"/>
  <c r="H38" i="148"/>
  <c r="A38" i="148"/>
  <c r="N37" i="148"/>
  <c r="M37" i="148"/>
  <c r="L37" i="148"/>
  <c r="H37" i="148"/>
  <c r="A37" i="148"/>
  <c r="N36" i="148"/>
  <c r="M36" i="148"/>
  <c r="L36" i="148"/>
  <c r="H36" i="148"/>
  <c r="A36" i="148"/>
  <c r="N35" i="148"/>
  <c r="M35" i="148"/>
  <c r="L35" i="148"/>
  <c r="H35" i="148"/>
  <c r="A35" i="148"/>
  <c r="N34" i="148"/>
  <c r="M34" i="148"/>
  <c r="L34" i="148"/>
  <c r="H34" i="148"/>
  <c r="A34" i="148"/>
  <c r="N33" i="148"/>
  <c r="M33" i="148"/>
  <c r="L33" i="148"/>
  <c r="H33" i="148"/>
  <c r="A33" i="148"/>
  <c r="N32" i="148"/>
  <c r="M32" i="148"/>
  <c r="L32" i="148"/>
  <c r="H32" i="148"/>
  <c r="A32" i="148"/>
  <c r="N31" i="148"/>
  <c r="M31" i="148"/>
  <c r="L31" i="148"/>
  <c r="H31" i="148"/>
  <c r="A31" i="148"/>
  <c r="N30" i="148"/>
  <c r="M30" i="148"/>
  <c r="L30" i="148"/>
  <c r="H30" i="148"/>
  <c r="A30" i="148"/>
  <c r="N29" i="148"/>
  <c r="M29" i="148"/>
  <c r="L29" i="148"/>
  <c r="H29" i="148"/>
  <c r="A29" i="148"/>
  <c r="N28" i="148"/>
  <c r="M28" i="148"/>
  <c r="L28" i="148"/>
  <c r="H28" i="148"/>
  <c r="A28" i="148"/>
  <c r="N27" i="148"/>
  <c r="M27" i="148"/>
  <c r="L27" i="148"/>
  <c r="H27" i="148"/>
  <c r="A27" i="148"/>
  <c r="N26" i="148"/>
  <c r="M26" i="148"/>
  <c r="L26" i="148"/>
  <c r="H26" i="148"/>
  <c r="A26" i="148"/>
  <c r="N25" i="148"/>
  <c r="M25" i="148"/>
  <c r="L25" i="148"/>
  <c r="H25" i="148"/>
  <c r="A25" i="148"/>
  <c r="N24" i="148"/>
  <c r="M24" i="148"/>
  <c r="L24" i="148"/>
  <c r="H24" i="148"/>
  <c r="A24" i="148"/>
  <c r="N23" i="148"/>
  <c r="M23" i="148"/>
  <c r="L23" i="148"/>
  <c r="H23" i="148"/>
  <c r="A23" i="148"/>
  <c r="N22" i="148"/>
  <c r="M22" i="148"/>
  <c r="L22" i="148"/>
  <c r="H22" i="148"/>
  <c r="A22" i="148"/>
  <c r="N21" i="148"/>
  <c r="M21" i="148"/>
  <c r="L21" i="148"/>
  <c r="H21" i="148"/>
  <c r="A21" i="148"/>
  <c r="N20" i="148"/>
  <c r="M20" i="148"/>
  <c r="L20" i="148"/>
  <c r="H20" i="148"/>
  <c r="A20" i="148"/>
  <c r="N19" i="148"/>
  <c r="M19" i="148"/>
  <c r="L19" i="148"/>
  <c r="H19" i="148"/>
  <c r="A19" i="148"/>
  <c r="N18" i="148"/>
  <c r="M18" i="148"/>
  <c r="L18" i="148"/>
  <c r="H18" i="148"/>
  <c r="A18" i="148"/>
  <c r="N17" i="148"/>
  <c r="M17" i="148"/>
  <c r="L17" i="148"/>
  <c r="H17" i="148"/>
  <c r="A17" i="148"/>
  <c r="N16" i="148"/>
  <c r="M16" i="148"/>
  <c r="L16" i="148"/>
  <c r="H16" i="148"/>
  <c r="A16" i="148"/>
  <c r="N15" i="148"/>
  <c r="M15" i="148"/>
  <c r="L15" i="148"/>
  <c r="H15" i="148"/>
  <c r="A15" i="148"/>
  <c r="N14" i="148"/>
  <c r="M14" i="148"/>
  <c r="L14" i="148"/>
  <c r="H14" i="148"/>
  <c r="A14" i="148"/>
  <c r="N13" i="148"/>
  <c r="M13" i="148"/>
  <c r="L13" i="148"/>
  <c r="H13" i="148"/>
  <c r="A13" i="148"/>
  <c r="N12" i="148"/>
  <c r="M12" i="148"/>
  <c r="L12" i="148"/>
  <c r="H12" i="148"/>
  <c r="A12" i="148"/>
  <c r="N11" i="148"/>
  <c r="M11" i="148"/>
  <c r="L11" i="148"/>
  <c r="H11" i="148"/>
  <c r="A11" i="148"/>
  <c r="N10" i="148"/>
  <c r="M10" i="148"/>
  <c r="L10" i="148"/>
  <c r="H10" i="148"/>
  <c r="A10" i="148"/>
  <c r="N9" i="148"/>
  <c r="M9" i="148"/>
  <c r="L9" i="148"/>
  <c r="H9" i="148"/>
  <c r="A9" i="148"/>
  <c r="N8" i="148"/>
  <c r="M8" i="148"/>
  <c r="L8" i="148"/>
  <c r="H8" i="148"/>
  <c r="A8" i="148"/>
  <c r="N7" i="148"/>
  <c r="M7" i="148"/>
  <c r="L7" i="148"/>
  <c r="H7" i="148"/>
  <c r="A7" i="148"/>
  <c r="N6" i="148"/>
  <c r="M6" i="148"/>
  <c r="L6" i="148"/>
  <c r="H6" i="148"/>
  <c r="A6" i="148"/>
  <c r="N5" i="148"/>
  <c r="M5" i="148"/>
  <c r="L5" i="148"/>
  <c r="H5" i="148"/>
  <c r="A5" i="148"/>
  <c r="N4" i="148"/>
  <c r="M4" i="148"/>
  <c r="L4" i="148"/>
  <c r="H4" i="148"/>
  <c r="A4" i="148"/>
  <c r="N3" i="148"/>
  <c r="M3" i="148"/>
  <c r="L3" i="148"/>
  <c r="H3" i="148"/>
  <c r="A3" i="148"/>
  <c r="N2" i="148"/>
  <c r="M2" i="148"/>
  <c r="L2" i="148"/>
  <c r="H2" i="148"/>
  <c r="A2" i="148"/>
  <c r="F63" i="147"/>
  <c r="F62" i="147"/>
  <c r="B55" i="147"/>
  <c r="B56" i="147"/>
  <c r="B57" i="147"/>
  <c r="B58" i="147"/>
  <c r="B59" i="147"/>
  <c r="B60" i="147"/>
  <c r="B61" i="147"/>
  <c r="B62" i="147"/>
  <c r="C55" i="147"/>
  <c r="C56" i="147"/>
  <c r="C57" i="147"/>
  <c r="C58" i="147"/>
  <c r="C59" i="147"/>
  <c r="C60" i="147"/>
  <c r="C61" i="147"/>
  <c r="C62" i="147"/>
  <c r="F61" i="147"/>
  <c r="F60" i="147"/>
  <c r="F57" i="147"/>
  <c r="G57" i="147"/>
  <c r="F56" i="147"/>
  <c r="G56" i="147"/>
  <c r="F55" i="147"/>
  <c r="G55" i="147"/>
  <c r="B47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47" i="147"/>
  <c r="D47" i="147"/>
  <c r="I46" i="147"/>
  <c r="J46" i="147"/>
  <c r="F46" i="147"/>
  <c r="C46" i="147"/>
  <c r="D46" i="147"/>
  <c r="G45" i="147"/>
  <c r="E45" i="147"/>
  <c r="H45" i="147"/>
  <c r="I45" i="147"/>
  <c r="J45" i="147"/>
  <c r="F45" i="147"/>
  <c r="C45" i="147"/>
  <c r="D45" i="147"/>
  <c r="I44" i="147"/>
  <c r="J44" i="147"/>
  <c r="F44" i="147"/>
  <c r="C44" i="147"/>
  <c r="D44" i="147"/>
  <c r="I43" i="147"/>
  <c r="J43" i="147"/>
  <c r="F43" i="147"/>
  <c r="C43" i="147"/>
  <c r="D43" i="147"/>
  <c r="I42" i="147"/>
  <c r="J42" i="147"/>
  <c r="F42" i="147"/>
  <c r="C42" i="147"/>
  <c r="D42" i="147"/>
  <c r="I41" i="147"/>
  <c r="J41" i="147"/>
  <c r="F41" i="147"/>
  <c r="C41" i="147"/>
  <c r="D41" i="147"/>
  <c r="I40" i="147"/>
  <c r="J40" i="147"/>
  <c r="F40" i="147"/>
  <c r="C40" i="147"/>
  <c r="D40" i="147"/>
  <c r="I39" i="147"/>
  <c r="J39" i="147"/>
  <c r="F39" i="147"/>
  <c r="C39" i="147"/>
  <c r="D39" i="147"/>
  <c r="I38" i="147"/>
  <c r="J38" i="147"/>
  <c r="F38" i="147"/>
  <c r="C38" i="147"/>
  <c r="D38" i="147"/>
  <c r="I37" i="147"/>
  <c r="J37" i="147"/>
  <c r="F37" i="147"/>
  <c r="C37" i="147"/>
  <c r="D37" i="147"/>
  <c r="I36" i="147"/>
  <c r="J36" i="147"/>
  <c r="F36" i="147"/>
  <c r="C36" i="147"/>
  <c r="D36" i="147"/>
  <c r="I35" i="147"/>
  <c r="J35" i="147"/>
  <c r="F35" i="147"/>
  <c r="C35" i="147"/>
  <c r="D35" i="147"/>
  <c r="I34" i="147"/>
  <c r="J34" i="147"/>
  <c r="F34" i="147"/>
  <c r="C34" i="147"/>
  <c r="D34" i="147"/>
  <c r="I33" i="147"/>
  <c r="J33" i="147"/>
  <c r="F33" i="147"/>
  <c r="C33" i="147"/>
  <c r="D33" i="147"/>
  <c r="I32" i="147"/>
  <c r="J32" i="147"/>
  <c r="F32" i="147"/>
  <c r="C32" i="147"/>
  <c r="D32" i="147"/>
  <c r="G31" i="147"/>
  <c r="E31" i="147"/>
  <c r="H31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I21" i="147"/>
  <c r="J21" i="147"/>
  <c r="F21" i="147"/>
  <c r="D21" i="147"/>
  <c r="R20" i="147"/>
  <c r="P20" i="147"/>
  <c r="O20" i="147"/>
  <c r="M20" i="147"/>
  <c r="I20" i="147"/>
  <c r="J20" i="147"/>
  <c r="F20" i="147"/>
  <c r="D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C18" i="147"/>
  <c r="D18" i="147"/>
  <c r="R17" i="147"/>
  <c r="P17" i="147"/>
  <c r="O17" i="147"/>
  <c r="M17" i="147"/>
  <c r="I17" i="147"/>
  <c r="J17" i="147"/>
  <c r="F17" i="147"/>
  <c r="C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R3" i="147"/>
  <c r="P3" i="147"/>
  <c r="O3" i="147"/>
  <c r="M3" i="147"/>
  <c r="V2" i="147"/>
  <c r="B46" i="106"/>
  <c r="A284" i="82"/>
  <c r="H284" i="82"/>
  <c r="K284" i="82"/>
  <c r="L284" i="82"/>
  <c r="M284" i="82"/>
  <c r="N284" i="82"/>
  <c r="B47" i="106"/>
  <c r="E30" i="106"/>
  <c r="F33" i="106"/>
  <c r="E45" i="106"/>
  <c r="F18" i="106"/>
  <c r="I46" i="106"/>
  <c r="J46" i="106"/>
  <c r="F46" i="106"/>
  <c r="C46" i="106"/>
  <c r="D46" i="106"/>
  <c r="G45" i="106"/>
  <c r="H45" i="106"/>
  <c r="I45" i="106"/>
  <c r="J45" i="106"/>
  <c r="F45" i="106"/>
  <c r="C45" i="106"/>
  <c r="D45" i="106"/>
  <c r="I44" i="106"/>
  <c r="J44" i="106"/>
  <c r="F44" i="106"/>
  <c r="C44" i="106"/>
  <c r="D44" i="106"/>
  <c r="I43" i="106"/>
  <c r="J43" i="106"/>
  <c r="F43" i="106"/>
  <c r="C43" i="106"/>
  <c r="D43" i="106"/>
  <c r="I42" i="106"/>
  <c r="J42" i="106"/>
  <c r="F42" i="106"/>
  <c r="C42" i="106"/>
  <c r="D42" i="106"/>
  <c r="I41" i="106"/>
  <c r="J41" i="106"/>
  <c r="F41" i="106"/>
  <c r="C41" i="106"/>
  <c r="D41" i="106"/>
  <c r="I40" i="106"/>
  <c r="J40" i="106"/>
  <c r="F40" i="106"/>
  <c r="C40" i="106"/>
  <c r="D40" i="106"/>
  <c r="I39" i="106"/>
  <c r="J39" i="106"/>
  <c r="F39" i="106"/>
  <c r="C39" i="106"/>
  <c r="D39" i="106"/>
  <c r="I38" i="106"/>
  <c r="J38" i="106"/>
  <c r="F38" i="106"/>
  <c r="C38" i="106"/>
  <c r="D38" i="106"/>
  <c r="I37" i="106"/>
  <c r="J37" i="106"/>
  <c r="F37" i="106"/>
  <c r="C37" i="106"/>
  <c r="D37" i="106"/>
  <c r="I36" i="106"/>
  <c r="J36" i="106"/>
  <c r="F36" i="106"/>
  <c r="C36" i="106"/>
  <c r="D36" i="106"/>
  <c r="I35" i="106"/>
  <c r="J35" i="106"/>
  <c r="F35" i="106"/>
  <c r="C35" i="106"/>
  <c r="D35" i="106"/>
  <c r="I34" i="106"/>
  <c r="J34" i="106"/>
  <c r="F34" i="106"/>
  <c r="C34" i="106"/>
  <c r="D34" i="106"/>
  <c r="I33" i="106"/>
  <c r="J33" i="106"/>
  <c r="C33" i="106"/>
  <c r="D33" i="106"/>
  <c r="I32" i="106"/>
  <c r="J32" i="106"/>
  <c r="F32" i="106"/>
  <c r="C32" i="106"/>
  <c r="D32" i="106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47" i="106"/>
  <c r="B5" i="106"/>
  <c r="R3" i="106"/>
  <c r="H272" i="82"/>
  <c r="K272" i="82"/>
  <c r="L272" i="82"/>
  <c r="M272" i="82"/>
  <c r="N272" i="82"/>
  <c r="H273" i="82"/>
  <c r="K273" i="82"/>
  <c r="L273" i="82"/>
  <c r="M273" i="82"/>
  <c r="N273" i="82"/>
  <c r="H274" i="82"/>
  <c r="K274" i="82"/>
  <c r="L274" i="82"/>
  <c r="M274" i="82"/>
  <c r="N274" i="82"/>
  <c r="H275" i="82"/>
  <c r="K275" i="82"/>
  <c r="L275" i="82"/>
  <c r="M275" i="82"/>
  <c r="N275" i="82"/>
  <c r="H276" i="82"/>
  <c r="K276" i="82"/>
  <c r="L276" i="82"/>
  <c r="M276" i="82"/>
  <c r="N276" i="82"/>
  <c r="H277" i="82"/>
  <c r="K277" i="82"/>
  <c r="L277" i="82"/>
  <c r="M277" i="82"/>
  <c r="N277" i="82"/>
  <c r="H278" i="82"/>
  <c r="K278" i="82"/>
  <c r="L278" i="82"/>
  <c r="M278" i="82"/>
  <c r="N278" i="82"/>
  <c r="H279" i="82"/>
  <c r="K279" i="82"/>
  <c r="L279" i="82"/>
  <c r="M279" i="82"/>
  <c r="N279" i="82"/>
  <c r="H280" i="82"/>
  <c r="K280" i="82"/>
  <c r="L280" i="82"/>
  <c r="M280" i="82"/>
  <c r="N280" i="82"/>
  <c r="H281" i="82"/>
  <c r="K281" i="82"/>
  <c r="L281" i="82"/>
  <c r="M281" i="82"/>
  <c r="N281" i="82"/>
  <c r="H282" i="82"/>
  <c r="K282" i="82"/>
  <c r="L282" i="82"/>
  <c r="M282" i="82"/>
  <c r="N282" i="82"/>
  <c r="H283" i="82"/>
  <c r="K283" i="82"/>
  <c r="L283" i="82"/>
  <c r="M283" i="82"/>
  <c r="N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7" i="103"/>
  <c r="E7" i="103"/>
  <c r="C4" i="103"/>
  <c r="E4" i="103"/>
  <c r="R5" i="106"/>
  <c r="R4" i="106"/>
  <c r="V6" i="106"/>
  <c r="F55" i="106"/>
  <c r="F57" i="106"/>
  <c r="G57" i="106"/>
  <c r="F27" i="106"/>
  <c r="G30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19" i="106"/>
  <c r="F20" i="106"/>
  <c r="F21" i="106"/>
  <c r="F22" i="106"/>
  <c r="F23" i="106"/>
  <c r="F24" i="106"/>
  <c r="F25" i="106"/>
  <c r="F26" i="106"/>
  <c r="F28" i="106"/>
  <c r="F29" i="106"/>
  <c r="F30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56" i="106"/>
  <c r="G56" i="106"/>
  <c r="G55" i="106"/>
  <c r="F63" i="106"/>
  <c r="F61" i="106"/>
  <c r="F62" i="106"/>
  <c r="F60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55" i="106"/>
  <c r="B56" i="106"/>
  <c r="B57" i="106"/>
  <c r="B58" i="106"/>
  <c r="B59" i="106"/>
  <c r="B60" i="106"/>
  <c r="B61" i="106"/>
  <c r="B62" i="106"/>
  <c r="C55" i="106"/>
  <c r="C56" i="106"/>
  <c r="C57" i="106"/>
  <c r="C58" i="106"/>
  <c r="C59" i="106"/>
  <c r="C60" i="106"/>
  <c r="C61" i="106"/>
  <c r="C62" i="106"/>
  <c r="D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3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D47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<sst xmlns="http://schemas.openxmlformats.org/spreadsheetml/2006/main" count="971" uniqueCount="288">
  <si>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</si>
  <si>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</si>
  <si>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</si>
  <si>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</si>
  <si>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</si>
  <si>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</si>
  <si>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</si>
  <si>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</si>
  <si>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</si>
  <si>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</si>
  <si>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</si>
  <si>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</si>
  <si>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</si>
  <si>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</si>
  <si>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</si>
  <si>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</si>
  <si>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</si>
  <si>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</si>
  <si>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</si>
  <si>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</si>
  <si>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</si>
  <si>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</si>
  <si>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</si>
  <si>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</si>
  <si>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</si>
  <si>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</si>
  <si>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</si>
  <si>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</si>
  <si>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</si>
  <si>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</si>
  <si>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</si>
  <si>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</si>
  <si>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</si>
  <si>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</si>
  <si>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</si>
  <si>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</si>
  <si>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</si>
  <si>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</si>
  <si>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</si>
  <si>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</si>
  <si>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</si>
  <si>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</si>
  <si>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</si>
  <si>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</si>
  <si>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</si>
  <si>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</si>
  <si>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</si>
  <si>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</si>
  <si>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</si>
  <si>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</si>
  <si>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</si>
  <si>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</si>
  <si>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</si>
  <si>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</si>
  <si>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</si>
  <si>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</si>
  <si>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</si>
  <si>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</si>
  <si>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</si>
  <si>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</si>
  <si>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</si>
  <si>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</si>
  <si>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</si>
  <si>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</si>
  <si>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</si>
  <si>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</si>
  <si>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</si>
  <si>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</si>
  <si>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</si>
  <si>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</si>
  <si>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</si>
  <si>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</si>
  <si>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</si>
  <si>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</si>
  <si>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</si>
  <si>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</si>
  <si>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</si>
  <si>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確率</t>
    <rPh sb="0" eb="2">
      <t>カクリツ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</si>
  <si>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</si>
  <si>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</si>
  <si>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</si>
  <si>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</si>
  <si>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</si>
  <si>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</si>
  <si>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</si>
  <si>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</si>
  <si>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</si>
  <si>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</si>
  <si>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</si>
  <si>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</si>
  <si>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</si>
  <si>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</si>
  <si>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</si>
  <si>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</si>
  <si>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</si>
  <si>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</si>
  <si>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</si>
  <si>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drop_label2</t>
    <phoneticPr fontId="17"/>
  </si>
  <si>
    <t>Premium</t>
    <phoneticPr fontId="17"/>
  </si>
  <si>
    <t>Premium3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</si>
  <si>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</si>
  <si>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</si>
  <si>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</si>
  <si>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</si>
  <si>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</si>
  <si>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</si>
  <si>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</si>
  <si>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</si>
  <si>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</si>
  <si>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</si>
  <si>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PremiumSS5</t>
    <phoneticPr fontId="17"/>
  </si>
  <si>
    <t>PremiumSSS5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</si>
  <si>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</si>
  <si>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</si>
  <si>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</si>
  <si>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</si>
  <si>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gacha_select_tables_</t>
    <phoneticPr fontId="17"/>
  </si>
  <si>
    <t>ラベル確率で考えましょう</t>
    <rPh sb="6" eb="7">
      <t>カンガエマショウ</t>
    </rPh>
    <phoneticPr fontId="50"/>
  </si>
  <si>
    <t>ラベル</t>
    <phoneticPr fontId="50"/>
  </si>
  <si>
    <t>レアリティ</t>
    <phoneticPr fontId="50"/>
  </si>
  <si>
    <t>{W}</t>
    <phoneticPr fontId="50"/>
  </si>
  <si>
    <t>{N,S}</t>
    <phoneticPr fontId="50"/>
  </si>
  <si>
    <t>{N,S}R3less</t>
    <phoneticPr fontId="50"/>
  </si>
  <si>
    <t>{N,S}R6release</t>
    <phoneticPr fontId="50"/>
  </si>
  <si>
    <t>{SS}</t>
    <phoneticPr fontId="50"/>
  </si>
  <si>
    <t>{SS}R6only</t>
    <phoneticPr fontId="50"/>
  </si>
  <si>
    <t>小計</t>
    <rPh sb="0" eb="2">
      <t>ショウケイ</t>
    </rPh>
    <phoneticPr fontId="50"/>
  </si>
  <si>
    <t>A</t>
    <phoneticPr fontId="50"/>
  </si>
  <si>
    <t>C</t>
    <phoneticPr fontId="50"/>
  </si>
  <si>
    <t>H</t>
    <phoneticPr fontId="50"/>
  </si>
  <si>
    <t>B</t>
    <phoneticPr fontId="50"/>
  </si>
  <si>
    <t>D</t>
    <phoneticPr fontId="50"/>
  </si>
  <si>
    <t>F</t>
    <phoneticPr fontId="50"/>
  </si>
  <si>
    <t>I</t>
    <phoneticPr fontId="50"/>
  </si>
  <si>
    <t>K</t>
    <phoneticPr fontId="50"/>
  </si>
  <si>
    <t>E</t>
    <phoneticPr fontId="50"/>
  </si>
  <si>
    <t>G</t>
    <phoneticPr fontId="50"/>
  </si>
  <si>
    <t>J</t>
    <phoneticPr fontId="50"/>
  </si>
  <si>
    <t>L</t>
    <phoneticPr fontId="50"/>
  </si>
  <si>
    <t>M</t>
    <phoneticPr fontId="50"/>
  </si>
  <si>
    <t>→</t>
    <phoneticPr fontId="50"/>
  </si>
  <si>
    <t>1-SS率</t>
    <rPh sb="4" eb="5">
      <t>リツ</t>
    </rPh>
    <phoneticPr fontId="50"/>
  </si>
  <si>
    <t>SS率</t>
    <rPh sb="2" eb="3">
      <t>リツ</t>
    </rPh>
    <phoneticPr fontId="50"/>
  </si>
  <si>
    <t>考え方を変える</t>
    <rPh sb="0" eb="1">
      <t>カンガエカタ</t>
    </rPh>
    <rPh sb="4" eb="5">
      <t>カエル</t>
    </rPh>
    <phoneticPr fontId="50"/>
  </si>
  <si>
    <t>SS4%は確定事項</t>
    <rPh sb="5" eb="7">
      <t>カクテイ</t>
    </rPh>
    <rPh sb="7" eb="9">
      <t>ジコウ</t>
    </rPh>
    <phoneticPr fontId="50"/>
  </si>
  <si>
    <t>当たりは分配</t>
    <rPh sb="0" eb="1">
      <t>アタリ</t>
    </rPh>
    <rPh sb="4" eb="6">
      <t>ブンパイ</t>
    </rPh>
    <phoneticPr fontId="50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</si>
  <si>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0"/>
  </si>
  <si>
    <t>=</t>
    <phoneticPr fontId="50"/>
  </si>
  <si>
    <t>X*{SS R5only}</t>
    <phoneticPr fontId="50"/>
  </si>
  <si>
    <t>K</t>
    <phoneticPr fontId="50"/>
  </si>
  <si>
    <t>=</t>
    <phoneticPr fontId="50"/>
  </si>
  <si>
    <t>X*{SS}*(R3率+R4率)</t>
    <rPh sb="10" eb="11">
      <t>リツ</t>
    </rPh>
    <rPh sb="14" eb="15">
      <t>リツ</t>
    </rPh>
    <phoneticPr fontId="50"/>
  </si>
  <si>
    <t>L</t>
    <phoneticPr fontId="50"/>
  </si>
  <si>
    <t>X*{SS}*R5率</t>
    <rPh sb="9" eb="10">
      <t>リツ</t>
    </rPh>
    <phoneticPr fontId="50"/>
  </si>
  <si>
    <t>X*{R6release}*R3率</t>
    <rPh sb="16" eb="17">
      <t>リツ</t>
    </rPh>
    <phoneticPr fontId="50"/>
  </si>
  <si>
    <t>X*{R6release}*R4率</t>
    <rPh sb="16" eb="17">
      <t>リツ</t>
    </rPh>
    <phoneticPr fontId="50"/>
  </si>
  <si>
    <t>J</t>
    <phoneticPr fontId="50"/>
  </si>
  <si>
    <t>X*{R6release}*R5率</t>
    <rPh sb="16" eb="17">
      <t>リツ</t>
    </rPh>
    <phoneticPr fontId="50"/>
  </si>
  <si>
    <t>ハズレで確率を整える</t>
    <rPh sb="4" eb="6">
      <t>カクリツ</t>
    </rPh>
    <rPh sb="7" eb="8">
      <t>トトノエル</t>
    </rPh>
    <phoneticPr fontId="50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</si>
  <si>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0"/>
  </si>
  <si>
    <t>A + C</t>
    <phoneticPr fontId="50"/>
  </si>
  <si>
    <t>=</t>
    <phoneticPr fontId="50"/>
  </si>
  <si>
    <t>50%-H</t>
    <phoneticPr fontId="50"/>
  </si>
  <si>
    <t>①</t>
    <phoneticPr fontId="50"/>
  </si>
  <si>
    <t>B + D + F</t>
    <phoneticPr fontId="50"/>
  </si>
  <si>
    <t>45%-I-K</t>
    <phoneticPr fontId="50"/>
  </si>
  <si>
    <t>②</t>
    <phoneticPr fontId="50"/>
  </si>
  <si>
    <t>E+G</t>
    <phoneticPr fontId="50"/>
  </si>
  <si>
    <t>5%-J-L-M</t>
    <phoneticPr fontId="50"/>
  </si>
  <si>
    <t>③</t>
    <phoneticPr fontId="50"/>
  </si>
  <si>
    <t>A+B</t>
    <phoneticPr fontId="50"/>
  </si>
  <si>
    <t>Y*{W}</t>
    <phoneticPr fontId="50"/>
  </si>
  <si>
    <t>④</t>
    <phoneticPr fontId="50"/>
  </si>
  <si>
    <t>C+D+E</t>
    <phoneticPr fontId="50"/>
  </si>
  <si>
    <t>Y*{N,S}</t>
    <phoneticPr fontId="50"/>
  </si>
  <si>
    <t>⑤</t>
    <phoneticPr fontId="50"/>
  </si>
  <si>
    <t>F+G</t>
    <phoneticPr fontId="50"/>
  </si>
  <si>
    <t>Y*{N,S R3less}</t>
    <phoneticPr fontId="50"/>
  </si>
  <si>
    <t>⑥</t>
    <phoneticPr fontId="50"/>
  </si>
  <si>
    <t>A+B+C+D+E+F+G</t>
    <phoneticPr fontId="50"/>
  </si>
  <si>
    <t>⑦</t>
    <phoneticPr fontId="50"/>
  </si>
  <si>
    <t>←これは4,5,6で作れるのでダメだわ</t>
    <rPh sb="10" eb="11">
      <t>ツクレル</t>
    </rPh>
    <phoneticPr fontId="50"/>
  </si>
  <si>
    <t>E*R3率/R5率</t>
    <rPh sb="4" eb="5">
      <t>リツ</t>
    </rPh>
    <rPh sb="8" eb="9">
      <t>リツ</t>
    </rPh>
    <phoneticPr fontId="50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</si>
  <si>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0"/>
  </si>
  <si>
    <t>E*R4率/R5率</t>
    <rPh sb="4" eb="5">
      <t>リツ</t>
    </rPh>
    <rPh sb="8" eb="9">
      <t>リツ</t>
    </rPh>
    <phoneticPr fontId="50"/>
  </si>
  <si>
    <t>∴</t>
    <phoneticPr fontId="50"/>
  </si>
  <si>
    <t>E</t>
    <phoneticPr fontId="50"/>
  </si>
  <si>
    <t>Y*{N,S}*R5率</t>
    <rPh sb="10" eb="11">
      <t>リツ</t>
    </rPh>
    <phoneticPr fontId="50"/>
  </si>
  <si>
    <t>Y*{N,S}*R4率</t>
    <rPh sb="10" eb="11">
      <t>リツ</t>
    </rPh>
    <phoneticPr fontId="50"/>
  </si>
  <si>
    <t>Y*{N,S}*R3率</t>
    <rPh sb="10" eb="11">
      <t>リツ</t>
    </rPh>
    <phoneticPr fontId="50"/>
  </si>
  <si>
    <t>50%-H-C</t>
    <phoneticPr fontId="50"/>
  </si>
  <si>
    <t>Y*{W}-A</t>
    <phoneticPr fontId="50"/>
  </si>
  <si>
    <t>5%-J-L-M-E</t>
    <phoneticPr fontId="50"/>
  </si>
  <si>
    <t>Y*{N,S R3less} - G</t>
    <phoneticPr fontId="50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</si>
  <si>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</si>
  <si>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</si>
  <si>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PremiumW3</t>
    <phoneticPr fontId="17"/>
  </si>
  <si>
    <t>PremiumW4</t>
    <phoneticPr fontId="17"/>
  </si>
  <si>
    <t>ラベル確率</t>
    <rPh sb="3" eb="5">
      <t>カクリツ</t>
    </rPh>
    <phoneticPr fontId="17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</si>
  <si>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</si>
  <si>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</si>
  <si>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</si>
  <si>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</si>
  <si>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</si>
  <si>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7"/>
  </si>
  <si>
    <t>PremiumSS5R5only</t>
  </si>
  <si>
    <t>計算用中間データ</t>
    <rPh sb="0" eb="3">
      <t>ケイサンヨウ</t>
    </rPh>
    <rPh sb="3" eb="5">
      <t>チュウカン</t>
    </rPh>
    <phoneticPr fontId="17"/>
  </si>
  <si>
    <t>X</t>
    <phoneticPr fontId="17"/>
  </si>
  <si>
    <t>Y</t>
    <phoneticPr fontId="17"/>
  </si>
  <si>
    <t>対象数</t>
    <rPh sb="0" eb="3">
      <t>タイショウスウ</t>
    </rPh>
    <phoneticPr fontId="17"/>
  </si>
  <si>
    <t>PremiumW</t>
    <phoneticPr fontId="17"/>
  </si>
  <si>
    <t>PremiumN</t>
    <phoneticPr fontId="17"/>
  </si>
  <si>
    <t>PremiumS</t>
    <phoneticPr fontId="17"/>
  </si>
  <si>
    <t>PremiumSS</t>
    <phoneticPr fontId="17"/>
  </si>
  <si>
    <t>weight</t>
    <phoneticPr fontId="17"/>
  </si>
  <si>
    <t>←R6分はここから差し引く</t>
    <rPh sb="3" eb="4">
      <t>ブン</t>
    </rPh>
    <rPh sb="9" eb="10">
      <t>サシヒク</t>
    </rPh>
    <phoneticPr fontId="17"/>
  </si>
  <si>
    <t>除外確率</t>
    <rPh sb="0" eb="2">
      <t>ジョガイ</t>
    </rPh>
    <rPh sb="2" eb="4">
      <t>カクリツ</t>
    </rPh>
    <phoneticPr fontId="17"/>
  </si>
  <si>
    <t>除外数</t>
    <rPh sb="0" eb="3">
      <t>ジョガイスウ</t>
    </rPh>
    <phoneticPr fontId="17"/>
  </si>
  <si>
    <t>もうここは手で入れよう…</t>
    <rPh sb="5" eb="6">
      <t>テ</t>
    </rPh>
    <rPh sb="7" eb="8">
      <t>イレヨウ</t>
    </rPh>
    <phoneticPr fontId="17"/>
  </si>
  <si>
    <t>通常weight</t>
    <rPh sb="0" eb="2">
      <t>ツウジョウ</t>
    </rPh>
    <phoneticPr fontId="17"/>
  </si>
  <si>
    <t>gacha_settle_tables_</t>
    <phoneticPr fontId="17"/>
  </si>
  <si>
    <t>ja</t>
  </si>
  <si>
    <t>A</t>
    <phoneticPr fontId="17"/>
  </si>
  <si>
    <t>B</t>
    <phoneticPr fontId="17"/>
  </si>
  <si>
    <t>PremiumW4</t>
    <phoneticPr fontId="17"/>
  </si>
  <si>
    <t>C</t>
    <phoneticPr fontId="17"/>
  </si>
  <si>
    <t>Premium3</t>
    <phoneticPr fontId="17"/>
  </si>
  <si>
    <t>D</t>
    <phoneticPr fontId="17"/>
  </si>
  <si>
    <t>Premium4</t>
    <phoneticPr fontId="17"/>
  </si>
  <si>
    <t>E</t>
    <phoneticPr fontId="17"/>
  </si>
  <si>
    <t>Premium5</t>
    <phoneticPr fontId="17"/>
  </si>
  <si>
    <t>F</t>
    <phoneticPr fontId="17"/>
  </si>
  <si>
    <t>Premium4R3less</t>
    <phoneticPr fontId="17"/>
  </si>
  <si>
    <t>G</t>
    <phoneticPr fontId="17"/>
  </si>
  <si>
    <t>Premium5R3less</t>
    <phoneticPr fontId="17"/>
  </si>
  <si>
    <t>H</t>
    <phoneticPr fontId="17"/>
  </si>
  <si>
    <t>I</t>
    <phoneticPr fontId="17"/>
  </si>
  <si>
    <t>J</t>
    <phoneticPr fontId="17"/>
  </si>
  <si>
    <t>K</t>
    <phoneticPr fontId="17"/>
  </si>
  <si>
    <t>Premium3R6release</t>
    <phoneticPr fontId="17"/>
  </si>
  <si>
    <t>Premium4R6release</t>
    <phoneticPr fontId="17"/>
  </si>
  <si>
    <t>Premium5R6release</t>
    <phoneticPr fontId="17"/>
  </si>
  <si>
    <t>PremiumSS4</t>
    <phoneticPr fontId="17"/>
  </si>
  <si>
    <t>PremiumSS5</t>
    <phoneticPr fontId="17"/>
  </si>
  <si>
    <t>L</t>
    <phoneticPr fontId="17"/>
  </si>
  <si>
    <t>M</t>
    <phoneticPr fontId="17"/>
  </si>
  <si>
    <t>PremiumSS5R5only</t>
    <phoneticPr fontId="17"/>
  </si>
  <si>
    <t>50% - H - C</t>
    <phoneticPr fontId="17"/>
  </si>
  <si>
    <t>unit</t>
    <phoneticPr fontId="17"/>
  </si>
  <si>
    <t>Xcolor</t>
    <phoneticPr fontId="17"/>
  </si>
  <si>
    <t>Ycolor</t>
    <phoneticPr fontId="17"/>
  </si>
  <si>
    <t>Premium4color</t>
    <phoneticPr fontId="17"/>
  </si>
  <si>
    <t>PremiumW3color</t>
    <phoneticPr fontId="17"/>
  </si>
  <si>
    <t>PremiumW4color</t>
    <phoneticPr fontId="17"/>
  </si>
  <si>
    <t>Premium3color</t>
    <phoneticPr fontId="17"/>
  </si>
  <si>
    <t>Premium5color</t>
    <phoneticPr fontId="17"/>
  </si>
  <si>
    <t>Premium4R3lesscolor</t>
    <phoneticPr fontId="17"/>
  </si>
  <si>
    <t>Premium5R3lesscolor</t>
    <phoneticPr fontId="17"/>
  </si>
  <si>
    <t>Premium3R6releasecolor</t>
    <phoneticPr fontId="17"/>
  </si>
  <si>
    <t>Premium4R6releasecolor</t>
    <phoneticPr fontId="17"/>
  </si>
  <si>
    <t>Premium5R6releasecolor</t>
    <phoneticPr fontId="17"/>
  </si>
  <si>
    <t>PremiumSS4color</t>
    <phoneticPr fontId="17"/>
  </si>
  <si>
    <t>PremiumSS5color</t>
    <phoneticPr fontId="17"/>
  </si>
  <si>
    <t>PremiumSS5R5onlycolor</t>
    <phoneticPr fontId="17"/>
  </si>
  <si>
    <t>PremiumSSS4R3lesscolor</t>
    <phoneticPr fontId="17"/>
  </si>
  <si>
    <t>PremiumSSS5R3lesscolor</t>
    <phoneticPr fontId="17"/>
  </si>
  <si>
    <t>PremiumSSS4R3less</t>
    <phoneticPr fontId="17"/>
  </si>
  <si>
    <t>PremiumSSS5R3less</t>
    <phoneticPr fontId="17"/>
  </si>
  <si>
    <t>unit</t>
    <phoneticPr fontId="17"/>
  </si>
  <si>
    <t>秘術の果実x3</t>
    <phoneticPr fontId="17"/>
  </si>
  <si>
    <t>秘術の果実</t>
    <phoneticPr fontId="17"/>
  </si>
  <si>
    <t>ランキング対抗ガチャ特典</t>
    <rPh sb="10" eb="12">
      <t>トクテン</t>
    </rPh>
    <phoneticPr fontId="17"/>
  </si>
  <si>
    <t>STEP4特典として
秘術の果実1体をプレゼント！</t>
    <phoneticPr fontId="17"/>
  </si>
  <si>
    <t>STEP5特典として
秘術の果実3体をプレゼント！</t>
    <phoneticPr fontId="17"/>
  </si>
  <si>
    <t>通常確率</t>
    <phoneticPr fontId="17"/>
  </si>
  <si>
    <t>通常確率</t>
    <phoneticPr fontId="17"/>
  </si>
  <si>
    <t>通常確率</t>
    <phoneticPr fontId="17"/>
  </si>
  <si>
    <t>old</t>
    <phoneticPr fontId="17"/>
  </si>
  <si>
    <t>tables_388101</t>
    <phoneticPr fontId="17"/>
  </si>
  <si>
    <t>tables_388103</t>
    <phoneticPr fontId="17"/>
  </si>
  <si>
    <t>tables_settle_388103</t>
    <phoneticPr fontId="17"/>
  </si>
  <si>
    <t>tables_388104</t>
    <phoneticPr fontId="17"/>
  </si>
  <si>
    <t>tables_388105</t>
    <phoneticPr fontId="17"/>
  </si>
  <si>
    <t>tables_388100</t>
    <phoneticPr fontId="17"/>
  </si>
  <si>
    <t>388104</t>
    <phoneticPr fontId="17"/>
  </si>
  <si>
    <t>388105</t>
    <phoneticPr fontId="17"/>
  </si>
  <si>
    <t>3881041</t>
    <phoneticPr fontId="17"/>
  </si>
  <si>
    <t>3881051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</si>
</sst>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4" fillId="0" borderId="0"/>
    <xf numFmtId="38" fontId="52" fillId="0" borderId="0" applyFont="0" applyFill="0" applyBorder="0" applyAlignment="0" applyProtection="0"/>
  </cellStyleXfs>
  <cellXfs count="92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0" xfId="0" applyFill="1"/>
    <xf numFmtId="0" fontId="7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49" fillId="30" borderId="1" xfId="0" applyFont="1" applyFill="1" applyBorder="1" applyAlignment="1">
      <alignment horizontal="left" vertical="center"/>
    </xf>
    <xf numFmtId="0" fontId="22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1" fillId="25" borderId="1" xfId="0" applyFont="1" applyFill="1" applyBorder="1" applyAlignment="1">
      <alignment horizontal="right" vertical="center"/>
    </xf>
    <xf numFmtId="0" fontId="5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3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3" fillId="0" borderId="1" xfId="2978" applyFont="1" applyBorder="1"/>
    <xf numFmtId="178" fontId="54" fillId="32" borderId="1" xfId="0" applyNumberFormat="1" applyFont="1" applyFill="1" applyBorder="1"/>
    <xf numFmtId="38" fontId="22" fillId="4" borderId="1" xfId="3663" quotePrefix="1" applyFont="1" applyFill="1" applyBorder="1" applyAlignment="1">
      <alignment vertical="center"/>
    </xf>
    <xf numFmtId="0" fontId="49" fillId="0" borderId="1" xfId="0" applyFont="1" applyBorder="1" applyAlignment="1">
      <alignment vertical="center"/>
    </xf>
    <xf numFmtId="0" fontId="49" fillId="0" borderId="1" xfId="0" applyFont="1" applyBorder="1" applyAlignment="1">
      <alignment vertical="center" wrapText="1"/>
    </xf>
    <xf numFmtId="0" fontId="22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2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2" fillId="0" borderId="0" xfId="2" applyFont="1" applyFill="1" applyBorder="1" applyAlignment="1">
      <alignment vertical="center"/>
    </xf>
    <xf numFmtId="0" fontId="49" fillId="4" borderId="1" xfId="0" applyFont="1" applyFill="1" applyBorder="1" applyAlignment="1">
      <alignment vertical="center"/>
    </xf>
    <xf numFmtId="0" fontId="1" fillId="4" borderId="1" xfId="2978" applyFont="1" applyFill="1" applyBorder="1"/>
    <xf numFmtId="0" fontId="1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源義経（牛若丸）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5" t="s">
        <v>222</v>
      </c>
      <c r="K40" s="85" t="s">
        <v>196</v>
      </c>
      <c r="M40" s="85" t="s">
        <v>247</v>
      </c>
    </row>
    <row r="41" spans="1:13" x14ac:dyDescent="0.15">
      <c r="J41" s="85" t="s">
        <v>223</v>
      </c>
      <c r="K41" s="85" t="s">
        <v>224</v>
      </c>
      <c r="M41" s="66" t="s">
        <v>191</v>
      </c>
    </row>
    <row r="42" spans="1:13" x14ac:dyDescent="0.15">
      <c r="J42" s="85" t="s">
        <v>225</v>
      </c>
      <c r="K42" s="85" t="s">
        <v>226</v>
      </c>
    </row>
    <row r="43" spans="1:13" x14ac:dyDescent="0.15">
      <c r="J43" s="85" t="s">
        <v>227</v>
      </c>
      <c r="K43" s="85" t="s">
        <v>228</v>
      </c>
    </row>
    <row r="44" spans="1:13" x14ac:dyDescent="0.15">
      <c r="J44" s="85" t="s">
        <v>229</v>
      </c>
      <c r="K44" s="85" t="s">
        <v>230</v>
      </c>
    </row>
    <row r="45" spans="1:13" x14ac:dyDescent="0.15">
      <c r="J45" s="85" t="s">
        <v>231</v>
      </c>
      <c r="K45" s="85" t="s">
        <v>232</v>
      </c>
    </row>
    <row r="46" spans="1:13" x14ac:dyDescent="0.15">
      <c r="J46" s="85" t="s">
        <v>233</v>
      </c>
      <c r="K46" s="85" t="s">
        <v>234</v>
      </c>
    </row>
    <row r="47" spans="1:13" x14ac:dyDescent="0.15">
      <c r="J47" s="85" t="s">
        <v>235</v>
      </c>
      <c r="K47" s="85" t="s">
        <v>239</v>
      </c>
    </row>
    <row r="48" spans="1:13" x14ac:dyDescent="0.15">
      <c r="J48" s="85" t="s">
        <v>236</v>
      </c>
      <c r="K48" s="85" t="s">
        <v>240</v>
      </c>
    </row>
    <row r="49" spans="10:11" x14ac:dyDescent="0.15">
      <c r="J49" s="85" t="s">
        <v>237</v>
      </c>
      <c r="K49" s="85" t="s">
        <v>241</v>
      </c>
    </row>
    <row r="50" spans="10:11" x14ac:dyDescent="0.15">
      <c r="J50" s="85" t="s">
        <v>238</v>
      </c>
      <c r="K50" s="85" t="s">
        <v>242</v>
      </c>
    </row>
    <row r="51" spans="10:11" x14ac:dyDescent="0.15">
      <c r="J51" s="85" t="s">
        <v>244</v>
      </c>
      <c r="K51" s="85" t="s">
        <v>243</v>
      </c>
    </row>
    <row r="52" spans="10:11" x14ac:dyDescent="0.15">
      <c r="J52" s="85" t="s">
        <v>245</v>
      </c>
      <c r="K52" s="85" t="s">
        <v>246</v>
      </c>
    </row>
    <row r="53" spans="10:11" x14ac:dyDescent="0.15">
      <c r="J53" s="85"/>
    </row>
  </sheetData>
  <phoneticPr fontId="17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4" sqref="G24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A7" sqref="A7:A10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277</v>
      </c>
      <c r="B2" s="61" t="s">
        <v>116</v>
      </c>
      <c r="C2" s="50" t="str">
        <f t="shared" ref="C2" si="0">RIGHT(F2,6)</f>
        <v>388101</v>
      </c>
      <c r="D2" s="19" t="s">
        <v>46</v>
      </c>
      <c r="E2" s="17" t="str">
        <f t="shared" ref="E2" si="1">B2&amp;C2&amp;D2</f>
        <v>gacha_select_tables_388101.tmp</v>
      </c>
      <c r="F2" s="90" t="s">
        <v>278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277</v>
      </c>
      <c r="B3" s="61" t="s">
        <v>116</v>
      </c>
      <c r="C3" s="50" t="str">
        <f t="shared" ref="C3:C7" si="2">RIGHT(F3,6)</f>
        <v>388103</v>
      </c>
      <c r="D3" s="19" t="s">
        <v>46</v>
      </c>
      <c r="E3" s="17" t="str">
        <f t="shared" ref="E3:E10" si="3">B3&amp;C3&amp;D3</f>
        <v>gacha_select_tables_388103.tmp</v>
      </c>
      <c r="F3" s="90" t="s">
        <v>279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1" t="s">
        <v>277</v>
      </c>
      <c r="B4" s="78" t="s">
        <v>220</v>
      </c>
      <c r="C4" s="50" t="str">
        <f t="shared" si="2"/>
        <v>388103</v>
      </c>
      <c r="D4" s="19" t="s">
        <v>46</v>
      </c>
      <c r="E4" s="17" t="str">
        <f t="shared" ref="E4:E7" si="4">B4&amp;C4&amp;D4</f>
        <v>gacha_settle_tables_388103.tmp</v>
      </c>
      <c r="F4" s="90" t="s">
        <v>280</v>
      </c>
      <c r="G4" s="49" t="s">
        <v>87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1" t="s">
        <v>277</v>
      </c>
      <c r="B5" s="61" t="s">
        <v>116</v>
      </c>
      <c r="C5" s="50" t="str">
        <f t="shared" si="2"/>
        <v>388104</v>
      </c>
      <c r="D5" s="19" t="s">
        <v>46</v>
      </c>
      <c r="E5" s="17" t="str">
        <f t="shared" si="4"/>
        <v>gacha_select_tables_388104.tmp</v>
      </c>
      <c r="F5" s="90" t="s">
        <v>281</v>
      </c>
      <c r="G5" s="49" t="s">
        <v>86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91" t="s">
        <v>277</v>
      </c>
      <c r="B6" s="61" t="s">
        <v>116</v>
      </c>
      <c r="C6" s="50" t="str">
        <f t="shared" ref="C6" si="5">RIGHT(F6,6)</f>
        <v>388105</v>
      </c>
      <c r="D6" s="19" t="s">
        <v>46</v>
      </c>
      <c r="E6" s="17" t="str">
        <f t="shared" ref="E6" si="6">B6&amp;C6&amp;D6</f>
        <v>gacha_select_tables_388105.tmp</v>
      </c>
      <c r="F6" s="90" t="s">
        <v>282</v>
      </c>
      <c r="G6" s="49" t="s">
        <v>86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91" t="s">
        <v>277</v>
      </c>
      <c r="B7" s="61" t="s">
        <v>116</v>
      </c>
      <c r="C7" s="50" t="str">
        <f t="shared" si="2"/>
        <v>388100</v>
      </c>
      <c r="D7" s="19" t="s">
        <v>46</v>
      </c>
      <c r="E7" s="17" t="str">
        <f t="shared" si="4"/>
        <v>gacha_select_tables_388100.tmp</v>
      </c>
      <c r="F7" s="90" t="s">
        <v>283</v>
      </c>
      <c r="G7" s="49" t="s">
        <v>86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1" t="s">
        <v>277</v>
      </c>
      <c r="B8" s="27" t="s">
        <v>51</v>
      </c>
      <c r="C8" s="32">
        <v>388</v>
      </c>
      <c r="D8" s="19" t="s">
        <v>47</v>
      </c>
      <c r="E8" s="17" t="str">
        <f t="shared" si="3"/>
        <v>gacha_bonus_tables_388.tmp</v>
      </c>
      <c r="F8" s="19" t="s">
        <v>48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1" t="s">
        <v>277</v>
      </c>
      <c r="B9" s="19" t="s">
        <v>49</v>
      </c>
      <c r="C9" s="32">
        <v>388</v>
      </c>
      <c r="D9" s="19" t="s">
        <v>47</v>
      </c>
      <c r="E9" s="17" t="str">
        <f t="shared" si="3"/>
        <v>gifts_tmp_388.tmp</v>
      </c>
      <c r="F9" s="19" t="s">
        <v>48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88</v>
      </c>
      <c r="S9" s="51" t="s">
        <v>8</v>
      </c>
      <c r="T9" s="51" t="s">
        <v>89</v>
      </c>
      <c r="U9" s="51" t="s">
        <v>5</v>
      </c>
    </row>
    <row r="10" spans="1:21" x14ac:dyDescent="0.15">
      <c r="A10" s="91" t="s">
        <v>277</v>
      </c>
      <c r="B10" s="19" t="s">
        <v>50</v>
      </c>
      <c r="C10" s="32">
        <v>388</v>
      </c>
      <c r="D10" s="19" t="s">
        <v>47</v>
      </c>
      <c r="E10" s="17" t="str">
        <f t="shared" si="3"/>
        <v>gifts_i18n_388.tmp</v>
      </c>
      <c r="F10" s="19" t="s">
        <v>48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3"/>
  <sheetViews>
    <sheetView topLeftCell="A17" workbookViewId="0">
      <selection activeCell="B46" sqref="B4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388101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VLOOKUP(L3,tables_388101!B:C,2,FALSE)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VLOOKUP(L4,tables_388101!B:C,2,FALSE)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(B11-H5)*0.4/(F5-I5)</f>
        <v>6.2500000000000012E-4</v>
      </c>
      <c r="F5">
        <f>(COUNTIF(tables_388101!C:C,input_388101!A28)+COUNTIF(tables_388101!C:C,input_388101!A29))</f>
        <v>32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VLOOKUP(L5,tables_388101!B:C,2,FALSE)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0.45</v>
      </c>
      <c r="D6" t="s">
        <v>249</v>
      </c>
      <c r="E6" s="77">
        <f>(B11-H5)*0.6/(F6-I5)</f>
        <v>3.0000000000000001E-3</v>
      </c>
      <c r="F6">
        <f>(COUNTIF(tables_388101!C:C,input_388101!A43)+COUNTIF(tables_388101!C:C,input_388101!A44))</f>
        <v>10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VLOOKUP(L6,tables_388101!B:C,2,FALSE)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5.9125000000000002E-3</v>
      </c>
      <c r="F7">
        <f>(COUNTIF(tables_388101!C:C,input_388101!A25)+COUNTIF(tables_388101!C:C,input_388101!A18)+COUNTIF(tables_388101!C:C,input_388101!A20)+COUNTIF(tables_388101!C:C,input_388101!A22))</f>
        <v>64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VLOOKUP(L7,tables_388101!B:C,2,FALSE)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2.58E-2</v>
      </c>
      <c r="F8">
        <f>(COUNTIF(tables_388101!C:C,input_388101!A40)+COUNTIF(tables_388101!C:C,input_388101!A33)+COUNTIF(tables_388101!C:C,input_388101!A35)+COUNTIF(tables_388101!C:C,input_388101!A37))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VLOOKUP(L8,tables_388101!B:C,2,FALSE)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VLOOKUP(L9,tables_388101!B:C,2,FALSE)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0.94599999999999995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VLOOKUP(L10,tables_388101!B:C,2,FALSE)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0.05</v>
      </c>
      <c r="C11" t="s">
        <v>274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VLOOKUP(L11,tables_388101!B:C,2,FALSE)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VLOOKUP(L12,tables_388101!B:C,2,FALSE)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VLOOKUP(L13,tables_388101!B:C,2,FALSE)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VLOOKUP(L14,tables_388101!B:C,2,FALSE)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VLOOKUP(L15,tables_388101!B:C,2,FALSE)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VLOOKUP(L16,tables_388101!B:C,2,FALSE)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7.5837500000000016E-2</v>
      </c>
      <c r="C17" s="87">
        <f t="shared" ref="C17:C46" si="2">SUMIF(Q:Q,A17,N:N)</f>
        <v>0</v>
      </c>
      <c r="D17" s="75">
        <f t="shared" ref="D17:D26" si="3">B17-C17</f>
        <v>7.5837500000000016E-2</v>
      </c>
      <c r="E17">
        <f>COUNTIF(tables_388101!C:C,input_388101!A17)-COUNTIF(Q:Q,A17)</f>
        <v>15</v>
      </c>
      <c r="F17" s="43">
        <f>IFERROR(B17/E17,0)</f>
        <v>5.0558333333333341E-3</v>
      </c>
      <c r="G17">
        <f t="shared" ref="G17:G46" si="4">A$51*B17</f>
        <v>19414.400000000005</v>
      </c>
      <c r="H17">
        <f t="shared" ref="H17:H26" si="5">IFERROR(ROUND(G17/E17,5),0)</f>
        <v>1294.29333</v>
      </c>
      <c r="I17">
        <f t="shared" ref="I17:I31" si="6">MOD(H17,1)</f>
        <v>0.293329999999969</v>
      </c>
      <c r="J17">
        <f t="shared" ref="J17:J26" si="7">IFERROR(1/I17,1)</f>
        <v>3.4091296492009193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VLOOKUP(L17,tables_388101!B:C,2,FALSE)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1.2849999999999986E-2</v>
      </c>
      <c r="C18" s="87">
        <f t="shared" si="2"/>
        <v>0</v>
      </c>
      <c r="D18" s="75">
        <f t="shared" si="3"/>
        <v>1.2849999999999986E-2</v>
      </c>
      <c r="E18">
        <f>COUNTIF(tables_388101!C:C,input_388101!A18)-COUNTIF(Q:Q,A18)</f>
        <v>15</v>
      </c>
      <c r="F18" s="43">
        <f>IFERROR(B18/E18,0)</f>
        <v>8.5666666666666573E-4</v>
      </c>
      <c r="G18">
        <f t="shared" si="4"/>
        <v>3289.5999999999967</v>
      </c>
      <c r="H18">
        <f t="shared" si="5"/>
        <v>219.30667</v>
      </c>
      <c r="I18">
        <f t="shared" si="6"/>
        <v>0.30666999999999689</v>
      </c>
      <c r="J18">
        <f t="shared" si="7"/>
        <v>3.260834121368279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VLOOKUP(L18,tables_388101!B:C,2,FALSE)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0.11529375</v>
      </c>
      <c r="C19" s="87">
        <f t="shared" si="2"/>
        <v>0</v>
      </c>
      <c r="D19" s="75">
        <f t="shared" si="3"/>
        <v>0.11529375</v>
      </c>
      <c r="E19">
        <f>COUNTIF(tables_388101!C:C,input_388101!A19)-COUNTIF(Q:Q,A19)</f>
        <v>39</v>
      </c>
      <c r="F19" s="43">
        <f t="shared" ref="F19:F31" si="8">IFERROR(B19/E19,0)</f>
        <v>2.9562500000000001E-3</v>
      </c>
      <c r="G19">
        <f t="shared" si="4"/>
        <v>29515.200000000001</v>
      </c>
      <c r="H19">
        <f t="shared" si="5"/>
        <v>756.8</v>
      </c>
      <c r="I19">
        <f t="shared" si="6"/>
        <v>0.79999999999995453</v>
      </c>
      <c r="J19">
        <f t="shared" si="7"/>
        <v>1.2500000000000711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VLOOKUP(L19,tables_388101!B:C,2,FALSE)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0.10376437500000001</v>
      </c>
      <c r="C20" s="87">
        <f t="shared" si="2"/>
        <v>0</v>
      </c>
      <c r="D20" s="75">
        <f t="shared" si="3"/>
        <v>0.10376437500000001</v>
      </c>
      <c r="E20">
        <f>COUNTIF(tables_388101!C:C,input_388101!A20)-COUNTIF(Q:Q,A20)</f>
        <v>39</v>
      </c>
      <c r="F20" s="43">
        <f t="shared" si="8"/>
        <v>2.6606250000000002E-3</v>
      </c>
      <c r="G20">
        <f t="shared" si="4"/>
        <v>26563.68</v>
      </c>
      <c r="H20">
        <f t="shared" si="5"/>
        <v>681.12</v>
      </c>
      <c r="I20">
        <f t="shared" si="6"/>
        <v>0.12000000000000455</v>
      </c>
      <c r="J20">
        <f t="shared" si="7"/>
        <v>8.3333333333330177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VLOOKUP(L20,tables_388101!B:C,2,FALSE)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1.1529375000000001E-2</v>
      </c>
      <c r="C21" s="87">
        <f t="shared" si="2"/>
        <v>0</v>
      </c>
      <c r="D21" s="75">
        <f t="shared" si="3"/>
        <v>1.1529375000000001E-2</v>
      </c>
      <c r="E21">
        <f>COUNTIF(tables_388101!C:C,input_388101!A21)-COUNTIF(Q:Q,A21)</f>
        <v>39</v>
      </c>
      <c r="F21" s="43">
        <f t="shared" si="8"/>
        <v>2.9562500000000004E-4</v>
      </c>
      <c r="G21">
        <f t="shared" si="4"/>
        <v>2951.5200000000004</v>
      </c>
      <c r="H21">
        <f t="shared" si="5"/>
        <v>75.680000000000007</v>
      </c>
      <c r="I21">
        <f t="shared" si="6"/>
        <v>0.68000000000000682</v>
      </c>
      <c r="J21">
        <f t="shared" si="7"/>
        <v>1.4705882352941029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4.1334999999999997E-2</v>
      </c>
      <c r="C22" s="87">
        <f t="shared" si="2"/>
        <v>0</v>
      </c>
      <c r="D22" s="75">
        <f t="shared" si="3"/>
        <v>4.1334999999999997E-2</v>
      </c>
      <c r="E22">
        <f>COUNTIF(tables_388101!C:C,input_388101!A22)-COUNTIF(Q:Q,A22)</f>
        <v>7</v>
      </c>
      <c r="F22" s="43">
        <f t="shared" si="8"/>
        <v>5.9049999999999997E-3</v>
      </c>
      <c r="G22">
        <f t="shared" si="4"/>
        <v>10581.759999999998</v>
      </c>
      <c r="H22">
        <f t="shared" si="5"/>
        <v>1511.68</v>
      </c>
      <c r="I22">
        <f t="shared" si="6"/>
        <v>0.68000000000006366</v>
      </c>
      <c r="J22">
        <f t="shared" si="7"/>
        <v>1.4705882352939799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5.2500000000002198E-5</v>
      </c>
      <c r="C23" s="87">
        <f t="shared" si="2"/>
        <v>0</v>
      </c>
      <c r="D23" s="75">
        <f t="shared" si="3"/>
        <v>5.2500000000002198E-5</v>
      </c>
      <c r="E23">
        <f>COUNTIF(tables_388101!C:C,input_388101!A23)-COUNTIF(Q:Q,A23)</f>
        <v>7</v>
      </c>
      <c r="F23" s="43">
        <f t="shared" si="8"/>
        <v>7.5000000000003136E-6</v>
      </c>
      <c r="G23">
        <f t="shared" si="4"/>
        <v>13.440000000000563</v>
      </c>
      <c r="H23">
        <f t="shared" si="5"/>
        <v>1.92</v>
      </c>
      <c r="I23">
        <f t="shared" si="6"/>
        <v>0.91999999999999993</v>
      </c>
      <c r="J23">
        <f t="shared" si="7"/>
        <v>1.0869565217391306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8.8687499999999999E-3</v>
      </c>
      <c r="C24" s="87">
        <f t="shared" si="2"/>
        <v>0</v>
      </c>
      <c r="D24" s="75">
        <f t="shared" si="3"/>
        <v>8.8687499999999999E-3</v>
      </c>
      <c r="E24">
        <f>COUNTIF(tables_388101!C:C,input_388101!A24)-COUNTIF(Q:Q,A24)</f>
        <v>3</v>
      </c>
      <c r="F24" s="43">
        <f t="shared" si="8"/>
        <v>2.9562500000000001E-3</v>
      </c>
      <c r="G24">
        <f t="shared" si="4"/>
        <v>2270.4</v>
      </c>
      <c r="H24">
        <f t="shared" si="5"/>
        <v>756.8</v>
      </c>
      <c r="I24">
        <f t="shared" si="6"/>
        <v>0.79999999999995453</v>
      </c>
      <c r="J24">
        <f t="shared" si="7"/>
        <v>1.2500000000000711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7.9818750000000011E-3</v>
      </c>
      <c r="C25" s="87">
        <f t="shared" si="2"/>
        <v>0</v>
      </c>
      <c r="D25" s="75">
        <f t="shared" si="3"/>
        <v>7.9818750000000011E-3</v>
      </c>
      <c r="E25">
        <f>COUNTIF(tables_388101!C:C,input_388101!A25)-COUNTIF(Q:Q,A25)</f>
        <v>3</v>
      </c>
      <c r="F25" s="43">
        <f t="shared" si="8"/>
        <v>2.6606250000000002E-3</v>
      </c>
      <c r="G25">
        <f t="shared" si="4"/>
        <v>2043.3600000000004</v>
      </c>
      <c r="H25">
        <f t="shared" si="5"/>
        <v>681.12</v>
      </c>
      <c r="I25">
        <f t="shared" si="6"/>
        <v>0.12000000000000455</v>
      </c>
      <c r="J25">
        <f t="shared" si="7"/>
        <v>8.3333333333330177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8.8687500000000008E-4</v>
      </c>
      <c r="C26" s="87">
        <f t="shared" si="2"/>
        <v>0</v>
      </c>
      <c r="D26" s="75">
        <f t="shared" si="3"/>
        <v>8.8687500000000008E-4</v>
      </c>
      <c r="E26">
        <f>COUNTIF(tables_388101!C:C,input_388101!A26)-COUNTIF(Q:Q,A26)</f>
        <v>3</v>
      </c>
      <c r="F26" s="43">
        <f t="shared" si="8"/>
        <v>2.9562500000000004E-4</v>
      </c>
      <c r="G26">
        <f t="shared" si="4"/>
        <v>227.04000000000002</v>
      </c>
      <c r="H26">
        <f t="shared" si="5"/>
        <v>75.680000000000007</v>
      </c>
      <c r="I26">
        <f t="shared" si="6"/>
        <v>0.68000000000000682</v>
      </c>
      <c r="J26">
        <f t="shared" si="7"/>
        <v>1.4705882352941029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1.2468750000000002E-2</v>
      </c>
      <c r="C27" s="87">
        <f t="shared" si="2"/>
        <v>0</v>
      </c>
      <c r="D27" s="75">
        <f t="shared" ref="D27:D29" si="9">B27-C27</f>
        <v>1.2468750000000002E-2</v>
      </c>
      <c r="E27">
        <f>COUNTIF(tables_388101!C:C,input_388101!A27)-COUNTIF(Q:Q,A27)</f>
        <v>21</v>
      </c>
      <c r="F27" s="43">
        <f>IFERROR(B27/E27,0)</f>
        <v>5.9375000000000009E-4</v>
      </c>
      <c r="G27">
        <f t="shared" si="4"/>
        <v>3192.0000000000005</v>
      </c>
      <c r="H27">
        <f t="shared" ref="H27:H29" si="10">IFERROR(ROUND(G27/E27,5),0)</f>
        <v>152</v>
      </c>
      <c r="I27">
        <f t="shared" si="6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6.5625000000000015E-4</v>
      </c>
      <c r="C28" s="87">
        <f t="shared" si="2"/>
        <v>0</v>
      </c>
      <c r="D28" s="75">
        <f t="shared" si="9"/>
        <v>6.5625000000000015E-4</v>
      </c>
      <c r="E28">
        <f>COUNTIF(tables_388101!C:C,input_388101!A28)-COUNTIF(Q:Q,A28)</f>
        <v>21</v>
      </c>
      <c r="F28" s="43">
        <f t="shared" si="8"/>
        <v>3.1250000000000007E-5</v>
      </c>
      <c r="G28">
        <f t="shared" si="4"/>
        <v>168.00000000000003</v>
      </c>
      <c r="H28">
        <f t="shared" si="10"/>
        <v>8</v>
      </c>
      <c r="I28">
        <f t="shared" si="6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6.8750000000000009E-3</v>
      </c>
      <c r="C29" s="87">
        <f t="shared" si="2"/>
        <v>0</v>
      </c>
      <c r="D29" s="75">
        <f t="shared" si="9"/>
        <v>6.8750000000000009E-3</v>
      </c>
      <c r="E29">
        <f>COUNTIF(tables_388101!C:C,input_388101!A29)-COUNTIF(Q:Q,A29)</f>
        <v>11</v>
      </c>
      <c r="F29" s="43">
        <f t="shared" si="8"/>
        <v>6.2500000000000012E-4</v>
      </c>
      <c r="G29">
        <f t="shared" si="4"/>
        <v>1760.0000000000002</v>
      </c>
      <c r="H29">
        <f t="shared" si="10"/>
        <v>160</v>
      </c>
      <c r="I29">
        <f t="shared" si="6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7">
        <f t="shared" si="2"/>
        <v>0</v>
      </c>
      <c r="D30" s="75">
        <f t="shared" ref="D30:D44" si="12">B30-C30</f>
        <v>0</v>
      </c>
      <c r="E30">
        <f>COUNTIF(tables_388101!C:C,input_388101!A30)-COUNTIF(Q:Q,A30)</f>
        <v>0</v>
      </c>
      <c r="F30" s="43">
        <f t="shared" si="8"/>
        <v>0</v>
      </c>
      <c r="G30">
        <f t="shared" si="4"/>
        <v>0</v>
      </c>
      <c r="H30">
        <f t="shared" ref="H30:H44" si="13">IFERROR(ROUND(G30/E30,5),0)</f>
        <v>0</v>
      </c>
      <c r="I30">
        <f t="shared" si="6"/>
        <v>0</v>
      </c>
      <c r="J30">
        <f t="shared" ref="J30:J44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7">
        <f t="shared" si="2"/>
        <v>0</v>
      </c>
      <c r="D31" s="75">
        <f t="shared" si="12"/>
        <v>0</v>
      </c>
      <c r="E31">
        <f>COUNTIF(tables_388101!C:C,input_388101!A31)-COUNTIF(Q:Q,A31)</f>
        <v>0</v>
      </c>
      <c r="F31" s="43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0.11940000000000001</v>
      </c>
      <c r="C32" s="87">
        <f t="shared" si="2"/>
        <v>0</v>
      </c>
      <c r="D32" s="75">
        <f t="shared" si="12"/>
        <v>0.11940000000000001</v>
      </c>
      <c r="E32">
        <f>COUNTIF(tables_388101!C:C,input_388101!A32)-COUNTIF(Q:Q,A32)</f>
        <v>5</v>
      </c>
      <c r="F32" s="43">
        <f>IFERROR(B32/E32,0)</f>
        <v>2.3880000000000002E-2</v>
      </c>
      <c r="G32">
        <f t="shared" si="4"/>
        <v>30566.400000000001</v>
      </c>
      <c r="H32">
        <f t="shared" si="13"/>
        <v>6113.28</v>
      </c>
      <c r="I32">
        <f t="shared" ref="I32:I46" si="15">MOD(H32,1)</f>
        <v>0.27999999999974534</v>
      </c>
      <c r="J32">
        <f t="shared" si="14"/>
        <v>3.5714285714318197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9.5999999999999974E-3</v>
      </c>
      <c r="C33" s="87">
        <f t="shared" si="2"/>
        <v>0</v>
      </c>
      <c r="D33" s="75">
        <f t="shared" si="12"/>
        <v>9.5999999999999974E-3</v>
      </c>
      <c r="E33">
        <f>COUNTIF(tables_388101!C:C,input_388101!A33)-COUNTIF(Q:Q,A33)</f>
        <v>5</v>
      </c>
      <c r="F33" s="43">
        <f>IFERROR(B33/E33,0)</f>
        <v>1.9199999999999994E-3</v>
      </c>
      <c r="G33">
        <f t="shared" si="4"/>
        <v>2457.5999999999995</v>
      </c>
      <c r="H33">
        <f t="shared" si="13"/>
        <v>491.52</v>
      </c>
      <c r="I33">
        <f t="shared" si="15"/>
        <v>0.51999999999998181</v>
      </c>
      <c r="J33">
        <f t="shared" si="14"/>
        <v>1.9230769230769904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0.16769999999999999</v>
      </c>
      <c r="C34" s="87">
        <f t="shared" si="2"/>
        <v>0</v>
      </c>
      <c r="D34" s="75">
        <f t="shared" si="12"/>
        <v>0.16769999999999999</v>
      </c>
      <c r="E34">
        <f>COUNTIF(tables_388101!C:C,input_388101!A34)-COUNTIF(Q:Q,A34)</f>
        <v>13</v>
      </c>
      <c r="F34" s="43">
        <f t="shared" ref="F34:F41" si="16">IFERROR(B34/E34,0)</f>
        <v>1.2899999999999998E-2</v>
      </c>
      <c r="G34">
        <f t="shared" si="4"/>
        <v>42931.199999999997</v>
      </c>
      <c r="H34">
        <f t="shared" si="13"/>
        <v>3302.4</v>
      </c>
      <c r="I34">
        <f t="shared" si="15"/>
        <v>0.40000000000009095</v>
      </c>
      <c r="J34">
        <f t="shared" si="14"/>
        <v>2.4999999999994316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0.15092999999999998</v>
      </c>
      <c r="C35" s="87">
        <f t="shared" si="2"/>
        <v>0</v>
      </c>
      <c r="D35" s="75">
        <f t="shared" si="12"/>
        <v>0.15092999999999998</v>
      </c>
      <c r="E35">
        <f>COUNTIF(tables_388101!C:C,input_388101!A35)-COUNTIF(Q:Q,A35)</f>
        <v>13</v>
      </c>
      <c r="F35" s="43">
        <f t="shared" si="16"/>
        <v>1.1609999999999999E-2</v>
      </c>
      <c r="G35">
        <f t="shared" si="4"/>
        <v>38638.079999999994</v>
      </c>
      <c r="H35">
        <f t="shared" si="13"/>
        <v>2972.16</v>
      </c>
      <c r="I35">
        <f t="shared" si="15"/>
        <v>0.15999999999985448</v>
      </c>
      <c r="J35">
        <f t="shared" si="14"/>
        <v>6.2500000000056843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1.677E-2</v>
      </c>
      <c r="C36" s="87">
        <f t="shared" si="2"/>
        <v>0</v>
      </c>
      <c r="D36" s="75">
        <f t="shared" si="12"/>
        <v>1.677E-2</v>
      </c>
      <c r="E36">
        <f>COUNTIF(tables_388101!C:C,input_388101!A36)-COUNTIF(Q:Q,A36)</f>
        <v>13</v>
      </c>
      <c r="F36" s="43">
        <f t="shared" si="16"/>
        <v>1.2899999999999999E-3</v>
      </c>
      <c r="G36">
        <f t="shared" si="4"/>
        <v>4293.12</v>
      </c>
      <c r="H36">
        <f t="shared" si="13"/>
        <v>330.24</v>
      </c>
      <c r="I36">
        <f t="shared" si="15"/>
        <v>0.24000000000000909</v>
      </c>
      <c r="J36">
        <f t="shared" si="14"/>
        <v>4.1666666666665089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7.5509999999999994E-2</v>
      </c>
      <c r="C37" s="87">
        <f t="shared" si="2"/>
        <v>0</v>
      </c>
      <c r="D37" s="75">
        <f t="shared" si="12"/>
        <v>7.5509999999999994E-2</v>
      </c>
      <c r="E37">
        <f>COUNTIF(tables_388101!C:C,input_388101!A37)-COUNTIF(Q:Q,A37)</f>
        <v>3</v>
      </c>
      <c r="F37" s="43">
        <f t="shared" si="16"/>
        <v>2.5169999999999998E-2</v>
      </c>
      <c r="G37">
        <f t="shared" si="4"/>
        <v>19330.559999999998</v>
      </c>
      <c r="H37">
        <f t="shared" si="13"/>
        <v>6443.52</v>
      </c>
      <c r="I37">
        <f t="shared" si="15"/>
        <v>0.52000000000043656</v>
      </c>
      <c r="J37">
        <f t="shared" si="14"/>
        <v>1.9230769230753086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B$7*0.6-B41-B43-B44-B36</f>
        <v>1.8899999999999993E-3</v>
      </c>
      <c r="C38" s="87">
        <f t="shared" si="2"/>
        <v>0</v>
      </c>
      <c r="D38" s="75">
        <f t="shared" si="12"/>
        <v>1.8899999999999993E-3</v>
      </c>
      <c r="E38">
        <f>COUNTIF(tables_388101!C:C,input_388101!A38)-COUNTIF(Q:Q,A38)</f>
        <v>3</v>
      </c>
      <c r="F38" s="43">
        <f t="shared" si="16"/>
        <v>6.2999999999999981E-4</v>
      </c>
      <c r="G38">
        <f t="shared" si="4"/>
        <v>483.8399999999998</v>
      </c>
      <c r="H38">
        <f t="shared" si="13"/>
        <v>161.28</v>
      </c>
      <c r="I38">
        <f t="shared" si="15"/>
        <v>0.28000000000000114</v>
      </c>
      <c r="J38">
        <f t="shared" si="14"/>
        <v>3.571428571428557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1.29E-2</v>
      </c>
      <c r="C39" s="87">
        <f t="shared" si="2"/>
        <v>0</v>
      </c>
      <c r="D39" s="75">
        <f t="shared" si="12"/>
        <v>1.29E-2</v>
      </c>
      <c r="E39">
        <f>COUNTIF(tables_388101!C:C,input_388101!A39)-COUNTIF(Q:Q,A39)</f>
        <v>1</v>
      </c>
      <c r="F39" s="43">
        <f t="shared" si="16"/>
        <v>1.29E-2</v>
      </c>
      <c r="G39">
        <f t="shared" si="4"/>
        <v>3302.4</v>
      </c>
      <c r="H39">
        <f t="shared" si="13"/>
        <v>3302.4</v>
      </c>
      <c r="I39">
        <f t="shared" si="15"/>
        <v>0.40000000000009095</v>
      </c>
      <c r="J39">
        <f t="shared" si="14"/>
        <v>2.4999999999994316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1.1610000000000001E-2</v>
      </c>
      <c r="C40" s="87">
        <f t="shared" si="2"/>
        <v>0</v>
      </c>
      <c r="D40" s="75">
        <f t="shared" si="12"/>
        <v>1.1610000000000001E-2</v>
      </c>
      <c r="E40">
        <f>COUNTIF(tables_388101!C:C,input_388101!A40)-COUNTIF(Q:Q,A40)</f>
        <v>1</v>
      </c>
      <c r="F40" s="43">
        <f t="shared" si="16"/>
        <v>1.1610000000000001E-2</v>
      </c>
      <c r="G40">
        <f t="shared" si="4"/>
        <v>2972.1600000000003</v>
      </c>
      <c r="H40">
        <f t="shared" si="13"/>
        <v>2972.16</v>
      </c>
      <c r="I40">
        <f t="shared" si="15"/>
        <v>0.15999999999985448</v>
      </c>
      <c r="J40">
        <f t="shared" si="14"/>
        <v>6.2500000000056843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1.2900000000000001E-3</v>
      </c>
      <c r="C41" s="87">
        <f t="shared" si="2"/>
        <v>0</v>
      </c>
      <c r="D41" s="75">
        <f t="shared" si="12"/>
        <v>1.2900000000000001E-3</v>
      </c>
      <c r="E41">
        <f>COUNTIF(tables_388101!C:C,input_388101!A41)-COUNTIF(Q:Q,A41)</f>
        <v>1</v>
      </c>
      <c r="F41" s="43">
        <f t="shared" si="16"/>
        <v>1.2900000000000001E-3</v>
      </c>
      <c r="G41">
        <f t="shared" si="4"/>
        <v>330.24</v>
      </c>
      <c r="H41">
        <f t="shared" si="13"/>
        <v>330.24</v>
      </c>
      <c r="I41">
        <f t="shared" si="15"/>
        <v>0.24000000000000909</v>
      </c>
      <c r="J41">
        <f t="shared" si="14"/>
        <v>4.1666666666665089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1.9949999999999999E-2</v>
      </c>
      <c r="C42" s="87">
        <f t="shared" si="2"/>
        <v>0</v>
      </c>
      <c r="D42" s="75">
        <f t="shared" si="12"/>
        <v>1.9949999999999999E-2</v>
      </c>
      <c r="E42">
        <f>COUNTIF(tables_388101!C:C,input_388101!A42)-COUNTIF(Q:Q,A42)</f>
        <v>7</v>
      </c>
      <c r="F42" s="43">
        <f>IFERROR(B42/E42,0)</f>
        <v>2.8499999999999997E-3</v>
      </c>
      <c r="G42">
        <f t="shared" si="4"/>
        <v>5107.2</v>
      </c>
      <c r="H42">
        <f t="shared" si="13"/>
        <v>729.6</v>
      </c>
      <c r="I42">
        <f t="shared" si="15"/>
        <v>0.60000000000002274</v>
      </c>
      <c r="J42">
        <f t="shared" si="14"/>
        <v>1.6666666666666035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1.0500000000000002E-3</v>
      </c>
      <c r="C43" s="87">
        <f t="shared" si="2"/>
        <v>0</v>
      </c>
      <c r="D43" s="75">
        <f t="shared" si="12"/>
        <v>1.0500000000000002E-3</v>
      </c>
      <c r="E43">
        <f>COUNTIF(tables_388101!C:C,input_388101!A43)-COUNTIF(Q:Q,A43)</f>
        <v>7</v>
      </c>
      <c r="F43" s="43">
        <f t="shared" ref="F43:F46" si="17">IFERROR(B43/E43,0)</f>
        <v>1.5000000000000001E-4</v>
      </c>
      <c r="G43">
        <f t="shared" si="4"/>
        <v>268.8</v>
      </c>
      <c r="H43">
        <f t="shared" si="13"/>
        <v>38.4</v>
      </c>
      <c r="I43">
        <f t="shared" si="15"/>
        <v>0.39999999999999858</v>
      </c>
      <c r="J43">
        <f t="shared" si="14"/>
        <v>2.5000000000000089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9.0000000000000011E-3</v>
      </c>
      <c r="C44" s="87">
        <f t="shared" si="2"/>
        <v>0</v>
      </c>
      <c r="D44" s="75">
        <f t="shared" si="12"/>
        <v>9.0000000000000011E-3</v>
      </c>
      <c r="E44">
        <f>COUNTIF(tables_388101!C:C,input_388101!A44)-COUNTIF(Q:Q,A44)</f>
        <v>3</v>
      </c>
      <c r="F44" s="43">
        <f t="shared" si="17"/>
        <v>3.0000000000000005E-3</v>
      </c>
      <c r="G44">
        <f t="shared" si="4"/>
        <v>2304.0000000000005</v>
      </c>
      <c r="H44">
        <f t="shared" si="13"/>
        <v>768</v>
      </c>
      <c r="I44">
        <f t="shared" si="15"/>
        <v>0</v>
      </c>
      <c r="J44">
        <f t="shared" si="14"/>
        <v>1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7">
        <f t="shared" si="2"/>
        <v>0</v>
      </c>
      <c r="D45" s="75">
        <f t="shared" ref="D45:D46" si="18">B45-C45</f>
        <v>0</v>
      </c>
      <c r="E45">
        <f>COUNTIF(tables_388101!C:C,input_388101!A45)-COUNTIF(Q:Q,A45)</f>
        <v>0</v>
      </c>
      <c r="F45" s="43">
        <f t="shared" si="17"/>
        <v>0</v>
      </c>
      <c r="G45">
        <f t="shared" si="4"/>
        <v>0</v>
      </c>
      <c r="H45">
        <f t="shared" ref="H45:H46" si="19">IFERROR(ROUND(G45/E45,5),0)</f>
        <v>0</v>
      </c>
      <c r="I45">
        <f t="shared" si="15"/>
        <v>0</v>
      </c>
      <c r="J45">
        <f t="shared" ref="J45:J46" si="20">IFERROR(1/I45,1)</f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4.0000000000000001E-3</v>
      </c>
      <c r="C46" s="87">
        <f t="shared" si="2"/>
        <v>0</v>
      </c>
      <c r="D46" s="75">
        <f t="shared" si="18"/>
        <v>4.0000000000000001E-3</v>
      </c>
      <c r="E46">
        <f>COUNTIF(tables_388101!C:C,input_388101!A46)-COUNTIF(Q:Q,A46)</f>
        <v>1</v>
      </c>
      <c r="F46" s="43">
        <f t="shared" si="17"/>
        <v>4.0000000000000001E-3</v>
      </c>
      <c r="G46">
        <f t="shared" si="4"/>
        <v>1024</v>
      </c>
      <c r="H46">
        <f t="shared" si="19"/>
        <v>1024</v>
      </c>
      <c r="I46">
        <f t="shared" si="15"/>
        <v>0</v>
      </c>
      <c r="J46">
        <f t="shared" si="20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ref="D47" si="21">B47-C47</f>
        <v>1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256000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214</v>
      </c>
      <c r="G54" t="s">
        <v>64</v>
      </c>
    </row>
    <row r="55" spans="1:7" x14ac:dyDescent="0.15">
      <c r="A55" s="33" t="s">
        <v>106</v>
      </c>
      <c r="B55">
        <f ca="1">SUMIF(tables_388101!C:C,input_388101!A55,tables_388101!O:O)</f>
        <v>29515.199999999983</v>
      </c>
      <c r="C55" s="54">
        <f t="shared" ref="C55:C61" ca="1" si="22">B55/B$62</f>
        <v>0.47307278042775802</v>
      </c>
      <c r="E55">
        <v>3</v>
      </c>
      <c r="F55">
        <f ca="1">SUMIF(tables_388101!J:J,input_388101!E55,tables_388101!O:O)</f>
        <v>127999.99995000006</v>
      </c>
      <c r="G55">
        <f ca="1">F55/A51</f>
        <v>0.49999999980468773</v>
      </c>
    </row>
    <row r="56" spans="1:7" x14ac:dyDescent="0.15">
      <c r="A56" s="33" t="s">
        <v>107</v>
      </c>
      <c r="B56">
        <f ca="1">SUMIF(tables_388101!C:C,input_388101!A56,tables_388101!O:O)</f>
        <v>26563.679999999993</v>
      </c>
      <c r="C56" s="54">
        <f t="shared" ca="1" si="22"/>
        <v>0.4257655023849824</v>
      </c>
      <c r="E56">
        <v>4</v>
      </c>
      <c r="F56">
        <f ca="1">SUMIF(tables_388101!J:J,input_388101!E56,tables_388101!O:O)</f>
        <v>114176.00004999997</v>
      </c>
      <c r="G56">
        <f ca="1">F56/A51</f>
        <v>0.44600000019531238</v>
      </c>
    </row>
    <row r="57" spans="1:7" x14ac:dyDescent="0.15">
      <c r="A57" s="33" t="s">
        <v>112</v>
      </c>
      <c r="B57">
        <f ca="1">SUMIF(tables_388101!C:C,input_388101!A57,tables_388101!O:O)</f>
        <v>3192</v>
      </c>
      <c r="C57" s="54">
        <f t="shared" ca="1" si="22"/>
        <v>5.1161717187259599E-2</v>
      </c>
      <c r="E57">
        <v>5</v>
      </c>
      <c r="F57">
        <f ca="1">SUMIF(tables_388101!J:J,input_388101!E57,tables_388101!O:O)</f>
        <v>13824.000000000004</v>
      </c>
      <c r="G57">
        <f ca="1">F57/A51</f>
        <v>5.4000000000000013E-2</v>
      </c>
    </row>
    <row r="58" spans="1:7" x14ac:dyDescent="0.15">
      <c r="A58" s="33" t="s">
        <v>113</v>
      </c>
      <c r="B58">
        <f>SUMIF(tables_388101!C:C,input_388101!A58,tables_388101!O:O)</f>
        <v>0</v>
      </c>
      <c r="C58" s="54">
        <f t="shared" ca="1" si="22"/>
        <v>0</v>
      </c>
      <c r="F58" s="55"/>
    </row>
    <row r="59" spans="1:7" x14ac:dyDescent="0.15">
      <c r="A59" s="33" t="s">
        <v>108</v>
      </c>
      <c r="B59">
        <f ca="1">SUMIF(tables_388101!C:C,input_388101!A59,tables_388101!O:O)</f>
        <v>2951.5199999999995</v>
      </c>
      <c r="C59" s="54">
        <f t="shared" ca="1" si="22"/>
        <v>4.7307278042775826E-2</v>
      </c>
      <c r="E59" t="s">
        <v>104</v>
      </c>
      <c r="F59" s="55"/>
    </row>
    <row r="60" spans="1:7" x14ac:dyDescent="0.15">
      <c r="A60" s="33" t="s">
        <v>114</v>
      </c>
      <c r="B60">
        <f ca="1">SUMIF(tables_388101!C:C,input_388101!A60,tables_388101!O:O)</f>
        <v>168</v>
      </c>
      <c r="C60" s="54">
        <f t="shared" ca="1" si="22"/>
        <v>2.6927219572241896E-3</v>
      </c>
      <c r="E60" t="s">
        <v>210</v>
      </c>
      <c r="F60" s="55">
        <f ca="1">SUMIF(tables_388101!I:I,input_388101!E60,tables_388101!P:P)</f>
        <v>0.21768750000000062</v>
      </c>
    </row>
    <row r="61" spans="1:7" x14ac:dyDescent="0.15">
      <c r="A61" s="33" t="s">
        <v>115</v>
      </c>
      <c r="B61">
        <f>SUMIF(tables_388101!C:C,input_388101!A61,tables_388101!O:O)</f>
        <v>0</v>
      </c>
      <c r="C61" s="54">
        <f t="shared" ca="1" si="22"/>
        <v>0</v>
      </c>
      <c r="E61" t="s">
        <v>211</v>
      </c>
      <c r="F61" s="55">
        <f ca="1">SUMIF(tables_388101!I:I,input_388101!E61,tables_388101!P:P)</f>
        <v>0.2176875000000007</v>
      </c>
    </row>
    <row r="62" spans="1:7" x14ac:dyDescent="0.15">
      <c r="A62" s="39" t="s">
        <v>60</v>
      </c>
      <c r="B62">
        <f ca="1">SUM(B55:B61)</f>
        <v>62390.399999999972</v>
      </c>
      <c r="C62" s="55">
        <f ca="1">SUM(C55:C61)</f>
        <v>0.99999999999999989</v>
      </c>
      <c r="E62" t="s">
        <v>212</v>
      </c>
      <c r="F62" s="55">
        <f ca="1">SUMIF(tables_388101!I:I,input_388101!E62,tables_388101!P:P)</f>
        <v>0.51062500000000166</v>
      </c>
    </row>
    <row r="63" spans="1:7" x14ac:dyDescent="0.15">
      <c r="E63" t="s">
        <v>213</v>
      </c>
      <c r="F63" s="55">
        <f ca="1">SUMIF(tables_388101!I:I,input_388101!E63,tables_388101!P:P)</f>
        <v>5.0000000000000128E-2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300"/>
  <sheetViews>
    <sheetView showGridLines="0" zoomScale="75" zoomScaleNormal="75" zoomScalePageLayoutView="75" workbookViewId="0">
      <pane ySplit="1" topLeftCell="A288" activePane="bottomLeft" state="frozen"/>
      <selection activeCell="H10" sqref="H10"/>
      <selection pane="bottomLeft" activeCell="G2" sqref="G2:G30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input_388101!A$2</f>
        <v>388101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>IF(K2="green","color","")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IFERROR(VLOOKUP(B2,input_388101!L:R,7,FALSE),VLOOKUP(tables_388101!C2,input_388101!A:H,8,FALSE))</f>
        <v>1294.29333</v>
      </c>
      <c r="P2" s="46">
        <f ca="1">O2/SUM(O:O)</f>
        <v>5.0558333203125153E-3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input_388101!A$2</f>
        <v>388101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ref="G3:G66" si="2">IF(K3="green","color","")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IFERROR(VLOOKUP(B3,input_388101!L:R,7,FALSE),VLOOKUP(tables_388101!C3,input_388101!A:H,8,FALSE))</f>
        <v>219.30667</v>
      </c>
      <c r="P3" s="46">
        <f ca="1">O3/SUM(O:O)</f>
        <v>8.5666667968750253E-4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input_388101!A$2</f>
        <v>388101</v>
      </c>
      <c r="B4" s="6">
        <v>128</v>
      </c>
      <c r="C4" s="7" t="str">
        <f t="shared" si="0"/>
        <v>PremiumW3color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>color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IFERROR(VLOOKUP(B4,input_388101!L:R,7,FALSE),VLOOKUP(tables_388101!C4,input_388101!A:H,8,FALSE))</f>
        <v>6113.28</v>
      </c>
      <c r="P4" s="46">
        <f ca="1">O4/SUM(O:O)</f>
        <v>2.3880000000000071E-2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input_388101!A$2</f>
        <v>388101</v>
      </c>
      <c r="B5" s="6">
        <v>129</v>
      </c>
      <c r="C5" s="7" t="str">
        <f t="shared" si="0"/>
        <v>PremiumW4color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>color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IFERROR(VLOOKUP(B5,input_388101!L:R,7,FALSE),VLOOKUP(tables_388101!C5,input_388101!A:H,8,FALSE))</f>
        <v>491.52</v>
      </c>
      <c r="P5" s="46">
        <f ca="1">O5/SUM(O:O)</f>
        <v>1.9200000000000057E-3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input_388101!A$2</f>
        <v>388101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IFERROR(VLOOKUP(B6,input_388101!L:R,7,FALSE),VLOOKUP(tables_388101!C6,input_388101!A:H,8,FALSE))</f>
        <v>1294.29333</v>
      </c>
      <c r="P6" s="46">
        <f ca="1">O6/SUM(O:O)</f>
        <v>5.0558333203125153E-3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input_388101!A$2</f>
        <v>388101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IFERROR(VLOOKUP(B7,input_388101!L:R,7,FALSE),VLOOKUP(tables_388101!C7,input_388101!A:H,8,FALSE))</f>
        <v>219.30667</v>
      </c>
      <c r="P7" s="46">
        <f ca="1">O7/SUM(O:O)</f>
        <v>8.5666667968750253E-4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input_388101!A$2</f>
        <v>388101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IFERROR(VLOOKUP(B8,input_388101!L:R,7,FALSE),VLOOKUP(tables_388101!C8,input_388101!A:H,8,FALSE))</f>
        <v>1294.29333</v>
      </c>
      <c r="P8" s="46">
        <f ca="1">O8/SUM(O:O)</f>
        <v>5.0558333203125153E-3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input_388101!A$2</f>
        <v>388101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IFERROR(VLOOKUP(B9,input_388101!L:R,7,FALSE),VLOOKUP(tables_388101!C9,input_388101!A:H,8,FALSE))</f>
        <v>219.30667</v>
      </c>
      <c r="P9" s="46">
        <f ca="1">O9/SUM(O:O)</f>
        <v>8.5666667968750253E-4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input_388101!A$2</f>
        <v>388101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IFERROR(VLOOKUP(B10,input_388101!L:R,7,FALSE),VLOOKUP(tables_388101!C10,input_388101!A:H,8,FALSE))</f>
        <v>1294.29333</v>
      </c>
      <c r="P10" s="46">
        <f ca="1">O10/SUM(O:O)</f>
        <v>5.0558333203125153E-3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input_388101!A$2</f>
        <v>388101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IFERROR(VLOOKUP(B11,input_388101!L:R,7,FALSE),VLOOKUP(tables_388101!C11,input_388101!A:H,8,FALSE))</f>
        <v>219.30667</v>
      </c>
      <c r="P11" s="46">
        <f ca="1">O11/SUM(O:O)</f>
        <v>8.5666667968750253E-4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input_388101!A$2</f>
        <v>388101</v>
      </c>
      <c r="B12" s="8">
        <v>136</v>
      </c>
      <c r="C12" s="7" t="str">
        <f t="shared" si="0"/>
        <v>PremiumW3color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>color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IFERROR(VLOOKUP(B12,input_388101!L:R,7,FALSE),VLOOKUP(tables_388101!C12,input_388101!A:H,8,FALSE))</f>
        <v>6113.28</v>
      </c>
      <c r="P12" s="46">
        <f ca="1">O12/SUM(O:O)</f>
        <v>2.3880000000000071E-2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input_388101!A$2</f>
        <v>388101</v>
      </c>
      <c r="B13" s="8">
        <v>137</v>
      </c>
      <c r="C13" s="7" t="str">
        <f t="shared" si="0"/>
        <v>PremiumW4color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>color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IFERROR(VLOOKUP(B13,input_388101!L:R,7,FALSE),VLOOKUP(tables_388101!C13,input_388101!A:H,8,FALSE))</f>
        <v>491.52</v>
      </c>
      <c r="P13" s="46">
        <f ca="1">O13/SUM(O:O)</f>
        <v>1.9200000000000057E-3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input_388101!A$2</f>
        <v>388101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IFERROR(VLOOKUP(B14,input_388101!L:R,7,FALSE),VLOOKUP(tables_388101!C14,input_388101!A:H,8,FALSE))</f>
        <v>1294.29333</v>
      </c>
      <c r="P14" s="46">
        <f ca="1">O14/SUM(O:O)</f>
        <v>5.0558333203125153E-3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input_388101!A$2</f>
        <v>388101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IFERROR(VLOOKUP(B15,input_388101!L:R,7,FALSE),VLOOKUP(tables_388101!C15,input_388101!A:H,8,FALSE))</f>
        <v>219.30667</v>
      </c>
      <c r="P15" s="46">
        <f ca="1">O15/SUM(O:O)</f>
        <v>8.5666667968750253E-4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input_388101!A$2</f>
        <v>388101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IFERROR(VLOOKUP(B16,input_388101!L:R,7,FALSE),VLOOKUP(tables_388101!C16,input_388101!A:H,8,FALSE))</f>
        <v>1294.29333</v>
      </c>
      <c r="P16" s="46">
        <f ca="1">O16/SUM(O:O)</f>
        <v>5.0558333203125153E-3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input_388101!A$2</f>
        <v>388101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IFERROR(VLOOKUP(B17,input_388101!L:R,7,FALSE),VLOOKUP(tables_388101!C17,input_388101!A:H,8,FALSE))</f>
        <v>219.30667</v>
      </c>
      <c r="P17" s="46">
        <f ca="1">O17/SUM(O:O)</f>
        <v>8.5666667968750253E-4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input_388101!A$2</f>
        <v>388101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IFERROR(VLOOKUP(B18,input_388101!L:R,7,FALSE),VLOOKUP(tables_388101!C18,input_388101!A:H,8,FALSE))</f>
        <v>1294.29333</v>
      </c>
      <c r="P18" s="46">
        <f ca="1">O18/SUM(O:O)</f>
        <v>5.0558333203125153E-3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input_388101!A$2</f>
        <v>388101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IFERROR(VLOOKUP(B19,input_388101!L:R,7,FALSE),VLOOKUP(tables_388101!C19,input_388101!A:H,8,FALSE))</f>
        <v>219.30667</v>
      </c>
      <c r="P19" s="46">
        <f ca="1">O19/SUM(O:O)</f>
        <v>8.5666667968750253E-4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input_388101!A$2</f>
        <v>388101</v>
      </c>
      <c r="B20" s="10">
        <v>144</v>
      </c>
      <c r="C20" s="7" t="str">
        <f t="shared" si="0"/>
        <v>PremiumW3color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>color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IFERROR(VLOOKUP(B20,input_388101!L:R,7,FALSE),VLOOKUP(tables_388101!C20,input_388101!A:H,8,FALSE))</f>
        <v>6113.28</v>
      </c>
      <c r="P20" s="46">
        <f ca="1">O20/SUM(O:O)</f>
        <v>2.3880000000000071E-2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input_388101!A$2</f>
        <v>388101</v>
      </c>
      <c r="B21" s="6">
        <v>145</v>
      </c>
      <c r="C21" s="7" t="str">
        <f t="shared" si="0"/>
        <v>PremiumW4color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>color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IFERROR(VLOOKUP(B21,input_388101!L:R,7,FALSE),VLOOKUP(tables_388101!C21,input_388101!A:H,8,FALSE))</f>
        <v>491.52</v>
      </c>
      <c r="P21" s="46">
        <f ca="1">O21/SUM(O:O)</f>
        <v>1.9200000000000057E-3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input_388101!A$2</f>
        <v>388101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IFERROR(VLOOKUP(B22,input_388101!L:R,7,FALSE),VLOOKUP(tables_388101!C22,input_388101!A:H,8,FALSE))</f>
        <v>1294.29333</v>
      </c>
      <c r="P22" s="46">
        <f ca="1">O22/SUM(O:O)</f>
        <v>5.0558333203125153E-3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input_388101!A$2</f>
        <v>388101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IFERROR(VLOOKUP(B23,input_388101!L:R,7,FALSE),VLOOKUP(tables_388101!C23,input_388101!A:H,8,FALSE))</f>
        <v>219.30667</v>
      </c>
      <c r="P23" s="46">
        <f ca="1">O23/SUM(O:O)</f>
        <v>8.5666667968750253E-4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input_388101!A$2</f>
        <v>388101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IFERROR(VLOOKUP(B24,input_388101!L:R,7,FALSE),VLOOKUP(tables_388101!C24,input_388101!A:H,8,FALSE))</f>
        <v>1294.29333</v>
      </c>
      <c r="P24" s="46">
        <f ca="1">O24/SUM(O:O)</f>
        <v>5.0558333203125153E-3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input_388101!A$2</f>
        <v>388101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IFERROR(VLOOKUP(B25,input_388101!L:R,7,FALSE),VLOOKUP(tables_388101!C25,input_388101!A:H,8,FALSE))</f>
        <v>219.30667</v>
      </c>
      <c r="P25" s="46">
        <f ca="1">O25/SUM(O:O)</f>
        <v>8.5666667968750253E-4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input_388101!A$2</f>
        <v>388101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IFERROR(VLOOKUP(B26,input_388101!L:R,7,FALSE),VLOOKUP(tables_388101!C26,input_388101!A:H,8,FALSE))</f>
        <v>1294.29333</v>
      </c>
      <c r="P26" s="46">
        <f ca="1">O26/SUM(O:O)</f>
        <v>5.0558333203125153E-3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input_388101!A$2</f>
        <v>388101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IFERROR(VLOOKUP(B27,input_388101!L:R,7,FALSE),VLOOKUP(tables_388101!C27,input_388101!A:H,8,FALSE))</f>
        <v>219.30667</v>
      </c>
      <c r="P27" s="46">
        <f ca="1">O27/SUM(O:O)</f>
        <v>8.5666667968750253E-4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input_388101!A$2</f>
        <v>388101</v>
      </c>
      <c r="B28" s="6">
        <v>152</v>
      </c>
      <c r="C28" s="7" t="str">
        <f t="shared" si="0"/>
        <v>PremiumW3color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>color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IFERROR(VLOOKUP(B28,input_388101!L:R,7,FALSE),VLOOKUP(tables_388101!C28,input_388101!A:H,8,FALSE))</f>
        <v>6113.28</v>
      </c>
      <c r="P28" s="46">
        <f ca="1">O28/SUM(O:O)</f>
        <v>2.3880000000000071E-2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input_388101!A$2</f>
        <v>388101</v>
      </c>
      <c r="B29" s="6">
        <v>153</v>
      </c>
      <c r="C29" s="7" t="str">
        <f t="shared" si="0"/>
        <v>PremiumW4color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>color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IFERROR(VLOOKUP(B29,input_388101!L:R,7,FALSE),VLOOKUP(tables_388101!C29,input_388101!A:H,8,FALSE))</f>
        <v>491.52</v>
      </c>
      <c r="P29" s="46">
        <f ca="1">O29/SUM(O:O)</f>
        <v>1.9200000000000057E-3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input_388101!A$2</f>
        <v>388101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IFERROR(VLOOKUP(B30,input_388101!L:R,7,FALSE),VLOOKUP(tables_388101!C30,input_388101!A:H,8,FALSE))</f>
        <v>1294.29333</v>
      </c>
      <c r="P30" s="46">
        <f ca="1">O30/SUM(O:O)</f>
        <v>5.0558333203125153E-3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input_388101!A$2</f>
        <v>388101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IFERROR(VLOOKUP(B31,input_388101!L:R,7,FALSE),VLOOKUP(tables_388101!C31,input_388101!A:H,8,FALSE))</f>
        <v>219.30667</v>
      </c>
      <c r="P31" s="46">
        <f ca="1">O31/SUM(O:O)</f>
        <v>8.5666667968750253E-4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input_388101!A$2</f>
        <v>388101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IFERROR(VLOOKUP(B32,input_388101!L:R,7,FALSE),VLOOKUP(tables_388101!C32,input_388101!A:H,8,FALSE))</f>
        <v>1294.29333</v>
      </c>
      <c r="P32" s="46">
        <f ca="1">O32/SUM(O:O)</f>
        <v>5.0558333203125153E-3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input_388101!A$2</f>
        <v>388101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IFERROR(VLOOKUP(B33,input_388101!L:R,7,FALSE),VLOOKUP(tables_388101!C33,input_388101!A:H,8,FALSE))</f>
        <v>219.30667</v>
      </c>
      <c r="P33" s="46">
        <f ca="1">O33/SUM(O:O)</f>
        <v>8.5666667968750253E-4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input_388101!A$2</f>
        <v>388101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IFERROR(VLOOKUP(B34,input_388101!L:R,7,FALSE),VLOOKUP(tables_388101!C34,input_388101!A:H,8,FALSE))</f>
        <v>1294.29333</v>
      </c>
      <c r="P34" s="46">
        <f ca="1">O34/SUM(O:O)</f>
        <v>5.0558333203125153E-3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input_388101!A$2</f>
        <v>388101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IFERROR(VLOOKUP(B35,input_388101!L:R,7,FALSE),VLOOKUP(tables_388101!C35,input_388101!A:H,8,FALSE))</f>
        <v>219.30667</v>
      </c>
      <c r="P35" s="46">
        <f ca="1">O35/SUM(O:O)</f>
        <v>8.5666667968750253E-4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input_388101!A$2</f>
        <v>388101</v>
      </c>
      <c r="B36" s="6">
        <v>160</v>
      </c>
      <c r="C36" s="7" t="str">
        <f t="shared" si="0"/>
        <v>PremiumW3color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>color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IFERROR(VLOOKUP(B36,input_388101!L:R,7,FALSE),VLOOKUP(tables_388101!C36,input_388101!A:H,8,FALSE))</f>
        <v>6113.28</v>
      </c>
      <c r="P36" s="46">
        <f ca="1">O36/SUM(O:O)</f>
        <v>2.3880000000000071E-2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input_388101!A$2</f>
        <v>388101</v>
      </c>
      <c r="B37" s="6">
        <v>161</v>
      </c>
      <c r="C37" s="7" t="str">
        <f t="shared" si="0"/>
        <v>PremiumW4color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>color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IFERROR(VLOOKUP(B37,input_388101!L:R,7,FALSE),VLOOKUP(tables_388101!C37,input_388101!A:H,8,FALSE))</f>
        <v>491.52</v>
      </c>
      <c r="P37" s="46">
        <f ca="1">O37/SUM(O:O)</f>
        <v>1.9200000000000057E-3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input_388101!A$2</f>
        <v>388101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IFERROR(VLOOKUP(B38,input_388101!L:R,7,FALSE),VLOOKUP(tables_388101!C38,input_388101!A:H,8,FALSE))</f>
        <v>1294.29333</v>
      </c>
      <c r="P38" s="46">
        <f ca="1">O38/SUM(O:O)</f>
        <v>5.0558333203125153E-3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input_388101!A$2</f>
        <v>388101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IFERROR(VLOOKUP(B39,input_388101!L:R,7,FALSE),VLOOKUP(tables_388101!C39,input_388101!A:H,8,FALSE))</f>
        <v>219.30667</v>
      </c>
      <c r="P39" s="46">
        <f ca="1">O39/SUM(O:O)</f>
        <v>8.5666667968750253E-4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input_388101!A$2</f>
        <v>388101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IFERROR(VLOOKUP(B40,input_388101!L:R,7,FALSE),VLOOKUP(tables_388101!C40,input_388101!A:H,8,FALSE))</f>
        <v>1294.29333</v>
      </c>
      <c r="P40" s="46">
        <f ca="1">O40/SUM(O:O)</f>
        <v>5.0558333203125153E-3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input_388101!A$2</f>
        <v>388101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IFERROR(VLOOKUP(B41,input_388101!L:R,7,FALSE),VLOOKUP(tables_388101!C41,input_388101!A:H,8,FALSE))</f>
        <v>219.30667</v>
      </c>
      <c r="P41" s="46">
        <f ca="1">O41/SUM(O:O)</f>
        <v>8.5666667968750253E-4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input_388101!A$2</f>
        <v>388101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IFERROR(VLOOKUP(B42,input_388101!L:R,7,FALSE),VLOOKUP(tables_388101!C42,input_388101!A:H,8,FALSE))</f>
        <v>756.8</v>
      </c>
      <c r="P42" s="46">
        <f ca="1">O42/SUM(O:O)</f>
        <v>2.9562500000000084E-3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input_388101!A$2</f>
        <v>388101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IFERROR(VLOOKUP(B43,input_388101!L:R,7,FALSE),VLOOKUP(tables_388101!C43,input_388101!A:H,8,FALSE))</f>
        <v>681.12</v>
      </c>
      <c r="P43" s="46">
        <f ca="1">O43/SUM(O:O)</f>
        <v>2.660625000000008E-3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input_388101!A$2</f>
        <v>388101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IFERROR(VLOOKUP(B44,input_388101!L:R,7,FALSE),VLOOKUP(tables_388101!C44,input_388101!A:H,8,FALSE))</f>
        <v>75.680000000000007</v>
      </c>
      <c r="P44" s="46">
        <f ca="1">O44/SUM(O:O)</f>
        <v>2.9562500000000091E-4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input_388101!A$2</f>
        <v>388101</v>
      </c>
      <c r="B45" s="6">
        <v>169</v>
      </c>
      <c r="C45" s="7" t="str">
        <f t="shared" si="0"/>
        <v>Premium3R6releasecolor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>color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IFERROR(VLOOKUP(B45,input_388101!L:R,7,FALSE),VLOOKUP(tables_388101!C45,input_388101!A:H,8,FALSE))</f>
        <v>3302.4</v>
      </c>
      <c r="P45" s="46">
        <f ca="1">O45/SUM(O:O)</f>
        <v>1.2900000000000038E-2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input_388101!A$2</f>
        <v>388101</v>
      </c>
      <c r="B46" s="6">
        <v>170</v>
      </c>
      <c r="C46" s="7" t="str">
        <f t="shared" si="0"/>
        <v>Premium4R6releasecolor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>color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IFERROR(VLOOKUP(B46,input_388101!L:R,7,FALSE),VLOOKUP(tables_388101!C46,input_388101!A:H,8,FALSE))</f>
        <v>2972.16</v>
      </c>
      <c r="P46" s="46">
        <f ca="1">O46/SUM(O:O)</f>
        <v>1.1610000000000033E-2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input_388101!A$2</f>
        <v>388101</v>
      </c>
      <c r="B47" s="6">
        <v>171</v>
      </c>
      <c r="C47" s="7" t="str">
        <f t="shared" si="0"/>
        <v>Premium5R6releasecolor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>color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IFERROR(VLOOKUP(B47,input_388101!L:R,7,FALSE),VLOOKUP(tables_388101!C47,input_388101!A:H,8,FALSE))</f>
        <v>330.24</v>
      </c>
      <c r="P47" s="46">
        <f ca="1">O47/SUM(O:O)</f>
        <v>1.2900000000000038E-3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input_388101!A$2</f>
        <v>388101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IFERROR(VLOOKUP(B48,input_388101!L:R,7,FALSE),VLOOKUP(tables_388101!C48,input_388101!A:H,8,FALSE))</f>
        <v>756.8</v>
      </c>
      <c r="P48" s="46">
        <f ca="1">O48/SUM(O:O)</f>
        <v>2.9562500000000084E-3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input_388101!A$2</f>
        <v>388101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IFERROR(VLOOKUP(B49,input_388101!L:R,7,FALSE),VLOOKUP(tables_388101!C49,input_388101!A:H,8,FALSE))</f>
        <v>681.12</v>
      </c>
      <c r="P49" s="46">
        <f ca="1">O49/SUM(O:O)</f>
        <v>2.660625000000008E-3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input_388101!A$2</f>
        <v>388101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IFERROR(VLOOKUP(B50,input_388101!L:R,7,FALSE),VLOOKUP(tables_388101!C50,input_388101!A:H,8,FALSE))</f>
        <v>75.680000000000007</v>
      </c>
      <c r="P50" s="46">
        <f ca="1">O50/SUM(O:O)</f>
        <v>2.9562500000000091E-4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input_388101!A$2</f>
        <v>388101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IFERROR(VLOOKUP(B51,input_388101!L:R,7,FALSE),VLOOKUP(tables_388101!C51,input_388101!A:H,8,FALSE))</f>
        <v>756.8</v>
      </c>
      <c r="P51" s="46">
        <f ca="1">O51/SUM(O:O)</f>
        <v>2.9562500000000084E-3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input_388101!A$2</f>
        <v>388101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IFERROR(VLOOKUP(B52,input_388101!L:R,7,FALSE),VLOOKUP(tables_388101!C52,input_388101!A:H,8,FALSE))</f>
        <v>681.12</v>
      </c>
      <c r="P52" s="46">
        <f ca="1">O52/SUM(O:O)</f>
        <v>2.660625000000008E-3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input_388101!A$2</f>
        <v>388101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IFERROR(VLOOKUP(B53,input_388101!L:R,7,FALSE),VLOOKUP(tables_388101!C53,input_388101!A:H,8,FALSE))</f>
        <v>75.680000000000007</v>
      </c>
      <c r="P53" s="46">
        <f ca="1">O53/SUM(O:O)</f>
        <v>2.9562500000000091E-4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input_388101!A$2</f>
        <v>388101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IFERROR(VLOOKUP(B54,input_388101!L:R,7,FALSE),VLOOKUP(tables_388101!C54,input_388101!A:H,8,FALSE))</f>
        <v>756.8</v>
      </c>
      <c r="P54" s="46">
        <f ca="1">O54/SUM(O:O)</f>
        <v>2.9562500000000084E-3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input_388101!A$2</f>
        <v>388101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IFERROR(VLOOKUP(B55,input_388101!L:R,7,FALSE),VLOOKUP(tables_388101!C55,input_388101!A:H,8,FALSE))</f>
        <v>681.12</v>
      </c>
      <c r="P55" s="46">
        <f ca="1">O55/SUM(O:O)</f>
        <v>2.660625000000008E-3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input_388101!A$2</f>
        <v>388101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IFERROR(VLOOKUP(B56,input_388101!L:R,7,FALSE),VLOOKUP(tables_388101!C56,input_388101!A:H,8,FALSE))</f>
        <v>75.680000000000007</v>
      </c>
      <c r="P56" s="46">
        <f ca="1">O56/SUM(O:O)</f>
        <v>2.9562500000000091E-4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input_388101!A$2</f>
        <v>388101</v>
      </c>
      <c r="B57" s="6">
        <v>181</v>
      </c>
      <c r="C57" s="7" t="str">
        <f t="shared" si="0"/>
        <v>Premium3color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>color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IFERROR(VLOOKUP(B57,input_388101!L:R,7,FALSE),VLOOKUP(tables_388101!C57,input_388101!A:H,8,FALSE))</f>
        <v>3302.4</v>
      </c>
      <c r="P57" s="46">
        <f ca="1">O57/SUM(O:O)</f>
        <v>1.2900000000000038E-2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input_388101!A$2</f>
        <v>388101</v>
      </c>
      <c r="B58" s="6">
        <v>182</v>
      </c>
      <c r="C58" s="7" t="str">
        <f t="shared" si="0"/>
        <v>Premium4color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>color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IFERROR(VLOOKUP(B58,input_388101!L:R,7,FALSE),VLOOKUP(tables_388101!C58,input_388101!A:H,8,FALSE))</f>
        <v>2972.16</v>
      </c>
      <c r="P58" s="46">
        <f ca="1">O58/SUM(O:O)</f>
        <v>1.1610000000000033E-2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input_388101!A$2</f>
        <v>388101</v>
      </c>
      <c r="B59" s="6">
        <v>183</v>
      </c>
      <c r="C59" s="7" t="str">
        <f t="shared" si="0"/>
        <v>Premium5color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>color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IFERROR(VLOOKUP(B59,input_388101!L:R,7,FALSE),VLOOKUP(tables_388101!C59,input_388101!A:H,8,FALSE))</f>
        <v>330.24</v>
      </c>
      <c r="P59" s="46">
        <f ca="1">O59/SUM(O:O)</f>
        <v>1.2900000000000038E-3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input_388101!A$2</f>
        <v>388101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IFERROR(VLOOKUP(B60,input_388101!L:R,7,FALSE),VLOOKUP(tables_388101!C60,input_388101!A:H,8,FALSE))</f>
        <v>756.8</v>
      </c>
      <c r="P60" s="46">
        <f ca="1">O60/SUM(O:O)</f>
        <v>2.9562500000000084E-3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input_388101!A$2</f>
        <v>388101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IFERROR(VLOOKUP(B61,input_388101!L:R,7,FALSE),VLOOKUP(tables_388101!C61,input_388101!A:H,8,FALSE))</f>
        <v>681.12</v>
      </c>
      <c r="P61" s="46">
        <f ca="1">O61/SUM(O:O)</f>
        <v>2.660625000000008E-3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input_388101!A$2</f>
        <v>388101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IFERROR(VLOOKUP(B62,input_388101!L:R,7,FALSE),VLOOKUP(tables_388101!C62,input_388101!A:H,8,FALSE))</f>
        <v>75.680000000000007</v>
      </c>
      <c r="P62" s="46">
        <f ca="1">O62/SUM(O:O)</f>
        <v>2.9562500000000091E-4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input_388101!A$2</f>
        <v>388101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IFERROR(VLOOKUP(B63,input_388101!L:R,7,FALSE),VLOOKUP(tables_388101!C63,input_388101!A:H,8,FALSE))</f>
        <v>756.8</v>
      </c>
      <c r="P63" s="46">
        <f ca="1">O63/SUM(O:O)</f>
        <v>2.9562500000000084E-3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input_388101!A$2</f>
        <v>388101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IFERROR(VLOOKUP(B64,input_388101!L:R,7,FALSE),VLOOKUP(tables_388101!C64,input_388101!A:H,8,FALSE))</f>
        <v>681.12</v>
      </c>
      <c r="P64" s="46">
        <f ca="1">O64/SUM(O:O)</f>
        <v>2.660625000000008E-3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input_388101!A$2</f>
        <v>388101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IFERROR(VLOOKUP(B65,input_388101!L:R,7,FALSE),VLOOKUP(tables_388101!C65,input_388101!A:H,8,FALSE))</f>
        <v>75.680000000000007</v>
      </c>
      <c r="P65" s="46">
        <f ca="1">O65/SUM(O:O)</f>
        <v>2.9562500000000091E-4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input_388101!A$2</f>
        <v>388101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si="2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IFERROR(VLOOKUP(B66,input_388101!L:R,7,FALSE),VLOOKUP(tables_388101!C66,input_388101!A:H,8,FALSE))</f>
        <v>756.8</v>
      </c>
      <c r="P66" s="46">
        <f ca="1">O66/SUM(O:O)</f>
        <v>2.9562500000000084E-3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input_388101!A$2</f>
        <v>388101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ref="G67:G130" si="5">IF(K67="green","color","")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IFERROR(VLOOKUP(B67,input_388101!L:R,7,FALSE),VLOOKUP(tables_388101!C67,input_388101!A:H,8,FALSE))</f>
        <v>681.12</v>
      </c>
      <c r="P67" s="46">
        <f ca="1">O67/SUM(O:O)</f>
        <v>2.660625000000008E-3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input_388101!A$2</f>
        <v>388101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IFERROR(VLOOKUP(B68,input_388101!L:R,7,FALSE),VLOOKUP(tables_388101!C68,input_388101!A:H,8,FALSE))</f>
        <v>75.680000000000007</v>
      </c>
      <c r="P68" s="46">
        <f ca="1">O68/SUM(O:O)</f>
        <v>2.9562500000000091E-4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input_388101!A$2</f>
        <v>388101</v>
      </c>
      <c r="B69" s="6">
        <v>193</v>
      </c>
      <c r="C69" s="7" t="str">
        <f t="shared" si="3"/>
        <v>Premium3color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5"/>
        <v>color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IFERROR(VLOOKUP(B69,input_388101!L:R,7,FALSE),VLOOKUP(tables_388101!C69,input_388101!A:H,8,FALSE))</f>
        <v>3302.4</v>
      </c>
      <c r="P69" s="46">
        <f ca="1">O69/SUM(O:O)</f>
        <v>1.2900000000000038E-2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input_388101!A$2</f>
        <v>388101</v>
      </c>
      <c r="B70" s="10">
        <v>194</v>
      </c>
      <c r="C70" s="7" t="str">
        <f t="shared" si="3"/>
        <v>Premium4color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5"/>
        <v>color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IFERROR(VLOOKUP(B70,input_388101!L:R,7,FALSE),VLOOKUP(tables_388101!C70,input_388101!A:H,8,FALSE))</f>
        <v>2972.16</v>
      </c>
      <c r="P70" s="46">
        <f ca="1">O70/SUM(O:O)</f>
        <v>1.1610000000000033E-2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input_388101!A$2</f>
        <v>388101</v>
      </c>
      <c r="B71" s="6">
        <v>195</v>
      </c>
      <c r="C71" s="7" t="str">
        <f t="shared" si="3"/>
        <v>Premium5color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5"/>
        <v>color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IFERROR(VLOOKUP(B71,input_388101!L:R,7,FALSE),VLOOKUP(tables_388101!C71,input_388101!A:H,8,FALSE))</f>
        <v>330.24</v>
      </c>
      <c r="P71" s="46">
        <f ca="1">O71/SUM(O:O)</f>
        <v>1.2900000000000038E-3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input_388101!A$2</f>
        <v>388101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5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IFERROR(VLOOKUP(B72,input_388101!L:R,7,FALSE),VLOOKUP(tables_388101!C72,input_388101!A:H,8,FALSE))</f>
        <v>756.8</v>
      </c>
      <c r="P72" s="46">
        <f ca="1">O72/SUM(O:O)</f>
        <v>2.9562500000000084E-3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input_388101!A$2</f>
        <v>388101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5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IFERROR(VLOOKUP(B73,input_388101!L:R,7,FALSE),VLOOKUP(tables_388101!C73,input_388101!A:H,8,FALSE))</f>
        <v>681.12</v>
      </c>
      <c r="P73" s="46">
        <f ca="1">O73/SUM(O:O)</f>
        <v>2.660625000000008E-3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input_388101!A$2</f>
        <v>388101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5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IFERROR(VLOOKUP(B74,input_388101!L:R,7,FALSE),VLOOKUP(tables_388101!C74,input_388101!A:H,8,FALSE))</f>
        <v>75.680000000000007</v>
      </c>
      <c r="P74" s="46">
        <f ca="1">O74/SUM(O:O)</f>
        <v>2.9562500000000091E-4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input_388101!A$2</f>
        <v>388101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IFERROR(VLOOKUP(B75,input_388101!L:R,7,FALSE),VLOOKUP(tables_388101!C75,input_388101!A:H,8,FALSE))</f>
        <v>756.8</v>
      </c>
      <c r="P75" s="46">
        <f ca="1">O75/SUM(O:O)</f>
        <v>2.9562500000000084E-3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input_388101!A$2</f>
        <v>388101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IFERROR(VLOOKUP(B76,input_388101!L:R,7,FALSE),VLOOKUP(tables_388101!C76,input_388101!A:H,8,FALSE))</f>
        <v>681.12</v>
      </c>
      <c r="P76" s="46">
        <f ca="1">O76/SUM(O:O)</f>
        <v>2.660625000000008E-3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input_388101!A$2</f>
        <v>388101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IFERROR(VLOOKUP(B77,input_388101!L:R,7,FALSE),VLOOKUP(tables_388101!C77,input_388101!A:H,8,FALSE))</f>
        <v>75.680000000000007</v>
      </c>
      <c r="P77" s="46">
        <f ca="1">O77/SUM(O:O)</f>
        <v>2.9562500000000091E-4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input_388101!A$2</f>
        <v>388101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IFERROR(VLOOKUP(B78,input_388101!L:R,7,FALSE),VLOOKUP(tables_388101!C78,input_388101!A:H,8,FALSE))</f>
        <v>756.8</v>
      </c>
      <c r="P78" s="46">
        <f ca="1">O78/SUM(O:O)</f>
        <v>2.9562500000000084E-3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input_388101!A$2</f>
        <v>388101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IFERROR(VLOOKUP(B79,input_388101!L:R,7,FALSE),VLOOKUP(tables_388101!C79,input_388101!A:H,8,FALSE))</f>
        <v>681.12</v>
      </c>
      <c r="P79" s="46">
        <f ca="1">O79/SUM(O:O)</f>
        <v>2.660625000000008E-3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input_388101!A$2</f>
        <v>388101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IFERROR(VLOOKUP(B80,input_388101!L:R,7,FALSE),VLOOKUP(tables_388101!C80,input_388101!A:H,8,FALSE))</f>
        <v>75.680000000000007</v>
      </c>
      <c r="P80" s="46">
        <f ca="1">O80/SUM(O:O)</f>
        <v>2.9562500000000091E-4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input_388101!A$2</f>
        <v>388101</v>
      </c>
      <c r="B81" s="5">
        <v>205</v>
      </c>
      <c r="C81" s="7" t="str">
        <f t="shared" si="3"/>
        <v>Premium3color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5"/>
        <v>color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IFERROR(VLOOKUP(B81,input_388101!L:R,7,FALSE),VLOOKUP(tables_388101!C81,input_388101!A:H,8,FALSE))</f>
        <v>3302.4</v>
      </c>
      <c r="P81" s="46">
        <f ca="1">O81/SUM(O:O)</f>
        <v>1.2900000000000038E-2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input_388101!A$2</f>
        <v>388101</v>
      </c>
      <c r="B82" s="5">
        <v>206</v>
      </c>
      <c r="C82" s="7" t="str">
        <f t="shared" si="3"/>
        <v>Premium4color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5"/>
        <v>color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IFERROR(VLOOKUP(B82,input_388101!L:R,7,FALSE),VLOOKUP(tables_388101!C82,input_388101!A:H,8,FALSE))</f>
        <v>2972.16</v>
      </c>
      <c r="P82" s="46">
        <f ca="1">O82/SUM(O:O)</f>
        <v>1.1610000000000033E-2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input_388101!A$2</f>
        <v>388101</v>
      </c>
      <c r="B83" s="5">
        <v>207</v>
      </c>
      <c r="C83" s="7" t="str">
        <f t="shared" si="3"/>
        <v>Premium5color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5"/>
        <v>color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IFERROR(VLOOKUP(B83,input_388101!L:R,7,FALSE),VLOOKUP(tables_388101!C83,input_388101!A:H,8,FALSE))</f>
        <v>330.24</v>
      </c>
      <c r="P83" s="46">
        <f ca="1">O83/SUM(O:O)</f>
        <v>1.2900000000000038E-3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input_388101!A$2</f>
        <v>388101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IFERROR(VLOOKUP(B84,input_388101!L:R,7,FALSE),VLOOKUP(tables_388101!C84,input_388101!A:H,8,FALSE))</f>
        <v>756.8</v>
      </c>
      <c r="P84" s="46">
        <f ca="1">O84/SUM(O:O)</f>
        <v>2.9562500000000084E-3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input_388101!A$2</f>
        <v>388101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IFERROR(VLOOKUP(B85,input_388101!L:R,7,FALSE),VLOOKUP(tables_388101!C85,input_388101!A:H,8,FALSE))</f>
        <v>681.12</v>
      </c>
      <c r="P85" s="46">
        <f ca="1">O85/SUM(O:O)</f>
        <v>2.660625000000008E-3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input_388101!A$2</f>
        <v>388101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IFERROR(VLOOKUP(B86,input_388101!L:R,7,FALSE),VLOOKUP(tables_388101!C86,input_388101!A:H,8,FALSE))</f>
        <v>75.680000000000007</v>
      </c>
      <c r="P86" s="46">
        <f ca="1">O86/SUM(O:O)</f>
        <v>2.9562500000000091E-4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input_388101!A$2</f>
        <v>388101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5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IFERROR(VLOOKUP(B87,input_388101!L:R,7,FALSE),VLOOKUP(tables_388101!C87,input_388101!A:H,8,FALSE))</f>
        <v>756.8</v>
      </c>
      <c r="P87" s="46">
        <f ca="1">O87/SUM(O:O)</f>
        <v>2.9562500000000084E-3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input_388101!A$2</f>
        <v>388101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5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IFERROR(VLOOKUP(B88,input_388101!L:R,7,FALSE),VLOOKUP(tables_388101!C88,input_388101!A:H,8,FALSE))</f>
        <v>681.12</v>
      </c>
      <c r="P88" s="46">
        <f ca="1">O88/SUM(O:O)</f>
        <v>2.660625000000008E-3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input_388101!A$2</f>
        <v>388101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5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IFERROR(VLOOKUP(B89,input_388101!L:R,7,FALSE),VLOOKUP(tables_388101!C89,input_388101!A:H,8,FALSE))</f>
        <v>75.680000000000007</v>
      </c>
      <c r="P89" s="46">
        <f ca="1">O89/SUM(O:O)</f>
        <v>2.9562500000000091E-4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input_388101!A$2</f>
        <v>388101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IFERROR(VLOOKUP(B90,input_388101!L:R,7,FALSE),VLOOKUP(tables_388101!C90,input_388101!A:H,8,FALSE))</f>
        <v>756.8</v>
      </c>
      <c r="P90" s="46">
        <f ca="1">O90/SUM(O:O)</f>
        <v>2.9562500000000084E-3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input_388101!A$2</f>
        <v>388101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IFERROR(VLOOKUP(B91,input_388101!L:R,7,FALSE),VLOOKUP(tables_388101!C91,input_388101!A:H,8,FALSE))</f>
        <v>681.12</v>
      </c>
      <c r="P91" s="46">
        <f ca="1">O91/SUM(O:O)</f>
        <v>2.660625000000008E-3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input_388101!A$2</f>
        <v>388101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IFERROR(VLOOKUP(B92,input_388101!L:R,7,FALSE),VLOOKUP(tables_388101!C92,input_388101!A:H,8,FALSE))</f>
        <v>75.680000000000007</v>
      </c>
      <c r="P92" s="46">
        <f ca="1">O92/SUM(O:O)</f>
        <v>2.9562500000000091E-4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input_388101!A$2</f>
        <v>388101</v>
      </c>
      <c r="B93" s="5">
        <v>217</v>
      </c>
      <c r="C93" s="7" t="str">
        <f t="shared" si="3"/>
        <v>Premium3color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5"/>
        <v>color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IFERROR(VLOOKUP(B93,input_388101!L:R,7,FALSE),VLOOKUP(tables_388101!C93,input_388101!A:H,8,FALSE))</f>
        <v>3302.4</v>
      </c>
      <c r="P93" s="46">
        <f ca="1">O93/SUM(O:O)</f>
        <v>1.2900000000000038E-2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input_388101!A$2</f>
        <v>388101</v>
      </c>
      <c r="B94" s="5">
        <v>218</v>
      </c>
      <c r="C94" s="7" t="str">
        <f t="shared" si="3"/>
        <v>Premium4color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5"/>
        <v>color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IFERROR(VLOOKUP(B94,input_388101!L:R,7,FALSE),VLOOKUP(tables_388101!C94,input_388101!A:H,8,FALSE))</f>
        <v>2972.16</v>
      </c>
      <c r="P94" s="46">
        <f ca="1">O94/SUM(O:O)</f>
        <v>1.1610000000000033E-2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input_388101!A$2</f>
        <v>388101</v>
      </c>
      <c r="B95" s="5">
        <v>219</v>
      </c>
      <c r="C95" s="7" t="str">
        <f t="shared" si="3"/>
        <v>Premium5color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5"/>
        <v>color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IFERROR(VLOOKUP(B95,input_388101!L:R,7,FALSE),VLOOKUP(tables_388101!C95,input_388101!A:H,8,FALSE))</f>
        <v>330.24</v>
      </c>
      <c r="P95" s="46">
        <f ca="1">O95/SUM(O:O)</f>
        <v>1.2900000000000038E-3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input_388101!A$2</f>
        <v>388101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IFERROR(VLOOKUP(B96,input_388101!L:R,7,FALSE),VLOOKUP(tables_388101!C96,input_388101!A:H,8,FALSE))</f>
        <v>756.8</v>
      </c>
      <c r="P96" s="46">
        <f ca="1">O96/SUM(O:O)</f>
        <v>2.9562500000000084E-3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input_388101!A$2</f>
        <v>388101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IFERROR(VLOOKUP(B97,input_388101!L:R,7,FALSE),VLOOKUP(tables_388101!C97,input_388101!A:H,8,FALSE))</f>
        <v>681.12</v>
      </c>
      <c r="P97" s="46">
        <f ca="1">O97/SUM(O:O)</f>
        <v>2.660625000000008E-3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input_388101!A$2</f>
        <v>388101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IFERROR(VLOOKUP(B98,input_388101!L:R,7,FALSE),VLOOKUP(tables_388101!C98,input_388101!A:H,8,FALSE))</f>
        <v>75.680000000000007</v>
      </c>
      <c r="P98" s="46">
        <f ca="1">O98/SUM(O:O)</f>
        <v>2.9562500000000091E-4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input_388101!A$2</f>
        <v>388101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5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IFERROR(VLOOKUP(B99,input_388101!L:R,7,FALSE),VLOOKUP(tables_388101!C99,input_388101!A:H,8,FALSE))</f>
        <v>756.8</v>
      </c>
      <c r="P99" s="46">
        <f ca="1">O99/SUM(O:O)</f>
        <v>2.9562500000000084E-3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input_388101!A$2</f>
        <v>388101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5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IFERROR(VLOOKUP(B100,input_388101!L:R,7,FALSE),VLOOKUP(tables_388101!C100,input_388101!A:H,8,FALSE))</f>
        <v>681.12</v>
      </c>
      <c r="P100" s="46">
        <f ca="1">O100/SUM(O:O)</f>
        <v>2.660625000000008E-3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input_388101!A$2</f>
        <v>388101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5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IFERROR(VLOOKUP(B101,input_388101!L:R,7,FALSE),VLOOKUP(tables_388101!C101,input_388101!A:H,8,FALSE))</f>
        <v>75.680000000000007</v>
      </c>
      <c r="P101" s="46">
        <f ca="1">O101/SUM(O:O)</f>
        <v>2.9562500000000091E-4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input_388101!A$2</f>
        <v>388101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IFERROR(VLOOKUP(B102,input_388101!L:R,7,FALSE),VLOOKUP(tables_388101!C102,input_388101!A:H,8,FALSE))</f>
        <v>756.8</v>
      </c>
      <c r="P102" s="46">
        <f ca="1">O102/SUM(O:O)</f>
        <v>2.9562500000000084E-3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input_388101!A$2</f>
        <v>388101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IFERROR(VLOOKUP(B103,input_388101!L:R,7,FALSE),VLOOKUP(tables_388101!C103,input_388101!A:H,8,FALSE))</f>
        <v>681.12</v>
      </c>
      <c r="P103" s="46">
        <f ca="1">O103/SUM(O:O)</f>
        <v>2.660625000000008E-3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input_388101!A$2</f>
        <v>388101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IFERROR(VLOOKUP(B104,input_388101!L:R,7,FALSE),VLOOKUP(tables_388101!C104,input_388101!A:H,8,FALSE))</f>
        <v>75.680000000000007</v>
      </c>
      <c r="P104" s="46">
        <f ca="1">O104/SUM(O:O)</f>
        <v>2.9562500000000091E-4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input_388101!A$2</f>
        <v>388101</v>
      </c>
      <c r="B105" s="5">
        <v>229</v>
      </c>
      <c r="C105" s="7" t="str">
        <f t="shared" si="3"/>
        <v>Premium3color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5"/>
        <v>color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IFERROR(VLOOKUP(B105,input_388101!L:R,7,FALSE),VLOOKUP(tables_388101!C105,input_388101!A:H,8,FALSE))</f>
        <v>3302.4</v>
      </c>
      <c r="P105" s="46">
        <f ca="1">O105/SUM(O:O)</f>
        <v>1.2900000000000038E-2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input_388101!A$2</f>
        <v>388101</v>
      </c>
      <c r="B106" s="5">
        <v>230</v>
      </c>
      <c r="C106" s="7" t="str">
        <f t="shared" si="3"/>
        <v>Premium4color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5"/>
        <v>color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IFERROR(VLOOKUP(B106,input_388101!L:R,7,FALSE),VLOOKUP(tables_388101!C106,input_388101!A:H,8,FALSE))</f>
        <v>2972.16</v>
      </c>
      <c r="P106" s="46">
        <f ca="1">O106/SUM(O:O)</f>
        <v>1.1610000000000033E-2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input_388101!A$2</f>
        <v>388101</v>
      </c>
      <c r="B107" s="5">
        <v>231</v>
      </c>
      <c r="C107" s="7" t="str">
        <f t="shared" si="3"/>
        <v>Premium5color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5"/>
        <v>color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IFERROR(VLOOKUP(B107,input_388101!L:R,7,FALSE),VLOOKUP(tables_388101!C107,input_388101!A:H,8,FALSE))</f>
        <v>330.24</v>
      </c>
      <c r="P107" s="46">
        <f ca="1">O107/SUM(O:O)</f>
        <v>1.2900000000000038E-3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input_388101!A$2</f>
        <v>388101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IFERROR(VLOOKUP(B108,input_388101!L:R,7,FALSE),VLOOKUP(tables_388101!C108,input_388101!A:H,8,FALSE))</f>
        <v>756.8</v>
      </c>
      <c r="P108" s="46">
        <f ca="1">O108/SUM(O:O)</f>
        <v>2.9562500000000084E-3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input_388101!A$2</f>
        <v>388101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IFERROR(VLOOKUP(B109,input_388101!L:R,7,FALSE),VLOOKUP(tables_388101!C109,input_388101!A:H,8,FALSE))</f>
        <v>681.12</v>
      </c>
      <c r="P109" s="46">
        <f ca="1">O109/SUM(O:O)</f>
        <v>2.660625000000008E-3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input_388101!A$2</f>
        <v>388101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IFERROR(VLOOKUP(B110,input_388101!L:R,7,FALSE),VLOOKUP(tables_388101!C110,input_388101!A:H,8,FALSE))</f>
        <v>75.680000000000007</v>
      </c>
      <c r="P110" s="46">
        <f ca="1">O110/SUM(O:O)</f>
        <v>2.9562500000000091E-4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input_388101!A$2</f>
        <v>388101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5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IFERROR(VLOOKUP(B111,input_388101!L:R,7,FALSE),VLOOKUP(tables_388101!C111,input_388101!A:H,8,FALSE))</f>
        <v>756.8</v>
      </c>
      <c r="P111" s="46">
        <f ca="1">O111/SUM(O:O)</f>
        <v>2.9562500000000084E-3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input_388101!A$2</f>
        <v>388101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5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IFERROR(VLOOKUP(B112,input_388101!L:R,7,FALSE),VLOOKUP(tables_388101!C112,input_388101!A:H,8,FALSE))</f>
        <v>681.12</v>
      </c>
      <c r="P112" s="46">
        <f ca="1">O112/SUM(O:O)</f>
        <v>2.660625000000008E-3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input_388101!A$2</f>
        <v>388101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5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IFERROR(VLOOKUP(B113,input_388101!L:R,7,FALSE),VLOOKUP(tables_388101!C113,input_388101!A:H,8,FALSE))</f>
        <v>75.680000000000007</v>
      </c>
      <c r="P113" s="46">
        <f ca="1">O113/SUM(O:O)</f>
        <v>2.9562500000000091E-4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input_388101!A$2</f>
        <v>388101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IFERROR(VLOOKUP(B114,input_388101!L:R,7,FALSE),VLOOKUP(tables_388101!C114,input_388101!A:H,8,FALSE))</f>
        <v>756.8</v>
      </c>
      <c r="P114" s="46">
        <f ca="1">O114/SUM(O:O)</f>
        <v>2.9562500000000084E-3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input_388101!A$2</f>
        <v>388101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IFERROR(VLOOKUP(B115,input_388101!L:R,7,FALSE),VLOOKUP(tables_388101!C115,input_388101!A:H,8,FALSE))</f>
        <v>681.12</v>
      </c>
      <c r="P115" s="46">
        <f ca="1">O115/SUM(O:O)</f>
        <v>2.660625000000008E-3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input_388101!A$2</f>
        <v>388101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IFERROR(VLOOKUP(B116,input_388101!L:R,7,FALSE),VLOOKUP(tables_388101!C116,input_388101!A:H,8,FALSE))</f>
        <v>75.680000000000007</v>
      </c>
      <c r="P116" s="46">
        <f ca="1">O116/SUM(O:O)</f>
        <v>2.9562500000000091E-4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input_388101!A$2</f>
        <v>388101</v>
      </c>
      <c r="B117" s="5">
        <v>241</v>
      </c>
      <c r="C117" s="7" t="str">
        <f t="shared" si="3"/>
        <v>Premium3color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5"/>
        <v>color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IFERROR(VLOOKUP(B117,input_388101!L:R,7,FALSE),VLOOKUP(tables_388101!C117,input_388101!A:H,8,FALSE))</f>
        <v>3302.4</v>
      </c>
      <c r="P117" s="46">
        <f ca="1">O117/SUM(O:O)</f>
        <v>1.2900000000000038E-2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input_388101!A$2</f>
        <v>388101</v>
      </c>
      <c r="B118" s="5">
        <v>242</v>
      </c>
      <c r="C118" s="7" t="str">
        <f t="shared" si="3"/>
        <v>Premium4color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5"/>
        <v>color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IFERROR(VLOOKUP(B118,input_388101!L:R,7,FALSE),VLOOKUP(tables_388101!C118,input_388101!A:H,8,FALSE))</f>
        <v>2972.16</v>
      </c>
      <c r="P118" s="46">
        <f ca="1">O118/SUM(O:O)</f>
        <v>1.1610000000000033E-2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input_388101!A$2</f>
        <v>388101</v>
      </c>
      <c r="B119" s="5">
        <v>243</v>
      </c>
      <c r="C119" s="7" t="str">
        <f t="shared" si="3"/>
        <v>Premium5color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5"/>
        <v>color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IFERROR(VLOOKUP(B119,input_388101!L:R,7,FALSE),VLOOKUP(tables_388101!C119,input_388101!A:H,8,FALSE))</f>
        <v>330.24</v>
      </c>
      <c r="P119" s="46">
        <f ca="1">O119/SUM(O:O)</f>
        <v>1.2900000000000038E-3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input_388101!A$2</f>
        <v>388101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IFERROR(VLOOKUP(B120,input_388101!L:R,7,FALSE),VLOOKUP(tables_388101!C120,input_388101!A:H,8,FALSE))</f>
        <v>756.8</v>
      </c>
      <c r="P120" s="46">
        <f ca="1">O120/SUM(O:O)</f>
        <v>2.9562500000000084E-3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input_388101!A$2</f>
        <v>388101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IFERROR(VLOOKUP(B121,input_388101!L:R,7,FALSE),VLOOKUP(tables_388101!C121,input_388101!A:H,8,FALSE))</f>
        <v>681.12</v>
      </c>
      <c r="P121" s="46">
        <f ca="1">O121/SUM(O:O)</f>
        <v>2.660625000000008E-3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input_388101!A$2</f>
        <v>388101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IFERROR(VLOOKUP(B122,input_388101!L:R,7,FALSE),VLOOKUP(tables_388101!C122,input_388101!A:H,8,FALSE))</f>
        <v>75.680000000000007</v>
      </c>
      <c r="P122" s="46">
        <f ca="1">O122/SUM(O:O)</f>
        <v>2.9562500000000091E-4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input_388101!A$2</f>
        <v>388101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5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IFERROR(VLOOKUP(B123,input_388101!L:R,7,FALSE),VLOOKUP(tables_388101!C123,input_388101!A:H,8,FALSE))</f>
        <v>756.8</v>
      </c>
      <c r="P123" s="46">
        <f ca="1">O123/SUM(O:O)</f>
        <v>2.9562500000000084E-3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input_388101!A$2</f>
        <v>388101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5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IFERROR(VLOOKUP(B124,input_388101!L:R,7,FALSE),VLOOKUP(tables_388101!C124,input_388101!A:H,8,FALSE))</f>
        <v>681.12</v>
      </c>
      <c r="P124" s="46">
        <f ca="1">O124/SUM(O:O)</f>
        <v>2.660625000000008E-3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input_388101!A$2</f>
        <v>388101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5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IFERROR(VLOOKUP(B125,input_388101!L:R,7,FALSE),VLOOKUP(tables_388101!C125,input_388101!A:H,8,FALSE))</f>
        <v>75.680000000000007</v>
      </c>
      <c r="P125" s="46">
        <f ca="1">O125/SUM(O:O)</f>
        <v>2.9562500000000091E-4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input_388101!A$2</f>
        <v>388101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IFERROR(VLOOKUP(B126,input_388101!L:R,7,FALSE),VLOOKUP(tables_388101!C126,input_388101!A:H,8,FALSE))</f>
        <v>756.8</v>
      </c>
      <c r="P126" s="46">
        <f ca="1">O126/SUM(O:O)</f>
        <v>2.9562500000000084E-3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input_388101!A$2</f>
        <v>388101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IFERROR(VLOOKUP(B127,input_388101!L:R,7,FALSE),VLOOKUP(tables_388101!C127,input_388101!A:H,8,FALSE))</f>
        <v>681.12</v>
      </c>
      <c r="P127" s="46">
        <f ca="1">O127/SUM(O:O)</f>
        <v>2.660625000000008E-3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input_388101!A$2</f>
        <v>388101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IFERROR(VLOOKUP(B128,input_388101!L:R,7,FALSE),VLOOKUP(tables_388101!C128,input_388101!A:H,8,FALSE))</f>
        <v>75.680000000000007</v>
      </c>
      <c r="P128" s="46">
        <f ca="1">O128/SUM(O:O)</f>
        <v>2.9562500000000091E-4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input_388101!A$2</f>
        <v>388101</v>
      </c>
      <c r="B129" s="6">
        <v>253</v>
      </c>
      <c r="C129" s="7" t="str">
        <f t="shared" si="3"/>
        <v>Premium3color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5"/>
        <v>color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IFERROR(VLOOKUP(B129,input_388101!L:R,7,FALSE),VLOOKUP(tables_388101!C129,input_388101!A:H,8,FALSE))</f>
        <v>3302.4</v>
      </c>
      <c r="P129" s="46">
        <f ca="1">O129/SUM(O:O)</f>
        <v>1.2900000000000038E-2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input_388101!A$2</f>
        <v>388101</v>
      </c>
      <c r="B130" s="6">
        <v>254</v>
      </c>
      <c r="C130" s="7" t="str">
        <f t="shared" ref="C130:C193" si="6">D130&amp;J130&amp;E130&amp;F130&amp;G130</f>
        <v>Premium4color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si="5"/>
        <v>color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IFERROR(VLOOKUP(B130,input_388101!L:R,7,FALSE),VLOOKUP(tables_388101!C130,input_388101!A:H,8,FALSE))</f>
        <v>2972.16</v>
      </c>
      <c r="P130" s="46">
        <f ca="1">O130/SUM(O:O)</f>
        <v>1.1610000000000033E-2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input_388101!A$2</f>
        <v>388101</v>
      </c>
      <c r="B131" s="6">
        <v>255</v>
      </c>
      <c r="C131" s="7" t="str">
        <f t="shared" si="6"/>
        <v>Premium5color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ref="G131:G194" si="8">IF(K131="green","color","")</f>
        <v>color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IFERROR(VLOOKUP(B131,input_388101!L:R,7,FALSE),VLOOKUP(tables_388101!C131,input_388101!A:H,8,FALSE))</f>
        <v>330.24</v>
      </c>
      <c r="P131" s="46">
        <f ca="1">O131/SUM(O:O)</f>
        <v>1.2900000000000038E-3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input_388101!A$2</f>
        <v>388101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8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IFERROR(VLOOKUP(B132,input_388101!L:R,7,FALSE),VLOOKUP(tables_388101!C132,input_388101!A:H,8,FALSE))</f>
        <v>756.8</v>
      </c>
      <c r="P132" s="46">
        <f ca="1">O132/SUM(O:O)</f>
        <v>2.9562500000000084E-3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input_388101!A$2</f>
        <v>388101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8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IFERROR(VLOOKUP(B133,input_388101!L:R,7,FALSE),VLOOKUP(tables_388101!C133,input_388101!A:H,8,FALSE))</f>
        <v>681.12</v>
      </c>
      <c r="P133" s="46">
        <f ca="1">O133/SUM(O:O)</f>
        <v>2.660625000000008E-3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input_388101!A$2</f>
        <v>388101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8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IFERROR(VLOOKUP(B134,input_388101!L:R,7,FALSE),VLOOKUP(tables_388101!C134,input_388101!A:H,8,FALSE))</f>
        <v>75.680000000000007</v>
      </c>
      <c r="P134" s="46">
        <f ca="1">O134/SUM(O:O)</f>
        <v>2.9562500000000091E-4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input_388101!A$2</f>
        <v>388101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8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IFERROR(VLOOKUP(B135,input_388101!L:R,7,FALSE),VLOOKUP(tables_388101!C135,input_388101!A:H,8,FALSE))</f>
        <v>756.8</v>
      </c>
      <c r="P135" s="46">
        <f ca="1">O135/SUM(O:O)</f>
        <v>2.9562500000000084E-3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input_388101!A$2</f>
        <v>388101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8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IFERROR(VLOOKUP(B136,input_388101!L:R,7,FALSE),VLOOKUP(tables_388101!C136,input_388101!A:H,8,FALSE))</f>
        <v>681.12</v>
      </c>
      <c r="P136" s="46">
        <f ca="1">O136/SUM(O:O)</f>
        <v>2.660625000000008E-3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input_388101!A$2</f>
        <v>388101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8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IFERROR(VLOOKUP(B137,input_388101!L:R,7,FALSE),VLOOKUP(tables_388101!C137,input_388101!A:H,8,FALSE))</f>
        <v>75.680000000000007</v>
      </c>
      <c r="P137" s="46">
        <f ca="1">O137/SUM(O:O)</f>
        <v>2.9562500000000091E-4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input_388101!A$2</f>
        <v>388101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8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IFERROR(VLOOKUP(B138,input_388101!L:R,7,FALSE),VLOOKUP(tables_388101!C138,input_388101!A:H,8,FALSE))</f>
        <v>152</v>
      </c>
      <c r="P138" s="46">
        <f ca="1">O138/SUM(O:O)</f>
        <v>5.9375000000000172E-4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input_388101!A$2</f>
        <v>388101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8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IFERROR(VLOOKUP(B139,input_388101!L:R,7,FALSE),VLOOKUP(tables_388101!C139,input_388101!A:H,8,FALSE))</f>
        <v>8</v>
      </c>
      <c r="P139" s="46">
        <f ca="1">O139/SUM(O:O)</f>
        <v>3.1250000000000096E-5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input_388101!A$2</f>
        <v>388101</v>
      </c>
      <c r="B140" s="6">
        <v>322</v>
      </c>
      <c r="C140" s="7" t="str">
        <f t="shared" si="6"/>
        <v>PremiumSS4color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8"/>
        <v>color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IFERROR(VLOOKUP(B140,input_388101!L:R,7,FALSE),VLOOKUP(tables_388101!C140,input_388101!A:H,8,FALSE))</f>
        <v>729.6</v>
      </c>
      <c r="P140" s="46">
        <f ca="1">O140/SUM(O:O)</f>
        <v>2.8500000000000083E-3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input_388101!A$2</f>
        <v>388101</v>
      </c>
      <c r="B141" s="6">
        <v>323</v>
      </c>
      <c r="C141" s="7" t="str">
        <f t="shared" si="6"/>
        <v>PremiumSS5color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8"/>
        <v>color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IFERROR(VLOOKUP(B141,input_388101!L:R,7,FALSE),VLOOKUP(tables_388101!C141,input_388101!A:H,8,FALSE))</f>
        <v>38.4</v>
      </c>
      <c r="P141" s="46">
        <f ca="1">O141/SUM(O:O)</f>
        <v>1.5000000000000045E-4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input_388101!A$2</f>
        <v>388101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8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IFERROR(VLOOKUP(B142,input_388101!L:R,7,FALSE),VLOOKUP(tables_388101!C142,input_388101!A:H,8,FALSE))</f>
        <v>152</v>
      </c>
      <c r="P142" s="46">
        <f ca="1">O142/SUM(O:O)</f>
        <v>5.9375000000000172E-4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input_388101!A$2</f>
        <v>388101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8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IFERROR(VLOOKUP(B143,input_388101!L:R,7,FALSE),VLOOKUP(tables_388101!C143,input_388101!A:H,8,FALSE))</f>
        <v>8</v>
      </c>
      <c r="P143" s="46">
        <f ca="1">O143/SUM(O:O)</f>
        <v>3.1250000000000096E-5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input_388101!A$2</f>
        <v>388101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8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IFERROR(VLOOKUP(B144,input_388101!L:R,7,FALSE),VLOOKUP(tables_388101!C144,input_388101!A:H,8,FALSE))</f>
        <v>152</v>
      </c>
      <c r="P144" s="46">
        <f ca="1">O144/SUM(O:O)</f>
        <v>5.9375000000000172E-4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input_388101!A$2</f>
        <v>388101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8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IFERROR(VLOOKUP(B145,input_388101!L:R,7,FALSE),VLOOKUP(tables_388101!C145,input_388101!A:H,8,FALSE))</f>
        <v>8</v>
      </c>
      <c r="P145" s="46">
        <f ca="1">O145/SUM(O:O)</f>
        <v>3.1250000000000096E-5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input_388101!A$2</f>
        <v>388101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8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IFERROR(VLOOKUP(B146,input_388101!L:R,7,FALSE),VLOOKUP(tables_388101!C146,input_388101!A:H,8,FALSE))</f>
        <v>756.8</v>
      </c>
      <c r="P146" s="46">
        <f ca="1">O146/SUM(O:O)</f>
        <v>2.9562500000000084E-3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input_388101!A$2</f>
        <v>388101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8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IFERROR(VLOOKUP(B147,input_388101!L:R,7,FALSE),VLOOKUP(tables_388101!C147,input_388101!A:H,8,FALSE))</f>
        <v>681.12</v>
      </c>
      <c r="P147" s="46">
        <f ca="1">O147/SUM(O:O)</f>
        <v>2.660625000000008E-3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input_388101!A$2</f>
        <v>388101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8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IFERROR(VLOOKUP(B148,input_388101!L:R,7,FALSE),VLOOKUP(tables_388101!C148,input_388101!A:H,8,FALSE))</f>
        <v>75.680000000000007</v>
      </c>
      <c r="P148" s="46">
        <f ca="1">O148/SUM(O:O)</f>
        <v>2.9562500000000091E-4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input_388101!A$2</f>
        <v>388101</v>
      </c>
      <c r="B149" s="6">
        <v>383</v>
      </c>
      <c r="C149" s="7" t="str">
        <f t="shared" si="6"/>
        <v>PremiumSS4color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8"/>
        <v>color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IFERROR(VLOOKUP(B149,input_388101!L:R,7,FALSE),VLOOKUP(tables_388101!C149,input_388101!A:H,8,FALSE))</f>
        <v>729.6</v>
      </c>
      <c r="P149" s="46">
        <f ca="1">O149/SUM(O:O)</f>
        <v>2.8500000000000083E-3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input_388101!A$2</f>
        <v>388101</v>
      </c>
      <c r="B150" s="6">
        <v>384</v>
      </c>
      <c r="C150" s="7" t="str">
        <f t="shared" si="6"/>
        <v>PremiumSS5color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8"/>
        <v>color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IFERROR(VLOOKUP(B150,input_388101!L:R,7,FALSE),VLOOKUP(tables_388101!C150,input_388101!A:H,8,FALSE))</f>
        <v>38.4</v>
      </c>
      <c r="P150" s="46">
        <f ca="1">O150/SUM(O:O)</f>
        <v>1.5000000000000045E-4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input_388101!A$2</f>
        <v>388101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8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IFERROR(VLOOKUP(B151,input_388101!L:R,7,FALSE),VLOOKUP(tables_388101!C151,input_388101!A:H,8,FALSE))</f>
        <v>152</v>
      </c>
      <c r="P151" s="46">
        <f ca="1">O151/SUM(O:O)</f>
        <v>5.9375000000000172E-4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input_388101!A$2</f>
        <v>388101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8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IFERROR(VLOOKUP(B152,input_388101!L:R,7,FALSE),VLOOKUP(tables_388101!C152,input_388101!A:H,8,FALSE))</f>
        <v>8</v>
      </c>
      <c r="P152" s="46">
        <f ca="1">O152/SUM(O:O)</f>
        <v>3.1250000000000096E-5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input_388101!A$2</f>
        <v>388101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8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IFERROR(VLOOKUP(B153,input_388101!L:R,7,FALSE),VLOOKUP(tables_388101!C153,input_388101!A:H,8,FALSE))</f>
        <v>756.8</v>
      </c>
      <c r="P153" s="46">
        <f ca="1">O153/SUM(O:O)</f>
        <v>2.9562500000000084E-3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input_388101!A$2</f>
        <v>388101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8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IFERROR(VLOOKUP(B154,input_388101!L:R,7,FALSE),VLOOKUP(tables_388101!C154,input_388101!A:H,8,FALSE))</f>
        <v>681.12</v>
      </c>
      <c r="P154" s="46">
        <f ca="1">O154/SUM(O:O)</f>
        <v>2.660625000000008E-3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input_388101!A$2</f>
        <v>388101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8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IFERROR(VLOOKUP(B155,input_388101!L:R,7,FALSE),VLOOKUP(tables_388101!C155,input_388101!A:H,8,FALSE))</f>
        <v>75.680000000000007</v>
      </c>
      <c r="P155" s="46">
        <f ca="1">O155/SUM(O:O)</f>
        <v>2.9562500000000091E-4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input_388101!A$2</f>
        <v>388101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8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IFERROR(VLOOKUP(B156,input_388101!L:R,7,FALSE),VLOOKUP(tables_388101!C156,input_388101!A:H,8,FALSE))</f>
        <v>152</v>
      </c>
      <c r="P156" s="46">
        <f ca="1">O156/SUM(O:O)</f>
        <v>5.9375000000000172E-4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input_388101!A$2</f>
        <v>388101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8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IFERROR(VLOOKUP(B157,input_388101!L:R,7,FALSE),VLOOKUP(tables_388101!C157,input_388101!A:H,8,FALSE))</f>
        <v>8</v>
      </c>
      <c r="P157" s="46">
        <f ca="1">O157/SUM(O:O)</f>
        <v>3.1250000000000096E-5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input_388101!A$2</f>
        <v>388101</v>
      </c>
      <c r="B158" s="6">
        <v>392</v>
      </c>
      <c r="C158" s="7" t="str">
        <f t="shared" si="6"/>
        <v>Premium3color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8"/>
        <v>color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IFERROR(VLOOKUP(B158,input_388101!L:R,7,FALSE),VLOOKUP(tables_388101!C158,input_388101!A:H,8,FALSE))</f>
        <v>3302.4</v>
      </c>
      <c r="P158" s="46">
        <f ca="1">O158/SUM(O:O)</f>
        <v>1.2900000000000038E-2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input_388101!A$2</f>
        <v>388101</v>
      </c>
      <c r="B159" s="6">
        <v>393</v>
      </c>
      <c r="C159" s="7" t="str">
        <f t="shared" si="6"/>
        <v>Premium4color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8"/>
        <v>color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IFERROR(VLOOKUP(B159,input_388101!L:R,7,FALSE),VLOOKUP(tables_388101!C159,input_388101!A:H,8,FALSE))</f>
        <v>2972.16</v>
      </c>
      <c r="P159" s="46">
        <f ca="1">O159/SUM(O:O)</f>
        <v>1.1610000000000033E-2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input_388101!A$2</f>
        <v>388101</v>
      </c>
      <c r="B160" s="6">
        <v>394</v>
      </c>
      <c r="C160" s="7" t="str">
        <f t="shared" si="6"/>
        <v>Premium5color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8"/>
        <v>color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IFERROR(VLOOKUP(B160,input_388101!L:R,7,FALSE),VLOOKUP(tables_388101!C160,input_388101!A:H,8,FALSE))</f>
        <v>330.24</v>
      </c>
      <c r="P160" s="46">
        <f ca="1">O160/SUM(O:O)</f>
        <v>1.2900000000000038E-3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input_388101!A$2</f>
        <v>388101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8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IFERROR(VLOOKUP(B161,input_388101!L:R,7,FALSE),VLOOKUP(tables_388101!C161,input_388101!A:H,8,FALSE))</f>
        <v>756.8</v>
      </c>
      <c r="P161" s="46">
        <f ca="1">O161/SUM(O:O)</f>
        <v>2.9562500000000084E-3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input_388101!A$2</f>
        <v>388101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8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IFERROR(VLOOKUP(B162,input_388101!L:R,7,FALSE),VLOOKUP(tables_388101!C162,input_388101!A:H,8,FALSE))</f>
        <v>681.12</v>
      </c>
      <c r="P162" s="46">
        <f ca="1">O162/SUM(O:O)</f>
        <v>2.660625000000008E-3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input_388101!A$2</f>
        <v>388101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8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IFERROR(VLOOKUP(B163,input_388101!L:R,7,FALSE),VLOOKUP(tables_388101!C163,input_388101!A:H,8,FALSE))</f>
        <v>75.680000000000007</v>
      </c>
      <c r="P163" s="46">
        <f ca="1">O163/SUM(O:O)</f>
        <v>2.9562500000000091E-4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input_388101!A$2</f>
        <v>388101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8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IFERROR(VLOOKUP(B164,input_388101!L:R,7,FALSE),VLOOKUP(tables_388101!C164,input_388101!A:H,8,FALSE))</f>
        <v>152</v>
      </c>
      <c r="P164" s="46">
        <f ca="1">O164/SUM(O:O)</f>
        <v>5.9375000000000172E-4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input_388101!A$2</f>
        <v>388101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8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IFERROR(VLOOKUP(B165,input_388101!L:R,7,FALSE),VLOOKUP(tables_388101!C165,input_388101!A:H,8,FALSE))</f>
        <v>8</v>
      </c>
      <c r="P165" s="46">
        <f ca="1">O165/SUM(O:O)</f>
        <v>3.1250000000000096E-5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input_388101!A$2</f>
        <v>388101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8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IFERROR(VLOOKUP(B166,input_388101!L:R,7,FALSE),VLOOKUP(tables_388101!C166,input_388101!A:H,8,FALSE))</f>
        <v>756.8</v>
      </c>
      <c r="P166" s="46">
        <f ca="1">O166/SUM(O:O)</f>
        <v>2.9562500000000084E-3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input_388101!A$2</f>
        <v>388101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8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IFERROR(VLOOKUP(B167,input_388101!L:R,7,FALSE),VLOOKUP(tables_388101!C167,input_388101!A:H,8,FALSE))</f>
        <v>681.12</v>
      </c>
      <c r="P167" s="46">
        <f ca="1">O167/SUM(O:O)</f>
        <v>2.660625000000008E-3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input_388101!A$2</f>
        <v>388101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8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IFERROR(VLOOKUP(B168,input_388101!L:R,7,FALSE),VLOOKUP(tables_388101!C168,input_388101!A:H,8,FALSE))</f>
        <v>75.680000000000007</v>
      </c>
      <c r="P168" s="46">
        <f ca="1">O168/SUM(O:O)</f>
        <v>2.9562500000000091E-4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input_388101!A$2</f>
        <v>388101</v>
      </c>
      <c r="B169" s="6">
        <v>403</v>
      </c>
      <c r="C169" s="7" t="str">
        <f t="shared" si="6"/>
        <v>PremiumSS4color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8"/>
        <v>color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IFERROR(VLOOKUP(B169,input_388101!L:R,7,FALSE),VLOOKUP(tables_388101!C169,input_388101!A:H,8,FALSE))</f>
        <v>729.6</v>
      </c>
      <c r="P169" s="46">
        <f ca="1">O169/SUM(O:O)</f>
        <v>2.8500000000000083E-3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input_388101!A$2</f>
        <v>388101</v>
      </c>
      <c r="B170" s="6">
        <v>404</v>
      </c>
      <c r="C170" s="7" t="str">
        <f t="shared" si="6"/>
        <v>PremiumSS5color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8"/>
        <v>color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IFERROR(VLOOKUP(B170,input_388101!L:R,7,FALSE),VLOOKUP(tables_388101!C170,input_388101!A:H,8,FALSE))</f>
        <v>38.4</v>
      </c>
      <c r="P170" s="46">
        <f ca="1">O170/SUM(O:O)</f>
        <v>1.5000000000000045E-4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input_388101!A$2</f>
        <v>388101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8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IFERROR(VLOOKUP(B171,input_388101!L:R,7,FALSE),VLOOKUP(tables_388101!C171,input_388101!A:H,8,FALSE))</f>
        <v>756.8</v>
      </c>
      <c r="P171" s="46">
        <f ca="1">O171/SUM(O:O)</f>
        <v>2.9562500000000084E-3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input_388101!A$2</f>
        <v>388101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8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IFERROR(VLOOKUP(B172,input_388101!L:R,7,FALSE),VLOOKUP(tables_388101!C172,input_388101!A:H,8,FALSE))</f>
        <v>681.12</v>
      </c>
      <c r="P172" s="46">
        <f ca="1">O172/SUM(O:O)</f>
        <v>2.660625000000008E-3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input_388101!A$2</f>
        <v>388101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8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IFERROR(VLOOKUP(B173,input_388101!L:R,7,FALSE),VLOOKUP(tables_388101!C173,input_388101!A:H,8,FALSE))</f>
        <v>75.680000000000007</v>
      </c>
      <c r="P173" s="46">
        <f ca="1">O173/SUM(O:O)</f>
        <v>2.9562500000000091E-4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input_388101!A$2</f>
        <v>388101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8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IFERROR(VLOOKUP(B174,input_388101!L:R,7,FALSE),VLOOKUP(tables_388101!C174,input_388101!A:H,8,FALSE))</f>
        <v>152</v>
      </c>
      <c r="P174" s="46">
        <f ca="1">O174/SUM(O:O)</f>
        <v>5.9375000000000172E-4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input_388101!A$2</f>
        <v>388101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8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IFERROR(VLOOKUP(B175,input_388101!L:R,7,FALSE),VLOOKUP(tables_388101!C175,input_388101!A:H,8,FALSE))</f>
        <v>8</v>
      </c>
      <c r="P175" s="46">
        <f ca="1">O175/SUM(O:O)</f>
        <v>3.1250000000000096E-5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input_388101!A$2</f>
        <v>388101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8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IFERROR(VLOOKUP(B176,input_388101!L:R,7,FALSE),VLOOKUP(tables_388101!C176,input_388101!A:H,8,FALSE))</f>
        <v>152</v>
      </c>
      <c r="P176" s="46">
        <f ca="1">O176/SUM(O:O)</f>
        <v>5.9375000000000172E-4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input_388101!A$2</f>
        <v>388101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8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IFERROR(VLOOKUP(B177,input_388101!L:R,7,FALSE),VLOOKUP(tables_388101!C177,input_388101!A:H,8,FALSE))</f>
        <v>8</v>
      </c>
      <c r="P177" s="46">
        <f ca="1">O177/SUM(O:O)</f>
        <v>3.1250000000000096E-5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input_388101!A$2</f>
        <v>388101</v>
      </c>
      <c r="B178" s="6">
        <v>436</v>
      </c>
      <c r="C178" s="7" t="str">
        <f t="shared" si="6"/>
        <v>Premium3color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8"/>
        <v>color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IFERROR(VLOOKUP(B178,input_388101!L:R,7,FALSE),VLOOKUP(tables_388101!C178,input_388101!A:H,8,FALSE))</f>
        <v>3302.4</v>
      </c>
      <c r="P178" s="46">
        <f ca="1">O178/SUM(O:O)</f>
        <v>1.2900000000000038E-2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input_388101!A$2</f>
        <v>388101</v>
      </c>
      <c r="B179" s="6">
        <v>437</v>
      </c>
      <c r="C179" s="7" t="str">
        <f t="shared" si="6"/>
        <v>Premium4color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8"/>
        <v>color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IFERROR(VLOOKUP(B179,input_388101!L:R,7,FALSE),VLOOKUP(tables_388101!C179,input_388101!A:H,8,FALSE))</f>
        <v>2972.16</v>
      </c>
      <c r="P179" s="46">
        <f ca="1">O179/SUM(O:O)</f>
        <v>1.1610000000000033E-2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input_388101!A$2</f>
        <v>388101</v>
      </c>
      <c r="B180" s="6">
        <v>438</v>
      </c>
      <c r="C180" s="7" t="str">
        <f t="shared" si="6"/>
        <v>Premium5color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8"/>
        <v>color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IFERROR(VLOOKUP(B180,input_388101!L:R,7,FALSE),VLOOKUP(tables_388101!C180,input_388101!A:H,8,FALSE))</f>
        <v>330.24</v>
      </c>
      <c r="P180" s="46">
        <f ca="1">O180/SUM(O:O)</f>
        <v>1.2900000000000038E-3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input_388101!A$2</f>
        <v>388101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8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IFERROR(VLOOKUP(B181,input_388101!L:R,7,FALSE),VLOOKUP(tables_388101!C181,input_388101!A:H,8,FALSE))</f>
        <v>756.8</v>
      </c>
      <c r="P181" s="46">
        <f ca="1">O181/SUM(O:O)</f>
        <v>2.9562500000000084E-3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input_388101!A$2</f>
        <v>388101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8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IFERROR(VLOOKUP(B182,input_388101!L:R,7,FALSE),VLOOKUP(tables_388101!C182,input_388101!A:H,8,FALSE))</f>
        <v>681.12</v>
      </c>
      <c r="P182" s="46">
        <f ca="1">O182/SUM(O:O)</f>
        <v>2.660625000000008E-3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input_388101!A$2</f>
        <v>388101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8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IFERROR(VLOOKUP(B183,input_388101!L:R,7,FALSE),VLOOKUP(tables_388101!C183,input_388101!A:H,8,FALSE))</f>
        <v>75.680000000000007</v>
      </c>
      <c r="P183" s="46">
        <f ca="1">O183/SUM(O:O)</f>
        <v>2.9562500000000091E-4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input_388101!A$2</f>
        <v>388101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8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IFERROR(VLOOKUP(B184,input_388101!L:R,7,FALSE),VLOOKUP(tables_388101!C184,input_388101!A:H,8,FALSE))</f>
        <v>152</v>
      </c>
      <c r="P184" s="46">
        <f ca="1">O184/SUM(O:O)</f>
        <v>5.9375000000000172E-4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input_388101!A$2</f>
        <v>388101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8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IFERROR(VLOOKUP(B185,input_388101!L:R,7,FALSE),VLOOKUP(tables_388101!C185,input_388101!A:H,8,FALSE))</f>
        <v>8</v>
      </c>
      <c r="P185" s="46">
        <f ca="1">O185/SUM(O:O)</f>
        <v>3.1250000000000096E-5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input_388101!A$2</f>
        <v>388101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8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IFERROR(VLOOKUP(B186,input_388101!L:R,7,FALSE),VLOOKUP(tables_388101!C186,input_388101!A:H,8,FALSE))</f>
        <v>756.8</v>
      </c>
      <c r="P186" s="46">
        <f ca="1">O186/SUM(O:O)</f>
        <v>2.9562500000000084E-3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input_388101!A$2</f>
        <v>388101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8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IFERROR(VLOOKUP(B187,input_388101!L:R,7,FALSE),VLOOKUP(tables_388101!C187,input_388101!A:H,8,FALSE))</f>
        <v>681.12</v>
      </c>
      <c r="P187" s="46">
        <f ca="1">O187/SUM(O:O)</f>
        <v>2.660625000000008E-3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input_388101!A$2</f>
        <v>388101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8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IFERROR(VLOOKUP(B188,input_388101!L:R,7,FALSE),VLOOKUP(tables_388101!C188,input_388101!A:H,8,FALSE))</f>
        <v>75.680000000000007</v>
      </c>
      <c r="P188" s="46">
        <f ca="1">O188/SUM(O:O)</f>
        <v>2.9562500000000091E-4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input_388101!A$2</f>
        <v>388101</v>
      </c>
      <c r="B189" s="8">
        <v>465</v>
      </c>
      <c r="C189" s="7" t="str">
        <f t="shared" si="6"/>
        <v>PremiumSS4color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8"/>
        <v>color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IFERROR(VLOOKUP(B189,input_388101!L:R,7,FALSE),VLOOKUP(tables_388101!C189,input_388101!A:H,8,FALSE))</f>
        <v>729.6</v>
      </c>
      <c r="P189" s="46">
        <f ca="1">O189/SUM(O:O)</f>
        <v>2.8500000000000083E-3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input_388101!A$2</f>
        <v>388101</v>
      </c>
      <c r="B190" s="6">
        <v>466</v>
      </c>
      <c r="C190" s="7" t="str">
        <f t="shared" si="6"/>
        <v>PremiumSS5color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8"/>
        <v>color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IFERROR(VLOOKUP(B190,input_388101!L:R,7,FALSE),VLOOKUP(tables_388101!C190,input_388101!A:H,8,FALSE))</f>
        <v>38.4</v>
      </c>
      <c r="P190" s="46">
        <f ca="1">O190/SUM(O:O)</f>
        <v>1.5000000000000045E-4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input_388101!A$2</f>
        <v>388101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8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IFERROR(VLOOKUP(B191,input_388101!L:R,7,FALSE),VLOOKUP(tables_388101!C191,input_388101!A:H,8,FALSE))</f>
        <v>152</v>
      </c>
      <c r="P191" s="46">
        <f ca="1">O191/SUM(O:O)</f>
        <v>5.9375000000000172E-4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input_388101!A$2</f>
        <v>388101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8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IFERROR(VLOOKUP(B192,input_388101!L:R,7,FALSE),VLOOKUP(tables_388101!C192,input_388101!A:H,8,FALSE))</f>
        <v>8</v>
      </c>
      <c r="P192" s="46">
        <f ca="1">O192/SUM(O:O)</f>
        <v>3.1250000000000096E-5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input_388101!A$2</f>
        <v>388101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8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IFERROR(VLOOKUP(B193,input_388101!L:R,7,FALSE),VLOOKUP(tables_388101!C193,input_388101!A:H,8,FALSE))</f>
        <v>756.8</v>
      </c>
      <c r="P193" s="46">
        <f ca="1">O193/SUM(O:O)</f>
        <v>2.9562500000000084E-3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input_388101!A$2</f>
        <v>388101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si="8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IFERROR(VLOOKUP(B194,input_388101!L:R,7,FALSE),VLOOKUP(tables_388101!C194,input_388101!A:H,8,FALSE))</f>
        <v>681.12</v>
      </c>
      <c r="P194" s="46">
        <f ca="1">O194/SUM(O:O)</f>
        <v>2.660625000000008E-3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input_388101!A$2</f>
        <v>388101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ref="G195:G258" si="11">IF(K195="green","color","")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IFERROR(VLOOKUP(B195,input_388101!L:R,7,FALSE),VLOOKUP(tables_388101!C195,input_388101!A:H,8,FALSE))</f>
        <v>75.680000000000007</v>
      </c>
      <c r="P195" s="46">
        <f ca="1">O195/SUM(O:O)</f>
        <v>2.9562500000000091E-4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input_388101!A$2</f>
        <v>388101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1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IFERROR(VLOOKUP(B196,input_388101!L:R,7,FALSE),VLOOKUP(tables_388101!C196,input_388101!A:H,8,FALSE))</f>
        <v>152</v>
      </c>
      <c r="P196" s="46">
        <f ca="1">O196/SUM(O:O)</f>
        <v>5.9375000000000172E-4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input_388101!A$2</f>
        <v>388101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1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IFERROR(VLOOKUP(B197,input_388101!L:R,7,FALSE),VLOOKUP(tables_388101!C197,input_388101!A:H,8,FALSE))</f>
        <v>8</v>
      </c>
      <c r="P197" s="46">
        <f ca="1">O197/SUM(O:O)</f>
        <v>3.1250000000000096E-5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input_388101!A$2</f>
        <v>388101</v>
      </c>
      <c r="B198" s="6">
        <v>476</v>
      </c>
      <c r="C198" s="7" t="str">
        <f t="shared" si="9"/>
        <v>Premium3color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1"/>
        <v>color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IFERROR(VLOOKUP(B198,input_388101!L:R,7,FALSE),VLOOKUP(tables_388101!C198,input_388101!A:H,8,FALSE))</f>
        <v>3302.4</v>
      </c>
      <c r="P198" s="46">
        <f ca="1">O198/SUM(O:O)</f>
        <v>1.2900000000000038E-2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input_388101!A$2</f>
        <v>388101</v>
      </c>
      <c r="B199" s="6">
        <v>477</v>
      </c>
      <c r="C199" s="7" t="str">
        <f t="shared" si="9"/>
        <v>Premium4color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1"/>
        <v>color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IFERROR(VLOOKUP(B199,input_388101!L:R,7,FALSE),VLOOKUP(tables_388101!C199,input_388101!A:H,8,FALSE))</f>
        <v>2972.16</v>
      </c>
      <c r="P199" s="46">
        <f ca="1">O199/SUM(O:O)</f>
        <v>1.1610000000000033E-2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input_388101!A$2</f>
        <v>388101</v>
      </c>
      <c r="B200" s="6">
        <v>478</v>
      </c>
      <c r="C200" s="7" t="str">
        <f t="shared" si="9"/>
        <v>Premium5color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1"/>
        <v>color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IFERROR(VLOOKUP(B200,input_388101!L:R,7,FALSE),VLOOKUP(tables_388101!C200,input_388101!A:H,8,FALSE))</f>
        <v>330.24</v>
      </c>
      <c r="P200" s="46">
        <f ca="1">O200/SUM(O:O)</f>
        <v>1.2900000000000038E-3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input_388101!A$2</f>
        <v>388101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1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IFERROR(VLOOKUP(B201,input_388101!L:R,7,FALSE),VLOOKUP(tables_388101!C201,input_388101!A:H,8,FALSE))</f>
        <v>152</v>
      </c>
      <c r="P201" s="46">
        <f ca="1">O201/SUM(O:O)</f>
        <v>5.9375000000000172E-4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input_388101!A$2</f>
        <v>388101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1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IFERROR(VLOOKUP(B202,input_388101!L:R,7,FALSE),VLOOKUP(tables_388101!C202,input_388101!A:H,8,FALSE))</f>
        <v>8</v>
      </c>
      <c r="P202" s="46">
        <f ca="1">O202/SUM(O:O)</f>
        <v>3.1250000000000096E-5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input_388101!A$2</f>
        <v>388101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1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IFERROR(VLOOKUP(B203,input_388101!L:R,7,FALSE),VLOOKUP(tables_388101!C203,input_388101!A:H,8,FALSE))</f>
        <v>756.8</v>
      </c>
      <c r="P203" s="46">
        <f ca="1">O203/SUM(O:O)</f>
        <v>2.9562500000000084E-3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input_388101!A$2</f>
        <v>388101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1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IFERROR(VLOOKUP(B204,input_388101!L:R,7,FALSE),VLOOKUP(tables_388101!C204,input_388101!A:H,8,FALSE))</f>
        <v>681.12</v>
      </c>
      <c r="P204" s="46">
        <f ca="1">O204/SUM(O:O)</f>
        <v>2.660625000000008E-3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input_388101!A$2</f>
        <v>388101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1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IFERROR(VLOOKUP(B205,input_388101!L:R,7,FALSE),VLOOKUP(tables_388101!C205,input_388101!A:H,8,FALSE))</f>
        <v>75.680000000000007</v>
      </c>
      <c r="P205" s="46">
        <f ca="1">O205/SUM(O:O)</f>
        <v>2.9562500000000091E-4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input_388101!A$2</f>
        <v>388101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1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IFERROR(VLOOKUP(B206,input_388101!L:R,7,FALSE),VLOOKUP(tables_388101!C206,input_388101!A:H,8,FALSE))</f>
        <v>152</v>
      </c>
      <c r="P206" s="46">
        <f ca="1">O206/SUM(O:O)</f>
        <v>5.9375000000000172E-4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input_388101!A$2</f>
        <v>388101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1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IFERROR(VLOOKUP(B207,input_388101!L:R,7,FALSE),VLOOKUP(tables_388101!C207,input_388101!A:H,8,FALSE))</f>
        <v>8</v>
      </c>
      <c r="P207" s="46">
        <f ca="1">O207/SUM(O:O)</f>
        <v>3.1250000000000096E-5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input_388101!A$2</f>
        <v>388101</v>
      </c>
      <c r="B208" s="6">
        <v>494</v>
      </c>
      <c r="C208" s="7" t="str">
        <f t="shared" si="9"/>
        <v>PremiumSS4color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1"/>
        <v>color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IFERROR(VLOOKUP(B208,input_388101!L:R,7,FALSE),VLOOKUP(tables_388101!C208,input_388101!A:H,8,FALSE))</f>
        <v>729.6</v>
      </c>
      <c r="P208" s="46">
        <f ca="1">O208/SUM(O:O)</f>
        <v>2.8500000000000083E-3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input_388101!A$2</f>
        <v>388101</v>
      </c>
      <c r="B209" s="6">
        <v>495</v>
      </c>
      <c r="C209" s="7" t="str">
        <f t="shared" si="9"/>
        <v>PremiumSS5color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1"/>
        <v>color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IFERROR(VLOOKUP(B209,input_388101!L:R,7,FALSE),VLOOKUP(tables_388101!C209,input_388101!A:H,8,FALSE))</f>
        <v>38.4</v>
      </c>
      <c r="P209" s="46">
        <f ca="1">O209/SUM(O:O)</f>
        <v>1.5000000000000045E-4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input_388101!A$2</f>
        <v>388101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1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IFERROR(VLOOKUP(B210,input_388101!L:R,7,FALSE),VLOOKUP(tables_388101!C210,input_388101!A:H,8,FALSE))</f>
        <v>756.8</v>
      </c>
      <c r="P210" s="46">
        <f ca="1">O210/SUM(O:O)</f>
        <v>2.9562500000000084E-3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input_388101!A$2</f>
        <v>388101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1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IFERROR(VLOOKUP(B211,input_388101!L:R,7,FALSE),VLOOKUP(tables_388101!C211,input_388101!A:H,8,FALSE))</f>
        <v>681.12</v>
      </c>
      <c r="P211" s="46">
        <f ca="1">O211/SUM(O:O)</f>
        <v>2.660625000000008E-3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input_388101!A$2</f>
        <v>388101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1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IFERROR(VLOOKUP(B212,input_388101!L:R,7,FALSE),VLOOKUP(tables_388101!C212,input_388101!A:H,8,FALSE))</f>
        <v>75.680000000000007</v>
      </c>
      <c r="P212" s="46">
        <f ca="1">O212/SUM(O:O)</f>
        <v>2.9562500000000091E-4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input_388101!A$2</f>
        <v>388101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1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IFERROR(VLOOKUP(B213,input_388101!L:R,7,FALSE),VLOOKUP(tables_388101!C213,input_388101!A:H,8,FALSE))</f>
        <v>152</v>
      </c>
      <c r="P213" s="46">
        <f ca="1">O213/SUM(O:O)</f>
        <v>5.9375000000000172E-4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input_388101!A$2</f>
        <v>388101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1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IFERROR(VLOOKUP(B214,input_388101!L:R,7,FALSE),VLOOKUP(tables_388101!C214,input_388101!A:H,8,FALSE))</f>
        <v>8</v>
      </c>
      <c r="P214" s="46">
        <f ca="1">O214/SUM(O:O)</f>
        <v>3.1250000000000096E-5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input_388101!A$2</f>
        <v>388101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1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IFERROR(VLOOKUP(B215,input_388101!L:R,7,FALSE),VLOOKUP(tables_388101!C215,input_388101!A:H,8,FALSE))</f>
        <v>152</v>
      </c>
      <c r="P215" s="46">
        <f ca="1">O215/SUM(O:O)</f>
        <v>5.9375000000000172E-4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input_388101!A$2</f>
        <v>388101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1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IFERROR(VLOOKUP(B216,input_388101!L:R,7,FALSE),VLOOKUP(tables_388101!C216,input_388101!A:H,8,FALSE))</f>
        <v>8</v>
      </c>
      <c r="P216" s="46">
        <f ca="1">O216/SUM(O:O)</f>
        <v>3.1250000000000096E-5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input_388101!A$2</f>
        <v>388101</v>
      </c>
      <c r="B217" s="6">
        <v>588</v>
      </c>
      <c r="C217" s="7" t="str">
        <f t="shared" si="9"/>
        <v>Premium3color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1"/>
        <v>color</v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IFERROR(VLOOKUP(B217,input_388101!L:R,7,FALSE),VLOOKUP(tables_388101!C217,input_388101!A:H,8,FALSE))</f>
        <v>3302.4</v>
      </c>
      <c r="P217" s="46">
        <f ca="1">O217/SUM(O:O)</f>
        <v>1.2900000000000038E-2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input_388101!A$2</f>
        <v>388101</v>
      </c>
      <c r="B218" s="6">
        <v>589</v>
      </c>
      <c r="C218" s="7" t="str">
        <f t="shared" si="9"/>
        <v>Premium4color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1"/>
        <v>color</v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IFERROR(VLOOKUP(B218,input_388101!L:R,7,FALSE),VLOOKUP(tables_388101!C218,input_388101!A:H,8,FALSE))</f>
        <v>2972.16</v>
      </c>
      <c r="P218" s="46">
        <f ca="1">O218/SUM(O:O)</f>
        <v>1.1610000000000033E-2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input_388101!A$2</f>
        <v>388101</v>
      </c>
      <c r="B219" s="6">
        <v>590</v>
      </c>
      <c r="C219" s="7" t="str">
        <f t="shared" si="9"/>
        <v>Premium5color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1"/>
        <v>color</v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IFERROR(VLOOKUP(B219,input_388101!L:R,7,FALSE),VLOOKUP(tables_388101!C219,input_388101!A:H,8,FALSE))</f>
        <v>330.24</v>
      </c>
      <c r="P219" s="46">
        <f ca="1">O219/SUM(O:O)</f>
        <v>1.2900000000000038E-3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input_388101!A$2</f>
        <v>388101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1"/>
        <v/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IFERROR(VLOOKUP(B220,input_388101!L:R,7,FALSE),VLOOKUP(tables_388101!C220,input_388101!A:H,8,FALSE))</f>
        <v>756.8</v>
      </c>
      <c r="P220" s="46">
        <f ca="1">O220/SUM(O:O)</f>
        <v>2.9562500000000084E-3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input_388101!A$2</f>
        <v>388101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1"/>
        <v/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IFERROR(VLOOKUP(B221,input_388101!L:R,7,FALSE),VLOOKUP(tables_388101!C221,input_388101!A:H,8,FALSE))</f>
        <v>681.12</v>
      </c>
      <c r="P221" s="46">
        <f ca="1">O221/SUM(O:O)</f>
        <v>2.660625000000008E-3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input_388101!A$2</f>
        <v>388101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1"/>
        <v/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IFERROR(VLOOKUP(B222,input_388101!L:R,7,FALSE),VLOOKUP(tables_388101!C222,input_388101!A:H,8,FALSE))</f>
        <v>75.680000000000007</v>
      </c>
      <c r="P222" s="46">
        <f ca="1">O222/SUM(O:O)</f>
        <v>2.9562500000000091E-4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input_388101!A$2</f>
        <v>388101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1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IFERROR(VLOOKUP(B223,input_388101!L:R,7,FALSE),VLOOKUP(tables_388101!C223,input_388101!A:H,8,FALSE))</f>
        <v>152</v>
      </c>
      <c r="P223" s="46">
        <f ca="1">O223/SUM(O:O)</f>
        <v>5.9375000000000172E-4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input_388101!A$2</f>
        <v>388101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1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IFERROR(VLOOKUP(B224,input_388101!L:R,7,FALSE),VLOOKUP(tables_388101!C224,input_388101!A:H,8,FALSE))</f>
        <v>8</v>
      </c>
      <c r="P224" s="46">
        <f ca="1">O224/SUM(O:O)</f>
        <v>3.1250000000000096E-5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input_388101!A$2</f>
        <v>388101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1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IFERROR(VLOOKUP(B225,input_388101!L:R,7,FALSE),VLOOKUP(tables_388101!C225,input_388101!A:H,8,FALSE))</f>
        <v>756.8</v>
      </c>
      <c r="P225" s="46">
        <f ca="1">O225/SUM(O:O)</f>
        <v>2.9562500000000084E-3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input_388101!A$2</f>
        <v>388101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1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IFERROR(VLOOKUP(B226,input_388101!L:R,7,FALSE),VLOOKUP(tables_388101!C226,input_388101!A:H,8,FALSE))</f>
        <v>681.12</v>
      </c>
      <c r="P226" s="46">
        <f ca="1">O226/SUM(O:O)</f>
        <v>2.660625000000008E-3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input_388101!A$2</f>
        <v>388101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1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IFERROR(VLOOKUP(B227,input_388101!L:R,7,FALSE),VLOOKUP(tables_388101!C227,input_388101!A:H,8,FALSE))</f>
        <v>75.680000000000007</v>
      </c>
      <c r="P227" s="46">
        <f ca="1">O227/SUM(O:O)</f>
        <v>2.9562500000000091E-4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input_388101!A$2</f>
        <v>388101</v>
      </c>
      <c r="B228" s="6">
        <v>599</v>
      </c>
      <c r="C228" s="7" t="str">
        <f t="shared" si="9"/>
        <v>Premium3color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1"/>
        <v>color</v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IFERROR(VLOOKUP(B228,input_388101!L:R,7,FALSE),VLOOKUP(tables_388101!C228,input_388101!A:H,8,FALSE))</f>
        <v>3302.4</v>
      </c>
      <c r="P228" s="46">
        <f ca="1">O228/SUM(O:O)</f>
        <v>1.2900000000000038E-2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input_388101!A$2</f>
        <v>388101</v>
      </c>
      <c r="B229" s="6">
        <v>600</v>
      </c>
      <c r="C229" s="7" t="str">
        <f t="shared" si="9"/>
        <v>Premium4color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1"/>
        <v>color</v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IFERROR(VLOOKUP(B229,input_388101!L:R,7,FALSE),VLOOKUP(tables_388101!C229,input_388101!A:H,8,FALSE))</f>
        <v>2972.16</v>
      </c>
      <c r="P229" s="46">
        <f ca="1">O229/SUM(O:O)</f>
        <v>1.1610000000000033E-2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input_388101!A$2</f>
        <v>388101</v>
      </c>
      <c r="B230" s="6">
        <v>601</v>
      </c>
      <c r="C230" s="7" t="str">
        <f t="shared" si="9"/>
        <v>Premium5color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1"/>
        <v>color</v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IFERROR(VLOOKUP(B230,input_388101!L:R,7,FALSE),VLOOKUP(tables_388101!C230,input_388101!A:H,8,FALSE))</f>
        <v>330.24</v>
      </c>
      <c r="P230" s="46">
        <f ca="1">O230/SUM(O:O)</f>
        <v>1.2900000000000038E-3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input_388101!A$2</f>
        <v>388101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1"/>
        <v/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IFERROR(VLOOKUP(B231,input_388101!L:R,7,FALSE),VLOOKUP(tables_388101!C231,input_388101!A:H,8,FALSE))</f>
        <v>152</v>
      </c>
      <c r="P231" s="46">
        <f ca="1">O231/SUM(O:O)</f>
        <v>5.9375000000000172E-4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input_388101!A$2</f>
        <v>388101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1"/>
        <v/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IFERROR(VLOOKUP(B232,input_388101!L:R,7,FALSE),VLOOKUP(tables_388101!C232,input_388101!A:H,8,FALSE))</f>
        <v>8</v>
      </c>
      <c r="P232" s="46">
        <f ca="1">O232/SUM(O:O)</f>
        <v>3.1250000000000096E-5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input_388101!A$2</f>
        <v>388101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1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IFERROR(VLOOKUP(B233,input_388101!L:R,7,FALSE),VLOOKUP(tables_388101!C233,input_388101!A:H,8,FALSE))</f>
        <v>756.8</v>
      </c>
      <c r="P233" s="46">
        <f ca="1">O233/SUM(O:O)</f>
        <v>2.9562500000000084E-3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input_388101!A$2</f>
        <v>388101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1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IFERROR(VLOOKUP(B234,input_388101!L:R,7,FALSE),VLOOKUP(tables_388101!C234,input_388101!A:H,8,FALSE))</f>
        <v>681.12</v>
      </c>
      <c r="P234" s="46">
        <f ca="1">O234/SUM(O:O)</f>
        <v>2.660625000000008E-3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input_388101!A$2</f>
        <v>388101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1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IFERROR(VLOOKUP(B235,input_388101!L:R,7,FALSE),VLOOKUP(tables_388101!C235,input_388101!A:H,8,FALSE))</f>
        <v>75.680000000000007</v>
      </c>
      <c r="P235" s="46">
        <f ca="1">O235/SUM(O:O)</f>
        <v>2.9562500000000091E-4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input_388101!A$2</f>
        <v>388101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1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IFERROR(VLOOKUP(B236,input_388101!L:R,7,FALSE),VLOOKUP(tables_388101!C236,input_388101!A:H,8,FALSE))</f>
        <v>152</v>
      </c>
      <c r="P236" s="46">
        <f ca="1">O236/SUM(O:O)</f>
        <v>5.9375000000000172E-4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input_388101!A$2</f>
        <v>388101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1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IFERROR(VLOOKUP(B237,input_388101!L:R,7,FALSE),VLOOKUP(tables_388101!C237,input_388101!A:H,8,FALSE))</f>
        <v>8</v>
      </c>
      <c r="P237" s="46">
        <f ca="1">O237/SUM(O:O)</f>
        <v>3.1250000000000096E-5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input_388101!A$2</f>
        <v>388101</v>
      </c>
      <c r="B238" s="6">
        <v>660</v>
      </c>
      <c r="C238" s="7" t="str">
        <f t="shared" si="9"/>
        <v>PremiumSS4color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1"/>
        <v>color</v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IFERROR(VLOOKUP(B238,input_388101!L:R,7,FALSE),VLOOKUP(tables_388101!C238,input_388101!A:H,8,FALSE))</f>
        <v>729.6</v>
      </c>
      <c r="P238" s="46">
        <f ca="1">O238/SUM(O:O)</f>
        <v>2.8500000000000083E-3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input_388101!A$2</f>
        <v>388101</v>
      </c>
      <c r="B239" s="6">
        <v>661</v>
      </c>
      <c r="C239" s="7" t="str">
        <f t="shared" si="9"/>
        <v>PremiumSS5color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1"/>
        <v>color</v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IFERROR(VLOOKUP(B239,input_388101!L:R,7,FALSE),VLOOKUP(tables_388101!C239,input_388101!A:H,8,FALSE))</f>
        <v>38.4</v>
      </c>
      <c r="P239" s="46">
        <f ca="1">O239/SUM(O:O)</f>
        <v>1.5000000000000045E-4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input_388101!A$2</f>
        <v>388101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1"/>
        <v/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IFERROR(VLOOKUP(B240,input_388101!L:R,7,FALSE),VLOOKUP(tables_388101!C240,input_388101!A:H,8,FALSE))</f>
        <v>756.8</v>
      </c>
      <c r="P240" s="46">
        <f ca="1">O240/SUM(O:O)</f>
        <v>2.9562500000000084E-3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input_388101!A$2</f>
        <v>388101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1"/>
        <v/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IFERROR(VLOOKUP(B241,input_388101!L:R,7,FALSE),VLOOKUP(tables_388101!C241,input_388101!A:H,8,FALSE))</f>
        <v>681.12</v>
      </c>
      <c r="P241" s="46">
        <f ca="1">O241/SUM(O:O)</f>
        <v>2.660625000000008E-3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input_388101!A$2</f>
        <v>388101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1"/>
        <v/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IFERROR(VLOOKUP(B242,input_388101!L:R,7,FALSE),VLOOKUP(tables_388101!C242,input_388101!A:H,8,FALSE))</f>
        <v>75.680000000000007</v>
      </c>
      <c r="P242" s="46">
        <f ca="1">O242/SUM(O:O)</f>
        <v>2.9562500000000091E-4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input_388101!A$2</f>
        <v>388101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1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IFERROR(VLOOKUP(B243,input_388101!L:R,7,FALSE),VLOOKUP(tables_388101!C243,input_388101!A:H,8,FALSE))</f>
        <v>756.8</v>
      </c>
      <c r="P243" s="46">
        <f ca="1">O243/SUM(O:O)</f>
        <v>2.9562500000000084E-3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input_388101!A$2</f>
        <v>388101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1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IFERROR(VLOOKUP(B244,input_388101!L:R,7,FALSE),VLOOKUP(tables_388101!C244,input_388101!A:H,8,FALSE))</f>
        <v>681.12</v>
      </c>
      <c r="P244" s="46">
        <f ca="1">O244/SUM(O:O)</f>
        <v>2.660625000000008E-3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input_388101!A$2</f>
        <v>388101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1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IFERROR(VLOOKUP(B245,input_388101!L:R,7,FALSE),VLOOKUP(tables_388101!C245,input_388101!A:H,8,FALSE))</f>
        <v>75.680000000000007</v>
      </c>
      <c r="P245" s="46">
        <f ca="1">O245/SUM(O:O)</f>
        <v>2.9562500000000091E-4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input_388101!A$2</f>
        <v>388101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1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IFERROR(VLOOKUP(B246,input_388101!L:R,7,FALSE),VLOOKUP(tables_388101!C246,input_388101!A:H,8,FALSE))</f>
        <v>756.8</v>
      </c>
      <c r="P246" s="46">
        <f ca="1">O246/SUM(O:O)</f>
        <v>2.9562500000000084E-3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input_388101!A$2</f>
        <v>388101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1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IFERROR(VLOOKUP(B247,input_388101!L:R,7,FALSE),VLOOKUP(tables_388101!C247,input_388101!A:H,8,FALSE))</f>
        <v>681.12</v>
      </c>
      <c r="P247" s="46">
        <f ca="1">O247/SUM(O:O)</f>
        <v>2.660625000000008E-3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input_388101!A$2</f>
        <v>388101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1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IFERROR(VLOOKUP(B248,input_388101!L:R,7,FALSE),VLOOKUP(tables_388101!C248,input_388101!A:H,8,FALSE))</f>
        <v>75.680000000000007</v>
      </c>
      <c r="P248" s="46">
        <f ca="1">O248/SUM(O:O)</f>
        <v>2.9562500000000091E-4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input_388101!A$2</f>
        <v>388101</v>
      </c>
      <c r="B249" s="60">
        <v>671</v>
      </c>
      <c r="C249" s="7" t="str">
        <f t="shared" si="9"/>
        <v>Premium3color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1"/>
        <v>color</v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IFERROR(VLOOKUP(B249,input_388101!L:R,7,FALSE),VLOOKUP(tables_388101!C249,input_388101!A:H,8,FALSE))</f>
        <v>3302.4</v>
      </c>
      <c r="P249" s="46">
        <f ca="1">O249/SUM(O:O)</f>
        <v>1.2900000000000038E-2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input_388101!A$2</f>
        <v>388101</v>
      </c>
      <c r="B250" s="60">
        <v>672</v>
      </c>
      <c r="C250" s="7" t="str">
        <f t="shared" si="9"/>
        <v>Premium4color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1"/>
        <v>color</v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IFERROR(VLOOKUP(B250,input_388101!L:R,7,FALSE),VLOOKUP(tables_388101!C250,input_388101!A:H,8,FALSE))</f>
        <v>2972.16</v>
      </c>
      <c r="P250" s="46">
        <f ca="1">O250/SUM(O:O)</f>
        <v>1.1610000000000033E-2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input_388101!A$2</f>
        <v>388101</v>
      </c>
      <c r="B251" s="60">
        <v>673</v>
      </c>
      <c r="C251" s="7" t="str">
        <f t="shared" si="9"/>
        <v>Premium5color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1"/>
        <v>color</v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IFERROR(VLOOKUP(B251,input_388101!L:R,7,FALSE),VLOOKUP(tables_388101!C251,input_388101!A:H,8,FALSE))</f>
        <v>330.24</v>
      </c>
      <c r="P251" s="46">
        <f ca="1">O251/SUM(O:O)</f>
        <v>1.2900000000000038E-3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input_388101!A$2</f>
        <v>388101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1"/>
        <v/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IFERROR(VLOOKUP(B252,input_388101!L:R,7,FALSE),VLOOKUP(tables_388101!C252,input_388101!A:H,8,FALSE))</f>
        <v>152</v>
      </c>
      <c r="P252" s="46">
        <f ca="1">O252/SUM(O:O)</f>
        <v>5.9375000000000172E-4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input_388101!A$2</f>
        <v>388101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1"/>
        <v/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IFERROR(VLOOKUP(B253,input_388101!L:R,7,FALSE),VLOOKUP(tables_388101!C253,input_388101!A:H,8,FALSE))</f>
        <v>8</v>
      </c>
      <c r="P253" s="46">
        <f ca="1">O253/SUM(O:O)</f>
        <v>3.1250000000000096E-5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input_388101!A$2</f>
        <v>388101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1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IFERROR(VLOOKUP(B254,input_388101!L:R,7,FALSE),VLOOKUP(tables_388101!C254,input_388101!A:H,8,FALSE))</f>
        <v>152</v>
      </c>
      <c r="P254" s="46">
        <f ca="1">O254/SUM(O:O)</f>
        <v>5.9375000000000172E-4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input_388101!A$2</f>
        <v>388101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1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IFERROR(VLOOKUP(B255,input_388101!L:R,7,FALSE),VLOOKUP(tables_388101!C255,input_388101!A:H,8,FALSE))</f>
        <v>8</v>
      </c>
      <c r="P255" s="46">
        <f ca="1">O255/SUM(O:O)</f>
        <v>3.1250000000000096E-5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input_388101!A$2</f>
        <v>388101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 t="str">
        <f t="shared" si="11"/>
        <v/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IFERROR(VLOOKUP(B256,input_388101!L:R,7,FALSE),VLOOKUP(tables_388101!C256,input_388101!A:H,8,FALSE))</f>
        <v>1511.68</v>
      </c>
      <c r="P256" s="46">
        <f ca="1">O256/SUM(O:O)</f>
        <v>5.9050000000000179E-3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input_388101!A$2</f>
        <v>388101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 t="str">
        <f t="shared" si="11"/>
        <v/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IFERROR(VLOOKUP(B257,input_388101!L:R,7,FALSE),VLOOKUP(tables_388101!C257,input_388101!A:H,8,FALSE))</f>
        <v>1.92</v>
      </c>
      <c r="P257" s="46">
        <f ca="1">O257/SUM(O:O)</f>
        <v>7.5000000000000222E-6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input_388101!A$2</f>
        <v>388101</v>
      </c>
      <c r="B258" s="60">
        <v>730</v>
      </c>
      <c r="C258" s="7" t="str">
        <f t="shared" ref="C258:C271" si="12">D258&amp;J258&amp;E258&amp;F258&amp;G258</f>
        <v>Premium4R3lesscolor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 t="str">
        <f t="shared" si="11"/>
        <v>color</v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IFERROR(VLOOKUP(B258,input_388101!L:R,7,FALSE),VLOOKUP(tables_388101!C258,input_388101!A:H,8,FALSE))</f>
        <v>6443.52</v>
      </c>
      <c r="P258" s="46">
        <f ca="1">O258/SUM(O:O)</f>
        <v>2.5170000000000078E-2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input_388101!A$2</f>
        <v>388101</v>
      </c>
      <c r="B259" s="60">
        <v>731</v>
      </c>
      <c r="C259" s="7" t="str">
        <f t="shared" si="12"/>
        <v>Premium5R3lesscolor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 t="str">
        <f t="shared" ref="G259:G300" si="14">IF(K259="green","color","")</f>
        <v>color</v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IFERROR(VLOOKUP(B259,input_388101!L:R,7,FALSE),VLOOKUP(tables_388101!C259,input_388101!A:H,8,FALSE))</f>
        <v>161.28</v>
      </c>
      <c r="P259" s="46">
        <f ca="1">O259/SUM(O:O)</f>
        <v>6.3000000000000187E-4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input_388101!A$2</f>
        <v>388101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 t="str">
        <f t="shared" si="14"/>
        <v/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IFERROR(VLOOKUP(B260,input_388101!L:R,7,FALSE),VLOOKUP(tables_388101!C260,input_388101!A:H,8,FALSE))</f>
        <v>160</v>
      </c>
      <c r="P260" s="46">
        <f ca="1">O260/SUM(O:O)</f>
        <v>6.2500000000000186E-4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input_388101!A$2</f>
        <v>388101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 t="str">
        <f t="shared" si="14"/>
        <v/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IFERROR(VLOOKUP(B261,input_388101!L:R,7,FALSE),VLOOKUP(tables_388101!C261,input_388101!A:H,8,FALSE))</f>
        <v>160</v>
      </c>
      <c r="P261" s="46">
        <f ca="1">O261/SUM(O:O)</f>
        <v>6.2500000000000186E-4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input_388101!A$2</f>
        <v>388101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4"/>
        <v/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IFERROR(VLOOKUP(B262,input_388101!L:R,7,FALSE),VLOOKUP(tables_388101!C262,input_388101!A:H,8,FALSE))</f>
        <v>152</v>
      </c>
      <c r="P262" s="46">
        <f ca="1">O262/SUM(O:O)</f>
        <v>5.9375000000000172E-4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input_388101!A$2</f>
        <v>388101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4"/>
        <v/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IFERROR(VLOOKUP(B263,input_388101!L:R,7,FALSE),VLOOKUP(tables_388101!C263,input_388101!A:H,8,FALSE))</f>
        <v>8</v>
      </c>
      <c r="P263" s="46">
        <f ca="1">O263/SUM(O:O)</f>
        <v>3.1250000000000096E-5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input_388101!A$2</f>
        <v>388101</v>
      </c>
      <c r="B264" s="60">
        <v>772</v>
      </c>
      <c r="C264" s="7" t="str">
        <f t="shared" si="12"/>
        <v>PremiumSS4color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4"/>
        <v>color</v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IFERROR(VLOOKUP(B264,input_388101!L:R,7,FALSE),VLOOKUP(tables_388101!C264,input_388101!A:H,8,FALSE))</f>
        <v>729.6</v>
      </c>
      <c r="P264" s="46">
        <f ca="1">O264/SUM(O:O)</f>
        <v>2.8500000000000083E-3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input_388101!A$2</f>
        <v>388101</v>
      </c>
      <c r="B265" s="60">
        <v>773</v>
      </c>
      <c r="C265" s="7" t="str">
        <f t="shared" si="12"/>
        <v>PremiumSS5color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4"/>
        <v>color</v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IFERROR(VLOOKUP(B265,input_388101!L:R,7,FALSE),VLOOKUP(tables_388101!C265,input_388101!A:H,8,FALSE))</f>
        <v>38.4</v>
      </c>
      <c r="P265" s="46">
        <f ca="1">O265/SUM(O:O)</f>
        <v>1.5000000000000045E-4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input_388101!A$2</f>
        <v>388101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 t="str">
        <f t="shared" si="14"/>
        <v/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IFERROR(VLOOKUP(B266,input_388101!L:R,7,FALSE),VLOOKUP(tables_388101!C266,input_388101!A:H,8,FALSE))</f>
        <v>756.8</v>
      </c>
      <c r="P266" s="46">
        <f ca="1">O266/SUM(O:O)</f>
        <v>2.9562500000000084E-3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input_388101!A$2</f>
        <v>388101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 t="str">
        <f t="shared" si="14"/>
        <v/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IFERROR(VLOOKUP(B267,input_388101!L:R,7,FALSE),VLOOKUP(tables_388101!C267,input_388101!A:H,8,FALSE))</f>
        <v>681.12</v>
      </c>
      <c r="P267" s="46">
        <f ca="1">O267/SUM(O:O)</f>
        <v>2.660625000000008E-3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input_388101!A$2</f>
        <v>388101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 t="str">
        <f t="shared" si="14"/>
        <v/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IFERROR(VLOOKUP(B268,input_388101!L:R,7,FALSE),VLOOKUP(tables_388101!C268,input_388101!A:H,8,FALSE))</f>
        <v>75.680000000000007</v>
      </c>
      <c r="P268" s="46">
        <f ca="1">O268/SUM(O:O)</f>
        <v>2.9562500000000091E-4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input_388101!A$2</f>
        <v>388101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 t="str">
        <f t="shared" si="14"/>
        <v/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IFERROR(VLOOKUP(B269,input_388101!L:R,7,FALSE),VLOOKUP(tables_388101!C269,input_388101!A:H,8,FALSE))</f>
        <v>756.8</v>
      </c>
      <c r="P269" s="46">
        <f ca="1">O269/SUM(O:O)</f>
        <v>2.9562500000000084E-3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input_388101!A$2</f>
        <v>388101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 t="str">
        <f t="shared" si="14"/>
        <v/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IFERROR(VLOOKUP(B270,input_388101!L:R,7,FALSE),VLOOKUP(tables_388101!C270,input_388101!A:H,8,FALSE))</f>
        <v>681.12</v>
      </c>
      <c r="P270" s="46">
        <f ca="1">O270/SUM(O:O)</f>
        <v>2.660625000000008E-3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input_388101!A$2</f>
        <v>388101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 t="str">
        <f t="shared" si="14"/>
        <v/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IFERROR(VLOOKUP(B271,input_388101!L:R,7,FALSE),VLOOKUP(tables_388101!C271,input_388101!A:H,8,FALSE))</f>
        <v>75.680000000000007</v>
      </c>
      <c r="P271" s="46">
        <f ca="1">O271/SUM(O:O)</f>
        <v>2.9562500000000091E-4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input_388101!A$2</f>
        <v>388101</v>
      </c>
      <c r="B272" s="83">
        <v>848</v>
      </c>
      <c r="C272" s="7" t="str">
        <f t="shared" ref="C272:C283" si="15">D272&amp;J272&amp;E272&amp;F272&amp;G272</f>
        <v>PremiumSS5R5only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tr">
        <f t="shared" si="14"/>
        <v/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IFERROR(VLOOKUP(B272,input_388101!L:R,7,FALSE),VLOOKUP(tables_388101!C272,input_388101!A:H,8,FALSE))</f>
        <v>160</v>
      </c>
      <c r="P272" s="46">
        <f ca="1">O272/SUM(O:O)</f>
        <v>6.2500000000000186E-4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input_388101!A$2</f>
        <v>388101</v>
      </c>
      <c r="B273" s="83">
        <v>850</v>
      </c>
      <c r="C273" s="7" t="str">
        <f t="shared" si="15"/>
        <v>PremiumSS5R5onlycolor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 t="str">
        <f t="shared" si="14"/>
        <v>color</v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IFERROR(VLOOKUP(B273,input_388101!L:R,7,FALSE),VLOOKUP(tables_388101!C273,input_388101!A:H,8,FALSE))</f>
        <v>768</v>
      </c>
      <c r="P273" s="46">
        <f ca="1">O273/SUM(O:O)</f>
        <v>3.0000000000000087E-3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input_388101!A$2</f>
        <v>388101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tr">
        <f t="shared" si="14"/>
        <v/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IFERROR(VLOOKUP(B274,input_388101!L:R,7,FALSE),VLOOKUP(tables_388101!C274,input_388101!A:H,8,FALSE))</f>
        <v>1511.68</v>
      </c>
      <c r="P274" s="46">
        <f ca="1">O274/SUM(O:O)</f>
        <v>5.9050000000000179E-3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input_388101!A$2</f>
        <v>388101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tr">
        <f t="shared" si="14"/>
        <v/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IFERROR(VLOOKUP(B275,input_388101!L:R,7,FALSE),VLOOKUP(tables_388101!C275,input_388101!A:H,8,FALSE))</f>
        <v>1.92</v>
      </c>
      <c r="P275" s="46">
        <f ca="1">O275/SUM(O:O)</f>
        <v>7.5000000000000222E-6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input_388101!A$2</f>
        <v>388101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tr">
        <f t="shared" si="14"/>
        <v/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IFERROR(VLOOKUP(B276,input_388101!L:R,7,FALSE),VLOOKUP(tables_388101!C276,input_388101!A:H,8,FALSE))</f>
        <v>1511.68</v>
      </c>
      <c r="P276" s="46">
        <f ca="1">O276/SUM(O:O)</f>
        <v>5.9050000000000179E-3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input_388101!A$2</f>
        <v>388101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tr">
        <f t="shared" si="14"/>
        <v/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IFERROR(VLOOKUP(B277,input_388101!L:R,7,FALSE),VLOOKUP(tables_388101!C277,input_388101!A:H,8,FALSE))</f>
        <v>1.92</v>
      </c>
      <c r="P277" s="46">
        <f ca="1">O277/SUM(O:O)</f>
        <v>7.5000000000000222E-6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input_388101!A$2</f>
        <v>388101</v>
      </c>
      <c r="B278" s="83">
        <v>862</v>
      </c>
      <c r="C278" s="7" t="str">
        <f t="shared" si="15"/>
        <v>Premium4R3less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tr">
        <f t="shared" si="14"/>
        <v/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IFERROR(VLOOKUP(B278,input_388101!L:R,7,FALSE),VLOOKUP(tables_388101!C278,input_388101!A:H,8,FALSE))</f>
        <v>1511.68</v>
      </c>
      <c r="P278" s="46">
        <f ca="1">O278/SUM(O:O)</f>
        <v>5.9050000000000179E-3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input_388101!A$2</f>
        <v>388101</v>
      </c>
      <c r="B279" s="83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tr">
        <f t="shared" si="14"/>
        <v/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IFERROR(VLOOKUP(B279,input_388101!L:R,7,FALSE),VLOOKUP(tables_388101!C279,input_388101!A:H,8,FALSE))</f>
        <v>1.92</v>
      </c>
      <c r="P279" s="46">
        <f ca="1">O279/SUM(O:O)</f>
        <v>7.5000000000000222E-6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input_388101!A$2</f>
        <v>388101</v>
      </c>
      <c r="B280" s="83">
        <v>864</v>
      </c>
      <c r="C280" s="7" t="str">
        <f t="shared" si="15"/>
        <v>Premium4R3lesscolor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 t="str">
        <f t="shared" si="14"/>
        <v>color</v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IFERROR(VLOOKUP(B280,input_388101!L:R,7,FALSE),VLOOKUP(tables_388101!C280,input_388101!A:H,8,FALSE))</f>
        <v>6443.52</v>
      </c>
      <c r="P280" s="46">
        <f ca="1">O280/SUM(O:O)</f>
        <v>2.5170000000000078E-2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input_388101!A$2</f>
        <v>388101</v>
      </c>
      <c r="B281" s="83">
        <v>865</v>
      </c>
      <c r="C281" s="7" t="str">
        <f t="shared" si="15"/>
        <v>Premium5R3lesscolor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 t="str">
        <f t="shared" si="14"/>
        <v>color</v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IFERROR(VLOOKUP(B281,input_388101!L:R,7,FALSE),VLOOKUP(tables_388101!C281,input_388101!A:H,8,FALSE))</f>
        <v>161.28</v>
      </c>
      <c r="P281" s="46">
        <f ca="1">O281/SUM(O:O)</f>
        <v>6.3000000000000187E-4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input_388101!A$2</f>
        <v>388101</v>
      </c>
      <c r="B282" s="83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tr">
        <f t="shared" si="14"/>
        <v/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IFERROR(VLOOKUP(B282,input_388101!L:R,7,FALSE),VLOOKUP(tables_388101!C282,input_388101!A:H,8,FALSE))</f>
        <v>160</v>
      </c>
      <c r="P282" s="46">
        <f ca="1">O282/SUM(O:O)</f>
        <v>6.2500000000000186E-4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input_388101!A$2</f>
        <v>388101</v>
      </c>
      <c r="B283" s="83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tr">
        <f t="shared" si="14"/>
        <v/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IFERROR(VLOOKUP(B283,input_388101!L:R,7,FALSE),VLOOKUP(tables_388101!C283,input_388101!A:H,8,FALSE))</f>
        <v>160</v>
      </c>
      <c r="P283" s="46">
        <f ca="1">O283/SUM(O:O)</f>
        <v>6.2500000000000186E-4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input_388101!A$2</f>
        <v>388101</v>
      </c>
      <c r="B284" s="83">
        <v>742</v>
      </c>
      <c r="C284" s="7" t="str">
        <f t="shared" ref="C284" si="17">D284&amp;J284&amp;E284&amp;F284&amp;G284</f>
        <v>PremiumSS5R5only</v>
      </c>
      <c r="D284" s="7" t="str">
        <f t="shared" ref="D284" si="18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 t="str">
        <f t="shared" si="14"/>
        <v/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IFERROR(VLOOKUP(B284,input_388101!L:R,7,FALSE),VLOOKUP(tables_388101!C284,input_388101!A:H,8,FALSE))</f>
        <v>160</v>
      </c>
      <c r="P284" s="46">
        <f ca="1">O284/SUM(O:O)</f>
        <v>6.2500000000000186E-4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input_388101!A$2</f>
        <v>388101</v>
      </c>
      <c r="B285" s="83">
        <v>744</v>
      </c>
      <c r="C285" s="7" t="str">
        <f t="shared" ref="C285:C290" si="19">D285&amp;J285&amp;E285&amp;F285&amp;G285</f>
        <v>PremiumSS5R5onlycolor</v>
      </c>
      <c r="D285" s="7" t="str">
        <f t="shared" ref="D285:D290" si="20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 t="str">
        <f t="shared" si="14"/>
        <v>color</v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IFERROR(VLOOKUP(B285,input_388101!L:R,7,FALSE),VLOOKUP(tables_388101!C285,input_388101!A:H,8,FALSE))</f>
        <v>768</v>
      </c>
      <c r="P285" s="46">
        <f ca="1">O285/SUM(O:O)</f>
        <v>3.0000000000000087E-3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input_388101!A$2</f>
        <v>388101</v>
      </c>
      <c r="B286" s="83">
        <v>746</v>
      </c>
      <c r="C286" s="7" t="str">
        <f t="shared" si="19"/>
        <v>Premium4R3less</v>
      </c>
      <c r="D286" s="7" t="str">
        <f t="shared" si="20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 t="str">
        <f t="shared" si="14"/>
        <v/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IFERROR(VLOOKUP(B286,input_388101!L:R,7,FALSE),VLOOKUP(tables_388101!C286,input_388101!A:H,8,FALSE))</f>
        <v>1511.68</v>
      </c>
      <c r="P286" s="46">
        <f ca="1">O286/SUM(O:O)</f>
        <v>5.9050000000000179E-3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input_388101!A$2</f>
        <v>388101</v>
      </c>
      <c r="B287" s="83">
        <v>747</v>
      </c>
      <c r="C287" s="7" t="str">
        <f t="shared" si="19"/>
        <v>Premium5R3less</v>
      </c>
      <c r="D287" s="7" t="str">
        <f t="shared" si="20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 t="str">
        <f t="shared" si="14"/>
        <v/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IFERROR(VLOOKUP(B287,input_388101!L:R,7,FALSE),VLOOKUP(tables_388101!C287,input_388101!A:H,8,FALSE))</f>
        <v>1.92</v>
      </c>
      <c r="P287" s="46">
        <f ca="1">O287/SUM(O:O)</f>
        <v>7.5000000000000222E-6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input_388101!A$2</f>
        <v>388101</v>
      </c>
      <c r="B288" s="83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 t="str">
        <f t="shared" si="14"/>
        <v/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IFERROR(VLOOKUP(B288,input_388101!L:R,7,FALSE),VLOOKUP(tables_388101!C288,input_388101!A:H,8,FALSE))</f>
        <v>1511.68</v>
      </c>
      <c r="P288" s="46">
        <f ca="1">O288/SUM(O:O)</f>
        <v>5.9050000000000179E-3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input_388101!A$2</f>
        <v>388101</v>
      </c>
      <c r="B289" s="83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 t="str">
        <f t="shared" si="14"/>
        <v/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IFERROR(VLOOKUP(B289,input_388101!L:R,7,FALSE),VLOOKUP(tables_388101!C289,input_388101!A:H,8,FALSE))</f>
        <v>1.92</v>
      </c>
      <c r="P289" s="46">
        <f ca="1">O289/SUM(O:O)</f>
        <v>7.5000000000000222E-6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input_388101!A$2</f>
        <v>388101</v>
      </c>
      <c r="B290" s="83">
        <v>937</v>
      </c>
      <c r="C290" s="7" t="str">
        <f t="shared" si="19"/>
        <v>PremiumSS5R5only</v>
      </c>
      <c r="D290" s="7" t="str">
        <f t="shared" si="20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 t="str">
        <f t="shared" si="14"/>
        <v/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IFERROR(VLOOKUP(B290,input_388101!L:R,7,FALSE),VLOOKUP(tables_388101!C290,input_388101!A:H,8,FALSE))</f>
        <v>160</v>
      </c>
      <c r="P290" s="46">
        <f ca="1">O290/SUM(O:O)</f>
        <v>6.2500000000000186E-4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input_388101!A$2</f>
        <v>388101</v>
      </c>
      <c r="B291" s="83">
        <v>939</v>
      </c>
      <c r="C291" s="7" t="str">
        <f t="shared" ref="C291:C294" si="21">D291&amp;J291&amp;E291&amp;F291&amp;G291</f>
        <v>Premium4R3lesscolor</v>
      </c>
      <c r="D291" s="7" t="str">
        <f t="shared" ref="D291:D294" si="22">IF(I291="PremiumSS",I291,IF(I291="PremiumSSS",I291,IF(I291="PremiumW",I291,"Premium")))</f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 t="str">
        <f t="shared" si="14"/>
        <v>color</v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IFERROR(VLOOKUP(B291,input_388101!L:R,7,FALSE),VLOOKUP(tables_388101!C291,input_388101!A:H,8,FALSE))</f>
        <v>6443.52</v>
      </c>
      <c r="P291" s="46">
        <f ca="1">O291/SUM(O:O)</f>
        <v>2.5170000000000078E-2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input_388101!A$2</f>
        <v>388101</v>
      </c>
      <c r="B292" s="83">
        <v>940</v>
      </c>
      <c r="C292" s="7" t="str">
        <f t="shared" si="21"/>
        <v>Premium5R3lesscolor</v>
      </c>
      <c r="D292" s="7" t="str">
        <f t="shared" si="22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 t="str">
        <f t="shared" si="14"/>
        <v>color</v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IFERROR(VLOOKUP(B292,input_388101!L:R,7,FALSE),VLOOKUP(tables_388101!C292,input_388101!A:H,8,FALSE))</f>
        <v>161.28</v>
      </c>
      <c r="P292" s="46">
        <f ca="1">O292/SUM(O:O)</f>
        <v>6.3000000000000187E-4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input_388101!A$2</f>
        <v>388101</v>
      </c>
      <c r="B293" s="83">
        <v>941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 t="str">
        <f t="shared" si="14"/>
        <v/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IFERROR(VLOOKUP(B293,input_388101!L:R,7,FALSE),VLOOKUP(tables_388101!C293,input_388101!A:H,8,FALSE))</f>
        <v>160</v>
      </c>
      <c r="P293" s="46">
        <f ca="1">O293/SUM(O:O)</f>
        <v>6.2500000000000186E-4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input_388101!A$2</f>
        <v>388101</v>
      </c>
      <c r="B294" s="83">
        <v>943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 t="str">
        <f t="shared" si="14"/>
        <v/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IFERROR(VLOOKUP(B294,input_388101!L:R,7,FALSE),VLOOKUP(tables_388101!C294,input_388101!A:H,8,FALSE))</f>
        <v>160</v>
      </c>
      <c r="P294" s="46">
        <f ca="1">O294/SUM(O:O)</f>
        <v>6.2500000000000186E-4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input_388101!A$2</f>
        <v>388101</v>
      </c>
      <c r="B295" s="5">
        <v>1012</v>
      </c>
      <c r="C295" s="7" t="str">
        <f t="shared" ref="C295:C298" si="23">D295&amp;J295&amp;E295&amp;F295&amp;G295</f>
        <v>PremiumSS5R5only</v>
      </c>
      <c r="D295" s="7" t="str">
        <f t="shared" ref="D295:D298" si="24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 t="str">
        <f t="shared" si="14"/>
        <v/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IFERROR(VLOOKUP(B295,input_388101!L:R,7,FALSE),VLOOKUP(tables_388101!C295,input_388101!A:H,8,FALSE))</f>
        <v>160</v>
      </c>
      <c r="P295" s="46">
        <f t="shared" ref="P295:P300" ca="1" si="25">O295/SUM(O:O)</f>
        <v>6.2500000000000186E-4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input_388101!A$2</f>
        <v>388101</v>
      </c>
      <c r="B296" s="5">
        <v>1014</v>
      </c>
      <c r="C296" s="7" t="str">
        <f t="shared" si="23"/>
        <v>PremiumSS5R5onlycolor</v>
      </c>
      <c r="D296" s="7" t="str">
        <f t="shared" si="24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 t="str">
        <f t="shared" si="14"/>
        <v>color</v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IFERROR(VLOOKUP(B296,input_388101!L:R,7,FALSE),VLOOKUP(tables_388101!C296,input_388101!A:H,8,FALSE))</f>
        <v>768</v>
      </c>
      <c r="P296" s="46">
        <f t="shared" ca="1" si="25"/>
        <v>3.0000000000000087E-3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input_388101!A$2</f>
        <v>388101</v>
      </c>
      <c r="B297" s="5">
        <v>1016</v>
      </c>
      <c r="C297" s="7" t="str">
        <f t="shared" si="23"/>
        <v>Premium4R3less</v>
      </c>
      <c r="D297" s="7" t="str">
        <f t="shared" si="24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 t="str">
        <f t="shared" si="14"/>
        <v/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IFERROR(VLOOKUP(B297,input_388101!L:R,7,FALSE),VLOOKUP(tables_388101!C297,input_388101!A:H,8,FALSE))</f>
        <v>1511.68</v>
      </c>
      <c r="P297" s="46">
        <f t="shared" ca="1" si="25"/>
        <v>5.9050000000000179E-3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input_388101!A$2</f>
        <v>388101</v>
      </c>
      <c r="B298" s="5">
        <v>1017</v>
      </c>
      <c r="C298" s="7" t="str">
        <f t="shared" si="23"/>
        <v>Premium5R3less</v>
      </c>
      <c r="D298" s="7" t="str">
        <f t="shared" si="24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 t="str">
        <f t="shared" si="14"/>
        <v/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IFERROR(VLOOKUP(B298,input_388101!L:R,7,FALSE),VLOOKUP(tables_388101!C298,input_388101!A:H,8,FALSE))</f>
        <v>1.92</v>
      </c>
      <c r="P298" s="46">
        <f t="shared" ca="1" si="25"/>
        <v>7.5000000000000222E-6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input_388101!A$2</f>
        <v>388101</v>
      </c>
      <c r="B299" s="5">
        <v>1018</v>
      </c>
      <c r="C299" s="7" t="str">
        <f t="shared" ref="C299:C300" si="26">D299&amp;J299&amp;E299&amp;F299&amp;G299</f>
        <v>PremiumSS5R5only</v>
      </c>
      <c r="D299" s="7" t="str">
        <f t="shared" ref="D299:D300" si="27">IF(I299="PremiumSS",I299,IF(I299="PremiumSSS",I299,IF(I299="PremiumW",I299,"Premium")))</f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 t="str">
        <f t="shared" si="14"/>
        <v/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IFERROR(VLOOKUP(B299,input_388101!L:R,7,FALSE),VLOOKUP(tables_388101!C299,input_388101!A:H,8,FALSE))</f>
        <v>160</v>
      </c>
      <c r="P299" s="46">
        <f t="shared" ca="1" si="25"/>
        <v>6.2500000000000186E-4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input_388101!A$2</f>
        <v>388101</v>
      </c>
      <c r="B300" s="83">
        <v>958</v>
      </c>
      <c r="C300" s="7" t="str">
        <f t="shared" si="26"/>
        <v>PremiumSSS5R3lesscolor</v>
      </c>
      <c r="D300" s="7" t="str">
        <f t="shared" si="27"/>
        <v>PremiumSSS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 t="str">
        <f t="shared" si="14"/>
        <v>color</v>
      </c>
      <c r="H300" s="7" t="str">
        <f>VLOOKUP(B300,[1]characters!$A:$C,3,FALSE)</f>
        <v>ド・モルガン</v>
      </c>
      <c r="I300" s="7" t="str">
        <f>VLOOKUP(B300,[1]characters!$A:$J,10,FALSE)</f>
        <v>PremiumSSS</v>
      </c>
      <c r="J300" s="7">
        <f>VLOOKUP(B300,[1]characters!$A:$I,9,FALSE)</f>
        <v>5</v>
      </c>
      <c r="K300" s="7" t="str">
        <f>VLOOKUP(B300,[1]characters!$A:$H,8,FALSE)</f>
        <v>green</v>
      </c>
      <c r="L300" s="7" t="str">
        <f>VLOOKUP(B300,[1]characters!$A:$K,11,FALSE)</f>
        <v>balance</v>
      </c>
      <c r="M300" s="7" t="str">
        <f>VLOOKUP(B300,[1]characters!$A:$M,13,FALSE)</f>
        <v>academia</v>
      </c>
      <c r="N300" s="7" t="str">
        <f>VLOOKUP(B300,[1]characters!$A:$G,7,FALSE)</f>
        <v>男性</v>
      </c>
      <c r="O300" s="45">
        <f ca="1">IFERROR(VLOOKUP(B300,input_388101!L:R,7,FALSE),VLOOKUP(tables_388101!C300,input_388101!A:H,8,FALSE))</f>
        <v>1024</v>
      </c>
      <c r="P300" s="46">
        <f t="shared" ca="1" si="25"/>
        <v>4.0000000000000122E-3</v>
      </c>
      <c r="Q300" s="89">
        <v>80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</sheetData>
  <autoFilter ref="A1:V294"/>
  <sortState ref="A2:Y189">
    <sortCondition ref="A2:A189"/>
  </sortState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3"/>
  <sheetViews>
    <sheetView workbookViewId="0">
      <selection activeCell="B42" sqref="B4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388103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VLOOKUP(L3,tables_388103!B:C,2,FALSE)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VLOOKUP(L4,tables_388103!B:C,2,FALSE)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6.2500000000000012E-4</v>
      </c>
      <c r="F5">
        <f>(COUNTIF(tables_388103!C:C,input_388103!A28)+COUNTIF(tables_388103!C:C,input_388103!A29))</f>
        <v>32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VLOOKUP(L5,tables_388103!B:C,2,FALSE)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3.0000000000000001E-3</v>
      </c>
      <c r="F6">
        <f>(COUNTIF(tables_388103!C:C,input_388103!A43)+COUNTIF(tables_388103!C:C,input_388103!A44))</f>
        <v>10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VLOOKUP(L6,tables_388103!B:C,2,FALSE)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5.9125000000000002E-3</v>
      </c>
      <c r="F7">
        <f>(COUNTIF(tables_388103!C:C,input_388103!A25)+COUNTIF(tables_388103!C:C,input_388103!A18)+COUNTIF(tables_388103!C:C,input_388103!A20)+COUNTIF(tables_388103!C:C,input_388103!A22))</f>
        <v>64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VLOOKUP(L7,tables_388103!B:C,2,FALSE)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2.58E-2</v>
      </c>
      <c r="F8">
        <f>(COUNTIF(tables_388103!C:C,input_388103!A40)+COUNTIF(tables_388103!C:C,input_388103!A33)+COUNTIF(tables_388103!C:C,input_388103!A35)+COUNTIF(tables_388103!C:C,input_388103!A37))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VLOOKUP(L8,tables_388103!B:C,2,FALSE)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VLOOKUP(L9,tables_388103!B:C,2,FALSE)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0.94599999999999995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VLOOKUP(L10,tables_388103!B:C,2,FALSE)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0.05</v>
      </c>
      <c r="C11" t="s">
        <v>274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VLOOKUP(L11,tables_388103!B:C,2,FALSE)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VLOOKUP(L12,tables_388103!B:C,2,FALSE)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VLOOKUP(L13,tables_388103!B:C,2,FALSE)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VLOOKUP(L14,tables_388103!B:C,2,FALSE)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VLOOKUP(L15,tables_388103!B:C,2,FALSE)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VLOOKUP(L16,tables_388103!B:C,2,FALSE)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COUNTIF(tables_388103!C:C,input_388103!A17)-COUNTIF(Q:Q,A17)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VLOOKUP(L17,tables_388103!B:C,2,FALSE)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8.8687500000000002E-2</v>
      </c>
      <c r="C18" s="87">
        <f t="shared" si="2"/>
        <v>0</v>
      </c>
      <c r="D18" s="75">
        <f t="shared" si="3"/>
        <v>8.8687500000000002E-2</v>
      </c>
      <c r="E18">
        <f>COUNTIF(tables_388103!C:C,input_388103!A18)-COUNTIF(Q:Q,A18)</f>
        <v>15</v>
      </c>
      <c r="F18" s="43">
        <f>IFERROR(B18/E18,0)</f>
        <v>5.9125000000000002E-3</v>
      </c>
      <c r="G18">
        <f t="shared" si="4"/>
        <v>22704</v>
      </c>
      <c r="H18">
        <f t="shared" si="5"/>
        <v>1513.6</v>
      </c>
      <c r="I18">
        <f t="shared" si="6"/>
        <v>0.59999999999990905</v>
      </c>
      <c r="J18">
        <f t="shared" si="7"/>
        <v>1.6666666666669192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VLOOKUP(L18,tables_388103!B:C,2,FALSE)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COUNTIF(tables_388103!C:C,input_388103!A19)-COUNTIF(Q:Q,A19)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VLOOKUP(L19,tables_388103!B:C,2,FALSE)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0.21905812499999999</v>
      </c>
      <c r="C20" s="87">
        <f t="shared" si="2"/>
        <v>0</v>
      </c>
      <c r="D20" s="75">
        <f t="shared" si="3"/>
        <v>0.21905812499999999</v>
      </c>
      <c r="E20">
        <f>COUNTIF(tables_388103!C:C,input_388103!A20)-COUNTIF(Q:Q,A20)</f>
        <v>39</v>
      </c>
      <c r="F20" s="43">
        <f t="shared" si="8"/>
        <v>5.6168749999999995E-3</v>
      </c>
      <c r="G20">
        <f t="shared" si="4"/>
        <v>56078.879999999997</v>
      </c>
      <c r="H20">
        <f t="shared" si="5"/>
        <v>1437.92</v>
      </c>
      <c r="I20">
        <f t="shared" si="6"/>
        <v>0.92000000000007276</v>
      </c>
      <c r="J20">
        <f t="shared" si="7"/>
        <v>1.0869565217390444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VLOOKUP(L20,tables_388103!B:C,2,FALSE)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1.1529375000000001E-2</v>
      </c>
      <c r="C21" s="87">
        <f t="shared" si="2"/>
        <v>0</v>
      </c>
      <c r="D21" s="75">
        <f t="shared" si="3"/>
        <v>1.1529375000000001E-2</v>
      </c>
      <c r="E21">
        <f>COUNTIF(tables_388103!C:C,input_388103!A21)-COUNTIF(Q:Q,A21)</f>
        <v>39</v>
      </c>
      <c r="F21" s="43">
        <f t="shared" si="8"/>
        <v>2.9562500000000004E-4</v>
      </c>
      <c r="G21">
        <f t="shared" si="4"/>
        <v>2951.5200000000004</v>
      </c>
      <c r="H21">
        <f t="shared" si="5"/>
        <v>75.680000000000007</v>
      </c>
      <c r="I21">
        <f t="shared" si="6"/>
        <v>0.68000000000000682</v>
      </c>
      <c r="J21">
        <f t="shared" si="7"/>
        <v>1.4705882352941029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4.1334999999999997E-2</v>
      </c>
      <c r="C22" s="87">
        <f t="shared" si="2"/>
        <v>0</v>
      </c>
      <c r="D22" s="75">
        <f t="shared" si="3"/>
        <v>4.1334999999999997E-2</v>
      </c>
      <c r="E22">
        <f>COUNTIF(tables_388103!C:C,input_388103!A22)-COUNTIF(Q:Q,A22)</f>
        <v>7</v>
      </c>
      <c r="F22" s="43">
        <f t="shared" si="8"/>
        <v>5.9049999999999997E-3</v>
      </c>
      <c r="G22">
        <f t="shared" si="4"/>
        <v>10581.759999999998</v>
      </c>
      <c r="H22">
        <f t="shared" si="5"/>
        <v>1511.68</v>
      </c>
      <c r="I22">
        <f t="shared" si="6"/>
        <v>0.68000000000006366</v>
      </c>
      <c r="J22">
        <f t="shared" si="7"/>
        <v>1.4705882352939799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5.2500000000002198E-5</v>
      </c>
      <c r="C23" s="87">
        <f t="shared" si="2"/>
        <v>0</v>
      </c>
      <c r="D23" s="75">
        <f t="shared" si="3"/>
        <v>5.2500000000002198E-5</v>
      </c>
      <c r="E23">
        <f>COUNTIF(tables_388103!C:C,input_388103!A23)-COUNTIF(Q:Q,A23)</f>
        <v>7</v>
      </c>
      <c r="F23" s="43">
        <f t="shared" si="8"/>
        <v>7.5000000000003136E-6</v>
      </c>
      <c r="G23">
        <f t="shared" si="4"/>
        <v>13.440000000000563</v>
      </c>
      <c r="H23">
        <f t="shared" si="5"/>
        <v>1.92</v>
      </c>
      <c r="I23">
        <f t="shared" si="6"/>
        <v>0.91999999999999993</v>
      </c>
      <c r="J23">
        <f t="shared" si="7"/>
        <v>1.0869565217391306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7">
        <f t="shared" si="2"/>
        <v>0</v>
      </c>
      <c r="D24" s="75">
        <f t="shared" si="3"/>
        <v>0</v>
      </c>
      <c r="E24">
        <f>COUNTIF(tables_388103!C:C,input_388103!A24)-COUNTIF(Q:Q,A24)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1.6850625000000001E-2</v>
      </c>
      <c r="C25" s="87">
        <f t="shared" si="2"/>
        <v>0</v>
      </c>
      <c r="D25" s="75">
        <f t="shared" si="3"/>
        <v>1.6850625000000001E-2</v>
      </c>
      <c r="E25">
        <f>COUNTIF(tables_388103!C:C,input_388103!A25)-COUNTIF(Q:Q,A25)</f>
        <v>3</v>
      </c>
      <c r="F25" s="43">
        <f t="shared" si="8"/>
        <v>5.6168750000000003E-3</v>
      </c>
      <c r="G25">
        <f t="shared" si="4"/>
        <v>4313.76</v>
      </c>
      <c r="H25">
        <f t="shared" si="5"/>
        <v>1437.92</v>
      </c>
      <c r="I25">
        <f t="shared" si="6"/>
        <v>0.92000000000007276</v>
      </c>
      <c r="J25">
        <f t="shared" si="7"/>
        <v>1.0869565217390444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8.8687500000000008E-4</v>
      </c>
      <c r="C26" s="87">
        <f t="shared" si="2"/>
        <v>0</v>
      </c>
      <c r="D26" s="75">
        <f t="shared" si="3"/>
        <v>8.8687500000000008E-4</v>
      </c>
      <c r="E26">
        <f>COUNTIF(tables_388103!C:C,input_388103!A26)-COUNTIF(Q:Q,A26)</f>
        <v>3</v>
      </c>
      <c r="F26" s="43">
        <f t="shared" si="8"/>
        <v>2.9562500000000004E-4</v>
      </c>
      <c r="G26">
        <f t="shared" si="4"/>
        <v>227.04000000000002</v>
      </c>
      <c r="H26">
        <f t="shared" si="5"/>
        <v>75.680000000000007</v>
      </c>
      <c r="I26">
        <f t="shared" si="6"/>
        <v>0.68000000000000682</v>
      </c>
      <c r="J26">
        <f t="shared" si="7"/>
        <v>1.4705882352941029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1.2468750000000002E-2</v>
      </c>
      <c r="C27" s="87">
        <f t="shared" si="2"/>
        <v>0</v>
      </c>
      <c r="D27" s="75">
        <f t="shared" si="3"/>
        <v>1.2468750000000002E-2</v>
      </c>
      <c r="E27">
        <f>COUNTIF(tables_388103!C:C,input_388103!A27)-COUNTIF(Q:Q,A27)</f>
        <v>21</v>
      </c>
      <c r="F27" s="43">
        <f>IFERROR(B27/E27,0)</f>
        <v>5.9375000000000009E-4</v>
      </c>
      <c r="G27">
        <f t="shared" si="4"/>
        <v>3192.0000000000005</v>
      </c>
      <c r="H27">
        <f t="shared" si="5"/>
        <v>152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6.5625000000000015E-4</v>
      </c>
      <c r="C28" s="87">
        <f t="shared" si="2"/>
        <v>0</v>
      </c>
      <c r="D28" s="75">
        <f t="shared" si="3"/>
        <v>6.5625000000000015E-4</v>
      </c>
      <c r="E28">
        <f>COUNTIF(tables_388103!C:C,input_388103!A28)-COUNTIF(Q:Q,A28)</f>
        <v>21</v>
      </c>
      <c r="F28" s="43">
        <f t="shared" si="8"/>
        <v>3.1250000000000007E-5</v>
      </c>
      <c r="G28">
        <f t="shared" si="4"/>
        <v>168.00000000000003</v>
      </c>
      <c r="H28">
        <f t="shared" si="5"/>
        <v>8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6.8750000000000009E-3</v>
      </c>
      <c r="C29" s="87">
        <f t="shared" si="2"/>
        <v>0</v>
      </c>
      <c r="D29" s="75">
        <f t="shared" si="3"/>
        <v>6.8750000000000009E-3</v>
      </c>
      <c r="E29">
        <f>COUNTIF(tables_388103!C:C,input_388103!A29)-COUNTIF(Q:Q,A29)</f>
        <v>11</v>
      </c>
      <c r="F29" s="43">
        <f t="shared" si="8"/>
        <v>6.2500000000000012E-4</v>
      </c>
      <c r="G29">
        <f t="shared" si="4"/>
        <v>1760.0000000000002</v>
      </c>
      <c r="H29">
        <f t="shared" si="5"/>
        <v>160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COUNTIF(tables_388103!C:C,input_388103!A30)-COUNTIF(Q:Q,A30)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COUNTIF(tables_388103!C:C,input_388103!A31)-COUNTIF(Q:Q,A31)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COUNTIF(tables_388103!C:C,input_388103!A32)-COUNTIF(Q:Q,A32)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0.129</v>
      </c>
      <c r="C33" s="87">
        <f t="shared" si="2"/>
        <v>0</v>
      </c>
      <c r="D33" s="75">
        <f t="shared" si="3"/>
        <v>0.129</v>
      </c>
      <c r="E33">
        <f>COUNTIF(tables_388103!C:C,input_388103!A33)-COUNTIF(Q:Q,A33)</f>
        <v>5</v>
      </c>
      <c r="F33" s="43">
        <f>IFERROR(B33/E33,0)</f>
        <v>2.58E-2</v>
      </c>
      <c r="G33">
        <f t="shared" si="4"/>
        <v>33024</v>
      </c>
      <c r="H33">
        <f t="shared" si="5"/>
        <v>6604.8</v>
      </c>
      <c r="I33">
        <f t="shared" si="6"/>
        <v>0.8000000000001819</v>
      </c>
      <c r="J33">
        <f t="shared" si="7"/>
        <v>1.2499999999997158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COUNTIF(tables_388103!C:C,input_388103!A34)-COUNTIF(Q:Q,A34)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0.31862999999999997</v>
      </c>
      <c r="C35" s="87">
        <f t="shared" si="2"/>
        <v>0</v>
      </c>
      <c r="D35" s="75">
        <f t="shared" si="3"/>
        <v>0.31862999999999997</v>
      </c>
      <c r="E35">
        <f>COUNTIF(tables_388103!C:C,input_388103!A35)-COUNTIF(Q:Q,A35)</f>
        <v>13</v>
      </c>
      <c r="F35" s="43">
        <f t="shared" si="9"/>
        <v>2.4509999999999997E-2</v>
      </c>
      <c r="G35">
        <f t="shared" si="4"/>
        <v>81569.279999999999</v>
      </c>
      <c r="H35">
        <f t="shared" si="5"/>
        <v>6274.56</v>
      </c>
      <c r="I35">
        <f t="shared" si="6"/>
        <v>0.56000000000040018</v>
      </c>
      <c r="J35">
        <f t="shared" si="7"/>
        <v>1.7857142857130097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1.677E-2</v>
      </c>
      <c r="C36" s="87">
        <f t="shared" si="2"/>
        <v>0</v>
      </c>
      <c r="D36" s="75">
        <f t="shared" si="3"/>
        <v>1.677E-2</v>
      </c>
      <c r="E36">
        <f>COUNTIF(tables_388103!C:C,input_388103!A36)-COUNTIF(Q:Q,A36)</f>
        <v>13</v>
      </c>
      <c r="F36" s="43">
        <f t="shared" si="9"/>
        <v>1.2899999999999999E-3</v>
      </c>
      <c r="G36">
        <f t="shared" si="4"/>
        <v>4293.12</v>
      </c>
      <c r="H36">
        <f t="shared" si="5"/>
        <v>330.24</v>
      </c>
      <c r="I36">
        <f t="shared" si="6"/>
        <v>0.24000000000000909</v>
      </c>
      <c r="J36">
        <f t="shared" si="7"/>
        <v>4.1666666666665089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7.5509999999999994E-2</v>
      </c>
      <c r="C37" s="87">
        <f t="shared" si="2"/>
        <v>0</v>
      </c>
      <c r="D37" s="75">
        <f t="shared" si="3"/>
        <v>7.5509999999999994E-2</v>
      </c>
      <c r="E37">
        <f>COUNTIF(tables_388103!C:C,input_388103!A37)-COUNTIF(Q:Q,A37)</f>
        <v>3</v>
      </c>
      <c r="F37" s="43">
        <f t="shared" si="9"/>
        <v>2.5169999999999998E-2</v>
      </c>
      <c r="G37">
        <f t="shared" si="4"/>
        <v>19330.559999999998</v>
      </c>
      <c r="H37">
        <f t="shared" si="5"/>
        <v>6443.52</v>
      </c>
      <c r="I37">
        <f t="shared" si="6"/>
        <v>0.52000000000043656</v>
      </c>
      <c r="J37">
        <f t="shared" si="7"/>
        <v>1.9230769230753086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B$7*0.6-B41-B43-B44-B36</f>
        <v>1.8899999999999993E-3</v>
      </c>
      <c r="C38" s="87">
        <f t="shared" si="2"/>
        <v>0</v>
      </c>
      <c r="D38" s="75">
        <f t="shared" si="3"/>
        <v>1.8899999999999993E-3</v>
      </c>
      <c r="E38">
        <f>COUNTIF(tables_388103!C:C,input_388103!A38)-COUNTIF(Q:Q,A38)</f>
        <v>3</v>
      </c>
      <c r="F38" s="43">
        <f t="shared" si="9"/>
        <v>6.2999999999999981E-4</v>
      </c>
      <c r="G38">
        <f t="shared" si="4"/>
        <v>483.8399999999998</v>
      </c>
      <c r="H38">
        <f t="shared" si="5"/>
        <v>161.28</v>
      </c>
      <c r="I38">
        <f t="shared" si="6"/>
        <v>0.28000000000000114</v>
      </c>
      <c r="J38">
        <f t="shared" si="7"/>
        <v>3.571428571428557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7">
        <f t="shared" si="2"/>
        <v>0</v>
      </c>
      <c r="D39" s="75">
        <f t="shared" si="3"/>
        <v>0</v>
      </c>
      <c r="E39">
        <f>COUNTIF(tables_388103!C:C,input_388103!A39)-COUNTIF(Q:Q,A39)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2.4510000000000001E-2</v>
      </c>
      <c r="C40" s="87">
        <f t="shared" si="2"/>
        <v>0</v>
      </c>
      <c r="D40" s="75">
        <f t="shared" si="3"/>
        <v>2.4510000000000001E-2</v>
      </c>
      <c r="E40">
        <f>COUNTIF(tables_388103!C:C,input_388103!A40)-COUNTIF(Q:Q,A40)</f>
        <v>1</v>
      </c>
      <c r="F40" s="43">
        <f t="shared" si="9"/>
        <v>2.4510000000000001E-2</v>
      </c>
      <c r="G40">
        <f t="shared" si="4"/>
        <v>6274.56</v>
      </c>
      <c r="H40">
        <f t="shared" si="5"/>
        <v>6274.56</v>
      </c>
      <c r="I40">
        <f t="shared" si="6"/>
        <v>0.56000000000040018</v>
      </c>
      <c r="J40">
        <f t="shared" si="7"/>
        <v>1.7857142857130097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1.2900000000000001E-3</v>
      </c>
      <c r="C41" s="87">
        <f t="shared" si="2"/>
        <v>0</v>
      </c>
      <c r="D41" s="75">
        <f t="shared" si="3"/>
        <v>1.2900000000000001E-3</v>
      </c>
      <c r="E41">
        <f>COUNTIF(tables_388103!C:C,input_388103!A41)-COUNTIF(Q:Q,A41)</f>
        <v>1</v>
      </c>
      <c r="F41" s="43">
        <f t="shared" si="9"/>
        <v>1.2900000000000001E-3</v>
      </c>
      <c r="G41">
        <f t="shared" si="4"/>
        <v>330.24</v>
      </c>
      <c r="H41">
        <f t="shared" si="5"/>
        <v>330.24</v>
      </c>
      <c r="I41">
        <f t="shared" si="6"/>
        <v>0.24000000000000909</v>
      </c>
      <c r="J41">
        <f t="shared" si="7"/>
        <v>4.1666666666665089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1.9949999999999999E-2</v>
      </c>
      <c r="C42" s="87">
        <f t="shared" si="2"/>
        <v>0</v>
      </c>
      <c r="D42" s="75">
        <f t="shared" si="3"/>
        <v>1.9949999999999999E-2</v>
      </c>
      <c r="E42">
        <f>COUNTIF(tables_388103!C:C,input_388103!A42)-COUNTIF(Q:Q,A42)</f>
        <v>7</v>
      </c>
      <c r="F42" s="43">
        <f>IFERROR(B42/E42,0)</f>
        <v>2.8499999999999997E-3</v>
      </c>
      <c r="G42">
        <f t="shared" si="4"/>
        <v>5107.2</v>
      </c>
      <c r="H42">
        <f t="shared" si="5"/>
        <v>729.6</v>
      </c>
      <c r="I42">
        <f t="shared" si="6"/>
        <v>0.60000000000002274</v>
      </c>
      <c r="J42">
        <f t="shared" si="7"/>
        <v>1.6666666666666035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1.0500000000000002E-3</v>
      </c>
      <c r="C43" s="87">
        <f t="shared" si="2"/>
        <v>0</v>
      </c>
      <c r="D43" s="75">
        <f t="shared" si="3"/>
        <v>1.0500000000000002E-3</v>
      </c>
      <c r="E43">
        <f>COUNTIF(tables_388103!C:C,input_388103!A43)-COUNTIF(Q:Q,A43)</f>
        <v>7</v>
      </c>
      <c r="F43" s="43">
        <f t="shared" ref="F43:F46" si="10">IFERROR(B43/E43,0)</f>
        <v>1.5000000000000001E-4</v>
      </c>
      <c r="G43">
        <f t="shared" si="4"/>
        <v>268.8</v>
      </c>
      <c r="H43">
        <f t="shared" si="5"/>
        <v>38.4</v>
      </c>
      <c r="I43">
        <f t="shared" si="6"/>
        <v>0.39999999999999858</v>
      </c>
      <c r="J43">
        <f t="shared" si="7"/>
        <v>2.5000000000000089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9.0000000000000011E-3</v>
      </c>
      <c r="C44" s="87">
        <f t="shared" si="2"/>
        <v>0</v>
      </c>
      <c r="D44" s="75">
        <f t="shared" si="3"/>
        <v>9.0000000000000011E-3</v>
      </c>
      <c r="E44">
        <f>COUNTIF(tables_388103!C:C,input_388103!A44)-COUNTIF(Q:Q,A44)</f>
        <v>3</v>
      </c>
      <c r="F44" s="43">
        <f t="shared" si="10"/>
        <v>3.0000000000000005E-3</v>
      </c>
      <c r="G44">
        <f t="shared" si="4"/>
        <v>2304.0000000000005</v>
      </c>
      <c r="H44">
        <f t="shared" si="5"/>
        <v>768</v>
      </c>
      <c r="I44">
        <f t="shared" si="6"/>
        <v>0</v>
      </c>
      <c r="J44">
        <f t="shared" si="7"/>
        <v>1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COUNTIF(tables_388103!C:C,input_388103!A45)-COUNTIF(Q:Q,A45)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4.0000000000000001E-3</v>
      </c>
      <c r="C46" s="87">
        <f t="shared" si="2"/>
        <v>0</v>
      </c>
      <c r="D46" s="75">
        <f t="shared" si="3"/>
        <v>4.0000000000000001E-3</v>
      </c>
      <c r="E46">
        <f>COUNTIF(tables_388103!C:C,input_388103!A46)-COUNTIF(Q:Q,A46)</f>
        <v>1</v>
      </c>
      <c r="F46" s="43">
        <f t="shared" si="10"/>
        <v>4.0000000000000001E-3</v>
      </c>
      <c r="G46">
        <f t="shared" si="4"/>
        <v>1024</v>
      </c>
      <c r="H46">
        <f t="shared" si="5"/>
        <v>1024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256000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SUMIF(tables_388103!C:C,input_388103!A55,tables_388103!O:O)</f>
        <v>0</v>
      </c>
      <c r="C55" s="54">
        <f t="shared" ref="C55:C61" ca="1" si="11">B55/B$62</f>
        <v>0</v>
      </c>
      <c r="E55">
        <v>3</v>
      </c>
      <c r="F55">
        <f ca="1">SUMIF(tables_388103!J:J,input_388103!E55,tables_388103!O:O)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SUMIF(tables_388103!C:C,input_388103!A56,tables_388103!O:O)</f>
        <v>56078.879999999954</v>
      </c>
      <c r="C56" s="54">
        <f t="shared" ca="1" si="11"/>
        <v>0.89883828281274036</v>
      </c>
      <c r="E56">
        <v>4</v>
      </c>
      <c r="F56">
        <f ca="1">SUMIF(tables_388103!J:J,input_388103!E56,tables_388103!O:O)</f>
        <v>242176.00000000015</v>
      </c>
      <c r="G56">
        <f ca="1">F56/A51</f>
        <v>0.94600000000000062</v>
      </c>
    </row>
    <row r="57" spans="1:7" x14ac:dyDescent="0.15">
      <c r="A57" s="33" t="s">
        <v>109</v>
      </c>
      <c r="B57">
        <f ca="1">SUMIF(tables_388103!C:C,input_388103!A57,tables_388103!O:O)</f>
        <v>3192</v>
      </c>
      <c r="C57" s="54">
        <f t="shared" ca="1" si="11"/>
        <v>5.116171718725962E-2</v>
      </c>
      <c r="E57">
        <v>5</v>
      </c>
      <c r="F57">
        <f ca="1">SUMIF(tables_388103!J:J,input_388103!E57,tables_388103!O:O)</f>
        <v>13824.000000000004</v>
      </c>
      <c r="G57">
        <f ca="1">F57/A51</f>
        <v>5.4000000000000013E-2</v>
      </c>
    </row>
    <row r="58" spans="1:7" x14ac:dyDescent="0.15">
      <c r="A58" s="33" t="s">
        <v>113</v>
      </c>
      <c r="B58">
        <f>SUMIF(tables_388103!C:C,input_388103!A58,tables_388103!O:O)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SUMIF(tables_388103!C:C,input_388103!A59,tables_388103!O:O)</f>
        <v>2951.5199999999995</v>
      </c>
      <c r="C59" s="54">
        <f t="shared" ca="1" si="11"/>
        <v>4.730727804277584E-2</v>
      </c>
      <c r="E59" t="s">
        <v>55</v>
      </c>
      <c r="F59" s="55"/>
    </row>
    <row r="60" spans="1:7" x14ac:dyDescent="0.15">
      <c r="A60" s="33" t="s">
        <v>110</v>
      </c>
      <c r="B60">
        <f ca="1">SUMIF(tables_388103!C:C,input_388103!A60,tables_388103!O:O)</f>
        <v>168</v>
      </c>
      <c r="C60" s="54">
        <f t="shared" ca="1" si="11"/>
        <v>2.6927219572241905E-3</v>
      </c>
      <c r="E60" t="s">
        <v>210</v>
      </c>
      <c r="F60" s="55">
        <f ca="1">SUMIF(tables_388103!I:I,input_388103!E60,tables_388103!P:P)</f>
        <v>0.21768750000000017</v>
      </c>
    </row>
    <row r="61" spans="1:7" x14ac:dyDescent="0.15">
      <c r="A61" s="33" t="s">
        <v>111</v>
      </c>
      <c r="B61">
        <f>SUMIF(tables_388103!C:C,input_388103!A61,tables_388103!O:O)</f>
        <v>0</v>
      </c>
      <c r="C61" s="54">
        <f t="shared" ca="1" si="11"/>
        <v>0</v>
      </c>
      <c r="E61" t="s">
        <v>211</v>
      </c>
      <c r="F61" s="55">
        <f ca="1">SUMIF(tables_388103!I:I,input_388103!E61,tables_388103!P:P)</f>
        <v>0.21768749999999998</v>
      </c>
    </row>
    <row r="62" spans="1:7" x14ac:dyDescent="0.15">
      <c r="A62" s="39" t="s">
        <v>60</v>
      </c>
      <c r="B62">
        <f ca="1">SUM(B55:B61)</f>
        <v>62390.399999999951</v>
      </c>
      <c r="C62" s="55">
        <f ca="1">SUM(C55:C61)</f>
        <v>0.99999999999999989</v>
      </c>
      <c r="E62" t="s">
        <v>212</v>
      </c>
      <c r="F62" s="55">
        <f ca="1">SUMIF(tables_388103!I:I,input_388103!E62,tables_388103!P:P)</f>
        <v>0.51062500000000066</v>
      </c>
    </row>
    <row r="63" spans="1:7" x14ac:dyDescent="0.15">
      <c r="E63" t="s">
        <v>213</v>
      </c>
      <c r="F63" s="55">
        <f ca="1">SUMIF(tables_388103!I:I,input_388103!E63,tables_388103!P:P)</f>
        <v>5.0000000000000024E-2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300"/>
  <sheetViews>
    <sheetView showGridLines="0" zoomScale="75" zoomScaleNormal="75" zoomScalePageLayoutView="75" workbookViewId="0">
      <pane ySplit="1" topLeftCell="A280" activePane="bottomLeft" state="frozen"/>
      <selection activeCell="L296" sqref="L296"/>
      <selection pane="bottomLeft" activeCell="A288" sqref="A288:A30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input_388103!A$2</f>
        <v>388103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>IF(K2="green","color","")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IFERROR(VLOOKUP(B2,input_388103!L:R,7,FALSE),VLOOKUP(tables_388103!C2,input_388103!A:H,8,FALSE))</f>
        <v>0</v>
      </c>
      <c r="P2" s="46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input_388103!A$2</f>
        <v>388103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ref="G3:G66" si="2">IF(K3="green","color","")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IFERROR(VLOOKUP(B3,input_388103!L:R,7,FALSE),VLOOKUP(tables_388103!C3,input_388103!A:H,8,FALSE))</f>
        <v>1513.6</v>
      </c>
      <c r="P3" s="46">
        <f ca="1">O3/SUM(O:O)</f>
        <v>5.912500000000002E-3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input_388103!A$2</f>
        <v>388103</v>
      </c>
      <c r="B4" s="6">
        <v>128</v>
      </c>
      <c r="C4" s="7" t="str">
        <f t="shared" si="0"/>
        <v>PremiumW3color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>color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IFERROR(VLOOKUP(B4,input_388103!L:R,7,FALSE),VLOOKUP(tables_388103!C4,input_388103!A:H,8,FALSE))</f>
        <v>0</v>
      </c>
      <c r="P4" s="46">
        <f ca="1">O4/SUM(O:O)</f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input_388103!A$2</f>
        <v>388103</v>
      </c>
      <c r="B5" s="6">
        <v>129</v>
      </c>
      <c r="C5" s="7" t="str">
        <f t="shared" si="0"/>
        <v>PremiumW4color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>color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IFERROR(VLOOKUP(B5,input_388103!L:R,7,FALSE),VLOOKUP(tables_388103!C5,input_388103!A:H,8,FALSE))</f>
        <v>6604.8</v>
      </c>
      <c r="P5" s="46">
        <f ca="1">O5/SUM(O:O)</f>
        <v>2.580000000000001E-2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input_388103!A$2</f>
        <v>388103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IFERROR(VLOOKUP(B6,input_388103!L:R,7,FALSE),VLOOKUP(tables_388103!C6,input_388103!A:H,8,FALSE))</f>
        <v>0</v>
      </c>
      <c r="P6" s="46">
        <f ca="1">O6/SUM(O:O)</f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input_388103!A$2</f>
        <v>388103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IFERROR(VLOOKUP(B7,input_388103!L:R,7,FALSE),VLOOKUP(tables_388103!C7,input_388103!A:H,8,FALSE))</f>
        <v>1513.6</v>
      </c>
      <c r="P7" s="46">
        <f ca="1">O7/SUM(O:O)</f>
        <v>5.912500000000002E-3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input_388103!A$2</f>
        <v>388103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IFERROR(VLOOKUP(B8,input_388103!L:R,7,FALSE),VLOOKUP(tables_388103!C8,input_388103!A:H,8,FALSE))</f>
        <v>0</v>
      </c>
      <c r="P8" s="46">
        <f ca="1">O8/SUM(O:O)</f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input_388103!A$2</f>
        <v>388103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IFERROR(VLOOKUP(B9,input_388103!L:R,7,FALSE),VLOOKUP(tables_388103!C9,input_388103!A:H,8,FALSE))</f>
        <v>1513.6</v>
      </c>
      <c r="P9" s="46">
        <f ca="1">O9/SUM(O:O)</f>
        <v>5.912500000000002E-3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input_388103!A$2</f>
        <v>388103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IFERROR(VLOOKUP(B10,input_388103!L:R,7,FALSE),VLOOKUP(tables_388103!C10,input_388103!A:H,8,FALSE))</f>
        <v>0</v>
      </c>
      <c r="P10" s="46">
        <f ca="1">O10/SUM(O:O)</f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input_388103!A$2</f>
        <v>388103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IFERROR(VLOOKUP(B11,input_388103!L:R,7,FALSE),VLOOKUP(tables_388103!C11,input_388103!A:H,8,FALSE))</f>
        <v>1513.6</v>
      </c>
      <c r="P11" s="46">
        <f ca="1">O11/SUM(O:O)</f>
        <v>5.912500000000002E-3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input_388103!A$2</f>
        <v>388103</v>
      </c>
      <c r="B12" s="8">
        <v>136</v>
      </c>
      <c r="C12" s="7" t="str">
        <f t="shared" si="0"/>
        <v>PremiumW3color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>color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IFERROR(VLOOKUP(B12,input_388103!L:R,7,FALSE),VLOOKUP(tables_388103!C12,input_388103!A:H,8,FALSE))</f>
        <v>0</v>
      </c>
      <c r="P12" s="46">
        <f ca="1">O12/SUM(O:O)</f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input_388103!A$2</f>
        <v>388103</v>
      </c>
      <c r="B13" s="8">
        <v>137</v>
      </c>
      <c r="C13" s="7" t="str">
        <f t="shared" si="0"/>
        <v>PremiumW4color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>color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IFERROR(VLOOKUP(B13,input_388103!L:R,7,FALSE),VLOOKUP(tables_388103!C13,input_388103!A:H,8,FALSE))</f>
        <v>6604.8</v>
      </c>
      <c r="P13" s="46">
        <f ca="1">O13/SUM(O:O)</f>
        <v>2.580000000000001E-2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input_388103!A$2</f>
        <v>388103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IFERROR(VLOOKUP(B14,input_388103!L:R,7,FALSE),VLOOKUP(tables_388103!C14,input_388103!A:H,8,FALSE))</f>
        <v>0</v>
      </c>
      <c r="P14" s="46">
        <f ca="1">O14/SUM(O:O)</f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input_388103!A$2</f>
        <v>388103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IFERROR(VLOOKUP(B15,input_388103!L:R,7,FALSE),VLOOKUP(tables_388103!C15,input_388103!A:H,8,FALSE))</f>
        <v>1513.6</v>
      </c>
      <c r="P15" s="46">
        <f ca="1">O15/SUM(O:O)</f>
        <v>5.912500000000002E-3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input_388103!A$2</f>
        <v>388103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IFERROR(VLOOKUP(B16,input_388103!L:R,7,FALSE),VLOOKUP(tables_388103!C16,input_388103!A:H,8,FALSE))</f>
        <v>0</v>
      </c>
      <c r="P16" s="46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input_388103!A$2</f>
        <v>388103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IFERROR(VLOOKUP(B17,input_388103!L:R,7,FALSE),VLOOKUP(tables_388103!C17,input_388103!A:H,8,FALSE))</f>
        <v>1513.6</v>
      </c>
      <c r="P17" s="46">
        <f ca="1">O17/SUM(O:O)</f>
        <v>5.912500000000002E-3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input_388103!A$2</f>
        <v>388103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IFERROR(VLOOKUP(B18,input_388103!L:R,7,FALSE),VLOOKUP(tables_388103!C18,input_388103!A:H,8,FALSE))</f>
        <v>0</v>
      </c>
      <c r="P18" s="46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input_388103!A$2</f>
        <v>388103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IFERROR(VLOOKUP(B19,input_388103!L:R,7,FALSE),VLOOKUP(tables_388103!C19,input_388103!A:H,8,FALSE))</f>
        <v>1513.6</v>
      </c>
      <c r="P19" s="46">
        <f ca="1">O19/SUM(O:O)</f>
        <v>5.912500000000002E-3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input_388103!A$2</f>
        <v>388103</v>
      </c>
      <c r="B20" s="10">
        <v>144</v>
      </c>
      <c r="C20" s="7" t="str">
        <f t="shared" si="0"/>
        <v>PremiumW3color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>color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IFERROR(VLOOKUP(B20,input_388103!L:R,7,FALSE),VLOOKUP(tables_388103!C20,input_388103!A:H,8,FALSE))</f>
        <v>0</v>
      </c>
      <c r="P20" s="46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input_388103!A$2</f>
        <v>388103</v>
      </c>
      <c r="B21" s="6">
        <v>145</v>
      </c>
      <c r="C21" s="7" t="str">
        <f t="shared" si="0"/>
        <v>PremiumW4color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>color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IFERROR(VLOOKUP(B21,input_388103!L:R,7,FALSE),VLOOKUP(tables_388103!C21,input_388103!A:H,8,FALSE))</f>
        <v>6604.8</v>
      </c>
      <c r="P21" s="46">
        <f ca="1">O21/SUM(O:O)</f>
        <v>2.580000000000001E-2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input_388103!A$2</f>
        <v>388103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IFERROR(VLOOKUP(B22,input_388103!L:R,7,FALSE),VLOOKUP(tables_388103!C22,input_388103!A:H,8,FALSE))</f>
        <v>0</v>
      </c>
      <c r="P22" s="46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input_388103!A$2</f>
        <v>388103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IFERROR(VLOOKUP(B23,input_388103!L:R,7,FALSE),VLOOKUP(tables_388103!C23,input_388103!A:H,8,FALSE))</f>
        <v>1513.6</v>
      </c>
      <c r="P23" s="46">
        <f ca="1">O23/SUM(O:O)</f>
        <v>5.912500000000002E-3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input_388103!A$2</f>
        <v>388103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IFERROR(VLOOKUP(B24,input_388103!L:R,7,FALSE),VLOOKUP(tables_388103!C24,input_388103!A:H,8,FALSE))</f>
        <v>0</v>
      </c>
      <c r="P24" s="46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input_388103!A$2</f>
        <v>388103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IFERROR(VLOOKUP(B25,input_388103!L:R,7,FALSE),VLOOKUP(tables_388103!C25,input_388103!A:H,8,FALSE))</f>
        <v>1513.6</v>
      </c>
      <c r="P25" s="46">
        <f ca="1">O25/SUM(O:O)</f>
        <v>5.912500000000002E-3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input_388103!A$2</f>
        <v>388103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IFERROR(VLOOKUP(B26,input_388103!L:R,7,FALSE),VLOOKUP(tables_388103!C26,input_388103!A:H,8,FALSE))</f>
        <v>0</v>
      </c>
      <c r="P26" s="46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input_388103!A$2</f>
        <v>388103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IFERROR(VLOOKUP(B27,input_388103!L:R,7,FALSE),VLOOKUP(tables_388103!C27,input_388103!A:H,8,FALSE))</f>
        <v>1513.6</v>
      </c>
      <c r="P27" s="46">
        <f ca="1">O27/SUM(O:O)</f>
        <v>5.912500000000002E-3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input_388103!A$2</f>
        <v>388103</v>
      </c>
      <c r="B28" s="6">
        <v>152</v>
      </c>
      <c r="C28" s="7" t="str">
        <f t="shared" si="0"/>
        <v>PremiumW3color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>color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IFERROR(VLOOKUP(B28,input_388103!L:R,7,FALSE),VLOOKUP(tables_388103!C28,input_388103!A:H,8,FALSE))</f>
        <v>0</v>
      </c>
      <c r="P28" s="46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input_388103!A$2</f>
        <v>388103</v>
      </c>
      <c r="B29" s="6">
        <v>153</v>
      </c>
      <c r="C29" s="7" t="str">
        <f t="shared" si="0"/>
        <v>PremiumW4color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>color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IFERROR(VLOOKUP(B29,input_388103!L:R,7,FALSE),VLOOKUP(tables_388103!C29,input_388103!A:H,8,FALSE))</f>
        <v>6604.8</v>
      </c>
      <c r="P29" s="46">
        <f ca="1">O29/SUM(O:O)</f>
        <v>2.580000000000001E-2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input_388103!A$2</f>
        <v>388103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IFERROR(VLOOKUP(B30,input_388103!L:R,7,FALSE),VLOOKUP(tables_388103!C30,input_388103!A:H,8,FALSE))</f>
        <v>0</v>
      </c>
      <c r="P30" s="46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input_388103!A$2</f>
        <v>388103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IFERROR(VLOOKUP(B31,input_388103!L:R,7,FALSE),VLOOKUP(tables_388103!C31,input_388103!A:H,8,FALSE))</f>
        <v>1513.6</v>
      </c>
      <c r="P31" s="46">
        <f ca="1">O31/SUM(O:O)</f>
        <v>5.912500000000002E-3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input_388103!A$2</f>
        <v>388103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IFERROR(VLOOKUP(B32,input_388103!L:R,7,FALSE),VLOOKUP(tables_388103!C32,input_388103!A:H,8,FALSE))</f>
        <v>0</v>
      </c>
      <c r="P32" s="46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input_388103!A$2</f>
        <v>388103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IFERROR(VLOOKUP(B33,input_388103!L:R,7,FALSE),VLOOKUP(tables_388103!C33,input_388103!A:H,8,FALSE))</f>
        <v>1513.6</v>
      </c>
      <c r="P33" s="46">
        <f ca="1">O33/SUM(O:O)</f>
        <v>5.912500000000002E-3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input_388103!A$2</f>
        <v>388103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IFERROR(VLOOKUP(B34,input_388103!L:R,7,FALSE),VLOOKUP(tables_388103!C34,input_388103!A:H,8,FALSE))</f>
        <v>0</v>
      </c>
      <c r="P34" s="46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input_388103!A$2</f>
        <v>388103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IFERROR(VLOOKUP(B35,input_388103!L:R,7,FALSE),VLOOKUP(tables_388103!C35,input_388103!A:H,8,FALSE))</f>
        <v>1513.6</v>
      </c>
      <c r="P35" s="46">
        <f ca="1">O35/SUM(O:O)</f>
        <v>5.912500000000002E-3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input_388103!A$2</f>
        <v>388103</v>
      </c>
      <c r="B36" s="6">
        <v>160</v>
      </c>
      <c r="C36" s="7" t="str">
        <f t="shared" si="0"/>
        <v>PremiumW3color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>color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IFERROR(VLOOKUP(B36,input_388103!L:R,7,FALSE),VLOOKUP(tables_388103!C36,input_388103!A:H,8,FALSE))</f>
        <v>0</v>
      </c>
      <c r="P36" s="46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input_388103!A$2</f>
        <v>388103</v>
      </c>
      <c r="B37" s="6">
        <v>161</v>
      </c>
      <c r="C37" s="7" t="str">
        <f t="shared" si="0"/>
        <v>PremiumW4color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>color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IFERROR(VLOOKUP(B37,input_388103!L:R,7,FALSE),VLOOKUP(tables_388103!C37,input_388103!A:H,8,FALSE))</f>
        <v>6604.8</v>
      </c>
      <c r="P37" s="46">
        <f ca="1">O37/SUM(O:O)</f>
        <v>2.580000000000001E-2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input_388103!A$2</f>
        <v>388103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IFERROR(VLOOKUP(B38,input_388103!L:R,7,FALSE),VLOOKUP(tables_388103!C38,input_388103!A:H,8,FALSE))</f>
        <v>0</v>
      </c>
      <c r="P38" s="46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input_388103!A$2</f>
        <v>388103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IFERROR(VLOOKUP(B39,input_388103!L:R,7,FALSE),VLOOKUP(tables_388103!C39,input_388103!A:H,8,FALSE))</f>
        <v>1513.6</v>
      </c>
      <c r="P39" s="46">
        <f ca="1">O39/SUM(O:O)</f>
        <v>5.912500000000002E-3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input_388103!A$2</f>
        <v>388103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IFERROR(VLOOKUP(B40,input_388103!L:R,7,FALSE),VLOOKUP(tables_388103!C40,input_388103!A:H,8,FALSE))</f>
        <v>0</v>
      </c>
      <c r="P40" s="46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input_388103!A$2</f>
        <v>388103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IFERROR(VLOOKUP(B41,input_388103!L:R,7,FALSE),VLOOKUP(tables_388103!C41,input_388103!A:H,8,FALSE))</f>
        <v>1513.6</v>
      </c>
      <c r="P41" s="46">
        <f ca="1">O41/SUM(O:O)</f>
        <v>5.912500000000002E-3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input_388103!A$2</f>
        <v>388103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IFERROR(VLOOKUP(B42,input_388103!L:R,7,FALSE),VLOOKUP(tables_388103!C42,input_388103!A:H,8,FALSE))</f>
        <v>0</v>
      </c>
      <c r="P42" s="46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input_388103!A$2</f>
        <v>388103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IFERROR(VLOOKUP(B43,input_388103!L:R,7,FALSE),VLOOKUP(tables_388103!C43,input_388103!A:H,8,FALSE))</f>
        <v>1437.92</v>
      </c>
      <c r="P43" s="46">
        <f ca="1">O43/SUM(O:O)</f>
        <v>5.6168750000000021E-3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input_388103!A$2</f>
        <v>388103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IFERROR(VLOOKUP(B44,input_388103!L:R,7,FALSE),VLOOKUP(tables_388103!C44,input_388103!A:H,8,FALSE))</f>
        <v>75.680000000000007</v>
      </c>
      <c r="P44" s="46">
        <f ca="1">O44/SUM(O:O)</f>
        <v>2.9562500000000015E-4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input_388103!A$2</f>
        <v>388103</v>
      </c>
      <c r="B45" s="6">
        <v>169</v>
      </c>
      <c r="C45" s="7" t="str">
        <f t="shared" si="0"/>
        <v>Premium3R6releasecolor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>color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IFERROR(VLOOKUP(B45,input_388103!L:R,7,FALSE),VLOOKUP(tables_388103!C45,input_388103!A:H,8,FALSE))</f>
        <v>0</v>
      </c>
      <c r="P45" s="46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input_388103!A$2</f>
        <v>388103</v>
      </c>
      <c r="B46" s="6">
        <v>170</v>
      </c>
      <c r="C46" s="7" t="str">
        <f t="shared" si="0"/>
        <v>Premium4R6releasecolor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>color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IFERROR(VLOOKUP(B46,input_388103!L:R,7,FALSE),VLOOKUP(tables_388103!C46,input_388103!A:H,8,FALSE))</f>
        <v>6274.56</v>
      </c>
      <c r="P46" s="46">
        <f ca="1">O46/SUM(O:O)</f>
        <v>2.4510000000000011E-2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input_388103!A$2</f>
        <v>388103</v>
      </c>
      <c r="B47" s="6">
        <v>171</v>
      </c>
      <c r="C47" s="7" t="str">
        <f t="shared" si="0"/>
        <v>Premium5R6releasecolor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>color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IFERROR(VLOOKUP(B47,input_388103!L:R,7,FALSE),VLOOKUP(tables_388103!C47,input_388103!A:H,8,FALSE))</f>
        <v>330.24</v>
      </c>
      <c r="P47" s="46">
        <f ca="1">O47/SUM(O:O)</f>
        <v>1.2900000000000006E-3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input_388103!A$2</f>
        <v>388103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IFERROR(VLOOKUP(B48,input_388103!L:R,7,FALSE),VLOOKUP(tables_388103!C48,input_388103!A:H,8,FALSE))</f>
        <v>0</v>
      </c>
      <c r="P48" s="46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input_388103!A$2</f>
        <v>388103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IFERROR(VLOOKUP(B49,input_388103!L:R,7,FALSE),VLOOKUP(tables_388103!C49,input_388103!A:H,8,FALSE))</f>
        <v>1437.92</v>
      </c>
      <c r="P49" s="46">
        <f ca="1">O49/SUM(O:O)</f>
        <v>5.6168750000000021E-3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input_388103!A$2</f>
        <v>388103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IFERROR(VLOOKUP(B50,input_388103!L:R,7,FALSE),VLOOKUP(tables_388103!C50,input_388103!A:H,8,FALSE))</f>
        <v>75.680000000000007</v>
      </c>
      <c r="P50" s="46">
        <f ca="1">O50/SUM(O:O)</f>
        <v>2.9562500000000015E-4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input_388103!A$2</f>
        <v>388103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IFERROR(VLOOKUP(B51,input_388103!L:R,7,FALSE),VLOOKUP(tables_388103!C51,input_388103!A:H,8,FALSE))</f>
        <v>0</v>
      </c>
      <c r="P51" s="46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input_388103!A$2</f>
        <v>388103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IFERROR(VLOOKUP(B52,input_388103!L:R,7,FALSE),VLOOKUP(tables_388103!C52,input_388103!A:H,8,FALSE))</f>
        <v>1437.92</v>
      </c>
      <c r="P52" s="46">
        <f ca="1">O52/SUM(O:O)</f>
        <v>5.6168750000000021E-3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input_388103!A$2</f>
        <v>388103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IFERROR(VLOOKUP(B53,input_388103!L:R,7,FALSE),VLOOKUP(tables_388103!C53,input_388103!A:H,8,FALSE))</f>
        <v>75.680000000000007</v>
      </c>
      <c r="P53" s="46">
        <f ca="1">O53/SUM(O:O)</f>
        <v>2.9562500000000015E-4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input_388103!A$2</f>
        <v>388103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IFERROR(VLOOKUP(B54,input_388103!L:R,7,FALSE),VLOOKUP(tables_388103!C54,input_388103!A:H,8,FALSE))</f>
        <v>0</v>
      </c>
      <c r="P54" s="46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input_388103!A$2</f>
        <v>388103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IFERROR(VLOOKUP(B55,input_388103!L:R,7,FALSE),VLOOKUP(tables_388103!C55,input_388103!A:H,8,FALSE))</f>
        <v>1437.92</v>
      </c>
      <c r="P55" s="46">
        <f ca="1">O55/SUM(O:O)</f>
        <v>5.6168750000000021E-3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input_388103!A$2</f>
        <v>388103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IFERROR(VLOOKUP(B56,input_388103!L:R,7,FALSE),VLOOKUP(tables_388103!C56,input_388103!A:H,8,FALSE))</f>
        <v>75.680000000000007</v>
      </c>
      <c r="P56" s="46">
        <f ca="1">O56/SUM(O:O)</f>
        <v>2.9562500000000015E-4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input_388103!A$2</f>
        <v>388103</v>
      </c>
      <c r="B57" s="6">
        <v>181</v>
      </c>
      <c r="C57" s="7" t="str">
        <f t="shared" si="0"/>
        <v>Premium3color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>color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IFERROR(VLOOKUP(B57,input_388103!L:R,7,FALSE),VLOOKUP(tables_388103!C57,input_388103!A:H,8,FALSE))</f>
        <v>0</v>
      </c>
      <c r="P57" s="46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input_388103!A$2</f>
        <v>388103</v>
      </c>
      <c r="B58" s="6">
        <v>182</v>
      </c>
      <c r="C58" s="7" t="str">
        <f t="shared" si="0"/>
        <v>Premium4color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>color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IFERROR(VLOOKUP(B58,input_388103!L:R,7,FALSE),VLOOKUP(tables_388103!C58,input_388103!A:H,8,FALSE))</f>
        <v>6274.56</v>
      </c>
      <c r="P58" s="46">
        <f ca="1">O58/SUM(O:O)</f>
        <v>2.4510000000000011E-2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input_388103!A$2</f>
        <v>388103</v>
      </c>
      <c r="B59" s="6">
        <v>183</v>
      </c>
      <c r="C59" s="7" t="str">
        <f t="shared" si="0"/>
        <v>Premium5color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>color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IFERROR(VLOOKUP(B59,input_388103!L:R,7,FALSE),VLOOKUP(tables_388103!C59,input_388103!A:H,8,FALSE))</f>
        <v>330.24</v>
      </c>
      <c r="P59" s="46">
        <f ca="1">O59/SUM(O:O)</f>
        <v>1.2900000000000006E-3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input_388103!A$2</f>
        <v>388103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IFERROR(VLOOKUP(B60,input_388103!L:R,7,FALSE),VLOOKUP(tables_388103!C60,input_388103!A:H,8,FALSE))</f>
        <v>0</v>
      </c>
      <c r="P60" s="46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input_388103!A$2</f>
        <v>388103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IFERROR(VLOOKUP(B61,input_388103!L:R,7,FALSE),VLOOKUP(tables_388103!C61,input_388103!A:H,8,FALSE))</f>
        <v>1437.92</v>
      </c>
      <c r="P61" s="46">
        <f ca="1">O61/SUM(O:O)</f>
        <v>5.6168750000000021E-3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input_388103!A$2</f>
        <v>388103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IFERROR(VLOOKUP(B62,input_388103!L:R,7,FALSE),VLOOKUP(tables_388103!C62,input_388103!A:H,8,FALSE))</f>
        <v>75.680000000000007</v>
      </c>
      <c r="P62" s="46">
        <f ca="1">O62/SUM(O:O)</f>
        <v>2.9562500000000015E-4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input_388103!A$2</f>
        <v>388103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IFERROR(VLOOKUP(B63,input_388103!L:R,7,FALSE),VLOOKUP(tables_388103!C63,input_388103!A:H,8,FALSE))</f>
        <v>0</v>
      </c>
      <c r="P63" s="46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input_388103!A$2</f>
        <v>388103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IFERROR(VLOOKUP(B64,input_388103!L:R,7,FALSE),VLOOKUP(tables_388103!C64,input_388103!A:H,8,FALSE))</f>
        <v>1437.92</v>
      </c>
      <c r="P64" s="46">
        <f ca="1">O64/SUM(O:O)</f>
        <v>5.6168750000000021E-3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input_388103!A$2</f>
        <v>388103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IFERROR(VLOOKUP(B65,input_388103!L:R,7,FALSE),VLOOKUP(tables_388103!C65,input_388103!A:H,8,FALSE))</f>
        <v>75.680000000000007</v>
      </c>
      <c r="P65" s="46">
        <f ca="1">O65/SUM(O:O)</f>
        <v>2.9562500000000015E-4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input_388103!A$2</f>
        <v>388103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si="2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IFERROR(VLOOKUP(B66,input_388103!L:R,7,FALSE),VLOOKUP(tables_388103!C66,input_388103!A:H,8,FALSE))</f>
        <v>0</v>
      </c>
      <c r="P66" s="46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input_388103!A$2</f>
        <v>388103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ref="G67:G130" si="5">IF(K67="green","color","")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IFERROR(VLOOKUP(B67,input_388103!L:R,7,FALSE),VLOOKUP(tables_388103!C67,input_388103!A:H,8,FALSE))</f>
        <v>1437.92</v>
      </c>
      <c r="P67" s="46">
        <f ca="1">O67/SUM(O:O)</f>
        <v>5.6168750000000021E-3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input_388103!A$2</f>
        <v>388103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IFERROR(VLOOKUP(B68,input_388103!L:R,7,FALSE),VLOOKUP(tables_388103!C68,input_388103!A:H,8,FALSE))</f>
        <v>75.680000000000007</v>
      </c>
      <c r="P68" s="46">
        <f ca="1">O68/SUM(O:O)</f>
        <v>2.9562500000000015E-4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input_388103!A$2</f>
        <v>388103</v>
      </c>
      <c r="B69" s="6">
        <v>193</v>
      </c>
      <c r="C69" s="7" t="str">
        <f t="shared" si="3"/>
        <v>Premium3color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5"/>
        <v>color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IFERROR(VLOOKUP(B69,input_388103!L:R,7,FALSE),VLOOKUP(tables_388103!C69,input_388103!A:H,8,FALSE))</f>
        <v>0</v>
      </c>
      <c r="P69" s="46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input_388103!A$2</f>
        <v>388103</v>
      </c>
      <c r="B70" s="10">
        <v>194</v>
      </c>
      <c r="C70" s="7" t="str">
        <f t="shared" si="3"/>
        <v>Premium4color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5"/>
        <v>color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IFERROR(VLOOKUP(B70,input_388103!L:R,7,FALSE),VLOOKUP(tables_388103!C70,input_388103!A:H,8,FALSE))</f>
        <v>6274.56</v>
      </c>
      <c r="P70" s="46">
        <f ca="1">O70/SUM(O:O)</f>
        <v>2.4510000000000011E-2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input_388103!A$2</f>
        <v>388103</v>
      </c>
      <c r="B71" s="6">
        <v>195</v>
      </c>
      <c r="C71" s="7" t="str">
        <f t="shared" si="3"/>
        <v>Premium5color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5"/>
        <v>color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IFERROR(VLOOKUP(B71,input_388103!L:R,7,FALSE),VLOOKUP(tables_388103!C71,input_388103!A:H,8,FALSE))</f>
        <v>330.24</v>
      </c>
      <c r="P71" s="46">
        <f ca="1">O71/SUM(O:O)</f>
        <v>1.2900000000000006E-3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input_388103!A$2</f>
        <v>388103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5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IFERROR(VLOOKUP(B72,input_388103!L:R,7,FALSE),VLOOKUP(tables_388103!C72,input_388103!A:H,8,FALSE))</f>
        <v>0</v>
      </c>
      <c r="P72" s="46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input_388103!A$2</f>
        <v>388103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5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IFERROR(VLOOKUP(B73,input_388103!L:R,7,FALSE),VLOOKUP(tables_388103!C73,input_388103!A:H,8,FALSE))</f>
        <v>1437.92</v>
      </c>
      <c r="P73" s="46">
        <f ca="1">O73/SUM(O:O)</f>
        <v>5.6168750000000021E-3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input_388103!A$2</f>
        <v>388103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5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IFERROR(VLOOKUP(B74,input_388103!L:R,7,FALSE),VLOOKUP(tables_388103!C74,input_388103!A:H,8,FALSE))</f>
        <v>75.680000000000007</v>
      </c>
      <c r="P74" s="46">
        <f ca="1">O74/SUM(O:O)</f>
        <v>2.9562500000000015E-4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input_388103!A$2</f>
        <v>388103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IFERROR(VLOOKUP(B75,input_388103!L:R,7,FALSE),VLOOKUP(tables_388103!C75,input_388103!A:H,8,FALSE))</f>
        <v>0</v>
      </c>
      <c r="P75" s="46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input_388103!A$2</f>
        <v>388103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IFERROR(VLOOKUP(B76,input_388103!L:R,7,FALSE),VLOOKUP(tables_388103!C76,input_388103!A:H,8,FALSE))</f>
        <v>1437.92</v>
      </c>
      <c r="P76" s="46">
        <f ca="1">O76/SUM(O:O)</f>
        <v>5.6168750000000021E-3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input_388103!A$2</f>
        <v>388103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IFERROR(VLOOKUP(B77,input_388103!L:R,7,FALSE),VLOOKUP(tables_388103!C77,input_388103!A:H,8,FALSE))</f>
        <v>75.680000000000007</v>
      </c>
      <c r="P77" s="46">
        <f ca="1">O77/SUM(O:O)</f>
        <v>2.9562500000000015E-4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input_388103!A$2</f>
        <v>388103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IFERROR(VLOOKUP(B78,input_388103!L:R,7,FALSE),VLOOKUP(tables_388103!C78,input_388103!A:H,8,FALSE))</f>
        <v>0</v>
      </c>
      <c r="P78" s="46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input_388103!A$2</f>
        <v>388103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IFERROR(VLOOKUP(B79,input_388103!L:R,7,FALSE),VLOOKUP(tables_388103!C79,input_388103!A:H,8,FALSE))</f>
        <v>1437.92</v>
      </c>
      <c r="P79" s="46">
        <f ca="1">O79/SUM(O:O)</f>
        <v>5.6168750000000021E-3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input_388103!A$2</f>
        <v>388103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IFERROR(VLOOKUP(B80,input_388103!L:R,7,FALSE),VLOOKUP(tables_388103!C80,input_388103!A:H,8,FALSE))</f>
        <v>75.680000000000007</v>
      </c>
      <c r="P80" s="46">
        <f ca="1">O80/SUM(O:O)</f>
        <v>2.9562500000000015E-4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input_388103!A$2</f>
        <v>388103</v>
      </c>
      <c r="B81" s="5">
        <v>205</v>
      </c>
      <c r="C81" s="7" t="str">
        <f t="shared" si="3"/>
        <v>Premium3color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5"/>
        <v>color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IFERROR(VLOOKUP(B81,input_388103!L:R,7,FALSE),VLOOKUP(tables_388103!C81,input_388103!A:H,8,FALSE))</f>
        <v>0</v>
      </c>
      <c r="P81" s="46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input_388103!A$2</f>
        <v>388103</v>
      </c>
      <c r="B82" s="5">
        <v>206</v>
      </c>
      <c r="C82" s="7" t="str">
        <f t="shared" si="3"/>
        <v>Premium4color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5"/>
        <v>color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IFERROR(VLOOKUP(B82,input_388103!L:R,7,FALSE),VLOOKUP(tables_388103!C82,input_388103!A:H,8,FALSE))</f>
        <v>6274.56</v>
      </c>
      <c r="P82" s="46">
        <f ca="1">O82/SUM(O:O)</f>
        <v>2.4510000000000011E-2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input_388103!A$2</f>
        <v>388103</v>
      </c>
      <c r="B83" s="5">
        <v>207</v>
      </c>
      <c r="C83" s="7" t="str">
        <f t="shared" si="3"/>
        <v>Premium5color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5"/>
        <v>color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IFERROR(VLOOKUP(B83,input_388103!L:R,7,FALSE),VLOOKUP(tables_388103!C83,input_388103!A:H,8,FALSE))</f>
        <v>330.24</v>
      </c>
      <c r="P83" s="46">
        <f ca="1">O83/SUM(O:O)</f>
        <v>1.2900000000000006E-3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input_388103!A$2</f>
        <v>388103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IFERROR(VLOOKUP(B84,input_388103!L:R,7,FALSE),VLOOKUP(tables_388103!C84,input_388103!A:H,8,FALSE))</f>
        <v>0</v>
      </c>
      <c r="P84" s="46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input_388103!A$2</f>
        <v>388103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IFERROR(VLOOKUP(B85,input_388103!L:R,7,FALSE),VLOOKUP(tables_388103!C85,input_388103!A:H,8,FALSE))</f>
        <v>1437.92</v>
      </c>
      <c r="P85" s="46">
        <f ca="1">O85/SUM(O:O)</f>
        <v>5.6168750000000021E-3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input_388103!A$2</f>
        <v>388103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IFERROR(VLOOKUP(B86,input_388103!L:R,7,FALSE),VLOOKUP(tables_388103!C86,input_388103!A:H,8,FALSE))</f>
        <v>75.680000000000007</v>
      </c>
      <c r="P86" s="46">
        <f ca="1">O86/SUM(O:O)</f>
        <v>2.9562500000000015E-4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input_388103!A$2</f>
        <v>388103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5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IFERROR(VLOOKUP(B87,input_388103!L:R,7,FALSE),VLOOKUP(tables_388103!C87,input_388103!A:H,8,FALSE))</f>
        <v>0</v>
      </c>
      <c r="P87" s="46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input_388103!A$2</f>
        <v>388103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5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IFERROR(VLOOKUP(B88,input_388103!L:R,7,FALSE),VLOOKUP(tables_388103!C88,input_388103!A:H,8,FALSE))</f>
        <v>1437.92</v>
      </c>
      <c r="P88" s="46">
        <f ca="1">O88/SUM(O:O)</f>
        <v>5.6168750000000021E-3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input_388103!A$2</f>
        <v>388103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5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IFERROR(VLOOKUP(B89,input_388103!L:R,7,FALSE),VLOOKUP(tables_388103!C89,input_388103!A:H,8,FALSE))</f>
        <v>75.680000000000007</v>
      </c>
      <c r="P89" s="46">
        <f ca="1">O89/SUM(O:O)</f>
        <v>2.9562500000000015E-4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input_388103!A$2</f>
        <v>388103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IFERROR(VLOOKUP(B90,input_388103!L:R,7,FALSE),VLOOKUP(tables_388103!C90,input_388103!A:H,8,FALSE))</f>
        <v>0</v>
      </c>
      <c r="P90" s="46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input_388103!A$2</f>
        <v>388103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IFERROR(VLOOKUP(B91,input_388103!L:R,7,FALSE),VLOOKUP(tables_388103!C91,input_388103!A:H,8,FALSE))</f>
        <v>1437.92</v>
      </c>
      <c r="P91" s="46">
        <f ca="1">O91/SUM(O:O)</f>
        <v>5.6168750000000021E-3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input_388103!A$2</f>
        <v>388103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IFERROR(VLOOKUP(B92,input_388103!L:R,7,FALSE),VLOOKUP(tables_388103!C92,input_388103!A:H,8,FALSE))</f>
        <v>75.680000000000007</v>
      </c>
      <c r="P92" s="46">
        <f ca="1">O92/SUM(O:O)</f>
        <v>2.9562500000000015E-4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input_388103!A$2</f>
        <v>388103</v>
      </c>
      <c r="B93" s="5">
        <v>217</v>
      </c>
      <c r="C93" s="7" t="str">
        <f t="shared" si="3"/>
        <v>Premium3color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5"/>
        <v>color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IFERROR(VLOOKUP(B93,input_388103!L:R,7,FALSE),VLOOKUP(tables_388103!C93,input_388103!A:H,8,FALSE))</f>
        <v>0</v>
      </c>
      <c r="P93" s="46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input_388103!A$2</f>
        <v>388103</v>
      </c>
      <c r="B94" s="5">
        <v>218</v>
      </c>
      <c r="C94" s="7" t="str">
        <f t="shared" si="3"/>
        <v>Premium4color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5"/>
        <v>color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IFERROR(VLOOKUP(B94,input_388103!L:R,7,FALSE),VLOOKUP(tables_388103!C94,input_388103!A:H,8,FALSE))</f>
        <v>6274.56</v>
      </c>
      <c r="P94" s="46">
        <f ca="1">O94/SUM(O:O)</f>
        <v>2.4510000000000011E-2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input_388103!A$2</f>
        <v>388103</v>
      </c>
      <c r="B95" s="5">
        <v>219</v>
      </c>
      <c r="C95" s="7" t="str">
        <f t="shared" si="3"/>
        <v>Premium5color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5"/>
        <v>color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IFERROR(VLOOKUP(B95,input_388103!L:R,7,FALSE),VLOOKUP(tables_388103!C95,input_388103!A:H,8,FALSE))</f>
        <v>330.24</v>
      </c>
      <c r="P95" s="46">
        <f ca="1">O95/SUM(O:O)</f>
        <v>1.2900000000000006E-3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input_388103!A$2</f>
        <v>388103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IFERROR(VLOOKUP(B96,input_388103!L:R,7,FALSE),VLOOKUP(tables_388103!C96,input_388103!A:H,8,FALSE))</f>
        <v>0</v>
      </c>
      <c r="P96" s="46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input_388103!A$2</f>
        <v>388103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IFERROR(VLOOKUP(B97,input_388103!L:R,7,FALSE),VLOOKUP(tables_388103!C97,input_388103!A:H,8,FALSE))</f>
        <v>1437.92</v>
      </c>
      <c r="P97" s="46">
        <f ca="1">O97/SUM(O:O)</f>
        <v>5.6168750000000021E-3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input_388103!A$2</f>
        <v>388103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IFERROR(VLOOKUP(B98,input_388103!L:R,7,FALSE),VLOOKUP(tables_388103!C98,input_388103!A:H,8,FALSE))</f>
        <v>75.680000000000007</v>
      </c>
      <c r="P98" s="46">
        <f ca="1">O98/SUM(O:O)</f>
        <v>2.9562500000000015E-4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input_388103!A$2</f>
        <v>388103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5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IFERROR(VLOOKUP(B99,input_388103!L:R,7,FALSE),VLOOKUP(tables_388103!C99,input_388103!A:H,8,FALSE))</f>
        <v>0</v>
      </c>
      <c r="P99" s="46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input_388103!A$2</f>
        <v>388103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5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IFERROR(VLOOKUP(B100,input_388103!L:R,7,FALSE),VLOOKUP(tables_388103!C100,input_388103!A:H,8,FALSE))</f>
        <v>1437.92</v>
      </c>
      <c r="P100" s="46">
        <f ca="1">O100/SUM(O:O)</f>
        <v>5.6168750000000021E-3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input_388103!A$2</f>
        <v>388103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5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IFERROR(VLOOKUP(B101,input_388103!L:R,7,FALSE),VLOOKUP(tables_388103!C101,input_388103!A:H,8,FALSE))</f>
        <v>75.680000000000007</v>
      </c>
      <c r="P101" s="46">
        <f ca="1">O101/SUM(O:O)</f>
        <v>2.9562500000000015E-4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input_388103!A$2</f>
        <v>388103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IFERROR(VLOOKUP(B102,input_388103!L:R,7,FALSE),VLOOKUP(tables_388103!C102,input_388103!A:H,8,FALSE))</f>
        <v>0</v>
      </c>
      <c r="P102" s="46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input_388103!A$2</f>
        <v>388103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IFERROR(VLOOKUP(B103,input_388103!L:R,7,FALSE),VLOOKUP(tables_388103!C103,input_388103!A:H,8,FALSE))</f>
        <v>1437.92</v>
      </c>
      <c r="P103" s="46">
        <f ca="1">O103/SUM(O:O)</f>
        <v>5.6168750000000021E-3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input_388103!A$2</f>
        <v>388103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IFERROR(VLOOKUP(B104,input_388103!L:R,7,FALSE),VLOOKUP(tables_388103!C104,input_388103!A:H,8,FALSE))</f>
        <v>75.680000000000007</v>
      </c>
      <c r="P104" s="46">
        <f ca="1">O104/SUM(O:O)</f>
        <v>2.9562500000000015E-4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input_388103!A$2</f>
        <v>388103</v>
      </c>
      <c r="B105" s="5">
        <v>229</v>
      </c>
      <c r="C105" s="7" t="str">
        <f t="shared" si="3"/>
        <v>Premium3color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5"/>
        <v>color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IFERROR(VLOOKUP(B105,input_388103!L:R,7,FALSE),VLOOKUP(tables_388103!C105,input_388103!A:H,8,FALSE))</f>
        <v>0</v>
      </c>
      <c r="P105" s="46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input_388103!A$2</f>
        <v>388103</v>
      </c>
      <c r="B106" s="5">
        <v>230</v>
      </c>
      <c r="C106" s="7" t="str">
        <f t="shared" si="3"/>
        <v>Premium4color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5"/>
        <v>color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IFERROR(VLOOKUP(B106,input_388103!L:R,7,FALSE),VLOOKUP(tables_388103!C106,input_388103!A:H,8,FALSE))</f>
        <v>6274.56</v>
      </c>
      <c r="P106" s="46">
        <f ca="1">O106/SUM(O:O)</f>
        <v>2.4510000000000011E-2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input_388103!A$2</f>
        <v>388103</v>
      </c>
      <c r="B107" s="5">
        <v>231</v>
      </c>
      <c r="C107" s="7" t="str">
        <f t="shared" si="3"/>
        <v>Premium5color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5"/>
        <v>color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IFERROR(VLOOKUP(B107,input_388103!L:R,7,FALSE),VLOOKUP(tables_388103!C107,input_388103!A:H,8,FALSE))</f>
        <v>330.24</v>
      </c>
      <c r="P107" s="46">
        <f ca="1">O107/SUM(O:O)</f>
        <v>1.2900000000000006E-3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input_388103!A$2</f>
        <v>388103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IFERROR(VLOOKUP(B108,input_388103!L:R,7,FALSE),VLOOKUP(tables_388103!C108,input_388103!A:H,8,FALSE))</f>
        <v>0</v>
      </c>
      <c r="P108" s="46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input_388103!A$2</f>
        <v>388103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IFERROR(VLOOKUP(B109,input_388103!L:R,7,FALSE),VLOOKUP(tables_388103!C109,input_388103!A:H,8,FALSE))</f>
        <v>1437.92</v>
      </c>
      <c r="P109" s="46">
        <f ca="1">O109/SUM(O:O)</f>
        <v>5.6168750000000021E-3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input_388103!A$2</f>
        <v>388103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IFERROR(VLOOKUP(B110,input_388103!L:R,7,FALSE),VLOOKUP(tables_388103!C110,input_388103!A:H,8,FALSE))</f>
        <v>75.680000000000007</v>
      </c>
      <c r="P110" s="46">
        <f ca="1">O110/SUM(O:O)</f>
        <v>2.9562500000000015E-4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input_388103!A$2</f>
        <v>388103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5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IFERROR(VLOOKUP(B111,input_388103!L:R,7,FALSE),VLOOKUP(tables_388103!C111,input_388103!A:H,8,FALSE))</f>
        <v>0</v>
      </c>
      <c r="P111" s="46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input_388103!A$2</f>
        <v>388103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5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IFERROR(VLOOKUP(B112,input_388103!L:R,7,FALSE),VLOOKUP(tables_388103!C112,input_388103!A:H,8,FALSE))</f>
        <v>1437.92</v>
      </c>
      <c r="P112" s="46">
        <f ca="1">O112/SUM(O:O)</f>
        <v>5.6168750000000021E-3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input_388103!A$2</f>
        <v>388103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5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IFERROR(VLOOKUP(B113,input_388103!L:R,7,FALSE),VLOOKUP(tables_388103!C113,input_388103!A:H,8,FALSE))</f>
        <v>75.680000000000007</v>
      </c>
      <c r="P113" s="46">
        <f ca="1">O113/SUM(O:O)</f>
        <v>2.9562500000000015E-4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input_388103!A$2</f>
        <v>388103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IFERROR(VLOOKUP(B114,input_388103!L:R,7,FALSE),VLOOKUP(tables_388103!C114,input_388103!A:H,8,FALSE))</f>
        <v>0</v>
      </c>
      <c r="P114" s="46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input_388103!A$2</f>
        <v>388103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IFERROR(VLOOKUP(B115,input_388103!L:R,7,FALSE),VLOOKUP(tables_388103!C115,input_388103!A:H,8,FALSE))</f>
        <v>1437.92</v>
      </c>
      <c r="P115" s="46">
        <f ca="1">O115/SUM(O:O)</f>
        <v>5.6168750000000021E-3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input_388103!A$2</f>
        <v>388103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IFERROR(VLOOKUP(B116,input_388103!L:R,7,FALSE),VLOOKUP(tables_388103!C116,input_388103!A:H,8,FALSE))</f>
        <v>75.680000000000007</v>
      </c>
      <c r="P116" s="46">
        <f ca="1">O116/SUM(O:O)</f>
        <v>2.9562500000000015E-4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input_388103!A$2</f>
        <v>388103</v>
      </c>
      <c r="B117" s="5">
        <v>241</v>
      </c>
      <c r="C117" s="7" t="str">
        <f t="shared" si="3"/>
        <v>Premium3color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5"/>
        <v>color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IFERROR(VLOOKUP(B117,input_388103!L:R,7,FALSE),VLOOKUP(tables_388103!C117,input_388103!A:H,8,FALSE))</f>
        <v>0</v>
      </c>
      <c r="P117" s="46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input_388103!A$2</f>
        <v>388103</v>
      </c>
      <c r="B118" s="5">
        <v>242</v>
      </c>
      <c r="C118" s="7" t="str">
        <f t="shared" si="3"/>
        <v>Premium4color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5"/>
        <v>color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IFERROR(VLOOKUP(B118,input_388103!L:R,7,FALSE),VLOOKUP(tables_388103!C118,input_388103!A:H,8,FALSE))</f>
        <v>6274.56</v>
      </c>
      <c r="P118" s="46">
        <f ca="1">O118/SUM(O:O)</f>
        <v>2.4510000000000011E-2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input_388103!A$2</f>
        <v>388103</v>
      </c>
      <c r="B119" s="5">
        <v>243</v>
      </c>
      <c r="C119" s="7" t="str">
        <f t="shared" si="3"/>
        <v>Premium5color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5"/>
        <v>color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IFERROR(VLOOKUP(B119,input_388103!L:R,7,FALSE),VLOOKUP(tables_388103!C119,input_388103!A:H,8,FALSE))</f>
        <v>330.24</v>
      </c>
      <c r="P119" s="46">
        <f ca="1">O119/SUM(O:O)</f>
        <v>1.2900000000000006E-3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input_388103!A$2</f>
        <v>388103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IFERROR(VLOOKUP(B120,input_388103!L:R,7,FALSE),VLOOKUP(tables_388103!C120,input_388103!A:H,8,FALSE))</f>
        <v>0</v>
      </c>
      <c r="P120" s="46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input_388103!A$2</f>
        <v>388103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IFERROR(VLOOKUP(B121,input_388103!L:R,7,FALSE),VLOOKUP(tables_388103!C121,input_388103!A:H,8,FALSE))</f>
        <v>1437.92</v>
      </c>
      <c r="P121" s="46">
        <f ca="1">O121/SUM(O:O)</f>
        <v>5.6168750000000021E-3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input_388103!A$2</f>
        <v>388103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IFERROR(VLOOKUP(B122,input_388103!L:R,7,FALSE),VLOOKUP(tables_388103!C122,input_388103!A:H,8,FALSE))</f>
        <v>75.680000000000007</v>
      </c>
      <c r="P122" s="46">
        <f ca="1">O122/SUM(O:O)</f>
        <v>2.9562500000000015E-4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input_388103!A$2</f>
        <v>388103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5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IFERROR(VLOOKUP(B123,input_388103!L:R,7,FALSE),VLOOKUP(tables_388103!C123,input_388103!A:H,8,FALSE))</f>
        <v>0</v>
      </c>
      <c r="P123" s="46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input_388103!A$2</f>
        <v>388103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5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IFERROR(VLOOKUP(B124,input_388103!L:R,7,FALSE),VLOOKUP(tables_388103!C124,input_388103!A:H,8,FALSE))</f>
        <v>1437.92</v>
      </c>
      <c r="P124" s="46">
        <f ca="1">O124/SUM(O:O)</f>
        <v>5.6168750000000021E-3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input_388103!A$2</f>
        <v>388103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5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IFERROR(VLOOKUP(B125,input_388103!L:R,7,FALSE),VLOOKUP(tables_388103!C125,input_388103!A:H,8,FALSE))</f>
        <v>75.680000000000007</v>
      </c>
      <c r="P125" s="46">
        <f ca="1">O125/SUM(O:O)</f>
        <v>2.9562500000000015E-4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input_388103!A$2</f>
        <v>388103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IFERROR(VLOOKUP(B126,input_388103!L:R,7,FALSE),VLOOKUP(tables_388103!C126,input_388103!A:H,8,FALSE))</f>
        <v>0</v>
      </c>
      <c r="P126" s="46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input_388103!A$2</f>
        <v>388103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IFERROR(VLOOKUP(B127,input_388103!L:R,7,FALSE),VLOOKUP(tables_388103!C127,input_388103!A:H,8,FALSE))</f>
        <v>1437.92</v>
      </c>
      <c r="P127" s="46">
        <f ca="1">O127/SUM(O:O)</f>
        <v>5.6168750000000021E-3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input_388103!A$2</f>
        <v>388103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IFERROR(VLOOKUP(B128,input_388103!L:R,7,FALSE),VLOOKUP(tables_388103!C128,input_388103!A:H,8,FALSE))</f>
        <v>75.680000000000007</v>
      </c>
      <c r="P128" s="46">
        <f ca="1">O128/SUM(O:O)</f>
        <v>2.9562500000000015E-4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input_388103!A$2</f>
        <v>388103</v>
      </c>
      <c r="B129" s="6">
        <v>253</v>
      </c>
      <c r="C129" s="7" t="str">
        <f t="shared" si="3"/>
        <v>Premium3color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5"/>
        <v>color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IFERROR(VLOOKUP(B129,input_388103!L:R,7,FALSE),VLOOKUP(tables_388103!C129,input_388103!A:H,8,FALSE))</f>
        <v>0</v>
      </c>
      <c r="P129" s="46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input_388103!A$2</f>
        <v>388103</v>
      </c>
      <c r="B130" s="6">
        <v>254</v>
      </c>
      <c r="C130" s="7" t="str">
        <f t="shared" ref="C130:C193" si="6">D130&amp;J130&amp;E130&amp;F130&amp;G130</f>
        <v>Premium4color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si="5"/>
        <v>color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IFERROR(VLOOKUP(B130,input_388103!L:R,7,FALSE),VLOOKUP(tables_388103!C130,input_388103!A:H,8,FALSE))</f>
        <v>6274.56</v>
      </c>
      <c r="P130" s="46">
        <f ca="1">O130/SUM(O:O)</f>
        <v>2.4510000000000011E-2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input_388103!A$2</f>
        <v>388103</v>
      </c>
      <c r="B131" s="6">
        <v>255</v>
      </c>
      <c r="C131" s="7" t="str">
        <f t="shared" si="6"/>
        <v>Premium5color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ref="G131:G194" si="8">IF(K131="green","color","")</f>
        <v>color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IFERROR(VLOOKUP(B131,input_388103!L:R,7,FALSE),VLOOKUP(tables_388103!C131,input_388103!A:H,8,FALSE))</f>
        <v>330.24</v>
      </c>
      <c r="P131" s="46">
        <f ca="1">O131/SUM(O:O)</f>
        <v>1.2900000000000006E-3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input_388103!A$2</f>
        <v>388103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8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IFERROR(VLOOKUP(B132,input_388103!L:R,7,FALSE),VLOOKUP(tables_388103!C132,input_388103!A:H,8,FALSE))</f>
        <v>0</v>
      </c>
      <c r="P132" s="46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input_388103!A$2</f>
        <v>388103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8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IFERROR(VLOOKUP(B133,input_388103!L:R,7,FALSE),VLOOKUP(tables_388103!C133,input_388103!A:H,8,FALSE))</f>
        <v>1437.92</v>
      </c>
      <c r="P133" s="46">
        <f ca="1">O133/SUM(O:O)</f>
        <v>5.6168750000000021E-3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input_388103!A$2</f>
        <v>388103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8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IFERROR(VLOOKUP(B134,input_388103!L:R,7,FALSE),VLOOKUP(tables_388103!C134,input_388103!A:H,8,FALSE))</f>
        <v>75.680000000000007</v>
      </c>
      <c r="P134" s="46">
        <f ca="1">O134/SUM(O:O)</f>
        <v>2.9562500000000015E-4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input_388103!A$2</f>
        <v>388103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8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IFERROR(VLOOKUP(B135,input_388103!L:R,7,FALSE),VLOOKUP(tables_388103!C135,input_388103!A:H,8,FALSE))</f>
        <v>0</v>
      </c>
      <c r="P135" s="46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input_388103!A$2</f>
        <v>388103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8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IFERROR(VLOOKUP(B136,input_388103!L:R,7,FALSE),VLOOKUP(tables_388103!C136,input_388103!A:H,8,FALSE))</f>
        <v>1437.92</v>
      </c>
      <c r="P136" s="46">
        <f ca="1">O136/SUM(O:O)</f>
        <v>5.6168750000000021E-3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input_388103!A$2</f>
        <v>388103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8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IFERROR(VLOOKUP(B137,input_388103!L:R,7,FALSE),VLOOKUP(tables_388103!C137,input_388103!A:H,8,FALSE))</f>
        <v>75.680000000000007</v>
      </c>
      <c r="P137" s="46">
        <f ca="1">O137/SUM(O:O)</f>
        <v>2.9562500000000015E-4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input_388103!A$2</f>
        <v>388103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8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IFERROR(VLOOKUP(B138,input_388103!L:R,7,FALSE),VLOOKUP(tables_388103!C138,input_388103!A:H,8,FALSE))</f>
        <v>152</v>
      </c>
      <c r="P138" s="46">
        <f ca="1">O138/SUM(O:O)</f>
        <v>5.937500000000002E-4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input_388103!A$2</f>
        <v>388103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8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IFERROR(VLOOKUP(B139,input_388103!L:R,7,FALSE),VLOOKUP(tables_388103!C139,input_388103!A:H,8,FALSE))</f>
        <v>8</v>
      </c>
      <c r="P139" s="46">
        <f ca="1">O139/SUM(O:O)</f>
        <v>3.1250000000000007E-5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input_388103!A$2</f>
        <v>388103</v>
      </c>
      <c r="B140" s="6">
        <v>322</v>
      </c>
      <c r="C140" s="7" t="str">
        <f t="shared" si="6"/>
        <v>PremiumSS4color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8"/>
        <v>color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IFERROR(VLOOKUP(B140,input_388103!L:R,7,FALSE),VLOOKUP(tables_388103!C140,input_388103!A:H,8,FALSE))</f>
        <v>729.6</v>
      </c>
      <c r="P140" s="46">
        <f ca="1">O140/SUM(O:O)</f>
        <v>2.850000000000001E-3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input_388103!A$2</f>
        <v>388103</v>
      </c>
      <c r="B141" s="6">
        <v>323</v>
      </c>
      <c r="C141" s="7" t="str">
        <f t="shared" si="6"/>
        <v>PremiumSS5color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8"/>
        <v>color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IFERROR(VLOOKUP(B141,input_388103!L:R,7,FALSE),VLOOKUP(tables_388103!C141,input_388103!A:H,8,FALSE))</f>
        <v>38.4</v>
      </c>
      <c r="P141" s="46">
        <f ca="1">O141/SUM(O:O)</f>
        <v>1.5000000000000004E-4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input_388103!A$2</f>
        <v>388103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8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IFERROR(VLOOKUP(B142,input_388103!L:R,7,FALSE),VLOOKUP(tables_388103!C142,input_388103!A:H,8,FALSE))</f>
        <v>152</v>
      </c>
      <c r="P142" s="46">
        <f ca="1">O142/SUM(O:O)</f>
        <v>5.937500000000002E-4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input_388103!A$2</f>
        <v>388103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8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IFERROR(VLOOKUP(B143,input_388103!L:R,7,FALSE),VLOOKUP(tables_388103!C143,input_388103!A:H,8,FALSE))</f>
        <v>8</v>
      </c>
      <c r="P143" s="46">
        <f ca="1">O143/SUM(O:O)</f>
        <v>3.1250000000000007E-5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input_388103!A$2</f>
        <v>388103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8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IFERROR(VLOOKUP(B144,input_388103!L:R,7,FALSE),VLOOKUP(tables_388103!C144,input_388103!A:H,8,FALSE))</f>
        <v>152</v>
      </c>
      <c r="P144" s="46">
        <f ca="1">O144/SUM(O:O)</f>
        <v>5.937500000000002E-4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input_388103!A$2</f>
        <v>388103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8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IFERROR(VLOOKUP(B145,input_388103!L:R,7,FALSE),VLOOKUP(tables_388103!C145,input_388103!A:H,8,FALSE))</f>
        <v>8</v>
      </c>
      <c r="P145" s="46">
        <f ca="1">O145/SUM(O:O)</f>
        <v>3.1250000000000007E-5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input_388103!A$2</f>
        <v>388103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8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IFERROR(VLOOKUP(B146,input_388103!L:R,7,FALSE),VLOOKUP(tables_388103!C146,input_388103!A:H,8,FALSE))</f>
        <v>0</v>
      </c>
      <c r="P146" s="46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input_388103!A$2</f>
        <v>388103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8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IFERROR(VLOOKUP(B147,input_388103!L:R,7,FALSE),VLOOKUP(tables_388103!C147,input_388103!A:H,8,FALSE))</f>
        <v>1437.92</v>
      </c>
      <c r="P147" s="46">
        <f ca="1">O147/SUM(O:O)</f>
        <v>5.6168750000000021E-3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input_388103!A$2</f>
        <v>388103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8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IFERROR(VLOOKUP(B148,input_388103!L:R,7,FALSE),VLOOKUP(tables_388103!C148,input_388103!A:H,8,FALSE))</f>
        <v>75.680000000000007</v>
      </c>
      <c r="P148" s="46">
        <f ca="1">O148/SUM(O:O)</f>
        <v>2.9562500000000015E-4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input_388103!A$2</f>
        <v>388103</v>
      </c>
      <c r="B149" s="6">
        <v>383</v>
      </c>
      <c r="C149" s="7" t="str">
        <f t="shared" si="6"/>
        <v>PremiumSS4color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8"/>
        <v>color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IFERROR(VLOOKUP(B149,input_388103!L:R,7,FALSE),VLOOKUP(tables_388103!C149,input_388103!A:H,8,FALSE))</f>
        <v>729.6</v>
      </c>
      <c r="P149" s="46">
        <f ca="1">O149/SUM(O:O)</f>
        <v>2.850000000000001E-3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input_388103!A$2</f>
        <v>388103</v>
      </c>
      <c r="B150" s="6">
        <v>384</v>
      </c>
      <c r="C150" s="7" t="str">
        <f t="shared" si="6"/>
        <v>PremiumSS5color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8"/>
        <v>color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IFERROR(VLOOKUP(B150,input_388103!L:R,7,FALSE),VLOOKUP(tables_388103!C150,input_388103!A:H,8,FALSE))</f>
        <v>38.4</v>
      </c>
      <c r="P150" s="46">
        <f ca="1">O150/SUM(O:O)</f>
        <v>1.5000000000000004E-4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input_388103!A$2</f>
        <v>388103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8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IFERROR(VLOOKUP(B151,input_388103!L:R,7,FALSE),VLOOKUP(tables_388103!C151,input_388103!A:H,8,FALSE))</f>
        <v>152</v>
      </c>
      <c r="P151" s="46">
        <f ca="1">O151/SUM(O:O)</f>
        <v>5.937500000000002E-4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input_388103!A$2</f>
        <v>388103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8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IFERROR(VLOOKUP(B152,input_388103!L:R,7,FALSE),VLOOKUP(tables_388103!C152,input_388103!A:H,8,FALSE))</f>
        <v>8</v>
      </c>
      <c r="P152" s="46">
        <f ca="1">O152/SUM(O:O)</f>
        <v>3.1250000000000007E-5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input_388103!A$2</f>
        <v>388103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8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IFERROR(VLOOKUP(B153,input_388103!L:R,7,FALSE),VLOOKUP(tables_388103!C153,input_388103!A:H,8,FALSE))</f>
        <v>0</v>
      </c>
      <c r="P153" s="46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input_388103!A$2</f>
        <v>388103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8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IFERROR(VLOOKUP(B154,input_388103!L:R,7,FALSE),VLOOKUP(tables_388103!C154,input_388103!A:H,8,FALSE))</f>
        <v>1437.92</v>
      </c>
      <c r="P154" s="46">
        <f ca="1">O154/SUM(O:O)</f>
        <v>5.6168750000000021E-3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input_388103!A$2</f>
        <v>388103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8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IFERROR(VLOOKUP(B155,input_388103!L:R,7,FALSE),VLOOKUP(tables_388103!C155,input_388103!A:H,8,FALSE))</f>
        <v>75.680000000000007</v>
      </c>
      <c r="P155" s="46">
        <f ca="1">O155/SUM(O:O)</f>
        <v>2.9562500000000015E-4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input_388103!A$2</f>
        <v>388103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8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IFERROR(VLOOKUP(B156,input_388103!L:R,7,FALSE),VLOOKUP(tables_388103!C156,input_388103!A:H,8,FALSE))</f>
        <v>152</v>
      </c>
      <c r="P156" s="46">
        <f ca="1">O156/SUM(O:O)</f>
        <v>5.937500000000002E-4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input_388103!A$2</f>
        <v>388103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8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IFERROR(VLOOKUP(B157,input_388103!L:R,7,FALSE),VLOOKUP(tables_388103!C157,input_388103!A:H,8,FALSE))</f>
        <v>8</v>
      </c>
      <c r="P157" s="46">
        <f ca="1">O157/SUM(O:O)</f>
        <v>3.1250000000000007E-5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input_388103!A$2</f>
        <v>388103</v>
      </c>
      <c r="B158" s="6">
        <v>392</v>
      </c>
      <c r="C158" s="7" t="str">
        <f t="shared" si="6"/>
        <v>Premium3color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8"/>
        <v>color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IFERROR(VLOOKUP(B158,input_388103!L:R,7,FALSE),VLOOKUP(tables_388103!C158,input_388103!A:H,8,FALSE))</f>
        <v>0</v>
      </c>
      <c r="P158" s="46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input_388103!A$2</f>
        <v>388103</v>
      </c>
      <c r="B159" s="6">
        <v>393</v>
      </c>
      <c r="C159" s="7" t="str">
        <f t="shared" si="6"/>
        <v>Premium4color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8"/>
        <v>color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IFERROR(VLOOKUP(B159,input_388103!L:R,7,FALSE),VLOOKUP(tables_388103!C159,input_388103!A:H,8,FALSE))</f>
        <v>6274.56</v>
      </c>
      <c r="P159" s="46">
        <f ca="1">O159/SUM(O:O)</f>
        <v>2.4510000000000011E-2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input_388103!A$2</f>
        <v>388103</v>
      </c>
      <c r="B160" s="6">
        <v>394</v>
      </c>
      <c r="C160" s="7" t="str">
        <f t="shared" si="6"/>
        <v>Premium5color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8"/>
        <v>color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IFERROR(VLOOKUP(B160,input_388103!L:R,7,FALSE),VLOOKUP(tables_388103!C160,input_388103!A:H,8,FALSE))</f>
        <v>330.24</v>
      </c>
      <c r="P160" s="46">
        <f ca="1">O160/SUM(O:O)</f>
        <v>1.2900000000000006E-3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input_388103!A$2</f>
        <v>388103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8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IFERROR(VLOOKUP(B161,input_388103!L:R,7,FALSE),VLOOKUP(tables_388103!C161,input_388103!A:H,8,FALSE))</f>
        <v>0</v>
      </c>
      <c r="P161" s="46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input_388103!A$2</f>
        <v>388103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8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IFERROR(VLOOKUP(B162,input_388103!L:R,7,FALSE),VLOOKUP(tables_388103!C162,input_388103!A:H,8,FALSE))</f>
        <v>1437.92</v>
      </c>
      <c r="P162" s="46">
        <f ca="1">O162/SUM(O:O)</f>
        <v>5.6168750000000021E-3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input_388103!A$2</f>
        <v>388103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8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IFERROR(VLOOKUP(B163,input_388103!L:R,7,FALSE),VLOOKUP(tables_388103!C163,input_388103!A:H,8,FALSE))</f>
        <v>75.680000000000007</v>
      </c>
      <c r="P163" s="46">
        <f ca="1">O163/SUM(O:O)</f>
        <v>2.9562500000000015E-4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input_388103!A$2</f>
        <v>388103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8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IFERROR(VLOOKUP(B164,input_388103!L:R,7,FALSE),VLOOKUP(tables_388103!C164,input_388103!A:H,8,FALSE))</f>
        <v>152</v>
      </c>
      <c r="P164" s="46">
        <f ca="1">O164/SUM(O:O)</f>
        <v>5.937500000000002E-4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input_388103!A$2</f>
        <v>388103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8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IFERROR(VLOOKUP(B165,input_388103!L:R,7,FALSE),VLOOKUP(tables_388103!C165,input_388103!A:H,8,FALSE))</f>
        <v>8</v>
      </c>
      <c r="P165" s="46">
        <f ca="1">O165/SUM(O:O)</f>
        <v>3.1250000000000007E-5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input_388103!A$2</f>
        <v>388103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8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IFERROR(VLOOKUP(B166,input_388103!L:R,7,FALSE),VLOOKUP(tables_388103!C166,input_388103!A:H,8,FALSE))</f>
        <v>0</v>
      </c>
      <c r="P166" s="46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input_388103!A$2</f>
        <v>388103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8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IFERROR(VLOOKUP(B167,input_388103!L:R,7,FALSE),VLOOKUP(tables_388103!C167,input_388103!A:H,8,FALSE))</f>
        <v>1437.92</v>
      </c>
      <c r="P167" s="46">
        <f ca="1">O167/SUM(O:O)</f>
        <v>5.6168750000000021E-3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input_388103!A$2</f>
        <v>388103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8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IFERROR(VLOOKUP(B168,input_388103!L:R,7,FALSE),VLOOKUP(tables_388103!C168,input_388103!A:H,8,FALSE))</f>
        <v>75.680000000000007</v>
      </c>
      <c r="P168" s="46">
        <f ca="1">O168/SUM(O:O)</f>
        <v>2.9562500000000015E-4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input_388103!A$2</f>
        <v>388103</v>
      </c>
      <c r="B169" s="6">
        <v>403</v>
      </c>
      <c r="C169" s="7" t="str">
        <f t="shared" si="6"/>
        <v>PremiumSS4color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8"/>
        <v>color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IFERROR(VLOOKUP(B169,input_388103!L:R,7,FALSE),VLOOKUP(tables_388103!C169,input_388103!A:H,8,FALSE))</f>
        <v>729.6</v>
      </c>
      <c r="P169" s="46">
        <f ca="1">O169/SUM(O:O)</f>
        <v>2.850000000000001E-3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input_388103!A$2</f>
        <v>388103</v>
      </c>
      <c r="B170" s="6">
        <v>404</v>
      </c>
      <c r="C170" s="7" t="str">
        <f t="shared" si="6"/>
        <v>PremiumSS5color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8"/>
        <v>color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IFERROR(VLOOKUP(B170,input_388103!L:R,7,FALSE),VLOOKUP(tables_388103!C170,input_388103!A:H,8,FALSE))</f>
        <v>38.4</v>
      </c>
      <c r="P170" s="46">
        <f ca="1">O170/SUM(O:O)</f>
        <v>1.5000000000000004E-4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input_388103!A$2</f>
        <v>388103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8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IFERROR(VLOOKUP(B171,input_388103!L:R,7,FALSE),VLOOKUP(tables_388103!C171,input_388103!A:H,8,FALSE))</f>
        <v>0</v>
      </c>
      <c r="P171" s="46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input_388103!A$2</f>
        <v>388103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8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IFERROR(VLOOKUP(B172,input_388103!L:R,7,FALSE),VLOOKUP(tables_388103!C172,input_388103!A:H,8,FALSE))</f>
        <v>1437.92</v>
      </c>
      <c r="P172" s="46">
        <f ca="1">O172/SUM(O:O)</f>
        <v>5.6168750000000021E-3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input_388103!A$2</f>
        <v>388103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8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IFERROR(VLOOKUP(B173,input_388103!L:R,7,FALSE),VLOOKUP(tables_388103!C173,input_388103!A:H,8,FALSE))</f>
        <v>75.680000000000007</v>
      </c>
      <c r="P173" s="46">
        <f ca="1">O173/SUM(O:O)</f>
        <v>2.9562500000000015E-4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input_388103!A$2</f>
        <v>388103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8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IFERROR(VLOOKUP(B174,input_388103!L:R,7,FALSE),VLOOKUP(tables_388103!C174,input_388103!A:H,8,FALSE))</f>
        <v>152</v>
      </c>
      <c r="P174" s="46">
        <f ca="1">O174/SUM(O:O)</f>
        <v>5.937500000000002E-4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input_388103!A$2</f>
        <v>388103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8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IFERROR(VLOOKUP(B175,input_388103!L:R,7,FALSE),VLOOKUP(tables_388103!C175,input_388103!A:H,8,FALSE))</f>
        <v>8</v>
      </c>
      <c r="P175" s="46">
        <f ca="1">O175/SUM(O:O)</f>
        <v>3.1250000000000007E-5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input_388103!A$2</f>
        <v>388103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8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IFERROR(VLOOKUP(B176,input_388103!L:R,7,FALSE),VLOOKUP(tables_388103!C176,input_388103!A:H,8,FALSE))</f>
        <v>152</v>
      </c>
      <c r="P176" s="46">
        <f ca="1">O176/SUM(O:O)</f>
        <v>5.937500000000002E-4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input_388103!A$2</f>
        <v>388103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8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IFERROR(VLOOKUP(B177,input_388103!L:R,7,FALSE),VLOOKUP(tables_388103!C177,input_388103!A:H,8,FALSE))</f>
        <v>8</v>
      </c>
      <c r="P177" s="46">
        <f ca="1">O177/SUM(O:O)</f>
        <v>3.1250000000000007E-5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input_388103!A$2</f>
        <v>388103</v>
      </c>
      <c r="B178" s="6">
        <v>436</v>
      </c>
      <c r="C178" s="7" t="str">
        <f t="shared" si="6"/>
        <v>Premium3color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8"/>
        <v>color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IFERROR(VLOOKUP(B178,input_388103!L:R,7,FALSE),VLOOKUP(tables_388103!C178,input_388103!A:H,8,FALSE))</f>
        <v>0</v>
      </c>
      <c r="P178" s="46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input_388103!A$2</f>
        <v>388103</v>
      </c>
      <c r="B179" s="6">
        <v>437</v>
      </c>
      <c r="C179" s="7" t="str">
        <f t="shared" si="6"/>
        <v>Premium4color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8"/>
        <v>color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IFERROR(VLOOKUP(B179,input_388103!L:R,7,FALSE),VLOOKUP(tables_388103!C179,input_388103!A:H,8,FALSE))</f>
        <v>6274.56</v>
      </c>
      <c r="P179" s="46">
        <f ca="1">O179/SUM(O:O)</f>
        <v>2.4510000000000011E-2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input_388103!A$2</f>
        <v>388103</v>
      </c>
      <c r="B180" s="6">
        <v>438</v>
      </c>
      <c r="C180" s="7" t="str">
        <f t="shared" si="6"/>
        <v>Premium5color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8"/>
        <v>color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IFERROR(VLOOKUP(B180,input_388103!L:R,7,FALSE),VLOOKUP(tables_388103!C180,input_388103!A:H,8,FALSE))</f>
        <v>330.24</v>
      </c>
      <c r="P180" s="46">
        <f ca="1">O180/SUM(O:O)</f>
        <v>1.2900000000000006E-3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input_388103!A$2</f>
        <v>388103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8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IFERROR(VLOOKUP(B181,input_388103!L:R,7,FALSE),VLOOKUP(tables_388103!C181,input_388103!A:H,8,FALSE))</f>
        <v>0</v>
      </c>
      <c r="P181" s="46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input_388103!A$2</f>
        <v>388103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8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IFERROR(VLOOKUP(B182,input_388103!L:R,7,FALSE),VLOOKUP(tables_388103!C182,input_388103!A:H,8,FALSE))</f>
        <v>1437.92</v>
      </c>
      <c r="P182" s="46">
        <f ca="1">O182/SUM(O:O)</f>
        <v>5.6168750000000021E-3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input_388103!A$2</f>
        <v>388103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8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IFERROR(VLOOKUP(B183,input_388103!L:R,7,FALSE),VLOOKUP(tables_388103!C183,input_388103!A:H,8,FALSE))</f>
        <v>75.680000000000007</v>
      </c>
      <c r="P183" s="46">
        <f ca="1">O183/SUM(O:O)</f>
        <v>2.9562500000000015E-4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input_388103!A$2</f>
        <v>388103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8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IFERROR(VLOOKUP(B184,input_388103!L:R,7,FALSE),VLOOKUP(tables_388103!C184,input_388103!A:H,8,FALSE))</f>
        <v>152</v>
      </c>
      <c r="P184" s="46">
        <f ca="1">O184/SUM(O:O)</f>
        <v>5.937500000000002E-4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input_388103!A$2</f>
        <v>388103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8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IFERROR(VLOOKUP(B185,input_388103!L:R,7,FALSE),VLOOKUP(tables_388103!C185,input_388103!A:H,8,FALSE))</f>
        <v>8</v>
      </c>
      <c r="P185" s="46">
        <f ca="1">O185/SUM(O:O)</f>
        <v>3.1250000000000007E-5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input_388103!A$2</f>
        <v>388103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8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IFERROR(VLOOKUP(B186,input_388103!L:R,7,FALSE),VLOOKUP(tables_388103!C186,input_388103!A:H,8,FALSE))</f>
        <v>0</v>
      </c>
      <c r="P186" s="46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input_388103!A$2</f>
        <v>388103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8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IFERROR(VLOOKUP(B187,input_388103!L:R,7,FALSE),VLOOKUP(tables_388103!C187,input_388103!A:H,8,FALSE))</f>
        <v>1437.92</v>
      </c>
      <c r="P187" s="46">
        <f ca="1">O187/SUM(O:O)</f>
        <v>5.6168750000000021E-3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input_388103!A$2</f>
        <v>388103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8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IFERROR(VLOOKUP(B188,input_388103!L:R,7,FALSE),VLOOKUP(tables_388103!C188,input_388103!A:H,8,FALSE))</f>
        <v>75.680000000000007</v>
      </c>
      <c r="P188" s="46">
        <f ca="1">O188/SUM(O:O)</f>
        <v>2.9562500000000015E-4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input_388103!A$2</f>
        <v>388103</v>
      </c>
      <c r="B189" s="8">
        <v>465</v>
      </c>
      <c r="C189" s="7" t="str">
        <f t="shared" si="6"/>
        <v>PremiumSS4color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8"/>
        <v>color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IFERROR(VLOOKUP(B189,input_388103!L:R,7,FALSE),VLOOKUP(tables_388103!C189,input_388103!A:H,8,FALSE))</f>
        <v>729.6</v>
      </c>
      <c r="P189" s="46">
        <f ca="1">O189/SUM(O:O)</f>
        <v>2.850000000000001E-3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input_388103!A$2</f>
        <v>388103</v>
      </c>
      <c r="B190" s="6">
        <v>466</v>
      </c>
      <c r="C190" s="7" t="str">
        <f t="shared" si="6"/>
        <v>PremiumSS5color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8"/>
        <v>color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IFERROR(VLOOKUP(B190,input_388103!L:R,7,FALSE),VLOOKUP(tables_388103!C190,input_388103!A:H,8,FALSE))</f>
        <v>38.4</v>
      </c>
      <c r="P190" s="46">
        <f ca="1">O190/SUM(O:O)</f>
        <v>1.5000000000000004E-4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input_388103!A$2</f>
        <v>388103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8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IFERROR(VLOOKUP(B191,input_388103!L:R,7,FALSE),VLOOKUP(tables_388103!C191,input_388103!A:H,8,FALSE))</f>
        <v>152</v>
      </c>
      <c r="P191" s="46">
        <f ca="1">O191/SUM(O:O)</f>
        <v>5.937500000000002E-4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input_388103!A$2</f>
        <v>388103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8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IFERROR(VLOOKUP(B192,input_388103!L:R,7,FALSE),VLOOKUP(tables_388103!C192,input_388103!A:H,8,FALSE))</f>
        <v>8</v>
      </c>
      <c r="P192" s="46">
        <f ca="1">O192/SUM(O:O)</f>
        <v>3.1250000000000007E-5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input_388103!A$2</f>
        <v>388103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8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IFERROR(VLOOKUP(B193,input_388103!L:R,7,FALSE),VLOOKUP(tables_388103!C193,input_388103!A:H,8,FALSE))</f>
        <v>0</v>
      </c>
      <c r="P193" s="46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input_388103!A$2</f>
        <v>388103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si="8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IFERROR(VLOOKUP(B194,input_388103!L:R,7,FALSE),VLOOKUP(tables_388103!C194,input_388103!A:H,8,FALSE))</f>
        <v>1437.92</v>
      </c>
      <c r="P194" s="46">
        <f ca="1">O194/SUM(O:O)</f>
        <v>5.6168750000000021E-3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input_388103!A$2</f>
        <v>388103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ref="G195:G258" si="11">IF(K195="green","color","")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IFERROR(VLOOKUP(B195,input_388103!L:R,7,FALSE),VLOOKUP(tables_388103!C195,input_388103!A:H,8,FALSE))</f>
        <v>75.680000000000007</v>
      </c>
      <c r="P195" s="46">
        <f ca="1">O195/SUM(O:O)</f>
        <v>2.9562500000000015E-4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input_388103!A$2</f>
        <v>388103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1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IFERROR(VLOOKUP(B196,input_388103!L:R,7,FALSE),VLOOKUP(tables_388103!C196,input_388103!A:H,8,FALSE))</f>
        <v>152</v>
      </c>
      <c r="P196" s="46">
        <f ca="1">O196/SUM(O:O)</f>
        <v>5.937500000000002E-4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input_388103!A$2</f>
        <v>388103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1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IFERROR(VLOOKUP(B197,input_388103!L:R,7,FALSE),VLOOKUP(tables_388103!C197,input_388103!A:H,8,FALSE))</f>
        <v>8</v>
      </c>
      <c r="P197" s="46">
        <f ca="1">O197/SUM(O:O)</f>
        <v>3.1250000000000007E-5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input_388103!A$2</f>
        <v>388103</v>
      </c>
      <c r="B198" s="6">
        <v>476</v>
      </c>
      <c r="C198" s="7" t="str">
        <f t="shared" si="9"/>
        <v>Premium3color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1"/>
        <v>color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IFERROR(VLOOKUP(B198,input_388103!L:R,7,FALSE),VLOOKUP(tables_388103!C198,input_388103!A:H,8,FALSE))</f>
        <v>0</v>
      </c>
      <c r="P198" s="46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input_388103!A$2</f>
        <v>388103</v>
      </c>
      <c r="B199" s="6">
        <v>477</v>
      </c>
      <c r="C199" s="7" t="str">
        <f t="shared" si="9"/>
        <v>Premium4color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1"/>
        <v>color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IFERROR(VLOOKUP(B199,input_388103!L:R,7,FALSE),VLOOKUP(tables_388103!C199,input_388103!A:H,8,FALSE))</f>
        <v>6274.56</v>
      </c>
      <c r="P199" s="46">
        <f ca="1">O199/SUM(O:O)</f>
        <v>2.4510000000000011E-2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input_388103!A$2</f>
        <v>388103</v>
      </c>
      <c r="B200" s="6">
        <v>478</v>
      </c>
      <c r="C200" s="7" t="str">
        <f t="shared" si="9"/>
        <v>Premium5color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1"/>
        <v>color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IFERROR(VLOOKUP(B200,input_388103!L:R,7,FALSE),VLOOKUP(tables_388103!C200,input_388103!A:H,8,FALSE))</f>
        <v>330.24</v>
      </c>
      <c r="P200" s="46">
        <f ca="1">O200/SUM(O:O)</f>
        <v>1.2900000000000006E-3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input_388103!A$2</f>
        <v>388103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1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IFERROR(VLOOKUP(B201,input_388103!L:R,7,FALSE),VLOOKUP(tables_388103!C201,input_388103!A:H,8,FALSE))</f>
        <v>152</v>
      </c>
      <c r="P201" s="46">
        <f ca="1">O201/SUM(O:O)</f>
        <v>5.937500000000002E-4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input_388103!A$2</f>
        <v>388103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1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IFERROR(VLOOKUP(B202,input_388103!L:R,7,FALSE),VLOOKUP(tables_388103!C202,input_388103!A:H,8,FALSE))</f>
        <v>8</v>
      </c>
      <c r="P202" s="46">
        <f ca="1">O202/SUM(O:O)</f>
        <v>3.1250000000000007E-5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input_388103!A$2</f>
        <v>388103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1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IFERROR(VLOOKUP(B203,input_388103!L:R,7,FALSE),VLOOKUP(tables_388103!C203,input_388103!A:H,8,FALSE))</f>
        <v>0</v>
      </c>
      <c r="P203" s="46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input_388103!A$2</f>
        <v>388103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1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IFERROR(VLOOKUP(B204,input_388103!L:R,7,FALSE),VLOOKUP(tables_388103!C204,input_388103!A:H,8,FALSE))</f>
        <v>1437.92</v>
      </c>
      <c r="P204" s="46">
        <f ca="1">O204/SUM(O:O)</f>
        <v>5.6168750000000021E-3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input_388103!A$2</f>
        <v>388103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1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IFERROR(VLOOKUP(B205,input_388103!L:R,7,FALSE),VLOOKUP(tables_388103!C205,input_388103!A:H,8,FALSE))</f>
        <v>75.680000000000007</v>
      </c>
      <c r="P205" s="46">
        <f ca="1">O205/SUM(O:O)</f>
        <v>2.9562500000000015E-4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input_388103!A$2</f>
        <v>388103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1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IFERROR(VLOOKUP(B206,input_388103!L:R,7,FALSE),VLOOKUP(tables_388103!C206,input_388103!A:H,8,FALSE))</f>
        <v>152</v>
      </c>
      <c r="P206" s="46">
        <f ca="1">O206/SUM(O:O)</f>
        <v>5.937500000000002E-4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input_388103!A$2</f>
        <v>388103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1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IFERROR(VLOOKUP(B207,input_388103!L:R,7,FALSE),VLOOKUP(tables_388103!C207,input_388103!A:H,8,FALSE))</f>
        <v>8</v>
      </c>
      <c r="P207" s="46">
        <f ca="1">O207/SUM(O:O)</f>
        <v>3.1250000000000007E-5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input_388103!A$2</f>
        <v>388103</v>
      </c>
      <c r="B208" s="6">
        <v>494</v>
      </c>
      <c r="C208" s="7" t="str">
        <f t="shared" si="9"/>
        <v>PremiumSS4color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1"/>
        <v>color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IFERROR(VLOOKUP(B208,input_388103!L:R,7,FALSE),VLOOKUP(tables_388103!C208,input_388103!A:H,8,FALSE))</f>
        <v>729.6</v>
      </c>
      <c r="P208" s="46">
        <f ca="1">O208/SUM(O:O)</f>
        <v>2.850000000000001E-3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input_388103!A$2</f>
        <v>388103</v>
      </c>
      <c r="B209" s="6">
        <v>495</v>
      </c>
      <c r="C209" s="7" t="str">
        <f t="shared" si="9"/>
        <v>PremiumSS5color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1"/>
        <v>color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IFERROR(VLOOKUP(B209,input_388103!L:R,7,FALSE),VLOOKUP(tables_388103!C209,input_388103!A:H,8,FALSE))</f>
        <v>38.4</v>
      </c>
      <c r="P209" s="46">
        <f ca="1">O209/SUM(O:O)</f>
        <v>1.5000000000000004E-4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input_388103!A$2</f>
        <v>388103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1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IFERROR(VLOOKUP(B210,input_388103!L:R,7,FALSE),VLOOKUP(tables_388103!C210,input_388103!A:H,8,FALSE))</f>
        <v>0</v>
      </c>
      <c r="P210" s="46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input_388103!A$2</f>
        <v>388103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1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IFERROR(VLOOKUP(B211,input_388103!L:R,7,FALSE),VLOOKUP(tables_388103!C211,input_388103!A:H,8,FALSE))</f>
        <v>1437.92</v>
      </c>
      <c r="P211" s="46">
        <f ca="1">O211/SUM(O:O)</f>
        <v>5.6168750000000021E-3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input_388103!A$2</f>
        <v>388103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1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IFERROR(VLOOKUP(B212,input_388103!L:R,7,FALSE),VLOOKUP(tables_388103!C212,input_388103!A:H,8,FALSE))</f>
        <v>75.680000000000007</v>
      </c>
      <c r="P212" s="46">
        <f ca="1">O212/SUM(O:O)</f>
        <v>2.9562500000000015E-4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input_388103!A$2</f>
        <v>388103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1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IFERROR(VLOOKUP(B213,input_388103!L:R,7,FALSE),VLOOKUP(tables_388103!C213,input_388103!A:H,8,FALSE))</f>
        <v>152</v>
      </c>
      <c r="P213" s="46">
        <f ca="1">O213/SUM(O:O)</f>
        <v>5.937500000000002E-4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input_388103!A$2</f>
        <v>388103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1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IFERROR(VLOOKUP(B214,input_388103!L:R,7,FALSE),VLOOKUP(tables_388103!C214,input_388103!A:H,8,FALSE))</f>
        <v>8</v>
      </c>
      <c r="P214" s="46">
        <f ca="1">O214/SUM(O:O)</f>
        <v>3.1250000000000007E-5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input_388103!A$2</f>
        <v>388103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1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IFERROR(VLOOKUP(B215,input_388103!L:R,7,FALSE),VLOOKUP(tables_388103!C215,input_388103!A:H,8,FALSE))</f>
        <v>152</v>
      </c>
      <c r="P215" s="46">
        <f ca="1">O215/SUM(O:O)</f>
        <v>5.937500000000002E-4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input_388103!A$2</f>
        <v>388103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1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IFERROR(VLOOKUP(B216,input_388103!L:R,7,FALSE),VLOOKUP(tables_388103!C216,input_388103!A:H,8,FALSE))</f>
        <v>8</v>
      </c>
      <c r="P216" s="46">
        <f ca="1">O216/SUM(O:O)</f>
        <v>3.1250000000000007E-5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input_388103!A$2</f>
        <v>388103</v>
      </c>
      <c r="B217" s="6">
        <v>588</v>
      </c>
      <c r="C217" s="7" t="str">
        <f t="shared" si="9"/>
        <v>Premium3color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1"/>
        <v>color</v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IFERROR(VLOOKUP(B217,input_388103!L:R,7,FALSE),VLOOKUP(tables_388103!C217,input_388103!A:H,8,FALSE))</f>
        <v>0</v>
      </c>
      <c r="P217" s="46">
        <f ca="1">O217/SUM(O:O)</f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input_388103!A$2</f>
        <v>388103</v>
      </c>
      <c r="B218" s="6">
        <v>589</v>
      </c>
      <c r="C218" s="7" t="str">
        <f t="shared" si="9"/>
        <v>Premium4color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1"/>
        <v>color</v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IFERROR(VLOOKUP(B218,input_388103!L:R,7,FALSE),VLOOKUP(tables_388103!C218,input_388103!A:H,8,FALSE))</f>
        <v>6274.56</v>
      </c>
      <c r="P218" s="46">
        <f ca="1">O218/SUM(O:O)</f>
        <v>2.4510000000000011E-2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input_388103!A$2</f>
        <v>388103</v>
      </c>
      <c r="B219" s="6">
        <v>590</v>
      </c>
      <c r="C219" s="7" t="str">
        <f t="shared" si="9"/>
        <v>Premium5color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1"/>
        <v>color</v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IFERROR(VLOOKUP(B219,input_388103!L:R,7,FALSE),VLOOKUP(tables_388103!C219,input_388103!A:H,8,FALSE))</f>
        <v>330.24</v>
      </c>
      <c r="P219" s="46">
        <f ca="1">O219/SUM(O:O)</f>
        <v>1.2900000000000006E-3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input_388103!A$2</f>
        <v>388103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1"/>
        <v/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IFERROR(VLOOKUP(B220,input_388103!L:R,7,FALSE),VLOOKUP(tables_388103!C220,input_388103!A:H,8,FALSE))</f>
        <v>0</v>
      </c>
      <c r="P220" s="46">
        <f ca="1">O220/SUM(O:O)</f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input_388103!A$2</f>
        <v>388103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1"/>
        <v/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IFERROR(VLOOKUP(B221,input_388103!L:R,7,FALSE),VLOOKUP(tables_388103!C221,input_388103!A:H,8,FALSE))</f>
        <v>1437.92</v>
      </c>
      <c r="P221" s="46">
        <f ca="1">O221/SUM(O:O)</f>
        <v>5.6168750000000021E-3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input_388103!A$2</f>
        <v>388103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1"/>
        <v/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IFERROR(VLOOKUP(B222,input_388103!L:R,7,FALSE),VLOOKUP(tables_388103!C222,input_388103!A:H,8,FALSE))</f>
        <v>75.680000000000007</v>
      </c>
      <c r="P222" s="46">
        <f ca="1">O222/SUM(O:O)</f>
        <v>2.9562500000000015E-4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input_388103!A$2</f>
        <v>388103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1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IFERROR(VLOOKUP(B223,input_388103!L:R,7,FALSE),VLOOKUP(tables_388103!C223,input_388103!A:H,8,FALSE))</f>
        <v>152</v>
      </c>
      <c r="P223" s="46">
        <f ca="1">O223/SUM(O:O)</f>
        <v>5.937500000000002E-4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input_388103!A$2</f>
        <v>388103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1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IFERROR(VLOOKUP(B224,input_388103!L:R,7,FALSE),VLOOKUP(tables_388103!C224,input_388103!A:H,8,FALSE))</f>
        <v>8</v>
      </c>
      <c r="P224" s="46">
        <f ca="1">O224/SUM(O:O)</f>
        <v>3.1250000000000007E-5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input_388103!A$2</f>
        <v>388103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1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IFERROR(VLOOKUP(B225,input_388103!L:R,7,FALSE),VLOOKUP(tables_388103!C225,input_388103!A:H,8,FALSE))</f>
        <v>0</v>
      </c>
      <c r="P225" s="46">
        <f ca="1">O225/SUM(O:O)</f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input_388103!A$2</f>
        <v>388103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1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IFERROR(VLOOKUP(B226,input_388103!L:R,7,FALSE),VLOOKUP(tables_388103!C226,input_388103!A:H,8,FALSE))</f>
        <v>1437.92</v>
      </c>
      <c r="P226" s="46">
        <f ca="1">O226/SUM(O:O)</f>
        <v>5.6168750000000021E-3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input_388103!A$2</f>
        <v>388103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1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IFERROR(VLOOKUP(B227,input_388103!L:R,7,FALSE),VLOOKUP(tables_388103!C227,input_388103!A:H,8,FALSE))</f>
        <v>75.680000000000007</v>
      </c>
      <c r="P227" s="46">
        <f ca="1">O227/SUM(O:O)</f>
        <v>2.9562500000000015E-4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input_388103!A$2</f>
        <v>388103</v>
      </c>
      <c r="B228" s="6">
        <v>599</v>
      </c>
      <c r="C228" s="7" t="str">
        <f t="shared" si="9"/>
        <v>Premium3color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1"/>
        <v>color</v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IFERROR(VLOOKUP(B228,input_388103!L:R,7,FALSE),VLOOKUP(tables_388103!C228,input_388103!A:H,8,FALSE))</f>
        <v>0</v>
      </c>
      <c r="P228" s="46">
        <f ca="1">O228/SUM(O:O)</f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input_388103!A$2</f>
        <v>388103</v>
      </c>
      <c r="B229" s="6">
        <v>600</v>
      </c>
      <c r="C229" s="7" t="str">
        <f t="shared" si="9"/>
        <v>Premium4color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1"/>
        <v>color</v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IFERROR(VLOOKUP(B229,input_388103!L:R,7,FALSE),VLOOKUP(tables_388103!C229,input_388103!A:H,8,FALSE))</f>
        <v>6274.56</v>
      </c>
      <c r="P229" s="46">
        <f ca="1">O229/SUM(O:O)</f>
        <v>2.4510000000000011E-2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input_388103!A$2</f>
        <v>388103</v>
      </c>
      <c r="B230" s="6">
        <v>601</v>
      </c>
      <c r="C230" s="7" t="str">
        <f t="shared" si="9"/>
        <v>Premium5color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1"/>
        <v>color</v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IFERROR(VLOOKUP(B230,input_388103!L:R,7,FALSE),VLOOKUP(tables_388103!C230,input_388103!A:H,8,FALSE))</f>
        <v>330.24</v>
      </c>
      <c r="P230" s="46">
        <f ca="1">O230/SUM(O:O)</f>
        <v>1.2900000000000006E-3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input_388103!A$2</f>
        <v>388103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1"/>
        <v/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IFERROR(VLOOKUP(B231,input_388103!L:R,7,FALSE),VLOOKUP(tables_388103!C231,input_388103!A:H,8,FALSE))</f>
        <v>152</v>
      </c>
      <c r="P231" s="46">
        <f ca="1">O231/SUM(O:O)</f>
        <v>5.937500000000002E-4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input_388103!A$2</f>
        <v>388103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1"/>
        <v/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IFERROR(VLOOKUP(B232,input_388103!L:R,7,FALSE),VLOOKUP(tables_388103!C232,input_388103!A:H,8,FALSE))</f>
        <v>8</v>
      </c>
      <c r="P232" s="46">
        <f ca="1">O232/SUM(O:O)</f>
        <v>3.1250000000000007E-5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input_388103!A$2</f>
        <v>388103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1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IFERROR(VLOOKUP(B233,input_388103!L:R,7,FALSE),VLOOKUP(tables_388103!C233,input_388103!A:H,8,FALSE))</f>
        <v>0</v>
      </c>
      <c r="P233" s="46">
        <f ca="1">O233/SUM(O:O)</f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input_388103!A$2</f>
        <v>388103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1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IFERROR(VLOOKUP(B234,input_388103!L:R,7,FALSE),VLOOKUP(tables_388103!C234,input_388103!A:H,8,FALSE))</f>
        <v>1437.92</v>
      </c>
      <c r="P234" s="46">
        <f ca="1">O234/SUM(O:O)</f>
        <v>5.6168750000000021E-3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input_388103!A$2</f>
        <v>388103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1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IFERROR(VLOOKUP(B235,input_388103!L:R,7,FALSE),VLOOKUP(tables_388103!C235,input_388103!A:H,8,FALSE))</f>
        <v>75.680000000000007</v>
      </c>
      <c r="P235" s="46">
        <f ca="1">O235/SUM(O:O)</f>
        <v>2.9562500000000015E-4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input_388103!A$2</f>
        <v>388103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1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IFERROR(VLOOKUP(B236,input_388103!L:R,7,FALSE),VLOOKUP(tables_388103!C236,input_388103!A:H,8,FALSE))</f>
        <v>152</v>
      </c>
      <c r="P236" s="46">
        <f ca="1">O236/SUM(O:O)</f>
        <v>5.937500000000002E-4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input_388103!A$2</f>
        <v>388103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1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IFERROR(VLOOKUP(B237,input_388103!L:R,7,FALSE),VLOOKUP(tables_388103!C237,input_388103!A:H,8,FALSE))</f>
        <v>8</v>
      </c>
      <c r="P237" s="46">
        <f ca="1">O237/SUM(O:O)</f>
        <v>3.1250000000000007E-5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input_388103!A$2</f>
        <v>388103</v>
      </c>
      <c r="B238" s="6">
        <v>660</v>
      </c>
      <c r="C238" s="7" t="str">
        <f t="shared" si="9"/>
        <v>PremiumSS4color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1"/>
        <v>color</v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IFERROR(VLOOKUP(B238,input_388103!L:R,7,FALSE),VLOOKUP(tables_388103!C238,input_388103!A:H,8,FALSE))</f>
        <v>729.6</v>
      </c>
      <c r="P238" s="46">
        <f ca="1">O238/SUM(O:O)</f>
        <v>2.850000000000001E-3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input_388103!A$2</f>
        <v>388103</v>
      </c>
      <c r="B239" s="6">
        <v>661</v>
      </c>
      <c r="C239" s="7" t="str">
        <f t="shared" si="9"/>
        <v>PremiumSS5color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1"/>
        <v>color</v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IFERROR(VLOOKUP(B239,input_388103!L:R,7,FALSE),VLOOKUP(tables_388103!C239,input_388103!A:H,8,FALSE))</f>
        <v>38.4</v>
      </c>
      <c r="P239" s="46">
        <f ca="1">O239/SUM(O:O)</f>
        <v>1.5000000000000004E-4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input_388103!A$2</f>
        <v>388103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1"/>
        <v/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IFERROR(VLOOKUP(B240,input_388103!L:R,7,FALSE),VLOOKUP(tables_388103!C240,input_388103!A:H,8,FALSE))</f>
        <v>0</v>
      </c>
      <c r="P240" s="46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input_388103!A$2</f>
        <v>388103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1"/>
        <v/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IFERROR(VLOOKUP(B241,input_388103!L:R,7,FALSE),VLOOKUP(tables_388103!C241,input_388103!A:H,8,FALSE))</f>
        <v>1437.92</v>
      </c>
      <c r="P241" s="46">
        <f ca="1">O241/SUM(O:O)</f>
        <v>5.6168750000000021E-3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input_388103!A$2</f>
        <v>388103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1"/>
        <v/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IFERROR(VLOOKUP(B242,input_388103!L:R,7,FALSE),VLOOKUP(tables_388103!C242,input_388103!A:H,8,FALSE))</f>
        <v>75.680000000000007</v>
      </c>
      <c r="P242" s="46">
        <f ca="1">O242/SUM(O:O)</f>
        <v>2.9562500000000015E-4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input_388103!A$2</f>
        <v>388103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1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IFERROR(VLOOKUP(B243,input_388103!L:R,7,FALSE),VLOOKUP(tables_388103!C243,input_388103!A:H,8,FALSE))</f>
        <v>0</v>
      </c>
      <c r="P243" s="46">
        <f ca="1">O243/SUM(O:O)</f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input_388103!A$2</f>
        <v>388103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1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IFERROR(VLOOKUP(B244,input_388103!L:R,7,FALSE),VLOOKUP(tables_388103!C244,input_388103!A:H,8,FALSE))</f>
        <v>1437.92</v>
      </c>
      <c r="P244" s="46">
        <f ca="1">O244/SUM(O:O)</f>
        <v>5.6168750000000021E-3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input_388103!A$2</f>
        <v>388103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1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IFERROR(VLOOKUP(B245,input_388103!L:R,7,FALSE),VLOOKUP(tables_388103!C245,input_388103!A:H,8,FALSE))</f>
        <v>75.680000000000007</v>
      </c>
      <c r="P245" s="46">
        <f ca="1">O245/SUM(O:O)</f>
        <v>2.9562500000000015E-4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input_388103!A$2</f>
        <v>388103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1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IFERROR(VLOOKUP(B246,input_388103!L:R,7,FALSE),VLOOKUP(tables_388103!C246,input_388103!A:H,8,FALSE))</f>
        <v>0</v>
      </c>
      <c r="P246" s="46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input_388103!A$2</f>
        <v>388103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1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IFERROR(VLOOKUP(B247,input_388103!L:R,7,FALSE),VLOOKUP(tables_388103!C247,input_388103!A:H,8,FALSE))</f>
        <v>1437.92</v>
      </c>
      <c r="P247" s="46">
        <f ca="1">O247/SUM(O:O)</f>
        <v>5.6168750000000021E-3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input_388103!A$2</f>
        <v>388103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1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IFERROR(VLOOKUP(B248,input_388103!L:R,7,FALSE),VLOOKUP(tables_388103!C248,input_388103!A:H,8,FALSE))</f>
        <v>75.680000000000007</v>
      </c>
      <c r="P248" s="46">
        <f ca="1">O248/SUM(O:O)</f>
        <v>2.9562500000000015E-4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input_388103!A$2</f>
        <v>388103</v>
      </c>
      <c r="B249" s="60">
        <v>671</v>
      </c>
      <c r="C249" s="7" t="str">
        <f t="shared" si="9"/>
        <v>Premium3color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1"/>
        <v>color</v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IFERROR(VLOOKUP(B249,input_388103!L:R,7,FALSE),VLOOKUP(tables_388103!C249,input_388103!A:H,8,FALSE))</f>
        <v>0</v>
      </c>
      <c r="P249" s="46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input_388103!A$2</f>
        <v>388103</v>
      </c>
      <c r="B250" s="60">
        <v>672</v>
      </c>
      <c r="C250" s="7" t="str">
        <f t="shared" si="9"/>
        <v>Premium4color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1"/>
        <v>color</v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IFERROR(VLOOKUP(B250,input_388103!L:R,7,FALSE),VLOOKUP(tables_388103!C250,input_388103!A:H,8,FALSE))</f>
        <v>6274.56</v>
      </c>
      <c r="P250" s="46">
        <f ca="1">O250/SUM(O:O)</f>
        <v>2.4510000000000011E-2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input_388103!A$2</f>
        <v>388103</v>
      </c>
      <c r="B251" s="60">
        <v>673</v>
      </c>
      <c r="C251" s="7" t="str">
        <f t="shared" si="9"/>
        <v>Premium5color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1"/>
        <v>color</v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IFERROR(VLOOKUP(B251,input_388103!L:R,7,FALSE),VLOOKUP(tables_388103!C251,input_388103!A:H,8,FALSE))</f>
        <v>330.24</v>
      </c>
      <c r="P251" s="46">
        <f ca="1">O251/SUM(O:O)</f>
        <v>1.2900000000000006E-3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input_388103!A$2</f>
        <v>388103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1"/>
        <v/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IFERROR(VLOOKUP(B252,input_388103!L:R,7,FALSE),VLOOKUP(tables_388103!C252,input_388103!A:H,8,FALSE))</f>
        <v>152</v>
      </c>
      <c r="P252" s="46">
        <f ca="1">O252/SUM(O:O)</f>
        <v>5.937500000000002E-4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input_388103!A$2</f>
        <v>388103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1"/>
        <v/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IFERROR(VLOOKUP(B253,input_388103!L:R,7,FALSE),VLOOKUP(tables_388103!C253,input_388103!A:H,8,FALSE))</f>
        <v>8</v>
      </c>
      <c r="P253" s="46">
        <f ca="1">O253/SUM(O:O)</f>
        <v>3.1250000000000007E-5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input_388103!A$2</f>
        <v>388103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1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IFERROR(VLOOKUP(B254,input_388103!L:R,7,FALSE),VLOOKUP(tables_388103!C254,input_388103!A:H,8,FALSE))</f>
        <v>152</v>
      </c>
      <c r="P254" s="46">
        <f ca="1">O254/SUM(O:O)</f>
        <v>5.937500000000002E-4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input_388103!A$2</f>
        <v>388103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1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IFERROR(VLOOKUP(B255,input_388103!L:R,7,FALSE),VLOOKUP(tables_388103!C255,input_388103!A:H,8,FALSE))</f>
        <v>8</v>
      </c>
      <c r="P255" s="46">
        <f ca="1">O255/SUM(O:O)</f>
        <v>3.1250000000000007E-5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input_388103!A$2</f>
        <v>388103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 t="str">
        <f t="shared" si="11"/>
        <v/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IFERROR(VLOOKUP(B256,input_388103!L:R,7,FALSE),VLOOKUP(tables_388103!C256,input_388103!A:H,8,FALSE))</f>
        <v>1511.68</v>
      </c>
      <c r="P256" s="46">
        <f ca="1">O256/SUM(O:O)</f>
        <v>5.9050000000000023E-3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input_388103!A$2</f>
        <v>388103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 t="str">
        <f t="shared" si="11"/>
        <v/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IFERROR(VLOOKUP(B257,input_388103!L:R,7,FALSE),VLOOKUP(tables_388103!C257,input_388103!A:H,8,FALSE))</f>
        <v>1.92</v>
      </c>
      <c r="P257" s="46">
        <f ca="1">O257/SUM(O:O)</f>
        <v>7.5000000000000019E-6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input_388103!A$2</f>
        <v>388103</v>
      </c>
      <c r="B258" s="60">
        <v>730</v>
      </c>
      <c r="C258" s="7" t="str">
        <f t="shared" ref="C258:C284" si="12">D258&amp;J258&amp;E258&amp;F258&amp;G258</f>
        <v>Premium4R3lesscolor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 t="str">
        <f t="shared" si="11"/>
        <v>color</v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IFERROR(VLOOKUP(B258,input_388103!L:R,7,FALSE),VLOOKUP(tables_388103!C258,input_388103!A:H,8,FALSE))</f>
        <v>6443.52</v>
      </c>
      <c r="P258" s="46">
        <f ca="1">O258/SUM(O:O)</f>
        <v>2.5170000000000012E-2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input_388103!A$2</f>
        <v>388103</v>
      </c>
      <c r="B259" s="60">
        <v>731</v>
      </c>
      <c r="C259" s="7" t="str">
        <f t="shared" si="12"/>
        <v>Premium5R3lesscolor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 t="str">
        <f t="shared" ref="G259:G300" si="14">IF(K259="green","color","")</f>
        <v>color</v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IFERROR(VLOOKUP(B259,input_388103!L:R,7,FALSE),VLOOKUP(tables_388103!C259,input_388103!A:H,8,FALSE))</f>
        <v>161.28</v>
      </c>
      <c r="P259" s="46">
        <f ca="1">O259/SUM(O:O)</f>
        <v>6.3000000000000024E-4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input_388103!A$2</f>
        <v>388103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 t="str">
        <f t="shared" si="14"/>
        <v/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IFERROR(VLOOKUP(B260,input_388103!L:R,7,FALSE),VLOOKUP(tables_388103!C260,input_388103!A:H,8,FALSE))</f>
        <v>160</v>
      </c>
      <c r="P260" s="46">
        <f ca="1">O260/SUM(O:O)</f>
        <v>6.2500000000000023E-4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input_388103!A$2</f>
        <v>388103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 t="str">
        <f t="shared" si="14"/>
        <v/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IFERROR(VLOOKUP(B261,input_388103!L:R,7,FALSE),VLOOKUP(tables_388103!C261,input_388103!A:H,8,FALSE))</f>
        <v>160</v>
      </c>
      <c r="P261" s="46">
        <f ca="1">O261/SUM(O:O)</f>
        <v>6.2500000000000023E-4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input_388103!A$2</f>
        <v>388103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4"/>
        <v/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IFERROR(VLOOKUP(B262,input_388103!L:R,7,FALSE),VLOOKUP(tables_388103!C262,input_388103!A:H,8,FALSE))</f>
        <v>152</v>
      </c>
      <c r="P262" s="46">
        <f ca="1">O262/SUM(O:O)</f>
        <v>5.937500000000002E-4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input_388103!A$2</f>
        <v>388103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4"/>
        <v/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IFERROR(VLOOKUP(B263,input_388103!L:R,7,FALSE),VLOOKUP(tables_388103!C263,input_388103!A:H,8,FALSE))</f>
        <v>8</v>
      </c>
      <c r="P263" s="46">
        <f ca="1">O263/SUM(O:O)</f>
        <v>3.1250000000000007E-5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input_388103!A$2</f>
        <v>388103</v>
      </c>
      <c r="B264" s="60">
        <v>772</v>
      </c>
      <c r="C264" s="7" t="str">
        <f t="shared" si="12"/>
        <v>PremiumSS4color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4"/>
        <v>color</v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IFERROR(VLOOKUP(B264,input_388103!L:R,7,FALSE),VLOOKUP(tables_388103!C264,input_388103!A:H,8,FALSE))</f>
        <v>729.6</v>
      </c>
      <c r="P264" s="46">
        <f ca="1">O264/SUM(O:O)</f>
        <v>2.850000000000001E-3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input_388103!A$2</f>
        <v>388103</v>
      </c>
      <c r="B265" s="60">
        <v>773</v>
      </c>
      <c r="C265" s="7" t="str">
        <f t="shared" si="12"/>
        <v>PremiumSS5color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4"/>
        <v>color</v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IFERROR(VLOOKUP(B265,input_388103!L:R,7,FALSE),VLOOKUP(tables_388103!C265,input_388103!A:H,8,FALSE))</f>
        <v>38.4</v>
      </c>
      <c r="P265" s="46">
        <f ca="1">O265/SUM(O:O)</f>
        <v>1.5000000000000004E-4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input_388103!A$2</f>
        <v>388103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 t="str">
        <f t="shared" si="14"/>
        <v/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IFERROR(VLOOKUP(B266,input_388103!L:R,7,FALSE),VLOOKUP(tables_388103!C266,input_388103!A:H,8,FALSE))</f>
        <v>0</v>
      </c>
      <c r="P266" s="46">
        <f ca="1">O266/SUM(O:O)</f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input_388103!A$2</f>
        <v>388103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 t="str">
        <f t="shared" si="14"/>
        <v/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IFERROR(VLOOKUP(B267,input_388103!L:R,7,FALSE),VLOOKUP(tables_388103!C267,input_388103!A:H,8,FALSE))</f>
        <v>1437.92</v>
      </c>
      <c r="P267" s="46">
        <f ca="1">O267/SUM(O:O)</f>
        <v>5.6168750000000021E-3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input_388103!A$2</f>
        <v>388103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 t="str">
        <f t="shared" si="14"/>
        <v/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IFERROR(VLOOKUP(B268,input_388103!L:R,7,FALSE),VLOOKUP(tables_388103!C268,input_388103!A:H,8,FALSE))</f>
        <v>75.680000000000007</v>
      </c>
      <c r="P268" s="46">
        <f ca="1">O268/SUM(O:O)</f>
        <v>2.9562500000000015E-4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input_388103!A$2</f>
        <v>388103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 t="str">
        <f t="shared" si="14"/>
        <v/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IFERROR(VLOOKUP(B269,input_388103!L:R,7,FALSE),VLOOKUP(tables_388103!C269,input_388103!A:H,8,FALSE))</f>
        <v>0</v>
      </c>
      <c r="P269" s="46">
        <f ca="1">O269/SUM(O:O)</f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input_388103!A$2</f>
        <v>388103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 t="str">
        <f t="shared" si="14"/>
        <v/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IFERROR(VLOOKUP(B270,input_388103!L:R,7,FALSE),VLOOKUP(tables_388103!C270,input_388103!A:H,8,FALSE))</f>
        <v>1437.92</v>
      </c>
      <c r="P270" s="46">
        <f ca="1">O270/SUM(O:O)</f>
        <v>5.6168750000000021E-3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input_388103!A$2</f>
        <v>388103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 t="str">
        <f t="shared" si="14"/>
        <v/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IFERROR(VLOOKUP(B271,input_388103!L:R,7,FALSE),VLOOKUP(tables_388103!C271,input_388103!A:H,8,FALSE))</f>
        <v>75.680000000000007</v>
      </c>
      <c r="P271" s="46">
        <f ca="1">O271/SUM(O:O)</f>
        <v>2.9562500000000015E-4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input_388103!A$2</f>
        <v>388103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tr">
        <f t="shared" si="14"/>
        <v/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IFERROR(VLOOKUP(B272,input_388103!L:R,7,FALSE),VLOOKUP(tables_388103!C272,input_388103!A:H,8,FALSE))</f>
        <v>160</v>
      </c>
      <c r="P272" s="46">
        <f ca="1">O272/SUM(O:O)</f>
        <v>6.2500000000000023E-4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input_388103!A$2</f>
        <v>388103</v>
      </c>
      <c r="B273" s="83">
        <v>850</v>
      </c>
      <c r="C273" s="7" t="str">
        <f t="shared" si="12"/>
        <v>PremiumSS5R5onlycolor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 t="str">
        <f t="shared" si="14"/>
        <v>color</v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IFERROR(VLOOKUP(B273,input_388103!L:R,7,FALSE),VLOOKUP(tables_388103!C273,input_388103!A:H,8,FALSE))</f>
        <v>768</v>
      </c>
      <c r="P273" s="46">
        <f ca="1">O273/SUM(O:O)</f>
        <v>3.0000000000000009E-3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input_388103!A$2</f>
        <v>388103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tr">
        <f t="shared" si="14"/>
        <v/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IFERROR(VLOOKUP(B274,input_388103!L:R,7,FALSE),VLOOKUP(tables_388103!C274,input_388103!A:H,8,FALSE))</f>
        <v>1511.68</v>
      </c>
      <c r="P274" s="46">
        <f ca="1">O274/SUM(O:O)</f>
        <v>5.9050000000000023E-3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input_388103!A$2</f>
        <v>388103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tr">
        <f t="shared" si="14"/>
        <v/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IFERROR(VLOOKUP(B275,input_388103!L:R,7,FALSE),VLOOKUP(tables_388103!C275,input_388103!A:H,8,FALSE))</f>
        <v>1.92</v>
      </c>
      <c r="P275" s="46">
        <f ca="1">O275/SUM(O:O)</f>
        <v>7.5000000000000019E-6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input_388103!A$2</f>
        <v>388103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tr">
        <f t="shared" si="14"/>
        <v/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IFERROR(VLOOKUP(B276,input_388103!L:R,7,FALSE),VLOOKUP(tables_388103!C276,input_388103!A:H,8,FALSE))</f>
        <v>1511.68</v>
      </c>
      <c r="P276" s="46">
        <f ca="1">O276/SUM(O:O)</f>
        <v>5.9050000000000023E-3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input_388103!A$2</f>
        <v>388103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tr">
        <f t="shared" si="14"/>
        <v/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IFERROR(VLOOKUP(B277,input_388103!L:R,7,FALSE),VLOOKUP(tables_388103!C277,input_388103!A:H,8,FALSE))</f>
        <v>1.92</v>
      </c>
      <c r="P277" s="46">
        <f ca="1">O277/SUM(O:O)</f>
        <v>7.5000000000000019E-6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input_388103!A$2</f>
        <v>388103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tr">
        <f t="shared" si="14"/>
        <v/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IFERROR(VLOOKUP(B278,input_388103!L:R,7,FALSE),VLOOKUP(tables_388103!C278,input_388103!A:H,8,FALSE))</f>
        <v>1511.68</v>
      </c>
      <c r="P278" s="46">
        <f ca="1">O278/SUM(O:O)</f>
        <v>5.9050000000000023E-3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input_388103!A$2</f>
        <v>388103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tr">
        <f t="shared" si="14"/>
        <v/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IFERROR(VLOOKUP(B279,input_388103!L:R,7,FALSE),VLOOKUP(tables_388103!C279,input_388103!A:H,8,FALSE))</f>
        <v>1.92</v>
      </c>
      <c r="P279" s="46">
        <f ca="1">O279/SUM(O:O)</f>
        <v>7.5000000000000019E-6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input_388103!A$2</f>
        <v>388103</v>
      </c>
      <c r="B280" s="83">
        <v>864</v>
      </c>
      <c r="C280" s="7" t="str">
        <f t="shared" si="12"/>
        <v>Premium4R3lesscolor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 t="str">
        <f t="shared" si="14"/>
        <v>color</v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IFERROR(VLOOKUP(B280,input_388103!L:R,7,FALSE),VLOOKUP(tables_388103!C280,input_388103!A:H,8,FALSE))</f>
        <v>6443.52</v>
      </c>
      <c r="P280" s="46">
        <f ca="1">O280/SUM(O:O)</f>
        <v>2.5170000000000012E-2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input_388103!A$2</f>
        <v>388103</v>
      </c>
      <c r="B281" s="83">
        <v>865</v>
      </c>
      <c r="C281" s="7" t="str">
        <f t="shared" si="12"/>
        <v>Premium5R3lesscolor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 t="str">
        <f t="shared" si="14"/>
        <v>color</v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IFERROR(VLOOKUP(B281,input_388103!L:R,7,FALSE),VLOOKUP(tables_388103!C281,input_388103!A:H,8,FALSE))</f>
        <v>161.28</v>
      </c>
      <c r="P281" s="46">
        <f ca="1">O281/SUM(O:O)</f>
        <v>6.3000000000000024E-4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input_388103!A$2</f>
        <v>388103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tr">
        <f t="shared" si="14"/>
        <v/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IFERROR(VLOOKUP(B282,input_388103!L:R,7,FALSE),VLOOKUP(tables_388103!C282,input_388103!A:H,8,FALSE))</f>
        <v>160</v>
      </c>
      <c r="P282" s="46">
        <f ca="1">O282/SUM(O:O)</f>
        <v>6.2500000000000023E-4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input_388103!A$2</f>
        <v>388103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tr">
        <f t="shared" si="14"/>
        <v/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IFERROR(VLOOKUP(B283,input_388103!L:R,7,FALSE),VLOOKUP(tables_388103!C283,input_388103!A:H,8,FALSE))</f>
        <v>160</v>
      </c>
      <c r="P283" s="46">
        <f ca="1">O283/SUM(O:O)</f>
        <v>6.2500000000000023E-4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input_388103!A$2</f>
        <v>388103</v>
      </c>
      <c r="B284" s="83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 t="str">
        <f t="shared" si="14"/>
        <v/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IFERROR(VLOOKUP(B284,input_388103!L:R,7,FALSE),VLOOKUP(tables_388103!C284,input_388103!A:H,8,FALSE))</f>
        <v>160</v>
      </c>
      <c r="P284" s="46">
        <f ca="1">O284/SUM(O:O)</f>
        <v>6.2500000000000023E-4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input_388103!A$2</f>
        <v>388103</v>
      </c>
      <c r="B285" s="83">
        <v>744</v>
      </c>
      <c r="C285" s="7" t="str">
        <f t="shared" ref="C285:C290" si="15">D285&amp;J285&amp;E285&amp;F285&amp;G285</f>
        <v>PremiumSS5R5onlycolor</v>
      </c>
      <c r="D285" s="7" t="str">
        <f t="shared" ref="D285:D290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 t="str">
        <f t="shared" si="14"/>
        <v>color</v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IFERROR(VLOOKUP(B285,input_388103!L:R,7,FALSE),VLOOKUP(tables_388103!C285,input_388103!A:H,8,FALSE))</f>
        <v>768</v>
      </c>
      <c r="P285" s="46">
        <f ca="1">O285/SUM(O:O)</f>
        <v>3.0000000000000009E-3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input_388103!A$2</f>
        <v>388103</v>
      </c>
      <c r="B286" s="83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 t="str">
        <f t="shared" si="14"/>
        <v/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IFERROR(VLOOKUP(B286,input_388103!L:R,7,FALSE),VLOOKUP(tables_388103!C286,input_388103!A:H,8,FALSE))</f>
        <v>1511.68</v>
      </c>
      <c r="P286" s="46">
        <f ca="1">O286/SUM(O:O)</f>
        <v>5.9050000000000023E-3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input_388103!A$2</f>
        <v>388103</v>
      </c>
      <c r="B287" s="83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 t="str">
        <f t="shared" si="14"/>
        <v/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IFERROR(VLOOKUP(B287,input_388103!L:R,7,FALSE),VLOOKUP(tables_388103!C287,input_388103!A:H,8,FALSE))</f>
        <v>1.92</v>
      </c>
      <c r="P287" s="46">
        <f ca="1">O287/SUM(O:O)</f>
        <v>7.5000000000000019E-6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input_388103!A$2</f>
        <v>388103</v>
      </c>
      <c r="B288" s="83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 t="str">
        <f t="shared" si="14"/>
        <v/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IFERROR(VLOOKUP(B288,input_388103!L:R,7,FALSE),VLOOKUP(tables_388103!C288,input_388103!A:H,8,FALSE))</f>
        <v>1511.68</v>
      </c>
      <c r="P288" s="46">
        <f ca="1">O288/SUM(O:O)</f>
        <v>5.9050000000000023E-3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input_388103!A$2</f>
        <v>388103</v>
      </c>
      <c r="B289" s="83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 t="str">
        <f t="shared" si="14"/>
        <v/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IFERROR(VLOOKUP(B289,input_388103!L:R,7,FALSE),VLOOKUP(tables_388103!C289,input_388103!A:H,8,FALSE))</f>
        <v>1.92</v>
      </c>
      <c r="P289" s="46">
        <f ca="1">O289/SUM(O:O)</f>
        <v>7.5000000000000019E-6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input_388103!A$2</f>
        <v>388103</v>
      </c>
      <c r="B290" s="83">
        <v>937</v>
      </c>
      <c r="C290" s="7" t="str">
        <f t="shared" si="15"/>
        <v>PremiumSS5R5only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 t="str">
        <f t="shared" si="14"/>
        <v/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IFERROR(VLOOKUP(B290,input_388103!L:R,7,FALSE),VLOOKUP(tables_388103!C290,input_388103!A:H,8,FALSE))</f>
        <v>160</v>
      </c>
      <c r="P290" s="46">
        <f ca="1">O290/SUM(O:O)</f>
        <v>6.2500000000000023E-4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input_388103!A$2</f>
        <v>388103</v>
      </c>
      <c r="B291" s="83">
        <v>939</v>
      </c>
      <c r="C291" s="7" t="str">
        <f t="shared" ref="C291:C300" si="17">D291&amp;J291&amp;E291&amp;F291&amp;G291</f>
        <v>Premium4R3lesscolor</v>
      </c>
      <c r="D291" s="7" t="str">
        <f t="shared" ref="D291:D300" si="18">IF(I291="PremiumSS",I291,IF(I291="PremiumSSS",I291,IF(I291="PremiumW",I291,"Premium")))</f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 t="str">
        <f t="shared" si="14"/>
        <v>color</v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IFERROR(VLOOKUP(B291,input_388103!L:R,7,FALSE),VLOOKUP(tables_388103!C291,input_388103!A:H,8,FALSE))</f>
        <v>6443.52</v>
      </c>
      <c r="P291" s="46">
        <f ca="1">O291/SUM(O:O)</f>
        <v>2.5170000000000012E-2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input_388103!A$2</f>
        <v>388103</v>
      </c>
      <c r="B292" s="83">
        <v>940</v>
      </c>
      <c r="C292" s="7" t="str">
        <f t="shared" si="17"/>
        <v>Premium5R3lesscolor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 t="str">
        <f t="shared" si="14"/>
        <v>color</v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IFERROR(VLOOKUP(B292,input_388103!L:R,7,FALSE),VLOOKUP(tables_388103!C292,input_388103!A:H,8,FALSE))</f>
        <v>161.28</v>
      </c>
      <c r="P292" s="46">
        <f ca="1">O292/SUM(O:O)</f>
        <v>6.3000000000000024E-4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input_388103!A$2</f>
        <v>388103</v>
      </c>
      <c r="B293" s="83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 t="str">
        <f t="shared" si="14"/>
        <v/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IFERROR(VLOOKUP(B293,input_388103!L:R,7,FALSE),VLOOKUP(tables_388103!C293,input_388103!A:H,8,FALSE))</f>
        <v>160</v>
      </c>
      <c r="P293" s="46">
        <f ca="1">O293/SUM(O:O)</f>
        <v>6.2500000000000023E-4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input_388103!A$2</f>
        <v>388103</v>
      </c>
      <c r="B294" s="83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 t="str">
        <f t="shared" si="14"/>
        <v/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IFERROR(VLOOKUP(B294,input_388103!L:R,7,FALSE),VLOOKUP(tables_388103!C294,input_388103!A:H,8,FALSE))</f>
        <v>160</v>
      </c>
      <c r="P294" s="46">
        <f ca="1">O294/SUM(O:O)</f>
        <v>6.2500000000000023E-4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input_388103!A$2</f>
        <v>388103</v>
      </c>
      <c r="B295" s="5">
        <v>1012</v>
      </c>
      <c r="C295" s="7" t="str">
        <f t="shared" si="17"/>
        <v>PremiumSS5R5only</v>
      </c>
      <c r="D295" s="7" t="str">
        <f t="shared" si="18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 t="str">
        <f t="shared" si="14"/>
        <v/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IFERROR(VLOOKUP(B295,input_388103!L:R,7,FALSE),VLOOKUP(tables_388103!C295,input_388103!A:H,8,FALSE))</f>
        <v>160</v>
      </c>
      <c r="P295" s="46">
        <f ca="1">O295/SUM(O:O)</f>
        <v>6.2500000000000023E-4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input_388103!A$2</f>
        <v>388103</v>
      </c>
      <c r="B296" s="5">
        <v>1014</v>
      </c>
      <c r="C296" s="7" t="str">
        <f t="shared" si="17"/>
        <v>PremiumSS5R5onlycolor</v>
      </c>
      <c r="D296" s="7" t="str">
        <f t="shared" si="18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 t="str">
        <f t="shared" si="14"/>
        <v>color</v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IFERROR(VLOOKUP(B296,input_388103!L:R,7,FALSE),VLOOKUP(tables_388103!C296,input_388103!A:H,8,FALSE))</f>
        <v>768</v>
      </c>
      <c r="P296" s="46">
        <f ca="1">O296/SUM(O:O)</f>
        <v>3.0000000000000009E-3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input_388103!A$2</f>
        <v>388103</v>
      </c>
      <c r="B297" s="5">
        <v>1016</v>
      </c>
      <c r="C297" s="7" t="str">
        <f t="shared" si="17"/>
        <v>Premium4R3less</v>
      </c>
      <c r="D297" s="7" t="str">
        <f t="shared" si="18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 t="str">
        <f t="shared" si="14"/>
        <v/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IFERROR(VLOOKUP(B297,input_388103!L:R,7,FALSE),VLOOKUP(tables_388103!C297,input_388103!A:H,8,FALSE))</f>
        <v>1511.68</v>
      </c>
      <c r="P297" s="46">
        <f ca="1">O297/SUM(O:O)</f>
        <v>5.9050000000000023E-3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input_388103!A$2</f>
        <v>388103</v>
      </c>
      <c r="B298" s="5">
        <v>1017</v>
      </c>
      <c r="C298" s="7" t="str">
        <f t="shared" si="17"/>
        <v>Premium5R3less</v>
      </c>
      <c r="D298" s="7" t="str">
        <f t="shared" si="18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 t="str">
        <f t="shared" si="14"/>
        <v/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IFERROR(VLOOKUP(B298,input_388103!L:R,7,FALSE),VLOOKUP(tables_388103!C298,input_388103!A:H,8,FALSE))</f>
        <v>1.92</v>
      </c>
      <c r="P298" s="46">
        <f ca="1">O298/SUM(O:O)</f>
        <v>7.5000000000000019E-6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input_388103!A$2</f>
        <v>388103</v>
      </c>
      <c r="B299" s="5">
        <v>1018</v>
      </c>
      <c r="C299" s="7" t="str">
        <f t="shared" si="17"/>
        <v>PremiumSS5R5only</v>
      </c>
      <c r="D299" s="7" t="str">
        <f t="shared" si="18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 t="str">
        <f t="shared" si="14"/>
        <v/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IFERROR(VLOOKUP(B299,input_388103!L:R,7,FALSE),VLOOKUP(tables_388103!C299,input_388103!A:H,8,FALSE))</f>
        <v>160</v>
      </c>
      <c r="P299" s="46">
        <f ca="1">O299/SUM(O:O)</f>
        <v>6.2500000000000023E-4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input_388103!A$2</f>
        <v>388103</v>
      </c>
      <c r="B300" s="83">
        <v>958</v>
      </c>
      <c r="C300" s="7" t="str">
        <f t="shared" si="17"/>
        <v>PremiumSSS5R3lesscolor</v>
      </c>
      <c r="D300" s="7" t="str">
        <f t="shared" si="18"/>
        <v>PremiumSSS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 t="str">
        <f t="shared" si="14"/>
        <v>color</v>
      </c>
      <c r="H300" s="7" t="str">
        <f>VLOOKUP(B300,[1]characters!$A:$C,3,FALSE)</f>
        <v>ド・モルガン</v>
      </c>
      <c r="I300" s="7" t="str">
        <f>VLOOKUP(B300,[1]characters!$A:$J,10,FALSE)</f>
        <v>PremiumSSS</v>
      </c>
      <c r="J300" s="7">
        <f>VLOOKUP(B300,[1]characters!$A:$I,9,FALSE)</f>
        <v>5</v>
      </c>
      <c r="K300" s="7" t="str">
        <f>VLOOKUP(B300,[1]characters!$A:$H,8,FALSE)</f>
        <v>green</v>
      </c>
      <c r="L300" s="7" t="str">
        <f>VLOOKUP(B300,[1]characters!$A:$K,11,FALSE)</f>
        <v>balance</v>
      </c>
      <c r="M300" s="7" t="str">
        <f>VLOOKUP(B300,[1]characters!$A:$M,13,FALSE)</f>
        <v>academia</v>
      </c>
      <c r="N300" s="7" t="str">
        <f>VLOOKUP(B300,[1]characters!$A:$G,7,FALSE)</f>
        <v>男性</v>
      </c>
      <c r="O300" s="45">
        <f ca="1">IFERROR(VLOOKUP(B300,input_388103!L:R,7,FALSE),VLOOKUP(tables_388103!C300,input_388103!A:H,8,FALSE))</f>
        <v>1024</v>
      </c>
      <c r="P300" s="46">
        <f ca="1">O300/SUM(O:O)</f>
        <v>4.000000000000001E-3</v>
      </c>
      <c r="Q300" s="89">
        <v>80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</sheetData>
  <autoFilter ref="A1:V300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"/>
  <sheetViews>
    <sheetView showGridLines="0" zoomScale="75" zoomScaleNormal="75" zoomScalePageLayoutView="75" workbookViewId="0">
      <pane ySplit="1" topLeftCell="A2" activePane="bottomLeft" state="frozen"/>
      <selection activeCell="L296" sqref="L296"/>
      <selection pane="bottomLeft" activeCell="A2" sqref="A2:A2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388103</v>
      </c>
      <c r="B2" s="6">
        <v>171</v>
      </c>
      <c r="C2" s="7" t="str">
        <f t="shared" ref="C2" si="0">D2&amp;J2&amp;E2&amp;F2&amp;G2</f>
        <v>Premium5R6releasecolor</v>
      </c>
      <c r="D2" s="7" t="str">
        <f t="shared" ref="D2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 t="str">
        <f>IF(K2="green","color","")</f>
        <v>color</v>
      </c>
      <c r="H2" s="7" t="str">
        <f>VLOOKUP(B2,[1]characters!$A:$C,3,FALSE)</f>
        <v>精解の預知者 オセ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45">
        <f>P2*17000</f>
        <v>946</v>
      </c>
      <c r="P2" s="46">
        <f>IF(I2="PremiumSS",5%/10,IF(I2="PremiumSSS",0.4%,(1-5%-0.4%)/17))</f>
        <v>5.5647058823529411E-2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388103</v>
      </c>
      <c r="B3" s="6">
        <v>183</v>
      </c>
      <c r="C3" s="7" t="str">
        <f t="shared" ref="C3:C29" si="2">D3&amp;J3&amp;E3&amp;F3&amp;G3</f>
        <v>Premium5color</v>
      </c>
      <c r="D3" s="7" t="str">
        <f t="shared" ref="D3:D29" si="3">IF(I3="PremiumSS",I3,IF(I3="PremiumSSS",I3,IF(I3="PremiumW",I3,"Premium")))</f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ref="G3:G29" si="4">IF(K3="green","color","")</f>
        <v>color</v>
      </c>
      <c r="H3" s="7" t="str">
        <f>VLOOKUP(B3,[1]characters!$A:$C,3,FALSE)</f>
        <v>鈍重な彷徨者 ベヒモス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animal</v>
      </c>
      <c r="N3" s="7" t="str">
        <f>VLOOKUP(B3,[1]characters!$A:$G,7,FALSE)</f>
        <v>女性</v>
      </c>
      <c r="O3" s="45">
        <f t="shared" ref="O3:O29" si="5">P3*17000</f>
        <v>946</v>
      </c>
      <c r="P3" s="46">
        <f t="shared" ref="P3:P29" si="6">IF(I3="PremiumSS",5%/10,IF(I3="PremiumSSS",0.4%,(1-5%-0.4%)/17))</f>
        <v>5.5647058823529411E-2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388103</v>
      </c>
      <c r="B4" s="6">
        <v>195</v>
      </c>
      <c r="C4" s="7" t="str">
        <f t="shared" si="2"/>
        <v>Premium5color</v>
      </c>
      <c r="D4" s="7" t="str">
        <f t="shared" si="3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4"/>
        <v>color</v>
      </c>
      <c r="H4" s="7" t="str">
        <f>VLOOKUP(B4,[1]characters!$A:$C,3,FALSE)</f>
        <v>グランドハンター ロビンフッド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t="shared" si="5"/>
        <v>946</v>
      </c>
      <c r="P4" s="46">
        <f t="shared" si="6"/>
        <v>5.5647058823529411E-2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388103</v>
      </c>
      <c r="B5" s="5">
        <v>207</v>
      </c>
      <c r="C5" s="7" t="str">
        <f t="shared" si="2"/>
        <v>Premium5color</v>
      </c>
      <c r="D5" s="7" t="str">
        <f t="shared" si="3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4"/>
        <v>color</v>
      </c>
      <c r="H5" s="7" t="str">
        <f>VLOOKUP(B5,[1]characters!$A:$C,3,FALSE)</f>
        <v>豊穣の麗神・アフロディーテ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5"/>
        <v>946</v>
      </c>
      <c r="P5" s="46">
        <f t="shared" si="6"/>
        <v>5.5647058823529411E-2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388103</v>
      </c>
      <c r="B6" s="5">
        <v>219</v>
      </c>
      <c r="C6" s="7" t="str">
        <f t="shared" si="2"/>
        <v>Premium5color</v>
      </c>
      <c r="D6" s="7" t="str">
        <f t="shared" si="3"/>
        <v>Premium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4"/>
        <v>color</v>
      </c>
      <c r="H6" s="7" t="str">
        <f>VLOOKUP(B6,[1]characters!$A:$C,3,FALSE)</f>
        <v>覇翼の聖蛇竜 ケツァクアトル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45">
        <f t="shared" si="5"/>
        <v>946</v>
      </c>
      <c r="P6" s="46">
        <f t="shared" si="6"/>
        <v>5.5647058823529411E-2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388103</v>
      </c>
      <c r="B7" s="5">
        <v>231</v>
      </c>
      <c r="C7" s="7" t="str">
        <f t="shared" si="2"/>
        <v>Premium5color</v>
      </c>
      <c r="D7" s="7" t="str">
        <f t="shared" si="3"/>
        <v>Premium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4"/>
        <v>color</v>
      </c>
      <c r="H7" s="7" t="str">
        <f>VLOOKUP(B7,[1]characters!$A:$C,3,FALSE)</f>
        <v>必中の咬銃 ヨルムンガンド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technical</v>
      </c>
      <c r="M7" s="7" t="str">
        <f>VLOOKUP(B7,[1]characters!$A:$M,13,FALSE)</f>
        <v>dragon</v>
      </c>
      <c r="N7" s="7" t="str">
        <f>VLOOKUP(B7,[1]characters!$A:$G,7,FALSE)</f>
        <v>女性</v>
      </c>
      <c r="O7" s="45">
        <f t="shared" si="5"/>
        <v>946</v>
      </c>
      <c r="P7" s="46">
        <f t="shared" si="6"/>
        <v>5.5647058823529411E-2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388103</v>
      </c>
      <c r="B8" s="5">
        <v>243</v>
      </c>
      <c r="C8" s="7" t="str">
        <f t="shared" si="2"/>
        <v>Premium5color</v>
      </c>
      <c r="D8" s="7" t="str">
        <f t="shared" si="3"/>
        <v>Premium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4"/>
        <v>color</v>
      </c>
      <c r="H8" s="7" t="str">
        <f>VLOOKUP(B8,[1]characters!$A:$C,3,FALSE)</f>
        <v>万花の天使 ガブリエル・ブルーム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green</v>
      </c>
      <c r="L8" s="7" t="str">
        <f>VLOOKUP(B8,[1]characters!$A:$K,11,FALSE)</f>
        <v>balance</v>
      </c>
      <c r="M8" s="7" t="str">
        <f>VLOOKUP(B8,[1]characters!$A:$M,13,FALSE)</f>
        <v>machine</v>
      </c>
      <c r="N8" s="7" t="str">
        <f>VLOOKUP(B8,[1]characters!$A:$G,7,FALSE)</f>
        <v>女性</v>
      </c>
      <c r="O8" s="45">
        <f t="shared" si="5"/>
        <v>946</v>
      </c>
      <c r="P8" s="46">
        <f t="shared" si="6"/>
        <v>5.5647058823529411E-2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388103</v>
      </c>
      <c r="B9" s="6">
        <v>255</v>
      </c>
      <c r="C9" s="7" t="str">
        <f t="shared" si="2"/>
        <v>Premium5color</v>
      </c>
      <c r="D9" s="7" t="str">
        <f t="shared" si="3"/>
        <v>Premium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4"/>
        <v>color</v>
      </c>
      <c r="H9" s="7" t="str">
        <f>VLOOKUP(B9,[1]characters!$A:$C,3,FALSE)</f>
        <v>怠惰の頂点 ベルフェゴール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green</v>
      </c>
      <c r="L9" s="7" t="str">
        <f>VLOOKUP(B9,[1]characters!$A:$K,11,FALSE)</f>
        <v>technical</v>
      </c>
      <c r="M9" s="7" t="str">
        <f>VLOOKUP(B9,[1]characters!$A:$M,13,FALSE)</f>
        <v>god</v>
      </c>
      <c r="N9" s="7" t="str">
        <f>VLOOKUP(B9,[1]characters!$A:$G,7,FALSE)</f>
        <v>女性</v>
      </c>
      <c r="O9" s="45">
        <f t="shared" si="5"/>
        <v>946</v>
      </c>
      <c r="P9" s="46">
        <f t="shared" si="6"/>
        <v>5.5647058823529411E-2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388103</v>
      </c>
      <c r="B10" s="6">
        <v>323</v>
      </c>
      <c r="C10" s="7" t="str">
        <f t="shared" si="2"/>
        <v>PremiumSS5color</v>
      </c>
      <c r="D10" s="7" t="str">
        <f t="shared" si="3"/>
        <v>PremiumSS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4"/>
        <v>color</v>
      </c>
      <c r="H10" s="7" t="str">
        <f>VLOOKUP(B10,[1]characters!$A:$C,3,FALSE)</f>
        <v>流麗の愛志士 土方歳三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attack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5"/>
        <v>85</v>
      </c>
      <c r="P10" s="46">
        <f t="shared" si="6"/>
        <v>5.0000000000000001E-3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388103</v>
      </c>
      <c r="B11" s="6">
        <v>384</v>
      </c>
      <c r="C11" s="7" t="str">
        <f t="shared" si="2"/>
        <v>PremiumSS5color</v>
      </c>
      <c r="D11" s="7" t="str">
        <f t="shared" si="3"/>
        <v>PremiumSS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4"/>
        <v>color</v>
      </c>
      <c r="H11" s="7" t="str">
        <f>VLOOKUP(B11,[1]characters!$A:$C,3,FALSE)</f>
        <v>破国の呑龍 ヤマタノオロチ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hp</v>
      </c>
      <c r="M11" s="7" t="str">
        <f>VLOOKUP(B11,[1]characters!$A:$M,13,FALSE)</f>
        <v>dragon</v>
      </c>
      <c r="N11" s="7" t="str">
        <f>VLOOKUP(B11,[1]characters!$A:$G,7,FALSE)</f>
        <v>女性</v>
      </c>
      <c r="O11" s="45">
        <f t="shared" si="5"/>
        <v>85</v>
      </c>
      <c r="P11" s="46">
        <f t="shared" si="6"/>
        <v>5.0000000000000001E-3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388103</v>
      </c>
      <c r="B12" s="6">
        <v>394</v>
      </c>
      <c r="C12" s="7" t="str">
        <f t="shared" si="2"/>
        <v>Premium5color</v>
      </c>
      <c r="D12" s="7" t="str">
        <f t="shared" si="3"/>
        <v>Premium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4"/>
        <v>color</v>
      </c>
      <c r="H12" s="7" t="str">
        <f>VLOOKUP(B12,[1]characters!$A:$C,3,FALSE)</f>
        <v>影求の悪童 ピーターパン</v>
      </c>
      <c r="I12" s="7" t="str">
        <f>VLOOKUP(B12,[1]characters!$A:$J,10,FALSE)</f>
        <v>PremiumS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attack</v>
      </c>
      <c r="M12" s="7" t="str">
        <f>VLOOKUP(B12,[1]characters!$A:$M,13,FALSE)</f>
        <v>human</v>
      </c>
      <c r="N12" s="7" t="str">
        <f>VLOOKUP(B12,[1]characters!$A:$G,7,FALSE)</f>
        <v>男性</v>
      </c>
      <c r="O12" s="45">
        <f t="shared" si="5"/>
        <v>946</v>
      </c>
      <c r="P12" s="46">
        <f t="shared" si="6"/>
        <v>5.5647058823529411E-2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388103</v>
      </c>
      <c r="B13" s="6">
        <v>404</v>
      </c>
      <c r="C13" s="7" t="str">
        <f t="shared" si="2"/>
        <v>PremiumSS5color</v>
      </c>
      <c r="D13" s="7" t="str">
        <f t="shared" si="3"/>
        <v>PremiumSS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4"/>
        <v>color</v>
      </c>
      <c r="H13" s="7" t="str">
        <f>VLOOKUP(B13,[1]characters!$A:$C,3,FALSE)</f>
        <v>空襲の神眼 八咫烏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animal</v>
      </c>
      <c r="N13" s="7" t="str">
        <f>VLOOKUP(B13,[1]characters!$A:$G,7,FALSE)</f>
        <v>女性</v>
      </c>
      <c r="O13" s="45">
        <f t="shared" si="5"/>
        <v>85</v>
      </c>
      <c r="P13" s="46">
        <f t="shared" si="6"/>
        <v>5.0000000000000001E-3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388103</v>
      </c>
      <c r="B14" s="6">
        <v>438</v>
      </c>
      <c r="C14" s="7" t="str">
        <f t="shared" si="2"/>
        <v>Premium5color</v>
      </c>
      <c r="D14" s="7" t="str">
        <f t="shared" si="3"/>
        <v>Premium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4"/>
        <v>color</v>
      </c>
      <c r="H14" s="7" t="str">
        <f>VLOOKUP(B14,[1]characters!$A:$C,3,FALSE)</f>
        <v>記憶の奪還 カカシ</v>
      </c>
      <c r="I14" s="7" t="str">
        <f>VLOOKUP(B14,[1]characters!$A:$J,10,FALSE)</f>
        <v>PremiumS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technical</v>
      </c>
      <c r="M14" s="7" t="str">
        <f>VLOOKUP(B14,[1]characters!$A:$M,13,FALSE)</f>
        <v>human</v>
      </c>
      <c r="N14" s="7" t="str">
        <f>VLOOKUP(B14,[1]characters!$A:$G,7,FALSE)</f>
        <v>男性</v>
      </c>
      <c r="O14" s="45">
        <f t="shared" si="5"/>
        <v>946</v>
      </c>
      <c r="P14" s="46">
        <f t="shared" si="6"/>
        <v>5.5647058823529411E-2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388103</v>
      </c>
      <c r="B15" s="6">
        <v>466</v>
      </c>
      <c r="C15" s="7" t="str">
        <f t="shared" si="2"/>
        <v>PremiumSS5color</v>
      </c>
      <c r="D15" s="7" t="str">
        <f t="shared" si="3"/>
        <v>PremiumSS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4"/>
        <v>color</v>
      </c>
      <c r="H15" s="7" t="str">
        <f>VLOOKUP(B15,[1]characters!$A:$C,3,FALSE)</f>
        <v>真断の勇覇 ランスロット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男性</v>
      </c>
      <c r="O15" s="45">
        <f t="shared" si="5"/>
        <v>85</v>
      </c>
      <c r="P15" s="46">
        <f t="shared" si="6"/>
        <v>5.0000000000000001E-3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v>388103</v>
      </c>
      <c r="B16" s="6">
        <v>478</v>
      </c>
      <c r="C16" s="7" t="str">
        <f t="shared" si="2"/>
        <v>Premium5color</v>
      </c>
      <c r="D16" s="7" t="str">
        <f t="shared" si="3"/>
        <v>Premium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4"/>
        <v>color</v>
      </c>
      <c r="H16" s="7" t="str">
        <f>VLOOKUP(B16,[1]characters!$A:$C,3,FALSE)</f>
        <v>時計仕掛けの愛羽妖精 ファータ</v>
      </c>
      <c r="I16" s="7" t="str">
        <f>VLOOKUP(B16,[1]characters!$A:$J,10,FALSE)</f>
        <v>PremiumS</v>
      </c>
      <c r="J16" s="7">
        <f>VLOOKUP(B16,[1]characters!$A:$I,9,FALSE)</f>
        <v>5</v>
      </c>
      <c r="K16" s="7" t="str">
        <f>VLOOKUP(B16,[1]characters!$A:$H,8,FALSE)</f>
        <v>green</v>
      </c>
      <c r="L16" s="7" t="str">
        <f>VLOOKUP(B16,[1]characters!$A:$K,11,FALSE)</f>
        <v>heal</v>
      </c>
      <c r="M16" s="7" t="str">
        <f>VLOOKUP(B16,[1]characters!$A:$M,13,FALSE)</f>
        <v>unknown</v>
      </c>
      <c r="N16" s="7" t="str">
        <f>VLOOKUP(B16,[1]characters!$A:$G,7,FALSE)</f>
        <v>女性</v>
      </c>
      <c r="O16" s="45">
        <f t="shared" si="5"/>
        <v>946</v>
      </c>
      <c r="P16" s="46">
        <f t="shared" si="6"/>
        <v>5.5647058823529411E-2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388103</v>
      </c>
      <c r="B17" s="6">
        <v>495</v>
      </c>
      <c r="C17" s="7" t="str">
        <f t="shared" si="2"/>
        <v>PremiumSS5color</v>
      </c>
      <c r="D17" s="7" t="str">
        <f t="shared" si="3"/>
        <v>PremiumSS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4"/>
        <v>color</v>
      </c>
      <c r="H17" s="7" t="str">
        <f>VLOOKUP(B17,[1]characters!$A:$C,3,FALSE)</f>
        <v>鼠災呼ぶ笛音 ハーメルン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green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男性</v>
      </c>
      <c r="O17" s="45">
        <f t="shared" si="5"/>
        <v>85</v>
      </c>
      <c r="P17" s="46">
        <f t="shared" si="6"/>
        <v>5.0000000000000001E-3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388103</v>
      </c>
      <c r="B18" s="6">
        <v>590</v>
      </c>
      <c r="C18" s="7" t="str">
        <f t="shared" si="2"/>
        <v>Premium5color</v>
      </c>
      <c r="D18" s="7" t="str">
        <f t="shared" si="3"/>
        <v>Premium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4"/>
        <v>color</v>
      </c>
      <c r="H18" s="7" t="str">
        <f>VLOOKUP(B18,[1]characters!$A:$C,3,FALSE)</f>
        <v>永遠を廻る呪い ニーベルゲン</v>
      </c>
      <c r="I18" s="7" t="str">
        <f>VLOOKUP(B18,[1]characters!$A:$J,10,FALSE)</f>
        <v>PremiumS</v>
      </c>
      <c r="J18" s="7">
        <f>VLOOKUP(B18,[1]characters!$A:$I,9,FALSE)</f>
        <v>5</v>
      </c>
      <c r="K18" s="7" t="str">
        <f>VLOOKUP(B18,[1]characters!$A:$H,8,FALSE)</f>
        <v>green</v>
      </c>
      <c r="L18" s="7" t="str">
        <f>VLOOKUP(B18,[1]characters!$A:$K,11,FALSE)</f>
        <v>balance</v>
      </c>
      <c r="M18" s="7" t="str">
        <f>VLOOKUP(B18,[1]characters!$A:$M,13,FALSE)</f>
        <v>unknown</v>
      </c>
      <c r="N18" s="7" t="str">
        <f>VLOOKUP(B18,[1]characters!$A:$G,7,FALSE)</f>
        <v>女性</v>
      </c>
      <c r="O18" s="45">
        <f t="shared" si="5"/>
        <v>946</v>
      </c>
      <c r="P18" s="46">
        <f t="shared" si="6"/>
        <v>5.5647058823529411E-2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>
        <v>388103</v>
      </c>
      <c r="B19" s="6">
        <v>601</v>
      </c>
      <c r="C19" s="7" t="str">
        <f t="shared" si="2"/>
        <v>Premium5color</v>
      </c>
      <c r="D19" s="7" t="str">
        <f t="shared" si="3"/>
        <v>Premium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4"/>
        <v>color</v>
      </c>
      <c r="H19" s="7" t="str">
        <f>VLOOKUP(B19,[1]characters!$A:$C,3,FALSE)</f>
        <v>界根蝕む悪食 ニーズヘッグ</v>
      </c>
      <c r="I19" s="7" t="str">
        <f>VLOOKUP(B19,[1]characters!$A:$J,10,FALSE)</f>
        <v>PremiumS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attack</v>
      </c>
      <c r="M19" s="7" t="str">
        <f>VLOOKUP(B19,[1]characters!$A:$M,13,FALSE)</f>
        <v>dragon</v>
      </c>
      <c r="N19" s="7" t="str">
        <f>VLOOKUP(B19,[1]characters!$A:$G,7,FALSE)</f>
        <v>不明</v>
      </c>
      <c r="O19" s="45">
        <f t="shared" si="5"/>
        <v>946</v>
      </c>
      <c r="P19" s="46">
        <f t="shared" si="6"/>
        <v>5.5647058823529411E-2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388103</v>
      </c>
      <c r="B20" s="6">
        <v>661</v>
      </c>
      <c r="C20" s="7" t="str">
        <f t="shared" si="2"/>
        <v>PremiumSS5color</v>
      </c>
      <c r="D20" s="7" t="str">
        <f t="shared" si="3"/>
        <v>PremiumSS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4"/>
        <v>color</v>
      </c>
      <c r="H20" s="7" t="str">
        <f>VLOOKUP(B20,[1]characters!$A:$C,3,FALSE)</f>
        <v>疾風の天狗礫 フウガ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green</v>
      </c>
      <c r="L20" s="7" t="str">
        <f>VLOOKUP(B20,[1]characters!$A:$K,11,FALSE)</f>
        <v>balance</v>
      </c>
      <c r="M20" s="7" t="str">
        <f>VLOOKUP(B20,[1]characters!$A:$M,13,FALSE)</f>
        <v>animal</v>
      </c>
      <c r="N20" s="7" t="str">
        <f>VLOOKUP(B20,[1]characters!$A:$G,7,FALSE)</f>
        <v>男性</v>
      </c>
      <c r="O20" s="45">
        <f t="shared" si="5"/>
        <v>85</v>
      </c>
      <c r="P20" s="46">
        <f t="shared" si="6"/>
        <v>5.0000000000000001E-3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388103</v>
      </c>
      <c r="B21" s="60">
        <v>673</v>
      </c>
      <c r="C21" s="7" t="str">
        <f t="shared" si="2"/>
        <v>Premium5color</v>
      </c>
      <c r="D21" s="7" t="str">
        <f t="shared" si="3"/>
        <v>Premium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4"/>
        <v>color</v>
      </c>
      <c r="H21" s="7" t="str">
        <f>VLOOKUP(B21,[1]characters!$A:$C,3,FALSE)</f>
        <v>変幻自在の猿王 ハヌマーン</v>
      </c>
      <c r="I21" s="7" t="str">
        <f>VLOOKUP(B21,[1]characters!$A:$J,10,FALSE)</f>
        <v>PremiumS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attack</v>
      </c>
      <c r="M21" s="7" t="str">
        <f>VLOOKUP(B21,[1]characters!$A:$M,13,FALSE)</f>
        <v>animal</v>
      </c>
      <c r="N21" s="7" t="str">
        <f>VLOOKUP(B21,[1]characters!$A:$G,7,FALSE)</f>
        <v>男性</v>
      </c>
      <c r="O21" s="45">
        <f t="shared" si="5"/>
        <v>946</v>
      </c>
      <c r="P21" s="46">
        <f t="shared" si="6"/>
        <v>5.5647058823529411E-2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388103</v>
      </c>
      <c r="B22" s="60">
        <v>731</v>
      </c>
      <c r="C22" s="7" t="str">
        <f t="shared" si="2"/>
        <v>Premium5R3lesscolor</v>
      </c>
      <c r="D22" s="7" t="str">
        <f t="shared" si="3"/>
        <v>Premium</v>
      </c>
      <c r="E22" s="7" t="str">
        <f>IF(COUNTIF('R6追加前'!A:A,B22)=0,IF(I22="PremiumSS","R5only","R3less"),"")</f>
        <v>R3less</v>
      </c>
      <c r="F22" s="7" t="str">
        <f>IF(COUNTIF('R6開放'!A:A,B22)&gt;0,"R6release","")</f>
        <v/>
      </c>
      <c r="G22" s="7" t="str">
        <f t="shared" si="4"/>
        <v>color</v>
      </c>
      <c r="H22" s="7" t="str">
        <f>VLOOKUP(B22,[1]characters!$A:$C,3,FALSE)</f>
        <v>敬虔なる追銃 ガラシャ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green</v>
      </c>
      <c r="L22" s="7" t="str">
        <f>VLOOKUP(B22,[1]characters!$A:$K,11,FALSE)</f>
        <v>heal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t="shared" si="5"/>
        <v>946</v>
      </c>
      <c r="P22" s="46">
        <f t="shared" si="6"/>
        <v>5.5647058823529411E-2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388103</v>
      </c>
      <c r="B23" s="60">
        <v>773</v>
      </c>
      <c r="C23" s="7" t="str">
        <f t="shared" si="2"/>
        <v>PremiumSS5color</v>
      </c>
      <c r="D23" s="7" t="str">
        <f t="shared" si="3"/>
        <v>PremiumSS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4"/>
        <v>color</v>
      </c>
      <c r="H23" s="7" t="str">
        <f>VLOOKUP(B23,[1]characters!$A:$C,3,FALSE)</f>
        <v>浮跳天兎 イナバ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balance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5">
        <f t="shared" si="5"/>
        <v>85</v>
      </c>
      <c r="P23" s="46">
        <f t="shared" si="6"/>
        <v>5.0000000000000001E-3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388103</v>
      </c>
      <c r="B24" s="83">
        <v>850</v>
      </c>
      <c r="C24" s="7" t="str">
        <f t="shared" si="2"/>
        <v>PremiumSS5R5onlycolor</v>
      </c>
      <c r="D24" s="7" t="str">
        <f t="shared" si="3"/>
        <v>PremiumSS</v>
      </c>
      <c r="E24" s="7" t="str">
        <f>IF(COUNTIF('R6追加前'!A:A,B24)=0,IF(I24="PremiumSS","R5only","R3less"),"")</f>
        <v>R5only</v>
      </c>
      <c r="F24" s="7" t="str">
        <f>IF(COUNTIF('R6開放'!A:A,B24)&gt;0,"R6release","")</f>
        <v/>
      </c>
      <c r="G24" s="7" t="str">
        <f t="shared" si="4"/>
        <v>color</v>
      </c>
      <c r="H24" s="7" t="str">
        <f>VLOOKUP(B24,[1]characters!$A:$C,3,FALSE)</f>
        <v>バアル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green</v>
      </c>
      <c r="L24" s="7" t="str">
        <f>VLOOKUP(B24,[1]characters!$A:$K,11,FALSE)</f>
        <v>technical</v>
      </c>
      <c r="M24" s="7" t="str">
        <f>VLOOKUP(B24,[1]characters!$A:$M,13,FALSE)</f>
        <v>god</v>
      </c>
      <c r="N24" s="7" t="str">
        <f>VLOOKUP(B24,[1]characters!$A:$G,7,FALSE)</f>
        <v>男性</v>
      </c>
      <c r="O24" s="45">
        <f t="shared" si="5"/>
        <v>85</v>
      </c>
      <c r="P24" s="46">
        <f t="shared" si="6"/>
        <v>5.0000000000000001E-3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388103</v>
      </c>
      <c r="B25" s="83">
        <v>865</v>
      </c>
      <c r="C25" s="7" t="str">
        <f t="shared" si="2"/>
        <v>Premium5R3lesscolor</v>
      </c>
      <c r="D25" s="7" t="str">
        <f t="shared" si="3"/>
        <v>Premium</v>
      </c>
      <c r="E25" s="7" t="str">
        <f>IF(COUNTIF('R6追加前'!A:A,B25)=0,IF(I25="PremiumSS","R5only","R3less"),"")</f>
        <v>R3less</v>
      </c>
      <c r="F25" s="7" t="str">
        <f>IF(COUNTIF('R6開放'!A:A,B25)&gt;0,"R6release","")</f>
        <v/>
      </c>
      <c r="G25" s="7" t="str">
        <f t="shared" si="4"/>
        <v>color</v>
      </c>
      <c r="H25" s="7" t="str">
        <f>VLOOKUP(B25,[1]characters!$A:$C,3,FALSE)</f>
        <v>無情の感線 ピノキオ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attack</v>
      </c>
      <c r="M25" s="7" t="str">
        <f>VLOOKUP(B25,[1]characters!$A:$M,13,FALSE)</f>
        <v>machine</v>
      </c>
      <c r="N25" s="7" t="str">
        <f>VLOOKUP(B25,[1]characters!$A:$G,7,FALSE)</f>
        <v>男性</v>
      </c>
      <c r="O25" s="45">
        <f t="shared" si="5"/>
        <v>946</v>
      </c>
      <c r="P25" s="46">
        <f t="shared" si="6"/>
        <v>5.5647058823529411E-2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388103</v>
      </c>
      <c r="B26" s="83">
        <v>744</v>
      </c>
      <c r="C26" s="7" t="str">
        <f t="shared" si="2"/>
        <v>PremiumSS5R5onlycolor</v>
      </c>
      <c r="D26" s="7" t="str">
        <f t="shared" si="3"/>
        <v>PremiumSS</v>
      </c>
      <c r="E26" s="7" t="str">
        <f>IF(COUNTIF('R6追加前'!A:A,B26)=0,IF(I26="PremiumSS","R5only","R3less"),"")</f>
        <v>R5only</v>
      </c>
      <c r="F26" s="7" t="str">
        <f>IF(COUNTIF('R6開放'!A:A,B26)&gt;0,"R6release","")</f>
        <v/>
      </c>
      <c r="G26" s="7" t="str">
        <f t="shared" si="4"/>
        <v>color</v>
      </c>
      <c r="H26" s="7" t="str">
        <f>VLOOKUP(B26,[1]characters!$A:$C,3,FALSE)</f>
        <v>ヘルメス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green</v>
      </c>
      <c r="L26" s="7" t="str">
        <f>VLOOKUP(B26,[1]characters!$A:$K,11,FALSE)</f>
        <v>technical</v>
      </c>
      <c r="M26" s="7" t="str">
        <f>VLOOKUP(B26,[1]characters!$A:$M,13,FALSE)</f>
        <v>god</v>
      </c>
      <c r="N26" s="7" t="str">
        <f>VLOOKUP(B26,[1]characters!$A:$G,7,FALSE)</f>
        <v>男性</v>
      </c>
      <c r="O26" s="45">
        <f t="shared" si="5"/>
        <v>85</v>
      </c>
      <c r="P26" s="46">
        <f t="shared" si="6"/>
        <v>5.0000000000000001E-3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388103</v>
      </c>
      <c r="B27" s="83">
        <v>940</v>
      </c>
      <c r="C27" s="7" t="str">
        <f t="shared" si="2"/>
        <v>Premium5R3lesscolor</v>
      </c>
      <c r="D27" s="7" t="str">
        <f t="shared" si="3"/>
        <v>Premium</v>
      </c>
      <c r="E27" s="7" t="str">
        <f>IF(COUNTIF('R6追加前'!A:A,B27)=0,IF(I27="PremiumSS","R5only","R3less"),"")</f>
        <v>R3less</v>
      </c>
      <c r="F27" s="7" t="str">
        <f>IF(COUNTIF('R6開放'!A:A,B27)&gt;0,"R6release","")</f>
        <v/>
      </c>
      <c r="G27" s="7" t="str">
        <f t="shared" si="4"/>
        <v>color</v>
      </c>
      <c r="H27" s="7" t="str">
        <f>VLOOKUP(B27,[1]characters!$A:$C,3,FALSE)</f>
        <v>不壊の大要塞 バスティーユ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hp</v>
      </c>
      <c r="M27" s="7" t="str">
        <f>VLOOKUP(B27,[1]characters!$A:$M,13,FALSE)</f>
        <v>unknown</v>
      </c>
      <c r="N27" s="7" t="str">
        <f>VLOOKUP(B27,[1]characters!$A:$G,7,FALSE)</f>
        <v>男性</v>
      </c>
      <c r="O27" s="45">
        <f t="shared" si="5"/>
        <v>946</v>
      </c>
      <c r="P27" s="46">
        <f t="shared" si="6"/>
        <v>5.5647058823529411E-2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388103</v>
      </c>
      <c r="B28" s="5">
        <v>1014</v>
      </c>
      <c r="C28" s="7" t="str">
        <f t="shared" si="2"/>
        <v>PremiumSS5R5onlycolor</v>
      </c>
      <c r="D28" s="7" t="str">
        <f t="shared" si="3"/>
        <v>PremiumSS</v>
      </c>
      <c r="E28" s="7" t="str">
        <f>IF(COUNTIF('R6追加前'!A:A,B28)=0,IF(I28="PremiumSS","R5only","R3less"),"")</f>
        <v>R5only</v>
      </c>
      <c r="F28" s="7" t="str">
        <f>IF(COUNTIF('R6開放'!A:A,B28)&gt;0,"R6release","")</f>
        <v/>
      </c>
      <c r="G28" s="7" t="str">
        <f t="shared" si="4"/>
        <v>color</v>
      </c>
      <c r="H28" s="7" t="str">
        <f>VLOOKUP(B28,[1]characters!$A:$C,3,FALSE)</f>
        <v>イシス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green</v>
      </c>
      <c r="L28" s="7" t="str">
        <f>VLOOKUP(B28,[1]characters!$A:$K,11,FALSE)</f>
        <v>hp</v>
      </c>
      <c r="M28" s="7" t="str">
        <f>VLOOKUP(B28,[1]characters!$A:$M,13,FALSE)</f>
        <v>god</v>
      </c>
      <c r="N28" s="7" t="str">
        <f>VLOOKUP(B28,[1]characters!$A:$G,7,FALSE)</f>
        <v>男性</v>
      </c>
      <c r="O28" s="45">
        <f t="shared" si="5"/>
        <v>85</v>
      </c>
      <c r="P28" s="46">
        <f t="shared" si="6"/>
        <v>5.0000000000000001E-3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388103</v>
      </c>
      <c r="B29" s="83">
        <v>958</v>
      </c>
      <c r="C29" s="7" t="str">
        <f t="shared" si="2"/>
        <v>PremiumSSS5R3lesscolor</v>
      </c>
      <c r="D29" s="7" t="str">
        <f t="shared" si="3"/>
        <v>PremiumSSS</v>
      </c>
      <c r="E29" s="7" t="str">
        <f>IF(COUNTIF('R6追加前'!A:A,B29)=0,IF(I29="PremiumSS","R5only","R3less"),"")</f>
        <v>R3less</v>
      </c>
      <c r="F29" s="7" t="str">
        <f>IF(COUNTIF('R6開放'!A:A,B29)&gt;0,"R6release","")</f>
        <v/>
      </c>
      <c r="G29" s="7" t="str">
        <f t="shared" si="4"/>
        <v>color</v>
      </c>
      <c r="H29" s="7" t="str">
        <f>VLOOKUP(B29,[1]characters!$A:$C,3,FALSE)</f>
        <v>ド・モルガン</v>
      </c>
      <c r="I29" s="7" t="str">
        <f>VLOOKUP(B29,[1]characters!$A:$J,10,FALSE)</f>
        <v>PremiumSSS</v>
      </c>
      <c r="J29" s="7">
        <f>VLOOKUP(B29,[1]characters!$A:$I,9,FALSE)</f>
        <v>5</v>
      </c>
      <c r="K29" s="7" t="str">
        <f>VLOOKUP(B29,[1]characters!$A:$H,8,FALSE)</f>
        <v>green</v>
      </c>
      <c r="L29" s="7" t="str">
        <f>VLOOKUP(B29,[1]characters!$A:$K,11,FALSE)</f>
        <v>balance</v>
      </c>
      <c r="M29" s="7" t="str">
        <f>VLOOKUP(B29,[1]characters!$A:$M,13,FALSE)</f>
        <v>academia</v>
      </c>
      <c r="N29" s="7" t="str">
        <f>VLOOKUP(B29,[1]characters!$A:$G,7,FALSE)</f>
        <v>男性</v>
      </c>
      <c r="O29" s="45">
        <f t="shared" si="5"/>
        <v>68</v>
      </c>
      <c r="P29" s="46">
        <f t="shared" si="6"/>
        <v>4.0000000000000001E-3</v>
      </c>
      <c r="Q29" s="89">
        <v>80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</sheetData>
  <autoFilter ref="A1:V29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3"/>
  <sheetViews>
    <sheetView workbookViewId="0">
      <selection activeCell="H44" sqref="H4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388104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VLOOKUP(L3,tables_388104!B:C,2,FALSE)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VLOOKUP(L4,tables_388104!B:C,2,FALSE)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6.2500000000000012E-4</v>
      </c>
      <c r="F5">
        <f>(COUNTIF(tables_388104!C:C,input_388104!A28)+COUNTIF(tables_388104!C:C,input_388104!A29))</f>
        <v>32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VLOOKUP(L5,tables_388104!B:C,2,FALSE)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3.0000000000000001E-3</v>
      </c>
      <c r="F6">
        <f>(COUNTIF(tables_388104!C:C,input_388104!A43)+COUNTIF(tables_388104!C:C,input_388104!A44))</f>
        <v>10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VLOOKUP(L6,tables_388104!B:C,2,FALSE)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5.8875000000000004E-3</v>
      </c>
      <c r="F7">
        <f>(COUNTIF(tables_388104!C:C,input_388104!A26)+COUNTIF(tables_388104!C:C,input_388104!A18)+COUNTIF(tables_388104!C:C,input_388104!A20)+COUNTIF(tables_388104!C:C,input_388104!A22))</f>
        <v>64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VLOOKUP(L7,tables_388104!B:C,2,FALSE)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2.5690909090909087E-2</v>
      </c>
      <c r="F8">
        <f>(COUNTIF(tables_388104!C:C,input_388104!A40)+COUNTIF(tables_388104!C:C,input_388104!A33)+COUNTIF(tables_388104!C:C,input_388104!A35)+COUNTIF(tables_388104!C:C,input_388104!A37))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VLOOKUP(L8,tables_388104!B:C,2,FALSE)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VLOOKUP(L9,tables_388104!B:C,2,FALSE)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0.94199999999999995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VLOOKUP(L10,tables_388104!B:C,2,FALSE)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0.05</v>
      </c>
      <c r="C11" t="s">
        <v>275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VLOOKUP(L11,tables_388104!B:C,2,FALSE)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8.0000000000000002E-3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VLOOKUP(L12,tables_388104!B:C,2,FALSE)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VLOOKUP(L13,tables_388104!B:C,2,FALSE)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VLOOKUP(L14,tables_388104!B:C,2,FALSE)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VLOOKUP(L15,tables_388104!B:C,2,FALSE)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VLOOKUP(L16,tables_388104!B:C,2,FALSE)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COUNTIF(tables_388104!C:C,input_388104!A17)-COUNTIF(Q:Q,A17)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VLOOKUP(L17,tables_388104!B:C,2,FALSE)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8.8312500000000002E-2</v>
      </c>
      <c r="C18" s="87">
        <f t="shared" si="2"/>
        <v>0</v>
      </c>
      <c r="D18" s="75">
        <f t="shared" si="3"/>
        <v>8.8312500000000002E-2</v>
      </c>
      <c r="E18">
        <f>COUNTIF(tables_388104!C:C,input_388104!A18)-COUNTIF(Q:Q,A18)</f>
        <v>15</v>
      </c>
      <c r="F18" s="43">
        <f>IFERROR(B18/E18,0)</f>
        <v>5.8875000000000004E-3</v>
      </c>
      <c r="G18">
        <f t="shared" si="4"/>
        <v>22608</v>
      </c>
      <c r="H18">
        <f t="shared" si="5"/>
        <v>1507.2</v>
      </c>
      <c r="I18">
        <f t="shared" si="6"/>
        <v>0.20000000000004547</v>
      </c>
      <c r="J18">
        <f t="shared" si="7"/>
        <v>4.9999999999988631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VLOOKUP(L18,tables_388104!B:C,2,FALSE)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COUNTIF(tables_388104!C:C,input_388104!A19)-COUNTIF(Q:Q,A19)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VLOOKUP(L19,tables_388104!B:C,2,FALSE)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0.218131875</v>
      </c>
      <c r="C20" s="87">
        <f t="shared" si="2"/>
        <v>0</v>
      </c>
      <c r="D20" s="75">
        <f t="shared" si="3"/>
        <v>0.218131875</v>
      </c>
      <c r="E20">
        <f>COUNTIF(tables_388104!C:C,input_388104!A20)-COUNTIF(Q:Q,A20)</f>
        <v>39</v>
      </c>
      <c r="F20" s="43">
        <f t="shared" si="8"/>
        <v>5.593125E-3</v>
      </c>
      <c r="G20">
        <f t="shared" si="4"/>
        <v>55841.760000000002</v>
      </c>
      <c r="H20">
        <f t="shared" si="5"/>
        <v>1431.84</v>
      </c>
      <c r="I20">
        <f t="shared" si="6"/>
        <v>0.83999999999991815</v>
      </c>
      <c r="J20">
        <f t="shared" si="7"/>
        <v>1.1904761904763064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VLOOKUP(L20,tables_388104!B:C,2,FALSE)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1.1480625000000001E-2</v>
      </c>
      <c r="C21" s="87">
        <f t="shared" si="2"/>
        <v>0</v>
      </c>
      <c r="D21" s="75">
        <f t="shared" si="3"/>
        <v>1.1480625000000001E-2</v>
      </c>
      <c r="E21">
        <f>COUNTIF(tables_388104!C:C,input_388104!A21)-COUNTIF(Q:Q,A21)</f>
        <v>39</v>
      </c>
      <c r="F21" s="43">
        <f t="shared" si="8"/>
        <v>2.9437500000000004E-4</v>
      </c>
      <c r="G21">
        <f t="shared" si="4"/>
        <v>2939.0400000000004</v>
      </c>
      <c r="H21">
        <f t="shared" si="5"/>
        <v>75.36</v>
      </c>
      <c r="I21">
        <f t="shared" si="6"/>
        <v>0.35999999999999943</v>
      </c>
      <c r="J21">
        <f t="shared" si="7"/>
        <v>2.7777777777777821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4.1107499999999998E-2</v>
      </c>
      <c r="C22" s="87">
        <f t="shared" si="2"/>
        <v>0</v>
      </c>
      <c r="D22" s="75">
        <f t="shared" si="3"/>
        <v>4.1107499999999998E-2</v>
      </c>
      <c r="E22">
        <f>COUNTIF(tables_388104!C:C,input_388104!A22)-COUNTIF(Q:Q,A22)</f>
        <v>7</v>
      </c>
      <c r="F22" s="43">
        <f t="shared" si="8"/>
        <v>5.8725000000000001E-3</v>
      </c>
      <c r="G22">
        <f t="shared" si="4"/>
        <v>10523.52</v>
      </c>
      <c r="H22">
        <f t="shared" si="5"/>
        <v>1503.36</v>
      </c>
      <c r="I22">
        <f t="shared" si="6"/>
        <v>0.35999999999989996</v>
      </c>
      <c r="J22">
        <f t="shared" si="7"/>
        <v>2.7777777777785495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1.0500000000000266E-4</v>
      </c>
      <c r="C23" s="87">
        <f t="shared" si="2"/>
        <v>0</v>
      </c>
      <c r="D23" s="75">
        <f t="shared" si="3"/>
        <v>1.0500000000000266E-4</v>
      </c>
      <c r="E23">
        <f>COUNTIF(tables_388104!C:C,input_388104!A23)-COUNTIF(Q:Q,A23)</f>
        <v>7</v>
      </c>
      <c r="F23" s="43">
        <f t="shared" si="8"/>
        <v>1.500000000000038E-5</v>
      </c>
      <c r="G23">
        <f t="shared" si="4"/>
        <v>26.880000000000681</v>
      </c>
      <c r="H23">
        <f t="shared" si="5"/>
        <v>3.84</v>
      </c>
      <c r="I23">
        <f t="shared" si="6"/>
        <v>0.83999999999999986</v>
      </c>
      <c r="J23">
        <f t="shared" si="7"/>
        <v>1.1904761904761907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7">
        <f t="shared" si="2"/>
        <v>0</v>
      </c>
      <c r="D24" s="75">
        <f t="shared" si="3"/>
        <v>0</v>
      </c>
      <c r="E24">
        <f>COUNTIF(tables_388104!C:C,input_388104!A24)-COUNTIF(Q:Q,A24)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1.6779374999999999E-2</v>
      </c>
      <c r="C25" s="87">
        <f t="shared" si="2"/>
        <v>0</v>
      </c>
      <c r="D25" s="75">
        <f t="shared" si="3"/>
        <v>1.6779374999999999E-2</v>
      </c>
      <c r="E25">
        <f>COUNTIF(tables_388104!C:C,input_388104!A25)-COUNTIF(Q:Q,A25)</f>
        <v>3</v>
      </c>
      <c r="F25" s="43">
        <f t="shared" si="8"/>
        <v>5.593125E-3</v>
      </c>
      <c r="G25">
        <f t="shared" si="4"/>
        <v>4295.5199999999995</v>
      </c>
      <c r="H25">
        <f t="shared" si="5"/>
        <v>1431.84</v>
      </c>
      <c r="I25">
        <f t="shared" si="6"/>
        <v>0.83999999999991815</v>
      </c>
      <c r="J25">
        <f t="shared" si="7"/>
        <v>1.1904761904763064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8.8312500000000012E-4</v>
      </c>
      <c r="C26" s="87">
        <f t="shared" si="2"/>
        <v>0</v>
      </c>
      <c r="D26" s="75">
        <f t="shared" si="3"/>
        <v>8.8312500000000012E-4</v>
      </c>
      <c r="E26">
        <f>COUNTIF(tables_388104!C:C,input_388104!A26)-COUNTIF(Q:Q,A26)</f>
        <v>3</v>
      </c>
      <c r="F26" s="43">
        <f t="shared" si="8"/>
        <v>2.9437500000000004E-4</v>
      </c>
      <c r="G26">
        <f t="shared" si="4"/>
        <v>226.08000000000004</v>
      </c>
      <c r="H26">
        <f t="shared" si="5"/>
        <v>75.36</v>
      </c>
      <c r="I26">
        <f t="shared" si="6"/>
        <v>0.35999999999999943</v>
      </c>
      <c r="J26">
        <f t="shared" si="7"/>
        <v>2.7777777777777821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1.2468750000000002E-2</v>
      </c>
      <c r="C27" s="87">
        <f t="shared" si="2"/>
        <v>0</v>
      </c>
      <c r="D27" s="75">
        <f t="shared" si="3"/>
        <v>1.2468750000000002E-2</v>
      </c>
      <c r="E27">
        <f>COUNTIF(tables_388104!C:C,input_388104!A27)-COUNTIF(Q:Q,A27)</f>
        <v>21</v>
      </c>
      <c r="F27" s="43">
        <f>IFERROR(B27/E27,0)</f>
        <v>5.9375000000000009E-4</v>
      </c>
      <c r="G27">
        <f t="shared" si="4"/>
        <v>3192.0000000000005</v>
      </c>
      <c r="H27">
        <f t="shared" si="5"/>
        <v>152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6.5625000000000015E-4</v>
      </c>
      <c r="C28" s="87">
        <f t="shared" si="2"/>
        <v>0</v>
      </c>
      <c r="D28" s="75">
        <f t="shared" si="3"/>
        <v>6.5625000000000015E-4</v>
      </c>
      <c r="E28">
        <f>COUNTIF(tables_388104!C:C,input_388104!A28)-COUNTIF(Q:Q,A28)</f>
        <v>21</v>
      </c>
      <c r="F28" s="43">
        <f t="shared" si="8"/>
        <v>3.1250000000000007E-5</v>
      </c>
      <c r="G28">
        <f t="shared" si="4"/>
        <v>168.00000000000003</v>
      </c>
      <c r="H28">
        <f t="shared" si="5"/>
        <v>8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6.8750000000000009E-3</v>
      </c>
      <c r="C29" s="87">
        <f t="shared" si="2"/>
        <v>0</v>
      </c>
      <c r="D29" s="75">
        <f t="shared" si="3"/>
        <v>6.8750000000000009E-3</v>
      </c>
      <c r="E29">
        <f>COUNTIF(tables_388104!C:C,input_388104!A29)-COUNTIF(Q:Q,A29)</f>
        <v>11</v>
      </c>
      <c r="F29" s="43">
        <f t="shared" si="8"/>
        <v>6.2500000000000012E-4</v>
      </c>
      <c r="G29">
        <f t="shared" si="4"/>
        <v>1760.0000000000002</v>
      </c>
      <c r="H29">
        <f t="shared" si="5"/>
        <v>160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COUNTIF(tables_388104!C:C,input_388104!A30)-COUNTIF(Q:Q,A30)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COUNTIF(tables_388104!C:C,input_388104!A31)-COUNTIF(Q:Q,A31)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COUNTIF(tables_388104!C:C,input_388104!A32)-COUNTIF(Q:Q,A32)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0.12845454545454543</v>
      </c>
      <c r="C33" s="87">
        <f t="shared" si="2"/>
        <v>0</v>
      </c>
      <c r="D33" s="75">
        <f t="shared" si="3"/>
        <v>0.12845454545454543</v>
      </c>
      <c r="E33">
        <f>COUNTIF(tables_388104!C:C,input_388104!A33)-COUNTIF(Q:Q,A33)</f>
        <v>5</v>
      </c>
      <c r="F33" s="43">
        <f>IFERROR(B33/E33,0)</f>
        <v>2.5690909090909087E-2</v>
      </c>
      <c r="G33">
        <f t="shared" si="4"/>
        <v>32884.363636363632</v>
      </c>
      <c r="H33">
        <f t="shared" si="5"/>
        <v>6576.87273</v>
      </c>
      <c r="I33">
        <f t="shared" si="6"/>
        <v>0.87273000000004686</v>
      </c>
      <c r="J33">
        <f t="shared" si="7"/>
        <v>1.145829752615295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COUNTIF(tables_388104!C:C,input_388104!A34)-COUNTIF(Q:Q,A34)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0.31728272727272722</v>
      </c>
      <c r="C35" s="87">
        <f t="shared" si="2"/>
        <v>0</v>
      </c>
      <c r="D35" s="75">
        <f t="shared" si="3"/>
        <v>0.31728272727272722</v>
      </c>
      <c r="E35">
        <f>COUNTIF(tables_388104!C:C,input_388104!A35)-COUNTIF(Q:Q,A35)</f>
        <v>13</v>
      </c>
      <c r="F35" s="43">
        <f t="shared" si="9"/>
        <v>2.4406363636363632E-2</v>
      </c>
      <c r="G35">
        <f t="shared" si="4"/>
        <v>81224.378181818174</v>
      </c>
      <c r="H35">
        <f t="shared" si="5"/>
        <v>6248.02909</v>
      </c>
      <c r="I35">
        <f t="shared" si="6"/>
        <v>2.9089999999996508E-2</v>
      </c>
      <c r="J35">
        <f t="shared" si="7"/>
        <v>34.376074252324514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1.669909090909091E-2</v>
      </c>
      <c r="C36" s="87">
        <f t="shared" si="2"/>
        <v>0</v>
      </c>
      <c r="D36" s="75">
        <f t="shared" si="3"/>
        <v>1.669909090909091E-2</v>
      </c>
      <c r="E36">
        <f>COUNTIF(tables_388104!C:C,input_388104!A36)-COUNTIF(Q:Q,A36)</f>
        <v>13</v>
      </c>
      <c r="F36" s="43">
        <f t="shared" si="9"/>
        <v>1.2845454545454547E-3</v>
      </c>
      <c r="G36">
        <f t="shared" si="4"/>
        <v>4274.9672727272728</v>
      </c>
      <c r="H36">
        <f t="shared" si="5"/>
        <v>328.84363999999999</v>
      </c>
      <c r="I36">
        <f t="shared" si="6"/>
        <v>0.84363999999999351</v>
      </c>
      <c r="J36">
        <f t="shared" si="7"/>
        <v>1.1853397183632921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7.5106363636363638E-2</v>
      </c>
      <c r="C37" s="87">
        <f t="shared" si="2"/>
        <v>0</v>
      </c>
      <c r="D37" s="75">
        <f t="shared" si="3"/>
        <v>7.5106363636363638E-2</v>
      </c>
      <c r="E37">
        <f>COUNTIF(tables_388104!C:C,input_388104!A37)-COUNTIF(Q:Q,A37)</f>
        <v>3</v>
      </c>
      <c r="F37" s="43">
        <f t="shared" si="9"/>
        <v>2.5035454545454545E-2</v>
      </c>
      <c r="G37">
        <f t="shared" si="4"/>
        <v>19227.229090909092</v>
      </c>
      <c r="H37">
        <f t="shared" si="5"/>
        <v>6409.07636</v>
      </c>
      <c r="I37">
        <f t="shared" si="6"/>
        <v>7.636000000002241E-2</v>
      </c>
      <c r="J37">
        <f t="shared" si="7"/>
        <v>13.095861707696523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B$7*0.6-B41-B43-B44-B36</f>
        <v>1.9663636363636341E-3</v>
      </c>
      <c r="C38" s="87">
        <f t="shared" si="2"/>
        <v>0</v>
      </c>
      <c r="D38" s="75">
        <f t="shared" si="3"/>
        <v>1.9663636363636341E-3</v>
      </c>
      <c r="E38">
        <f>COUNTIF(tables_388104!C:C,input_388104!A38)-COUNTIF(Q:Q,A38)</f>
        <v>3</v>
      </c>
      <c r="F38" s="43">
        <f t="shared" si="9"/>
        <v>6.5545454545454468E-4</v>
      </c>
      <c r="G38">
        <f t="shared" si="4"/>
        <v>503.38909090909033</v>
      </c>
      <c r="H38">
        <f t="shared" si="5"/>
        <v>167.79635999999999</v>
      </c>
      <c r="I38">
        <f t="shared" si="6"/>
        <v>0.79635999999999285</v>
      </c>
      <c r="J38">
        <f t="shared" si="7"/>
        <v>1.2557134964086707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7">
        <f t="shared" si="2"/>
        <v>0</v>
      </c>
      <c r="D39" s="75">
        <f t="shared" si="3"/>
        <v>0</v>
      </c>
      <c r="E39">
        <f>COUNTIF(tables_388104!C:C,input_388104!A39)-COUNTIF(Q:Q,A39)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2.4406363636363632E-2</v>
      </c>
      <c r="C40" s="87">
        <f t="shared" si="2"/>
        <v>0</v>
      </c>
      <c r="D40" s="75">
        <f t="shared" si="3"/>
        <v>2.4406363636363632E-2</v>
      </c>
      <c r="E40">
        <f>COUNTIF(tables_388104!C:C,input_388104!A40)-COUNTIF(Q:Q,A40)</f>
        <v>1</v>
      </c>
      <c r="F40" s="43">
        <f t="shared" si="9"/>
        <v>2.4406363636363632E-2</v>
      </c>
      <c r="G40">
        <f t="shared" si="4"/>
        <v>6248.02909090909</v>
      </c>
      <c r="H40">
        <f t="shared" si="5"/>
        <v>6248.02909</v>
      </c>
      <c r="I40">
        <f t="shared" si="6"/>
        <v>2.9089999999996508E-2</v>
      </c>
      <c r="J40">
        <f t="shared" si="7"/>
        <v>34.376074252324514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1.2845454545454544E-3</v>
      </c>
      <c r="C41" s="87">
        <f t="shared" si="2"/>
        <v>0</v>
      </c>
      <c r="D41" s="75">
        <f t="shared" si="3"/>
        <v>1.2845454545454544E-3</v>
      </c>
      <c r="E41">
        <f>COUNTIF(tables_388104!C:C,input_388104!A41)-COUNTIF(Q:Q,A41)</f>
        <v>1</v>
      </c>
      <c r="F41" s="43">
        <f t="shared" si="9"/>
        <v>1.2845454545454544E-3</v>
      </c>
      <c r="G41">
        <f t="shared" si="4"/>
        <v>328.84363636363634</v>
      </c>
      <c r="H41">
        <f t="shared" si="5"/>
        <v>328.84363999999999</v>
      </c>
      <c r="I41">
        <f t="shared" si="6"/>
        <v>0.84363999999999351</v>
      </c>
      <c r="J41">
        <f t="shared" si="7"/>
        <v>1.1853397183632921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1.9949999999999999E-2</v>
      </c>
      <c r="C42" s="87">
        <f t="shared" si="2"/>
        <v>0</v>
      </c>
      <c r="D42" s="75">
        <f t="shared" si="3"/>
        <v>1.9949999999999999E-2</v>
      </c>
      <c r="E42">
        <f>COUNTIF(tables_388104!C:C,input_388104!A42)-COUNTIF(Q:Q,A42)</f>
        <v>7</v>
      </c>
      <c r="F42" s="43">
        <f>IFERROR(B42/E42,0)</f>
        <v>2.8499999999999997E-3</v>
      </c>
      <c r="G42">
        <f t="shared" si="4"/>
        <v>5107.2</v>
      </c>
      <c r="H42">
        <f t="shared" si="5"/>
        <v>729.6</v>
      </c>
      <c r="I42">
        <f t="shared" si="6"/>
        <v>0.60000000000002274</v>
      </c>
      <c r="J42">
        <f t="shared" si="7"/>
        <v>1.6666666666666035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1.0500000000000002E-3</v>
      </c>
      <c r="C43" s="87">
        <f t="shared" si="2"/>
        <v>0</v>
      </c>
      <c r="D43" s="75">
        <f t="shared" si="3"/>
        <v>1.0500000000000002E-3</v>
      </c>
      <c r="E43">
        <f>COUNTIF(tables_388104!C:C,input_388104!A43)-COUNTIF(Q:Q,A43)</f>
        <v>7</v>
      </c>
      <c r="F43" s="43">
        <f t="shared" ref="F43:F46" si="10">IFERROR(B43/E43,0)</f>
        <v>1.5000000000000001E-4</v>
      </c>
      <c r="G43">
        <f t="shared" si="4"/>
        <v>268.8</v>
      </c>
      <c r="H43">
        <f t="shared" si="5"/>
        <v>38.4</v>
      </c>
      <c r="I43">
        <f t="shared" si="6"/>
        <v>0.39999999999999858</v>
      </c>
      <c r="J43">
        <f t="shared" si="7"/>
        <v>2.5000000000000089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9.0000000000000011E-3</v>
      </c>
      <c r="C44" s="87">
        <f t="shared" si="2"/>
        <v>0</v>
      </c>
      <c r="D44" s="75">
        <f t="shared" si="3"/>
        <v>9.0000000000000011E-3</v>
      </c>
      <c r="E44">
        <f>COUNTIF(tables_388104!C:C,input_388104!A44)-COUNTIF(Q:Q,A44)</f>
        <v>3</v>
      </c>
      <c r="F44" s="43">
        <f t="shared" si="10"/>
        <v>3.0000000000000005E-3</v>
      </c>
      <c r="G44">
        <f t="shared" si="4"/>
        <v>2304.0000000000005</v>
      </c>
      <c r="H44">
        <f t="shared" si="5"/>
        <v>768</v>
      </c>
      <c r="I44">
        <f t="shared" si="6"/>
        <v>0</v>
      </c>
      <c r="J44">
        <f t="shared" si="7"/>
        <v>1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COUNTIF(tables_388104!C:C,input_388104!A45)-COUNTIF(Q:Q,A45)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8.0000000000000002E-3</v>
      </c>
      <c r="C46" s="87">
        <f t="shared" si="2"/>
        <v>0</v>
      </c>
      <c r="D46" s="75">
        <f t="shared" si="3"/>
        <v>8.0000000000000002E-3</v>
      </c>
      <c r="E46">
        <f>COUNTIF(tables_388104!C:C,input_388104!A46)-COUNTIF(Q:Q,A46)</f>
        <v>1</v>
      </c>
      <c r="F46" s="43">
        <f t="shared" si="10"/>
        <v>8.0000000000000002E-3</v>
      </c>
      <c r="G46">
        <f t="shared" si="4"/>
        <v>2048</v>
      </c>
      <c r="H46">
        <f t="shared" si="5"/>
        <v>2048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256000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SUMIF(tables_388104!C:C,input_388104!A55,tables_388104!O:O)</f>
        <v>0</v>
      </c>
      <c r="C55" s="54">
        <f t="shared" ref="C55:C61" ca="1" si="11">B55/B$62</f>
        <v>0</v>
      </c>
      <c r="E55">
        <v>3</v>
      </c>
      <c r="F55">
        <f ca="1">SUMIF(tables_388104!J:J,input_388104!E55,tables_388104!O:O)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SUMIF(tables_388104!C:C,input_388104!A56,tables_388104!O:O)</f>
        <v>55841.759999999944</v>
      </c>
      <c r="C56" s="54">
        <f t="shared" ca="1" si="11"/>
        <v>0.89863278232658728</v>
      </c>
      <c r="E56">
        <v>4</v>
      </c>
      <c r="F56">
        <f ca="1">SUMIF(tables_388104!J:J,input_388104!E56,tables_388104!O:O)</f>
        <v>241151.99998999978</v>
      </c>
      <c r="G56">
        <f ca="1">F56/A51</f>
        <v>0.94199999996093664</v>
      </c>
    </row>
    <row r="57" spans="1:7" x14ac:dyDescent="0.15">
      <c r="A57" s="33" t="s">
        <v>109</v>
      </c>
      <c r="B57">
        <f ca="1">SUMIF(tables_388104!C:C,input_388104!A57,tables_388104!O:O)</f>
        <v>3192</v>
      </c>
      <c r="C57" s="54">
        <f t="shared" ca="1" si="11"/>
        <v>5.136721767341268E-2</v>
      </c>
      <c r="E57">
        <v>5</v>
      </c>
      <c r="F57">
        <f ca="1">SUMIF(tables_388104!J:J,input_388104!E57,tables_388104!O:O)</f>
        <v>14848.000039999995</v>
      </c>
      <c r="G57">
        <f ca="1">F57/A51</f>
        <v>5.8000000156249981E-2</v>
      </c>
    </row>
    <row r="58" spans="1:7" x14ac:dyDescent="0.15">
      <c r="A58" s="33" t="s">
        <v>113</v>
      </c>
      <c r="B58">
        <f>SUMIF(tables_388104!C:C,input_388104!A58,tables_388104!O:O)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SUMIF(tables_388104!C:C,input_388104!A59,tables_388104!O:O)</f>
        <v>2939.04</v>
      </c>
      <c r="C59" s="54">
        <f t="shared" ca="1" si="11"/>
        <v>4.7296462227715164E-2</v>
      </c>
      <c r="E59" t="s">
        <v>55</v>
      </c>
      <c r="F59" s="55"/>
    </row>
    <row r="60" spans="1:7" x14ac:dyDescent="0.15">
      <c r="A60" s="33" t="s">
        <v>110</v>
      </c>
      <c r="B60">
        <f ca="1">SUMIF(tables_388104!C:C,input_388104!A60,tables_388104!O:O)</f>
        <v>168</v>
      </c>
      <c r="C60" s="54">
        <f t="shared" ca="1" si="11"/>
        <v>2.7035377722848782E-3</v>
      </c>
      <c r="E60" t="s">
        <v>210</v>
      </c>
      <c r="F60" s="55">
        <f ca="1">SUMIF(tables_388104!I:I,input_388104!E60,tables_388104!P:P)</f>
        <v>0.21676704548241055</v>
      </c>
    </row>
    <row r="61" spans="1:7" x14ac:dyDescent="0.15">
      <c r="A61" s="33" t="s">
        <v>111</v>
      </c>
      <c r="B61">
        <f>SUMIF(tables_388104!C:C,input_388104!A61,tables_388104!O:O)</f>
        <v>0</v>
      </c>
      <c r="C61" s="54">
        <f t="shared" ca="1" si="11"/>
        <v>0</v>
      </c>
      <c r="E61" t="s">
        <v>211</v>
      </c>
      <c r="F61" s="55">
        <f ca="1">SUMIF(tables_388104!I:I,input_388104!E61,tables_388104!P:P)</f>
        <v>0.21676704548241055</v>
      </c>
    </row>
    <row r="62" spans="1:7" x14ac:dyDescent="0.15">
      <c r="A62" s="39" t="s">
        <v>60</v>
      </c>
      <c r="B62">
        <f ca="1">SUM(B55:B61)</f>
        <v>62140.799999999945</v>
      </c>
      <c r="C62" s="55">
        <f ca="1">SUM(C55:C61)</f>
        <v>1</v>
      </c>
      <c r="E62" t="s">
        <v>212</v>
      </c>
      <c r="F62" s="55">
        <f ca="1">SUMIF(tables_388104!I:I,input_388104!E62,tables_388104!P:P)</f>
        <v>0.50846590904197742</v>
      </c>
    </row>
    <row r="63" spans="1:7" x14ac:dyDescent="0.15">
      <c r="E63" t="s">
        <v>213</v>
      </c>
      <c r="F63" s="55">
        <f ca="1">SUMIF(tables_388104!I:I,input_388104!E63,tables_388104!P:P)</f>
        <v>4.9999999994140717E-2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300"/>
  <sheetViews>
    <sheetView showGridLines="0" zoomScale="75" zoomScaleNormal="75" zoomScalePageLayoutView="75" workbookViewId="0">
      <pane ySplit="1" topLeftCell="A278" activePane="bottomLeft" state="frozen"/>
      <selection activeCell="H44" sqref="H44"/>
      <selection pane="bottomLeft" activeCell="A292" sqref="A292:A30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input_388104!A$2</f>
        <v>388104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>IF(K2="green","color","")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IFERROR(VLOOKUP(B2,input_388104!L:R,7,FALSE),VLOOKUP(tables_388104!C2,input_388104!A:H,8,FALSE))</f>
        <v>0</v>
      </c>
      <c r="P2" s="46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input_388104!A$2</f>
        <v>388104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ref="G3:G66" si="2">IF(K3="green","color","")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IFERROR(VLOOKUP(B3,input_388104!L:R,7,FALSE),VLOOKUP(tables_388104!C3,input_388104!A:H,8,FALSE))</f>
        <v>1507.2</v>
      </c>
      <c r="P3" s="46">
        <f ca="1">O3/SUM(O:O)</f>
        <v>5.8874999993100705E-3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input_388104!A$2</f>
        <v>388104</v>
      </c>
      <c r="B4" s="6">
        <v>128</v>
      </c>
      <c r="C4" s="7" t="str">
        <f t="shared" si="0"/>
        <v>PremiumW3color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>color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IFERROR(VLOOKUP(B4,input_388104!L:R,7,FALSE),VLOOKUP(tables_388104!C4,input_388104!A:H,8,FALSE))</f>
        <v>0</v>
      </c>
      <c r="P4" s="46">
        <f ca="1">O4/SUM(O:O)</f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input_388104!A$2</f>
        <v>388104</v>
      </c>
      <c r="B5" s="6">
        <v>129</v>
      </c>
      <c r="C5" s="7" t="str">
        <f t="shared" si="0"/>
        <v>PremiumW4color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>color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IFERROR(VLOOKUP(B5,input_388104!L:R,7,FALSE),VLOOKUP(tables_388104!C5,input_388104!A:H,8,FALSE))</f>
        <v>6576.87273</v>
      </c>
      <c r="P5" s="46">
        <f ca="1">O5/SUM(O:O)</f>
        <v>2.5690909098551897E-2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input_388104!A$2</f>
        <v>388104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IFERROR(VLOOKUP(B6,input_388104!L:R,7,FALSE),VLOOKUP(tables_388104!C6,input_388104!A:H,8,FALSE))</f>
        <v>0</v>
      </c>
      <c r="P6" s="46">
        <f ca="1">O6/SUM(O:O)</f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input_388104!A$2</f>
        <v>388104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IFERROR(VLOOKUP(B7,input_388104!L:R,7,FALSE),VLOOKUP(tables_388104!C7,input_388104!A:H,8,FALSE))</f>
        <v>1507.2</v>
      </c>
      <c r="P7" s="46">
        <f ca="1">O7/SUM(O:O)</f>
        <v>5.8874999993100705E-3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input_388104!A$2</f>
        <v>388104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IFERROR(VLOOKUP(B8,input_388104!L:R,7,FALSE),VLOOKUP(tables_388104!C8,input_388104!A:H,8,FALSE))</f>
        <v>0</v>
      </c>
      <c r="P8" s="46">
        <f ca="1">O8/SUM(O:O)</f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input_388104!A$2</f>
        <v>388104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IFERROR(VLOOKUP(B9,input_388104!L:R,7,FALSE),VLOOKUP(tables_388104!C9,input_388104!A:H,8,FALSE))</f>
        <v>1507.2</v>
      </c>
      <c r="P9" s="46">
        <f ca="1">O9/SUM(O:O)</f>
        <v>5.8874999993100705E-3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input_388104!A$2</f>
        <v>388104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IFERROR(VLOOKUP(B10,input_388104!L:R,7,FALSE),VLOOKUP(tables_388104!C10,input_388104!A:H,8,FALSE))</f>
        <v>0</v>
      </c>
      <c r="P10" s="46">
        <f ca="1">O10/SUM(O:O)</f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input_388104!A$2</f>
        <v>388104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IFERROR(VLOOKUP(B11,input_388104!L:R,7,FALSE),VLOOKUP(tables_388104!C11,input_388104!A:H,8,FALSE))</f>
        <v>1507.2</v>
      </c>
      <c r="P11" s="46">
        <f ca="1">O11/SUM(O:O)</f>
        <v>5.8874999993100705E-3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input_388104!A$2</f>
        <v>388104</v>
      </c>
      <c r="B12" s="8">
        <v>136</v>
      </c>
      <c r="C12" s="7" t="str">
        <f t="shared" si="0"/>
        <v>PremiumW3color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>color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IFERROR(VLOOKUP(B12,input_388104!L:R,7,FALSE),VLOOKUP(tables_388104!C12,input_388104!A:H,8,FALSE))</f>
        <v>0</v>
      </c>
      <c r="P12" s="46">
        <f ca="1">O12/SUM(O:O)</f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input_388104!A$2</f>
        <v>388104</v>
      </c>
      <c r="B13" s="8">
        <v>137</v>
      </c>
      <c r="C13" s="7" t="str">
        <f t="shared" si="0"/>
        <v>PremiumW4color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>color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IFERROR(VLOOKUP(B13,input_388104!L:R,7,FALSE),VLOOKUP(tables_388104!C13,input_388104!A:H,8,FALSE))</f>
        <v>6576.87273</v>
      </c>
      <c r="P13" s="46">
        <f ca="1">O13/SUM(O:O)</f>
        <v>2.5690909098551897E-2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input_388104!A$2</f>
        <v>388104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IFERROR(VLOOKUP(B14,input_388104!L:R,7,FALSE),VLOOKUP(tables_388104!C14,input_388104!A:H,8,FALSE))</f>
        <v>0</v>
      </c>
      <c r="P14" s="46">
        <f ca="1">O14/SUM(O:O)</f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input_388104!A$2</f>
        <v>388104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IFERROR(VLOOKUP(B15,input_388104!L:R,7,FALSE),VLOOKUP(tables_388104!C15,input_388104!A:H,8,FALSE))</f>
        <v>1507.2</v>
      </c>
      <c r="P15" s="46">
        <f ca="1">O15/SUM(O:O)</f>
        <v>5.8874999993100705E-3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input_388104!A$2</f>
        <v>388104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IFERROR(VLOOKUP(B16,input_388104!L:R,7,FALSE),VLOOKUP(tables_388104!C16,input_388104!A:H,8,FALSE))</f>
        <v>0</v>
      </c>
      <c r="P16" s="46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input_388104!A$2</f>
        <v>388104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IFERROR(VLOOKUP(B17,input_388104!L:R,7,FALSE),VLOOKUP(tables_388104!C17,input_388104!A:H,8,FALSE))</f>
        <v>1507.2</v>
      </c>
      <c r="P17" s="46">
        <f ca="1">O17/SUM(O:O)</f>
        <v>5.8874999993100705E-3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input_388104!A$2</f>
        <v>388104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IFERROR(VLOOKUP(B18,input_388104!L:R,7,FALSE),VLOOKUP(tables_388104!C18,input_388104!A:H,8,FALSE))</f>
        <v>0</v>
      </c>
      <c r="P18" s="46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input_388104!A$2</f>
        <v>388104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IFERROR(VLOOKUP(B19,input_388104!L:R,7,FALSE),VLOOKUP(tables_388104!C19,input_388104!A:H,8,FALSE))</f>
        <v>1507.2</v>
      </c>
      <c r="P19" s="46">
        <f ca="1">O19/SUM(O:O)</f>
        <v>5.8874999993100705E-3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input_388104!A$2</f>
        <v>388104</v>
      </c>
      <c r="B20" s="10">
        <v>144</v>
      </c>
      <c r="C20" s="7" t="str">
        <f t="shared" si="0"/>
        <v>PremiumW3color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>color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IFERROR(VLOOKUP(B20,input_388104!L:R,7,FALSE),VLOOKUP(tables_388104!C20,input_388104!A:H,8,FALSE))</f>
        <v>0</v>
      </c>
      <c r="P20" s="46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input_388104!A$2</f>
        <v>388104</v>
      </c>
      <c r="B21" s="6">
        <v>145</v>
      </c>
      <c r="C21" s="7" t="str">
        <f t="shared" si="0"/>
        <v>PremiumW4color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>color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IFERROR(VLOOKUP(B21,input_388104!L:R,7,FALSE),VLOOKUP(tables_388104!C21,input_388104!A:H,8,FALSE))</f>
        <v>6576.87273</v>
      </c>
      <c r="P21" s="46">
        <f ca="1">O21/SUM(O:O)</f>
        <v>2.5690909098551897E-2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input_388104!A$2</f>
        <v>388104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IFERROR(VLOOKUP(B22,input_388104!L:R,7,FALSE),VLOOKUP(tables_388104!C22,input_388104!A:H,8,FALSE))</f>
        <v>0</v>
      </c>
      <c r="P22" s="46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input_388104!A$2</f>
        <v>388104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IFERROR(VLOOKUP(B23,input_388104!L:R,7,FALSE),VLOOKUP(tables_388104!C23,input_388104!A:H,8,FALSE))</f>
        <v>1507.2</v>
      </c>
      <c r="P23" s="46">
        <f ca="1">O23/SUM(O:O)</f>
        <v>5.8874999993100705E-3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input_388104!A$2</f>
        <v>388104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IFERROR(VLOOKUP(B24,input_388104!L:R,7,FALSE),VLOOKUP(tables_388104!C24,input_388104!A:H,8,FALSE))</f>
        <v>0</v>
      </c>
      <c r="P24" s="46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input_388104!A$2</f>
        <v>388104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IFERROR(VLOOKUP(B25,input_388104!L:R,7,FALSE),VLOOKUP(tables_388104!C25,input_388104!A:H,8,FALSE))</f>
        <v>1507.2</v>
      </c>
      <c r="P25" s="46">
        <f ca="1">O25/SUM(O:O)</f>
        <v>5.8874999993100705E-3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input_388104!A$2</f>
        <v>388104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IFERROR(VLOOKUP(B26,input_388104!L:R,7,FALSE),VLOOKUP(tables_388104!C26,input_388104!A:H,8,FALSE))</f>
        <v>0</v>
      </c>
      <c r="P26" s="46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input_388104!A$2</f>
        <v>388104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IFERROR(VLOOKUP(B27,input_388104!L:R,7,FALSE),VLOOKUP(tables_388104!C27,input_388104!A:H,8,FALSE))</f>
        <v>1507.2</v>
      </c>
      <c r="P27" s="46">
        <f ca="1">O27/SUM(O:O)</f>
        <v>5.8874999993100705E-3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input_388104!A$2</f>
        <v>388104</v>
      </c>
      <c r="B28" s="6">
        <v>152</v>
      </c>
      <c r="C28" s="7" t="str">
        <f t="shared" si="0"/>
        <v>PremiumW3color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>color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IFERROR(VLOOKUP(B28,input_388104!L:R,7,FALSE),VLOOKUP(tables_388104!C28,input_388104!A:H,8,FALSE))</f>
        <v>0</v>
      </c>
      <c r="P28" s="46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input_388104!A$2</f>
        <v>388104</v>
      </c>
      <c r="B29" s="6">
        <v>153</v>
      </c>
      <c r="C29" s="7" t="str">
        <f t="shared" si="0"/>
        <v>PremiumW4color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>color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IFERROR(VLOOKUP(B29,input_388104!L:R,7,FALSE),VLOOKUP(tables_388104!C29,input_388104!A:H,8,FALSE))</f>
        <v>6576.87273</v>
      </c>
      <c r="P29" s="46">
        <f ca="1">O29/SUM(O:O)</f>
        <v>2.5690909098551897E-2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input_388104!A$2</f>
        <v>388104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IFERROR(VLOOKUP(B30,input_388104!L:R,7,FALSE),VLOOKUP(tables_388104!C30,input_388104!A:H,8,FALSE))</f>
        <v>0</v>
      </c>
      <c r="P30" s="46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input_388104!A$2</f>
        <v>388104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IFERROR(VLOOKUP(B31,input_388104!L:R,7,FALSE),VLOOKUP(tables_388104!C31,input_388104!A:H,8,FALSE))</f>
        <v>1507.2</v>
      </c>
      <c r="P31" s="46">
        <f ca="1">O31/SUM(O:O)</f>
        <v>5.8874999993100705E-3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input_388104!A$2</f>
        <v>388104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IFERROR(VLOOKUP(B32,input_388104!L:R,7,FALSE),VLOOKUP(tables_388104!C32,input_388104!A:H,8,FALSE))</f>
        <v>0</v>
      </c>
      <c r="P32" s="46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input_388104!A$2</f>
        <v>388104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IFERROR(VLOOKUP(B33,input_388104!L:R,7,FALSE),VLOOKUP(tables_388104!C33,input_388104!A:H,8,FALSE))</f>
        <v>1507.2</v>
      </c>
      <c r="P33" s="46">
        <f ca="1">O33/SUM(O:O)</f>
        <v>5.8874999993100705E-3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input_388104!A$2</f>
        <v>388104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IFERROR(VLOOKUP(B34,input_388104!L:R,7,FALSE),VLOOKUP(tables_388104!C34,input_388104!A:H,8,FALSE))</f>
        <v>0</v>
      </c>
      <c r="P34" s="46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input_388104!A$2</f>
        <v>388104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IFERROR(VLOOKUP(B35,input_388104!L:R,7,FALSE),VLOOKUP(tables_388104!C35,input_388104!A:H,8,FALSE))</f>
        <v>1507.2</v>
      </c>
      <c r="P35" s="46">
        <f ca="1">O35/SUM(O:O)</f>
        <v>5.8874999993100705E-3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input_388104!A$2</f>
        <v>388104</v>
      </c>
      <c r="B36" s="6">
        <v>160</v>
      </c>
      <c r="C36" s="7" t="str">
        <f t="shared" si="0"/>
        <v>PremiumW3color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>color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IFERROR(VLOOKUP(B36,input_388104!L:R,7,FALSE),VLOOKUP(tables_388104!C36,input_388104!A:H,8,FALSE))</f>
        <v>0</v>
      </c>
      <c r="P36" s="46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input_388104!A$2</f>
        <v>388104</v>
      </c>
      <c r="B37" s="6">
        <v>161</v>
      </c>
      <c r="C37" s="7" t="str">
        <f t="shared" si="0"/>
        <v>PremiumW4color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>color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IFERROR(VLOOKUP(B37,input_388104!L:R,7,FALSE),VLOOKUP(tables_388104!C37,input_388104!A:H,8,FALSE))</f>
        <v>6576.87273</v>
      </c>
      <c r="P37" s="46">
        <f ca="1">O37/SUM(O:O)</f>
        <v>2.5690909098551897E-2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input_388104!A$2</f>
        <v>388104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IFERROR(VLOOKUP(B38,input_388104!L:R,7,FALSE),VLOOKUP(tables_388104!C38,input_388104!A:H,8,FALSE))</f>
        <v>0</v>
      </c>
      <c r="P38" s="46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input_388104!A$2</f>
        <v>388104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IFERROR(VLOOKUP(B39,input_388104!L:R,7,FALSE),VLOOKUP(tables_388104!C39,input_388104!A:H,8,FALSE))</f>
        <v>1507.2</v>
      </c>
      <c r="P39" s="46">
        <f ca="1">O39/SUM(O:O)</f>
        <v>5.8874999993100705E-3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input_388104!A$2</f>
        <v>388104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IFERROR(VLOOKUP(B40,input_388104!L:R,7,FALSE),VLOOKUP(tables_388104!C40,input_388104!A:H,8,FALSE))</f>
        <v>0</v>
      </c>
      <c r="P40" s="46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input_388104!A$2</f>
        <v>388104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IFERROR(VLOOKUP(B41,input_388104!L:R,7,FALSE),VLOOKUP(tables_388104!C41,input_388104!A:H,8,FALSE))</f>
        <v>1507.2</v>
      </c>
      <c r="P41" s="46">
        <f ca="1">O41/SUM(O:O)</f>
        <v>5.8874999993100705E-3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input_388104!A$2</f>
        <v>388104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IFERROR(VLOOKUP(B42,input_388104!L:R,7,FALSE),VLOOKUP(tables_388104!C42,input_388104!A:H,8,FALSE))</f>
        <v>0</v>
      </c>
      <c r="P42" s="46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input_388104!A$2</f>
        <v>388104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IFERROR(VLOOKUP(B43,input_388104!L:R,7,FALSE),VLOOKUP(tables_388104!C43,input_388104!A:H,8,FALSE))</f>
        <v>1431.84</v>
      </c>
      <c r="P43" s="46">
        <f ca="1">O43/SUM(O:O)</f>
        <v>5.593124999344566E-3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input_388104!A$2</f>
        <v>388104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IFERROR(VLOOKUP(B44,input_388104!L:R,7,FALSE),VLOOKUP(tables_388104!C44,input_388104!A:H,8,FALSE))</f>
        <v>75.36</v>
      </c>
      <c r="P44" s="46">
        <f ca="1">O44/SUM(O:O)</f>
        <v>2.9437499996550349E-4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input_388104!A$2</f>
        <v>388104</v>
      </c>
      <c r="B45" s="6">
        <v>169</v>
      </c>
      <c r="C45" s="7" t="str">
        <f t="shared" si="0"/>
        <v>Premium3R6releasecolor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>color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IFERROR(VLOOKUP(B45,input_388104!L:R,7,FALSE),VLOOKUP(tables_388104!C45,input_388104!A:H,8,FALSE))</f>
        <v>0</v>
      </c>
      <c r="P45" s="46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input_388104!A$2</f>
        <v>388104</v>
      </c>
      <c r="B46" s="6">
        <v>170</v>
      </c>
      <c r="C46" s="7" t="str">
        <f t="shared" si="0"/>
        <v>Premium4R6releasecolor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>color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IFERROR(VLOOKUP(B46,input_388104!L:R,7,FALSE),VLOOKUP(tables_388104!C46,input_388104!A:H,8,FALSE))</f>
        <v>6248.02909</v>
      </c>
      <c r="P46" s="46">
        <f ca="1">O46/SUM(O:O)</f>
        <v>2.4406363629952427E-2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input_388104!A$2</f>
        <v>388104</v>
      </c>
      <c r="B47" s="6">
        <v>171</v>
      </c>
      <c r="C47" s="7" t="str">
        <f t="shared" si="0"/>
        <v>Premium5R6releasecolor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>color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IFERROR(VLOOKUP(B47,input_388104!L:R,7,FALSE),VLOOKUP(tables_388104!C47,input_388104!A:H,8,FALSE))</f>
        <v>328.84363999999999</v>
      </c>
      <c r="P47" s="46">
        <f ca="1">O47/SUM(O:O)</f>
        <v>1.2845454685994698E-3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input_388104!A$2</f>
        <v>388104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IFERROR(VLOOKUP(B48,input_388104!L:R,7,FALSE),VLOOKUP(tables_388104!C48,input_388104!A:H,8,FALSE))</f>
        <v>0</v>
      </c>
      <c r="P48" s="46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input_388104!A$2</f>
        <v>388104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IFERROR(VLOOKUP(B49,input_388104!L:R,7,FALSE),VLOOKUP(tables_388104!C49,input_388104!A:H,8,FALSE))</f>
        <v>1431.84</v>
      </c>
      <c r="P49" s="46">
        <f ca="1">O49/SUM(O:O)</f>
        <v>5.593124999344566E-3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input_388104!A$2</f>
        <v>388104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IFERROR(VLOOKUP(B50,input_388104!L:R,7,FALSE),VLOOKUP(tables_388104!C50,input_388104!A:H,8,FALSE))</f>
        <v>75.36</v>
      </c>
      <c r="P50" s="46">
        <f ca="1">O50/SUM(O:O)</f>
        <v>2.9437499996550349E-4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input_388104!A$2</f>
        <v>388104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IFERROR(VLOOKUP(B51,input_388104!L:R,7,FALSE),VLOOKUP(tables_388104!C51,input_388104!A:H,8,FALSE))</f>
        <v>0</v>
      </c>
      <c r="P51" s="46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input_388104!A$2</f>
        <v>388104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IFERROR(VLOOKUP(B52,input_388104!L:R,7,FALSE),VLOOKUP(tables_388104!C52,input_388104!A:H,8,FALSE))</f>
        <v>1431.84</v>
      </c>
      <c r="P52" s="46">
        <f ca="1">O52/SUM(O:O)</f>
        <v>5.593124999344566E-3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input_388104!A$2</f>
        <v>388104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IFERROR(VLOOKUP(B53,input_388104!L:R,7,FALSE),VLOOKUP(tables_388104!C53,input_388104!A:H,8,FALSE))</f>
        <v>75.36</v>
      </c>
      <c r="P53" s="46">
        <f ca="1">O53/SUM(O:O)</f>
        <v>2.9437499996550349E-4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input_388104!A$2</f>
        <v>388104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IFERROR(VLOOKUP(B54,input_388104!L:R,7,FALSE),VLOOKUP(tables_388104!C54,input_388104!A:H,8,FALSE))</f>
        <v>0</v>
      </c>
      <c r="P54" s="46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input_388104!A$2</f>
        <v>388104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IFERROR(VLOOKUP(B55,input_388104!L:R,7,FALSE),VLOOKUP(tables_388104!C55,input_388104!A:H,8,FALSE))</f>
        <v>1431.84</v>
      </c>
      <c r="P55" s="46">
        <f ca="1">O55/SUM(O:O)</f>
        <v>5.593124999344566E-3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input_388104!A$2</f>
        <v>388104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IFERROR(VLOOKUP(B56,input_388104!L:R,7,FALSE),VLOOKUP(tables_388104!C56,input_388104!A:H,8,FALSE))</f>
        <v>75.36</v>
      </c>
      <c r="P56" s="46">
        <f ca="1">O56/SUM(O:O)</f>
        <v>2.9437499996550349E-4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input_388104!A$2</f>
        <v>388104</v>
      </c>
      <c r="B57" s="6">
        <v>181</v>
      </c>
      <c r="C57" s="7" t="str">
        <f t="shared" si="0"/>
        <v>Premium3color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>color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IFERROR(VLOOKUP(B57,input_388104!L:R,7,FALSE),VLOOKUP(tables_388104!C57,input_388104!A:H,8,FALSE))</f>
        <v>0</v>
      </c>
      <c r="P57" s="46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input_388104!A$2</f>
        <v>388104</v>
      </c>
      <c r="B58" s="6">
        <v>182</v>
      </c>
      <c r="C58" s="7" t="str">
        <f t="shared" si="0"/>
        <v>Premium4color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>color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IFERROR(VLOOKUP(B58,input_388104!L:R,7,FALSE),VLOOKUP(tables_388104!C58,input_388104!A:H,8,FALSE))</f>
        <v>6248.02909</v>
      </c>
      <c r="P58" s="46">
        <f ca="1">O58/SUM(O:O)</f>
        <v>2.4406363629952427E-2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input_388104!A$2</f>
        <v>388104</v>
      </c>
      <c r="B59" s="6">
        <v>183</v>
      </c>
      <c r="C59" s="7" t="str">
        <f t="shared" si="0"/>
        <v>Premium5color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>color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IFERROR(VLOOKUP(B59,input_388104!L:R,7,FALSE),VLOOKUP(tables_388104!C59,input_388104!A:H,8,FALSE))</f>
        <v>328.84363999999999</v>
      </c>
      <c r="P59" s="46">
        <f ca="1">O59/SUM(O:O)</f>
        <v>1.2845454685994698E-3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input_388104!A$2</f>
        <v>388104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IFERROR(VLOOKUP(B60,input_388104!L:R,7,FALSE),VLOOKUP(tables_388104!C60,input_388104!A:H,8,FALSE))</f>
        <v>0</v>
      </c>
      <c r="P60" s="46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input_388104!A$2</f>
        <v>388104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IFERROR(VLOOKUP(B61,input_388104!L:R,7,FALSE),VLOOKUP(tables_388104!C61,input_388104!A:H,8,FALSE))</f>
        <v>1431.84</v>
      </c>
      <c r="P61" s="46">
        <f ca="1">O61/SUM(O:O)</f>
        <v>5.593124999344566E-3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input_388104!A$2</f>
        <v>388104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IFERROR(VLOOKUP(B62,input_388104!L:R,7,FALSE),VLOOKUP(tables_388104!C62,input_388104!A:H,8,FALSE))</f>
        <v>75.36</v>
      </c>
      <c r="P62" s="46">
        <f ca="1">O62/SUM(O:O)</f>
        <v>2.9437499996550349E-4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input_388104!A$2</f>
        <v>388104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IFERROR(VLOOKUP(B63,input_388104!L:R,7,FALSE),VLOOKUP(tables_388104!C63,input_388104!A:H,8,FALSE))</f>
        <v>0</v>
      </c>
      <c r="P63" s="46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input_388104!A$2</f>
        <v>388104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IFERROR(VLOOKUP(B64,input_388104!L:R,7,FALSE),VLOOKUP(tables_388104!C64,input_388104!A:H,8,FALSE))</f>
        <v>1431.84</v>
      </c>
      <c r="P64" s="46">
        <f ca="1">O64/SUM(O:O)</f>
        <v>5.593124999344566E-3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input_388104!A$2</f>
        <v>388104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IFERROR(VLOOKUP(B65,input_388104!L:R,7,FALSE),VLOOKUP(tables_388104!C65,input_388104!A:H,8,FALSE))</f>
        <v>75.36</v>
      </c>
      <c r="P65" s="46">
        <f ca="1">O65/SUM(O:O)</f>
        <v>2.9437499996550349E-4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input_388104!A$2</f>
        <v>388104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si="2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IFERROR(VLOOKUP(B66,input_388104!L:R,7,FALSE),VLOOKUP(tables_388104!C66,input_388104!A:H,8,FALSE))</f>
        <v>0</v>
      </c>
      <c r="P66" s="46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input_388104!A$2</f>
        <v>388104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ref="G67:G130" si="5">IF(K67="green","color","")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IFERROR(VLOOKUP(B67,input_388104!L:R,7,FALSE),VLOOKUP(tables_388104!C67,input_388104!A:H,8,FALSE))</f>
        <v>1431.84</v>
      </c>
      <c r="P67" s="46">
        <f ca="1">O67/SUM(O:O)</f>
        <v>5.593124999344566E-3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input_388104!A$2</f>
        <v>388104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IFERROR(VLOOKUP(B68,input_388104!L:R,7,FALSE),VLOOKUP(tables_388104!C68,input_388104!A:H,8,FALSE))</f>
        <v>75.36</v>
      </c>
      <c r="P68" s="46">
        <f ca="1">O68/SUM(O:O)</f>
        <v>2.9437499996550349E-4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input_388104!A$2</f>
        <v>388104</v>
      </c>
      <c r="B69" s="6">
        <v>193</v>
      </c>
      <c r="C69" s="7" t="str">
        <f t="shared" si="3"/>
        <v>Premium3color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5"/>
        <v>color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IFERROR(VLOOKUP(B69,input_388104!L:R,7,FALSE),VLOOKUP(tables_388104!C69,input_388104!A:H,8,FALSE))</f>
        <v>0</v>
      </c>
      <c r="P69" s="46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input_388104!A$2</f>
        <v>388104</v>
      </c>
      <c r="B70" s="10">
        <v>194</v>
      </c>
      <c r="C70" s="7" t="str">
        <f t="shared" si="3"/>
        <v>Premium4color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5"/>
        <v>color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IFERROR(VLOOKUP(B70,input_388104!L:R,7,FALSE),VLOOKUP(tables_388104!C70,input_388104!A:H,8,FALSE))</f>
        <v>6248.02909</v>
      </c>
      <c r="P70" s="46">
        <f ca="1">O70/SUM(O:O)</f>
        <v>2.4406363629952427E-2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input_388104!A$2</f>
        <v>388104</v>
      </c>
      <c r="B71" s="6">
        <v>195</v>
      </c>
      <c r="C71" s="7" t="str">
        <f t="shared" si="3"/>
        <v>Premium5color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5"/>
        <v>color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IFERROR(VLOOKUP(B71,input_388104!L:R,7,FALSE),VLOOKUP(tables_388104!C71,input_388104!A:H,8,FALSE))</f>
        <v>328.84363999999999</v>
      </c>
      <c r="P71" s="46">
        <f ca="1">O71/SUM(O:O)</f>
        <v>1.2845454685994698E-3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input_388104!A$2</f>
        <v>388104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5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IFERROR(VLOOKUP(B72,input_388104!L:R,7,FALSE),VLOOKUP(tables_388104!C72,input_388104!A:H,8,FALSE))</f>
        <v>0</v>
      </c>
      <c r="P72" s="46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input_388104!A$2</f>
        <v>388104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5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IFERROR(VLOOKUP(B73,input_388104!L:R,7,FALSE),VLOOKUP(tables_388104!C73,input_388104!A:H,8,FALSE))</f>
        <v>1431.84</v>
      </c>
      <c r="P73" s="46">
        <f ca="1">O73/SUM(O:O)</f>
        <v>5.593124999344566E-3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input_388104!A$2</f>
        <v>388104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5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IFERROR(VLOOKUP(B74,input_388104!L:R,7,FALSE),VLOOKUP(tables_388104!C74,input_388104!A:H,8,FALSE))</f>
        <v>75.36</v>
      </c>
      <c r="P74" s="46">
        <f ca="1">O74/SUM(O:O)</f>
        <v>2.9437499996550349E-4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input_388104!A$2</f>
        <v>388104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IFERROR(VLOOKUP(B75,input_388104!L:R,7,FALSE),VLOOKUP(tables_388104!C75,input_388104!A:H,8,FALSE))</f>
        <v>0</v>
      </c>
      <c r="P75" s="46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input_388104!A$2</f>
        <v>388104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IFERROR(VLOOKUP(B76,input_388104!L:R,7,FALSE),VLOOKUP(tables_388104!C76,input_388104!A:H,8,FALSE))</f>
        <v>1431.84</v>
      </c>
      <c r="P76" s="46">
        <f ca="1">O76/SUM(O:O)</f>
        <v>5.593124999344566E-3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input_388104!A$2</f>
        <v>388104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IFERROR(VLOOKUP(B77,input_388104!L:R,7,FALSE),VLOOKUP(tables_388104!C77,input_388104!A:H,8,FALSE))</f>
        <v>75.36</v>
      </c>
      <c r="P77" s="46">
        <f ca="1">O77/SUM(O:O)</f>
        <v>2.9437499996550349E-4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input_388104!A$2</f>
        <v>388104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IFERROR(VLOOKUP(B78,input_388104!L:R,7,FALSE),VLOOKUP(tables_388104!C78,input_388104!A:H,8,FALSE))</f>
        <v>0</v>
      </c>
      <c r="P78" s="46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input_388104!A$2</f>
        <v>388104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IFERROR(VLOOKUP(B79,input_388104!L:R,7,FALSE),VLOOKUP(tables_388104!C79,input_388104!A:H,8,FALSE))</f>
        <v>1431.84</v>
      </c>
      <c r="P79" s="46">
        <f ca="1">O79/SUM(O:O)</f>
        <v>5.593124999344566E-3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input_388104!A$2</f>
        <v>388104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IFERROR(VLOOKUP(B80,input_388104!L:R,7,FALSE),VLOOKUP(tables_388104!C80,input_388104!A:H,8,FALSE))</f>
        <v>75.36</v>
      </c>
      <c r="P80" s="46">
        <f ca="1">O80/SUM(O:O)</f>
        <v>2.9437499996550349E-4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input_388104!A$2</f>
        <v>388104</v>
      </c>
      <c r="B81" s="5">
        <v>205</v>
      </c>
      <c r="C81" s="7" t="str">
        <f t="shared" si="3"/>
        <v>Premium3color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5"/>
        <v>color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IFERROR(VLOOKUP(B81,input_388104!L:R,7,FALSE),VLOOKUP(tables_388104!C81,input_388104!A:H,8,FALSE))</f>
        <v>0</v>
      </c>
      <c r="P81" s="46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input_388104!A$2</f>
        <v>388104</v>
      </c>
      <c r="B82" s="5">
        <v>206</v>
      </c>
      <c r="C82" s="7" t="str">
        <f t="shared" si="3"/>
        <v>Premium4color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5"/>
        <v>color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IFERROR(VLOOKUP(B82,input_388104!L:R,7,FALSE),VLOOKUP(tables_388104!C82,input_388104!A:H,8,FALSE))</f>
        <v>6248.02909</v>
      </c>
      <c r="P82" s="46">
        <f ca="1">O82/SUM(O:O)</f>
        <v>2.4406363629952427E-2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input_388104!A$2</f>
        <v>388104</v>
      </c>
      <c r="B83" s="5">
        <v>207</v>
      </c>
      <c r="C83" s="7" t="str">
        <f t="shared" si="3"/>
        <v>Premium5color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5"/>
        <v>color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IFERROR(VLOOKUP(B83,input_388104!L:R,7,FALSE),VLOOKUP(tables_388104!C83,input_388104!A:H,8,FALSE))</f>
        <v>328.84363999999999</v>
      </c>
      <c r="P83" s="46">
        <f ca="1">O83/SUM(O:O)</f>
        <v>1.2845454685994698E-3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input_388104!A$2</f>
        <v>388104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IFERROR(VLOOKUP(B84,input_388104!L:R,7,FALSE),VLOOKUP(tables_388104!C84,input_388104!A:H,8,FALSE))</f>
        <v>0</v>
      </c>
      <c r="P84" s="46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input_388104!A$2</f>
        <v>388104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IFERROR(VLOOKUP(B85,input_388104!L:R,7,FALSE),VLOOKUP(tables_388104!C85,input_388104!A:H,8,FALSE))</f>
        <v>1431.84</v>
      </c>
      <c r="P85" s="46">
        <f ca="1">O85/SUM(O:O)</f>
        <v>5.593124999344566E-3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input_388104!A$2</f>
        <v>388104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IFERROR(VLOOKUP(B86,input_388104!L:R,7,FALSE),VLOOKUP(tables_388104!C86,input_388104!A:H,8,FALSE))</f>
        <v>75.36</v>
      </c>
      <c r="P86" s="46">
        <f ca="1">O86/SUM(O:O)</f>
        <v>2.9437499996550349E-4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input_388104!A$2</f>
        <v>388104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5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IFERROR(VLOOKUP(B87,input_388104!L:R,7,FALSE),VLOOKUP(tables_388104!C87,input_388104!A:H,8,FALSE))</f>
        <v>0</v>
      </c>
      <c r="P87" s="46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input_388104!A$2</f>
        <v>388104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5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IFERROR(VLOOKUP(B88,input_388104!L:R,7,FALSE),VLOOKUP(tables_388104!C88,input_388104!A:H,8,FALSE))</f>
        <v>1431.84</v>
      </c>
      <c r="P88" s="46">
        <f ca="1">O88/SUM(O:O)</f>
        <v>5.593124999344566E-3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input_388104!A$2</f>
        <v>388104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5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IFERROR(VLOOKUP(B89,input_388104!L:R,7,FALSE),VLOOKUP(tables_388104!C89,input_388104!A:H,8,FALSE))</f>
        <v>75.36</v>
      </c>
      <c r="P89" s="46">
        <f ca="1">O89/SUM(O:O)</f>
        <v>2.9437499996550349E-4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input_388104!A$2</f>
        <v>388104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IFERROR(VLOOKUP(B90,input_388104!L:R,7,FALSE),VLOOKUP(tables_388104!C90,input_388104!A:H,8,FALSE))</f>
        <v>0</v>
      </c>
      <c r="P90" s="46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input_388104!A$2</f>
        <v>388104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IFERROR(VLOOKUP(B91,input_388104!L:R,7,FALSE),VLOOKUP(tables_388104!C91,input_388104!A:H,8,FALSE))</f>
        <v>1431.84</v>
      </c>
      <c r="P91" s="46">
        <f ca="1">O91/SUM(O:O)</f>
        <v>5.593124999344566E-3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input_388104!A$2</f>
        <v>388104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IFERROR(VLOOKUP(B92,input_388104!L:R,7,FALSE),VLOOKUP(tables_388104!C92,input_388104!A:H,8,FALSE))</f>
        <v>75.36</v>
      </c>
      <c r="P92" s="46">
        <f ca="1">O92/SUM(O:O)</f>
        <v>2.9437499996550349E-4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input_388104!A$2</f>
        <v>388104</v>
      </c>
      <c r="B93" s="5">
        <v>217</v>
      </c>
      <c r="C93" s="7" t="str">
        <f t="shared" si="3"/>
        <v>Premium3color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5"/>
        <v>color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IFERROR(VLOOKUP(B93,input_388104!L:R,7,FALSE),VLOOKUP(tables_388104!C93,input_388104!A:H,8,FALSE))</f>
        <v>0</v>
      </c>
      <c r="P93" s="46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input_388104!A$2</f>
        <v>388104</v>
      </c>
      <c r="B94" s="5">
        <v>218</v>
      </c>
      <c r="C94" s="7" t="str">
        <f t="shared" si="3"/>
        <v>Premium4color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5"/>
        <v>color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IFERROR(VLOOKUP(B94,input_388104!L:R,7,FALSE),VLOOKUP(tables_388104!C94,input_388104!A:H,8,FALSE))</f>
        <v>6248.02909</v>
      </c>
      <c r="P94" s="46">
        <f ca="1">O94/SUM(O:O)</f>
        <v>2.4406363629952427E-2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input_388104!A$2</f>
        <v>388104</v>
      </c>
      <c r="B95" s="5">
        <v>219</v>
      </c>
      <c r="C95" s="7" t="str">
        <f t="shared" si="3"/>
        <v>Premium5color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5"/>
        <v>color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IFERROR(VLOOKUP(B95,input_388104!L:R,7,FALSE),VLOOKUP(tables_388104!C95,input_388104!A:H,8,FALSE))</f>
        <v>328.84363999999999</v>
      </c>
      <c r="P95" s="46">
        <f ca="1">O95/SUM(O:O)</f>
        <v>1.2845454685994698E-3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input_388104!A$2</f>
        <v>388104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IFERROR(VLOOKUP(B96,input_388104!L:R,7,FALSE),VLOOKUP(tables_388104!C96,input_388104!A:H,8,FALSE))</f>
        <v>0</v>
      </c>
      <c r="P96" s="46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input_388104!A$2</f>
        <v>388104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IFERROR(VLOOKUP(B97,input_388104!L:R,7,FALSE),VLOOKUP(tables_388104!C97,input_388104!A:H,8,FALSE))</f>
        <v>1431.84</v>
      </c>
      <c r="P97" s="46">
        <f ca="1">O97/SUM(O:O)</f>
        <v>5.593124999344566E-3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input_388104!A$2</f>
        <v>388104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IFERROR(VLOOKUP(B98,input_388104!L:R,7,FALSE),VLOOKUP(tables_388104!C98,input_388104!A:H,8,FALSE))</f>
        <v>75.36</v>
      </c>
      <c r="P98" s="46">
        <f ca="1">O98/SUM(O:O)</f>
        <v>2.9437499996550349E-4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input_388104!A$2</f>
        <v>388104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5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IFERROR(VLOOKUP(B99,input_388104!L:R,7,FALSE),VLOOKUP(tables_388104!C99,input_388104!A:H,8,FALSE))</f>
        <v>0</v>
      </c>
      <c r="P99" s="46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input_388104!A$2</f>
        <v>388104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5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IFERROR(VLOOKUP(B100,input_388104!L:R,7,FALSE),VLOOKUP(tables_388104!C100,input_388104!A:H,8,FALSE))</f>
        <v>1431.84</v>
      </c>
      <c r="P100" s="46">
        <f ca="1">O100/SUM(O:O)</f>
        <v>5.593124999344566E-3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input_388104!A$2</f>
        <v>388104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5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IFERROR(VLOOKUP(B101,input_388104!L:R,7,FALSE),VLOOKUP(tables_388104!C101,input_388104!A:H,8,FALSE))</f>
        <v>75.36</v>
      </c>
      <c r="P101" s="46">
        <f ca="1">O101/SUM(O:O)</f>
        <v>2.9437499996550349E-4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input_388104!A$2</f>
        <v>388104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IFERROR(VLOOKUP(B102,input_388104!L:R,7,FALSE),VLOOKUP(tables_388104!C102,input_388104!A:H,8,FALSE))</f>
        <v>0</v>
      </c>
      <c r="P102" s="46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input_388104!A$2</f>
        <v>388104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IFERROR(VLOOKUP(B103,input_388104!L:R,7,FALSE),VLOOKUP(tables_388104!C103,input_388104!A:H,8,FALSE))</f>
        <v>1431.84</v>
      </c>
      <c r="P103" s="46">
        <f ca="1">O103/SUM(O:O)</f>
        <v>5.593124999344566E-3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input_388104!A$2</f>
        <v>388104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IFERROR(VLOOKUP(B104,input_388104!L:R,7,FALSE),VLOOKUP(tables_388104!C104,input_388104!A:H,8,FALSE))</f>
        <v>75.36</v>
      </c>
      <c r="P104" s="46">
        <f ca="1">O104/SUM(O:O)</f>
        <v>2.9437499996550349E-4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input_388104!A$2</f>
        <v>388104</v>
      </c>
      <c r="B105" s="5">
        <v>229</v>
      </c>
      <c r="C105" s="7" t="str">
        <f t="shared" si="3"/>
        <v>Premium3color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5"/>
        <v>color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IFERROR(VLOOKUP(B105,input_388104!L:R,7,FALSE),VLOOKUP(tables_388104!C105,input_388104!A:H,8,FALSE))</f>
        <v>0</v>
      </c>
      <c r="P105" s="46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input_388104!A$2</f>
        <v>388104</v>
      </c>
      <c r="B106" s="5">
        <v>230</v>
      </c>
      <c r="C106" s="7" t="str">
        <f t="shared" si="3"/>
        <v>Premium4color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5"/>
        <v>color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IFERROR(VLOOKUP(B106,input_388104!L:R,7,FALSE),VLOOKUP(tables_388104!C106,input_388104!A:H,8,FALSE))</f>
        <v>6248.02909</v>
      </c>
      <c r="P106" s="46">
        <f ca="1">O106/SUM(O:O)</f>
        <v>2.4406363629952427E-2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input_388104!A$2</f>
        <v>388104</v>
      </c>
      <c r="B107" s="5">
        <v>231</v>
      </c>
      <c r="C107" s="7" t="str">
        <f t="shared" si="3"/>
        <v>Premium5color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5"/>
        <v>color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IFERROR(VLOOKUP(B107,input_388104!L:R,7,FALSE),VLOOKUP(tables_388104!C107,input_388104!A:H,8,FALSE))</f>
        <v>328.84363999999999</v>
      </c>
      <c r="P107" s="46">
        <f ca="1">O107/SUM(O:O)</f>
        <v>1.2845454685994698E-3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input_388104!A$2</f>
        <v>388104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IFERROR(VLOOKUP(B108,input_388104!L:R,7,FALSE),VLOOKUP(tables_388104!C108,input_388104!A:H,8,FALSE))</f>
        <v>0</v>
      </c>
      <c r="P108" s="46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input_388104!A$2</f>
        <v>388104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IFERROR(VLOOKUP(B109,input_388104!L:R,7,FALSE),VLOOKUP(tables_388104!C109,input_388104!A:H,8,FALSE))</f>
        <v>1431.84</v>
      </c>
      <c r="P109" s="46">
        <f ca="1">O109/SUM(O:O)</f>
        <v>5.593124999344566E-3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input_388104!A$2</f>
        <v>388104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IFERROR(VLOOKUP(B110,input_388104!L:R,7,FALSE),VLOOKUP(tables_388104!C110,input_388104!A:H,8,FALSE))</f>
        <v>75.36</v>
      </c>
      <c r="P110" s="46">
        <f ca="1">O110/SUM(O:O)</f>
        <v>2.9437499996550349E-4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input_388104!A$2</f>
        <v>388104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5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IFERROR(VLOOKUP(B111,input_388104!L:R,7,FALSE),VLOOKUP(tables_388104!C111,input_388104!A:H,8,FALSE))</f>
        <v>0</v>
      </c>
      <c r="P111" s="46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input_388104!A$2</f>
        <v>388104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5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IFERROR(VLOOKUP(B112,input_388104!L:R,7,FALSE),VLOOKUP(tables_388104!C112,input_388104!A:H,8,FALSE))</f>
        <v>1431.84</v>
      </c>
      <c r="P112" s="46">
        <f ca="1">O112/SUM(O:O)</f>
        <v>5.593124999344566E-3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input_388104!A$2</f>
        <v>388104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5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IFERROR(VLOOKUP(B113,input_388104!L:R,7,FALSE),VLOOKUP(tables_388104!C113,input_388104!A:H,8,FALSE))</f>
        <v>75.36</v>
      </c>
      <c r="P113" s="46">
        <f ca="1">O113/SUM(O:O)</f>
        <v>2.9437499996550349E-4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input_388104!A$2</f>
        <v>388104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IFERROR(VLOOKUP(B114,input_388104!L:R,7,FALSE),VLOOKUP(tables_388104!C114,input_388104!A:H,8,FALSE))</f>
        <v>0</v>
      </c>
      <c r="P114" s="46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input_388104!A$2</f>
        <v>388104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IFERROR(VLOOKUP(B115,input_388104!L:R,7,FALSE),VLOOKUP(tables_388104!C115,input_388104!A:H,8,FALSE))</f>
        <v>1431.84</v>
      </c>
      <c r="P115" s="46">
        <f ca="1">O115/SUM(O:O)</f>
        <v>5.593124999344566E-3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input_388104!A$2</f>
        <v>388104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IFERROR(VLOOKUP(B116,input_388104!L:R,7,FALSE),VLOOKUP(tables_388104!C116,input_388104!A:H,8,FALSE))</f>
        <v>75.36</v>
      </c>
      <c r="P116" s="46">
        <f ca="1">O116/SUM(O:O)</f>
        <v>2.9437499996550349E-4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input_388104!A$2</f>
        <v>388104</v>
      </c>
      <c r="B117" s="5">
        <v>241</v>
      </c>
      <c r="C117" s="7" t="str">
        <f t="shared" si="3"/>
        <v>Premium3color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5"/>
        <v>color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IFERROR(VLOOKUP(B117,input_388104!L:R,7,FALSE),VLOOKUP(tables_388104!C117,input_388104!A:H,8,FALSE))</f>
        <v>0</v>
      </c>
      <c r="P117" s="46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input_388104!A$2</f>
        <v>388104</v>
      </c>
      <c r="B118" s="5">
        <v>242</v>
      </c>
      <c r="C118" s="7" t="str">
        <f t="shared" si="3"/>
        <v>Premium4color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5"/>
        <v>color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IFERROR(VLOOKUP(B118,input_388104!L:R,7,FALSE),VLOOKUP(tables_388104!C118,input_388104!A:H,8,FALSE))</f>
        <v>6248.02909</v>
      </c>
      <c r="P118" s="46">
        <f ca="1">O118/SUM(O:O)</f>
        <v>2.4406363629952427E-2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input_388104!A$2</f>
        <v>388104</v>
      </c>
      <c r="B119" s="5">
        <v>243</v>
      </c>
      <c r="C119" s="7" t="str">
        <f t="shared" si="3"/>
        <v>Premium5color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5"/>
        <v>color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IFERROR(VLOOKUP(B119,input_388104!L:R,7,FALSE),VLOOKUP(tables_388104!C119,input_388104!A:H,8,FALSE))</f>
        <v>328.84363999999999</v>
      </c>
      <c r="P119" s="46">
        <f ca="1">O119/SUM(O:O)</f>
        <v>1.2845454685994698E-3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input_388104!A$2</f>
        <v>388104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IFERROR(VLOOKUP(B120,input_388104!L:R,7,FALSE),VLOOKUP(tables_388104!C120,input_388104!A:H,8,FALSE))</f>
        <v>0</v>
      </c>
      <c r="P120" s="46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input_388104!A$2</f>
        <v>388104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IFERROR(VLOOKUP(B121,input_388104!L:R,7,FALSE),VLOOKUP(tables_388104!C121,input_388104!A:H,8,FALSE))</f>
        <v>1431.84</v>
      </c>
      <c r="P121" s="46">
        <f ca="1">O121/SUM(O:O)</f>
        <v>5.593124999344566E-3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input_388104!A$2</f>
        <v>388104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IFERROR(VLOOKUP(B122,input_388104!L:R,7,FALSE),VLOOKUP(tables_388104!C122,input_388104!A:H,8,FALSE))</f>
        <v>75.36</v>
      </c>
      <c r="P122" s="46">
        <f ca="1">O122/SUM(O:O)</f>
        <v>2.9437499996550349E-4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input_388104!A$2</f>
        <v>388104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5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IFERROR(VLOOKUP(B123,input_388104!L:R,7,FALSE),VLOOKUP(tables_388104!C123,input_388104!A:H,8,FALSE))</f>
        <v>0</v>
      </c>
      <c r="P123" s="46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input_388104!A$2</f>
        <v>388104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5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IFERROR(VLOOKUP(B124,input_388104!L:R,7,FALSE),VLOOKUP(tables_388104!C124,input_388104!A:H,8,FALSE))</f>
        <v>1431.84</v>
      </c>
      <c r="P124" s="46">
        <f ca="1">O124/SUM(O:O)</f>
        <v>5.593124999344566E-3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input_388104!A$2</f>
        <v>388104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5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IFERROR(VLOOKUP(B125,input_388104!L:R,7,FALSE),VLOOKUP(tables_388104!C125,input_388104!A:H,8,FALSE))</f>
        <v>75.36</v>
      </c>
      <c r="P125" s="46">
        <f ca="1">O125/SUM(O:O)</f>
        <v>2.9437499996550349E-4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input_388104!A$2</f>
        <v>388104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IFERROR(VLOOKUP(B126,input_388104!L:R,7,FALSE),VLOOKUP(tables_388104!C126,input_388104!A:H,8,FALSE))</f>
        <v>0</v>
      </c>
      <c r="P126" s="46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input_388104!A$2</f>
        <v>388104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IFERROR(VLOOKUP(B127,input_388104!L:R,7,FALSE),VLOOKUP(tables_388104!C127,input_388104!A:H,8,FALSE))</f>
        <v>1431.84</v>
      </c>
      <c r="P127" s="46">
        <f ca="1">O127/SUM(O:O)</f>
        <v>5.593124999344566E-3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input_388104!A$2</f>
        <v>388104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IFERROR(VLOOKUP(B128,input_388104!L:R,7,FALSE),VLOOKUP(tables_388104!C128,input_388104!A:H,8,FALSE))</f>
        <v>75.36</v>
      </c>
      <c r="P128" s="46">
        <f ca="1">O128/SUM(O:O)</f>
        <v>2.9437499996550349E-4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input_388104!A$2</f>
        <v>388104</v>
      </c>
      <c r="B129" s="6">
        <v>253</v>
      </c>
      <c r="C129" s="7" t="str">
        <f t="shared" si="3"/>
        <v>Premium3color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5"/>
        <v>color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IFERROR(VLOOKUP(B129,input_388104!L:R,7,FALSE),VLOOKUP(tables_388104!C129,input_388104!A:H,8,FALSE))</f>
        <v>0</v>
      </c>
      <c r="P129" s="46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input_388104!A$2</f>
        <v>388104</v>
      </c>
      <c r="B130" s="6">
        <v>254</v>
      </c>
      <c r="C130" s="7" t="str">
        <f t="shared" ref="C130:C193" si="6">D130&amp;J130&amp;E130&amp;F130&amp;G130</f>
        <v>Premium4color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si="5"/>
        <v>color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IFERROR(VLOOKUP(B130,input_388104!L:R,7,FALSE),VLOOKUP(tables_388104!C130,input_388104!A:H,8,FALSE))</f>
        <v>6248.02909</v>
      </c>
      <c r="P130" s="46">
        <f ca="1">O130/SUM(O:O)</f>
        <v>2.4406363629952427E-2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input_388104!A$2</f>
        <v>388104</v>
      </c>
      <c r="B131" s="6">
        <v>255</v>
      </c>
      <c r="C131" s="7" t="str">
        <f t="shared" si="6"/>
        <v>Premium5color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ref="G131:G194" si="8">IF(K131="green","color","")</f>
        <v>color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IFERROR(VLOOKUP(B131,input_388104!L:R,7,FALSE),VLOOKUP(tables_388104!C131,input_388104!A:H,8,FALSE))</f>
        <v>328.84363999999999</v>
      </c>
      <c r="P131" s="46">
        <f ca="1">O131/SUM(O:O)</f>
        <v>1.2845454685994698E-3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input_388104!A$2</f>
        <v>388104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8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IFERROR(VLOOKUP(B132,input_388104!L:R,7,FALSE),VLOOKUP(tables_388104!C132,input_388104!A:H,8,FALSE))</f>
        <v>0</v>
      </c>
      <c r="P132" s="46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input_388104!A$2</f>
        <v>388104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8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IFERROR(VLOOKUP(B133,input_388104!L:R,7,FALSE),VLOOKUP(tables_388104!C133,input_388104!A:H,8,FALSE))</f>
        <v>1431.84</v>
      </c>
      <c r="P133" s="46">
        <f ca="1">O133/SUM(O:O)</f>
        <v>5.593124999344566E-3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input_388104!A$2</f>
        <v>388104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8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IFERROR(VLOOKUP(B134,input_388104!L:R,7,FALSE),VLOOKUP(tables_388104!C134,input_388104!A:H,8,FALSE))</f>
        <v>75.36</v>
      </c>
      <c r="P134" s="46">
        <f ca="1">O134/SUM(O:O)</f>
        <v>2.9437499996550349E-4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input_388104!A$2</f>
        <v>388104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8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IFERROR(VLOOKUP(B135,input_388104!L:R,7,FALSE),VLOOKUP(tables_388104!C135,input_388104!A:H,8,FALSE))</f>
        <v>0</v>
      </c>
      <c r="P135" s="46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input_388104!A$2</f>
        <v>388104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8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IFERROR(VLOOKUP(B136,input_388104!L:R,7,FALSE),VLOOKUP(tables_388104!C136,input_388104!A:H,8,FALSE))</f>
        <v>1431.84</v>
      </c>
      <c r="P136" s="46">
        <f ca="1">O136/SUM(O:O)</f>
        <v>5.593124999344566E-3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input_388104!A$2</f>
        <v>388104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8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IFERROR(VLOOKUP(B137,input_388104!L:R,7,FALSE),VLOOKUP(tables_388104!C137,input_388104!A:H,8,FALSE))</f>
        <v>75.36</v>
      </c>
      <c r="P137" s="46">
        <f ca="1">O137/SUM(O:O)</f>
        <v>2.9437499996550349E-4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input_388104!A$2</f>
        <v>388104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8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IFERROR(VLOOKUP(B138,input_388104!L:R,7,FALSE),VLOOKUP(tables_388104!C138,input_388104!A:H,8,FALSE))</f>
        <v>152</v>
      </c>
      <c r="P138" s="46">
        <f ca="1">O138/SUM(O:O)</f>
        <v>5.9374999993042109E-4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input_388104!A$2</f>
        <v>388104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8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IFERROR(VLOOKUP(B139,input_388104!L:R,7,FALSE),VLOOKUP(tables_388104!C139,input_388104!A:H,8,FALSE))</f>
        <v>8</v>
      </c>
      <c r="P139" s="46">
        <f ca="1">O139/SUM(O:O)</f>
        <v>3.1249999996337952E-5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input_388104!A$2</f>
        <v>388104</v>
      </c>
      <c r="B140" s="6">
        <v>322</v>
      </c>
      <c r="C140" s="7" t="str">
        <f t="shared" si="6"/>
        <v>PremiumSS4color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8"/>
        <v>color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IFERROR(VLOOKUP(B140,input_388104!L:R,7,FALSE),VLOOKUP(tables_388104!C140,input_388104!A:H,8,FALSE))</f>
        <v>729.6</v>
      </c>
      <c r="P140" s="46">
        <f ca="1">O140/SUM(O:O)</f>
        <v>2.8499999996660212E-3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input_388104!A$2</f>
        <v>388104</v>
      </c>
      <c r="B141" s="6">
        <v>323</v>
      </c>
      <c r="C141" s="7" t="str">
        <f t="shared" si="6"/>
        <v>PremiumSS5color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8"/>
        <v>color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IFERROR(VLOOKUP(B141,input_388104!L:R,7,FALSE),VLOOKUP(tables_388104!C141,input_388104!A:H,8,FALSE))</f>
        <v>38.4</v>
      </c>
      <c r="P141" s="46">
        <f ca="1">O141/SUM(O:O)</f>
        <v>1.4999999998242217E-4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input_388104!A$2</f>
        <v>388104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8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IFERROR(VLOOKUP(B142,input_388104!L:R,7,FALSE),VLOOKUP(tables_388104!C142,input_388104!A:H,8,FALSE))</f>
        <v>152</v>
      </c>
      <c r="P142" s="46">
        <f ca="1">O142/SUM(O:O)</f>
        <v>5.9374999993042109E-4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input_388104!A$2</f>
        <v>388104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8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IFERROR(VLOOKUP(B143,input_388104!L:R,7,FALSE),VLOOKUP(tables_388104!C143,input_388104!A:H,8,FALSE))</f>
        <v>8</v>
      </c>
      <c r="P143" s="46">
        <f ca="1">O143/SUM(O:O)</f>
        <v>3.1249999996337952E-5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input_388104!A$2</f>
        <v>388104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8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IFERROR(VLOOKUP(B144,input_388104!L:R,7,FALSE),VLOOKUP(tables_388104!C144,input_388104!A:H,8,FALSE))</f>
        <v>152</v>
      </c>
      <c r="P144" s="46">
        <f ca="1">O144/SUM(O:O)</f>
        <v>5.9374999993042109E-4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input_388104!A$2</f>
        <v>388104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8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IFERROR(VLOOKUP(B145,input_388104!L:R,7,FALSE),VLOOKUP(tables_388104!C145,input_388104!A:H,8,FALSE))</f>
        <v>8</v>
      </c>
      <c r="P145" s="46">
        <f ca="1">O145/SUM(O:O)</f>
        <v>3.1249999996337952E-5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input_388104!A$2</f>
        <v>388104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8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IFERROR(VLOOKUP(B146,input_388104!L:R,7,FALSE),VLOOKUP(tables_388104!C146,input_388104!A:H,8,FALSE))</f>
        <v>0</v>
      </c>
      <c r="P146" s="46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input_388104!A$2</f>
        <v>388104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8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IFERROR(VLOOKUP(B147,input_388104!L:R,7,FALSE),VLOOKUP(tables_388104!C147,input_388104!A:H,8,FALSE))</f>
        <v>1431.84</v>
      </c>
      <c r="P147" s="46">
        <f ca="1">O147/SUM(O:O)</f>
        <v>5.593124999344566E-3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input_388104!A$2</f>
        <v>388104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8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IFERROR(VLOOKUP(B148,input_388104!L:R,7,FALSE),VLOOKUP(tables_388104!C148,input_388104!A:H,8,FALSE))</f>
        <v>75.36</v>
      </c>
      <c r="P148" s="46">
        <f ca="1">O148/SUM(O:O)</f>
        <v>2.9437499996550349E-4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input_388104!A$2</f>
        <v>388104</v>
      </c>
      <c r="B149" s="6">
        <v>383</v>
      </c>
      <c r="C149" s="7" t="str">
        <f t="shared" si="6"/>
        <v>PremiumSS4color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8"/>
        <v>color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IFERROR(VLOOKUP(B149,input_388104!L:R,7,FALSE),VLOOKUP(tables_388104!C149,input_388104!A:H,8,FALSE))</f>
        <v>729.6</v>
      </c>
      <c r="P149" s="46">
        <f ca="1">O149/SUM(O:O)</f>
        <v>2.8499999996660212E-3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input_388104!A$2</f>
        <v>388104</v>
      </c>
      <c r="B150" s="6">
        <v>384</v>
      </c>
      <c r="C150" s="7" t="str">
        <f t="shared" si="6"/>
        <v>PremiumSS5color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8"/>
        <v>color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IFERROR(VLOOKUP(B150,input_388104!L:R,7,FALSE),VLOOKUP(tables_388104!C150,input_388104!A:H,8,FALSE))</f>
        <v>38.4</v>
      </c>
      <c r="P150" s="46">
        <f ca="1">O150/SUM(O:O)</f>
        <v>1.4999999998242217E-4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input_388104!A$2</f>
        <v>388104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8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IFERROR(VLOOKUP(B151,input_388104!L:R,7,FALSE),VLOOKUP(tables_388104!C151,input_388104!A:H,8,FALSE))</f>
        <v>152</v>
      </c>
      <c r="P151" s="46">
        <f ca="1">O151/SUM(O:O)</f>
        <v>5.9374999993042109E-4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input_388104!A$2</f>
        <v>388104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8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IFERROR(VLOOKUP(B152,input_388104!L:R,7,FALSE),VLOOKUP(tables_388104!C152,input_388104!A:H,8,FALSE))</f>
        <v>8</v>
      </c>
      <c r="P152" s="46">
        <f ca="1">O152/SUM(O:O)</f>
        <v>3.1249999996337952E-5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input_388104!A$2</f>
        <v>388104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8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IFERROR(VLOOKUP(B153,input_388104!L:R,7,FALSE),VLOOKUP(tables_388104!C153,input_388104!A:H,8,FALSE))</f>
        <v>0</v>
      </c>
      <c r="P153" s="46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input_388104!A$2</f>
        <v>388104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8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IFERROR(VLOOKUP(B154,input_388104!L:R,7,FALSE),VLOOKUP(tables_388104!C154,input_388104!A:H,8,FALSE))</f>
        <v>1431.84</v>
      </c>
      <c r="P154" s="46">
        <f ca="1">O154/SUM(O:O)</f>
        <v>5.593124999344566E-3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input_388104!A$2</f>
        <v>388104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8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IFERROR(VLOOKUP(B155,input_388104!L:R,7,FALSE),VLOOKUP(tables_388104!C155,input_388104!A:H,8,FALSE))</f>
        <v>75.36</v>
      </c>
      <c r="P155" s="46">
        <f ca="1">O155/SUM(O:O)</f>
        <v>2.9437499996550349E-4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input_388104!A$2</f>
        <v>388104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8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IFERROR(VLOOKUP(B156,input_388104!L:R,7,FALSE),VLOOKUP(tables_388104!C156,input_388104!A:H,8,FALSE))</f>
        <v>152</v>
      </c>
      <c r="P156" s="46">
        <f ca="1">O156/SUM(O:O)</f>
        <v>5.9374999993042109E-4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input_388104!A$2</f>
        <v>388104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8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IFERROR(VLOOKUP(B157,input_388104!L:R,7,FALSE),VLOOKUP(tables_388104!C157,input_388104!A:H,8,FALSE))</f>
        <v>8</v>
      </c>
      <c r="P157" s="46">
        <f ca="1">O157/SUM(O:O)</f>
        <v>3.1249999996337952E-5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input_388104!A$2</f>
        <v>388104</v>
      </c>
      <c r="B158" s="6">
        <v>392</v>
      </c>
      <c r="C158" s="7" t="str">
        <f t="shared" si="6"/>
        <v>Premium3color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8"/>
        <v>color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IFERROR(VLOOKUP(B158,input_388104!L:R,7,FALSE),VLOOKUP(tables_388104!C158,input_388104!A:H,8,FALSE))</f>
        <v>0</v>
      </c>
      <c r="P158" s="46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input_388104!A$2</f>
        <v>388104</v>
      </c>
      <c r="B159" s="6">
        <v>393</v>
      </c>
      <c r="C159" s="7" t="str">
        <f t="shared" si="6"/>
        <v>Premium4color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8"/>
        <v>color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IFERROR(VLOOKUP(B159,input_388104!L:R,7,FALSE),VLOOKUP(tables_388104!C159,input_388104!A:H,8,FALSE))</f>
        <v>6248.02909</v>
      </c>
      <c r="P159" s="46">
        <f ca="1">O159/SUM(O:O)</f>
        <v>2.4406363629952427E-2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input_388104!A$2</f>
        <v>388104</v>
      </c>
      <c r="B160" s="6">
        <v>394</v>
      </c>
      <c r="C160" s="7" t="str">
        <f t="shared" si="6"/>
        <v>Premium5color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8"/>
        <v>color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IFERROR(VLOOKUP(B160,input_388104!L:R,7,FALSE),VLOOKUP(tables_388104!C160,input_388104!A:H,8,FALSE))</f>
        <v>328.84363999999999</v>
      </c>
      <c r="P160" s="46">
        <f ca="1">O160/SUM(O:O)</f>
        <v>1.2845454685994698E-3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input_388104!A$2</f>
        <v>388104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8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IFERROR(VLOOKUP(B161,input_388104!L:R,7,FALSE),VLOOKUP(tables_388104!C161,input_388104!A:H,8,FALSE))</f>
        <v>0</v>
      </c>
      <c r="P161" s="46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input_388104!A$2</f>
        <v>388104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8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IFERROR(VLOOKUP(B162,input_388104!L:R,7,FALSE),VLOOKUP(tables_388104!C162,input_388104!A:H,8,FALSE))</f>
        <v>1431.84</v>
      </c>
      <c r="P162" s="46">
        <f ca="1">O162/SUM(O:O)</f>
        <v>5.593124999344566E-3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input_388104!A$2</f>
        <v>388104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8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IFERROR(VLOOKUP(B163,input_388104!L:R,7,FALSE),VLOOKUP(tables_388104!C163,input_388104!A:H,8,FALSE))</f>
        <v>75.36</v>
      </c>
      <c r="P163" s="46">
        <f ca="1">O163/SUM(O:O)</f>
        <v>2.9437499996550349E-4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input_388104!A$2</f>
        <v>388104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8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IFERROR(VLOOKUP(B164,input_388104!L:R,7,FALSE),VLOOKUP(tables_388104!C164,input_388104!A:H,8,FALSE))</f>
        <v>152</v>
      </c>
      <c r="P164" s="46">
        <f ca="1">O164/SUM(O:O)</f>
        <v>5.9374999993042109E-4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input_388104!A$2</f>
        <v>388104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8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IFERROR(VLOOKUP(B165,input_388104!L:R,7,FALSE),VLOOKUP(tables_388104!C165,input_388104!A:H,8,FALSE))</f>
        <v>8</v>
      </c>
      <c r="P165" s="46">
        <f ca="1">O165/SUM(O:O)</f>
        <v>3.1249999996337952E-5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input_388104!A$2</f>
        <v>388104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8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IFERROR(VLOOKUP(B166,input_388104!L:R,7,FALSE),VLOOKUP(tables_388104!C166,input_388104!A:H,8,FALSE))</f>
        <v>0</v>
      </c>
      <c r="P166" s="46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input_388104!A$2</f>
        <v>388104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8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IFERROR(VLOOKUP(B167,input_388104!L:R,7,FALSE),VLOOKUP(tables_388104!C167,input_388104!A:H,8,FALSE))</f>
        <v>1431.84</v>
      </c>
      <c r="P167" s="46">
        <f ca="1">O167/SUM(O:O)</f>
        <v>5.593124999344566E-3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input_388104!A$2</f>
        <v>388104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8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IFERROR(VLOOKUP(B168,input_388104!L:R,7,FALSE),VLOOKUP(tables_388104!C168,input_388104!A:H,8,FALSE))</f>
        <v>75.36</v>
      </c>
      <c r="P168" s="46">
        <f ca="1">O168/SUM(O:O)</f>
        <v>2.9437499996550349E-4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input_388104!A$2</f>
        <v>388104</v>
      </c>
      <c r="B169" s="6">
        <v>403</v>
      </c>
      <c r="C169" s="7" t="str">
        <f t="shared" si="6"/>
        <v>PremiumSS4color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8"/>
        <v>color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IFERROR(VLOOKUP(B169,input_388104!L:R,7,FALSE),VLOOKUP(tables_388104!C169,input_388104!A:H,8,FALSE))</f>
        <v>729.6</v>
      </c>
      <c r="P169" s="46">
        <f ca="1">O169/SUM(O:O)</f>
        <v>2.8499999996660212E-3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input_388104!A$2</f>
        <v>388104</v>
      </c>
      <c r="B170" s="6">
        <v>404</v>
      </c>
      <c r="C170" s="7" t="str">
        <f t="shared" si="6"/>
        <v>PremiumSS5color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8"/>
        <v>color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IFERROR(VLOOKUP(B170,input_388104!L:R,7,FALSE),VLOOKUP(tables_388104!C170,input_388104!A:H,8,FALSE))</f>
        <v>38.4</v>
      </c>
      <c r="P170" s="46">
        <f ca="1">O170/SUM(O:O)</f>
        <v>1.4999999998242217E-4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input_388104!A$2</f>
        <v>388104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8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IFERROR(VLOOKUP(B171,input_388104!L:R,7,FALSE),VLOOKUP(tables_388104!C171,input_388104!A:H,8,FALSE))</f>
        <v>0</v>
      </c>
      <c r="P171" s="46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input_388104!A$2</f>
        <v>388104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8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IFERROR(VLOOKUP(B172,input_388104!L:R,7,FALSE),VLOOKUP(tables_388104!C172,input_388104!A:H,8,FALSE))</f>
        <v>1431.84</v>
      </c>
      <c r="P172" s="46">
        <f ca="1">O172/SUM(O:O)</f>
        <v>5.593124999344566E-3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input_388104!A$2</f>
        <v>388104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8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IFERROR(VLOOKUP(B173,input_388104!L:R,7,FALSE),VLOOKUP(tables_388104!C173,input_388104!A:H,8,FALSE))</f>
        <v>75.36</v>
      </c>
      <c r="P173" s="46">
        <f ca="1">O173/SUM(O:O)</f>
        <v>2.9437499996550349E-4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input_388104!A$2</f>
        <v>388104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8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IFERROR(VLOOKUP(B174,input_388104!L:R,7,FALSE),VLOOKUP(tables_388104!C174,input_388104!A:H,8,FALSE))</f>
        <v>152</v>
      </c>
      <c r="P174" s="46">
        <f ca="1">O174/SUM(O:O)</f>
        <v>5.9374999993042109E-4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input_388104!A$2</f>
        <v>388104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8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IFERROR(VLOOKUP(B175,input_388104!L:R,7,FALSE),VLOOKUP(tables_388104!C175,input_388104!A:H,8,FALSE))</f>
        <v>8</v>
      </c>
      <c r="P175" s="46">
        <f ca="1">O175/SUM(O:O)</f>
        <v>3.1249999996337952E-5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input_388104!A$2</f>
        <v>388104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8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IFERROR(VLOOKUP(B176,input_388104!L:R,7,FALSE),VLOOKUP(tables_388104!C176,input_388104!A:H,8,FALSE))</f>
        <v>152</v>
      </c>
      <c r="P176" s="46">
        <f ca="1">O176/SUM(O:O)</f>
        <v>5.9374999993042109E-4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input_388104!A$2</f>
        <v>388104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8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IFERROR(VLOOKUP(B177,input_388104!L:R,7,FALSE),VLOOKUP(tables_388104!C177,input_388104!A:H,8,FALSE))</f>
        <v>8</v>
      </c>
      <c r="P177" s="46">
        <f ca="1">O177/SUM(O:O)</f>
        <v>3.1249999996337952E-5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input_388104!A$2</f>
        <v>388104</v>
      </c>
      <c r="B178" s="6">
        <v>436</v>
      </c>
      <c r="C178" s="7" t="str">
        <f t="shared" si="6"/>
        <v>Premium3color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8"/>
        <v>color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IFERROR(VLOOKUP(B178,input_388104!L:R,7,FALSE),VLOOKUP(tables_388104!C178,input_388104!A:H,8,FALSE))</f>
        <v>0</v>
      </c>
      <c r="P178" s="46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input_388104!A$2</f>
        <v>388104</v>
      </c>
      <c r="B179" s="6">
        <v>437</v>
      </c>
      <c r="C179" s="7" t="str">
        <f t="shared" si="6"/>
        <v>Premium4color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8"/>
        <v>color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IFERROR(VLOOKUP(B179,input_388104!L:R,7,FALSE),VLOOKUP(tables_388104!C179,input_388104!A:H,8,FALSE))</f>
        <v>6248.02909</v>
      </c>
      <c r="P179" s="46">
        <f ca="1">O179/SUM(O:O)</f>
        <v>2.4406363629952427E-2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input_388104!A$2</f>
        <v>388104</v>
      </c>
      <c r="B180" s="6">
        <v>438</v>
      </c>
      <c r="C180" s="7" t="str">
        <f t="shared" si="6"/>
        <v>Premium5color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8"/>
        <v>color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IFERROR(VLOOKUP(B180,input_388104!L:R,7,FALSE),VLOOKUP(tables_388104!C180,input_388104!A:H,8,FALSE))</f>
        <v>328.84363999999999</v>
      </c>
      <c r="P180" s="46">
        <f ca="1">O180/SUM(O:O)</f>
        <v>1.2845454685994698E-3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input_388104!A$2</f>
        <v>388104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8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IFERROR(VLOOKUP(B181,input_388104!L:R,7,FALSE),VLOOKUP(tables_388104!C181,input_388104!A:H,8,FALSE))</f>
        <v>0</v>
      </c>
      <c r="P181" s="46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input_388104!A$2</f>
        <v>388104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8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IFERROR(VLOOKUP(B182,input_388104!L:R,7,FALSE),VLOOKUP(tables_388104!C182,input_388104!A:H,8,FALSE))</f>
        <v>1431.84</v>
      </c>
      <c r="P182" s="46">
        <f ca="1">O182/SUM(O:O)</f>
        <v>5.593124999344566E-3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input_388104!A$2</f>
        <v>388104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8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IFERROR(VLOOKUP(B183,input_388104!L:R,7,FALSE),VLOOKUP(tables_388104!C183,input_388104!A:H,8,FALSE))</f>
        <v>75.36</v>
      </c>
      <c r="P183" s="46">
        <f ca="1">O183/SUM(O:O)</f>
        <v>2.9437499996550349E-4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input_388104!A$2</f>
        <v>388104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8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IFERROR(VLOOKUP(B184,input_388104!L:R,7,FALSE),VLOOKUP(tables_388104!C184,input_388104!A:H,8,FALSE))</f>
        <v>152</v>
      </c>
      <c r="P184" s="46">
        <f ca="1">O184/SUM(O:O)</f>
        <v>5.9374999993042109E-4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input_388104!A$2</f>
        <v>388104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8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IFERROR(VLOOKUP(B185,input_388104!L:R,7,FALSE),VLOOKUP(tables_388104!C185,input_388104!A:H,8,FALSE))</f>
        <v>8</v>
      </c>
      <c r="P185" s="46">
        <f ca="1">O185/SUM(O:O)</f>
        <v>3.1249999996337952E-5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input_388104!A$2</f>
        <v>388104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8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IFERROR(VLOOKUP(B186,input_388104!L:R,7,FALSE),VLOOKUP(tables_388104!C186,input_388104!A:H,8,FALSE))</f>
        <v>0</v>
      </c>
      <c r="P186" s="46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input_388104!A$2</f>
        <v>388104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8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IFERROR(VLOOKUP(B187,input_388104!L:R,7,FALSE),VLOOKUP(tables_388104!C187,input_388104!A:H,8,FALSE))</f>
        <v>1431.84</v>
      </c>
      <c r="P187" s="46">
        <f ca="1">O187/SUM(O:O)</f>
        <v>5.593124999344566E-3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input_388104!A$2</f>
        <v>388104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8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IFERROR(VLOOKUP(B188,input_388104!L:R,7,FALSE),VLOOKUP(tables_388104!C188,input_388104!A:H,8,FALSE))</f>
        <v>75.36</v>
      </c>
      <c r="P188" s="46">
        <f ca="1">O188/SUM(O:O)</f>
        <v>2.9437499996550349E-4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input_388104!A$2</f>
        <v>388104</v>
      </c>
      <c r="B189" s="8">
        <v>465</v>
      </c>
      <c r="C189" s="7" t="str">
        <f t="shared" si="6"/>
        <v>PremiumSS4color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8"/>
        <v>color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IFERROR(VLOOKUP(B189,input_388104!L:R,7,FALSE),VLOOKUP(tables_388104!C189,input_388104!A:H,8,FALSE))</f>
        <v>729.6</v>
      </c>
      <c r="P189" s="46">
        <f ca="1">O189/SUM(O:O)</f>
        <v>2.8499999996660212E-3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input_388104!A$2</f>
        <v>388104</v>
      </c>
      <c r="B190" s="6">
        <v>466</v>
      </c>
      <c r="C190" s="7" t="str">
        <f t="shared" si="6"/>
        <v>PremiumSS5color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8"/>
        <v>color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IFERROR(VLOOKUP(B190,input_388104!L:R,7,FALSE),VLOOKUP(tables_388104!C190,input_388104!A:H,8,FALSE))</f>
        <v>38.4</v>
      </c>
      <c r="P190" s="46">
        <f ca="1">O190/SUM(O:O)</f>
        <v>1.4999999998242217E-4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input_388104!A$2</f>
        <v>388104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8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IFERROR(VLOOKUP(B191,input_388104!L:R,7,FALSE),VLOOKUP(tables_388104!C191,input_388104!A:H,8,FALSE))</f>
        <v>152</v>
      </c>
      <c r="P191" s="46">
        <f ca="1">O191/SUM(O:O)</f>
        <v>5.9374999993042109E-4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input_388104!A$2</f>
        <v>388104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8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IFERROR(VLOOKUP(B192,input_388104!L:R,7,FALSE),VLOOKUP(tables_388104!C192,input_388104!A:H,8,FALSE))</f>
        <v>8</v>
      </c>
      <c r="P192" s="46">
        <f ca="1">O192/SUM(O:O)</f>
        <v>3.1249999996337952E-5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input_388104!A$2</f>
        <v>388104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8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IFERROR(VLOOKUP(B193,input_388104!L:R,7,FALSE),VLOOKUP(tables_388104!C193,input_388104!A:H,8,FALSE))</f>
        <v>0</v>
      </c>
      <c r="P193" s="46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input_388104!A$2</f>
        <v>388104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si="8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IFERROR(VLOOKUP(B194,input_388104!L:R,7,FALSE),VLOOKUP(tables_388104!C194,input_388104!A:H,8,FALSE))</f>
        <v>1431.84</v>
      </c>
      <c r="P194" s="46">
        <f ca="1">O194/SUM(O:O)</f>
        <v>5.593124999344566E-3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input_388104!A$2</f>
        <v>388104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ref="G195:G258" si="11">IF(K195="green","color","")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IFERROR(VLOOKUP(B195,input_388104!L:R,7,FALSE),VLOOKUP(tables_388104!C195,input_388104!A:H,8,FALSE))</f>
        <v>75.36</v>
      </c>
      <c r="P195" s="46">
        <f ca="1">O195/SUM(O:O)</f>
        <v>2.9437499996550349E-4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input_388104!A$2</f>
        <v>388104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1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IFERROR(VLOOKUP(B196,input_388104!L:R,7,FALSE),VLOOKUP(tables_388104!C196,input_388104!A:H,8,FALSE))</f>
        <v>152</v>
      </c>
      <c r="P196" s="46">
        <f ca="1">O196/SUM(O:O)</f>
        <v>5.9374999993042109E-4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input_388104!A$2</f>
        <v>388104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1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IFERROR(VLOOKUP(B197,input_388104!L:R,7,FALSE),VLOOKUP(tables_388104!C197,input_388104!A:H,8,FALSE))</f>
        <v>8</v>
      </c>
      <c r="P197" s="46">
        <f ca="1">O197/SUM(O:O)</f>
        <v>3.1249999996337952E-5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input_388104!A$2</f>
        <v>388104</v>
      </c>
      <c r="B198" s="6">
        <v>476</v>
      </c>
      <c r="C198" s="7" t="str">
        <f t="shared" si="9"/>
        <v>Premium3color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1"/>
        <v>color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IFERROR(VLOOKUP(B198,input_388104!L:R,7,FALSE),VLOOKUP(tables_388104!C198,input_388104!A:H,8,FALSE))</f>
        <v>0</v>
      </c>
      <c r="P198" s="46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input_388104!A$2</f>
        <v>388104</v>
      </c>
      <c r="B199" s="6">
        <v>477</v>
      </c>
      <c r="C199" s="7" t="str">
        <f t="shared" si="9"/>
        <v>Premium4color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1"/>
        <v>color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IFERROR(VLOOKUP(B199,input_388104!L:R,7,FALSE),VLOOKUP(tables_388104!C199,input_388104!A:H,8,FALSE))</f>
        <v>6248.02909</v>
      </c>
      <c r="P199" s="46">
        <f ca="1">O199/SUM(O:O)</f>
        <v>2.4406363629952427E-2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input_388104!A$2</f>
        <v>388104</v>
      </c>
      <c r="B200" s="6">
        <v>478</v>
      </c>
      <c r="C200" s="7" t="str">
        <f t="shared" si="9"/>
        <v>Premium5color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1"/>
        <v>color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IFERROR(VLOOKUP(B200,input_388104!L:R,7,FALSE),VLOOKUP(tables_388104!C200,input_388104!A:H,8,FALSE))</f>
        <v>328.84363999999999</v>
      </c>
      <c r="P200" s="46">
        <f ca="1">O200/SUM(O:O)</f>
        <v>1.2845454685994698E-3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input_388104!A$2</f>
        <v>388104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1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IFERROR(VLOOKUP(B201,input_388104!L:R,7,FALSE),VLOOKUP(tables_388104!C201,input_388104!A:H,8,FALSE))</f>
        <v>152</v>
      </c>
      <c r="P201" s="46">
        <f ca="1">O201/SUM(O:O)</f>
        <v>5.9374999993042109E-4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input_388104!A$2</f>
        <v>388104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1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IFERROR(VLOOKUP(B202,input_388104!L:R,7,FALSE),VLOOKUP(tables_388104!C202,input_388104!A:H,8,FALSE))</f>
        <v>8</v>
      </c>
      <c r="P202" s="46">
        <f ca="1">O202/SUM(O:O)</f>
        <v>3.1249999996337952E-5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input_388104!A$2</f>
        <v>388104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1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IFERROR(VLOOKUP(B203,input_388104!L:R,7,FALSE),VLOOKUP(tables_388104!C203,input_388104!A:H,8,FALSE))</f>
        <v>0</v>
      </c>
      <c r="P203" s="46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input_388104!A$2</f>
        <v>388104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1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IFERROR(VLOOKUP(B204,input_388104!L:R,7,FALSE),VLOOKUP(tables_388104!C204,input_388104!A:H,8,FALSE))</f>
        <v>1431.84</v>
      </c>
      <c r="P204" s="46">
        <f ca="1">O204/SUM(O:O)</f>
        <v>5.593124999344566E-3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input_388104!A$2</f>
        <v>388104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1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IFERROR(VLOOKUP(B205,input_388104!L:R,7,FALSE),VLOOKUP(tables_388104!C205,input_388104!A:H,8,FALSE))</f>
        <v>75.36</v>
      </c>
      <c r="P205" s="46">
        <f ca="1">O205/SUM(O:O)</f>
        <v>2.9437499996550349E-4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input_388104!A$2</f>
        <v>388104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1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IFERROR(VLOOKUP(B206,input_388104!L:R,7,FALSE),VLOOKUP(tables_388104!C206,input_388104!A:H,8,FALSE))</f>
        <v>152</v>
      </c>
      <c r="P206" s="46">
        <f ca="1">O206/SUM(O:O)</f>
        <v>5.9374999993042109E-4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input_388104!A$2</f>
        <v>388104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1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IFERROR(VLOOKUP(B207,input_388104!L:R,7,FALSE),VLOOKUP(tables_388104!C207,input_388104!A:H,8,FALSE))</f>
        <v>8</v>
      </c>
      <c r="P207" s="46">
        <f ca="1">O207/SUM(O:O)</f>
        <v>3.1249999996337952E-5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input_388104!A$2</f>
        <v>388104</v>
      </c>
      <c r="B208" s="6">
        <v>494</v>
      </c>
      <c r="C208" s="7" t="str">
        <f t="shared" si="9"/>
        <v>PremiumSS4color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1"/>
        <v>color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IFERROR(VLOOKUP(B208,input_388104!L:R,7,FALSE),VLOOKUP(tables_388104!C208,input_388104!A:H,8,FALSE))</f>
        <v>729.6</v>
      </c>
      <c r="P208" s="46">
        <f ca="1">O208/SUM(O:O)</f>
        <v>2.8499999996660212E-3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input_388104!A$2</f>
        <v>388104</v>
      </c>
      <c r="B209" s="6">
        <v>495</v>
      </c>
      <c r="C209" s="7" t="str">
        <f t="shared" si="9"/>
        <v>PremiumSS5color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1"/>
        <v>color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IFERROR(VLOOKUP(B209,input_388104!L:R,7,FALSE),VLOOKUP(tables_388104!C209,input_388104!A:H,8,FALSE))</f>
        <v>38.4</v>
      </c>
      <c r="P209" s="46">
        <f ca="1">O209/SUM(O:O)</f>
        <v>1.4999999998242217E-4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input_388104!A$2</f>
        <v>388104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1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IFERROR(VLOOKUP(B210,input_388104!L:R,7,FALSE),VLOOKUP(tables_388104!C210,input_388104!A:H,8,FALSE))</f>
        <v>0</v>
      </c>
      <c r="P210" s="46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input_388104!A$2</f>
        <v>388104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1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IFERROR(VLOOKUP(B211,input_388104!L:R,7,FALSE),VLOOKUP(tables_388104!C211,input_388104!A:H,8,FALSE))</f>
        <v>1431.84</v>
      </c>
      <c r="P211" s="46">
        <f ca="1">O211/SUM(O:O)</f>
        <v>5.593124999344566E-3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input_388104!A$2</f>
        <v>388104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1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IFERROR(VLOOKUP(B212,input_388104!L:R,7,FALSE),VLOOKUP(tables_388104!C212,input_388104!A:H,8,FALSE))</f>
        <v>75.36</v>
      </c>
      <c r="P212" s="46">
        <f ca="1">O212/SUM(O:O)</f>
        <v>2.9437499996550349E-4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input_388104!A$2</f>
        <v>388104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1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IFERROR(VLOOKUP(B213,input_388104!L:R,7,FALSE),VLOOKUP(tables_388104!C213,input_388104!A:H,8,FALSE))</f>
        <v>152</v>
      </c>
      <c r="P213" s="46">
        <f ca="1">O213/SUM(O:O)</f>
        <v>5.9374999993042109E-4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input_388104!A$2</f>
        <v>388104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1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IFERROR(VLOOKUP(B214,input_388104!L:R,7,FALSE),VLOOKUP(tables_388104!C214,input_388104!A:H,8,FALSE))</f>
        <v>8</v>
      </c>
      <c r="P214" s="46">
        <f ca="1">O214/SUM(O:O)</f>
        <v>3.1249999996337952E-5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input_388104!A$2</f>
        <v>388104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1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IFERROR(VLOOKUP(B215,input_388104!L:R,7,FALSE),VLOOKUP(tables_388104!C215,input_388104!A:H,8,FALSE))</f>
        <v>152</v>
      </c>
      <c r="P215" s="46">
        <f ca="1">O215/SUM(O:O)</f>
        <v>5.9374999993042109E-4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input_388104!A$2</f>
        <v>388104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1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IFERROR(VLOOKUP(B216,input_388104!L:R,7,FALSE),VLOOKUP(tables_388104!C216,input_388104!A:H,8,FALSE))</f>
        <v>8</v>
      </c>
      <c r="P216" s="46">
        <f ca="1">O216/SUM(O:O)</f>
        <v>3.1249999996337952E-5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input_388104!A$2</f>
        <v>388104</v>
      </c>
      <c r="B217" s="6">
        <v>588</v>
      </c>
      <c r="C217" s="7" t="str">
        <f t="shared" si="9"/>
        <v>Premium3color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1"/>
        <v>color</v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IFERROR(VLOOKUP(B217,input_388104!L:R,7,FALSE),VLOOKUP(tables_388104!C217,input_388104!A:H,8,FALSE))</f>
        <v>0</v>
      </c>
      <c r="P217" s="46">
        <f ca="1">O217/SUM(O:O)</f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input_388104!A$2</f>
        <v>388104</v>
      </c>
      <c r="B218" s="6">
        <v>589</v>
      </c>
      <c r="C218" s="7" t="str">
        <f t="shared" si="9"/>
        <v>Premium4color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1"/>
        <v>color</v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IFERROR(VLOOKUP(B218,input_388104!L:R,7,FALSE),VLOOKUP(tables_388104!C218,input_388104!A:H,8,FALSE))</f>
        <v>6248.02909</v>
      </c>
      <c r="P218" s="46">
        <f ca="1">O218/SUM(O:O)</f>
        <v>2.4406363629952427E-2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input_388104!A$2</f>
        <v>388104</v>
      </c>
      <c r="B219" s="6">
        <v>590</v>
      </c>
      <c r="C219" s="7" t="str">
        <f t="shared" si="9"/>
        <v>Premium5color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1"/>
        <v>color</v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IFERROR(VLOOKUP(B219,input_388104!L:R,7,FALSE),VLOOKUP(tables_388104!C219,input_388104!A:H,8,FALSE))</f>
        <v>328.84363999999999</v>
      </c>
      <c r="P219" s="46">
        <f ca="1">O219/SUM(O:O)</f>
        <v>1.2845454685994698E-3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input_388104!A$2</f>
        <v>388104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1"/>
        <v/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IFERROR(VLOOKUP(B220,input_388104!L:R,7,FALSE),VLOOKUP(tables_388104!C220,input_388104!A:H,8,FALSE))</f>
        <v>0</v>
      </c>
      <c r="P220" s="46">
        <f ca="1">O220/SUM(O:O)</f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input_388104!A$2</f>
        <v>388104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1"/>
        <v/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IFERROR(VLOOKUP(B221,input_388104!L:R,7,FALSE),VLOOKUP(tables_388104!C221,input_388104!A:H,8,FALSE))</f>
        <v>1431.84</v>
      </c>
      <c r="P221" s="46">
        <f ca="1">O221/SUM(O:O)</f>
        <v>5.593124999344566E-3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input_388104!A$2</f>
        <v>388104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1"/>
        <v/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IFERROR(VLOOKUP(B222,input_388104!L:R,7,FALSE),VLOOKUP(tables_388104!C222,input_388104!A:H,8,FALSE))</f>
        <v>75.36</v>
      </c>
      <c r="P222" s="46">
        <f ca="1">O222/SUM(O:O)</f>
        <v>2.9437499996550349E-4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input_388104!A$2</f>
        <v>388104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1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IFERROR(VLOOKUP(B223,input_388104!L:R,7,FALSE),VLOOKUP(tables_388104!C223,input_388104!A:H,8,FALSE))</f>
        <v>152</v>
      </c>
      <c r="P223" s="46">
        <f ca="1">O223/SUM(O:O)</f>
        <v>5.9374999993042109E-4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input_388104!A$2</f>
        <v>388104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1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IFERROR(VLOOKUP(B224,input_388104!L:R,7,FALSE),VLOOKUP(tables_388104!C224,input_388104!A:H,8,FALSE))</f>
        <v>8</v>
      </c>
      <c r="P224" s="46">
        <f ca="1">O224/SUM(O:O)</f>
        <v>3.1249999996337952E-5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input_388104!A$2</f>
        <v>388104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1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IFERROR(VLOOKUP(B225,input_388104!L:R,7,FALSE),VLOOKUP(tables_388104!C225,input_388104!A:H,8,FALSE))</f>
        <v>0</v>
      </c>
      <c r="P225" s="46">
        <f ca="1">O225/SUM(O:O)</f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input_388104!A$2</f>
        <v>388104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1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IFERROR(VLOOKUP(B226,input_388104!L:R,7,FALSE),VLOOKUP(tables_388104!C226,input_388104!A:H,8,FALSE))</f>
        <v>1431.84</v>
      </c>
      <c r="P226" s="46">
        <f ca="1">O226/SUM(O:O)</f>
        <v>5.593124999344566E-3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input_388104!A$2</f>
        <v>388104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1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IFERROR(VLOOKUP(B227,input_388104!L:R,7,FALSE),VLOOKUP(tables_388104!C227,input_388104!A:H,8,FALSE))</f>
        <v>75.36</v>
      </c>
      <c r="P227" s="46">
        <f ca="1">O227/SUM(O:O)</f>
        <v>2.9437499996550349E-4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input_388104!A$2</f>
        <v>388104</v>
      </c>
      <c r="B228" s="6">
        <v>599</v>
      </c>
      <c r="C228" s="7" t="str">
        <f t="shared" si="9"/>
        <v>Premium3color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1"/>
        <v>color</v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IFERROR(VLOOKUP(B228,input_388104!L:R,7,FALSE),VLOOKUP(tables_388104!C228,input_388104!A:H,8,FALSE))</f>
        <v>0</v>
      </c>
      <c r="P228" s="46">
        <f ca="1">O228/SUM(O:O)</f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input_388104!A$2</f>
        <v>388104</v>
      </c>
      <c r="B229" s="6">
        <v>600</v>
      </c>
      <c r="C229" s="7" t="str">
        <f t="shared" si="9"/>
        <v>Premium4color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1"/>
        <v>color</v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IFERROR(VLOOKUP(B229,input_388104!L:R,7,FALSE),VLOOKUP(tables_388104!C229,input_388104!A:H,8,FALSE))</f>
        <v>6248.02909</v>
      </c>
      <c r="P229" s="46">
        <f ca="1">O229/SUM(O:O)</f>
        <v>2.4406363629952427E-2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input_388104!A$2</f>
        <v>388104</v>
      </c>
      <c r="B230" s="6">
        <v>601</v>
      </c>
      <c r="C230" s="7" t="str">
        <f t="shared" si="9"/>
        <v>Premium5color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1"/>
        <v>color</v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IFERROR(VLOOKUP(B230,input_388104!L:R,7,FALSE),VLOOKUP(tables_388104!C230,input_388104!A:H,8,FALSE))</f>
        <v>328.84363999999999</v>
      </c>
      <c r="P230" s="46">
        <f ca="1">O230/SUM(O:O)</f>
        <v>1.2845454685994698E-3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input_388104!A$2</f>
        <v>388104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1"/>
        <v/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IFERROR(VLOOKUP(B231,input_388104!L:R,7,FALSE),VLOOKUP(tables_388104!C231,input_388104!A:H,8,FALSE))</f>
        <v>152</v>
      </c>
      <c r="P231" s="46">
        <f ca="1">O231/SUM(O:O)</f>
        <v>5.9374999993042109E-4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input_388104!A$2</f>
        <v>388104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1"/>
        <v/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IFERROR(VLOOKUP(B232,input_388104!L:R,7,FALSE),VLOOKUP(tables_388104!C232,input_388104!A:H,8,FALSE))</f>
        <v>8</v>
      </c>
      <c r="P232" s="46">
        <f ca="1">O232/SUM(O:O)</f>
        <v>3.1249999996337952E-5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input_388104!A$2</f>
        <v>388104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1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IFERROR(VLOOKUP(B233,input_388104!L:R,7,FALSE),VLOOKUP(tables_388104!C233,input_388104!A:H,8,FALSE))</f>
        <v>0</v>
      </c>
      <c r="P233" s="46">
        <f ca="1">O233/SUM(O:O)</f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input_388104!A$2</f>
        <v>388104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1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IFERROR(VLOOKUP(B234,input_388104!L:R,7,FALSE),VLOOKUP(tables_388104!C234,input_388104!A:H,8,FALSE))</f>
        <v>1431.84</v>
      </c>
      <c r="P234" s="46">
        <f ca="1">O234/SUM(O:O)</f>
        <v>5.593124999344566E-3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input_388104!A$2</f>
        <v>388104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1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IFERROR(VLOOKUP(B235,input_388104!L:R,7,FALSE),VLOOKUP(tables_388104!C235,input_388104!A:H,8,FALSE))</f>
        <v>75.36</v>
      </c>
      <c r="P235" s="46">
        <f ca="1">O235/SUM(O:O)</f>
        <v>2.9437499996550349E-4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input_388104!A$2</f>
        <v>388104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1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IFERROR(VLOOKUP(B236,input_388104!L:R,7,FALSE),VLOOKUP(tables_388104!C236,input_388104!A:H,8,FALSE))</f>
        <v>152</v>
      </c>
      <c r="P236" s="46">
        <f ca="1">O236/SUM(O:O)</f>
        <v>5.9374999993042109E-4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input_388104!A$2</f>
        <v>388104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1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IFERROR(VLOOKUP(B237,input_388104!L:R,7,FALSE),VLOOKUP(tables_388104!C237,input_388104!A:H,8,FALSE))</f>
        <v>8</v>
      </c>
      <c r="P237" s="46">
        <f ca="1">O237/SUM(O:O)</f>
        <v>3.1249999996337952E-5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input_388104!A$2</f>
        <v>388104</v>
      </c>
      <c r="B238" s="6">
        <v>660</v>
      </c>
      <c r="C238" s="7" t="str">
        <f t="shared" si="9"/>
        <v>PremiumSS4color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1"/>
        <v>color</v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IFERROR(VLOOKUP(B238,input_388104!L:R,7,FALSE),VLOOKUP(tables_388104!C238,input_388104!A:H,8,FALSE))</f>
        <v>729.6</v>
      </c>
      <c r="P238" s="46">
        <f ca="1">O238/SUM(O:O)</f>
        <v>2.8499999996660212E-3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input_388104!A$2</f>
        <v>388104</v>
      </c>
      <c r="B239" s="6">
        <v>661</v>
      </c>
      <c r="C239" s="7" t="str">
        <f t="shared" si="9"/>
        <v>PremiumSS5color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1"/>
        <v>color</v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IFERROR(VLOOKUP(B239,input_388104!L:R,7,FALSE),VLOOKUP(tables_388104!C239,input_388104!A:H,8,FALSE))</f>
        <v>38.4</v>
      </c>
      <c r="P239" s="46">
        <f ca="1">O239/SUM(O:O)</f>
        <v>1.4999999998242217E-4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input_388104!A$2</f>
        <v>388104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1"/>
        <v/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IFERROR(VLOOKUP(B240,input_388104!L:R,7,FALSE),VLOOKUP(tables_388104!C240,input_388104!A:H,8,FALSE))</f>
        <v>0</v>
      </c>
      <c r="P240" s="46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input_388104!A$2</f>
        <v>388104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1"/>
        <v/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IFERROR(VLOOKUP(B241,input_388104!L:R,7,FALSE),VLOOKUP(tables_388104!C241,input_388104!A:H,8,FALSE))</f>
        <v>1431.84</v>
      </c>
      <c r="P241" s="46">
        <f ca="1">O241/SUM(O:O)</f>
        <v>5.593124999344566E-3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input_388104!A$2</f>
        <v>388104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1"/>
        <v/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IFERROR(VLOOKUP(B242,input_388104!L:R,7,FALSE),VLOOKUP(tables_388104!C242,input_388104!A:H,8,FALSE))</f>
        <v>75.36</v>
      </c>
      <c r="P242" s="46">
        <f ca="1">O242/SUM(O:O)</f>
        <v>2.9437499996550349E-4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input_388104!A$2</f>
        <v>388104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1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IFERROR(VLOOKUP(B243,input_388104!L:R,7,FALSE),VLOOKUP(tables_388104!C243,input_388104!A:H,8,FALSE))</f>
        <v>0</v>
      </c>
      <c r="P243" s="46">
        <f ca="1">O243/SUM(O:O)</f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input_388104!A$2</f>
        <v>388104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1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IFERROR(VLOOKUP(B244,input_388104!L:R,7,FALSE),VLOOKUP(tables_388104!C244,input_388104!A:H,8,FALSE))</f>
        <v>1431.84</v>
      </c>
      <c r="P244" s="46">
        <f ca="1">O244/SUM(O:O)</f>
        <v>5.593124999344566E-3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input_388104!A$2</f>
        <v>388104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1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IFERROR(VLOOKUP(B245,input_388104!L:R,7,FALSE),VLOOKUP(tables_388104!C245,input_388104!A:H,8,FALSE))</f>
        <v>75.36</v>
      </c>
      <c r="P245" s="46">
        <f ca="1">O245/SUM(O:O)</f>
        <v>2.9437499996550349E-4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input_388104!A$2</f>
        <v>388104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1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IFERROR(VLOOKUP(B246,input_388104!L:R,7,FALSE),VLOOKUP(tables_388104!C246,input_388104!A:H,8,FALSE))</f>
        <v>0</v>
      </c>
      <c r="P246" s="46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input_388104!A$2</f>
        <v>388104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1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IFERROR(VLOOKUP(B247,input_388104!L:R,7,FALSE),VLOOKUP(tables_388104!C247,input_388104!A:H,8,FALSE))</f>
        <v>1431.84</v>
      </c>
      <c r="P247" s="46">
        <f ca="1">O247/SUM(O:O)</f>
        <v>5.593124999344566E-3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input_388104!A$2</f>
        <v>388104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1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IFERROR(VLOOKUP(B248,input_388104!L:R,7,FALSE),VLOOKUP(tables_388104!C248,input_388104!A:H,8,FALSE))</f>
        <v>75.36</v>
      </c>
      <c r="P248" s="46">
        <f ca="1">O248/SUM(O:O)</f>
        <v>2.9437499996550349E-4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input_388104!A$2</f>
        <v>388104</v>
      </c>
      <c r="B249" s="60">
        <v>671</v>
      </c>
      <c r="C249" s="7" t="str">
        <f t="shared" si="9"/>
        <v>Premium3color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1"/>
        <v>color</v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IFERROR(VLOOKUP(B249,input_388104!L:R,7,FALSE),VLOOKUP(tables_388104!C249,input_388104!A:H,8,FALSE))</f>
        <v>0</v>
      </c>
      <c r="P249" s="46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input_388104!A$2</f>
        <v>388104</v>
      </c>
      <c r="B250" s="60">
        <v>672</v>
      </c>
      <c r="C250" s="7" t="str">
        <f t="shared" si="9"/>
        <v>Premium4color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1"/>
        <v>color</v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IFERROR(VLOOKUP(B250,input_388104!L:R,7,FALSE),VLOOKUP(tables_388104!C250,input_388104!A:H,8,FALSE))</f>
        <v>6248.02909</v>
      </c>
      <c r="P250" s="46">
        <f ca="1">O250/SUM(O:O)</f>
        <v>2.4406363629952427E-2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input_388104!A$2</f>
        <v>388104</v>
      </c>
      <c r="B251" s="60">
        <v>673</v>
      </c>
      <c r="C251" s="7" t="str">
        <f t="shared" si="9"/>
        <v>Premium5color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1"/>
        <v>color</v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IFERROR(VLOOKUP(B251,input_388104!L:R,7,FALSE),VLOOKUP(tables_388104!C251,input_388104!A:H,8,FALSE))</f>
        <v>328.84363999999999</v>
      </c>
      <c r="P251" s="46">
        <f ca="1">O251/SUM(O:O)</f>
        <v>1.2845454685994698E-3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input_388104!A$2</f>
        <v>388104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1"/>
        <v/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IFERROR(VLOOKUP(B252,input_388104!L:R,7,FALSE),VLOOKUP(tables_388104!C252,input_388104!A:H,8,FALSE))</f>
        <v>152</v>
      </c>
      <c r="P252" s="46">
        <f ca="1">O252/SUM(O:O)</f>
        <v>5.9374999993042109E-4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input_388104!A$2</f>
        <v>388104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1"/>
        <v/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IFERROR(VLOOKUP(B253,input_388104!L:R,7,FALSE),VLOOKUP(tables_388104!C253,input_388104!A:H,8,FALSE))</f>
        <v>8</v>
      </c>
      <c r="P253" s="46">
        <f ca="1">O253/SUM(O:O)</f>
        <v>3.1249999996337952E-5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input_388104!A$2</f>
        <v>388104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1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IFERROR(VLOOKUP(B254,input_388104!L:R,7,FALSE),VLOOKUP(tables_388104!C254,input_388104!A:H,8,FALSE))</f>
        <v>152</v>
      </c>
      <c r="P254" s="46">
        <f ca="1">O254/SUM(O:O)</f>
        <v>5.9374999993042109E-4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input_388104!A$2</f>
        <v>388104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1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IFERROR(VLOOKUP(B255,input_388104!L:R,7,FALSE),VLOOKUP(tables_388104!C255,input_388104!A:H,8,FALSE))</f>
        <v>8</v>
      </c>
      <c r="P255" s="46">
        <f ca="1">O255/SUM(O:O)</f>
        <v>3.1249999996337952E-5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input_388104!A$2</f>
        <v>388104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 t="str">
        <f t="shared" si="11"/>
        <v/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IFERROR(VLOOKUP(B256,input_388104!L:R,7,FALSE),VLOOKUP(tables_388104!C256,input_388104!A:H,8,FALSE))</f>
        <v>1503.36</v>
      </c>
      <c r="P256" s="46">
        <f ca="1">O256/SUM(O:O)</f>
        <v>5.8724999993118275E-3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input_388104!A$2</f>
        <v>388104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 t="str">
        <f t="shared" si="11"/>
        <v/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IFERROR(VLOOKUP(B257,input_388104!L:R,7,FALSE),VLOOKUP(tables_388104!C257,input_388104!A:H,8,FALSE))</f>
        <v>3.84</v>
      </c>
      <c r="P257" s="46">
        <f ca="1">O257/SUM(O:O)</f>
        <v>1.4999999998242216E-5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input_388104!A$2</f>
        <v>388104</v>
      </c>
      <c r="B258" s="60">
        <v>730</v>
      </c>
      <c r="C258" s="7" t="str">
        <f t="shared" ref="C258:C284" si="12">D258&amp;J258&amp;E258&amp;F258&amp;G258</f>
        <v>Premium4R3lesscolor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 t="str">
        <f t="shared" si="11"/>
        <v>color</v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IFERROR(VLOOKUP(B258,input_388104!L:R,7,FALSE),VLOOKUP(tables_388104!C258,input_388104!A:H,8,FALSE))</f>
        <v>6409.07636</v>
      </c>
      <c r="P258" s="46">
        <f ca="1">O258/SUM(O:O)</f>
        <v>2.5035454528316205E-2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input_388104!A$2</f>
        <v>388104</v>
      </c>
      <c r="B259" s="60">
        <v>731</v>
      </c>
      <c r="C259" s="7" t="str">
        <f t="shared" si="12"/>
        <v>Premium5R3lesscolor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 t="str">
        <f t="shared" ref="G259:G300" si="14">IF(K259="green","color","")</f>
        <v>color</v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IFERROR(VLOOKUP(B259,input_388104!L:R,7,FALSE),VLOOKUP(tables_388104!C259,input_388104!A:H,8,FALSE))</f>
        <v>167.79635999999999</v>
      </c>
      <c r="P259" s="46">
        <f ca="1">O259/SUM(O:O)</f>
        <v>6.5545453117319015E-4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input_388104!A$2</f>
        <v>388104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 t="str">
        <f t="shared" si="14"/>
        <v/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IFERROR(VLOOKUP(B260,input_388104!L:R,7,FALSE),VLOOKUP(tables_388104!C260,input_388104!A:H,8,FALSE))</f>
        <v>160</v>
      </c>
      <c r="P260" s="46">
        <f ca="1">O260/SUM(O:O)</f>
        <v>6.2499999992675901E-4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input_388104!A$2</f>
        <v>388104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 t="str">
        <f t="shared" si="14"/>
        <v/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IFERROR(VLOOKUP(B261,input_388104!L:R,7,FALSE),VLOOKUP(tables_388104!C261,input_388104!A:H,8,FALSE))</f>
        <v>160</v>
      </c>
      <c r="P261" s="46">
        <f ca="1">O261/SUM(O:O)</f>
        <v>6.2499999992675901E-4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input_388104!A$2</f>
        <v>388104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4"/>
        <v/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IFERROR(VLOOKUP(B262,input_388104!L:R,7,FALSE),VLOOKUP(tables_388104!C262,input_388104!A:H,8,FALSE))</f>
        <v>152</v>
      </c>
      <c r="P262" s="46">
        <f ca="1">O262/SUM(O:O)</f>
        <v>5.9374999993042109E-4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input_388104!A$2</f>
        <v>388104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4"/>
        <v/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IFERROR(VLOOKUP(B263,input_388104!L:R,7,FALSE),VLOOKUP(tables_388104!C263,input_388104!A:H,8,FALSE))</f>
        <v>8</v>
      </c>
      <c r="P263" s="46">
        <f ca="1">O263/SUM(O:O)</f>
        <v>3.1249999996337952E-5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input_388104!A$2</f>
        <v>388104</v>
      </c>
      <c r="B264" s="60">
        <v>772</v>
      </c>
      <c r="C264" s="7" t="str">
        <f t="shared" si="12"/>
        <v>PremiumSS4color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4"/>
        <v>color</v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IFERROR(VLOOKUP(B264,input_388104!L:R,7,FALSE),VLOOKUP(tables_388104!C264,input_388104!A:H,8,FALSE))</f>
        <v>729.6</v>
      </c>
      <c r="P264" s="46">
        <f ca="1">O264/SUM(O:O)</f>
        <v>2.8499999996660212E-3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input_388104!A$2</f>
        <v>388104</v>
      </c>
      <c r="B265" s="60">
        <v>773</v>
      </c>
      <c r="C265" s="7" t="str">
        <f t="shared" si="12"/>
        <v>PremiumSS5color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4"/>
        <v>color</v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IFERROR(VLOOKUP(B265,input_388104!L:R,7,FALSE),VLOOKUP(tables_388104!C265,input_388104!A:H,8,FALSE))</f>
        <v>38.4</v>
      </c>
      <c r="P265" s="46">
        <f ca="1">O265/SUM(O:O)</f>
        <v>1.4999999998242217E-4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input_388104!A$2</f>
        <v>388104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 t="str">
        <f t="shared" si="14"/>
        <v/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IFERROR(VLOOKUP(B266,input_388104!L:R,7,FALSE),VLOOKUP(tables_388104!C266,input_388104!A:H,8,FALSE))</f>
        <v>0</v>
      </c>
      <c r="P266" s="46">
        <f ca="1">O266/SUM(O:O)</f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input_388104!A$2</f>
        <v>388104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 t="str">
        <f t="shared" si="14"/>
        <v/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IFERROR(VLOOKUP(B267,input_388104!L:R,7,FALSE),VLOOKUP(tables_388104!C267,input_388104!A:H,8,FALSE))</f>
        <v>1431.84</v>
      </c>
      <c r="P267" s="46">
        <f ca="1">O267/SUM(O:O)</f>
        <v>5.593124999344566E-3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input_388104!A$2</f>
        <v>388104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 t="str">
        <f t="shared" si="14"/>
        <v/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IFERROR(VLOOKUP(B268,input_388104!L:R,7,FALSE),VLOOKUP(tables_388104!C268,input_388104!A:H,8,FALSE))</f>
        <v>75.36</v>
      </c>
      <c r="P268" s="46">
        <f ca="1">O268/SUM(O:O)</f>
        <v>2.9437499996550349E-4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input_388104!A$2</f>
        <v>388104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 t="str">
        <f t="shared" si="14"/>
        <v/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IFERROR(VLOOKUP(B269,input_388104!L:R,7,FALSE),VLOOKUP(tables_388104!C269,input_388104!A:H,8,FALSE))</f>
        <v>0</v>
      </c>
      <c r="P269" s="46">
        <f ca="1">O269/SUM(O:O)</f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input_388104!A$2</f>
        <v>388104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 t="str">
        <f t="shared" si="14"/>
        <v/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IFERROR(VLOOKUP(B270,input_388104!L:R,7,FALSE),VLOOKUP(tables_388104!C270,input_388104!A:H,8,FALSE))</f>
        <v>1431.84</v>
      </c>
      <c r="P270" s="46">
        <f ca="1">O270/SUM(O:O)</f>
        <v>5.593124999344566E-3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input_388104!A$2</f>
        <v>388104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 t="str">
        <f t="shared" si="14"/>
        <v/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IFERROR(VLOOKUP(B271,input_388104!L:R,7,FALSE),VLOOKUP(tables_388104!C271,input_388104!A:H,8,FALSE))</f>
        <v>75.36</v>
      </c>
      <c r="P271" s="46">
        <f ca="1">O271/SUM(O:O)</f>
        <v>2.9437499996550349E-4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input_388104!A$2</f>
        <v>388104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tr">
        <f t="shared" si="14"/>
        <v/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IFERROR(VLOOKUP(B272,input_388104!L:R,7,FALSE),VLOOKUP(tables_388104!C272,input_388104!A:H,8,FALSE))</f>
        <v>160</v>
      </c>
      <c r="P272" s="46">
        <f ca="1">O272/SUM(O:O)</f>
        <v>6.2499999992675901E-4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input_388104!A$2</f>
        <v>388104</v>
      </c>
      <c r="B273" s="83">
        <v>850</v>
      </c>
      <c r="C273" s="7" t="str">
        <f t="shared" si="12"/>
        <v>PremiumSS5R5onlycolor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 t="str">
        <f t="shared" si="14"/>
        <v>color</v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IFERROR(VLOOKUP(B273,input_388104!L:R,7,FALSE),VLOOKUP(tables_388104!C273,input_388104!A:H,8,FALSE))</f>
        <v>768</v>
      </c>
      <c r="P273" s="46">
        <f ca="1">O273/SUM(O:O)</f>
        <v>2.9999999996484432E-3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input_388104!A$2</f>
        <v>388104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tr">
        <f t="shared" si="14"/>
        <v/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IFERROR(VLOOKUP(B274,input_388104!L:R,7,FALSE),VLOOKUP(tables_388104!C274,input_388104!A:H,8,FALSE))</f>
        <v>1503.36</v>
      </c>
      <c r="P274" s="46">
        <f ca="1">O274/SUM(O:O)</f>
        <v>5.8724999993118275E-3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input_388104!A$2</f>
        <v>388104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tr">
        <f t="shared" si="14"/>
        <v/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IFERROR(VLOOKUP(B275,input_388104!L:R,7,FALSE),VLOOKUP(tables_388104!C275,input_388104!A:H,8,FALSE))</f>
        <v>3.84</v>
      </c>
      <c r="P275" s="46">
        <f ca="1">O275/SUM(O:O)</f>
        <v>1.4999999998242216E-5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input_388104!A$2</f>
        <v>388104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tr">
        <f t="shared" si="14"/>
        <v/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IFERROR(VLOOKUP(B276,input_388104!L:R,7,FALSE),VLOOKUP(tables_388104!C276,input_388104!A:H,8,FALSE))</f>
        <v>1503.36</v>
      </c>
      <c r="P276" s="46">
        <f ca="1">O276/SUM(O:O)</f>
        <v>5.8724999993118275E-3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input_388104!A$2</f>
        <v>388104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tr">
        <f t="shared" si="14"/>
        <v/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IFERROR(VLOOKUP(B277,input_388104!L:R,7,FALSE),VLOOKUP(tables_388104!C277,input_388104!A:H,8,FALSE))</f>
        <v>3.84</v>
      </c>
      <c r="P277" s="46">
        <f ca="1">O277/SUM(O:O)</f>
        <v>1.4999999998242216E-5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input_388104!A$2</f>
        <v>388104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tr">
        <f t="shared" si="14"/>
        <v/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IFERROR(VLOOKUP(B278,input_388104!L:R,7,FALSE),VLOOKUP(tables_388104!C278,input_388104!A:H,8,FALSE))</f>
        <v>1503.36</v>
      </c>
      <c r="P278" s="46">
        <f ca="1">O278/SUM(O:O)</f>
        <v>5.8724999993118275E-3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input_388104!A$2</f>
        <v>388104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tr">
        <f t="shared" si="14"/>
        <v/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IFERROR(VLOOKUP(B279,input_388104!L:R,7,FALSE),VLOOKUP(tables_388104!C279,input_388104!A:H,8,FALSE))</f>
        <v>3.84</v>
      </c>
      <c r="P279" s="46">
        <f ca="1">O279/SUM(O:O)</f>
        <v>1.4999999998242216E-5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input_388104!A$2</f>
        <v>388104</v>
      </c>
      <c r="B280" s="83">
        <v>864</v>
      </c>
      <c r="C280" s="7" t="str">
        <f t="shared" si="12"/>
        <v>Premium4R3lesscolor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 t="str">
        <f t="shared" si="14"/>
        <v>color</v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IFERROR(VLOOKUP(B280,input_388104!L:R,7,FALSE),VLOOKUP(tables_388104!C280,input_388104!A:H,8,FALSE))</f>
        <v>6409.07636</v>
      </c>
      <c r="P280" s="46">
        <f ca="1">O280/SUM(O:O)</f>
        <v>2.5035454528316205E-2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input_388104!A$2</f>
        <v>388104</v>
      </c>
      <c r="B281" s="83">
        <v>865</v>
      </c>
      <c r="C281" s="7" t="str">
        <f t="shared" si="12"/>
        <v>Premium5R3lesscolor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 t="str">
        <f t="shared" si="14"/>
        <v>color</v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IFERROR(VLOOKUP(B281,input_388104!L:R,7,FALSE),VLOOKUP(tables_388104!C281,input_388104!A:H,8,FALSE))</f>
        <v>167.79635999999999</v>
      </c>
      <c r="P281" s="46">
        <f ca="1">O281/SUM(O:O)</f>
        <v>6.5545453117319015E-4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input_388104!A$2</f>
        <v>388104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tr">
        <f t="shared" si="14"/>
        <v/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IFERROR(VLOOKUP(B282,input_388104!L:R,7,FALSE),VLOOKUP(tables_388104!C282,input_388104!A:H,8,FALSE))</f>
        <v>160</v>
      </c>
      <c r="P282" s="46">
        <f ca="1">O282/SUM(O:O)</f>
        <v>6.2499999992675901E-4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input_388104!A$2</f>
        <v>388104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tr">
        <f t="shared" si="14"/>
        <v/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IFERROR(VLOOKUP(B283,input_388104!L:R,7,FALSE),VLOOKUP(tables_388104!C283,input_388104!A:H,8,FALSE))</f>
        <v>160</v>
      </c>
      <c r="P283" s="46">
        <f ca="1">O283/SUM(O:O)</f>
        <v>6.2499999992675901E-4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input_388104!A$2</f>
        <v>388104</v>
      </c>
      <c r="B284" s="83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 t="str">
        <f t="shared" si="14"/>
        <v/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IFERROR(VLOOKUP(B284,input_388104!L:R,7,FALSE),VLOOKUP(tables_388104!C284,input_388104!A:H,8,FALSE))</f>
        <v>160</v>
      </c>
      <c r="P284" s="46">
        <f ca="1">O284/SUM(O:O)</f>
        <v>6.2499999992675901E-4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input_388104!A$2</f>
        <v>388104</v>
      </c>
      <c r="B285" s="83">
        <v>744</v>
      </c>
      <c r="C285" s="7" t="str">
        <f t="shared" ref="C285:C290" si="15">D285&amp;J285&amp;E285&amp;F285&amp;G285</f>
        <v>PremiumSS5R5onlycolor</v>
      </c>
      <c r="D285" s="7" t="str">
        <f t="shared" ref="D285:D290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 t="str">
        <f t="shared" si="14"/>
        <v>color</v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IFERROR(VLOOKUP(B285,input_388104!L:R,7,FALSE),VLOOKUP(tables_388104!C285,input_388104!A:H,8,FALSE))</f>
        <v>768</v>
      </c>
      <c r="P285" s="46">
        <f ca="1">O285/SUM(O:O)</f>
        <v>2.9999999996484432E-3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input_388104!A$2</f>
        <v>388104</v>
      </c>
      <c r="B286" s="83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 t="str">
        <f t="shared" si="14"/>
        <v/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IFERROR(VLOOKUP(B286,input_388104!L:R,7,FALSE),VLOOKUP(tables_388104!C286,input_388104!A:H,8,FALSE))</f>
        <v>1503.36</v>
      </c>
      <c r="P286" s="46">
        <f ca="1">O286/SUM(O:O)</f>
        <v>5.8724999993118275E-3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input_388104!A$2</f>
        <v>388104</v>
      </c>
      <c r="B287" s="83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 t="str">
        <f t="shared" si="14"/>
        <v/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IFERROR(VLOOKUP(B287,input_388104!L:R,7,FALSE),VLOOKUP(tables_388104!C287,input_388104!A:H,8,FALSE))</f>
        <v>3.84</v>
      </c>
      <c r="P287" s="46">
        <f ca="1">O287/SUM(O:O)</f>
        <v>1.4999999998242216E-5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input_388104!A$2</f>
        <v>388104</v>
      </c>
      <c r="B288" s="83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 t="str">
        <f t="shared" si="14"/>
        <v/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IFERROR(VLOOKUP(B288,input_388104!L:R,7,FALSE),VLOOKUP(tables_388104!C288,input_388104!A:H,8,FALSE))</f>
        <v>1503.36</v>
      </c>
      <c r="P288" s="46">
        <f ca="1">O288/SUM(O:O)</f>
        <v>5.8724999993118275E-3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input_388104!A$2</f>
        <v>388104</v>
      </c>
      <c r="B289" s="83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 t="str">
        <f t="shared" si="14"/>
        <v/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IFERROR(VLOOKUP(B289,input_388104!L:R,7,FALSE),VLOOKUP(tables_388104!C289,input_388104!A:H,8,FALSE))</f>
        <v>3.84</v>
      </c>
      <c r="P289" s="46">
        <f ca="1">O289/SUM(O:O)</f>
        <v>1.4999999998242216E-5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input_388104!A$2</f>
        <v>388104</v>
      </c>
      <c r="B290" s="83">
        <v>937</v>
      </c>
      <c r="C290" s="7" t="str">
        <f t="shared" si="15"/>
        <v>PremiumSS5R5only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 t="str">
        <f t="shared" si="14"/>
        <v/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IFERROR(VLOOKUP(B290,input_388104!L:R,7,FALSE),VLOOKUP(tables_388104!C290,input_388104!A:H,8,FALSE))</f>
        <v>160</v>
      </c>
      <c r="P290" s="46">
        <f ca="1">O290/SUM(O:O)</f>
        <v>6.2499999992675901E-4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input_388104!A$2</f>
        <v>388104</v>
      </c>
      <c r="B291" s="83">
        <v>939</v>
      </c>
      <c r="C291" s="7" t="str">
        <f t="shared" ref="C291:C300" si="17">D291&amp;J291&amp;E291&amp;F291&amp;G291</f>
        <v>Premium4R3lesscolor</v>
      </c>
      <c r="D291" s="7" t="str">
        <f t="shared" ref="D291:D300" si="18">IF(I291="PremiumSS",I291,IF(I291="PremiumSSS",I291,IF(I291="PremiumW",I291,"Premium")))</f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 t="str">
        <f t="shared" si="14"/>
        <v>color</v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IFERROR(VLOOKUP(B291,input_388104!L:R,7,FALSE),VLOOKUP(tables_388104!C291,input_388104!A:H,8,FALSE))</f>
        <v>6409.07636</v>
      </c>
      <c r="P291" s="46">
        <f ca="1">O291/SUM(O:O)</f>
        <v>2.5035454528316205E-2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input_388104!A$2</f>
        <v>388104</v>
      </c>
      <c r="B292" s="83">
        <v>940</v>
      </c>
      <c r="C292" s="7" t="str">
        <f t="shared" si="17"/>
        <v>Premium5R3lesscolor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 t="str">
        <f t="shared" si="14"/>
        <v>color</v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IFERROR(VLOOKUP(B292,input_388104!L:R,7,FALSE),VLOOKUP(tables_388104!C292,input_388104!A:H,8,FALSE))</f>
        <v>167.79635999999999</v>
      </c>
      <c r="P292" s="46">
        <f ca="1">O292/SUM(O:O)</f>
        <v>6.5545453117319015E-4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input_388104!A$2</f>
        <v>388104</v>
      </c>
      <c r="B293" s="83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 t="str">
        <f t="shared" si="14"/>
        <v/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IFERROR(VLOOKUP(B293,input_388104!L:R,7,FALSE),VLOOKUP(tables_388104!C293,input_388104!A:H,8,FALSE))</f>
        <v>160</v>
      </c>
      <c r="P293" s="46">
        <f ca="1">O293/SUM(O:O)</f>
        <v>6.2499999992675901E-4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input_388104!A$2</f>
        <v>388104</v>
      </c>
      <c r="B294" s="83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 t="str">
        <f t="shared" si="14"/>
        <v/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IFERROR(VLOOKUP(B294,input_388104!L:R,7,FALSE),VLOOKUP(tables_388104!C294,input_388104!A:H,8,FALSE))</f>
        <v>160</v>
      </c>
      <c r="P294" s="46">
        <f ca="1">O294/SUM(O:O)</f>
        <v>6.2499999992675901E-4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input_388104!A$2</f>
        <v>388104</v>
      </c>
      <c r="B295" s="5">
        <v>1012</v>
      </c>
      <c r="C295" s="7" t="str">
        <f t="shared" si="17"/>
        <v>PremiumSS5R5only</v>
      </c>
      <c r="D295" s="7" t="str">
        <f t="shared" si="18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 t="str">
        <f t="shared" si="14"/>
        <v/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IFERROR(VLOOKUP(B295,input_388104!L:R,7,FALSE),VLOOKUP(tables_388104!C295,input_388104!A:H,8,FALSE))</f>
        <v>160</v>
      </c>
      <c r="P295" s="46">
        <f ca="1">O295/SUM(O:O)</f>
        <v>6.2499999992675901E-4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input_388104!A$2</f>
        <v>388104</v>
      </c>
      <c r="B296" s="5">
        <v>1014</v>
      </c>
      <c r="C296" s="7" t="str">
        <f t="shared" si="17"/>
        <v>PremiumSS5R5onlycolor</v>
      </c>
      <c r="D296" s="7" t="str">
        <f t="shared" si="18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 t="str">
        <f t="shared" si="14"/>
        <v>color</v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IFERROR(VLOOKUP(B296,input_388104!L:R,7,FALSE),VLOOKUP(tables_388104!C296,input_388104!A:H,8,FALSE))</f>
        <v>768</v>
      </c>
      <c r="P296" s="46">
        <f ca="1">O296/SUM(O:O)</f>
        <v>2.9999999996484432E-3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input_388104!A$2</f>
        <v>388104</v>
      </c>
      <c r="B297" s="5">
        <v>1016</v>
      </c>
      <c r="C297" s="7" t="str">
        <f t="shared" si="17"/>
        <v>Premium4R3less</v>
      </c>
      <c r="D297" s="7" t="str">
        <f t="shared" si="18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 t="str">
        <f t="shared" si="14"/>
        <v/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IFERROR(VLOOKUP(B297,input_388104!L:R,7,FALSE),VLOOKUP(tables_388104!C297,input_388104!A:H,8,FALSE))</f>
        <v>1503.36</v>
      </c>
      <c r="P297" s="46">
        <f ca="1">O297/SUM(O:O)</f>
        <v>5.8724999993118275E-3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input_388104!A$2</f>
        <v>388104</v>
      </c>
      <c r="B298" s="5">
        <v>1017</v>
      </c>
      <c r="C298" s="7" t="str">
        <f t="shared" si="17"/>
        <v>Premium5R3less</v>
      </c>
      <c r="D298" s="7" t="str">
        <f t="shared" si="18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 t="str">
        <f t="shared" si="14"/>
        <v/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IFERROR(VLOOKUP(B298,input_388104!L:R,7,FALSE),VLOOKUP(tables_388104!C298,input_388104!A:H,8,FALSE))</f>
        <v>3.84</v>
      </c>
      <c r="P298" s="46">
        <f ca="1">O298/SUM(O:O)</f>
        <v>1.4999999998242216E-5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input_388104!A$2</f>
        <v>388104</v>
      </c>
      <c r="B299" s="5">
        <v>1018</v>
      </c>
      <c r="C299" s="7" t="str">
        <f t="shared" si="17"/>
        <v>PremiumSS5R5only</v>
      </c>
      <c r="D299" s="7" t="str">
        <f t="shared" si="18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 t="str">
        <f t="shared" si="14"/>
        <v/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IFERROR(VLOOKUP(B299,input_388104!L:R,7,FALSE),VLOOKUP(tables_388104!C299,input_388104!A:H,8,FALSE))</f>
        <v>160</v>
      </c>
      <c r="P299" s="46">
        <f ca="1">O299/SUM(O:O)</f>
        <v>6.2499999992675901E-4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input_388104!A$2</f>
        <v>388104</v>
      </c>
      <c r="B300" s="83">
        <v>958</v>
      </c>
      <c r="C300" s="7" t="str">
        <f t="shared" si="17"/>
        <v>PremiumSSS5R3lesscolor</v>
      </c>
      <c r="D300" s="7" t="str">
        <f t="shared" si="18"/>
        <v>PremiumSSS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 t="str">
        <f t="shared" si="14"/>
        <v>color</v>
      </c>
      <c r="H300" s="7" t="str">
        <f>VLOOKUP(B300,[1]characters!$A:$C,3,FALSE)</f>
        <v>ド・モルガン</v>
      </c>
      <c r="I300" s="7" t="str">
        <f>VLOOKUP(B300,[1]characters!$A:$J,10,FALSE)</f>
        <v>PremiumSSS</v>
      </c>
      <c r="J300" s="7">
        <f>VLOOKUP(B300,[1]characters!$A:$I,9,FALSE)</f>
        <v>5</v>
      </c>
      <c r="K300" s="7" t="str">
        <f>VLOOKUP(B300,[1]characters!$A:$H,8,FALSE)</f>
        <v>green</v>
      </c>
      <c r="L300" s="7" t="str">
        <f>VLOOKUP(B300,[1]characters!$A:$K,11,FALSE)</f>
        <v>balance</v>
      </c>
      <c r="M300" s="7" t="str">
        <f>VLOOKUP(B300,[1]characters!$A:$M,13,FALSE)</f>
        <v>academia</v>
      </c>
      <c r="N300" s="7" t="str">
        <f>VLOOKUP(B300,[1]characters!$A:$G,7,FALSE)</f>
        <v>男性</v>
      </c>
      <c r="O300" s="45">
        <f ca="1">IFERROR(VLOOKUP(B300,input_388104!L:R,7,FALSE),VLOOKUP(tables_388104!C300,input_388104!A:H,8,FALSE))</f>
        <v>2048</v>
      </c>
      <c r="P300" s="46">
        <f ca="1">O300/SUM(O:O)</f>
        <v>7.9999999990625157E-3</v>
      </c>
      <c r="Q300" s="89">
        <v>80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</sheetData>
  <autoFilter ref="A1:V294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63"/>
  <sheetViews>
    <sheetView workbookViewId="0">
      <selection activeCell="B13" sqref="B1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388105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VLOOKUP(L3,tables_388105!B:C,2,FALSE)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VLOOKUP(L4,tables_388105!B:C,2,FALSE)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6.2500000000000012E-4</v>
      </c>
      <c r="F5">
        <f>(COUNTIF(tables_388105!C:C,input_388105!A28)+COUNTIF(tables_388105!C:C,input_388105!A29))</f>
        <v>32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VLOOKUP(L5,tables_388105!B:C,2,FALSE)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3.0000000000000001E-3</v>
      </c>
      <c r="F6">
        <f>(COUNTIF(tables_388105!C:C,input_388105!A43)+COUNTIF(tables_388105!C:C,input_388105!A44))</f>
        <v>10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VLOOKUP(L6,tables_388105!B:C,2,FALSE)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5.8624999999999997E-3</v>
      </c>
      <c r="F7">
        <f>(COUNTIF(tables_388105!C:C,input_388105!A26)+COUNTIF(tables_388105!C:C,input_388105!A18)+COUNTIF(tables_388105!C:C,input_388105!A20)+COUNTIF(tables_388105!C:C,input_388105!A22))</f>
        <v>64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VLOOKUP(L7,tables_388105!B:C,2,FALSE)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2.5581818181818181E-2</v>
      </c>
      <c r="F8">
        <f>(COUNTIF(tables_388105!C:C,input_388105!A40)+COUNTIF(tables_388105!C:C,input_388105!A33)+COUNTIF(tables_388105!C:C,input_388105!A35)+COUNTIF(tables_388105!C:C,input_388105!A37))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VLOOKUP(L8,tables_388105!B:C,2,FALSE)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VLOOKUP(L9,tables_388105!B:C,2,FALSE)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0.93799999999999994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VLOOKUP(L10,tables_388105!B:C,2,FALSE)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0.05</v>
      </c>
      <c r="C11" t="s">
        <v>275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VLOOKUP(L11,tables_388105!B:C,2,FALSE)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1.2E-2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VLOOKUP(L12,tables_388105!B:C,2,FALSE)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VLOOKUP(L13,tables_388105!B:C,2,FALSE)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VLOOKUP(L14,tables_388105!B:C,2,FALSE)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VLOOKUP(L15,tables_388105!B:C,2,FALSE)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VLOOKUP(L16,tables_388105!B:C,2,FALSE)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COUNTIF(tables_388105!C:C,input_388105!A17)-COUNTIF(Q:Q,A17)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VLOOKUP(L17,tables_388105!B:C,2,FALSE)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8.7937500000000002E-2</v>
      </c>
      <c r="C18" s="87">
        <f t="shared" si="2"/>
        <v>0</v>
      </c>
      <c r="D18" s="75">
        <f t="shared" si="3"/>
        <v>8.7937500000000002E-2</v>
      </c>
      <c r="E18">
        <f>COUNTIF(tables_388105!C:C,input_388105!A18)-COUNTIF(Q:Q,A18)</f>
        <v>15</v>
      </c>
      <c r="F18" s="43">
        <f>IFERROR(B18/E18,0)</f>
        <v>5.8625000000000005E-3</v>
      </c>
      <c r="G18">
        <f t="shared" si="4"/>
        <v>22512</v>
      </c>
      <c r="H18">
        <f t="shared" si="5"/>
        <v>1500.8</v>
      </c>
      <c r="I18">
        <f t="shared" si="6"/>
        <v>0.79999999999995453</v>
      </c>
      <c r="J18">
        <f t="shared" si="7"/>
        <v>1.2500000000000711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VLOOKUP(L18,tables_388105!B:C,2,FALSE)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COUNTIF(tables_388105!C:C,input_388105!A19)-COUNTIF(Q:Q,A19)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VLOOKUP(L19,tables_388105!B:C,2,FALSE)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0.21720562499999999</v>
      </c>
      <c r="C20" s="87">
        <f t="shared" si="2"/>
        <v>0</v>
      </c>
      <c r="D20" s="75">
        <f t="shared" si="3"/>
        <v>0.21720562499999999</v>
      </c>
      <c r="E20">
        <f>COUNTIF(tables_388105!C:C,input_388105!A20)-COUNTIF(Q:Q,A20)</f>
        <v>39</v>
      </c>
      <c r="F20" s="43">
        <f t="shared" si="8"/>
        <v>5.5693749999999997E-3</v>
      </c>
      <c r="G20">
        <f t="shared" si="4"/>
        <v>55604.639999999999</v>
      </c>
      <c r="H20">
        <f t="shared" si="5"/>
        <v>1425.76</v>
      </c>
      <c r="I20">
        <f t="shared" si="6"/>
        <v>0.75999999999999091</v>
      </c>
      <c r="J20">
        <f t="shared" si="7"/>
        <v>1.3157894736842262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VLOOKUP(L20,tables_388105!B:C,2,FALSE)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1.1431875000000001E-2</v>
      </c>
      <c r="C21" s="87">
        <f t="shared" si="2"/>
        <v>0</v>
      </c>
      <c r="D21" s="75">
        <f t="shared" si="3"/>
        <v>1.1431875000000001E-2</v>
      </c>
      <c r="E21">
        <f>COUNTIF(tables_388105!C:C,input_388105!A21)-COUNTIF(Q:Q,A21)</f>
        <v>39</v>
      </c>
      <c r="F21" s="43">
        <f t="shared" si="8"/>
        <v>2.9312500000000004E-4</v>
      </c>
      <c r="G21">
        <f t="shared" si="4"/>
        <v>2926.5600000000004</v>
      </c>
      <c r="H21">
        <f t="shared" si="5"/>
        <v>75.040000000000006</v>
      </c>
      <c r="I21">
        <f t="shared" si="6"/>
        <v>4.0000000000006253E-2</v>
      </c>
      <c r="J21">
        <f t="shared" si="7"/>
        <v>24.999999999996092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4.088E-2</v>
      </c>
      <c r="C22" s="87">
        <f t="shared" si="2"/>
        <v>0</v>
      </c>
      <c r="D22" s="75">
        <f t="shared" si="3"/>
        <v>4.088E-2</v>
      </c>
      <c r="E22">
        <f>COUNTIF(tables_388105!C:C,input_388105!A22)-COUNTIF(Q:Q,A22)</f>
        <v>7</v>
      </c>
      <c r="F22" s="43">
        <f t="shared" si="8"/>
        <v>5.8399999999999997E-3</v>
      </c>
      <c r="G22">
        <f t="shared" si="4"/>
        <v>10465.280000000001</v>
      </c>
      <c r="H22">
        <f t="shared" si="5"/>
        <v>1495.04</v>
      </c>
      <c r="I22">
        <f t="shared" si="6"/>
        <v>3.999999999996362E-2</v>
      </c>
      <c r="J22">
        <f t="shared" si="7"/>
        <v>25.000000000022737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1.5749999999999965E-4</v>
      </c>
      <c r="C23" s="87">
        <f t="shared" si="2"/>
        <v>0</v>
      </c>
      <c r="D23" s="75">
        <f t="shared" si="3"/>
        <v>1.5749999999999965E-4</v>
      </c>
      <c r="E23">
        <f>COUNTIF(tables_388105!C:C,input_388105!A23)-COUNTIF(Q:Q,A23)</f>
        <v>7</v>
      </c>
      <c r="F23" s="43">
        <f t="shared" si="8"/>
        <v>2.2499999999999951E-5</v>
      </c>
      <c r="G23">
        <f t="shared" si="4"/>
        <v>40.319999999999908</v>
      </c>
      <c r="H23">
        <f t="shared" si="5"/>
        <v>5.76</v>
      </c>
      <c r="I23">
        <f t="shared" si="6"/>
        <v>0.75999999999999979</v>
      </c>
      <c r="J23">
        <f t="shared" si="7"/>
        <v>1.3157894736842108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7">
        <f t="shared" si="2"/>
        <v>0</v>
      </c>
      <c r="D24" s="75">
        <f t="shared" si="3"/>
        <v>0</v>
      </c>
      <c r="E24">
        <f>COUNTIF(tables_388105!C:C,input_388105!A24)-COUNTIF(Q:Q,A24)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1.6708124999999997E-2</v>
      </c>
      <c r="C25" s="87">
        <f t="shared" si="2"/>
        <v>0</v>
      </c>
      <c r="D25" s="75">
        <f t="shared" si="3"/>
        <v>1.6708124999999997E-2</v>
      </c>
      <c r="E25">
        <f>COUNTIF(tables_388105!C:C,input_388105!A25)-COUNTIF(Q:Q,A25)</f>
        <v>3</v>
      </c>
      <c r="F25" s="43">
        <f t="shared" si="8"/>
        <v>5.5693749999999988E-3</v>
      </c>
      <c r="G25">
        <f t="shared" si="4"/>
        <v>4277.28</v>
      </c>
      <c r="H25">
        <f t="shared" si="5"/>
        <v>1425.76</v>
      </c>
      <c r="I25">
        <f t="shared" si="6"/>
        <v>0.75999999999999091</v>
      </c>
      <c r="J25">
        <f t="shared" si="7"/>
        <v>1.3157894736842262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8.7937499999999995E-4</v>
      </c>
      <c r="C26" s="87">
        <f t="shared" si="2"/>
        <v>0</v>
      </c>
      <c r="D26" s="75">
        <f t="shared" si="3"/>
        <v>8.7937499999999995E-4</v>
      </c>
      <c r="E26">
        <f>COUNTIF(tables_388105!C:C,input_388105!A26)-COUNTIF(Q:Q,A26)</f>
        <v>3</v>
      </c>
      <c r="F26" s="43">
        <f t="shared" si="8"/>
        <v>2.9312499999999998E-4</v>
      </c>
      <c r="G26">
        <f t="shared" si="4"/>
        <v>225.11999999999998</v>
      </c>
      <c r="H26">
        <f t="shared" si="5"/>
        <v>75.040000000000006</v>
      </c>
      <c r="I26">
        <f t="shared" si="6"/>
        <v>4.0000000000006253E-2</v>
      </c>
      <c r="J26">
        <f t="shared" si="7"/>
        <v>24.999999999996092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1.2468750000000002E-2</v>
      </c>
      <c r="C27" s="87">
        <f t="shared" si="2"/>
        <v>0</v>
      </c>
      <c r="D27" s="75">
        <f t="shared" si="3"/>
        <v>1.2468750000000002E-2</v>
      </c>
      <c r="E27">
        <f>COUNTIF(tables_388105!C:C,input_388105!A27)-COUNTIF(Q:Q,A27)</f>
        <v>21</v>
      </c>
      <c r="F27" s="43">
        <f>IFERROR(B27/E27,0)</f>
        <v>5.9375000000000009E-4</v>
      </c>
      <c r="G27">
        <f t="shared" si="4"/>
        <v>3192.0000000000005</v>
      </c>
      <c r="H27">
        <f t="shared" si="5"/>
        <v>152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6.5625000000000015E-4</v>
      </c>
      <c r="C28" s="87">
        <f t="shared" si="2"/>
        <v>0</v>
      </c>
      <c r="D28" s="75">
        <f t="shared" si="3"/>
        <v>6.5625000000000015E-4</v>
      </c>
      <c r="E28">
        <f>COUNTIF(tables_388105!C:C,input_388105!A28)-COUNTIF(Q:Q,A28)</f>
        <v>21</v>
      </c>
      <c r="F28" s="43">
        <f t="shared" si="8"/>
        <v>3.1250000000000007E-5</v>
      </c>
      <c r="G28">
        <f t="shared" si="4"/>
        <v>168.00000000000003</v>
      </c>
      <c r="H28">
        <f t="shared" si="5"/>
        <v>8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6.8750000000000009E-3</v>
      </c>
      <c r="C29" s="87">
        <f t="shared" si="2"/>
        <v>0</v>
      </c>
      <c r="D29" s="75">
        <f t="shared" si="3"/>
        <v>6.8750000000000009E-3</v>
      </c>
      <c r="E29">
        <f>COUNTIF(tables_388105!C:C,input_388105!A29)-COUNTIF(Q:Q,A29)</f>
        <v>11</v>
      </c>
      <c r="F29" s="43">
        <f t="shared" si="8"/>
        <v>6.2500000000000012E-4</v>
      </c>
      <c r="G29">
        <f t="shared" si="4"/>
        <v>1760.0000000000002</v>
      </c>
      <c r="H29">
        <f t="shared" si="5"/>
        <v>160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COUNTIF(tables_388105!C:C,input_388105!A30)-COUNTIF(Q:Q,A30)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COUNTIF(tables_388105!C:C,input_388105!A31)-COUNTIF(Q:Q,A31)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COUNTIF(tables_388105!C:C,input_388105!A32)-COUNTIF(Q:Q,A32)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0.12790909090909092</v>
      </c>
      <c r="C33" s="87">
        <f t="shared" si="2"/>
        <v>0</v>
      </c>
      <c r="D33" s="75">
        <f t="shared" si="3"/>
        <v>0.12790909090909092</v>
      </c>
      <c r="E33">
        <f>COUNTIF(tables_388105!C:C,input_388105!A33)-COUNTIF(Q:Q,A33)</f>
        <v>5</v>
      </c>
      <c r="F33" s="43">
        <f>IFERROR(B33/E33,0)</f>
        <v>2.5581818181818185E-2</v>
      </c>
      <c r="G33">
        <f t="shared" si="4"/>
        <v>32744.727272727276</v>
      </c>
      <c r="H33">
        <f t="shared" si="5"/>
        <v>6548.9454500000002</v>
      </c>
      <c r="I33">
        <f t="shared" si="6"/>
        <v>0.94545000000016444</v>
      </c>
      <c r="J33">
        <f t="shared" si="7"/>
        <v>1.0576973927757429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COUNTIF(tables_388105!C:C,input_388105!A34)-COUNTIF(Q:Q,A34)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0.31593545454545452</v>
      </c>
      <c r="C35" s="87">
        <f t="shared" si="2"/>
        <v>0</v>
      </c>
      <c r="D35" s="75">
        <f t="shared" si="3"/>
        <v>0.31593545454545452</v>
      </c>
      <c r="E35">
        <f>COUNTIF(tables_388105!C:C,input_388105!A35)-COUNTIF(Q:Q,A35)</f>
        <v>13</v>
      </c>
      <c r="F35" s="43">
        <f t="shared" si="9"/>
        <v>2.4302727272727271E-2</v>
      </c>
      <c r="G35">
        <f t="shared" si="4"/>
        <v>80879.476363636364</v>
      </c>
      <c r="H35">
        <f t="shared" si="5"/>
        <v>6221.4981799999996</v>
      </c>
      <c r="I35">
        <f t="shared" si="6"/>
        <v>0.49817999999959284</v>
      </c>
      <c r="J35">
        <f t="shared" si="7"/>
        <v>2.0073065960111149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1.6628181818181816E-2</v>
      </c>
      <c r="C36" s="87">
        <f t="shared" si="2"/>
        <v>0</v>
      </c>
      <c r="D36" s="75">
        <f t="shared" si="3"/>
        <v>1.6628181818181816E-2</v>
      </c>
      <c r="E36">
        <f>COUNTIF(tables_388105!C:C,input_388105!A36)-COUNTIF(Q:Q,A36)</f>
        <v>13</v>
      </c>
      <c r="F36" s="43">
        <f t="shared" si="9"/>
        <v>1.279090909090909E-3</v>
      </c>
      <c r="G36">
        <f t="shared" si="4"/>
        <v>4256.8145454545447</v>
      </c>
      <c r="H36">
        <f t="shared" si="5"/>
        <v>327.44727</v>
      </c>
      <c r="I36">
        <f t="shared" si="6"/>
        <v>0.44727000000000317</v>
      </c>
      <c r="J36">
        <f t="shared" si="7"/>
        <v>2.2357859905649673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7.4702727272727282E-2</v>
      </c>
      <c r="C37" s="87">
        <f t="shared" si="2"/>
        <v>0</v>
      </c>
      <c r="D37" s="75">
        <f t="shared" si="3"/>
        <v>7.4702727272727282E-2</v>
      </c>
      <c r="E37">
        <f>COUNTIF(tables_388105!C:C,input_388105!A37)-COUNTIF(Q:Q,A37)</f>
        <v>3</v>
      </c>
      <c r="F37" s="43">
        <f t="shared" si="9"/>
        <v>2.4900909090909095E-2</v>
      </c>
      <c r="G37">
        <f t="shared" si="4"/>
        <v>19123.898181818186</v>
      </c>
      <c r="H37">
        <f t="shared" si="5"/>
        <v>6374.6327300000003</v>
      </c>
      <c r="I37">
        <f t="shared" si="6"/>
        <v>0.63273000000026514</v>
      </c>
      <c r="J37">
        <f t="shared" si="7"/>
        <v>1.5804529578170483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B$7*0.6-B41-B43-B44-B36</f>
        <v>2.0427272727272724E-3</v>
      </c>
      <c r="C38" s="87">
        <f t="shared" si="2"/>
        <v>0</v>
      </c>
      <c r="D38" s="75">
        <f t="shared" si="3"/>
        <v>2.0427272727272724E-3</v>
      </c>
      <c r="E38">
        <f>COUNTIF(tables_388105!C:C,input_388105!A38)-COUNTIF(Q:Q,A38)</f>
        <v>3</v>
      </c>
      <c r="F38" s="43">
        <f t="shared" si="9"/>
        <v>6.8090909090909085E-4</v>
      </c>
      <c r="G38">
        <f t="shared" si="4"/>
        <v>522.93818181818176</v>
      </c>
      <c r="H38">
        <f t="shared" si="5"/>
        <v>174.31272999999999</v>
      </c>
      <c r="I38">
        <f t="shared" si="6"/>
        <v>0.31272999999998774</v>
      </c>
      <c r="J38">
        <f t="shared" si="7"/>
        <v>3.1976465321524614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7">
        <f t="shared" si="2"/>
        <v>0</v>
      </c>
      <c r="D39" s="75">
        <f t="shared" si="3"/>
        <v>0</v>
      </c>
      <c r="E39">
        <f>COUNTIF(tables_388105!C:C,input_388105!A39)-COUNTIF(Q:Q,A39)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2.4302727272727271E-2</v>
      </c>
      <c r="C40" s="87">
        <f t="shared" si="2"/>
        <v>0</v>
      </c>
      <c r="D40" s="75">
        <f t="shared" si="3"/>
        <v>2.4302727272727271E-2</v>
      </c>
      <c r="E40">
        <f>COUNTIF(tables_388105!C:C,input_388105!A40)-COUNTIF(Q:Q,A40)</f>
        <v>1</v>
      </c>
      <c r="F40" s="43">
        <f t="shared" si="9"/>
        <v>2.4302727272727271E-2</v>
      </c>
      <c r="G40">
        <f t="shared" si="4"/>
        <v>6221.4981818181814</v>
      </c>
      <c r="H40">
        <f t="shared" si="5"/>
        <v>6221.4981799999996</v>
      </c>
      <c r="I40">
        <f t="shared" si="6"/>
        <v>0.49817999999959284</v>
      </c>
      <c r="J40">
        <f t="shared" si="7"/>
        <v>2.0073065960111149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1.2790909090909092E-3</v>
      </c>
      <c r="C41" s="87">
        <f t="shared" si="2"/>
        <v>0</v>
      </c>
      <c r="D41" s="75">
        <f t="shared" si="3"/>
        <v>1.2790909090909092E-3</v>
      </c>
      <c r="E41">
        <f>COUNTIF(tables_388105!C:C,input_388105!A41)-COUNTIF(Q:Q,A41)</f>
        <v>1</v>
      </c>
      <c r="F41" s="43">
        <f t="shared" si="9"/>
        <v>1.2790909090909092E-3</v>
      </c>
      <c r="G41">
        <f t="shared" si="4"/>
        <v>327.44727272727278</v>
      </c>
      <c r="H41">
        <f t="shared" si="5"/>
        <v>327.44727</v>
      </c>
      <c r="I41">
        <f t="shared" si="6"/>
        <v>0.44727000000000317</v>
      </c>
      <c r="J41">
        <f t="shared" si="7"/>
        <v>2.2357859905649673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1.9949999999999999E-2</v>
      </c>
      <c r="C42" s="87">
        <f t="shared" si="2"/>
        <v>0</v>
      </c>
      <c r="D42" s="75">
        <f t="shared" si="3"/>
        <v>1.9949999999999999E-2</v>
      </c>
      <c r="E42">
        <f>COUNTIF(tables_388105!C:C,input_388105!A42)-COUNTIF(Q:Q,A42)</f>
        <v>7</v>
      </c>
      <c r="F42" s="43">
        <f>IFERROR(B42/E42,0)</f>
        <v>2.8499999999999997E-3</v>
      </c>
      <c r="G42">
        <f t="shared" si="4"/>
        <v>5107.2</v>
      </c>
      <c r="H42">
        <f t="shared" si="5"/>
        <v>729.6</v>
      </c>
      <c r="I42">
        <f t="shared" si="6"/>
        <v>0.60000000000002274</v>
      </c>
      <c r="J42">
        <f t="shared" si="7"/>
        <v>1.6666666666666035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1.0500000000000002E-3</v>
      </c>
      <c r="C43" s="87">
        <f t="shared" si="2"/>
        <v>0</v>
      </c>
      <c r="D43" s="75">
        <f t="shared" si="3"/>
        <v>1.0500000000000002E-3</v>
      </c>
      <c r="E43">
        <f>COUNTIF(tables_388105!C:C,input_388105!A43)-COUNTIF(Q:Q,A43)</f>
        <v>7</v>
      </c>
      <c r="F43" s="43">
        <f t="shared" ref="F43:F46" si="10">IFERROR(B43/E43,0)</f>
        <v>1.5000000000000001E-4</v>
      </c>
      <c r="G43">
        <f t="shared" si="4"/>
        <v>268.8</v>
      </c>
      <c r="H43">
        <f t="shared" si="5"/>
        <v>38.4</v>
      </c>
      <c r="I43">
        <f t="shared" si="6"/>
        <v>0.39999999999999858</v>
      </c>
      <c r="J43">
        <f t="shared" si="7"/>
        <v>2.5000000000000089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9.0000000000000011E-3</v>
      </c>
      <c r="C44" s="87">
        <f t="shared" si="2"/>
        <v>0</v>
      </c>
      <c r="D44" s="75">
        <f t="shared" si="3"/>
        <v>9.0000000000000011E-3</v>
      </c>
      <c r="E44">
        <f>COUNTIF(tables_388105!C:C,input_388105!A44)-COUNTIF(Q:Q,A44)</f>
        <v>3</v>
      </c>
      <c r="F44" s="43">
        <f t="shared" si="10"/>
        <v>3.0000000000000005E-3</v>
      </c>
      <c r="G44">
        <f t="shared" si="4"/>
        <v>2304.0000000000005</v>
      </c>
      <c r="H44">
        <f t="shared" si="5"/>
        <v>768</v>
      </c>
      <c r="I44">
        <f t="shared" si="6"/>
        <v>0</v>
      </c>
      <c r="J44">
        <f t="shared" si="7"/>
        <v>1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COUNTIF(tables_388105!C:C,input_388105!A45)-COUNTIF(Q:Q,A45)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1.2E-2</v>
      </c>
      <c r="C46" s="87">
        <f t="shared" si="2"/>
        <v>0</v>
      </c>
      <c r="D46" s="75">
        <f t="shared" si="3"/>
        <v>1.2E-2</v>
      </c>
      <c r="E46">
        <f>COUNTIF(tables_388105!C:C,input_388105!A46)-COUNTIF(Q:Q,A46)</f>
        <v>1</v>
      </c>
      <c r="F46" s="43">
        <f t="shared" si="10"/>
        <v>1.2E-2</v>
      </c>
      <c r="G46">
        <f t="shared" si="4"/>
        <v>3072</v>
      </c>
      <c r="H46">
        <f t="shared" si="5"/>
        <v>3072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256000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SUMIF(tables_388105!C:C,input_388105!A55,tables_388105!O:O)</f>
        <v>0</v>
      </c>
      <c r="C55" s="54">
        <f t="shared" ref="C55:C61" ca="1" si="11">B55/B$62</f>
        <v>0</v>
      </c>
      <c r="E55">
        <v>3</v>
      </c>
      <c r="F55">
        <f ca="1">SUMIF(tables_388105!J:J,input_388105!E55,tables_388105!O:O)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SUMIF(tables_388105!C:C,input_388105!A56,tables_388105!O:O)</f>
        <v>55604.640000000014</v>
      </c>
      <c r="C56" s="54">
        <f t="shared" ca="1" si="11"/>
        <v>0.89842562432138984</v>
      </c>
      <c r="E56">
        <v>4</v>
      </c>
      <c r="F56">
        <f ca="1">SUMIF(tables_388105!J:J,input_388105!E56,tables_388105!O:O)</f>
        <v>240127.99996000019</v>
      </c>
      <c r="G56">
        <f ca="1">F56/A51</f>
        <v>0.93799999984375071</v>
      </c>
    </row>
    <row r="57" spans="1:7" x14ac:dyDescent="0.15">
      <c r="A57" s="33" t="s">
        <v>109</v>
      </c>
      <c r="B57">
        <f ca="1">SUMIF(tables_388105!C:C,input_388105!A57,tables_388105!O:O)</f>
        <v>3192</v>
      </c>
      <c r="C57" s="54">
        <f t="shared" ca="1" si="11"/>
        <v>5.1574375678610195E-2</v>
      </c>
      <c r="E57">
        <v>5</v>
      </c>
      <c r="F57">
        <f ca="1">SUMIF(tables_388105!J:J,input_388105!E57,tables_388105!O:O)</f>
        <v>15871.999969999997</v>
      </c>
      <c r="G57">
        <f ca="1">F57/A51</f>
        <v>6.199999988281249E-2</v>
      </c>
    </row>
    <row r="58" spans="1:7" x14ac:dyDescent="0.15">
      <c r="A58" s="33" t="s">
        <v>113</v>
      </c>
      <c r="B58">
        <f>SUMIF(tables_388105!C:C,input_388105!A58,tables_388105!O:O)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SUMIF(tables_388105!C:C,input_388105!A59,tables_388105!O:O)</f>
        <v>2926.559999999999</v>
      </c>
      <c r="C59" s="54">
        <f t="shared" ca="1" si="11"/>
        <v>4.7285559174809963E-2</v>
      </c>
      <c r="E59" t="s">
        <v>55</v>
      </c>
      <c r="F59" s="55"/>
    </row>
    <row r="60" spans="1:7" x14ac:dyDescent="0.15">
      <c r="A60" s="33" t="s">
        <v>110</v>
      </c>
      <c r="B60">
        <f ca="1">SUMIF(tables_388105!C:C,input_388105!A60,tables_388105!O:O)</f>
        <v>168</v>
      </c>
      <c r="C60" s="54">
        <f t="shared" ca="1" si="11"/>
        <v>2.7144408251900103E-3</v>
      </c>
      <c r="E60" t="s">
        <v>210</v>
      </c>
      <c r="F60" s="55">
        <f ca="1">SUMIF(tables_388105!I:I,input_388105!E60,tables_388105!P:P)</f>
        <v>0.21584659087933272</v>
      </c>
    </row>
    <row r="61" spans="1:7" x14ac:dyDescent="0.15">
      <c r="A61" s="33" t="s">
        <v>111</v>
      </c>
      <c r="B61">
        <f>SUMIF(tables_388105!C:C,input_388105!A61,tables_388105!O:O)</f>
        <v>0</v>
      </c>
      <c r="C61" s="54">
        <f t="shared" ca="1" si="11"/>
        <v>0</v>
      </c>
      <c r="E61" t="s">
        <v>211</v>
      </c>
      <c r="F61" s="55">
        <f ca="1">SUMIF(tables_388105!I:I,input_388105!E61,tables_388105!P:P)</f>
        <v>0.21584659087933286</v>
      </c>
    </row>
    <row r="62" spans="1:7" x14ac:dyDescent="0.15">
      <c r="A62" s="39" t="s">
        <v>60</v>
      </c>
      <c r="B62">
        <f ca="1">SUM(B55:B61)</f>
        <v>61891.200000000012</v>
      </c>
      <c r="C62" s="55">
        <f ca="1">SUM(C55:C61)</f>
        <v>1</v>
      </c>
      <c r="E62" t="s">
        <v>212</v>
      </c>
      <c r="F62" s="55">
        <f ca="1">SUMIF(tables_388105!I:I,input_388105!E62,tables_388105!P:P)</f>
        <v>0.50630681822438017</v>
      </c>
    </row>
    <row r="63" spans="1:7" x14ac:dyDescent="0.15">
      <c r="E63" t="s">
        <v>213</v>
      </c>
      <c r="F63" s="55">
        <f ca="1">SUMIF(tables_388105!I:I,input_388105!E63,tables_388105!P:P)</f>
        <v>5.0000000013671823E-2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00"/>
  <sheetViews>
    <sheetView showGridLines="0" zoomScale="75" zoomScaleNormal="75" zoomScalePageLayoutView="75" workbookViewId="0">
      <pane ySplit="1" topLeftCell="A279" activePane="bottomLeft" state="frozen"/>
      <selection activeCell="U32" sqref="U32"/>
      <selection pane="bottomLeft" activeCell="A287" sqref="A287:A30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input_388105!A$2</f>
        <v>388105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>IF(K2="green","color","")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IFERROR(VLOOKUP(B2,input_388105!L:R,7,FALSE),VLOOKUP(tables_388105!C2,input_388105!A:H,8,FALSE))</f>
        <v>0</v>
      </c>
      <c r="P2" s="46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input_388105!A$2</f>
        <v>388105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ref="G3:G66" si="2">IF(K3="green","color","")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IFERROR(VLOOKUP(B3,input_388105!L:R,7,FALSE),VLOOKUP(tables_388105!C3,input_388105!A:H,8,FALSE))</f>
        <v>1500.8</v>
      </c>
      <c r="P3" s="46">
        <f ca="1">O3/SUM(O:O)</f>
        <v>5.8625000016030186E-3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input_388105!A$2</f>
        <v>388105</v>
      </c>
      <c r="B4" s="6">
        <v>128</v>
      </c>
      <c r="C4" s="7" t="str">
        <f t="shared" si="0"/>
        <v>PremiumW3color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>color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IFERROR(VLOOKUP(B4,input_388105!L:R,7,FALSE),VLOOKUP(tables_388105!C4,input_388105!A:H,8,FALSE))</f>
        <v>0</v>
      </c>
      <c r="P4" s="46">
        <f ca="1">O4/SUM(O:O)</f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input_388105!A$2</f>
        <v>388105</v>
      </c>
      <c r="B5" s="6">
        <v>129</v>
      </c>
      <c r="C5" s="7" t="str">
        <f t="shared" si="0"/>
        <v>PremiumW4color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>color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IFERROR(VLOOKUP(B5,input_388105!L:R,7,FALSE),VLOOKUP(tables_388105!C5,input_388105!A:H,8,FALSE))</f>
        <v>6548.9454500000002</v>
      </c>
      <c r="P5" s="46">
        <f ca="1">O5/SUM(O:O)</f>
        <v>2.5581818171057494E-2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input_388105!A$2</f>
        <v>388105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IFERROR(VLOOKUP(B6,input_388105!L:R,7,FALSE),VLOOKUP(tables_388105!C6,input_388105!A:H,8,FALSE))</f>
        <v>0</v>
      </c>
      <c r="P6" s="46">
        <f ca="1">O6/SUM(O:O)</f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input_388105!A$2</f>
        <v>388105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IFERROR(VLOOKUP(B7,input_388105!L:R,7,FALSE),VLOOKUP(tables_388105!C7,input_388105!A:H,8,FALSE))</f>
        <v>1500.8</v>
      </c>
      <c r="P7" s="46">
        <f ca="1">O7/SUM(O:O)</f>
        <v>5.8625000016030186E-3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input_388105!A$2</f>
        <v>388105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IFERROR(VLOOKUP(B8,input_388105!L:R,7,FALSE),VLOOKUP(tables_388105!C8,input_388105!A:H,8,FALSE))</f>
        <v>0</v>
      </c>
      <c r="P8" s="46">
        <f ca="1">O8/SUM(O:O)</f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input_388105!A$2</f>
        <v>388105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IFERROR(VLOOKUP(B9,input_388105!L:R,7,FALSE),VLOOKUP(tables_388105!C9,input_388105!A:H,8,FALSE))</f>
        <v>1500.8</v>
      </c>
      <c r="P9" s="46">
        <f ca="1">O9/SUM(O:O)</f>
        <v>5.8625000016030186E-3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input_388105!A$2</f>
        <v>388105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IFERROR(VLOOKUP(B10,input_388105!L:R,7,FALSE),VLOOKUP(tables_388105!C10,input_388105!A:H,8,FALSE))</f>
        <v>0</v>
      </c>
      <c r="P10" s="46">
        <f ca="1">O10/SUM(O:O)</f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input_388105!A$2</f>
        <v>388105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IFERROR(VLOOKUP(B11,input_388105!L:R,7,FALSE),VLOOKUP(tables_388105!C11,input_388105!A:H,8,FALSE))</f>
        <v>1500.8</v>
      </c>
      <c r="P11" s="46">
        <f ca="1">O11/SUM(O:O)</f>
        <v>5.8625000016030186E-3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input_388105!A$2</f>
        <v>388105</v>
      </c>
      <c r="B12" s="8">
        <v>136</v>
      </c>
      <c r="C12" s="7" t="str">
        <f t="shared" si="0"/>
        <v>PremiumW3color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>color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IFERROR(VLOOKUP(B12,input_388105!L:R,7,FALSE),VLOOKUP(tables_388105!C12,input_388105!A:H,8,FALSE))</f>
        <v>0</v>
      </c>
      <c r="P12" s="46">
        <f ca="1">O12/SUM(O:O)</f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input_388105!A$2</f>
        <v>388105</v>
      </c>
      <c r="B13" s="8">
        <v>137</v>
      </c>
      <c r="C13" s="7" t="str">
        <f t="shared" si="0"/>
        <v>PremiumW4color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>color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IFERROR(VLOOKUP(B13,input_388105!L:R,7,FALSE),VLOOKUP(tables_388105!C13,input_388105!A:H,8,FALSE))</f>
        <v>6548.9454500000002</v>
      </c>
      <c r="P13" s="46">
        <f ca="1">O13/SUM(O:O)</f>
        <v>2.5581818171057494E-2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input_388105!A$2</f>
        <v>388105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IFERROR(VLOOKUP(B14,input_388105!L:R,7,FALSE),VLOOKUP(tables_388105!C14,input_388105!A:H,8,FALSE))</f>
        <v>0</v>
      </c>
      <c r="P14" s="46">
        <f ca="1">O14/SUM(O:O)</f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input_388105!A$2</f>
        <v>388105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IFERROR(VLOOKUP(B15,input_388105!L:R,7,FALSE),VLOOKUP(tables_388105!C15,input_388105!A:H,8,FALSE))</f>
        <v>1500.8</v>
      </c>
      <c r="P15" s="46">
        <f ca="1">O15/SUM(O:O)</f>
        <v>5.8625000016030186E-3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input_388105!A$2</f>
        <v>388105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IFERROR(VLOOKUP(B16,input_388105!L:R,7,FALSE),VLOOKUP(tables_388105!C16,input_388105!A:H,8,FALSE))</f>
        <v>0</v>
      </c>
      <c r="P16" s="46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input_388105!A$2</f>
        <v>388105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IFERROR(VLOOKUP(B17,input_388105!L:R,7,FALSE),VLOOKUP(tables_388105!C17,input_388105!A:H,8,FALSE))</f>
        <v>1500.8</v>
      </c>
      <c r="P17" s="46">
        <f ca="1">O17/SUM(O:O)</f>
        <v>5.8625000016030186E-3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input_388105!A$2</f>
        <v>388105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IFERROR(VLOOKUP(B18,input_388105!L:R,7,FALSE),VLOOKUP(tables_388105!C18,input_388105!A:H,8,FALSE))</f>
        <v>0</v>
      </c>
      <c r="P18" s="46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input_388105!A$2</f>
        <v>388105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IFERROR(VLOOKUP(B19,input_388105!L:R,7,FALSE),VLOOKUP(tables_388105!C19,input_388105!A:H,8,FALSE))</f>
        <v>1500.8</v>
      </c>
      <c r="P19" s="46">
        <f ca="1">O19/SUM(O:O)</f>
        <v>5.8625000016030186E-3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input_388105!A$2</f>
        <v>388105</v>
      </c>
      <c r="B20" s="10">
        <v>144</v>
      </c>
      <c r="C20" s="7" t="str">
        <f t="shared" si="0"/>
        <v>PremiumW3color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>color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IFERROR(VLOOKUP(B20,input_388105!L:R,7,FALSE),VLOOKUP(tables_388105!C20,input_388105!A:H,8,FALSE))</f>
        <v>0</v>
      </c>
      <c r="P20" s="46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input_388105!A$2</f>
        <v>388105</v>
      </c>
      <c r="B21" s="6">
        <v>145</v>
      </c>
      <c r="C21" s="7" t="str">
        <f t="shared" si="0"/>
        <v>PremiumW4color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>color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IFERROR(VLOOKUP(B21,input_388105!L:R,7,FALSE),VLOOKUP(tables_388105!C21,input_388105!A:H,8,FALSE))</f>
        <v>6548.9454500000002</v>
      </c>
      <c r="P21" s="46">
        <f ca="1">O21/SUM(O:O)</f>
        <v>2.5581818171057494E-2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input_388105!A$2</f>
        <v>388105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IFERROR(VLOOKUP(B22,input_388105!L:R,7,FALSE),VLOOKUP(tables_388105!C22,input_388105!A:H,8,FALSE))</f>
        <v>0</v>
      </c>
      <c r="P22" s="46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input_388105!A$2</f>
        <v>388105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IFERROR(VLOOKUP(B23,input_388105!L:R,7,FALSE),VLOOKUP(tables_388105!C23,input_388105!A:H,8,FALSE))</f>
        <v>1500.8</v>
      </c>
      <c r="P23" s="46">
        <f ca="1">O23/SUM(O:O)</f>
        <v>5.8625000016030186E-3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input_388105!A$2</f>
        <v>388105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IFERROR(VLOOKUP(B24,input_388105!L:R,7,FALSE),VLOOKUP(tables_388105!C24,input_388105!A:H,8,FALSE))</f>
        <v>0</v>
      </c>
      <c r="P24" s="46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input_388105!A$2</f>
        <v>388105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IFERROR(VLOOKUP(B25,input_388105!L:R,7,FALSE),VLOOKUP(tables_388105!C25,input_388105!A:H,8,FALSE))</f>
        <v>1500.8</v>
      </c>
      <c r="P25" s="46">
        <f ca="1">O25/SUM(O:O)</f>
        <v>5.8625000016030186E-3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input_388105!A$2</f>
        <v>388105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IFERROR(VLOOKUP(B26,input_388105!L:R,7,FALSE),VLOOKUP(tables_388105!C26,input_388105!A:H,8,FALSE))</f>
        <v>0</v>
      </c>
      <c r="P26" s="46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input_388105!A$2</f>
        <v>388105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IFERROR(VLOOKUP(B27,input_388105!L:R,7,FALSE),VLOOKUP(tables_388105!C27,input_388105!A:H,8,FALSE))</f>
        <v>1500.8</v>
      </c>
      <c r="P27" s="46">
        <f ca="1">O27/SUM(O:O)</f>
        <v>5.8625000016030186E-3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input_388105!A$2</f>
        <v>388105</v>
      </c>
      <c r="B28" s="6">
        <v>152</v>
      </c>
      <c r="C28" s="7" t="str">
        <f t="shared" si="0"/>
        <v>PremiumW3color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>color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IFERROR(VLOOKUP(B28,input_388105!L:R,7,FALSE),VLOOKUP(tables_388105!C28,input_388105!A:H,8,FALSE))</f>
        <v>0</v>
      </c>
      <c r="P28" s="46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input_388105!A$2</f>
        <v>388105</v>
      </c>
      <c r="B29" s="6">
        <v>153</v>
      </c>
      <c r="C29" s="7" t="str">
        <f t="shared" si="0"/>
        <v>PremiumW4color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>color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IFERROR(VLOOKUP(B29,input_388105!L:R,7,FALSE),VLOOKUP(tables_388105!C29,input_388105!A:H,8,FALSE))</f>
        <v>6548.9454500000002</v>
      </c>
      <c r="P29" s="46">
        <f ca="1">O29/SUM(O:O)</f>
        <v>2.5581818171057494E-2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input_388105!A$2</f>
        <v>388105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IFERROR(VLOOKUP(B30,input_388105!L:R,7,FALSE),VLOOKUP(tables_388105!C30,input_388105!A:H,8,FALSE))</f>
        <v>0</v>
      </c>
      <c r="P30" s="46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input_388105!A$2</f>
        <v>388105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IFERROR(VLOOKUP(B31,input_388105!L:R,7,FALSE),VLOOKUP(tables_388105!C31,input_388105!A:H,8,FALSE))</f>
        <v>1500.8</v>
      </c>
      <c r="P31" s="46">
        <f ca="1">O31/SUM(O:O)</f>
        <v>5.8625000016030186E-3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input_388105!A$2</f>
        <v>388105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IFERROR(VLOOKUP(B32,input_388105!L:R,7,FALSE),VLOOKUP(tables_388105!C32,input_388105!A:H,8,FALSE))</f>
        <v>0</v>
      </c>
      <c r="P32" s="46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input_388105!A$2</f>
        <v>388105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IFERROR(VLOOKUP(B33,input_388105!L:R,7,FALSE),VLOOKUP(tables_388105!C33,input_388105!A:H,8,FALSE))</f>
        <v>1500.8</v>
      </c>
      <c r="P33" s="46">
        <f ca="1">O33/SUM(O:O)</f>
        <v>5.8625000016030186E-3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input_388105!A$2</f>
        <v>388105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IFERROR(VLOOKUP(B34,input_388105!L:R,7,FALSE),VLOOKUP(tables_388105!C34,input_388105!A:H,8,FALSE))</f>
        <v>0</v>
      </c>
      <c r="P34" s="46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input_388105!A$2</f>
        <v>388105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IFERROR(VLOOKUP(B35,input_388105!L:R,7,FALSE),VLOOKUP(tables_388105!C35,input_388105!A:H,8,FALSE))</f>
        <v>1500.8</v>
      </c>
      <c r="P35" s="46">
        <f ca="1">O35/SUM(O:O)</f>
        <v>5.8625000016030186E-3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input_388105!A$2</f>
        <v>388105</v>
      </c>
      <c r="B36" s="6">
        <v>160</v>
      </c>
      <c r="C36" s="7" t="str">
        <f t="shared" si="0"/>
        <v>PremiumW3color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>color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IFERROR(VLOOKUP(B36,input_388105!L:R,7,FALSE),VLOOKUP(tables_388105!C36,input_388105!A:H,8,FALSE))</f>
        <v>0</v>
      </c>
      <c r="P36" s="46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input_388105!A$2</f>
        <v>388105</v>
      </c>
      <c r="B37" s="6">
        <v>161</v>
      </c>
      <c r="C37" s="7" t="str">
        <f t="shared" si="0"/>
        <v>PremiumW4color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>color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IFERROR(VLOOKUP(B37,input_388105!L:R,7,FALSE),VLOOKUP(tables_388105!C37,input_388105!A:H,8,FALSE))</f>
        <v>6548.9454500000002</v>
      </c>
      <c r="P37" s="46">
        <f ca="1">O37/SUM(O:O)</f>
        <v>2.5581818171057494E-2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input_388105!A$2</f>
        <v>388105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IFERROR(VLOOKUP(B38,input_388105!L:R,7,FALSE),VLOOKUP(tables_388105!C38,input_388105!A:H,8,FALSE))</f>
        <v>0</v>
      </c>
      <c r="P38" s="46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input_388105!A$2</f>
        <v>388105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IFERROR(VLOOKUP(B39,input_388105!L:R,7,FALSE),VLOOKUP(tables_388105!C39,input_388105!A:H,8,FALSE))</f>
        <v>1500.8</v>
      </c>
      <c r="P39" s="46">
        <f ca="1">O39/SUM(O:O)</f>
        <v>5.8625000016030186E-3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input_388105!A$2</f>
        <v>388105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IFERROR(VLOOKUP(B40,input_388105!L:R,7,FALSE),VLOOKUP(tables_388105!C40,input_388105!A:H,8,FALSE))</f>
        <v>0</v>
      </c>
      <c r="P40" s="46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input_388105!A$2</f>
        <v>388105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IFERROR(VLOOKUP(B41,input_388105!L:R,7,FALSE),VLOOKUP(tables_388105!C41,input_388105!A:H,8,FALSE))</f>
        <v>1500.8</v>
      </c>
      <c r="P41" s="46">
        <f ca="1">O41/SUM(O:O)</f>
        <v>5.8625000016030186E-3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input_388105!A$2</f>
        <v>388105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IFERROR(VLOOKUP(B42,input_388105!L:R,7,FALSE),VLOOKUP(tables_388105!C42,input_388105!A:H,8,FALSE))</f>
        <v>0</v>
      </c>
      <c r="P42" s="46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input_388105!A$2</f>
        <v>388105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IFERROR(VLOOKUP(B43,input_388105!L:R,7,FALSE),VLOOKUP(tables_388105!C43,input_388105!A:H,8,FALSE))</f>
        <v>1425.76</v>
      </c>
      <c r="P43" s="46">
        <f ca="1">O43/SUM(O:O)</f>
        <v>5.5693750015228683E-3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input_388105!A$2</f>
        <v>388105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IFERROR(VLOOKUP(B44,input_388105!L:R,7,FALSE),VLOOKUP(tables_388105!C44,input_388105!A:H,8,FALSE))</f>
        <v>75.040000000000006</v>
      </c>
      <c r="P44" s="46">
        <f ca="1">O44/SUM(O:O)</f>
        <v>2.9312500008015098E-4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input_388105!A$2</f>
        <v>388105</v>
      </c>
      <c r="B45" s="6">
        <v>169</v>
      </c>
      <c r="C45" s="7" t="str">
        <f t="shared" si="0"/>
        <v>Premium3R6releasecolor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>color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IFERROR(VLOOKUP(B45,input_388105!L:R,7,FALSE),VLOOKUP(tables_388105!C45,input_388105!A:H,8,FALSE))</f>
        <v>0</v>
      </c>
      <c r="P45" s="46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input_388105!A$2</f>
        <v>388105</v>
      </c>
      <c r="B46" s="6">
        <v>170</v>
      </c>
      <c r="C46" s="7" t="str">
        <f t="shared" si="0"/>
        <v>Premium4R6releasecolor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>color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IFERROR(VLOOKUP(B46,input_388105!L:R,7,FALSE),VLOOKUP(tables_388105!C46,input_388105!A:H,8,FALSE))</f>
        <v>6221.4981799999996</v>
      </c>
      <c r="P46" s="46">
        <f ca="1">O46/SUM(O:O)</f>
        <v>2.4302727272270241E-2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input_388105!A$2</f>
        <v>388105</v>
      </c>
      <c r="B47" s="6">
        <v>171</v>
      </c>
      <c r="C47" s="7" t="str">
        <f t="shared" si="0"/>
        <v>Premium5R6releasecolor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>color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IFERROR(VLOOKUP(B47,input_388105!L:R,7,FALSE),VLOOKUP(tables_388105!C47,input_388105!A:H,8,FALSE))</f>
        <v>327.44727</v>
      </c>
      <c r="P47" s="46">
        <f ca="1">O47/SUM(O:O)</f>
        <v>1.2790908987872496E-3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input_388105!A$2</f>
        <v>388105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IFERROR(VLOOKUP(B48,input_388105!L:R,7,FALSE),VLOOKUP(tables_388105!C48,input_388105!A:H,8,FALSE))</f>
        <v>0</v>
      </c>
      <c r="P48" s="46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input_388105!A$2</f>
        <v>388105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IFERROR(VLOOKUP(B49,input_388105!L:R,7,FALSE),VLOOKUP(tables_388105!C49,input_388105!A:H,8,FALSE))</f>
        <v>1425.76</v>
      </c>
      <c r="P49" s="46">
        <f ca="1">O49/SUM(O:O)</f>
        <v>5.5693750015228683E-3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input_388105!A$2</f>
        <v>388105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IFERROR(VLOOKUP(B50,input_388105!L:R,7,FALSE),VLOOKUP(tables_388105!C50,input_388105!A:H,8,FALSE))</f>
        <v>75.040000000000006</v>
      </c>
      <c r="P50" s="46">
        <f ca="1">O50/SUM(O:O)</f>
        <v>2.9312500008015098E-4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input_388105!A$2</f>
        <v>388105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IFERROR(VLOOKUP(B51,input_388105!L:R,7,FALSE),VLOOKUP(tables_388105!C51,input_388105!A:H,8,FALSE))</f>
        <v>0</v>
      </c>
      <c r="P51" s="46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input_388105!A$2</f>
        <v>388105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IFERROR(VLOOKUP(B52,input_388105!L:R,7,FALSE),VLOOKUP(tables_388105!C52,input_388105!A:H,8,FALSE))</f>
        <v>1425.76</v>
      </c>
      <c r="P52" s="46">
        <f ca="1">O52/SUM(O:O)</f>
        <v>5.5693750015228683E-3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input_388105!A$2</f>
        <v>388105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IFERROR(VLOOKUP(B53,input_388105!L:R,7,FALSE),VLOOKUP(tables_388105!C53,input_388105!A:H,8,FALSE))</f>
        <v>75.040000000000006</v>
      </c>
      <c r="P53" s="46">
        <f ca="1">O53/SUM(O:O)</f>
        <v>2.9312500008015098E-4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input_388105!A$2</f>
        <v>388105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IFERROR(VLOOKUP(B54,input_388105!L:R,7,FALSE),VLOOKUP(tables_388105!C54,input_388105!A:H,8,FALSE))</f>
        <v>0</v>
      </c>
      <c r="P54" s="46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input_388105!A$2</f>
        <v>388105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IFERROR(VLOOKUP(B55,input_388105!L:R,7,FALSE),VLOOKUP(tables_388105!C55,input_388105!A:H,8,FALSE))</f>
        <v>1425.76</v>
      </c>
      <c r="P55" s="46">
        <f ca="1">O55/SUM(O:O)</f>
        <v>5.5693750015228683E-3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input_388105!A$2</f>
        <v>388105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IFERROR(VLOOKUP(B56,input_388105!L:R,7,FALSE),VLOOKUP(tables_388105!C56,input_388105!A:H,8,FALSE))</f>
        <v>75.040000000000006</v>
      </c>
      <c r="P56" s="46">
        <f ca="1">O56/SUM(O:O)</f>
        <v>2.9312500008015098E-4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input_388105!A$2</f>
        <v>388105</v>
      </c>
      <c r="B57" s="6">
        <v>181</v>
      </c>
      <c r="C57" s="7" t="str">
        <f t="shared" si="0"/>
        <v>Premium3color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>color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IFERROR(VLOOKUP(B57,input_388105!L:R,7,FALSE),VLOOKUP(tables_388105!C57,input_388105!A:H,8,FALSE))</f>
        <v>0</v>
      </c>
      <c r="P57" s="46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input_388105!A$2</f>
        <v>388105</v>
      </c>
      <c r="B58" s="6">
        <v>182</v>
      </c>
      <c r="C58" s="7" t="str">
        <f t="shared" si="0"/>
        <v>Premium4color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>color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IFERROR(VLOOKUP(B58,input_388105!L:R,7,FALSE),VLOOKUP(tables_388105!C58,input_388105!A:H,8,FALSE))</f>
        <v>6221.4981799999996</v>
      </c>
      <c r="P58" s="46">
        <f ca="1">O58/SUM(O:O)</f>
        <v>2.4302727272270241E-2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input_388105!A$2</f>
        <v>388105</v>
      </c>
      <c r="B59" s="6">
        <v>183</v>
      </c>
      <c r="C59" s="7" t="str">
        <f t="shared" si="0"/>
        <v>Premium5color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>color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IFERROR(VLOOKUP(B59,input_388105!L:R,7,FALSE),VLOOKUP(tables_388105!C59,input_388105!A:H,8,FALSE))</f>
        <v>327.44727</v>
      </c>
      <c r="P59" s="46">
        <f ca="1">O59/SUM(O:O)</f>
        <v>1.2790908987872496E-3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input_388105!A$2</f>
        <v>388105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IFERROR(VLOOKUP(B60,input_388105!L:R,7,FALSE),VLOOKUP(tables_388105!C60,input_388105!A:H,8,FALSE))</f>
        <v>0</v>
      </c>
      <c r="P60" s="46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input_388105!A$2</f>
        <v>388105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IFERROR(VLOOKUP(B61,input_388105!L:R,7,FALSE),VLOOKUP(tables_388105!C61,input_388105!A:H,8,FALSE))</f>
        <v>1425.76</v>
      </c>
      <c r="P61" s="46">
        <f ca="1">O61/SUM(O:O)</f>
        <v>5.5693750015228683E-3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input_388105!A$2</f>
        <v>388105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IFERROR(VLOOKUP(B62,input_388105!L:R,7,FALSE),VLOOKUP(tables_388105!C62,input_388105!A:H,8,FALSE))</f>
        <v>75.040000000000006</v>
      </c>
      <c r="P62" s="46">
        <f ca="1">O62/SUM(O:O)</f>
        <v>2.9312500008015098E-4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input_388105!A$2</f>
        <v>388105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IFERROR(VLOOKUP(B63,input_388105!L:R,7,FALSE),VLOOKUP(tables_388105!C63,input_388105!A:H,8,FALSE))</f>
        <v>0</v>
      </c>
      <c r="P63" s="46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input_388105!A$2</f>
        <v>388105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IFERROR(VLOOKUP(B64,input_388105!L:R,7,FALSE),VLOOKUP(tables_388105!C64,input_388105!A:H,8,FALSE))</f>
        <v>1425.76</v>
      </c>
      <c r="P64" s="46">
        <f ca="1">O64/SUM(O:O)</f>
        <v>5.5693750015228683E-3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input_388105!A$2</f>
        <v>388105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IFERROR(VLOOKUP(B65,input_388105!L:R,7,FALSE),VLOOKUP(tables_388105!C65,input_388105!A:H,8,FALSE))</f>
        <v>75.040000000000006</v>
      </c>
      <c r="P65" s="46">
        <f ca="1">O65/SUM(O:O)</f>
        <v>2.9312500008015098E-4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input_388105!A$2</f>
        <v>388105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si="2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IFERROR(VLOOKUP(B66,input_388105!L:R,7,FALSE),VLOOKUP(tables_388105!C66,input_388105!A:H,8,FALSE))</f>
        <v>0</v>
      </c>
      <c r="P66" s="46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input_388105!A$2</f>
        <v>388105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ref="G67:G130" si="5">IF(K67="green","color","")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IFERROR(VLOOKUP(B67,input_388105!L:R,7,FALSE),VLOOKUP(tables_388105!C67,input_388105!A:H,8,FALSE))</f>
        <v>1425.76</v>
      </c>
      <c r="P67" s="46">
        <f ca="1">O67/SUM(O:O)</f>
        <v>5.5693750015228683E-3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input_388105!A$2</f>
        <v>388105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IFERROR(VLOOKUP(B68,input_388105!L:R,7,FALSE),VLOOKUP(tables_388105!C68,input_388105!A:H,8,FALSE))</f>
        <v>75.040000000000006</v>
      </c>
      <c r="P68" s="46">
        <f ca="1">O68/SUM(O:O)</f>
        <v>2.9312500008015098E-4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input_388105!A$2</f>
        <v>388105</v>
      </c>
      <c r="B69" s="6">
        <v>193</v>
      </c>
      <c r="C69" s="7" t="str">
        <f t="shared" si="3"/>
        <v>Premium3color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5"/>
        <v>color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IFERROR(VLOOKUP(B69,input_388105!L:R,7,FALSE),VLOOKUP(tables_388105!C69,input_388105!A:H,8,FALSE))</f>
        <v>0</v>
      </c>
      <c r="P69" s="46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input_388105!A$2</f>
        <v>388105</v>
      </c>
      <c r="B70" s="10">
        <v>194</v>
      </c>
      <c r="C70" s="7" t="str">
        <f t="shared" si="3"/>
        <v>Premium4color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5"/>
        <v>color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IFERROR(VLOOKUP(B70,input_388105!L:R,7,FALSE),VLOOKUP(tables_388105!C70,input_388105!A:H,8,FALSE))</f>
        <v>6221.4981799999996</v>
      </c>
      <c r="P70" s="46">
        <f ca="1">O70/SUM(O:O)</f>
        <v>2.4302727272270241E-2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input_388105!A$2</f>
        <v>388105</v>
      </c>
      <c r="B71" s="6">
        <v>195</v>
      </c>
      <c r="C71" s="7" t="str">
        <f t="shared" si="3"/>
        <v>Premium5color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5"/>
        <v>color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IFERROR(VLOOKUP(B71,input_388105!L:R,7,FALSE),VLOOKUP(tables_388105!C71,input_388105!A:H,8,FALSE))</f>
        <v>327.44727</v>
      </c>
      <c r="P71" s="46">
        <f ca="1">O71/SUM(O:O)</f>
        <v>1.2790908987872496E-3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input_388105!A$2</f>
        <v>388105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5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IFERROR(VLOOKUP(B72,input_388105!L:R,7,FALSE),VLOOKUP(tables_388105!C72,input_388105!A:H,8,FALSE))</f>
        <v>0</v>
      </c>
      <c r="P72" s="46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input_388105!A$2</f>
        <v>388105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5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IFERROR(VLOOKUP(B73,input_388105!L:R,7,FALSE),VLOOKUP(tables_388105!C73,input_388105!A:H,8,FALSE))</f>
        <v>1425.76</v>
      </c>
      <c r="P73" s="46">
        <f ca="1">O73/SUM(O:O)</f>
        <v>5.5693750015228683E-3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input_388105!A$2</f>
        <v>388105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5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IFERROR(VLOOKUP(B74,input_388105!L:R,7,FALSE),VLOOKUP(tables_388105!C74,input_388105!A:H,8,FALSE))</f>
        <v>75.040000000000006</v>
      </c>
      <c r="P74" s="46">
        <f ca="1">O74/SUM(O:O)</f>
        <v>2.9312500008015098E-4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input_388105!A$2</f>
        <v>388105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IFERROR(VLOOKUP(B75,input_388105!L:R,7,FALSE),VLOOKUP(tables_388105!C75,input_388105!A:H,8,FALSE))</f>
        <v>0</v>
      </c>
      <c r="P75" s="46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input_388105!A$2</f>
        <v>388105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IFERROR(VLOOKUP(B76,input_388105!L:R,7,FALSE),VLOOKUP(tables_388105!C76,input_388105!A:H,8,FALSE))</f>
        <v>1425.76</v>
      </c>
      <c r="P76" s="46">
        <f ca="1">O76/SUM(O:O)</f>
        <v>5.5693750015228683E-3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input_388105!A$2</f>
        <v>388105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IFERROR(VLOOKUP(B77,input_388105!L:R,7,FALSE),VLOOKUP(tables_388105!C77,input_388105!A:H,8,FALSE))</f>
        <v>75.040000000000006</v>
      </c>
      <c r="P77" s="46">
        <f ca="1">O77/SUM(O:O)</f>
        <v>2.9312500008015098E-4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input_388105!A$2</f>
        <v>388105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IFERROR(VLOOKUP(B78,input_388105!L:R,7,FALSE),VLOOKUP(tables_388105!C78,input_388105!A:H,8,FALSE))</f>
        <v>0</v>
      </c>
      <c r="P78" s="46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input_388105!A$2</f>
        <v>388105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IFERROR(VLOOKUP(B79,input_388105!L:R,7,FALSE),VLOOKUP(tables_388105!C79,input_388105!A:H,8,FALSE))</f>
        <v>1425.76</v>
      </c>
      <c r="P79" s="46">
        <f ca="1">O79/SUM(O:O)</f>
        <v>5.5693750015228683E-3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input_388105!A$2</f>
        <v>388105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IFERROR(VLOOKUP(B80,input_388105!L:R,7,FALSE),VLOOKUP(tables_388105!C80,input_388105!A:H,8,FALSE))</f>
        <v>75.040000000000006</v>
      </c>
      <c r="P80" s="46">
        <f ca="1">O80/SUM(O:O)</f>
        <v>2.9312500008015098E-4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input_388105!A$2</f>
        <v>388105</v>
      </c>
      <c r="B81" s="5">
        <v>205</v>
      </c>
      <c r="C81" s="7" t="str">
        <f t="shared" si="3"/>
        <v>Premium3color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5"/>
        <v>color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IFERROR(VLOOKUP(B81,input_388105!L:R,7,FALSE),VLOOKUP(tables_388105!C81,input_388105!A:H,8,FALSE))</f>
        <v>0</v>
      </c>
      <c r="P81" s="46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input_388105!A$2</f>
        <v>388105</v>
      </c>
      <c r="B82" s="5">
        <v>206</v>
      </c>
      <c r="C82" s="7" t="str">
        <f t="shared" si="3"/>
        <v>Premium4color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5"/>
        <v>color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IFERROR(VLOOKUP(B82,input_388105!L:R,7,FALSE),VLOOKUP(tables_388105!C82,input_388105!A:H,8,FALSE))</f>
        <v>6221.4981799999996</v>
      </c>
      <c r="P82" s="46">
        <f ca="1">O82/SUM(O:O)</f>
        <v>2.4302727272270241E-2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input_388105!A$2</f>
        <v>388105</v>
      </c>
      <c r="B83" s="5">
        <v>207</v>
      </c>
      <c r="C83" s="7" t="str">
        <f t="shared" si="3"/>
        <v>Premium5color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5"/>
        <v>color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IFERROR(VLOOKUP(B83,input_388105!L:R,7,FALSE),VLOOKUP(tables_388105!C83,input_388105!A:H,8,FALSE))</f>
        <v>327.44727</v>
      </c>
      <c r="P83" s="46">
        <f ca="1">O83/SUM(O:O)</f>
        <v>1.2790908987872496E-3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input_388105!A$2</f>
        <v>388105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IFERROR(VLOOKUP(B84,input_388105!L:R,7,FALSE),VLOOKUP(tables_388105!C84,input_388105!A:H,8,FALSE))</f>
        <v>0</v>
      </c>
      <c r="P84" s="46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input_388105!A$2</f>
        <v>388105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IFERROR(VLOOKUP(B85,input_388105!L:R,7,FALSE),VLOOKUP(tables_388105!C85,input_388105!A:H,8,FALSE))</f>
        <v>1425.76</v>
      </c>
      <c r="P85" s="46">
        <f ca="1">O85/SUM(O:O)</f>
        <v>5.5693750015228683E-3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input_388105!A$2</f>
        <v>388105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IFERROR(VLOOKUP(B86,input_388105!L:R,7,FALSE),VLOOKUP(tables_388105!C86,input_388105!A:H,8,FALSE))</f>
        <v>75.040000000000006</v>
      </c>
      <c r="P86" s="46">
        <f ca="1">O86/SUM(O:O)</f>
        <v>2.9312500008015098E-4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input_388105!A$2</f>
        <v>388105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5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IFERROR(VLOOKUP(B87,input_388105!L:R,7,FALSE),VLOOKUP(tables_388105!C87,input_388105!A:H,8,FALSE))</f>
        <v>0</v>
      </c>
      <c r="P87" s="46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input_388105!A$2</f>
        <v>388105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5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IFERROR(VLOOKUP(B88,input_388105!L:R,7,FALSE),VLOOKUP(tables_388105!C88,input_388105!A:H,8,FALSE))</f>
        <v>1425.76</v>
      </c>
      <c r="P88" s="46">
        <f ca="1">O88/SUM(O:O)</f>
        <v>5.5693750015228683E-3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input_388105!A$2</f>
        <v>388105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5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IFERROR(VLOOKUP(B89,input_388105!L:R,7,FALSE),VLOOKUP(tables_388105!C89,input_388105!A:H,8,FALSE))</f>
        <v>75.040000000000006</v>
      </c>
      <c r="P89" s="46">
        <f ca="1">O89/SUM(O:O)</f>
        <v>2.9312500008015098E-4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input_388105!A$2</f>
        <v>388105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IFERROR(VLOOKUP(B90,input_388105!L:R,7,FALSE),VLOOKUP(tables_388105!C90,input_388105!A:H,8,FALSE))</f>
        <v>0</v>
      </c>
      <c r="P90" s="46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input_388105!A$2</f>
        <v>388105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IFERROR(VLOOKUP(B91,input_388105!L:R,7,FALSE),VLOOKUP(tables_388105!C91,input_388105!A:H,8,FALSE))</f>
        <v>1425.76</v>
      </c>
      <c r="P91" s="46">
        <f ca="1">O91/SUM(O:O)</f>
        <v>5.5693750015228683E-3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input_388105!A$2</f>
        <v>388105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IFERROR(VLOOKUP(B92,input_388105!L:R,7,FALSE),VLOOKUP(tables_388105!C92,input_388105!A:H,8,FALSE))</f>
        <v>75.040000000000006</v>
      </c>
      <c r="P92" s="46">
        <f ca="1">O92/SUM(O:O)</f>
        <v>2.9312500008015098E-4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input_388105!A$2</f>
        <v>388105</v>
      </c>
      <c r="B93" s="5">
        <v>217</v>
      </c>
      <c r="C93" s="7" t="str">
        <f t="shared" si="3"/>
        <v>Premium3color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5"/>
        <v>color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IFERROR(VLOOKUP(B93,input_388105!L:R,7,FALSE),VLOOKUP(tables_388105!C93,input_388105!A:H,8,FALSE))</f>
        <v>0</v>
      </c>
      <c r="P93" s="46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input_388105!A$2</f>
        <v>388105</v>
      </c>
      <c r="B94" s="5">
        <v>218</v>
      </c>
      <c r="C94" s="7" t="str">
        <f t="shared" si="3"/>
        <v>Premium4color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5"/>
        <v>color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IFERROR(VLOOKUP(B94,input_388105!L:R,7,FALSE),VLOOKUP(tables_388105!C94,input_388105!A:H,8,FALSE))</f>
        <v>6221.4981799999996</v>
      </c>
      <c r="P94" s="46">
        <f ca="1">O94/SUM(O:O)</f>
        <v>2.4302727272270241E-2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input_388105!A$2</f>
        <v>388105</v>
      </c>
      <c r="B95" s="5">
        <v>219</v>
      </c>
      <c r="C95" s="7" t="str">
        <f t="shared" si="3"/>
        <v>Premium5color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5"/>
        <v>color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IFERROR(VLOOKUP(B95,input_388105!L:R,7,FALSE),VLOOKUP(tables_388105!C95,input_388105!A:H,8,FALSE))</f>
        <v>327.44727</v>
      </c>
      <c r="P95" s="46">
        <f ca="1">O95/SUM(O:O)</f>
        <v>1.2790908987872496E-3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input_388105!A$2</f>
        <v>388105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IFERROR(VLOOKUP(B96,input_388105!L:R,7,FALSE),VLOOKUP(tables_388105!C96,input_388105!A:H,8,FALSE))</f>
        <v>0</v>
      </c>
      <c r="P96" s="46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input_388105!A$2</f>
        <v>388105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IFERROR(VLOOKUP(B97,input_388105!L:R,7,FALSE),VLOOKUP(tables_388105!C97,input_388105!A:H,8,FALSE))</f>
        <v>1425.76</v>
      </c>
      <c r="P97" s="46">
        <f ca="1">O97/SUM(O:O)</f>
        <v>5.5693750015228683E-3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input_388105!A$2</f>
        <v>388105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IFERROR(VLOOKUP(B98,input_388105!L:R,7,FALSE),VLOOKUP(tables_388105!C98,input_388105!A:H,8,FALSE))</f>
        <v>75.040000000000006</v>
      </c>
      <c r="P98" s="46">
        <f ca="1">O98/SUM(O:O)</f>
        <v>2.9312500008015098E-4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input_388105!A$2</f>
        <v>388105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5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IFERROR(VLOOKUP(B99,input_388105!L:R,7,FALSE),VLOOKUP(tables_388105!C99,input_388105!A:H,8,FALSE))</f>
        <v>0</v>
      </c>
      <c r="P99" s="46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input_388105!A$2</f>
        <v>388105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5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IFERROR(VLOOKUP(B100,input_388105!L:R,7,FALSE),VLOOKUP(tables_388105!C100,input_388105!A:H,8,FALSE))</f>
        <v>1425.76</v>
      </c>
      <c r="P100" s="46">
        <f ca="1">O100/SUM(O:O)</f>
        <v>5.5693750015228683E-3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input_388105!A$2</f>
        <v>388105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5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IFERROR(VLOOKUP(B101,input_388105!L:R,7,FALSE),VLOOKUP(tables_388105!C101,input_388105!A:H,8,FALSE))</f>
        <v>75.040000000000006</v>
      </c>
      <c r="P101" s="46">
        <f ca="1">O101/SUM(O:O)</f>
        <v>2.9312500008015098E-4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input_388105!A$2</f>
        <v>388105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IFERROR(VLOOKUP(B102,input_388105!L:R,7,FALSE),VLOOKUP(tables_388105!C102,input_388105!A:H,8,FALSE))</f>
        <v>0</v>
      </c>
      <c r="P102" s="46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input_388105!A$2</f>
        <v>388105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IFERROR(VLOOKUP(B103,input_388105!L:R,7,FALSE),VLOOKUP(tables_388105!C103,input_388105!A:H,8,FALSE))</f>
        <v>1425.76</v>
      </c>
      <c r="P103" s="46">
        <f ca="1">O103/SUM(O:O)</f>
        <v>5.5693750015228683E-3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input_388105!A$2</f>
        <v>388105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IFERROR(VLOOKUP(B104,input_388105!L:R,7,FALSE),VLOOKUP(tables_388105!C104,input_388105!A:H,8,FALSE))</f>
        <v>75.040000000000006</v>
      </c>
      <c r="P104" s="46">
        <f ca="1">O104/SUM(O:O)</f>
        <v>2.9312500008015098E-4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input_388105!A$2</f>
        <v>388105</v>
      </c>
      <c r="B105" s="5">
        <v>229</v>
      </c>
      <c r="C105" s="7" t="str">
        <f t="shared" si="3"/>
        <v>Premium3color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5"/>
        <v>color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IFERROR(VLOOKUP(B105,input_388105!L:R,7,FALSE),VLOOKUP(tables_388105!C105,input_388105!A:H,8,FALSE))</f>
        <v>0</v>
      </c>
      <c r="P105" s="46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input_388105!A$2</f>
        <v>388105</v>
      </c>
      <c r="B106" s="5">
        <v>230</v>
      </c>
      <c r="C106" s="7" t="str">
        <f t="shared" si="3"/>
        <v>Premium4color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5"/>
        <v>color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IFERROR(VLOOKUP(B106,input_388105!L:R,7,FALSE),VLOOKUP(tables_388105!C106,input_388105!A:H,8,FALSE))</f>
        <v>6221.4981799999996</v>
      </c>
      <c r="P106" s="46">
        <f ca="1">O106/SUM(O:O)</f>
        <v>2.4302727272270241E-2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input_388105!A$2</f>
        <v>388105</v>
      </c>
      <c r="B107" s="5">
        <v>231</v>
      </c>
      <c r="C107" s="7" t="str">
        <f t="shared" si="3"/>
        <v>Premium5color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5"/>
        <v>color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IFERROR(VLOOKUP(B107,input_388105!L:R,7,FALSE),VLOOKUP(tables_388105!C107,input_388105!A:H,8,FALSE))</f>
        <v>327.44727</v>
      </c>
      <c r="P107" s="46">
        <f ca="1">O107/SUM(O:O)</f>
        <v>1.2790908987872496E-3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input_388105!A$2</f>
        <v>388105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IFERROR(VLOOKUP(B108,input_388105!L:R,7,FALSE),VLOOKUP(tables_388105!C108,input_388105!A:H,8,FALSE))</f>
        <v>0</v>
      </c>
      <c r="P108" s="46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input_388105!A$2</f>
        <v>388105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IFERROR(VLOOKUP(B109,input_388105!L:R,7,FALSE),VLOOKUP(tables_388105!C109,input_388105!A:H,8,FALSE))</f>
        <v>1425.76</v>
      </c>
      <c r="P109" s="46">
        <f ca="1">O109/SUM(O:O)</f>
        <v>5.5693750015228683E-3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input_388105!A$2</f>
        <v>388105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IFERROR(VLOOKUP(B110,input_388105!L:R,7,FALSE),VLOOKUP(tables_388105!C110,input_388105!A:H,8,FALSE))</f>
        <v>75.040000000000006</v>
      </c>
      <c r="P110" s="46">
        <f ca="1">O110/SUM(O:O)</f>
        <v>2.9312500008015098E-4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input_388105!A$2</f>
        <v>388105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5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IFERROR(VLOOKUP(B111,input_388105!L:R,7,FALSE),VLOOKUP(tables_388105!C111,input_388105!A:H,8,FALSE))</f>
        <v>0</v>
      </c>
      <c r="P111" s="46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input_388105!A$2</f>
        <v>388105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5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IFERROR(VLOOKUP(B112,input_388105!L:R,7,FALSE),VLOOKUP(tables_388105!C112,input_388105!A:H,8,FALSE))</f>
        <v>1425.76</v>
      </c>
      <c r="P112" s="46">
        <f ca="1">O112/SUM(O:O)</f>
        <v>5.5693750015228683E-3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input_388105!A$2</f>
        <v>388105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5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IFERROR(VLOOKUP(B113,input_388105!L:R,7,FALSE),VLOOKUP(tables_388105!C113,input_388105!A:H,8,FALSE))</f>
        <v>75.040000000000006</v>
      </c>
      <c r="P113" s="46">
        <f ca="1">O113/SUM(O:O)</f>
        <v>2.9312500008015098E-4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input_388105!A$2</f>
        <v>388105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IFERROR(VLOOKUP(B114,input_388105!L:R,7,FALSE),VLOOKUP(tables_388105!C114,input_388105!A:H,8,FALSE))</f>
        <v>0</v>
      </c>
      <c r="P114" s="46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input_388105!A$2</f>
        <v>388105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IFERROR(VLOOKUP(B115,input_388105!L:R,7,FALSE),VLOOKUP(tables_388105!C115,input_388105!A:H,8,FALSE))</f>
        <v>1425.76</v>
      </c>
      <c r="P115" s="46">
        <f ca="1">O115/SUM(O:O)</f>
        <v>5.5693750015228683E-3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input_388105!A$2</f>
        <v>388105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IFERROR(VLOOKUP(B116,input_388105!L:R,7,FALSE),VLOOKUP(tables_388105!C116,input_388105!A:H,8,FALSE))</f>
        <v>75.040000000000006</v>
      </c>
      <c r="P116" s="46">
        <f ca="1">O116/SUM(O:O)</f>
        <v>2.9312500008015098E-4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input_388105!A$2</f>
        <v>388105</v>
      </c>
      <c r="B117" s="5">
        <v>241</v>
      </c>
      <c r="C117" s="7" t="str">
        <f t="shared" si="3"/>
        <v>Premium3color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5"/>
        <v>color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IFERROR(VLOOKUP(B117,input_388105!L:R,7,FALSE),VLOOKUP(tables_388105!C117,input_388105!A:H,8,FALSE))</f>
        <v>0</v>
      </c>
      <c r="P117" s="46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input_388105!A$2</f>
        <v>388105</v>
      </c>
      <c r="B118" s="5">
        <v>242</v>
      </c>
      <c r="C118" s="7" t="str">
        <f t="shared" si="3"/>
        <v>Premium4color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5"/>
        <v>color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IFERROR(VLOOKUP(B118,input_388105!L:R,7,FALSE),VLOOKUP(tables_388105!C118,input_388105!A:H,8,FALSE))</f>
        <v>6221.4981799999996</v>
      </c>
      <c r="P118" s="46">
        <f ca="1">O118/SUM(O:O)</f>
        <v>2.4302727272270241E-2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input_388105!A$2</f>
        <v>388105</v>
      </c>
      <c r="B119" s="5">
        <v>243</v>
      </c>
      <c r="C119" s="7" t="str">
        <f t="shared" si="3"/>
        <v>Premium5color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5"/>
        <v>color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IFERROR(VLOOKUP(B119,input_388105!L:R,7,FALSE),VLOOKUP(tables_388105!C119,input_388105!A:H,8,FALSE))</f>
        <v>327.44727</v>
      </c>
      <c r="P119" s="46">
        <f ca="1">O119/SUM(O:O)</f>
        <v>1.2790908987872496E-3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input_388105!A$2</f>
        <v>388105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IFERROR(VLOOKUP(B120,input_388105!L:R,7,FALSE),VLOOKUP(tables_388105!C120,input_388105!A:H,8,FALSE))</f>
        <v>0</v>
      </c>
      <c r="P120" s="46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input_388105!A$2</f>
        <v>388105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IFERROR(VLOOKUP(B121,input_388105!L:R,7,FALSE),VLOOKUP(tables_388105!C121,input_388105!A:H,8,FALSE))</f>
        <v>1425.76</v>
      </c>
      <c r="P121" s="46">
        <f ca="1">O121/SUM(O:O)</f>
        <v>5.5693750015228683E-3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input_388105!A$2</f>
        <v>388105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IFERROR(VLOOKUP(B122,input_388105!L:R,7,FALSE),VLOOKUP(tables_388105!C122,input_388105!A:H,8,FALSE))</f>
        <v>75.040000000000006</v>
      </c>
      <c r="P122" s="46">
        <f ca="1">O122/SUM(O:O)</f>
        <v>2.9312500008015098E-4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input_388105!A$2</f>
        <v>388105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5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IFERROR(VLOOKUP(B123,input_388105!L:R,7,FALSE),VLOOKUP(tables_388105!C123,input_388105!A:H,8,FALSE))</f>
        <v>0</v>
      </c>
      <c r="P123" s="46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input_388105!A$2</f>
        <v>388105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5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IFERROR(VLOOKUP(B124,input_388105!L:R,7,FALSE),VLOOKUP(tables_388105!C124,input_388105!A:H,8,FALSE))</f>
        <v>1425.76</v>
      </c>
      <c r="P124" s="46">
        <f ca="1">O124/SUM(O:O)</f>
        <v>5.5693750015228683E-3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input_388105!A$2</f>
        <v>388105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5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IFERROR(VLOOKUP(B125,input_388105!L:R,7,FALSE),VLOOKUP(tables_388105!C125,input_388105!A:H,8,FALSE))</f>
        <v>75.040000000000006</v>
      </c>
      <c r="P125" s="46">
        <f ca="1">O125/SUM(O:O)</f>
        <v>2.9312500008015098E-4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input_388105!A$2</f>
        <v>388105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IFERROR(VLOOKUP(B126,input_388105!L:R,7,FALSE),VLOOKUP(tables_388105!C126,input_388105!A:H,8,FALSE))</f>
        <v>0</v>
      </c>
      <c r="P126" s="46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input_388105!A$2</f>
        <v>388105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IFERROR(VLOOKUP(B127,input_388105!L:R,7,FALSE),VLOOKUP(tables_388105!C127,input_388105!A:H,8,FALSE))</f>
        <v>1425.76</v>
      </c>
      <c r="P127" s="46">
        <f ca="1">O127/SUM(O:O)</f>
        <v>5.5693750015228683E-3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input_388105!A$2</f>
        <v>388105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IFERROR(VLOOKUP(B128,input_388105!L:R,7,FALSE),VLOOKUP(tables_388105!C128,input_388105!A:H,8,FALSE))</f>
        <v>75.040000000000006</v>
      </c>
      <c r="P128" s="46">
        <f ca="1">O128/SUM(O:O)</f>
        <v>2.9312500008015098E-4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input_388105!A$2</f>
        <v>388105</v>
      </c>
      <c r="B129" s="6">
        <v>253</v>
      </c>
      <c r="C129" s="7" t="str">
        <f t="shared" si="3"/>
        <v>Premium3color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5"/>
        <v>color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IFERROR(VLOOKUP(B129,input_388105!L:R,7,FALSE),VLOOKUP(tables_388105!C129,input_388105!A:H,8,FALSE))</f>
        <v>0</v>
      </c>
      <c r="P129" s="46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input_388105!A$2</f>
        <v>388105</v>
      </c>
      <c r="B130" s="6">
        <v>254</v>
      </c>
      <c r="C130" s="7" t="str">
        <f t="shared" ref="C130:C193" si="6">D130&amp;J130&amp;E130&amp;F130&amp;G130</f>
        <v>Premium4color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si="5"/>
        <v>color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IFERROR(VLOOKUP(B130,input_388105!L:R,7,FALSE),VLOOKUP(tables_388105!C130,input_388105!A:H,8,FALSE))</f>
        <v>6221.4981799999996</v>
      </c>
      <c r="P130" s="46">
        <f ca="1">O130/SUM(O:O)</f>
        <v>2.4302727272270241E-2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input_388105!A$2</f>
        <v>388105</v>
      </c>
      <c r="B131" s="6">
        <v>255</v>
      </c>
      <c r="C131" s="7" t="str">
        <f t="shared" si="6"/>
        <v>Premium5color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ref="G131:G194" si="8">IF(K131="green","color","")</f>
        <v>color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IFERROR(VLOOKUP(B131,input_388105!L:R,7,FALSE),VLOOKUP(tables_388105!C131,input_388105!A:H,8,FALSE))</f>
        <v>327.44727</v>
      </c>
      <c r="P131" s="46">
        <f ca="1">O131/SUM(O:O)</f>
        <v>1.2790908987872496E-3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input_388105!A$2</f>
        <v>388105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8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IFERROR(VLOOKUP(B132,input_388105!L:R,7,FALSE),VLOOKUP(tables_388105!C132,input_388105!A:H,8,FALSE))</f>
        <v>0</v>
      </c>
      <c r="P132" s="46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input_388105!A$2</f>
        <v>388105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8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IFERROR(VLOOKUP(B133,input_388105!L:R,7,FALSE),VLOOKUP(tables_388105!C133,input_388105!A:H,8,FALSE))</f>
        <v>1425.76</v>
      </c>
      <c r="P133" s="46">
        <f ca="1">O133/SUM(O:O)</f>
        <v>5.5693750015228683E-3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input_388105!A$2</f>
        <v>388105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8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IFERROR(VLOOKUP(B134,input_388105!L:R,7,FALSE),VLOOKUP(tables_388105!C134,input_388105!A:H,8,FALSE))</f>
        <v>75.040000000000006</v>
      </c>
      <c r="P134" s="46">
        <f ca="1">O134/SUM(O:O)</f>
        <v>2.9312500008015098E-4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input_388105!A$2</f>
        <v>388105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8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IFERROR(VLOOKUP(B135,input_388105!L:R,7,FALSE),VLOOKUP(tables_388105!C135,input_388105!A:H,8,FALSE))</f>
        <v>0</v>
      </c>
      <c r="P135" s="46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input_388105!A$2</f>
        <v>388105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8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IFERROR(VLOOKUP(B136,input_388105!L:R,7,FALSE),VLOOKUP(tables_388105!C136,input_388105!A:H,8,FALSE))</f>
        <v>1425.76</v>
      </c>
      <c r="P136" s="46">
        <f ca="1">O136/SUM(O:O)</f>
        <v>5.5693750015228683E-3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input_388105!A$2</f>
        <v>388105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8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IFERROR(VLOOKUP(B137,input_388105!L:R,7,FALSE),VLOOKUP(tables_388105!C137,input_388105!A:H,8,FALSE))</f>
        <v>75.040000000000006</v>
      </c>
      <c r="P137" s="46">
        <f ca="1">O137/SUM(O:O)</f>
        <v>2.9312500008015098E-4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input_388105!A$2</f>
        <v>388105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8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IFERROR(VLOOKUP(B138,input_388105!L:R,7,FALSE),VLOOKUP(tables_388105!C138,input_388105!A:H,8,FALSE))</f>
        <v>152</v>
      </c>
      <c r="P138" s="46">
        <f ca="1">O138/SUM(O:O)</f>
        <v>5.9375000016235265E-4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input_388105!A$2</f>
        <v>388105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8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IFERROR(VLOOKUP(B139,input_388105!L:R,7,FALSE),VLOOKUP(tables_388105!C139,input_388105!A:H,8,FALSE))</f>
        <v>8</v>
      </c>
      <c r="P139" s="46">
        <f ca="1">O139/SUM(O:O)</f>
        <v>3.1250000008544876E-5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input_388105!A$2</f>
        <v>388105</v>
      </c>
      <c r="B140" s="6">
        <v>322</v>
      </c>
      <c r="C140" s="7" t="str">
        <f t="shared" si="6"/>
        <v>PremiumSS4color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8"/>
        <v>color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IFERROR(VLOOKUP(B140,input_388105!L:R,7,FALSE),VLOOKUP(tables_388105!C140,input_388105!A:H,8,FALSE))</f>
        <v>729.6</v>
      </c>
      <c r="P140" s="46">
        <f ca="1">O140/SUM(O:O)</f>
        <v>2.850000000779293E-3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input_388105!A$2</f>
        <v>388105</v>
      </c>
      <c r="B141" s="6">
        <v>323</v>
      </c>
      <c r="C141" s="7" t="str">
        <f t="shared" si="6"/>
        <v>PremiumSS5color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8"/>
        <v>color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IFERROR(VLOOKUP(B141,input_388105!L:R,7,FALSE),VLOOKUP(tables_388105!C141,input_388105!A:H,8,FALSE))</f>
        <v>38.4</v>
      </c>
      <c r="P141" s="46">
        <f ca="1">O141/SUM(O:O)</f>
        <v>1.5000000004101541E-4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input_388105!A$2</f>
        <v>388105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8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IFERROR(VLOOKUP(B142,input_388105!L:R,7,FALSE),VLOOKUP(tables_388105!C142,input_388105!A:H,8,FALSE))</f>
        <v>152</v>
      </c>
      <c r="P142" s="46">
        <f ca="1">O142/SUM(O:O)</f>
        <v>5.9375000016235265E-4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input_388105!A$2</f>
        <v>388105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8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IFERROR(VLOOKUP(B143,input_388105!L:R,7,FALSE),VLOOKUP(tables_388105!C143,input_388105!A:H,8,FALSE))</f>
        <v>8</v>
      </c>
      <c r="P143" s="46">
        <f ca="1">O143/SUM(O:O)</f>
        <v>3.1250000008544876E-5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input_388105!A$2</f>
        <v>388105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8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IFERROR(VLOOKUP(B144,input_388105!L:R,7,FALSE),VLOOKUP(tables_388105!C144,input_388105!A:H,8,FALSE))</f>
        <v>152</v>
      </c>
      <c r="P144" s="46">
        <f ca="1">O144/SUM(O:O)</f>
        <v>5.9375000016235265E-4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input_388105!A$2</f>
        <v>388105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8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IFERROR(VLOOKUP(B145,input_388105!L:R,7,FALSE),VLOOKUP(tables_388105!C145,input_388105!A:H,8,FALSE))</f>
        <v>8</v>
      </c>
      <c r="P145" s="46">
        <f ca="1">O145/SUM(O:O)</f>
        <v>3.1250000008544876E-5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input_388105!A$2</f>
        <v>388105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8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IFERROR(VLOOKUP(B146,input_388105!L:R,7,FALSE),VLOOKUP(tables_388105!C146,input_388105!A:H,8,FALSE))</f>
        <v>0</v>
      </c>
      <c r="P146" s="46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input_388105!A$2</f>
        <v>388105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8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IFERROR(VLOOKUP(B147,input_388105!L:R,7,FALSE),VLOOKUP(tables_388105!C147,input_388105!A:H,8,FALSE))</f>
        <v>1425.76</v>
      </c>
      <c r="P147" s="46">
        <f ca="1">O147/SUM(O:O)</f>
        <v>5.5693750015228683E-3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input_388105!A$2</f>
        <v>388105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8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IFERROR(VLOOKUP(B148,input_388105!L:R,7,FALSE),VLOOKUP(tables_388105!C148,input_388105!A:H,8,FALSE))</f>
        <v>75.040000000000006</v>
      </c>
      <c r="P148" s="46">
        <f ca="1">O148/SUM(O:O)</f>
        <v>2.9312500008015098E-4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input_388105!A$2</f>
        <v>388105</v>
      </c>
      <c r="B149" s="6">
        <v>383</v>
      </c>
      <c r="C149" s="7" t="str">
        <f t="shared" si="6"/>
        <v>PremiumSS4color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8"/>
        <v>color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IFERROR(VLOOKUP(B149,input_388105!L:R,7,FALSE),VLOOKUP(tables_388105!C149,input_388105!A:H,8,FALSE))</f>
        <v>729.6</v>
      </c>
      <c r="P149" s="46">
        <f ca="1">O149/SUM(O:O)</f>
        <v>2.850000000779293E-3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input_388105!A$2</f>
        <v>388105</v>
      </c>
      <c r="B150" s="6">
        <v>384</v>
      </c>
      <c r="C150" s="7" t="str">
        <f t="shared" si="6"/>
        <v>PremiumSS5color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8"/>
        <v>color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IFERROR(VLOOKUP(B150,input_388105!L:R,7,FALSE),VLOOKUP(tables_388105!C150,input_388105!A:H,8,FALSE))</f>
        <v>38.4</v>
      </c>
      <c r="P150" s="46">
        <f ca="1">O150/SUM(O:O)</f>
        <v>1.5000000004101541E-4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input_388105!A$2</f>
        <v>388105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8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IFERROR(VLOOKUP(B151,input_388105!L:R,7,FALSE),VLOOKUP(tables_388105!C151,input_388105!A:H,8,FALSE))</f>
        <v>152</v>
      </c>
      <c r="P151" s="46">
        <f ca="1">O151/SUM(O:O)</f>
        <v>5.9375000016235265E-4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input_388105!A$2</f>
        <v>388105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8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IFERROR(VLOOKUP(B152,input_388105!L:R,7,FALSE),VLOOKUP(tables_388105!C152,input_388105!A:H,8,FALSE))</f>
        <v>8</v>
      </c>
      <c r="P152" s="46">
        <f ca="1">O152/SUM(O:O)</f>
        <v>3.1250000008544876E-5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input_388105!A$2</f>
        <v>388105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8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IFERROR(VLOOKUP(B153,input_388105!L:R,7,FALSE),VLOOKUP(tables_388105!C153,input_388105!A:H,8,FALSE))</f>
        <v>0</v>
      </c>
      <c r="P153" s="46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input_388105!A$2</f>
        <v>388105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8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IFERROR(VLOOKUP(B154,input_388105!L:R,7,FALSE),VLOOKUP(tables_388105!C154,input_388105!A:H,8,FALSE))</f>
        <v>1425.76</v>
      </c>
      <c r="P154" s="46">
        <f ca="1">O154/SUM(O:O)</f>
        <v>5.5693750015228683E-3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input_388105!A$2</f>
        <v>388105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8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IFERROR(VLOOKUP(B155,input_388105!L:R,7,FALSE),VLOOKUP(tables_388105!C155,input_388105!A:H,8,FALSE))</f>
        <v>75.040000000000006</v>
      </c>
      <c r="P155" s="46">
        <f ca="1">O155/SUM(O:O)</f>
        <v>2.9312500008015098E-4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input_388105!A$2</f>
        <v>388105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8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IFERROR(VLOOKUP(B156,input_388105!L:R,7,FALSE),VLOOKUP(tables_388105!C156,input_388105!A:H,8,FALSE))</f>
        <v>152</v>
      </c>
      <c r="P156" s="46">
        <f ca="1">O156/SUM(O:O)</f>
        <v>5.9375000016235265E-4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input_388105!A$2</f>
        <v>388105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8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IFERROR(VLOOKUP(B157,input_388105!L:R,7,FALSE),VLOOKUP(tables_388105!C157,input_388105!A:H,8,FALSE))</f>
        <v>8</v>
      </c>
      <c r="P157" s="46">
        <f ca="1">O157/SUM(O:O)</f>
        <v>3.1250000008544876E-5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input_388105!A$2</f>
        <v>388105</v>
      </c>
      <c r="B158" s="6">
        <v>392</v>
      </c>
      <c r="C158" s="7" t="str">
        <f t="shared" si="6"/>
        <v>Premium3color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8"/>
        <v>color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IFERROR(VLOOKUP(B158,input_388105!L:R,7,FALSE),VLOOKUP(tables_388105!C158,input_388105!A:H,8,FALSE))</f>
        <v>0</v>
      </c>
      <c r="P158" s="46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input_388105!A$2</f>
        <v>388105</v>
      </c>
      <c r="B159" s="6">
        <v>393</v>
      </c>
      <c r="C159" s="7" t="str">
        <f t="shared" si="6"/>
        <v>Premium4color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8"/>
        <v>color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IFERROR(VLOOKUP(B159,input_388105!L:R,7,FALSE),VLOOKUP(tables_388105!C159,input_388105!A:H,8,FALSE))</f>
        <v>6221.4981799999996</v>
      </c>
      <c r="P159" s="46">
        <f ca="1">O159/SUM(O:O)</f>
        <v>2.4302727272270241E-2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input_388105!A$2</f>
        <v>388105</v>
      </c>
      <c r="B160" s="6">
        <v>394</v>
      </c>
      <c r="C160" s="7" t="str">
        <f t="shared" si="6"/>
        <v>Premium5color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8"/>
        <v>color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IFERROR(VLOOKUP(B160,input_388105!L:R,7,FALSE),VLOOKUP(tables_388105!C160,input_388105!A:H,8,FALSE))</f>
        <v>327.44727</v>
      </c>
      <c r="P160" s="46">
        <f ca="1">O160/SUM(O:O)</f>
        <v>1.2790908987872496E-3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input_388105!A$2</f>
        <v>388105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8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IFERROR(VLOOKUP(B161,input_388105!L:R,7,FALSE),VLOOKUP(tables_388105!C161,input_388105!A:H,8,FALSE))</f>
        <v>0</v>
      </c>
      <c r="P161" s="46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input_388105!A$2</f>
        <v>388105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8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IFERROR(VLOOKUP(B162,input_388105!L:R,7,FALSE),VLOOKUP(tables_388105!C162,input_388105!A:H,8,FALSE))</f>
        <v>1425.76</v>
      </c>
      <c r="P162" s="46">
        <f ca="1">O162/SUM(O:O)</f>
        <v>5.5693750015228683E-3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input_388105!A$2</f>
        <v>388105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8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IFERROR(VLOOKUP(B163,input_388105!L:R,7,FALSE),VLOOKUP(tables_388105!C163,input_388105!A:H,8,FALSE))</f>
        <v>75.040000000000006</v>
      </c>
      <c r="P163" s="46">
        <f ca="1">O163/SUM(O:O)</f>
        <v>2.9312500008015098E-4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input_388105!A$2</f>
        <v>388105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8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IFERROR(VLOOKUP(B164,input_388105!L:R,7,FALSE),VLOOKUP(tables_388105!C164,input_388105!A:H,8,FALSE))</f>
        <v>152</v>
      </c>
      <c r="P164" s="46">
        <f ca="1">O164/SUM(O:O)</f>
        <v>5.9375000016235265E-4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input_388105!A$2</f>
        <v>388105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8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IFERROR(VLOOKUP(B165,input_388105!L:R,7,FALSE),VLOOKUP(tables_388105!C165,input_388105!A:H,8,FALSE))</f>
        <v>8</v>
      </c>
      <c r="P165" s="46">
        <f ca="1">O165/SUM(O:O)</f>
        <v>3.1250000008544876E-5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input_388105!A$2</f>
        <v>388105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8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IFERROR(VLOOKUP(B166,input_388105!L:R,7,FALSE),VLOOKUP(tables_388105!C166,input_388105!A:H,8,FALSE))</f>
        <v>0</v>
      </c>
      <c r="P166" s="46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input_388105!A$2</f>
        <v>388105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8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IFERROR(VLOOKUP(B167,input_388105!L:R,7,FALSE),VLOOKUP(tables_388105!C167,input_388105!A:H,8,FALSE))</f>
        <v>1425.76</v>
      </c>
      <c r="P167" s="46">
        <f ca="1">O167/SUM(O:O)</f>
        <v>5.5693750015228683E-3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input_388105!A$2</f>
        <v>388105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8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IFERROR(VLOOKUP(B168,input_388105!L:R,7,FALSE),VLOOKUP(tables_388105!C168,input_388105!A:H,8,FALSE))</f>
        <v>75.040000000000006</v>
      </c>
      <c r="P168" s="46">
        <f ca="1">O168/SUM(O:O)</f>
        <v>2.9312500008015098E-4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input_388105!A$2</f>
        <v>388105</v>
      </c>
      <c r="B169" s="6">
        <v>403</v>
      </c>
      <c r="C169" s="7" t="str">
        <f t="shared" si="6"/>
        <v>PremiumSS4color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8"/>
        <v>color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IFERROR(VLOOKUP(B169,input_388105!L:R,7,FALSE),VLOOKUP(tables_388105!C169,input_388105!A:H,8,FALSE))</f>
        <v>729.6</v>
      </c>
      <c r="P169" s="46">
        <f ca="1">O169/SUM(O:O)</f>
        <v>2.850000000779293E-3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input_388105!A$2</f>
        <v>388105</v>
      </c>
      <c r="B170" s="6">
        <v>404</v>
      </c>
      <c r="C170" s="7" t="str">
        <f t="shared" si="6"/>
        <v>PremiumSS5color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8"/>
        <v>color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IFERROR(VLOOKUP(B170,input_388105!L:R,7,FALSE),VLOOKUP(tables_388105!C170,input_388105!A:H,8,FALSE))</f>
        <v>38.4</v>
      </c>
      <c r="P170" s="46">
        <f ca="1">O170/SUM(O:O)</f>
        <v>1.5000000004101541E-4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input_388105!A$2</f>
        <v>388105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8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IFERROR(VLOOKUP(B171,input_388105!L:R,7,FALSE),VLOOKUP(tables_388105!C171,input_388105!A:H,8,FALSE))</f>
        <v>0</v>
      </c>
      <c r="P171" s="46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input_388105!A$2</f>
        <v>388105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8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IFERROR(VLOOKUP(B172,input_388105!L:R,7,FALSE),VLOOKUP(tables_388105!C172,input_388105!A:H,8,FALSE))</f>
        <v>1425.76</v>
      </c>
      <c r="P172" s="46">
        <f ca="1">O172/SUM(O:O)</f>
        <v>5.5693750015228683E-3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input_388105!A$2</f>
        <v>388105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8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IFERROR(VLOOKUP(B173,input_388105!L:R,7,FALSE),VLOOKUP(tables_388105!C173,input_388105!A:H,8,FALSE))</f>
        <v>75.040000000000006</v>
      </c>
      <c r="P173" s="46">
        <f ca="1">O173/SUM(O:O)</f>
        <v>2.9312500008015098E-4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input_388105!A$2</f>
        <v>388105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8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IFERROR(VLOOKUP(B174,input_388105!L:R,7,FALSE),VLOOKUP(tables_388105!C174,input_388105!A:H,8,FALSE))</f>
        <v>152</v>
      </c>
      <c r="P174" s="46">
        <f ca="1">O174/SUM(O:O)</f>
        <v>5.9375000016235265E-4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input_388105!A$2</f>
        <v>388105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8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IFERROR(VLOOKUP(B175,input_388105!L:R,7,FALSE),VLOOKUP(tables_388105!C175,input_388105!A:H,8,FALSE))</f>
        <v>8</v>
      </c>
      <c r="P175" s="46">
        <f ca="1">O175/SUM(O:O)</f>
        <v>3.1250000008544876E-5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input_388105!A$2</f>
        <v>388105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8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IFERROR(VLOOKUP(B176,input_388105!L:R,7,FALSE),VLOOKUP(tables_388105!C176,input_388105!A:H,8,FALSE))</f>
        <v>152</v>
      </c>
      <c r="P176" s="46">
        <f ca="1">O176/SUM(O:O)</f>
        <v>5.9375000016235265E-4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input_388105!A$2</f>
        <v>388105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8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IFERROR(VLOOKUP(B177,input_388105!L:R,7,FALSE),VLOOKUP(tables_388105!C177,input_388105!A:H,8,FALSE))</f>
        <v>8</v>
      </c>
      <c r="P177" s="46">
        <f ca="1">O177/SUM(O:O)</f>
        <v>3.1250000008544876E-5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input_388105!A$2</f>
        <v>388105</v>
      </c>
      <c r="B178" s="6">
        <v>436</v>
      </c>
      <c r="C178" s="7" t="str">
        <f t="shared" si="6"/>
        <v>Premium3color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8"/>
        <v>color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IFERROR(VLOOKUP(B178,input_388105!L:R,7,FALSE),VLOOKUP(tables_388105!C178,input_388105!A:H,8,FALSE))</f>
        <v>0</v>
      </c>
      <c r="P178" s="46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input_388105!A$2</f>
        <v>388105</v>
      </c>
      <c r="B179" s="6">
        <v>437</v>
      </c>
      <c r="C179" s="7" t="str">
        <f t="shared" si="6"/>
        <v>Premium4color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8"/>
        <v>color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IFERROR(VLOOKUP(B179,input_388105!L:R,7,FALSE),VLOOKUP(tables_388105!C179,input_388105!A:H,8,FALSE))</f>
        <v>6221.4981799999996</v>
      </c>
      <c r="P179" s="46">
        <f ca="1">O179/SUM(O:O)</f>
        <v>2.4302727272270241E-2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input_388105!A$2</f>
        <v>388105</v>
      </c>
      <c r="B180" s="6">
        <v>438</v>
      </c>
      <c r="C180" s="7" t="str">
        <f t="shared" si="6"/>
        <v>Premium5color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8"/>
        <v>color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IFERROR(VLOOKUP(B180,input_388105!L:R,7,FALSE),VLOOKUP(tables_388105!C180,input_388105!A:H,8,FALSE))</f>
        <v>327.44727</v>
      </c>
      <c r="P180" s="46">
        <f ca="1">O180/SUM(O:O)</f>
        <v>1.2790908987872496E-3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input_388105!A$2</f>
        <v>388105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8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IFERROR(VLOOKUP(B181,input_388105!L:R,7,FALSE),VLOOKUP(tables_388105!C181,input_388105!A:H,8,FALSE))</f>
        <v>0</v>
      </c>
      <c r="P181" s="46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input_388105!A$2</f>
        <v>388105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8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IFERROR(VLOOKUP(B182,input_388105!L:R,7,FALSE),VLOOKUP(tables_388105!C182,input_388105!A:H,8,FALSE))</f>
        <v>1425.76</v>
      </c>
      <c r="P182" s="46">
        <f ca="1">O182/SUM(O:O)</f>
        <v>5.5693750015228683E-3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input_388105!A$2</f>
        <v>388105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8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IFERROR(VLOOKUP(B183,input_388105!L:R,7,FALSE),VLOOKUP(tables_388105!C183,input_388105!A:H,8,FALSE))</f>
        <v>75.040000000000006</v>
      </c>
      <c r="P183" s="46">
        <f ca="1">O183/SUM(O:O)</f>
        <v>2.9312500008015098E-4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input_388105!A$2</f>
        <v>388105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8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IFERROR(VLOOKUP(B184,input_388105!L:R,7,FALSE),VLOOKUP(tables_388105!C184,input_388105!A:H,8,FALSE))</f>
        <v>152</v>
      </c>
      <c r="P184" s="46">
        <f ca="1">O184/SUM(O:O)</f>
        <v>5.9375000016235265E-4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input_388105!A$2</f>
        <v>388105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8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IFERROR(VLOOKUP(B185,input_388105!L:R,7,FALSE),VLOOKUP(tables_388105!C185,input_388105!A:H,8,FALSE))</f>
        <v>8</v>
      </c>
      <c r="P185" s="46">
        <f ca="1">O185/SUM(O:O)</f>
        <v>3.1250000008544876E-5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input_388105!A$2</f>
        <v>388105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8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IFERROR(VLOOKUP(B186,input_388105!L:R,7,FALSE),VLOOKUP(tables_388105!C186,input_388105!A:H,8,FALSE))</f>
        <v>0</v>
      </c>
      <c r="P186" s="46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input_388105!A$2</f>
        <v>388105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8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IFERROR(VLOOKUP(B187,input_388105!L:R,7,FALSE),VLOOKUP(tables_388105!C187,input_388105!A:H,8,FALSE))</f>
        <v>1425.76</v>
      </c>
      <c r="P187" s="46">
        <f ca="1">O187/SUM(O:O)</f>
        <v>5.5693750015228683E-3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input_388105!A$2</f>
        <v>388105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8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IFERROR(VLOOKUP(B188,input_388105!L:R,7,FALSE),VLOOKUP(tables_388105!C188,input_388105!A:H,8,FALSE))</f>
        <v>75.040000000000006</v>
      </c>
      <c r="P188" s="46">
        <f ca="1">O188/SUM(O:O)</f>
        <v>2.9312500008015098E-4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input_388105!A$2</f>
        <v>388105</v>
      </c>
      <c r="B189" s="8">
        <v>465</v>
      </c>
      <c r="C189" s="7" t="str">
        <f t="shared" si="6"/>
        <v>PremiumSS4color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8"/>
        <v>color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IFERROR(VLOOKUP(B189,input_388105!L:R,7,FALSE),VLOOKUP(tables_388105!C189,input_388105!A:H,8,FALSE))</f>
        <v>729.6</v>
      </c>
      <c r="P189" s="46">
        <f ca="1">O189/SUM(O:O)</f>
        <v>2.850000000779293E-3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input_388105!A$2</f>
        <v>388105</v>
      </c>
      <c r="B190" s="6">
        <v>466</v>
      </c>
      <c r="C190" s="7" t="str">
        <f t="shared" si="6"/>
        <v>PremiumSS5color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8"/>
        <v>color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IFERROR(VLOOKUP(B190,input_388105!L:R,7,FALSE),VLOOKUP(tables_388105!C190,input_388105!A:H,8,FALSE))</f>
        <v>38.4</v>
      </c>
      <c r="P190" s="46">
        <f ca="1">O190/SUM(O:O)</f>
        <v>1.5000000004101541E-4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input_388105!A$2</f>
        <v>388105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8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IFERROR(VLOOKUP(B191,input_388105!L:R,7,FALSE),VLOOKUP(tables_388105!C191,input_388105!A:H,8,FALSE))</f>
        <v>152</v>
      </c>
      <c r="P191" s="46">
        <f ca="1">O191/SUM(O:O)</f>
        <v>5.9375000016235265E-4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input_388105!A$2</f>
        <v>388105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8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IFERROR(VLOOKUP(B192,input_388105!L:R,7,FALSE),VLOOKUP(tables_388105!C192,input_388105!A:H,8,FALSE))</f>
        <v>8</v>
      </c>
      <c r="P192" s="46">
        <f ca="1">O192/SUM(O:O)</f>
        <v>3.1250000008544876E-5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input_388105!A$2</f>
        <v>388105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8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IFERROR(VLOOKUP(B193,input_388105!L:R,7,FALSE),VLOOKUP(tables_388105!C193,input_388105!A:H,8,FALSE))</f>
        <v>0</v>
      </c>
      <c r="P193" s="46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input_388105!A$2</f>
        <v>388105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si="8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IFERROR(VLOOKUP(B194,input_388105!L:R,7,FALSE),VLOOKUP(tables_388105!C194,input_388105!A:H,8,FALSE))</f>
        <v>1425.76</v>
      </c>
      <c r="P194" s="46">
        <f ca="1">O194/SUM(O:O)</f>
        <v>5.5693750015228683E-3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input_388105!A$2</f>
        <v>388105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ref="G195:G258" si="11">IF(K195="green","color","")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IFERROR(VLOOKUP(B195,input_388105!L:R,7,FALSE),VLOOKUP(tables_388105!C195,input_388105!A:H,8,FALSE))</f>
        <v>75.040000000000006</v>
      </c>
      <c r="P195" s="46">
        <f ca="1">O195/SUM(O:O)</f>
        <v>2.9312500008015098E-4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input_388105!A$2</f>
        <v>388105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1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IFERROR(VLOOKUP(B196,input_388105!L:R,7,FALSE),VLOOKUP(tables_388105!C196,input_388105!A:H,8,FALSE))</f>
        <v>152</v>
      </c>
      <c r="P196" s="46">
        <f ca="1">O196/SUM(O:O)</f>
        <v>5.9375000016235265E-4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input_388105!A$2</f>
        <v>388105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1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IFERROR(VLOOKUP(B197,input_388105!L:R,7,FALSE),VLOOKUP(tables_388105!C197,input_388105!A:H,8,FALSE))</f>
        <v>8</v>
      </c>
      <c r="P197" s="46">
        <f ca="1">O197/SUM(O:O)</f>
        <v>3.1250000008544876E-5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input_388105!A$2</f>
        <v>388105</v>
      </c>
      <c r="B198" s="6">
        <v>476</v>
      </c>
      <c r="C198" s="7" t="str">
        <f t="shared" si="9"/>
        <v>Premium3color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1"/>
        <v>color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IFERROR(VLOOKUP(B198,input_388105!L:R,7,FALSE),VLOOKUP(tables_388105!C198,input_388105!A:H,8,FALSE))</f>
        <v>0</v>
      </c>
      <c r="P198" s="46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input_388105!A$2</f>
        <v>388105</v>
      </c>
      <c r="B199" s="6">
        <v>477</v>
      </c>
      <c r="C199" s="7" t="str">
        <f t="shared" si="9"/>
        <v>Premium4color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1"/>
        <v>color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IFERROR(VLOOKUP(B199,input_388105!L:R,7,FALSE),VLOOKUP(tables_388105!C199,input_388105!A:H,8,FALSE))</f>
        <v>6221.4981799999996</v>
      </c>
      <c r="P199" s="46">
        <f ca="1">O199/SUM(O:O)</f>
        <v>2.4302727272270241E-2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input_388105!A$2</f>
        <v>388105</v>
      </c>
      <c r="B200" s="6">
        <v>478</v>
      </c>
      <c r="C200" s="7" t="str">
        <f t="shared" si="9"/>
        <v>Premium5color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1"/>
        <v>color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IFERROR(VLOOKUP(B200,input_388105!L:R,7,FALSE),VLOOKUP(tables_388105!C200,input_388105!A:H,8,FALSE))</f>
        <v>327.44727</v>
      </c>
      <c r="P200" s="46">
        <f ca="1">O200/SUM(O:O)</f>
        <v>1.2790908987872496E-3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input_388105!A$2</f>
        <v>388105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1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IFERROR(VLOOKUP(B201,input_388105!L:R,7,FALSE),VLOOKUP(tables_388105!C201,input_388105!A:H,8,FALSE))</f>
        <v>152</v>
      </c>
      <c r="P201" s="46">
        <f ca="1">O201/SUM(O:O)</f>
        <v>5.9375000016235265E-4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input_388105!A$2</f>
        <v>388105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1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IFERROR(VLOOKUP(B202,input_388105!L:R,7,FALSE),VLOOKUP(tables_388105!C202,input_388105!A:H,8,FALSE))</f>
        <v>8</v>
      </c>
      <c r="P202" s="46">
        <f ca="1">O202/SUM(O:O)</f>
        <v>3.1250000008544876E-5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input_388105!A$2</f>
        <v>388105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1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IFERROR(VLOOKUP(B203,input_388105!L:R,7,FALSE),VLOOKUP(tables_388105!C203,input_388105!A:H,8,FALSE))</f>
        <v>0</v>
      </c>
      <c r="P203" s="46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input_388105!A$2</f>
        <v>388105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1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IFERROR(VLOOKUP(B204,input_388105!L:R,7,FALSE),VLOOKUP(tables_388105!C204,input_388105!A:H,8,FALSE))</f>
        <v>1425.76</v>
      </c>
      <c r="P204" s="46">
        <f ca="1">O204/SUM(O:O)</f>
        <v>5.5693750015228683E-3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input_388105!A$2</f>
        <v>388105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1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IFERROR(VLOOKUP(B205,input_388105!L:R,7,FALSE),VLOOKUP(tables_388105!C205,input_388105!A:H,8,FALSE))</f>
        <v>75.040000000000006</v>
      </c>
      <c r="P205" s="46">
        <f ca="1">O205/SUM(O:O)</f>
        <v>2.9312500008015098E-4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input_388105!A$2</f>
        <v>388105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1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IFERROR(VLOOKUP(B206,input_388105!L:R,7,FALSE),VLOOKUP(tables_388105!C206,input_388105!A:H,8,FALSE))</f>
        <v>152</v>
      </c>
      <c r="P206" s="46">
        <f ca="1">O206/SUM(O:O)</f>
        <v>5.9375000016235265E-4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input_388105!A$2</f>
        <v>388105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1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IFERROR(VLOOKUP(B207,input_388105!L:R,7,FALSE),VLOOKUP(tables_388105!C207,input_388105!A:H,8,FALSE))</f>
        <v>8</v>
      </c>
      <c r="P207" s="46">
        <f ca="1">O207/SUM(O:O)</f>
        <v>3.1250000008544876E-5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input_388105!A$2</f>
        <v>388105</v>
      </c>
      <c r="B208" s="6">
        <v>494</v>
      </c>
      <c r="C208" s="7" t="str">
        <f t="shared" si="9"/>
        <v>PremiumSS4color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1"/>
        <v>color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IFERROR(VLOOKUP(B208,input_388105!L:R,7,FALSE),VLOOKUP(tables_388105!C208,input_388105!A:H,8,FALSE))</f>
        <v>729.6</v>
      </c>
      <c r="P208" s="46">
        <f ca="1">O208/SUM(O:O)</f>
        <v>2.850000000779293E-3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input_388105!A$2</f>
        <v>388105</v>
      </c>
      <c r="B209" s="6">
        <v>495</v>
      </c>
      <c r="C209" s="7" t="str">
        <f t="shared" si="9"/>
        <v>PremiumSS5color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1"/>
        <v>color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IFERROR(VLOOKUP(B209,input_388105!L:R,7,FALSE),VLOOKUP(tables_388105!C209,input_388105!A:H,8,FALSE))</f>
        <v>38.4</v>
      </c>
      <c r="P209" s="46">
        <f ca="1">O209/SUM(O:O)</f>
        <v>1.5000000004101541E-4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input_388105!A$2</f>
        <v>388105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1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IFERROR(VLOOKUP(B210,input_388105!L:R,7,FALSE),VLOOKUP(tables_388105!C210,input_388105!A:H,8,FALSE))</f>
        <v>0</v>
      </c>
      <c r="P210" s="46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input_388105!A$2</f>
        <v>388105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1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IFERROR(VLOOKUP(B211,input_388105!L:R,7,FALSE),VLOOKUP(tables_388105!C211,input_388105!A:H,8,FALSE))</f>
        <v>1425.76</v>
      </c>
      <c r="P211" s="46">
        <f ca="1">O211/SUM(O:O)</f>
        <v>5.5693750015228683E-3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input_388105!A$2</f>
        <v>388105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1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IFERROR(VLOOKUP(B212,input_388105!L:R,7,FALSE),VLOOKUP(tables_388105!C212,input_388105!A:H,8,FALSE))</f>
        <v>75.040000000000006</v>
      </c>
      <c r="P212" s="46">
        <f ca="1">O212/SUM(O:O)</f>
        <v>2.9312500008015098E-4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input_388105!A$2</f>
        <v>388105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1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IFERROR(VLOOKUP(B213,input_388105!L:R,7,FALSE),VLOOKUP(tables_388105!C213,input_388105!A:H,8,FALSE))</f>
        <v>152</v>
      </c>
      <c r="P213" s="46">
        <f ca="1">O213/SUM(O:O)</f>
        <v>5.9375000016235265E-4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input_388105!A$2</f>
        <v>388105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1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IFERROR(VLOOKUP(B214,input_388105!L:R,7,FALSE),VLOOKUP(tables_388105!C214,input_388105!A:H,8,FALSE))</f>
        <v>8</v>
      </c>
      <c r="P214" s="46">
        <f ca="1">O214/SUM(O:O)</f>
        <v>3.1250000008544876E-5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input_388105!A$2</f>
        <v>388105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1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IFERROR(VLOOKUP(B215,input_388105!L:R,7,FALSE),VLOOKUP(tables_388105!C215,input_388105!A:H,8,FALSE))</f>
        <v>152</v>
      </c>
      <c r="P215" s="46">
        <f ca="1">O215/SUM(O:O)</f>
        <v>5.9375000016235265E-4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input_388105!A$2</f>
        <v>388105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1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IFERROR(VLOOKUP(B216,input_388105!L:R,7,FALSE),VLOOKUP(tables_388105!C216,input_388105!A:H,8,FALSE))</f>
        <v>8</v>
      </c>
      <c r="P216" s="46">
        <f ca="1">O216/SUM(O:O)</f>
        <v>3.1250000008544876E-5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input_388105!A$2</f>
        <v>388105</v>
      </c>
      <c r="B217" s="6">
        <v>588</v>
      </c>
      <c r="C217" s="7" t="str">
        <f t="shared" si="9"/>
        <v>Premium3color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1"/>
        <v>color</v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IFERROR(VLOOKUP(B217,input_388105!L:R,7,FALSE),VLOOKUP(tables_388105!C217,input_388105!A:H,8,FALSE))</f>
        <v>0</v>
      </c>
      <c r="P217" s="46">
        <f ca="1">O217/SUM(O:O)</f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input_388105!A$2</f>
        <v>388105</v>
      </c>
      <c r="B218" s="6">
        <v>589</v>
      </c>
      <c r="C218" s="7" t="str">
        <f t="shared" si="9"/>
        <v>Premium4color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1"/>
        <v>color</v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IFERROR(VLOOKUP(B218,input_388105!L:R,7,FALSE),VLOOKUP(tables_388105!C218,input_388105!A:H,8,FALSE))</f>
        <v>6221.4981799999996</v>
      </c>
      <c r="P218" s="46">
        <f ca="1">O218/SUM(O:O)</f>
        <v>2.4302727272270241E-2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input_388105!A$2</f>
        <v>388105</v>
      </c>
      <c r="B219" s="6">
        <v>590</v>
      </c>
      <c r="C219" s="7" t="str">
        <f t="shared" si="9"/>
        <v>Premium5color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1"/>
        <v>color</v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IFERROR(VLOOKUP(B219,input_388105!L:R,7,FALSE),VLOOKUP(tables_388105!C219,input_388105!A:H,8,FALSE))</f>
        <v>327.44727</v>
      </c>
      <c r="P219" s="46">
        <f ca="1">O219/SUM(O:O)</f>
        <v>1.2790908987872496E-3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input_388105!A$2</f>
        <v>388105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1"/>
        <v/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IFERROR(VLOOKUP(B220,input_388105!L:R,7,FALSE),VLOOKUP(tables_388105!C220,input_388105!A:H,8,FALSE))</f>
        <v>0</v>
      </c>
      <c r="P220" s="46">
        <f ca="1">O220/SUM(O:O)</f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input_388105!A$2</f>
        <v>388105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1"/>
        <v/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IFERROR(VLOOKUP(B221,input_388105!L:R,7,FALSE),VLOOKUP(tables_388105!C221,input_388105!A:H,8,FALSE))</f>
        <v>1425.76</v>
      </c>
      <c r="P221" s="46">
        <f ca="1">O221/SUM(O:O)</f>
        <v>5.5693750015228683E-3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input_388105!A$2</f>
        <v>388105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1"/>
        <v/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IFERROR(VLOOKUP(B222,input_388105!L:R,7,FALSE),VLOOKUP(tables_388105!C222,input_388105!A:H,8,FALSE))</f>
        <v>75.040000000000006</v>
      </c>
      <c r="P222" s="46">
        <f ca="1">O222/SUM(O:O)</f>
        <v>2.9312500008015098E-4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input_388105!A$2</f>
        <v>388105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1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IFERROR(VLOOKUP(B223,input_388105!L:R,7,FALSE),VLOOKUP(tables_388105!C223,input_388105!A:H,8,FALSE))</f>
        <v>152</v>
      </c>
      <c r="P223" s="46">
        <f ca="1">O223/SUM(O:O)</f>
        <v>5.9375000016235265E-4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input_388105!A$2</f>
        <v>388105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1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IFERROR(VLOOKUP(B224,input_388105!L:R,7,FALSE),VLOOKUP(tables_388105!C224,input_388105!A:H,8,FALSE))</f>
        <v>8</v>
      </c>
      <c r="P224" s="46">
        <f ca="1">O224/SUM(O:O)</f>
        <v>3.1250000008544876E-5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input_388105!A$2</f>
        <v>388105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1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IFERROR(VLOOKUP(B225,input_388105!L:R,7,FALSE),VLOOKUP(tables_388105!C225,input_388105!A:H,8,FALSE))</f>
        <v>0</v>
      </c>
      <c r="P225" s="46">
        <f ca="1">O225/SUM(O:O)</f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input_388105!A$2</f>
        <v>388105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1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IFERROR(VLOOKUP(B226,input_388105!L:R,7,FALSE),VLOOKUP(tables_388105!C226,input_388105!A:H,8,FALSE))</f>
        <v>1425.76</v>
      </c>
      <c r="P226" s="46">
        <f ca="1">O226/SUM(O:O)</f>
        <v>5.5693750015228683E-3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input_388105!A$2</f>
        <v>388105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1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IFERROR(VLOOKUP(B227,input_388105!L:R,7,FALSE),VLOOKUP(tables_388105!C227,input_388105!A:H,8,FALSE))</f>
        <v>75.040000000000006</v>
      </c>
      <c r="P227" s="46">
        <f ca="1">O227/SUM(O:O)</f>
        <v>2.9312500008015098E-4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input_388105!A$2</f>
        <v>388105</v>
      </c>
      <c r="B228" s="6">
        <v>599</v>
      </c>
      <c r="C228" s="7" t="str">
        <f t="shared" si="9"/>
        <v>Premium3color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1"/>
        <v>color</v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IFERROR(VLOOKUP(B228,input_388105!L:R,7,FALSE),VLOOKUP(tables_388105!C228,input_388105!A:H,8,FALSE))</f>
        <v>0</v>
      </c>
      <c r="P228" s="46">
        <f ca="1">O228/SUM(O:O)</f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input_388105!A$2</f>
        <v>388105</v>
      </c>
      <c r="B229" s="6">
        <v>600</v>
      </c>
      <c r="C229" s="7" t="str">
        <f t="shared" si="9"/>
        <v>Premium4color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1"/>
        <v>color</v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IFERROR(VLOOKUP(B229,input_388105!L:R,7,FALSE),VLOOKUP(tables_388105!C229,input_388105!A:H,8,FALSE))</f>
        <v>6221.4981799999996</v>
      </c>
      <c r="P229" s="46">
        <f ca="1">O229/SUM(O:O)</f>
        <v>2.4302727272270241E-2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input_388105!A$2</f>
        <v>388105</v>
      </c>
      <c r="B230" s="6">
        <v>601</v>
      </c>
      <c r="C230" s="7" t="str">
        <f t="shared" si="9"/>
        <v>Premium5color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1"/>
        <v>color</v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IFERROR(VLOOKUP(B230,input_388105!L:R,7,FALSE),VLOOKUP(tables_388105!C230,input_388105!A:H,8,FALSE))</f>
        <v>327.44727</v>
      </c>
      <c r="P230" s="46">
        <f ca="1">O230/SUM(O:O)</f>
        <v>1.2790908987872496E-3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input_388105!A$2</f>
        <v>388105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1"/>
        <v/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IFERROR(VLOOKUP(B231,input_388105!L:R,7,FALSE),VLOOKUP(tables_388105!C231,input_388105!A:H,8,FALSE))</f>
        <v>152</v>
      </c>
      <c r="P231" s="46">
        <f ca="1">O231/SUM(O:O)</f>
        <v>5.9375000016235265E-4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input_388105!A$2</f>
        <v>388105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1"/>
        <v/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IFERROR(VLOOKUP(B232,input_388105!L:R,7,FALSE),VLOOKUP(tables_388105!C232,input_388105!A:H,8,FALSE))</f>
        <v>8</v>
      </c>
      <c r="P232" s="46">
        <f ca="1">O232/SUM(O:O)</f>
        <v>3.1250000008544876E-5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input_388105!A$2</f>
        <v>388105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1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IFERROR(VLOOKUP(B233,input_388105!L:R,7,FALSE),VLOOKUP(tables_388105!C233,input_388105!A:H,8,FALSE))</f>
        <v>0</v>
      </c>
      <c r="P233" s="46">
        <f ca="1">O233/SUM(O:O)</f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input_388105!A$2</f>
        <v>388105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1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IFERROR(VLOOKUP(B234,input_388105!L:R,7,FALSE),VLOOKUP(tables_388105!C234,input_388105!A:H,8,FALSE))</f>
        <v>1425.76</v>
      </c>
      <c r="P234" s="46">
        <f ca="1">O234/SUM(O:O)</f>
        <v>5.5693750015228683E-3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input_388105!A$2</f>
        <v>388105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1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IFERROR(VLOOKUP(B235,input_388105!L:R,7,FALSE),VLOOKUP(tables_388105!C235,input_388105!A:H,8,FALSE))</f>
        <v>75.040000000000006</v>
      </c>
      <c r="P235" s="46">
        <f ca="1">O235/SUM(O:O)</f>
        <v>2.9312500008015098E-4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input_388105!A$2</f>
        <v>388105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1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IFERROR(VLOOKUP(B236,input_388105!L:R,7,FALSE),VLOOKUP(tables_388105!C236,input_388105!A:H,8,FALSE))</f>
        <v>152</v>
      </c>
      <c r="P236" s="46">
        <f ca="1">O236/SUM(O:O)</f>
        <v>5.9375000016235265E-4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input_388105!A$2</f>
        <v>388105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1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IFERROR(VLOOKUP(B237,input_388105!L:R,7,FALSE),VLOOKUP(tables_388105!C237,input_388105!A:H,8,FALSE))</f>
        <v>8</v>
      </c>
      <c r="P237" s="46">
        <f ca="1">O237/SUM(O:O)</f>
        <v>3.1250000008544876E-5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input_388105!A$2</f>
        <v>388105</v>
      </c>
      <c r="B238" s="6">
        <v>660</v>
      </c>
      <c r="C238" s="7" t="str">
        <f t="shared" si="9"/>
        <v>PremiumSS4color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1"/>
        <v>color</v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IFERROR(VLOOKUP(B238,input_388105!L:R,7,FALSE),VLOOKUP(tables_388105!C238,input_388105!A:H,8,FALSE))</f>
        <v>729.6</v>
      </c>
      <c r="P238" s="46">
        <f ca="1">O238/SUM(O:O)</f>
        <v>2.850000000779293E-3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input_388105!A$2</f>
        <v>388105</v>
      </c>
      <c r="B239" s="6">
        <v>661</v>
      </c>
      <c r="C239" s="7" t="str">
        <f t="shared" si="9"/>
        <v>PremiumSS5color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1"/>
        <v>color</v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IFERROR(VLOOKUP(B239,input_388105!L:R,7,FALSE),VLOOKUP(tables_388105!C239,input_388105!A:H,8,FALSE))</f>
        <v>38.4</v>
      </c>
      <c r="P239" s="46">
        <f ca="1">O239/SUM(O:O)</f>
        <v>1.5000000004101541E-4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input_388105!A$2</f>
        <v>388105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1"/>
        <v/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IFERROR(VLOOKUP(B240,input_388105!L:R,7,FALSE),VLOOKUP(tables_388105!C240,input_388105!A:H,8,FALSE))</f>
        <v>0</v>
      </c>
      <c r="P240" s="46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input_388105!A$2</f>
        <v>388105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1"/>
        <v/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IFERROR(VLOOKUP(B241,input_388105!L:R,7,FALSE),VLOOKUP(tables_388105!C241,input_388105!A:H,8,FALSE))</f>
        <v>1425.76</v>
      </c>
      <c r="P241" s="46">
        <f ca="1">O241/SUM(O:O)</f>
        <v>5.5693750015228683E-3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input_388105!A$2</f>
        <v>388105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1"/>
        <v/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IFERROR(VLOOKUP(B242,input_388105!L:R,7,FALSE),VLOOKUP(tables_388105!C242,input_388105!A:H,8,FALSE))</f>
        <v>75.040000000000006</v>
      </c>
      <c r="P242" s="46">
        <f ca="1">O242/SUM(O:O)</f>
        <v>2.9312500008015098E-4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input_388105!A$2</f>
        <v>388105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1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IFERROR(VLOOKUP(B243,input_388105!L:R,7,FALSE),VLOOKUP(tables_388105!C243,input_388105!A:H,8,FALSE))</f>
        <v>0</v>
      </c>
      <c r="P243" s="46">
        <f ca="1">O243/SUM(O:O)</f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input_388105!A$2</f>
        <v>388105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1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IFERROR(VLOOKUP(B244,input_388105!L:R,7,FALSE),VLOOKUP(tables_388105!C244,input_388105!A:H,8,FALSE))</f>
        <v>1425.76</v>
      </c>
      <c r="P244" s="46">
        <f ca="1">O244/SUM(O:O)</f>
        <v>5.5693750015228683E-3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input_388105!A$2</f>
        <v>388105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1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IFERROR(VLOOKUP(B245,input_388105!L:R,7,FALSE),VLOOKUP(tables_388105!C245,input_388105!A:H,8,FALSE))</f>
        <v>75.040000000000006</v>
      </c>
      <c r="P245" s="46">
        <f ca="1">O245/SUM(O:O)</f>
        <v>2.9312500008015098E-4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input_388105!A$2</f>
        <v>388105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1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IFERROR(VLOOKUP(B246,input_388105!L:R,7,FALSE),VLOOKUP(tables_388105!C246,input_388105!A:H,8,FALSE))</f>
        <v>0</v>
      </c>
      <c r="P246" s="46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input_388105!A$2</f>
        <v>388105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1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IFERROR(VLOOKUP(B247,input_388105!L:R,7,FALSE),VLOOKUP(tables_388105!C247,input_388105!A:H,8,FALSE))</f>
        <v>1425.76</v>
      </c>
      <c r="P247" s="46">
        <f ca="1">O247/SUM(O:O)</f>
        <v>5.5693750015228683E-3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input_388105!A$2</f>
        <v>388105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1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IFERROR(VLOOKUP(B248,input_388105!L:R,7,FALSE),VLOOKUP(tables_388105!C248,input_388105!A:H,8,FALSE))</f>
        <v>75.040000000000006</v>
      </c>
      <c r="P248" s="46">
        <f ca="1">O248/SUM(O:O)</f>
        <v>2.9312500008015098E-4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input_388105!A$2</f>
        <v>388105</v>
      </c>
      <c r="B249" s="60">
        <v>671</v>
      </c>
      <c r="C249" s="7" t="str">
        <f t="shared" si="9"/>
        <v>Premium3color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1"/>
        <v>color</v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IFERROR(VLOOKUP(B249,input_388105!L:R,7,FALSE),VLOOKUP(tables_388105!C249,input_388105!A:H,8,FALSE))</f>
        <v>0</v>
      </c>
      <c r="P249" s="46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input_388105!A$2</f>
        <v>388105</v>
      </c>
      <c r="B250" s="60">
        <v>672</v>
      </c>
      <c r="C250" s="7" t="str">
        <f t="shared" si="9"/>
        <v>Premium4color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1"/>
        <v>color</v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IFERROR(VLOOKUP(B250,input_388105!L:R,7,FALSE),VLOOKUP(tables_388105!C250,input_388105!A:H,8,FALSE))</f>
        <v>6221.4981799999996</v>
      </c>
      <c r="P250" s="46">
        <f ca="1">O250/SUM(O:O)</f>
        <v>2.4302727272270241E-2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input_388105!A$2</f>
        <v>388105</v>
      </c>
      <c r="B251" s="60">
        <v>673</v>
      </c>
      <c r="C251" s="7" t="str">
        <f t="shared" si="9"/>
        <v>Premium5color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1"/>
        <v>color</v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IFERROR(VLOOKUP(B251,input_388105!L:R,7,FALSE),VLOOKUP(tables_388105!C251,input_388105!A:H,8,FALSE))</f>
        <v>327.44727</v>
      </c>
      <c r="P251" s="46">
        <f ca="1">O251/SUM(O:O)</f>
        <v>1.2790908987872496E-3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input_388105!A$2</f>
        <v>388105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1"/>
        <v/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IFERROR(VLOOKUP(B252,input_388105!L:R,7,FALSE),VLOOKUP(tables_388105!C252,input_388105!A:H,8,FALSE))</f>
        <v>152</v>
      </c>
      <c r="P252" s="46">
        <f ca="1">O252/SUM(O:O)</f>
        <v>5.9375000016235265E-4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input_388105!A$2</f>
        <v>388105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1"/>
        <v/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IFERROR(VLOOKUP(B253,input_388105!L:R,7,FALSE),VLOOKUP(tables_388105!C253,input_388105!A:H,8,FALSE))</f>
        <v>8</v>
      </c>
      <c r="P253" s="46">
        <f ca="1">O253/SUM(O:O)</f>
        <v>3.1250000008544876E-5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input_388105!A$2</f>
        <v>388105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1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IFERROR(VLOOKUP(B254,input_388105!L:R,7,FALSE),VLOOKUP(tables_388105!C254,input_388105!A:H,8,FALSE))</f>
        <v>152</v>
      </c>
      <c r="P254" s="46">
        <f ca="1">O254/SUM(O:O)</f>
        <v>5.9375000016235265E-4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input_388105!A$2</f>
        <v>388105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1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IFERROR(VLOOKUP(B255,input_388105!L:R,7,FALSE),VLOOKUP(tables_388105!C255,input_388105!A:H,8,FALSE))</f>
        <v>8</v>
      </c>
      <c r="P255" s="46">
        <f ca="1">O255/SUM(O:O)</f>
        <v>3.1250000008544876E-5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input_388105!A$2</f>
        <v>388105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 t="str">
        <f t="shared" si="11"/>
        <v/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IFERROR(VLOOKUP(B256,input_388105!L:R,7,FALSE),VLOOKUP(tables_388105!C256,input_388105!A:H,8,FALSE))</f>
        <v>1495.04</v>
      </c>
      <c r="P256" s="46">
        <f ca="1">O256/SUM(O:O)</f>
        <v>5.8400000015968664E-3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input_388105!A$2</f>
        <v>388105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 t="str">
        <f t="shared" si="11"/>
        <v/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IFERROR(VLOOKUP(B257,input_388105!L:R,7,FALSE),VLOOKUP(tables_388105!C257,input_388105!A:H,8,FALSE))</f>
        <v>5.76</v>
      </c>
      <c r="P257" s="46">
        <f ca="1">O257/SUM(O:O)</f>
        <v>2.250000000615231E-5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input_388105!A$2</f>
        <v>388105</v>
      </c>
      <c r="B258" s="60">
        <v>730</v>
      </c>
      <c r="C258" s="7" t="str">
        <f t="shared" ref="C258:C300" si="12">D258&amp;J258&amp;E258&amp;F258&amp;G258</f>
        <v>Premium4R3lesscolor</v>
      </c>
      <c r="D258" s="7" t="str">
        <f t="shared" ref="D258:D300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 t="str">
        <f t="shared" si="11"/>
        <v>color</v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IFERROR(VLOOKUP(B258,input_388105!L:R,7,FALSE),VLOOKUP(tables_388105!C258,input_388105!A:H,8,FALSE))</f>
        <v>6374.6327300000003</v>
      </c>
      <c r="P258" s="46">
        <f ca="1">O258/SUM(O:O)</f>
        <v>2.4900909108371307E-2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input_388105!A$2</f>
        <v>388105</v>
      </c>
      <c r="B259" s="60">
        <v>731</v>
      </c>
      <c r="C259" s="7" t="str">
        <f t="shared" si="12"/>
        <v>Premium5R3lesscolor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 t="str">
        <f t="shared" ref="G259:G300" si="14">IF(K259="green","color","")</f>
        <v>color</v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IFERROR(VLOOKUP(B259,input_388105!L:R,7,FALSE),VLOOKUP(tables_388105!C259,input_388105!A:H,8,FALSE))</f>
        <v>174.31272999999999</v>
      </c>
      <c r="P259" s="46">
        <f ca="1">O259/SUM(O:O)</f>
        <v>6.8090910174868505E-4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input_388105!A$2</f>
        <v>388105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 t="str">
        <f t="shared" si="14"/>
        <v/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IFERROR(VLOOKUP(B260,input_388105!L:R,7,FALSE),VLOOKUP(tables_388105!C260,input_388105!A:H,8,FALSE))</f>
        <v>160</v>
      </c>
      <c r="P260" s="46">
        <f ca="1">O260/SUM(O:O)</f>
        <v>6.2500000017089749E-4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input_388105!A$2</f>
        <v>388105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 t="str">
        <f t="shared" si="14"/>
        <v/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IFERROR(VLOOKUP(B261,input_388105!L:R,7,FALSE),VLOOKUP(tables_388105!C261,input_388105!A:H,8,FALSE))</f>
        <v>160</v>
      </c>
      <c r="P261" s="46">
        <f ca="1">O261/SUM(O:O)</f>
        <v>6.2500000017089749E-4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input_388105!A$2</f>
        <v>388105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4"/>
        <v/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IFERROR(VLOOKUP(B262,input_388105!L:R,7,FALSE),VLOOKUP(tables_388105!C262,input_388105!A:H,8,FALSE))</f>
        <v>152</v>
      </c>
      <c r="P262" s="46">
        <f ca="1">O262/SUM(O:O)</f>
        <v>5.9375000016235265E-4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input_388105!A$2</f>
        <v>388105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4"/>
        <v/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IFERROR(VLOOKUP(B263,input_388105!L:R,7,FALSE),VLOOKUP(tables_388105!C263,input_388105!A:H,8,FALSE))</f>
        <v>8</v>
      </c>
      <c r="P263" s="46">
        <f ca="1">O263/SUM(O:O)</f>
        <v>3.1250000008544876E-5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input_388105!A$2</f>
        <v>388105</v>
      </c>
      <c r="B264" s="60">
        <v>772</v>
      </c>
      <c r="C264" s="7" t="str">
        <f t="shared" si="12"/>
        <v>PremiumSS4color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4"/>
        <v>color</v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IFERROR(VLOOKUP(B264,input_388105!L:R,7,FALSE),VLOOKUP(tables_388105!C264,input_388105!A:H,8,FALSE))</f>
        <v>729.6</v>
      </c>
      <c r="P264" s="46">
        <f ca="1">O264/SUM(O:O)</f>
        <v>2.850000000779293E-3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input_388105!A$2</f>
        <v>388105</v>
      </c>
      <c r="B265" s="60">
        <v>773</v>
      </c>
      <c r="C265" s="7" t="str">
        <f t="shared" si="12"/>
        <v>PremiumSS5color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4"/>
        <v>color</v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IFERROR(VLOOKUP(B265,input_388105!L:R,7,FALSE),VLOOKUP(tables_388105!C265,input_388105!A:H,8,FALSE))</f>
        <v>38.4</v>
      </c>
      <c r="P265" s="46">
        <f ca="1">O265/SUM(O:O)</f>
        <v>1.5000000004101541E-4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input_388105!A$2</f>
        <v>388105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 t="str">
        <f t="shared" si="14"/>
        <v/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IFERROR(VLOOKUP(B266,input_388105!L:R,7,FALSE),VLOOKUP(tables_388105!C266,input_388105!A:H,8,FALSE))</f>
        <v>0</v>
      </c>
      <c r="P266" s="46">
        <f ca="1">O266/SUM(O:O)</f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input_388105!A$2</f>
        <v>388105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 t="str">
        <f t="shared" si="14"/>
        <v/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IFERROR(VLOOKUP(B267,input_388105!L:R,7,FALSE),VLOOKUP(tables_388105!C267,input_388105!A:H,8,FALSE))</f>
        <v>1425.76</v>
      </c>
      <c r="P267" s="46">
        <f ca="1">O267/SUM(O:O)</f>
        <v>5.5693750015228683E-3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input_388105!A$2</f>
        <v>388105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 t="str">
        <f t="shared" si="14"/>
        <v/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IFERROR(VLOOKUP(B268,input_388105!L:R,7,FALSE),VLOOKUP(tables_388105!C268,input_388105!A:H,8,FALSE))</f>
        <v>75.040000000000006</v>
      </c>
      <c r="P268" s="46">
        <f ca="1">O268/SUM(O:O)</f>
        <v>2.9312500008015098E-4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input_388105!A$2</f>
        <v>388105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 t="str">
        <f t="shared" si="14"/>
        <v/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IFERROR(VLOOKUP(B269,input_388105!L:R,7,FALSE),VLOOKUP(tables_388105!C269,input_388105!A:H,8,FALSE))</f>
        <v>0</v>
      </c>
      <c r="P269" s="46">
        <f ca="1">O269/SUM(O:O)</f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input_388105!A$2</f>
        <v>388105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 t="str">
        <f t="shared" si="14"/>
        <v/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IFERROR(VLOOKUP(B270,input_388105!L:R,7,FALSE),VLOOKUP(tables_388105!C270,input_388105!A:H,8,FALSE))</f>
        <v>1425.76</v>
      </c>
      <c r="P270" s="46">
        <f ca="1">O270/SUM(O:O)</f>
        <v>5.5693750015228683E-3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input_388105!A$2</f>
        <v>388105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 t="str">
        <f t="shared" si="14"/>
        <v/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IFERROR(VLOOKUP(B271,input_388105!L:R,7,FALSE),VLOOKUP(tables_388105!C271,input_388105!A:H,8,FALSE))</f>
        <v>75.040000000000006</v>
      </c>
      <c r="P271" s="46">
        <f ca="1">O271/SUM(O:O)</f>
        <v>2.9312500008015098E-4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input_388105!A$2</f>
        <v>388105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tr">
        <f t="shared" si="14"/>
        <v/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IFERROR(VLOOKUP(B272,input_388105!L:R,7,FALSE),VLOOKUP(tables_388105!C272,input_388105!A:H,8,FALSE))</f>
        <v>160</v>
      </c>
      <c r="P272" s="46">
        <f ca="1">O272/SUM(O:O)</f>
        <v>6.2500000017089749E-4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input_388105!A$2</f>
        <v>388105</v>
      </c>
      <c r="B273" s="83">
        <v>850</v>
      </c>
      <c r="C273" s="7" t="str">
        <f t="shared" si="12"/>
        <v>PremiumSS5R5onlycolor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 t="str">
        <f t="shared" si="14"/>
        <v>color</v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IFERROR(VLOOKUP(B273,input_388105!L:R,7,FALSE),VLOOKUP(tables_388105!C273,input_388105!A:H,8,FALSE))</f>
        <v>768</v>
      </c>
      <c r="P273" s="46">
        <f ca="1">O273/SUM(O:O)</f>
        <v>3.0000000008203083E-3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input_388105!A$2</f>
        <v>388105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tr">
        <f t="shared" si="14"/>
        <v/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IFERROR(VLOOKUP(B274,input_388105!L:R,7,FALSE),VLOOKUP(tables_388105!C274,input_388105!A:H,8,FALSE))</f>
        <v>1495.04</v>
      </c>
      <c r="P274" s="46">
        <f ca="1">O274/SUM(O:O)</f>
        <v>5.8400000015968664E-3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input_388105!A$2</f>
        <v>388105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tr">
        <f t="shared" si="14"/>
        <v/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IFERROR(VLOOKUP(B275,input_388105!L:R,7,FALSE),VLOOKUP(tables_388105!C275,input_388105!A:H,8,FALSE))</f>
        <v>5.76</v>
      </c>
      <c r="P275" s="46">
        <f ca="1">O275/SUM(O:O)</f>
        <v>2.250000000615231E-5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input_388105!A$2</f>
        <v>388105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tr">
        <f t="shared" si="14"/>
        <v/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IFERROR(VLOOKUP(B276,input_388105!L:R,7,FALSE),VLOOKUP(tables_388105!C276,input_388105!A:H,8,FALSE))</f>
        <v>1495.04</v>
      </c>
      <c r="P276" s="46">
        <f ca="1">O276/SUM(O:O)</f>
        <v>5.8400000015968664E-3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input_388105!A$2</f>
        <v>388105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tr">
        <f t="shared" si="14"/>
        <v/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IFERROR(VLOOKUP(B277,input_388105!L:R,7,FALSE),VLOOKUP(tables_388105!C277,input_388105!A:H,8,FALSE))</f>
        <v>5.76</v>
      </c>
      <c r="P277" s="46">
        <f ca="1">O277/SUM(O:O)</f>
        <v>2.250000000615231E-5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input_388105!A$2</f>
        <v>388105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tr">
        <f t="shared" si="14"/>
        <v/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IFERROR(VLOOKUP(B278,input_388105!L:R,7,FALSE),VLOOKUP(tables_388105!C278,input_388105!A:H,8,FALSE))</f>
        <v>1495.04</v>
      </c>
      <c r="P278" s="46">
        <f ca="1">O278/SUM(O:O)</f>
        <v>5.8400000015968664E-3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input_388105!A$2</f>
        <v>388105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tr">
        <f t="shared" si="14"/>
        <v/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IFERROR(VLOOKUP(B279,input_388105!L:R,7,FALSE),VLOOKUP(tables_388105!C279,input_388105!A:H,8,FALSE))</f>
        <v>5.76</v>
      </c>
      <c r="P279" s="46">
        <f ca="1">O279/SUM(O:O)</f>
        <v>2.250000000615231E-5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input_388105!A$2</f>
        <v>388105</v>
      </c>
      <c r="B280" s="83">
        <v>864</v>
      </c>
      <c r="C280" s="7" t="str">
        <f t="shared" si="12"/>
        <v>Premium4R3lesscolor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 t="str">
        <f t="shared" si="14"/>
        <v>color</v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IFERROR(VLOOKUP(B280,input_388105!L:R,7,FALSE),VLOOKUP(tables_388105!C280,input_388105!A:H,8,FALSE))</f>
        <v>6374.6327300000003</v>
      </c>
      <c r="P280" s="46">
        <f ca="1">O280/SUM(O:O)</f>
        <v>2.4900909108371307E-2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input_388105!A$2</f>
        <v>388105</v>
      </c>
      <c r="B281" s="83">
        <v>865</v>
      </c>
      <c r="C281" s="7" t="str">
        <f t="shared" si="12"/>
        <v>Premium5R3lesscolor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 t="str">
        <f t="shared" si="14"/>
        <v>color</v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IFERROR(VLOOKUP(B281,input_388105!L:R,7,FALSE),VLOOKUP(tables_388105!C281,input_388105!A:H,8,FALSE))</f>
        <v>174.31272999999999</v>
      </c>
      <c r="P281" s="46">
        <f ca="1">O281/SUM(O:O)</f>
        <v>6.8090910174868505E-4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input_388105!A$2</f>
        <v>388105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tr">
        <f t="shared" si="14"/>
        <v/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IFERROR(VLOOKUP(B282,input_388105!L:R,7,FALSE),VLOOKUP(tables_388105!C282,input_388105!A:H,8,FALSE))</f>
        <v>160</v>
      </c>
      <c r="P282" s="46">
        <f ca="1">O282/SUM(O:O)</f>
        <v>6.2500000017089749E-4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input_388105!A$2</f>
        <v>388105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tr">
        <f t="shared" si="14"/>
        <v/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IFERROR(VLOOKUP(B283,input_388105!L:R,7,FALSE),VLOOKUP(tables_388105!C283,input_388105!A:H,8,FALSE))</f>
        <v>160</v>
      </c>
      <c r="P283" s="46">
        <f ca="1">O283/SUM(O:O)</f>
        <v>6.2500000017089749E-4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input_388105!A$2</f>
        <v>388105</v>
      </c>
      <c r="B284" s="83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 t="str">
        <f t="shared" si="14"/>
        <v/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IFERROR(VLOOKUP(B284,input_388105!L:R,7,FALSE),VLOOKUP(tables_388105!C284,input_388105!A:H,8,FALSE))</f>
        <v>160</v>
      </c>
      <c r="P284" s="46">
        <f ca="1">O284/SUM(O:O)</f>
        <v>6.2500000017089749E-4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input_388105!A$2</f>
        <v>388105</v>
      </c>
      <c r="B285" s="83">
        <v>744</v>
      </c>
      <c r="C285" s="7" t="str">
        <f t="shared" si="12"/>
        <v>PremiumSS5R5onlycolor</v>
      </c>
      <c r="D285" s="7" t="str">
        <f t="shared" si="1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 t="str">
        <f t="shared" si="14"/>
        <v>color</v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IFERROR(VLOOKUP(B285,input_388105!L:R,7,FALSE),VLOOKUP(tables_388105!C285,input_388105!A:H,8,FALSE))</f>
        <v>768</v>
      </c>
      <c r="P285" s="46">
        <f ca="1">O285/SUM(O:O)</f>
        <v>3.0000000008203083E-3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input_388105!A$2</f>
        <v>388105</v>
      </c>
      <c r="B286" s="83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 t="str">
        <f t="shared" si="14"/>
        <v/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IFERROR(VLOOKUP(B286,input_388105!L:R,7,FALSE),VLOOKUP(tables_388105!C286,input_388105!A:H,8,FALSE))</f>
        <v>1495.04</v>
      </c>
      <c r="P286" s="46">
        <f ca="1">O286/SUM(O:O)</f>
        <v>5.8400000015968664E-3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input_388105!A$2</f>
        <v>388105</v>
      </c>
      <c r="B287" s="83">
        <v>747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 t="str">
        <f t="shared" si="14"/>
        <v/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IFERROR(VLOOKUP(B287,input_388105!L:R,7,FALSE),VLOOKUP(tables_388105!C287,input_388105!A:H,8,FALSE))</f>
        <v>5.76</v>
      </c>
      <c r="P287" s="46">
        <f ca="1">O287/SUM(O:O)</f>
        <v>2.250000000615231E-5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input_388105!A$2</f>
        <v>388105</v>
      </c>
      <c r="B288" s="83">
        <v>748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 t="str">
        <f t="shared" si="14"/>
        <v/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IFERROR(VLOOKUP(B288,input_388105!L:R,7,FALSE),VLOOKUP(tables_388105!C288,input_388105!A:H,8,FALSE))</f>
        <v>1495.04</v>
      </c>
      <c r="P288" s="46">
        <f ca="1">O288/SUM(O:O)</f>
        <v>5.8400000015968664E-3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input_388105!A$2</f>
        <v>388105</v>
      </c>
      <c r="B289" s="83">
        <v>749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 t="str">
        <f t="shared" si="14"/>
        <v/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IFERROR(VLOOKUP(B289,input_388105!L:R,7,FALSE),VLOOKUP(tables_388105!C289,input_388105!A:H,8,FALSE))</f>
        <v>5.76</v>
      </c>
      <c r="P289" s="46">
        <f ca="1">O289/SUM(O:O)</f>
        <v>2.250000000615231E-5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input_388105!A$2</f>
        <v>388105</v>
      </c>
      <c r="B290" s="83">
        <v>937</v>
      </c>
      <c r="C290" s="7" t="str">
        <f t="shared" si="12"/>
        <v>PremiumSS5R5only</v>
      </c>
      <c r="D290" s="7" t="str">
        <f t="shared" si="13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 t="str">
        <f t="shared" si="14"/>
        <v/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IFERROR(VLOOKUP(B290,input_388105!L:R,7,FALSE),VLOOKUP(tables_388105!C290,input_388105!A:H,8,FALSE))</f>
        <v>160</v>
      </c>
      <c r="P290" s="46">
        <f ca="1">O290/SUM(O:O)</f>
        <v>6.2500000017089749E-4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input_388105!A$2</f>
        <v>388105</v>
      </c>
      <c r="B291" s="83">
        <v>939</v>
      </c>
      <c r="C291" s="7" t="str">
        <f t="shared" si="12"/>
        <v>Premium4R3lesscolor</v>
      </c>
      <c r="D291" s="7" t="str">
        <f t="shared" si="13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 t="str">
        <f t="shared" si="14"/>
        <v>color</v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IFERROR(VLOOKUP(B291,input_388105!L:R,7,FALSE),VLOOKUP(tables_388105!C291,input_388105!A:H,8,FALSE))</f>
        <v>6374.6327300000003</v>
      </c>
      <c r="P291" s="46">
        <f ca="1">O291/SUM(O:O)</f>
        <v>2.4900909108371307E-2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input_388105!A$2</f>
        <v>388105</v>
      </c>
      <c r="B292" s="83">
        <v>940</v>
      </c>
      <c r="C292" s="7" t="str">
        <f t="shared" si="12"/>
        <v>Premium5R3lesscolor</v>
      </c>
      <c r="D292" s="7" t="str">
        <f t="shared" si="1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 t="str">
        <f t="shared" si="14"/>
        <v>color</v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IFERROR(VLOOKUP(B292,input_388105!L:R,7,FALSE),VLOOKUP(tables_388105!C292,input_388105!A:H,8,FALSE))</f>
        <v>174.31272999999999</v>
      </c>
      <c r="P292" s="46">
        <f ca="1">O292/SUM(O:O)</f>
        <v>6.8090910174868505E-4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input_388105!A$2</f>
        <v>388105</v>
      </c>
      <c r="B293" s="83">
        <v>941</v>
      </c>
      <c r="C293" s="7" t="str">
        <f t="shared" si="12"/>
        <v>PremiumSS5R5only</v>
      </c>
      <c r="D293" s="7" t="str">
        <f t="shared" si="1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 t="str">
        <f t="shared" si="14"/>
        <v/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IFERROR(VLOOKUP(B293,input_388105!L:R,7,FALSE),VLOOKUP(tables_388105!C293,input_388105!A:H,8,FALSE))</f>
        <v>160</v>
      </c>
      <c r="P293" s="46">
        <f ca="1">O293/SUM(O:O)</f>
        <v>6.2500000017089749E-4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input_388105!A$2</f>
        <v>388105</v>
      </c>
      <c r="B294" s="83">
        <v>943</v>
      </c>
      <c r="C294" s="7" t="str">
        <f t="shared" si="12"/>
        <v>PremiumSS5R5only</v>
      </c>
      <c r="D294" s="7" t="str">
        <f t="shared" si="1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 t="str">
        <f t="shared" si="14"/>
        <v/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IFERROR(VLOOKUP(B294,input_388105!L:R,7,FALSE),VLOOKUP(tables_388105!C294,input_388105!A:H,8,FALSE))</f>
        <v>160</v>
      </c>
      <c r="P294" s="46">
        <f ca="1">O294/SUM(O:O)</f>
        <v>6.2500000017089749E-4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input_388105!A$2</f>
        <v>388105</v>
      </c>
      <c r="B295" s="5">
        <v>1012</v>
      </c>
      <c r="C295" s="7" t="str">
        <f t="shared" si="12"/>
        <v>PremiumSS5R5only</v>
      </c>
      <c r="D295" s="7" t="str">
        <f t="shared" si="13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 t="str">
        <f t="shared" si="14"/>
        <v/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IFERROR(VLOOKUP(B295,input_388105!L:R,7,FALSE),VLOOKUP(tables_388105!C295,input_388105!A:H,8,FALSE))</f>
        <v>160</v>
      </c>
      <c r="P295" s="46">
        <f ca="1">O295/SUM(O:O)</f>
        <v>6.2500000017089749E-4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input_388105!A$2</f>
        <v>388105</v>
      </c>
      <c r="B296" s="5">
        <v>1014</v>
      </c>
      <c r="C296" s="7" t="str">
        <f t="shared" si="12"/>
        <v>PremiumSS5R5onlycolor</v>
      </c>
      <c r="D296" s="7" t="str">
        <f t="shared" si="13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 t="str">
        <f t="shared" si="14"/>
        <v>color</v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IFERROR(VLOOKUP(B296,input_388105!L:R,7,FALSE),VLOOKUP(tables_388105!C296,input_388105!A:H,8,FALSE))</f>
        <v>768</v>
      </c>
      <c r="P296" s="46">
        <f ca="1">O296/SUM(O:O)</f>
        <v>3.0000000008203083E-3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input_388105!A$2</f>
        <v>388105</v>
      </c>
      <c r="B297" s="5">
        <v>1016</v>
      </c>
      <c r="C297" s="7" t="str">
        <f t="shared" si="12"/>
        <v>Premium4R3less</v>
      </c>
      <c r="D297" s="7" t="str">
        <f t="shared" si="13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 t="str">
        <f t="shared" si="14"/>
        <v/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IFERROR(VLOOKUP(B297,input_388105!L:R,7,FALSE),VLOOKUP(tables_388105!C297,input_388105!A:H,8,FALSE))</f>
        <v>1495.04</v>
      </c>
      <c r="P297" s="46">
        <f ca="1">O297/SUM(O:O)</f>
        <v>5.8400000015968664E-3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input_388105!A$2</f>
        <v>388105</v>
      </c>
      <c r="B298" s="5">
        <v>1017</v>
      </c>
      <c r="C298" s="7" t="str">
        <f t="shared" si="12"/>
        <v>Premium5R3less</v>
      </c>
      <c r="D298" s="7" t="str">
        <f t="shared" si="13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 t="str">
        <f t="shared" si="14"/>
        <v/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IFERROR(VLOOKUP(B298,input_388105!L:R,7,FALSE),VLOOKUP(tables_388105!C298,input_388105!A:H,8,FALSE))</f>
        <v>5.76</v>
      </c>
      <c r="P298" s="46">
        <f ca="1">O298/SUM(O:O)</f>
        <v>2.250000000615231E-5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input_388105!A$2</f>
        <v>388105</v>
      </c>
      <c r="B299" s="5">
        <v>1018</v>
      </c>
      <c r="C299" s="7" t="str">
        <f t="shared" si="12"/>
        <v>PremiumSS5R5only</v>
      </c>
      <c r="D299" s="7" t="str">
        <f t="shared" si="13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 t="str">
        <f t="shared" si="14"/>
        <v/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IFERROR(VLOOKUP(B299,input_388105!L:R,7,FALSE),VLOOKUP(tables_388105!C299,input_388105!A:H,8,FALSE))</f>
        <v>160</v>
      </c>
      <c r="P299" s="46">
        <f ca="1">O299/SUM(O:O)</f>
        <v>6.2500000017089749E-4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input_388105!A$2</f>
        <v>388105</v>
      </c>
      <c r="B300" s="83">
        <v>958</v>
      </c>
      <c r="C300" s="7" t="str">
        <f t="shared" si="12"/>
        <v>PremiumSSS5R3lesscolor</v>
      </c>
      <c r="D300" s="7" t="str">
        <f t="shared" si="13"/>
        <v>PremiumSSS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 t="str">
        <f t="shared" si="14"/>
        <v>color</v>
      </c>
      <c r="H300" s="7" t="str">
        <f>VLOOKUP(B300,[1]characters!$A:$C,3,FALSE)</f>
        <v>ド・モルガン</v>
      </c>
      <c r="I300" s="7" t="str">
        <f>VLOOKUP(B300,[1]characters!$A:$J,10,FALSE)</f>
        <v>PremiumSSS</v>
      </c>
      <c r="J300" s="7">
        <f>VLOOKUP(B300,[1]characters!$A:$I,9,FALSE)</f>
        <v>5</v>
      </c>
      <c r="K300" s="7" t="str">
        <f>VLOOKUP(B300,[1]characters!$A:$H,8,FALSE)</f>
        <v>green</v>
      </c>
      <c r="L300" s="7" t="str">
        <f>VLOOKUP(B300,[1]characters!$A:$K,11,FALSE)</f>
        <v>balance</v>
      </c>
      <c r="M300" s="7" t="str">
        <f>VLOOKUP(B300,[1]characters!$A:$M,13,FALSE)</f>
        <v>academia</v>
      </c>
      <c r="N300" s="7" t="str">
        <f>VLOOKUP(B300,[1]characters!$A:$G,7,FALSE)</f>
        <v>男性</v>
      </c>
      <c r="O300" s="45">
        <f ca="1">IFERROR(VLOOKUP(B300,input_388105!L:R,7,FALSE),VLOOKUP(tables_388105!C300,input_388105!A:H,8,FALSE))</f>
        <v>3072</v>
      </c>
      <c r="P300" s="46">
        <f ca="1">O300/SUM(O:O)</f>
        <v>1.2000000003281233E-2</v>
      </c>
      <c r="Q300" s="89">
        <v>80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</sheetData>
  <autoFilter ref="A1:V300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63"/>
  <sheetViews>
    <sheetView topLeftCell="A17" workbookViewId="0">
      <selection activeCell="B40" sqref="B4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388100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VLOOKUP(L3,tables_388100!B:C,2,FALSE)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VLOOKUP(L4,tables_388100!B:C,2,FALSE)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6.2500000000000012E-4</v>
      </c>
      <c r="F5">
        <f>(COUNTIF(tables_388100!C:C,input_388100!A28)+COUNTIF(tables_388100!C:C,input_388100!A29))</f>
        <v>32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VLOOKUP(L5,tables_388100!B:C,2,FALSE)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3.0000000000000001E-3</v>
      </c>
      <c r="F6">
        <f>(COUNTIF(tables_388100!C:C,input_388100!A43)+COUNTIF(tables_388100!C:C,input_388100!A44))</f>
        <v>10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VLOOKUP(L6,tables_388100!B:C,2,FALSE)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5.8125E-3</v>
      </c>
      <c r="F7">
        <f>(COUNTIF(tables_388100!C:C,input_388100!A25)+COUNTIF(tables_388100!C:C,input_388100!A18)+COUNTIF(tables_388100!C:C,input_388100!A20)+COUNTIF(tables_388100!C:C,input_388100!A22))</f>
        <v>64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VLOOKUP(L7,tables_388100!B:C,2,FALSE)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2.5363636363636363E-2</v>
      </c>
      <c r="F8">
        <f>(COUNTIF(tables_388100!C:C,input_388100!A40)+COUNTIF(tables_388100!C:C,input_388100!A33)+COUNTIF(tables_388100!C:C,input_388100!A35)+COUNTIF(tables_388100!C:C,input_388100!A37))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VLOOKUP(L8,tables_388100!B:C,2,FALSE)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VLOOKUP(L9,tables_388100!B:C,2,FALSE)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0.92999999999999994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VLOOKUP(L10,tables_388100!B:C,2,FALSE)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0.05</v>
      </c>
      <c r="C11" t="s">
        <v>276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VLOOKUP(L11,tables_388100!B:C,2,FALSE)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0.02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VLOOKUP(L12,tables_388100!B:C,2,FALSE)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VLOOKUP(L13,tables_388100!B:C,2,FALSE)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VLOOKUP(L14,tables_388100!B:C,2,FALSE)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VLOOKUP(L15,tables_388100!B:C,2,FALSE)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VLOOKUP(L16,tables_388100!B:C,2,FALSE)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COUNTIF(tables_388100!C:C,input_388100!A17)-COUNTIF(Q:Q,A17)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VLOOKUP(L17,tables_388100!B:C,2,FALSE)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8.7187500000000001E-2</v>
      </c>
      <c r="C18" s="87">
        <f t="shared" si="2"/>
        <v>0</v>
      </c>
      <c r="D18" s="75">
        <f t="shared" si="3"/>
        <v>8.7187500000000001E-2</v>
      </c>
      <c r="E18">
        <f>COUNTIF(tables_388100!C:C,input_388100!A18)-COUNTIF(Q:Q,A18)</f>
        <v>15</v>
      </c>
      <c r="F18" s="43">
        <f>IFERROR(B18/E18,0)</f>
        <v>5.8125E-3</v>
      </c>
      <c r="G18">
        <f t="shared" si="4"/>
        <v>22320</v>
      </c>
      <c r="H18">
        <f t="shared" si="5"/>
        <v>1488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VLOOKUP(L18,tables_388100!B:C,2,FALSE)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COUNTIF(tables_388100!C:C,input_388100!A19)-COUNTIF(Q:Q,A19)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VLOOKUP(L19,tables_388100!B:C,2,FALSE)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0.21535312499999998</v>
      </c>
      <c r="C20" s="87">
        <f t="shared" si="2"/>
        <v>0</v>
      </c>
      <c r="D20" s="75">
        <f t="shared" si="3"/>
        <v>0.21535312499999998</v>
      </c>
      <c r="E20">
        <f>COUNTIF(tables_388100!C:C,input_388100!A20)-COUNTIF(Q:Q,A20)</f>
        <v>39</v>
      </c>
      <c r="F20" s="43">
        <f t="shared" si="8"/>
        <v>5.5218749999999999E-3</v>
      </c>
      <c r="G20">
        <f t="shared" si="4"/>
        <v>55130.399999999994</v>
      </c>
      <c r="H20">
        <f t="shared" si="5"/>
        <v>1413.6</v>
      </c>
      <c r="I20">
        <f t="shared" si="6"/>
        <v>0.59999999999990905</v>
      </c>
      <c r="J20">
        <f t="shared" si="7"/>
        <v>1.6666666666669192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VLOOKUP(L20,tables_388100!B:C,2,FALSE)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1.1334375000000001E-2</v>
      </c>
      <c r="C21" s="87">
        <f t="shared" si="2"/>
        <v>0</v>
      </c>
      <c r="D21" s="75">
        <f t="shared" si="3"/>
        <v>1.1334375000000001E-2</v>
      </c>
      <c r="E21">
        <f>COUNTIF(tables_388100!C:C,input_388100!A21)-COUNTIF(Q:Q,A21)</f>
        <v>39</v>
      </c>
      <c r="F21" s="43">
        <f t="shared" si="8"/>
        <v>2.9062500000000003E-4</v>
      </c>
      <c r="G21">
        <f t="shared" si="4"/>
        <v>2901.6000000000004</v>
      </c>
      <c r="H21">
        <f t="shared" si="5"/>
        <v>74.400000000000006</v>
      </c>
      <c r="I21">
        <f t="shared" si="6"/>
        <v>0.40000000000000568</v>
      </c>
      <c r="J21">
        <f t="shared" si="7"/>
        <v>2.4999999999999645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4.0425000000000003E-2</v>
      </c>
      <c r="C22" s="87">
        <f t="shared" si="2"/>
        <v>0</v>
      </c>
      <c r="D22" s="75">
        <f t="shared" si="3"/>
        <v>4.0425000000000003E-2</v>
      </c>
      <c r="E22">
        <f>COUNTIF(tables_388100!C:C,input_388100!A22)-COUNTIF(Q:Q,A22)</f>
        <v>7</v>
      </c>
      <c r="F22" s="43">
        <f t="shared" si="8"/>
        <v>5.7750000000000006E-3</v>
      </c>
      <c r="G22">
        <f t="shared" si="4"/>
        <v>10348.800000000001</v>
      </c>
      <c r="H22">
        <f t="shared" si="5"/>
        <v>1478.4</v>
      </c>
      <c r="I22">
        <f t="shared" si="6"/>
        <v>0.40000000000009095</v>
      </c>
      <c r="J22">
        <f t="shared" si="7"/>
        <v>2.4999999999994316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2.6250000000000058E-4</v>
      </c>
      <c r="C23" s="87">
        <f t="shared" si="2"/>
        <v>0</v>
      </c>
      <c r="D23" s="75">
        <f t="shared" si="3"/>
        <v>2.6250000000000058E-4</v>
      </c>
      <c r="E23">
        <f>COUNTIF(tables_388100!C:C,input_388100!A23)-COUNTIF(Q:Q,A23)</f>
        <v>7</v>
      </c>
      <c r="F23" s="43">
        <f t="shared" si="8"/>
        <v>3.7500000000000085E-5</v>
      </c>
      <c r="G23">
        <f t="shared" si="4"/>
        <v>67.200000000000145</v>
      </c>
      <c r="H23">
        <f t="shared" si="5"/>
        <v>9.6</v>
      </c>
      <c r="I23">
        <f t="shared" si="6"/>
        <v>0.59999999999999964</v>
      </c>
      <c r="J23">
        <f t="shared" si="7"/>
        <v>1.6666666666666676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7">
        <f t="shared" si="2"/>
        <v>0</v>
      </c>
      <c r="D24" s="75">
        <f t="shared" si="3"/>
        <v>0</v>
      </c>
      <c r="E24">
        <f>COUNTIF(tables_388100!C:C,input_388100!A24)-COUNTIF(Q:Q,A24)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1.6565625E-2</v>
      </c>
      <c r="C25" s="87">
        <f t="shared" si="2"/>
        <v>0</v>
      </c>
      <c r="D25" s="75">
        <f t="shared" si="3"/>
        <v>1.6565625E-2</v>
      </c>
      <c r="E25">
        <f>COUNTIF(tables_388100!C:C,input_388100!A25)-COUNTIF(Q:Q,A25)</f>
        <v>3</v>
      </c>
      <c r="F25" s="43">
        <f t="shared" si="8"/>
        <v>5.5218749999999999E-3</v>
      </c>
      <c r="G25">
        <f t="shared" si="4"/>
        <v>4240.8</v>
      </c>
      <c r="H25">
        <f t="shared" si="5"/>
        <v>1413.6</v>
      </c>
      <c r="I25">
        <f t="shared" si="6"/>
        <v>0.59999999999990905</v>
      </c>
      <c r="J25">
        <f t="shared" si="7"/>
        <v>1.6666666666669192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8.7187500000000004E-4</v>
      </c>
      <c r="C26" s="87">
        <f t="shared" si="2"/>
        <v>0</v>
      </c>
      <c r="D26" s="75">
        <f t="shared" si="3"/>
        <v>8.7187500000000004E-4</v>
      </c>
      <c r="E26">
        <f>COUNTIF(tables_388100!C:C,input_388100!A26)-COUNTIF(Q:Q,A26)</f>
        <v>3</v>
      </c>
      <c r="F26" s="43">
        <f t="shared" si="8"/>
        <v>2.9062500000000003E-4</v>
      </c>
      <c r="G26">
        <f t="shared" si="4"/>
        <v>223.20000000000002</v>
      </c>
      <c r="H26">
        <f t="shared" si="5"/>
        <v>74.400000000000006</v>
      </c>
      <c r="I26">
        <f t="shared" si="6"/>
        <v>0.40000000000000568</v>
      </c>
      <c r="J26">
        <f t="shared" si="7"/>
        <v>2.4999999999999645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1.2468750000000002E-2</v>
      </c>
      <c r="C27" s="87">
        <f t="shared" si="2"/>
        <v>0</v>
      </c>
      <c r="D27" s="75">
        <f t="shared" si="3"/>
        <v>1.2468750000000002E-2</v>
      </c>
      <c r="E27">
        <f>COUNTIF(tables_388100!C:C,input_388100!A27)-COUNTIF(Q:Q,A27)</f>
        <v>21</v>
      </c>
      <c r="F27" s="43">
        <f>IFERROR(B27/E27,0)</f>
        <v>5.9375000000000009E-4</v>
      </c>
      <c r="G27">
        <f t="shared" si="4"/>
        <v>3192.0000000000005</v>
      </c>
      <c r="H27">
        <f t="shared" si="5"/>
        <v>152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6.5625000000000015E-4</v>
      </c>
      <c r="C28" s="87">
        <f t="shared" si="2"/>
        <v>0</v>
      </c>
      <c r="D28" s="75">
        <f t="shared" si="3"/>
        <v>6.5625000000000015E-4</v>
      </c>
      <c r="E28">
        <f>COUNTIF(tables_388100!C:C,input_388100!A28)-COUNTIF(Q:Q,A28)</f>
        <v>21</v>
      </c>
      <c r="F28" s="43">
        <f t="shared" si="8"/>
        <v>3.1250000000000007E-5</v>
      </c>
      <c r="G28">
        <f t="shared" si="4"/>
        <v>168.00000000000003</v>
      </c>
      <c r="H28">
        <f t="shared" si="5"/>
        <v>8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6.8750000000000009E-3</v>
      </c>
      <c r="C29" s="87">
        <f t="shared" si="2"/>
        <v>0</v>
      </c>
      <c r="D29" s="75">
        <f t="shared" si="3"/>
        <v>6.8750000000000009E-3</v>
      </c>
      <c r="E29">
        <f>COUNTIF(tables_388100!C:C,input_388100!A29)-COUNTIF(Q:Q,A29)</f>
        <v>11</v>
      </c>
      <c r="F29" s="43">
        <f t="shared" si="8"/>
        <v>6.2500000000000012E-4</v>
      </c>
      <c r="G29">
        <f t="shared" si="4"/>
        <v>1760.0000000000002</v>
      </c>
      <c r="H29">
        <f t="shared" si="5"/>
        <v>160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COUNTIF(tables_388100!C:C,input_388100!A30)-COUNTIF(Q:Q,A30)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COUNTIF(tables_388100!C:C,input_388100!A31)-COUNTIF(Q:Q,A31)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COUNTIF(tables_388100!C:C,input_388100!A32)-COUNTIF(Q:Q,A32)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0.1268181818181818</v>
      </c>
      <c r="C33" s="87">
        <f t="shared" si="2"/>
        <v>0</v>
      </c>
      <c r="D33" s="75">
        <f t="shared" si="3"/>
        <v>0.1268181818181818</v>
      </c>
      <c r="E33">
        <f>COUNTIF(tables_388100!C:C,input_388100!A33)-COUNTIF(Q:Q,A33)</f>
        <v>5</v>
      </c>
      <c r="F33" s="43">
        <f>IFERROR(B33/E33,0)</f>
        <v>2.5363636363636359E-2</v>
      </c>
      <c r="G33">
        <f t="shared" si="4"/>
        <v>32465.45454545454</v>
      </c>
      <c r="H33">
        <f t="shared" si="5"/>
        <v>6493.0909099999999</v>
      </c>
      <c r="I33">
        <f t="shared" si="6"/>
        <v>9.0909999999894353E-2</v>
      </c>
      <c r="J33">
        <f t="shared" si="7"/>
        <v>10.999890001112773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COUNTIF(tables_388100!C:C,input_388100!A34)-COUNTIF(Q:Q,A34)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0.31324090909090907</v>
      </c>
      <c r="C35" s="87">
        <f t="shared" si="2"/>
        <v>0</v>
      </c>
      <c r="D35" s="75">
        <f t="shared" si="3"/>
        <v>0.31324090909090907</v>
      </c>
      <c r="E35">
        <f>COUNTIF(tables_388100!C:C,input_388100!A35)-COUNTIF(Q:Q,A35)</f>
        <v>13</v>
      </c>
      <c r="F35" s="43">
        <f t="shared" si="9"/>
        <v>2.4095454545454545E-2</v>
      </c>
      <c r="G35">
        <f t="shared" si="4"/>
        <v>80189.672727272715</v>
      </c>
      <c r="H35">
        <f t="shared" si="5"/>
        <v>6168.4363599999997</v>
      </c>
      <c r="I35">
        <f t="shared" si="6"/>
        <v>0.43635999999969499</v>
      </c>
      <c r="J35">
        <f t="shared" si="7"/>
        <v>2.2916857640496358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1.6486363636363636E-2</v>
      </c>
      <c r="C36" s="87">
        <f t="shared" si="2"/>
        <v>0</v>
      </c>
      <c r="D36" s="75">
        <f t="shared" si="3"/>
        <v>1.6486363636363636E-2</v>
      </c>
      <c r="E36">
        <f>COUNTIF(tables_388100!C:C,input_388100!A36)-COUNTIF(Q:Q,A36)</f>
        <v>13</v>
      </c>
      <c r="F36" s="43">
        <f t="shared" si="9"/>
        <v>1.268181818181818E-3</v>
      </c>
      <c r="G36">
        <f t="shared" si="4"/>
        <v>4220.5090909090904</v>
      </c>
      <c r="H36">
        <f t="shared" si="5"/>
        <v>324.65454999999997</v>
      </c>
      <c r="I36">
        <f t="shared" si="6"/>
        <v>0.65454999999997199</v>
      </c>
      <c r="J36">
        <f t="shared" si="7"/>
        <v>1.5277671682836189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7.3895454545454542E-2</v>
      </c>
      <c r="C37" s="87">
        <f t="shared" si="2"/>
        <v>0</v>
      </c>
      <c r="D37" s="75">
        <f t="shared" si="3"/>
        <v>7.3895454545454542E-2</v>
      </c>
      <c r="E37">
        <f>COUNTIF(tables_388100!C:C,input_388100!A37)-COUNTIF(Q:Q,A37)</f>
        <v>3</v>
      </c>
      <c r="F37" s="43">
        <f t="shared" si="9"/>
        <v>2.4631818181818182E-2</v>
      </c>
      <c r="G37">
        <f t="shared" si="4"/>
        <v>18917.236363636363</v>
      </c>
      <c r="H37">
        <f t="shared" si="5"/>
        <v>6305.7454500000003</v>
      </c>
      <c r="I37">
        <f t="shared" si="6"/>
        <v>0.74545000000034634</v>
      </c>
      <c r="J37">
        <f t="shared" si="7"/>
        <v>1.3414715943383666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B$7*0.6-B41-B43-B44-B36</f>
        <v>2.1954545454545456E-3</v>
      </c>
      <c r="C38" s="87">
        <f t="shared" si="2"/>
        <v>0</v>
      </c>
      <c r="D38" s="75">
        <f t="shared" si="3"/>
        <v>2.1954545454545456E-3</v>
      </c>
      <c r="E38">
        <f>COUNTIF(tables_388100!C:C,input_388100!A38)-COUNTIF(Q:Q,A38)</f>
        <v>3</v>
      </c>
      <c r="F38" s="43">
        <f t="shared" si="9"/>
        <v>7.3181818181818189E-4</v>
      </c>
      <c r="G38">
        <f t="shared" si="4"/>
        <v>562.03636363636372</v>
      </c>
      <c r="H38">
        <f t="shared" si="5"/>
        <v>187.34545</v>
      </c>
      <c r="I38">
        <f t="shared" si="6"/>
        <v>0.34544999999999959</v>
      </c>
      <c r="J38">
        <f t="shared" si="7"/>
        <v>2.8947749312490987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7">
        <f t="shared" si="2"/>
        <v>0</v>
      </c>
      <c r="D39" s="75">
        <f t="shared" si="3"/>
        <v>0</v>
      </c>
      <c r="E39">
        <f>COUNTIF(tables_388100!C:C,input_388100!A39)-COUNTIF(Q:Q,A39)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2.4095454545454545E-2</v>
      </c>
      <c r="C40" s="87">
        <f t="shared" si="2"/>
        <v>0</v>
      </c>
      <c r="D40" s="75">
        <f t="shared" si="3"/>
        <v>2.4095454545454545E-2</v>
      </c>
      <c r="E40">
        <f>COUNTIF(tables_388100!C:C,input_388100!A40)-COUNTIF(Q:Q,A40)</f>
        <v>1</v>
      </c>
      <c r="F40" s="43">
        <f t="shared" si="9"/>
        <v>2.4095454545454545E-2</v>
      </c>
      <c r="G40">
        <f t="shared" si="4"/>
        <v>6168.4363636363632</v>
      </c>
      <c r="H40">
        <f t="shared" si="5"/>
        <v>6168.4363599999997</v>
      </c>
      <c r="I40">
        <f t="shared" si="6"/>
        <v>0.43635999999969499</v>
      </c>
      <c r="J40">
        <f t="shared" si="7"/>
        <v>2.2916857640496358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1.2681818181818183E-3</v>
      </c>
      <c r="C41" s="87">
        <f t="shared" si="2"/>
        <v>0</v>
      </c>
      <c r="D41" s="75">
        <f t="shared" si="3"/>
        <v>1.2681818181818183E-3</v>
      </c>
      <c r="E41">
        <f>COUNTIF(tables_388100!C:C,input_388100!A41)-COUNTIF(Q:Q,A41)</f>
        <v>1</v>
      </c>
      <c r="F41" s="43">
        <f t="shared" si="9"/>
        <v>1.2681818181818183E-3</v>
      </c>
      <c r="G41">
        <f t="shared" si="4"/>
        <v>324.65454545454548</v>
      </c>
      <c r="H41">
        <f t="shared" si="5"/>
        <v>324.65454999999997</v>
      </c>
      <c r="I41">
        <f t="shared" si="6"/>
        <v>0.65454999999997199</v>
      </c>
      <c r="J41">
        <f t="shared" si="7"/>
        <v>1.5277671682836189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1.9949999999999999E-2</v>
      </c>
      <c r="C42" s="87">
        <f t="shared" si="2"/>
        <v>0</v>
      </c>
      <c r="D42" s="75">
        <f t="shared" si="3"/>
        <v>1.9949999999999999E-2</v>
      </c>
      <c r="E42">
        <f>COUNTIF(tables_388100!C:C,input_388100!A42)-COUNTIF(Q:Q,A42)</f>
        <v>7</v>
      </c>
      <c r="F42" s="43">
        <f>IFERROR(B42/E42,0)</f>
        <v>2.8499999999999997E-3</v>
      </c>
      <c r="G42">
        <f t="shared" si="4"/>
        <v>5107.2</v>
      </c>
      <c r="H42">
        <f t="shared" si="5"/>
        <v>729.6</v>
      </c>
      <c r="I42">
        <f t="shared" si="6"/>
        <v>0.60000000000002274</v>
      </c>
      <c r="J42">
        <f t="shared" si="7"/>
        <v>1.6666666666666035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1.0500000000000002E-3</v>
      </c>
      <c r="C43" s="87">
        <f t="shared" si="2"/>
        <v>0</v>
      </c>
      <c r="D43" s="75">
        <f t="shared" si="3"/>
        <v>1.0500000000000002E-3</v>
      </c>
      <c r="E43">
        <f>COUNTIF(tables_388100!C:C,input_388100!A43)-COUNTIF(Q:Q,A43)</f>
        <v>7</v>
      </c>
      <c r="F43" s="43">
        <f t="shared" ref="F43:F46" si="10">IFERROR(B43/E43,0)</f>
        <v>1.5000000000000001E-4</v>
      </c>
      <c r="G43">
        <f t="shared" si="4"/>
        <v>268.8</v>
      </c>
      <c r="H43">
        <f t="shared" si="5"/>
        <v>38.4</v>
      </c>
      <c r="I43">
        <f t="shared" si="6"/>
        <v>0.39999999999999858</v>
      </c>
      <c r="J43">
        <f t="shared" si="7"/>
        <v>2.5000000000000089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9.0000000000000011E-3</v>
      </c>
      <c r="C44" s="87">
        <f t="shared" si="2"/>
        <v>0</v>
      </c>
      <c r="D44" s="75">
        <f t="shared" si="3"/>
        <v>9.0000000000000011E-3</v>
      </c>
      <c r="E44">
        <f>COUNTIF(tables_388100!C:C,input_388100!A44)-COUNTIF(Q:Q,A44)</f>
        <v>3</v>
      </c>
      <c r="F44" s="43">
        <f t="shared" si="10"/>
        <v>3.0000000000000005E-3</v>
      </c>
      <c r="G44">
        <f t="shared" si="4"/>
        <v>2304.0000000000005</v>
      </c>
      <c r="H44">
        <f t="shared" si="5"/>
        <v>768</v>
      </c>
      <c r="I44">
        <f t="shared" si="6"/>
        <v>0</v>
      </c>
      <c r="J44">
        <f t="shared" si="7"/>
        <v>1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COUNTIF(tables_388100!C:C,input_388100!A45)-COUNTIF(Q:Q,A45)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0.02</v>
      </c>
      <c r="C46" s="87">
        <f t="shared" si="2"/>
        <v>0</v>
      </c>
      <c r="D46" s="75">
        <f t="shared" si="3"/>
        <v>0.02</v>
      </c>
      <c r="E46">
        <f>COUNTIF(tables_388100!C:C,input_388100!A46)-COUNTIF(Q:Q,A46)</f>
        <v>1</v>
      </c>
      <c r="F46" s="43">
        <f t="shared" si="10"/>
        <v>0.02</v>
      </c>
      <c r="G46">
        <f t="shared" si="4"/>
        <v>5120</v>
      </c>
      <c r="H46">
        <f t="shared" si="5"/>
        <v>5120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1.0000000000000002</v>
      </c>
      <c r="C47" s="41">
        <f>SUM(C19:C31)</f>
        <v>0</v>
      </c>
      <c r="D47" s="42">
        <f t="shared" si="3"/>
        <v>1.0000000000000002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256000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SUMIF(tables_388100!C:C,input_388100!A55,tables_388100!O:O)</f>
        <v>0</v>
      </c>
      <c r="C55" s="54">
        <f t="shared" ref="C55:C61" ca="1" si="11">B55/B$62</f>
        <v>0</v>
      </c>
      <c r="E55">
        <v>3</v>
      </c>
      <c r="F55">
        <f ca="1">SUMIF(tables_388100!J:J,input_388100!E55,tables_388100!O:O)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SUMIF(tables_388100!C:C,input_388100!A56,tables_388100!O:O)</f>
        <v>55130.399999999965</v>
      </c>
      <c r="C56" s="54">
        <f t="shared" ca="1" si="11"/>
        <v>0.89800625488663</v>
      </c>
      <c r="E56">
        <v>4</v>
      </c>
      <c r="F56">
        <f ca="1">SUMIF(tables_388100!J:J,input_388100!E56,tables_388100!O:O)</f>
        <v>238079.9999400001</v>
      </c>
      <c r="G56">
        <f ca="1">F56/A51</f>
        <v>0.92999999976562542</v>
      </c>
    </row>
    <row r="57" spans="1:7" x14ac:dyDescent="0.15">
      <c r="A57" s="33" t="s">
        <v>109</v>
      </c>
      <c r="B57">
        <f ca="1">SUMIF(tables_388100!C:C,input_388100!A57,tables_388100!O:O)</f>
        <v>3192</v>
      </c>
      <c r="C57" s="54">
        <f t="shared" ca="1" si="11"/>
        <v>5.1993745113369842E-2</v>
      </c>
      <c r="E57">
        <v>5</v>
      </c>
      <c r="F57">
        <f ca="1">SUMIF(tables_388100!J:J,input_388100!E57,tables_388100!O:O)</f>
        <v>17920.000049999995</v>
      </c>
      <c r="G57">
        <f ca="1">F57/A51</f>
        <v>7.0000000195312481E-2</v>
      </c>
    </row>
    <row r="58" spans="1:7" x14ac:dyDescent="0.15">
      <c r="A58" s="33" t="s">
        <v>113</v>
      </c>
      <c r="B58">
        <f>SUMIF(tables_388100!C:C,input_388100!A58,tables_388100!O:O)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SUMIF(tables_388100!C:C,input_388100!A59,tables_388100!O:O)</f>
        <v>2901.6000000000022</v>
      </c>
      <c r="C59" s="54">
        <f t="shared" ca="1" si="11"/>
        <v>4.7263487099296383E-2</v>
      </c>
      <c r="E59" t="s">
        <v>55</v>
      </c>
      <c r="F59" s="55"/>
    </row>
    <row r="60" spans="1:7" x14ac:dyDescent="0.15">
      <c r="A60" s="33" t="s">
        <v>110</v>
      </c>
      <c r="B60">
        <f ca="1">SUMIF(tables_388100!C:C,input_388100!A60,tables_388100!O:O)</f>
        <v>168</v>
      </c>
      <c r="C60" s="54">
        <f t="shared" ca="1" si="11"/>
        <v>2.7365129007036761E-3</v>
      </c>
      <c r="E60" t="s">
        <v>210</v>
      </c>
      <c r="F60" s="55">
        <f ca="1">SUMIF(tables_388100!I:I,input_388100!E60,tables_388100!P:P)</f>
        <v>0.21400568184429714</v>
      </c>
    </row>
    <row r="61" spans="1:7" x14ac:dyDescent="0.15">
      <c r="A61" s="33" t="s">
        <v>111</v>
      </c>
      <c r="B61">
        <f>SUMIF(tables_388100!C:C,input_388100!A61,tables_388100!O:O)</f>
        <v>0</v>
      </c>
      <c r="C61" s="54">
        <f t="shared" ca="1" si="11"/>
        <v>0</v>
      </c>
      <c r="E61" t="s">
        <v>211</v>
      </c>
      <c r="F61" s="55">
        <f ca="1">SUMIF(tables_388100!I:I,input_388100!E61,tables_388100!P:P)</f>
        <v>0.21400568184429705</v>
      </c>
    </row>
    <row r="62" spans="1:7" x14ac:dyDescent="0.15">
      <c r="A62" s="39" t="s">
        <v>60</v>
      </c>
      <c r="B62">
        <f ca="1">SUM(B55:B61)</f>
        <v>61391.999999999971</v>
      </c>
      <c r="C62" s="55">
        <f ca="1">SUM(C55:C61)</f>
        <v>0.99999999999999989</v>
      </c>
      <c r="E62" t="s">
        <v>212</v>
      </c>
      <c r="F62" s="55">
        <f ca="1">SUMIF(tables_388100!I:I,input_388100!E62,tables_388100!P:P)</f>
        <v>0.50198863630867174</v>
      </c>
    </row>
    <row r="63" spans="1:7" x14ac:dyDescent="0.15">
      <c r="E63" t="s">
        <v>213</v>
      </c>
      <c r="F63" s="55">
        <f ca="1">SUMIF(tables_388100!I:I,input_388100!E63,tables_388100!P:P)</f>
        <v>5.0000000001953121E-2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00"/>
  <sheetViews>
    <sheetView showGridLines="0" tabSelected="1" zoomScale="75" zoomScaleNormal="75" zoomScalePageLayoutView="75" workbookViewId="0">
      <pane ySplit="1" topLeftCell="A277" activePane="bottomLeft" state="frozen"/>
      <selection activeCell="Q291" sqref="Q291"/>
      <selection pane="bottomLeft" activeCell="F303" sqref="F30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input_388100!A$2</f>
        <v>388100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>IF(K2="green","color","")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IFERROR(VLOOKUP(B2,input_388100!L:R,7,FALSE),VLOOKUP(tables_388100!C2,input_388100!A:H,8,FALSE))</f>
        <v>0</v>
      </c>
      <c r="P2" s="46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input_388100!A$2</f>
        <v>388100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ref="G3:G66" si="2">IF(K3="green","color","")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IFERROR(VLOOKUP(B3,input_388100!L:R,7,FALSE),VLOOKUP(tables_388100!C3,input_388100!A:H,8,FALSE))</f>
        <v>1488</v>
      </c>
      <c r="P3" s="46">
        <f ca="1">O3/SUM(O:O)</f>
        <v>5.8125000002270527E-3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input_388100!A$2</f>
        <v>388100</v>
      </c>
      <c r="B4" s="6">
        <v>128</v>
      </c>
      <c r="C4" s="7" t="str">
        <f t="shared" si="0"/>
        <v>PremiumW3color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>color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IFERROR(VLOOKUP(B4,input_388100!L:R,7,FALSE),VLOOKUP(tables_388100!C4,input_388100!A:H,8,FALSE))</f>
        <v>0</v>
      </c>
      <c r="P4" s="46">
        <f ca="1">O4/SUM(O:O)</f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input_388100!A$2</f>
        <v>388100</v>
      </c>
      <c r="B5" s="6">
        <v>129</v>
      </c>
      <c r="C5" s="7" t="str">
        <f t="shared" si="0"/>
        <v>PremiumW4color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>color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IFERROR(VLOOKUP(B5,input_388100!L:R,7,FALSE),VLOOKUP(tables_388100!C5,input_388100!A:H,8,FALSE))</f>
        <v>6493.0909099999999</v>
      </c>
      <c r="P5" s="46">
        <f ca="1">O5/SUM(O:O)</f>
        <v>2.5363636368178274E-2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input_388100!A$2</f>
        <v>388100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IFERROR(VLOOKUP(B6,input_388100!L:R,7,FALSE),VLOOKUP(tables_388100!C6,input_388100!A:H,8,FALSE))</f>
        <v>0</v>
      </c>
      <c r="P6" s="46">
        <f ca="1">O6/SUM(O:O)</f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input_388100!A$2</f>
        <v>388100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IFERROR(VLOOKUP(B7,input_388100!L:R,7,FALSE),VLOOKUP(tables_388100!C7,input_388100!A:H,8,FALSE))</f>
        <v>1488</v>
      </c>
      <c r="P7" s="46">
        <f ca="1">O7/SUM(O:O)</f>
        <v>5.8125000002270527E-3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input_388100!A$2</f>
        <v>388100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IFERROR(VLOOKUP(B8,input_388100!L:R,7,FALSE),VLOOKUP(tables_388100!C8,input_388100!A:H,8,FALSE))</f>
        <v>0</v>
      </c>
      <c r="P8" s="46">
        <f ca="1">O8/SUM(O:O)</f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input_388100!A$2</f>
        <v>388100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IFERROR(VLOOKUP(B9,input_388100!L:R,7,FALSE),VLOOKUP(tables_388100!C9,input_388100!A:H,8,FALSE))</f>
        <v>1488</v>
      </c>
      <c r="P9" s="46">
        <f ca="1">O9/SUM(O:O)</f>
        <v>5.8125000002270527E-3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input_388100!A$2</f>
        <v>388100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IFERROR(VLOOKUP(B10,input_388100!L:R,7,FALSE),VLOOKUP(tables_388100!C10,input_388100!A:H,8,FALSE))</f>
        <v>0</v>
      </c>
      <c r="P10" s="46">
        <f ca="1">O10/SUM(O:O)</f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input_388100!A$2</f>
        <v>388100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IFERROR(VLOOKUP(B11,input_388100!L:R,7,FALSE),VLOOKUP(tables_388100!C11,input_388100!A:H,8,FALSE))</f>
        <v>1488</v>
      </c>
      <c r="P11" s="46">
        <f ca="1">O11/SUM(O:O)</f>
        <v>5.8125000002270527E-3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input_388100!A$2</f>
        <v>388100</v>
      </c>
      <c r="B12" s="8">
        <v>136</v>
      </c>
      <c r="C12" s="7" t="str">
        <f t="shared" si="0"/>
        <v>PremiumW3color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>color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IFERROR(VLOOKUP(B12,input_388100!L:R,7,FALSE),VLOOKUP(tables_388100!C12,input_388100!A:H,8,FALSE))</f>
        <v>0</v>
      </c>
      <c r="P12" s="46">
        <f ca="1">O12/SUM(O:O)</f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input_388100!A$2</f>
        <v>388100</v>
      </c>
      <c r="B13" s="8">
        <v>137</v>
      </c>
      <c r="C13" s="7" t="str">
        <f t="shared" si="0"/>
        <v>PremiumW4color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>color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IFERROR(VLOOKUP(B13,input_388100!L:R,7,FALSE),VLOOKUP(tables_388100!C13,input_388100!A:H,8,FALSE))</f>
        <v>6493.0909099999999</v>
      </c>
      <c r="P13" s="46">
        <f ca="1">O13/SUM(O:O)</f>
        <v>2.5363636368178274E-2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input_388100!A$2</f>
        <v>388100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IFERROR(VLOOKUP(B14,input_388100!L:R,7,FALSE),VLOOKUP(tables_388100!C14,input_388100!A:H,8,FALSE))</f>
        <v>0</v>
      </c>
      <c r="P14" s="46">
        <f ca="1">O14/SUM(O:O)</f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input_388100!A$2</f>
        <v>388100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IFERROR(VLOOKUP(B15,input_388100!L:R,7,FALSE),VLOOKUP(tables_388100!C15,input_388100!A:H,8,FALSE))</f>
        <v>1488</v>
      </c>
      <c r="P15" s="46">
        <f ca="1">O15/SUM(O:O)</f>
        <v>5.8125000002270527E-3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input_388100!A$2</f>
        <v>388100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IFERROR(VLOOKUP(B16,input_388100!L:R,7,FALSE),VLOOKUP(tables_388100!C16,input_388100!A:H,8,FALSE))</f>
        <v>0</v>
      </c>
      <c r="P16" s="46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input_388100!A$2</f>
        <v>388100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IFERROR(VLOOKUP(B17,input_388100!L:R,7,FALSE),VLOOKUP(tables_388100!C17,input_388100!A:H,8,FALSE))</f>
        <v>1488</v>
      </c>
      <c r="P17" s="46">
        <f ca="1">O17/SUM(O:O)</f>
        <v>5.8125000002270527E-3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input_388100!A$2</f>
        <v>388100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IFERROR(VLOOKUP(B18,input_388100!L:R,7,FALSE),VLOOKUP(tables_388100!C18,input_388100!A:H,8,FALSE))</f>
        <v>0</v>
      </c>
      <c r="P18" s="46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input_388100!A$2</f>
        <v>388100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IFERROR(VLOOKUP(B19,input_388100!L:R,7,FALSE),VLOOKUP(tables_388100!C19,input_388100!A:H,8,FALSE))</f>
        <v>1488</v>
      </c>
      <c r="P19" s="46">
        <f ca="1">O19/SUM(O:O)</f>
        <v>5.8125000002270527E-3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input_388100!A$2</f>
        <v>388100</v>
      </c>
      <c r="B20" s="10">
        <v>144</v>
      </c>
      <c r="C20" s="7" t="str">
        <f t="shared" si="0"/>
        <v>PremiumW3color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>color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IFERROR(VLOOKUP(B20,input_388100!L:R,7,FALSE),VLOOKUP(tables_388100!C20,input_388100!A:H,8,FALSE))</f>
        <v>0</v>
      </c>
      <c r="P20" s="46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input_388100!A$2</f>
        <v>388100</v>
      </c>
      <c r="B21" s="6">
        <v>145</v>
      </c>
      <c r="C21" s="7" t="str">
        <f t="shared" si="0"/>
        <v>PremiumW4color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>color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IFERROR(VLOOKUP(B21,input_388100!L:R,7,FALSE),VLOOKUP(tables_388100!C21,input_388100!A:H,8,FALSE))</f>
        <v>6493.0909099999999</v>
      </c>
      <c r="P21" s="46">
        <f ca="1">O21/SUM(O:O)</f>
        <v>2.5363636368178274E-2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input_388100!A$2</f>
        <v>388100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IFERROR(VLOOKUP(B22,input_388100!L:R,7,FALSE),VLOOKUP(tables_388100!C22,input_388100!A:H,8,FALSE))</f>
        <v>0</v>
      </c>
      <c r="P22" s="46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input_388100!A$2</f>
        <v>388100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IFERROR(VLOOKUP(B23,input_388100!L:R,7,FALSE),VLOOKUP(tables_388100!C23,input_388100!A:H,8,FALSE))</f>
        <v>1488</v>
      </c>
      <c r="P23" s="46">
        <f ca="1">O23/SUM(O:O)</f>
        <v>5.8125000002270527E-3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input_388100!A$2</f>
        <v>388100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IFERROR(VLOOKUP(B24,input_388100!L:R,7,FALSE),VLOOKUP(tables_388100!C24,input_388100!A:H,8,FALSE))</f>
        <v>0</v>
      </c>
      <c r="P24" s="46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input_388100!A$2</f>
        <v>388100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IFERROR(VLOOKUP(B25,input_388100!L:R,7,FALSE),VLOOKUP(tables_388100!C25,input_388100!A:H,8,FALSE))</f>
        <v>1488</v>
      </c>
      <c r="P25" s="46">
        <f ca="1">O25/SUM(O:O)</f>
        <v>5.8125000002270527E-3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input_388100!A$2</f>
        <v>388100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IFERROR(VLOOKUP(B26,input_388100!L:R,7,FALSE),VLOOKUP(tables_388100!C26,input_388100!A:H,8,FALSE))</f>
        <v>0</v>
      </c>
      <c r="P26" s="46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input_388100!A$2</f>
        <v>388100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IFERROR(VLOOKUP(B27,input_388100!L:R,7,FALSE),VLOOKUP(tables_388100!C27,input_388100!A:H,8,FALSE))</f>
        <v>1488</v>
      </c>
      <c r="P27" s="46">
        <f ca="1">O27/SUM(O:O)</f>
        <v>5.8125000002270527E-3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input_388100!A$2</f>
        <v>388100</v>
      </c>
      <c r="B28" s="6">
        <v>152</v>
      </c>
      <c r="C28" s="7" t="str">
        <f t="shared" si="0"/>
        <v>PremiumW3color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>color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IFERROR(VLOOKUP(B28,input_388100!L:R,7,FALSE),VLOOKUP(tables_388100!C28,input_388100!A:H,8,FALSE))</f>
        <v>0</v>
      </c>
      <c r="P28" s="46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input_388100!A$2</f>
        <v>388100</v>
      </c>
      <c r="B29" s="6">
        <v>153</v>
      </c>
      <c r="C29" s="7" t="str">
        <f t="shared" si="0"/>
        <v>PremiumW4color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>color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IFERROR(VLOOKUP(B29,input_388100!L:R,7,FALSE),VLOOKUP(tables_388100!C29,input_388100!A:H,8,FALSE))</f>
        <v>6493.0909099999999</v>
      </c>
      <c r="P29" s="46">
        <f ca="1">O29/SUM(O:O)</f>
        <v>2.5363636368178274E-2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input_388100!A$2</f>
        <v>388100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IFERROR(VLOOKUP(B30,input_388100!L:R,7,FALSE),VLOOKUP(tables_388100!C30,input_388100!A:H,8,FALSE))</f>
        <v>0</v>
      </c>
      <c r="P30" s="46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input_388100!A$2</f>
        <v>388100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IFERROR(VLOOKUP(B31,input_388100!L:R,7,FALSE),VLOOKUP(tables_388100!C31,input_388100!A:H,8,FALSE))</f>
        <v>1488</v>
      </c>
      <c r="P31" s="46">
        <f ca="1">O31/SUM(O:O)</f>
        <v>5.8125000002270527E-3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input_388100!A$2</f>
        <v>388100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IFERROR(VLOOKUP(B32,input_388100!L:R,7,FALSE),VLOOKUP(tables_388100!C32,input_388100!A:H,8,FALSE))</f>
        <v>0</v>
      </c>
      <c r="P32" s="46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input_388100!A$2</f>
        <v>388100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IFERROR(VLOOKUP(B33,input_388100!L:R,7,FALSE),VLOOKUP(tables_388100!C33,input_388100!A:H,8,FALSE))</f>
        <v>1488</v>
      </c>
      <c r="P33" s="46">
        <f ca="1">O33/SUM(O:O)</f>
        <v>5.8125000002270527E-3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input_388100!A$2</f>
        <v>388100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IFERROR(VLOOKUP(B34,input_388100!L:R,7,FALSE),VLOOKUP(tables_388100!C34,input_388100!A:H,8,FALSE))</f>
        <v>0</v>
      </c>
      <c r="P34" s="46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input_388100!A$2</f>
        <v>388100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IFERROR(VLOOKUP(B35,input_388100!L:R,7,FALSE),VLOOKUP(tables_388100!C35,input_388100!A:H,8,FALSE))</f>
        <v>1488</v>
      </c>
      <c r="P35" s="46">
        <f ca="1">O35/SUM(O:O)</f>
        <v>5.8125000002270527E-3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input_388100!A$2</f>
        <v>388100</v>
      </c>
      <c r="B36" s="6">
        <v>160</v>
      </c>
      <c r="C36" s="7" t="str">
        <f t="shared" si="0"/>
        <v>PremiumW3color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>color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IFERROR(VLOOKUP(B36,input_388100!L:R,7,FALSE),VLOOKUP(tables_388100!C36,input_388100!A:H,8,FALSE))</f>
        <v>0</v>
      </c>
      <c r="P36" s="46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input_388100!A$2</f>
        <v>388100</v>
      </c>
      <c r="B37" s="6">
        <v>161</v>
      </c>
      <c r="C37" s="7" t="str">
        <f t="shared" si="0"/>
        <v>PremiumW4color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>color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IFERROR(VLOOKUP(B37,input_388100!L:R,7,FALSE),VLOOKUP(tables_388100!C37,input_388100!A:H,8,FALSE))</f>
        <v>6493.0909099999999</v>
      </c>
      <c r="P37" s="46">
        <f ca="1">O37/SUM(O:O)</f>
        <v>2.5363636368178274E-2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input_388100!A$2</f>
        <v>388100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IFERROR(VLOOKUP(B38,input_388100!L:R,7,FALSE),VLOOKUP(tables_388100!C38,input_388100!A:H,8,FALSE))</f>
        <v>0</v>
      </c>
      <c r="P38" s="46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input_388100!A$2</f>
        <v>388100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IFERROR(VLOOKUP(B39,input_388100!L:R,7,FALSE),VLOOKUP(tables_388100!C39,input_388100!A:H,8,FALSE))</f>
        <v>1488</v>
      </c>
      <c r="P39" s="46">
        <f ca="1">O39/SUM(O:O)</f>
        <v>5.8125000002270527E-3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input_388100!A$2</f>
        <v>388100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IFERROR(VLOOKUP(B40,input_388100!L:R,7,FALSE),VLOOKUP(tables_388100!C40,input_388100!A:H,8,FALSE))</f>
        <v>0</v>
      </c>
      <c r="P40" s="46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input_388100!A$2</f>
        <v>388100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IFERROR(VLOOKUP(B41,input_388100!L:R,7,FALSE),VLOOKUP(tables_388100!C41,input_388100!A:H,8,FALSE))</f>
        <v>1488</v>
      </c>
      <c r="P41" s="46">
        <f ca="1">O41/SUM(O:O)</f>
        <v>5.8125000002270527E-3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input_388100!A$2</f>
        <v>388100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IFERROR(VLOOKUP(B42,input_388100!L:R,7,FALSE),VLOOKUP(tables_388100!C42,input_388100!A:H,8,FALSE))</f>
        <v>0</v>
      </c>
      <c r="P42" s="46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input_388100!A$2</f>
        <v>388100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IFERROR(VLOOKUP(B43,input_388100!L:R,7,FALSE),VLOOKUP(tables_388100!C43,input_388100!A:H,8,FALSE))</f>
        <v>1413.6</v>
      </c>
      <c r="P43" s="46">
        <f ca="1">O43/SUM(O:O)</f>
        <v>5.5218750002156997E-3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input_388100!A$2</f>
        <v>388100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IFERROR(VLOOKUP(B44,input_388100!L:R,7,FALSE),VLOOKUP(tables_388100!C44,input_388100!A:H,8,FALSE))</f>
        <v>74.400000000000006</v>
      </c>
      <c r="P44" s="46">
        <f ca="1">O44/SUM(O:O)</f>
        <v>2.9062500001135266E-4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input_388100!A$2</f>
        <v>388100</v>
      </c>
      <c r="B45" s="6">
        <v>169</v>
      </c>
      <c r="C45" s="7" t="str">
        <f t="shared" si="0"/>
        <v>Premium3R6releasecolor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>color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IFERROR(VLOOKUP(B45,input_388100!L:R,7,FALSE),VLOOKUP(tables_388100!C45,input_388100!A:H,8,FALSE))</f>
        <v>0</v>
      </c>
      <c r="P45" s="46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input_388100!A$2</f>
        <v>388100</v>
      </c>
      <c r="B46" s="6">
        <v>170</v>
      </c>
      <c r="C46" s="7" t="str">
        <f t="shared" si="0"/>
        <v>Premium4R6releasecolor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>color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IFERROR(VLOOKUP(B46,input_388100!L:R,7,FALSE),VLOOKUP(tables_388100!C46,input_388100!A:H,8,FALSE))</f>
        <v>6168.4363599999997</v>
      </c>
      <c r="P46" s="46">
        <f ca="1">O46/SUM(O:O)</f>
        <v>2.4095454532191234E-2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input_388100!A$2</f>
        <v>388100</v>
      </c>
      <c r="B47" s="6">
        <v>171</v>
      </c>
      <c r="C47" s="7" t="str">
        <f t="shared" si="0"/>
        <v>Premium5R6releasecolor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>color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IFERROR(VLOOKUP(B47,input_388100!L:R,7,FALSE),VLOOKUP(tables_388100!C47,input_388100!A:H,8,FALSE))</f>
        <v>324.65454999999997</v>
      </c>
      <c r="P47" s="46">
        <f ca="1">O47/SUM(O:O)</f>
        <v>1.2681818359870387E-3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input_388100!A$2</f>
        <v>388100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IFERROR(VLOOKUP(B48,input_388100!L:R,7,FALSE),VLOOKUP(tables_388100!C48,input_388100!A:H,8,FALSE))</f>
        <v>0</v>
      </c>
      <c r="P48" s="46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input_388100!A$2</f>
        <v>388100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IFERROR(VLOOKUP(B49,input_388100!L:R,7,FALSE),VLOOKUP(tables_388100!C49,input_388100!A:H,8,FALSE))</f>
        <v>1413.6</v>
      </c>
      <c r="P49" s="46">
        <f ca="1">O49/SUM(O:O)</f>
        <v>5.5218750002156997E-3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input_388100!A$2</f>
        <v>388100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IFERROR(VLOOKUP(B50,input_388100!L:R,7,FALSE),VLOOKUP(tables_388100!C50,input_388100!A:H,8,FALSE))</f>
        <v>74.400000000000006</v>
      </c>
      <c r="P50" s="46">
        <f ca="1">O50/SUM(O:O)</f>
        <v>2.9062500001135266E-4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input_388100!A$2</f>
        <v>388100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IFERROR(VLOOKUP(B51,input_388100!L:R,7,FALSE),VLOOKUP(tables_388100!C51,input_388100!A:H,8,FALSE))</f>
        <v>0</v>
      </c>
      <c r="P51" s="46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input_388100!A$2</f>
        <v>388100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IFERROR(VLOOKUP(B52,input_388100!L:R,7,FALSE),VLOOKUP(tables_388100!C52,input_388100!A:H,8,FALSE))</f>
        <v>1413.6</v>
      </c>
      <c r="P52" s="46">
        <f ca="1">O52/SUM(O:O)</f>
        <v>5.5218750002156997E-3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input_388100!A$2</f>
        <v>388100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IFERROR(VLOOKUP(B53,input_388100!L:R,7,FALSE),VLOOKUP(tables_388100!C53,input_388100!A:H,8,FALSE))</f>
        <v>74.400000000000006</v>
      </c>
      <c r="P53" s="46">
        <f ca="1">O53/SUM(O:O)</f>
        <v>2.9062500001135266E-4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input_388100!A$2</f>
        <v>388100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IFERROR(VLOOKUP(B54,input_388100!L:R,7,FALSE),VLOOKUP(tables_388100!C54,input_388100!A:H,8,FALSE))</f>
        <v>0</v>
      </c>
      <c r="P54" s="46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input_388100!A$2</f>
        <v>388100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IFERROR(VLOOKUP(B55,input_388100!L:R,7,FALSE),VLOOKUP(tables_388100!C55,input_388100!A:H,8,FALSE))</f>
        <v>1413.6</v>
      </c>
      <c r="P55" s="46">
        <f ca="1">O55/SUM(O:O)</f>
        <v>5.5218750002156997E-3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input_388100!A$2</f>
        <v>388100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IFERROR(VLOOKUP(B56,input_388100!L:R,7,FALSE),VLOOKUP(tables_388100!C56,input_388100!A:H,8,FALSE))</f>
        <v>74.400000000000006</v>
      </c>
      <c r="P56" s="46">
        <f ca="1">O56/SUM(O:O)</f>
        <v>2.9062500001135266E-4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input_388100!A$2</f>
        <v>388100</v>
      </c>
      <c r="B57" s="6">
        <v>181</v>
      </c>
      <c r="C57" s="7" t="str">
        <f t="shared" si="0"/>
        <v>Premium3color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>color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IFERROR(VLOOKUP(B57,input_388100!L:R,7,FALSE),VLOOKUP(tables_388100!C57,input_388100!A:H,8,FALSE))</f>
        <v>0</v>
      </c>
      <c r="P57" s="46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input_388100!A$2</f>
        <v>388100</v>
      </c>
      <c r="B58" s="6">
        <v>182</v>
      </c>
      <c r="C58" s="7" t="str">
        <f t="shared" si="0"/>
        <v>Premium4color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>color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IFERROR(VLOOKUP(B58,input_388100!L:R,7,FALSE),VLOOKUP(tables_388100!C58,input_388100!A:H,8,FALSE))</f>
        <v>6168.4363599999997</v>
      </c>
      <c r="P58" s="46">
        <f ca="1">O58/SUM(O:O)</f>
        <v>2.4095454532191234E-2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input_388100!A$2</f>
        <v>388100</v>
      </c>
      <c r="B59" s="6">
        <v>183</v>
      </c>
      <c r="C59" s="7" t="str">
        <f t="shared" si="0"/>
        <v>Premium5color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>color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IFERROR(VLOOKUP(B59,input_388100!L:R,7,FALSE),VLOOKUP(tables_388100!C59,input_388100!A:H,8,FALSE))</f>
        <v>324.65454999999997</v>
      </c>
      <c r="P59" s="46">
        <f ca="1">O59/SUM(O:O)</f>
        <v>1.2681818359870387E-3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input_388100!A$2</f>
        <v>388100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IFERROR(VLOOKUP(B60,input_388100!L:R,7,FALSE),VLOOKUP(tables_388100!C60,input_388100!A:H,8,FALSE))</f>
        <v>0</v>
      </c>
      <c r="P60" s="46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input_388100!A$2</f>
        <v>388100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IFERROR(VLOOKUP(B61,input_388100!L:R,7,FALSE),VLOOKUP(tables_388100!C61,input_388100!A:H,8,FALSE))</f>
        <v>1413.6</v>
      </c>
      <c r="P61" s="46">
        <f ca="1">O61/SUM(O:O)</f>
        <v>5.5218750002156997E-3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input_388100!A$2</f>
        <v>388100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IFERROR(VLOOKUP(B62,input_388100!L:R,7,FALSE),VLOOKUP(tables_388100!C62,input_388100!A:H,8,FALSE))</f>
        <v>74.400000000000006</v>
      </c>
      <c r="P62" s="46">
        <f ca="1">O62/SUM(O:O)</f>
        <v>2.9062500001135266E-4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input_388100!A$2</f>
        <v>388100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IFERROR(VLOOKUP(B63,input_388100!L:R,7,FALSE),VLOOKUP(tables_388100!C63,input_388100!A:H,8,FALSE))</f>
        <v>0</v>
      </c>
      <c r="P63" s="46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input_388100!A$2</f>
        <v>388100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IFERROR(VLOOKUP(B64,input_388100!L:R,7,FALSE),VLOOKUP(tables_388100!C64,input_388100!A:H,8,FALSE))</f>
        <v>1413.6</v>
      </c>
      <c r="P64" s="46">
        <f ca="1">O64/SUM(O:O)</f>
        <v>5.5218750002156997E-3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input_388100!A$2</f>
        <v>388100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IFERROR(VLOOKUP(B65,input_388100!L:R,7,FALSE),VLOOKUP(tables_388100!C65,input_388100!A:H,8,FALSE))</f>
        <v>74.400000000000006</v>
      </c>
      <c r="P65" s="46">
        <f ca="1">O65/SUM(O:O)</f>
        <v>2.9062500001135266E-4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input_388100!A$2</f>
        <v>388100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si="2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IFERROR(VLOOKUP(B66,input_388100!L:R,7,FALSE),VLOOKUP(tables_388100!C66,input_388100!A:H,8,FALSE))</f>
        <v>0</v>
      </c>
      <c r="P66" s="46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input_388100!A$2</f>
        <v>388100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ref="G67:G130" si="5">IF(K67="green","color","")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IFERROR(VLOOKUP(B67,input_388100!L:R,7,FALSE),VLOOKUP(tables_388100!C67,input_388100!A:H,8,FALSE))</f>
        <v>1413.6</v>
      </c>
      <c r="P67" s="46">
        <f ca="1">O67/SUM(O:O)</f>
        <v>5.5218750002156997E-3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input_388100!A$2</f>
        <v>388100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IFERROR(VLOOKUP(B68,input_388100!L:R,7,FALSE),VLOOKUP(tables_388100!C68,input_388100!A:H,8,FALSE))</f>
        <v>74.400000000000006</v>
      </c>
      <c r="P68" s="46">
        <f ca="1">O68/SUM(O:O)</f>
        <v>2.9062500001135266E-4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input_388100!A$2</f>
        <v>388100</v>
      </c>
      <c r="B69" s="6">
        <v>193</v>
      </c>
      <c r="C69" s="7" t="str">
        <f t="shared" si="3"/>
        <v>Premium3color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5"/>
        <v>color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IFERROR(VLOOKUP(B69,input_388100!L:R,7,FALSE),VLOOKUP(tables_388100!C69,input_388100!A:H,8,FALSE))</f>
        <v>0</v>
      </c>
      <c r="P69" s="46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input_388100!A$2</f>
        <v>388100</v>
      </c>
      <c r="B70" s="10">
        <v>194</v>
      </c>
      <c r="C70" s="7" t="str">
        <f t="shared" si="3"/>
        <v>Premium4color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5"/>
        <v>color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IFERROR(VLOOKUP(B70,input_388100!L:R,7,FALSE),VLOOKUP(tables_388100!C70,input_388100!A:H,8,FALSE))</f>
        <v>6168.4363599999997</v>
      </c>
      <c r="P70" s="46">
        <f ca="1">O70/SUM(O:O)</f>
        <v>2.4095454532191234E-2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input_388100!A$2</f>
        <v>388100</v>
      </c>
      <c r="B71" s="6">
        <v>195</v>
      </c>
      <c r="C71" s="7" t="str">
        <f t="shared" si="3"/>
        <v>Premium5color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5"/>
        <v>color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IFERROR(VLOOKUP(B71,input_388100!L:R,7,FALSE),VLOOKUP(tables_388100!C71,input_388100!A:H,8,FALSE))</f>
        <v>324.65454999999997</v>
      </c>
      <c r="P71" s="46">
        <f ca="1">O71/SUM(O:O)</f>
        <v>1.2681818359870387E-3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input_388100!A$2</f>
        <v>388100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5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IFERROR(VLOOKUP(B72,input_388100!L:R,7,FALSE),VLOOKUP(tables_388100!C72,input_388100!A:H,8,FALSE))</f>
        <v>0</v>
      </c>
      <c r="P72" s="46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input_388100!A$2</f>
        <v>388100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5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IFERROR(VLOOKUP(B73,input_388100!L:R,7,FALSE),VLOOKUP(tables_388100!C73,input_388100!A:H,8,FALSE))</f>
        <v>1413.6</v>
      </c>
      <c r="P73" s="46">
        <f ca="1">O73/SUM(O:O)</f>
        <v>5.5218750002156997E-3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input_388100!A$2</f>
        <v>388100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5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IFERROR(VLOOKUP(B74,input_388100!L:R,7,FALSE),VLOOKUP(tables_388100!C74,input_388100!A:H,8,FALSE))</f>
        <v>74.400000000000006</v>
      </c>
      <c r="P74" s="46">
        <f ca="1">O74/SUM(O:O)</f>
        <v>2.9062500001135266E-4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input_388100!A$2</f>
        <v>388100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IFERROR(VLOOKUP(B75,input_388100!L:R,7,FALSE),VLOOKUP(tables_388100!C75,input_388100!A:H,8,FALSE))</f>
        <v>0</v>
      </c>
      <c r="P75" s="46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input_388100!A$2</f>
        <v>388100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IFERROR(VLOOKUP(B76,input_388100!L:R,7,FALSE),VLOOKUP(tables_388100!C76,input_388100!A:H,8,FALSE))</f>
        <v>1413.6</v>
      </c>
      <c r="P76" s="46">
        <f ca="1">O76/SUM(O:O)</f>
        <v>5.5218750002156997E-3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input_388100!A$2</f>
        <v>388100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IFERROR(VLOOKUP(B77,input_388100!L:R,7,FALSE),VLOOKUP(tables_388100!C77,input_388100!A:H,8,FALSE))</f>
        <v>74.400000000000006</v>
      </c>
      <c r="P77" s="46">
        <f ca="1">O77/SUM(O:O)</f>
        <v>2.9062500001135266E-4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input_388100!A$2</f>
        <v>388100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IFERROR(VLOOKUP(B78,input_388100!L:R,7,FALSE),VLOOKUP(tables_388100!C78,input_388100!A:H,8,FALSE))</f>
        <v>0</v>
      </c>
      <c r="P78" s="46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input_388100!A$2</f>
        <v>388100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IFERROR(VLOOKUP(B79,input_388100!L:R,7,FALSE),VLOOKUP(tables_388100!C79,input_388100!A:H,8,FALSE))</f>
        <v>1413.6</v>
      </c>
      <c r="P79" s="46">
        <f ca="1">O79/SUM(O:O)</f>
        <v>5.5218750002156997E-3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input_388100!A$2</f>
        <v>388100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IFERROR(VLOOKUP(B80,input_388100!L:R,7,FALSE),VLOOKUP(tables_388100!C80,input_388100!A:H,8,FALSE))</f>
        <v>74.400000000000006</v>
      </c>
      <c r="P80" s="46">
        <f ca="1">O80/SUM(O:O)</f>
        <v>2.9062500001135266E-4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input_388100!A$2</f>
        <v>388100</v>
      </c>
      <c r="B81" s="5">
        <v>205</v>
      </c>
      <c r="C81" s="7" t="str">
        <f t="shared" si="3"/>
        <v>Premium3color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5"/>
        <v>color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IFERROR(VLOOKUP(B81,input_388100!L:R,7,FALSE),VLOOKUP(tables_388100!C81,input_388100!A:H,8,FALSE))</f>
        <v>0</v>
      </c>
      <c r="P81" s="46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input_388100!A$2</f>
        <v>388100</v>
      </c>
      <c r="B82" s="5">
        <v>206</v>
      </c>
      <c r="C82" s="7" t="str">
        <f t="shared" si="3"/>
        <v>Premium4color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5"/>
        <v>color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IFERROR(VLOOKUP(B82,input_388100!L:R,7,FALSE),VLOOKUP(tables_388100!C82,input_388100!A:H,8,FALSE))</f>
        <v>6168.4363599999997</v>
      </c>
      <c r="P82" s="46">
        <f ca="1">O82/SUM(O:O)</f>
        <v>2.4095454532191234E-2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input_388100!A$2</f>
        <v>388100</v>
      </c>
      <c r="B83" s="5">
        <v>207</v>
      </c>
      <c r="C83" s="7" t="str">
        <f t="shared" si="3"/>
        <v>Premium5color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5"/>
        <v>color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IFERROR(VLOOKUP(B83,input_388100!L:R,7,FALSE),VLOOKUP(tables_388100!C83,input_388100!A:H,8,FALSE))</f>
        <v>324.65454999999997</v>
      </c>
      <c r="P83" s="46">
        <f ca="1">O83/SUM(O:O)</f>
        <v>1.2681818359870387E-3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input_388100!A$2</f>
        <v>388100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IFERROR(VLOOKUP(B84,input_388100!L:R,7,FALSE),VLOOKUP(tables_388100!C84,input_388100!A:H,8,FALSE))</f>
        <v>0</v>
      </c>
      <c r="P84" s="46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input_388100!A$2</f>
        <v>388100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IFERROR(VLOOKUP(B85,input_388100!L:R,7,FALSE),VLOOKUP(tables_388100!C85,input_388100!A:H,8,FALSE))</f>
        <v>1413.6</v>
      </c>
      <c r="P85" s="46">
        <f ca="1">O85/SUM(O:O)</f>
        <v>5.5218750002156997E-3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input_388100!A$2</f>
        <v>388100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IFERROR(VLOOKUP(B86,input_388100!L:R,7,FALSE),VLOOKUP(tables_388100!C86,input_388100!A:H,8,FALSE))</f>
        <v>74.400000000000006</v>
      </c>
      <c r="P86" s="46">
        <f ca="1">O86/SUM(O:O)</f>
        <v>2.9062500001135266E-4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input_388100!A$2</f>
        <v>388100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5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IFERROR(VLOOKUP(B87,input_388100!L:R,7,FALSE),VLOOKUP(tables_388100!C87,input_388100!A:H,8,FALSE))</f>
        <v>0</v>
      </c>
      <c r="P87" s="46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input_388100!A$2</f>
        <v>388100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5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IFERROR(VLOOKUP(B88,input_388100!L:R,7,FALSE),VLOOKUP(tables_388100!C88,input_388100!A:H,8,FALSE))</f>
        <v>1413.6</v>
      </c>
      <c r="P88" s="46">
        <f ca="1">O88/SUM(O:O)</f>
        <v>5.5218750002156997E-3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input_388100!A$2</f>
        <v>388100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5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IFERROR(VLOOKUP(B89,input_388100!L:R,7,FALSE),VLOOKUP(tables_388100!C89,input_388100!A:H,8,FALSE))</f>
        <v>74.400000000000006</v>
      </c>
      <c r="P89" s="46">
        <f ca="1">O89/SUM(O:O)</f>
        <v>2.9062500001135266E-4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input_388100!A$2</f>
        <v>388100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IFERROR(VLOOKUP(B90,input_388100!L:R,7,FALSE),VLOOKUP(tables_388100!C90,input_388100!A:H,8,FALSE))</f>
        <v>0</v>
      </c>
      <c r="P90" s="46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input_388100!A$2</f>
        <v>388100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IFERROR(VLOOKUP(B91,input_388100!L:R,7,FALSE),VLOOKUP(tables_388100!C91,input_388100!A:H,8,FALSE))</f>
        <v>1413.6</v>
      </c>
      <c r="P91" s="46">
        <f ca="1">O91/SUM(O:O)</f>
        <v>5.5218750002156997E-3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input_388100!A$2</f>
        <v>388100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IFERROR(VLOOKUP(B92,input_388100!L:R,7,FALSE),VLOOKUP(tables_388100!C92,input_388100!A:H,8,FALSE))</f>
        <v>74.400000000000006</v>
      </c>
      <c r="P92" s="46">
        <f ca="1">O92/SUM(O:O)</f>
        <v>2.9062500001135266E-4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input_388100!A$2</f>
        <v>388100</v>
      </c>
      <c r="B93" s="5">
        <v>217</v>
      </c>
      <c r="C93" s="7" t="str">
        <f t="shared" si="3"/>
        <v>Premium3color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5"/>
        <v>color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IFERROR(VLOOKUP(B93,input_388100!L:R,7,FALSE),VLOOKUP(tables_388100!C93,input_388100!A:H,8,FALSE))</f>
        <v>0</v>
      </c>
      <c r="P93" s="46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input_388100!A$2</f>
        <v>388100</v>
      </c>
      <c r="B94" s="5">
        <v>218</v>
      </c>
      <c r="C94" s="7" t="str">
        <f t="shared" si="3"/>
        <v>Premium4color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5"/>
        <v>color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IFERROR(VLOOKUP(B94,input_388100!L:R,7,FALSE),VLOOKUP(tables_388100!C94,input_388100!A:H,8,FALSE))</f>
        <v>6168.4363599999997</v>
      </c>
      <c r="P94" s="46">
        <f ca="1">O94/SUM(O:O)</f>
        <v>2.4095454532191234E-2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input_388100!A$2</f>
        <v>388100</v>
      </c>
      <c r="B95" s="5">
        <v>219</v>
      </c>
      <c r="C95" s="7" t="str">
        <f t="shared" si="3"/>
        <v>Premium5color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5"/>
        <v>color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IFERROR(VLOOKUP(B95,input_388100!L:R,7,FALSE),VLOOKUP(tables_388100!C95,input_388100!A:H,8,FALSE))</f>
        <v>324.65454999999997</v>
      </c>
      <c r="P95" s="46">
        <f ca="1">O95/SUM(O:O)</f>
        <v>1.2681818359870387E-3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input_388100!A$2</f>
        <v>388100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IFERROR(VLOOKUP(B96,input_388100!L:R,7,FALSE),VLOOKUP(tables_388100!C96,input_388100!A:H,8,FALSE))</f>
        <v>0</v>
      </c>
      <c r="P96" s="46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input_388100!A$2</f>
        <v>388100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IFERROR(VLOOKUP(B97,input_388100!L:R,7,FALSE),VLOOKUP(tables_388100!C97,input_388100!A:H,8,FALSE))</f>
        <v>1413.6</v>
      </c>
      <c r="P97" s="46">
        <f ca="1">O97/SUM(O:O)</f>
        <v>5.5218750002156997E-3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input_388100!A$2</f>
        <v>388100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IFERROR(VLOOKUP(B98,input_388100!L:R,7,FALSE),VLOOKUP(tables_388100!C98,input_388100!A:H,8,FALSE))</f>
        <v>74.400000000000006</v>
      </c>
      <c r="P98" s="46">
        <f ca="1">O98/SUM(O:O)</f>
        <v>2.9062500001135266E-4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input_388100!A$2</f>
        <v>388100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5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IFERROR(VLOOKUP(B99,input_388100!L:R,7,FALSE),VLOOKUP(tables_388100!C99,input_388100!A:H,8,FALSE))</f>
        <v>0</v>
      </c>
      <c r="P99" s="46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input_388100!A$2</f>
        <v>388100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5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IFERROR(VLOOKUP(B100,input_388100!L:R,7,FALSE),VLOOKUP(tables_388100!C100,input_388100!A:H,8,FALSE))</f>
        <v>1413.6</v>
      </c>
      <c r="P100" s="46">
        <f ca="1">O100/SUM(O:O)</f>
        <v>5.5218750002156997E-3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input_388100!A$2</f>
        <v>388100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5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IFERROR(VLOOKUP(B101,input_388100!L:R,7,FALSE),VLOOKUP(tables_388100!C101,input_388100!A:H,8,FALSE))</f>
        <v>74.400000000000006</v>
      </c>
      <c r="P101" s="46">
        <f ca="1">O101/SUM(O:O)</f>
        <v>2.9062500001135266E-4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input_388100!A$2</f>
        <v>388100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IFERROR(VLOOKUP(B102,input_388100!L:R,7,FALSE),VLOOKUP(tables_388100!C102,input_388100!A:H,8,FALSE))</f>
        <v>0</v>
      </c>
      <c r="P102" s="46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input_388100!A$2</f>
        <v>388100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IFERROR(VLOOKUP(B103,input_388100!L:R,7,FALSE),VLOOKUP(tables_388100!C103,input_388100!A:H,8,FALSE))</f>
        <v>1413.6</v>
      </c>
      <c r="P103" s="46">
        <f ca="1">O103/SUM(O:O)</f>
        <v>5.5218750002156997E-3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input_388100!A$2</f>
        <v>388100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IFERROR(VLOOKUP(B104,input_388100!L:R,7,FALSE),VLOOKUP(tables_388100!C104,input_388100!A:H,8,FALSE))</f>
        <v>74.400000000000006</v>
      </c>
      <c r="P104" s="46">
        <f ca="1">O104/SUM(O:O)</f>
        <v>2.9062500001135266E-4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input_388100!A$2</f>
        <v>388100</v>
      </c>
      <c r="B105" s="5">
        <v>229</v>
      </c>
      <c r="C105" s="7" t="str">
        <f t="shared" si="3"/>
        <v>Premium3color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5"/>
        <v>color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IFERROR(VLOOKUP(B105,input_388100!L:R,7,FALSE),VLOOKUP(tables_388100!C105,input_388100!A:H,8,FALSE))</f>
        <v>0</v>
      </c>
      <c r="P105" s="46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input_388100!A$2</f>
        <v>388100</v>
      </c>
      <c r="B106" s="5">
        <v>230</v>
      </c>
      <c r="C106" s="7" t="str">
        <f t="shared" si="3"/>
        <v>Premium4color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5"/>
        <v>color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IFERROR(VLOOKUP(B106,input_388100!L:R,7,FALSE),VLOOKUP(tables_388100!C106,input_388100!A:H,8,FALSE))</f>
        <v>6168.4363599999997</v>
      </c>
      <c r="P106" s="46">
        <f ca="1">O106/SUM(O:O)</f>
        <v>2.4095454532191234E-2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input_388100!A$2</f>
        <v>388100</v>
      </c>
      <c r="B107" s="5">
        <v>231</v>
      </c>
      <c r="C107" s="7" t="str">
        <f t="shared" si="3"/>
        <v>Premium5color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5"/>
        <v>color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IFERROR(VLOOKUP(B107,input_388100!L:R,7,FALSE),VLOOKUP(tables_388100!C107,input_388100!A:H,8,FALSE))</f>
        <v>324.65454999999997</v>
      </c>
      <c r="P107" s="46">
        <f ca="1">O107/SUM(O:O)</f>
        <v>1.2681818359870387E-3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input_388100!A$2</f>
        <v>388100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IFERROR(VLOOKUP(B108,input_388100!L:R,7,FALSE),VLOOKUP(tables_388100!C108,input_388100!A:H,8,FALSE))</f>
        <v>0</v>
      </c>
      <c r="P108" s="46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input_388100!A$2</f>
        <v>388100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IFERROR(VLOOKUP(B109,input_388100!L:R,7,FALSE),VLOOKUP(tables_388100!C109,input_388100!A:H,8,FALSE))</f>
        <v>1413.6</v>
      </c>
      <c r="P109" s="46">
        <f ca="1">O109/SUM(O:O)</f>
        <v>5.5218750002156997E-3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input_388100!A$2</f>
        <v>388100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IFERROR(VLOOKUP(B110,input_388100!L:R,7,FALSE),VLOOKUP(tables_388100!C110,input_388100!A:H,8,FALSE))</f>
        <v>74.400000000000006</v>
      </c>
      <c r="P110" s="46">
        <f ca="1">O110/SUM(O:O)</f>
        <v>2.9062500001135266E-4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input_388100!A$2</f>
        <v>388100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5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IFERROR(VLOOKUP(B111,input_388100!L:R,7,FALSE),VLOOKUP(tables_388100!C111,input_388100!A:H,8,FALSE))</f>
        <v>0</v>
      </c>
      <c r="P111" s="46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input_388100!A$2</f>
        <v>388100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5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IFERROR(VLOOKUP(B112,input_388100!L:R,7,FALSE),VLOOKUP(tables_388100!C112,input_388100!A:H,8,FALSE))</f>
        <v>1413.6</v>
      </c>
      <c r="P112" s="46">
        <f ca="1">O112/SUM(O:O)</f>
        <v>5.5218750002156997E-3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input_388100!A$2</f>
        <v>388100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5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IFERROR(VLOOKUP(B113,input_388100!L:R,7,FALSE),VLOOKUP(tables_388100!C113,input_388100!A:H,8,FALSE))</f>
        <v>74.400000000000006</v>
      </c>
      <c r="P113" s="46">
        <f ca="1">O113/SUM(O:O)</f>
        <v>2.9062500001135266E-4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input_388100!A$2</f>
        <v>388100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IFERROR(VLOOKUP(B114,input_388100!L:R,7,FALSE),VLOOKUP(tables_388100!C114,input_388100!A:H,8,FALSE))</f>
        <v>0</v>
      </c>
      <c r="P114" s="46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input_388100!A$2</f>
        <v>388100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IFERROR(VLOOKUP(B115,input_388100!L:R,7,FALSE),VLOOKUP(tables_388100!C115,input_388100!A:H,8,FALSE))</f>
        <v>1413.6</v>
      </c>
      <c r="P115" s="46">
        <f ca="1">O115/SUM(O:O)</f>
        <v>5.5218750002156997E-3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input_388100!A$2</f>
        <v>388100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IFERROR(VLOOKUP(B116,input_388100!L:R,7,FALSE),VLOOKUP(tables_388100!C116,input_388100!A:H,8,FALSE))</f>
        <v>74.400000000000006</v>
      </c>
      <c r="P116" s="46">
        <f ca="1">O116/SUM(O:O)</f>
        <v>2.9062500001135266E-4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input_388100!A$2</f>
        <v>388100</v>
      </c>
      <c r="B117" s="5">
        <v>241</v>
      </c>
      <c r="C117" s="7" t="str">
        <f t="shared" si="3"/>
        <v>Premium3color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5"/>
        <v>color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IFERROR(VLOOKUP(B117,input_388100!L:R,7,FALSE),VLOOKUP(tables_388100!C117,input_388100!A:H,8,FALSE))</f>
        <v>0</v>
      </c>
      <c r="P117" s="46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input_388100!A$2</f>
        <v>388100</v>
      </c>
      <c r="B118" s="5">
        <v>242</v>
      </c>
      <c r="C118" s="7" t="str">
        <f t="shared" si="3"/>
        <v>Premium4color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5"/>
        <v>color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IFERROR(VLOOKUP(B118,input_388100!L:R,7,FALSE),VLOOKUP(tables_388100!C118,input_388100!A:H,8,FALSE))</f>
        <v>6168.4363599999997</v>
      </c>
      <c r="P118" s="46">
        <f ca="1">O118/SUM(O:O)</f>
        <v>2.4095454532191234E-2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input_388100!A$2</f>
        <v>388100</v>
      </c>
      <c r="B119" s="5">
        <v>243</v>
      </c>
      <c r="C119" s="7" t="str">
        <f t="shared" si="3"/>
        <v>Premium5color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5"/>
        <v>color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IFERROR(VLOOKUP(B119,input_388100!L:R,7,FALSE),VLOOKUP(tables_388100!C119,input_388100!A:H,8,FALSE))</f>
        <v>324.65454999999997</v>
      </c>
      <c r="P119" s="46">
        <f ca="1">O119/SUM(O:O)</f>
        <v>1.2681818359870387E-3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input_388100!A$2</f>
        <v>388100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IFERROR(VLOOKUP(B120,input_388100!L:R,7,FALSE),VLOOKUP(tables_388100!C120,input_388100!A:H,8,FALSE))</f>
        <v>0</v>
      </c>
      <c r="P120" s="46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input_388100!A$2</f>
        <v>388100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IFERROR(VLOOKUP(B121,input_388100!L:R,7,FALSE),VLOOKUP(tables_388100!C121,input_388100!A:H,8,FALSE))</f>
        <v>1413.6</v>
      </c>
      <c r="P121" s="46">
        <f ca="1">O121/SUM(O:O)</f>
        <v>5.5218750002156997E-3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input_388100!A$2</f>
        <v>388100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IFERROR(VLOOKUP(B122,input_388100!L:R,7,FALSE),VLOOKUP(tables_388100!C122,input_388100!A:H,8,FALSE))</f>
        <v>74.400000000000006</v>
      </c>
      <c r="P122" s="46">
        <f ca="1">O122/SUM(O:O)</f>
        <v>2.9062500001135266E-4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input_388100!A$2</f>
        <v>388100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5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IFERROR(VLOOKUP(B123,input_388100!L:R,7,FALSE),VLOOKUP(tables_388100!C123,input_388100!A:H,8,FALSE))</f>
        <v>0</v>
      </c>
      <c r="P123" s="46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input_388100!A$2</f>
        <v>388100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5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IFERROR(VLOOKUP(B124,input_388100!L:R,7,FALSE),VLOOKUP(tables_388100!C124,input_388100!A:H,8,FALSE))</f>
        <v>1413.6</v>
      </c>
      <c r="P124" s="46">
        <f ca="1">O124/SUM(O:O)</f>
        <v>5.5218750002156997E-3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input_388100!A$2</f>
        <v>388100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5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IFERROR(VLOOKUP(B125,input_388100!L:R,7,FALSE),VLOOKUP(tables_388100!C125,input_388100!A:H,8,FALSE))</f>
        <v>74.400000000000006</v>
      </c>
      <c r="P125" s="46">
        <f ca="1">O125/SUM(O:O)</f>
        <v>2.9062500001135266E-4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input_388100!A$2</f>
        <v>388100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IFERROR(VLOOKUP(B126,input_388100!L:R,7,FALSE),VLOOKUP(tables_388100!C126,input_388100!A:H,8,FALSE))</f>
        <v>0</v>
      </c>
      <c r="P126" s="46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input_388100!A$2</f>
        <v>388100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IFERROR(VLOOKUP(B127,input_388100!L:R,7,FALSE),VLOOKUP(tables_388100!C127,input_388100!A:H,8,FALSE))</f>
        <v>1413.6</v>
      </c>
      <c r="P127" s="46">
        <f ca="1">O127/SUM(O:O)</f>
        <v>5.5218750002156997E-3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input_388100!A$2</f>
        <v>388100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IFERROR(VLOOKUP(B128,input_388100!L:R,7,FALSE),VLOOKUP(tables_388100!C128,input_388100!A:H,8,FALSE))</f>
        <v>74.400000000000006</v>
      </c>
      <c r="P128" s="46">
        <f ca="1">O128/SUM(O:O)</f>
        <v>2.9062500001135266E-4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input_388100!A$2</f>
        <v>388100</v>
      </c>
      <c r="B129" s="6">
        <v>253</v>
      </c>
      <c r="C129" s="7" t="str">
        <f t="shared" si="3"/>
        <v>Premium3color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5"/>
        <v>color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IFERROR(VLOOKUP(B129,input_388100!L:R,7,FALSE),VLOOKUP(tables_388100!C129,input_388100!A:H,8,FALSE))</f>
        <v>0</v>
      </c>
      <c r="P129" s="46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input_388100!A$2</f>
        <v>388100</v>
      </c>
      <c r="B130" s="6">
        <v>254</v>
      </c>
      <c r="C130" s="7" t="str">
        <f t="shared" ref="C130:C193" si="6">D130&amp;J130&amp;E130&amp;F130&amp;G130</f>
        <v>Premium4color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si="5"/>
        <v>color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IFERROR(VLOOKUP(B130,input_388100!L:R,7,FALSE),VLOOKUP(tables_388100!C130,input_388100!A:H,8,FALSE))</f>
        <v>6168.4363599999997</v>
      </c>
      <c r="P130" s="46">
        <f ca="1">O130/SUM(O:O)</f>
        <v>2.4095454532191234E-2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input_388100!A$2</f>
        <v>388100</v>
      </c>
      <c r="B131" s="6">
        <v>255</v>
      </c>
      <c r="C131" s="7" t="str">
        <f t="shared" si="6"/>
        <v>Premium5color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ref="G131:G194" si="8">IF(K131="green","color","")</f>
        <v>color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IFERROR(VLOOKUP(B131,input_388100!L:R,7,FALSE),VLOOKUP(tables_388100!C131,input_388100!A:H,8,FALSE))</f>
        <v>324.65454999999997</v>
      </c>
      <c r="P131" s="46">
        <f ca="1">O131/SUM(O:O)</f>
        <v>1.2681818359870387E-3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input_388100!A$2</f>
        <v>388100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8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IFERROR(VLOOKUP(B132,input_388100!L:R,7,FALSE),VLOOKUP(tables_388100!C132,input_388100!A:H,8,FALSE))</f>
        <v>0</v>
      </c>
      <c r="P132" s="46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input_388100!A$2</f>
        <v>388100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8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IFERROR(VLOOKUP(B133,input_388100!L:R,7,FALSE),VLOOKUP(tables_388100!C133,input_388100!A:H,8,FALSE))</f>
        <v>1413.6</v>
      </c>
      <c r="P133" s="46">
        <f ca="1">O133/SUM(O:O)</f>
        <v>5.5218750002156997E-3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input_388100!A$2</f>
        <v>388100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8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IFERROR(VLOOKUP(B134,input_388100!L:R,7,FALSE),VLOOKUP(tables_388100!C134,input_388100!A:H,8,FALSE))</f>
        <v>74.400000000000006</v>
      </c>
      <c r="P134" s="46">
        <f ca="1">O134/SUM(O:O)</f>
        <v>2.9062500001135266E-4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input_388100!A$2</f>
        <v>388100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8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IFERROR(VLOOKUP(B135,input_388100!L:R,7,FALSE),VLOOKUP(tables_388100!C135,input_388100!A:H,8,FALSE))</f>
        <v>0</v>
      </c>
      <c r="P135" s="46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input_388100!A$2</f>
        <v>388100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8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IFERROR(VLOOKUP(B136,input_388100!L:R,7,FALSE),VLOOKUP(tables_388100!C136,input_388100!A:H,8,FALSE))</f>
        <v>1413.6</v>
      </c>
      <c r="P136" s="46">
        <f ca="1">O136/SUM(O:O)</f>
        <v>5.5218750002156997E-3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input_388100!A$2</f>
        <v>388100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8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IFERROR(VLOOKUP(B137,input_388100!L:R,7,FALSE),VLOOKUP(tables_388100!C137,input_388100!A:H,8,FALSE))</f>
        <v>74.400000000000006</v>
      </c>
      <c r="P137" s="46">
        <f ca="1">O137/SUM(O:O)</f>
        <v>2.9062500001135266E-4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input_388100!A$2</f>
        <v>388100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8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IFERROR(VLOOKUP(B138,input_388100!L:R,7,FALSE),VLOOKUP(tables_388100!C138,input_388100!A:H,8,FALSE))</f>
        <v>152</v>
      </c>
      <c r="P138" s="46">
        <f ca="1">O138/SUM(O:O)</f>
        <v>5.9375000002319356E-4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input_388100!A$2</f>
        <v>388100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8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IFERROR(VLOOKUP(B139,input_388100!L:R,7,FALSE),VLOOKUP(tables_388100!C139,input_388100!A:H,8,FALSE))</f>
        <v>8</v>
      </c>
      <c r="P139" s="46">
        <f ca="1">O139/SUM(O:O)</f>
        <v>3.1250000001220711E-5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input_388100!A$2</f>
        <v>388100</v>
      </c>
      <c r="B140" s="6">
        <v>322</v>
      </c>
      <c r="C140" s="7" t="str">
        <f t="shared" si="6"/>
        <v>PremiumSS4color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8"/>
        <v>color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IFERROR(VLOOKUP(B140,input_388100!L:R,7,FALSE),VLOOKUP(tables_388100!C140,input_388100!A:H,8,FALSE))</f>
        <v>729.6</v>
      </c>
      <c r="P140" s="46">
        <f ca="1">O140/SUM(O:O)</f>
        <v>2.850000000111329E-3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input_388100!A$2</f>
        <v>388100</v>
      </c>
      <c r="B141" s="6">
        <v>323</v>
      </c>
      <c r="C141" s="7" t="str">
        <f t="shared" si="6"/>
        <v>PremiumSS5color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8"/>
        <v>color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IFERROR(VLOOKUP(B141,input_388100!L:R,7,FALSE),VLOOKUP(tables_388100!C141,input_388100!A:H,8,FALSE))</f>
        <v>38.4</v>
      </c>
      <c r="P141" s="46">
        <f ca="1">O141/SUM(O:O)</f>
        <v>1.5000000000585942E-4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input_388100!A$2</f>
        <v>388100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8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IFERROR(VLOOKUP(B142,input_388100!L:R,7,FALSE),VLOOKUP(tables_388100!C142,input_388100!A:H,8,FALSE))</f>
        <v>152</v>
      </c>
      <c r="P142" s="46">
        <f ca="1">O142/SUM(O:O)</f>
        <v>5.9375000002319356E-4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input_388100!A$2</f>
        <v>388100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8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IFERROR(VLOOKUP(B143,input_388100!L:R,7,FALSE),VLOOKUP(tables_388100!C143,input_388100!A:H,8,FALSE))</f>
        <v>8</v>
      </c>
      <c r="P143" s="46">
        <f ca="1">O143/SUM(O:O)</f>
        <v>3.1250000001220711E-5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input_388100!A$2</f>
        <v>388100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8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IFERROR(VLOOKUP(B144,input_388100!L:R,7,FALSE),VLOOKUP(tables_388100!C144,input_388100!A:H,8,FALSE))</f>
        <v>152</v>
      </c>
      <c r="P144" s="46">
        <f ca="1">O144/SUM(O:O)</f>
        <v>5.9375000002319356E-4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input_388100!A$2</f>
        <v>388100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8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IFERROR(VLOOKUP(B145,input_388100!L:R,7,FALSE),VLOOKUP(tables_388100!C145,input_388100!A:H,8,FALSE))</f>
        <v>8</v>
      </c>
      <c r="P145" s="46">
        <f ca="1">O145/SUM(O:O)</f>
        <v>3.1250000001220711E-5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input_388100!A$2</f>
        <v>388100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8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IFERROR(VLOOKUP(B146,input_388100!L:R,7,FALSE),VLOOKUP(tables_388100!C146,input_388100!A:H,8,FALSE))</f>
        <v>0</v>
      </c>
      <c r="P146" s="46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input_388100!A$2</f>
        <v>388100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8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IFERROR(VLOOKUP(B147,input_388100!L:R,7,FALSE),VLOOKUP(tables_388100!C147,input_388100!A:H,8,FALSE))</f>
        <v>1413.6</v>
      </c>
      <c r="P147" s="46">
        <f ca="1">O147/SUM(O:O)</f>
        <v>5.5218750002156997E-3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input_388100!A$2</f>
        <v>388100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8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IFERROR(VLOOKUP(B148,input_388100!L:R,7,FALSE),VLOOKUP(tables_388100!C148,input_388100!A:H,8,FALSE))</f>
        <v>74.400000000000006</v>
      </c>
      <c r="P148" s="46">
        <f ca="1">O148/SUM(O:O)</f>
        <v>2.9062500001135266E-4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input_388100!A$2</f>
        <v>388100</v>
      </c>
      <c r="B149" s="6">
        <v>383</v>
      </c>
      <c r="C149" s="7" t="str">
        <f t="shared" si="6"/>
        <v>PremiumSS4color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8"/>
        <v>color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IFERROR(VLOOKUP(B149,input_388100!L:R,7,FALSE),VLOOKUP(tables_388100!C149,input_388100!A:H,8,FALSE))</f>
        <v>729.6</v>
      </c>
      <c r="P149" s="46">
        <f ca="1">O149/SUM(O:O)</f>
        <v>2.850000000111329E-3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input_388100!A$2</f>
        <v>388100</v>
      </c>
      <c r="B150" s="6">
        <v>384</v>
      </c>
      <c r="C150" s="7" t="str">
        <f t="shared" si="6"/>
        <v>PremiumSS5color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8"/>
        <v>color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IFERROR(VLOOKUP(B150,input_388100!L:R,7,FALSE),VLOOKUP(tables_388100!C150,input_388100!A:H,8,FALSE))</f>
        <v>38.4</v>
      </c>
      <c r="P150" s="46">
        <f ca="1">O150/SUM(O:O)</f>
        <v>1.5000000000585942E-4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input_388100!A$2</f>
        <v>388100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8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IFERROR(VLOOKUP(B151,input_388100!L:R,7,FALSE),VLOOKUP(tables_388100!C151,input_388100!A:H,8,FALSE))</f>
        <v>152</v>
      </c>
      <c r="P151" s="46">
        <f ca="1">O151/SUM(O:O)</f>
        <v>5.9375000002319356E-4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input_388100!A$2</f>
        <v>388100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8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IFERROR(VLOOKUP(B152,input_388100!L:R,7,FALSE),VLOOKUP(tables_388100!C152,input_388100!A:H,8,FALSE))</f>
        <v>8</v>
      </c>
      <c r="P152" s="46">
        <f ca="1">O152/SUM(O:O)</f>
        <v>3.1250000001220711E-5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input_388100!A$2</f>
        <v>388100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8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IFERROR(VLOOKUP(B153,input_388100!L:R,7,FALSE),VLOOKUP(tables_388100!C153,input_388100!A:H,8,FALSE))</f>
        <v>0</v>
      </c>
      <c r="P153" s="46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input_388100!A$2</f>
        <v>388100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8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IFERROR(VLOOKUP(B154,input_388100!L:R,7,FALSE),VLOOKUP(tables_388100!C154,input_388100!A:H,8,FALSE))</f>
        <v>1413.6</v>
      </c>
      <c r="P154" s="46">
        <f ca="1">O154/SUM(O:O)</f>
        <v>5.5218750002156997E-3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input_388100!A$2</f>
        <v>388100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8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IFERROR(VLOOKUP(B155,input_388100!L:R,7,FALSE),VLOOKUP(tables_388100!C155,input_388100!A:H,8,FALSE))</f>
        <v>74.400000000000006</v>
      </c>
      <c r="P155" s="46">
        <f ca="1">O155/SUM(O:O)</f>
        <v>2.9062500001135266E-4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input_388100!A$2</f>
        <v>388100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8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IFERROR(VLOOKUP(B156,input_388100!L:R,7,FALSE),VLOOKUP(tables_388100!C156,input_388100!A:H,8,FALSE))</f>
        <v>152</v>
      </c>
      <c r="P156" s="46">
        <f ca="1">O156/SUM(O:O)</f>
        <v>5.9375000002319356E-4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input_388100!A$2</f>
        <v>388100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8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IFERROR(VLOOKUP(B157,input_388100!L:R,7,FALSE),VLOOKUP(tables_388100!C157,input_388100!A:H,8,FALSE))</f>
        <v>8</v>
      </c>
      <c r="P157" s="46">
        <f ca="1">O157/SUM(O:O)</f>
        <v>3.1250000001220711E-5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input_388100!A$2</f>
        <v>388100</v>
      </c>
      <c r="B158" s="6">
        <v>392</v>
      </c>
      <c r="C158" s="7" t="str">
        <f t="shared" si="6"/>
        <v>Premium3color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8"/>
        <v>color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IFERROR(VLOOKUP(B158,input_388100!L:R,7,FALSE),VLOOKUP(tables_388100!C158,input_388100!A:H,8,FALSE))</f>
        <v>0</v>
      </c>
      <c r="P158" s="46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input_388100!A$2</f>
        <v>388100</v>
      </c>
      <c r="B159" s="6">
        <v>393</v>
      </c>
      <c r="C159" s="7" t="str">
        <f t="shared" si="6"/>
        <v>Premium4color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8"/>
        <v>color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IFERROR(VLOOKUP(B159,input_388100!L:R,7,FALSE),VLOOKUP(tables_388100!C159,input_388100!A:H,8,FALSE))</f>
        <v>6168.4363599999997</v>
      </c>
      <c r="P159" s="46">
        <f ca="1">O159/SUM(O:O)</f>
        <v>2.4095454532191234E-2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input_388100!A$2</f>
        <v>388100</v>
      </c>
      <c r="B160" s="6">
        <v>394</v>
      </c>
      <c r="C160" s="7" t="str">
        <f t="shared" si="6"/>
        <v>Premium5color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8"/>
        <v>color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IFERROR(VLOOKUP(B160,input_388100!L:R,7,FALSE),VLOOKUP(tables_388100!C160,input_388100!A:H,8,FALSE))</f>
        <v>324.65454999999997</v>
      </c>
      <c r="P160" s="46">
        <f ca="1">O160/SUM(O:O)</f>
        <v>1.2681818359870387E-3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input_388100!A$2</f>
        <v>388100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8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IFERROR(VLOOKUP(B161,input_388100!L:R,7,FALSE),VLOOKUP(tables_388100!C161,input_388100!A:H,8,FALSE))</f>
        <v>0</v>
      </c>
      <c r="P161" s="46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input_388100!A$2</f>
        <v>388100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8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IFERROR(VLOOKUP(B162,input_388100!L:R,7,FALSE),VLOOKUP(tables_388100!C162,input_388100!A:H,8,FALSE))</f>
        <v>1413.6</v>
      </c>
      <c r="P162" s="46">
        <f ca="1">O162/SUM(O:O)</f>
        <v>5.5218750002156997E-3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input_388100!A$2</f>
        <v>388100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8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IFERROR(VLOOKUP(B163,input_388100!L:R,7,FALSE),VLOOKUP(tables_388100!C163,input_388100!A:H,8,FALSE))</f>
        <v>74.400000000000006</v>
      </c>
      <c r="P163" s="46">
        <f ca="1">O163/SUM(O:O)</f>
        <v>2.9062500001135266E-4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input_388100!A$2</f>
        <v>388100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8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IFERROR(VLOOKUP(B164,input_388100!L:R,7,FALSE),VLOOKUP(tables_388100!C164,input_388100!A:H,8,FALSE))</f>
        <v>152</v>
      </c>
      <c r="P164" s="46">
        <f ca="1">O164/SUM(O:O)</f>
        <v>5.9375000002319356E-4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input_388100!A$2</f>
        <v>388100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8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IFERROR(VLOOKUP(B165,input_388100!L:R,7,FALSE),VLOOKUP(tables_388100!C165,input_388100!A:H,8,FALSE))</f>
        <v>8</v>
      </c>
      <c r="P165" s="46">
        <f ca="1">O165/SUM(O:O)</f>
        <v>3.1250000001220711E-5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input_388100!A$2</f>
        <v>388100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8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IFERROR(VLOOKUP(B166,input_388100!L:R,7,FALSE),VLOOKUP(tables_388100!C166,input_388100!A:H,8,FALSE))</f>
        <v>0</v>
      </c>
      <c r="P166" s="46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input_388100!A$2</f>
        <v>388100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8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IFERROR(VLOOKUP(B167,input_388100!L:R,7,FALSE),VLOOKUP(tables_388100!C167,input_388100!A:H,8,FALSE))</f>
        <v>1413.6</v>
      </c>
      <c r="P167" s="46">
        <f ca="1">O167/SUM(O:O)</f>
        <v>5.5218750002156997E-3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input_388100!A$2</f>
        <v>388100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8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IFERROR(VLOOKUP(B168,input_388100!L:R,7,FALSE),VLOOKUP(tables_388100!C168,input_388100!A:H,8,FALSE))</f>
        <v>74.400000000000006</v>
      </c>
      <c r="P168" s="46">
        <f ca="1">O168/SUM(O:O)</f>
        <v>2.9062500001135266E-4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input_388100!A$2</f>
        <v>388100</v>
      </c>
      <c r="B169" s="6">
        <v>403</v>
      </c>
      <c r="C169" s="7" t="str">
        <f t="shared" si="6"/>
        <v>PremiumSS4color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8"/>
        <v>color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IFERROR(VLOOKUP(B169,input_388100!L:R,7,FALSE),VLOOKUP(tables_388100!C169,input_388100!A:H,8,FALSE))</f>
        <v>729.6</v>
      </c>
      <c r="P169" s="46">
        <f ca="1">O169/SUM(O:O)</f>
        <v>2.850000000111329E-3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input_388100!A$2</f>
        <v>388100</v>
      </c>
      <c r="B170" s="6">
        <v>404</v>
      </c>
      <c r="C170" s="7" t="str">
        <f t="shared" si="6"/>
        <v>PremiumSS5color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8"/>
        <v>color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IFERROR(VLOOKUP(B170,input_388100!L:R,7,FALSE),VLOOKUP(tables_388100!C170,input_388100!A:H,8,FALSE))</f>
        <v>38.4</v>
      </c>
      <c r="P170" s="46">
        <f ca="1">O170/SUM(O:O)</f>
        <v>1.5000000000585942E-4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input_388100!A$2</f>
        <v>388100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8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IFERROR(VLOOKUP(B171,input_388100!L:R,7,FALSE),VLOOKUP(tables_388100!C171,input_388100!A:H,8,FALSE))</f>
        <v>0</v>
      </c>
      <c r="P171" s="46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input_388100!A$2</f>
        <v>388100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8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IFERROR(VLOOKUP(B172,input_388100!L:R,7,FALSE),VLOOKUP(tables_388100!C172,input_388100!A:H,8,FALSE))</f>
        <v>1413.6</v>
      </c>
      <c r="P172" s="46">
        <f ca="1">O172/SUM(O:O)</f>
        <v>5.5218750002156997E-3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input_388100!A$2</f>
        <v>388100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8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IFERROR(VLOOKUP(B173,input_388100!L:R,7,FALSE),VLOOKUP(tables_388100!C173,input_388100!A:H,8,FALSE))</f>
        <v>74.400000000000006</v>
      </c>
      <c r="P173" s="46">
        <f ca="1">O173/SUM(O:O)</f>
        <v>2.9062500001135266E-4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input_388100!A$2</f>
        <v>388100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8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IFERROR(VLOOKUP(B174,input_388100!L:R,7,FALSE),VLOOKUP(tables_388100!C174,input_388100!A:H,8,FALSE))</f>
        <v>152</v>
      </c>
      <c r="P174" s="46">
        <f ca="1">O174/SUM(O:O)</f>
        <v>5.9375000002319356E-4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input_388100!A$2</f>
        <v>388100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8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IFERROR(VLOOKUP(B175,input_388100!L:R,7,FALSE),VLOOKUP(tables_388100!C175,input_388100!A:H,8,FALSE))</f>
        <v>8</v>
      </c>
      <c r="P175" s="46">
        <f ca="1">O175/SUM(O:O)</f>
        <v>3.1250000001220711E-5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input_388100!A$2</f>
        <v>388100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8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IFERROR(VLOOKUP(B176,input_388100!L:R,7,FALSE),VLOOKUP(tables_388100!C176,input_388100!A:H,8,FALSE))</f>
        <v>152</v>
      </c>
      <c r="P176" s="46">
        <f ca="1">O176/SUM(O:O)</f>
        <v>5.9375000002319356E-4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input_388100!A$2</f>
        <v>388100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8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IFERROR(VLOOKUP(B177,input_388100!L:R,7,FALSE),VLOOKUP(tables_388100!C177,input_388100!A:H,8,FALSE))</f>
        <v>8</v>
      </c>
      <c r="P177" s="46">
        <f ca="1">O177/SUM(O:O)</f>
        <v>3.1250000001220711E-5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input_388100!A$2</f>
        <v>388100</v>
      </c>
      <c r="B178" s="6">
        <v>436</v>
      </c>
      <c r="C178" s="7" t="str">
        <f t="shared" si="6"/>
        <v>Premium3color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8"/>
        <v>color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IFERROR(VLOOKUP(B178,input_388100!L:R,7,FALSE),VLOOKUP(tables_388100!C178,input_388100!A:H,8,FALSE))</f>
        <v>0</v>
      </c>
      <c r="P178" s="46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input_388100!A$2</f>
        <v>388100</v>
      </c>
      <c r="B179" s="6">
        <v>437</v>
      </c>
      <c r="C179" s="7" t="str">
        <f t="shared" si="6"/>
        <v>Premium4color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8"/>
        <v>color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IFERROR(VLOOKUP(B179,input_388100!L:R,7,FALSE),VLOOKUP(tables_388100!C179,input_388100!A:H,8,FALSE))</f>
        <v>6168.4363599999997</v>
      </c>
      <c r="P179" s="46">
        <f ca="1">O179/SUM(O:O)</f>
        <v>2.4095454532191234E-2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input_388100!A$2</f>
        <v>388100</v>
      </c>
      <c r="B180" s="6">
        <v>438</v>
      </c>
      <c r="C180" s="7" t="str">
        <f t="shared" si="6"/>
        <v>Premium5color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8"/>
        <v>color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IFERROR(VLOOKUP(B180,input_388100!L:R,7,FALSE),VLOOKUP(tables_388100!C180,input_388100!A:H,8,FALSE))</f>
        <v>324.65454999999997</v>
      </c>
      <c r="P180" s="46">
        <f ca="1">O180/SUM(O:O)</f>
        <v>1.2681818359870387E-3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input_388100!A$2</f>
        <v>388100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8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IFERROR(VLOOKUP(B181,input_388100!L:R,7,FALSE),VLOOKUP(tables_388100!C181,input_388100!A:H,8,FALSE))</f>
        <v>0</v>
      </c>
      <c r="P181" s="46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input_388100!A$2</f>
        <v>388100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8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IFERROR(VLOOKUP(B182,input_388100!L:R,7,FALSE),VLOOKUP(tables_388100!C182,input_388100!A:H,8,FALSE))</f>
        <v>1413.6</v>
      </c>
      <c r="P182" s="46">
        <f ca="1">O182/SUM(O:O)</f>
        <v>5.5218750002156997E-3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input_388100!A$2</f>
        <v>388100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8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IFERROR(VLOOKUP(B183,input_388100!L:R,7,FALSE),VLOOKUP(tables_388100!C183,input_388100!A:H,8,FALSE))</f>
        <v>74.400000000000006</v>
      </c>
      <c r="P183" s="46">
        <f ca="1">O183/SUM(O:O)</f>
        <v>2.9062500001135266E-4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input_388100!A$2</f>
        <v>388100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8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IFERROR(VLOOKUP(B184,input_388100!L:R,7,FALSE),VLOOKUP(tables_388100!C184,input_388100!A:H,8,FALSE))</f>
        <v>152</v>
      </c>
      <c r="P184" s="46">
        <f ca="1">O184/SUM(O:O)</f>
        <v>5.9375000002319356E-4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input_388100!A$2</f>
        <v>388100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8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IFERROR(VLOOKUP(B185,input_388100!L:R,7,FALSE),VLOOKUP(tables_388100!C185,input_388100!A:H,8,FALSE))</f>
        <v>8</v>
      </c>
      <c r="P185" s="46">
        <f ca="1">O185/SUM(O:O)</f>
        <v>3.1250000001220711E-5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input_388100!A$2</f>
        <v>388100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8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IFERROR(VLOOKUP(B186,input_388100!L:R,7,FALSE),VLOOKUP(tables_388100!C186,input_388100!A:H,8,FALSE))</f>
        <v>0</v>
      </c>
      <c r="P186" s="46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input_388100!A$2</f>
        <v>388100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8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IFERROR(VLOOKUP(B187,input_388100!L:R,7,FALSE),VLOOKUP(tables_388100!C187,input_388100!A:H,8,FALSE))</f>
        <v>1413.6</v>
      </c>
      <c r="P187" s="46">
        <f ca="1">O187/SUM(O:O)</f>
        <v>5.5218750002156997E-3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input_388100!A$2</f>
        <v>388100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8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IFERROR(VLOOKUP(B188,input_388100!L:R,7,FALSE),VLOOKUP(tables_388100!C188,input_388100!A:H,8,FALSE))</f>
        <v>74.400000000000006</v>
      </c>
      <c r="P188" s="46">
        <f ca="1">O188/SUM(O:O)</f>
        <v>2.9062500001135266E-4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input_388100!A$2</f>
        <v>388100</v>
      </c>
      <c r="B189" s="8">
        <v>465</v>
      </c>
      <c r="C189" s="7" t="str">
        <f t="shared" si="6"/>
        <v>PremiumSS4color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8"/>
        <v>color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IFERROR(VLOOKUP(B189,input_388100!L:R,7,FALSE),VLOOKUP(tables_388100!C189,input_388100!A:H,8,FALSE))</f>
        <v>729.6</v>
      </c>
      <c r="P189" s="46">
        <f ca="1">O189/SUM(O:O)</f>
        <v>2.850000000111329E-3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input_388100!A$2</f>
        <v>388100</v>
      </c>
      <c r="B190" s="6">
        <v>466</v>
      </c>
      <c r="C190" s="7" t="str">
        <f t="shared" si="6"/>
        <v>PremiumSS5color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8"/>
        <v>color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IFERROR(VLOOKUP(B190,input_388100!L:R,7,FALSE),VLOOKUP(tables_388100!C190,input_388100!A:H,8,FALSE))</f>
        <v>38.4</v>
      </c>
      <c r="P190" s="46">
        <f ca="1">O190/SUM(O:O)</f>
        <v>1.5000000000585942E-4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input_388100!A$2</f>
        <v>388100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8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IFERROR(VLOOKUP(B191,input_388100!L:R,7,FALSE),VLOOKUP(tables_388100!C191,input_388100!A:H,8,FALSE))</f>
        <v>152</v>
      </c>
      <c r="P191" s="46">
        <f ca="1">O191/SUM(O:O)</f>
        <v>5.9375000002319356E-4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input_388100!A$2</f>
        <v>388100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8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IFERROR(VLOOKUP(B192,input_388100!L:R,7,FALSE),VLOOKUP(tables_388100!C192,input_388100!A:H,8,FALSE))</f>
        <v>8</v>
      </c>
      <c r="P192" s="46">
        <f ca="1">O192/SUM(O:O)</f>
        <v>3.1250000001220711E-5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input_388100!A$2</f>
        <v>388100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8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IFERROR(VLOOKUP(B193,input_388100!L:R,7,FALSE),VLOOKUP(tables_388100!C193,input_388100!A:H,8,FALSE))</f>
        <v>0</v>
      </c>
      <c r="P193" s="46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input_388100!A$2</f>
        <v>388100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si="8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IFERROR(VLOOKUP(B194,input_388100!L:R,7,FALSE),VLOOKUP(tables_388100!C194,input_388100!A:H,8,FALSE))</f>
        <v>1413.6</v>
      </c>
      <c r="P194" s="46">
        <f ca="1">O194/SUM(O:O)</f>
        <v>5.5218750002156997E-3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input_388100!A$2</f>
        <v>388100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ref="G195:G258" si="11">IF(K195="green","color","")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IFERROR(VLOOKUP(B195,input_388100!L:R,7,FALSE),VLOOKUP(tables_388100!C195,input_388100!A:H,8,FALSE))</f>
        <v>74.400000000000006</v>
      </c>
      <c r="P195" s="46">
        <f ca="1">O195/SUM(O:O)</f>
        <v>2.9062500001135266E-4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input_388100!A$2</f>
        <v>388100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1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IFERROR(VLOOKUP(B196,input_388100!L:R,7,FALSE),VLOOKUP(tables_388100!C196,input_388100!A:H,8,FALSE))</f>
        <v>152</v>
      </c>
      <c r="P196" s="46">
        <f ca="1">O196/SUM(O:O)</f>
        <v>5.9375000002319356E-4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input_388100!A$2</f>
        <v>388100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1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IFERROR(VLOOKUP(B197,input_388100!L:R,7,FALSE),VLOOKUP(tables_388100!C197,input_388100!A:H,8,FALSE))</f>
        <v>8</v>
      </c>
      <c r="P197" s="46">
        <f ca="1">O197/SUM(O:O)</f>
        <v>3.1250000001220711E-5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input_388100!A$2</f>
        <v>388100</v>
      </c>
      <c r="B198" s="6">
        <v>476</v>
      </c>
      <c r="C198" s="7" t="str">
        <f t="shared" si="9"/>
        <v>Premium3color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1"/>
        <v>color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IFERROR(VLOOKUP(B198,input_388100!L:R,7,FALSE),VLOOKUP(tables_388100!C198,input_388100!A:H,8,FALSE))</f>
        <v>0</v>
      </c>
      <c r="P198" s="46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input_388100!A$2</f>
        <v>388100</v>
      </c>
      <c r="B199" s="6">
        <v>477</v>
      </c>
      <c r="C199" s="7" t="str">
        <f t="shared" si="9"/>
        <v>Premium4color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1"/>
        <v>color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IFERROR(VLOOKUP(B199,input_388100!L:R,7,FALSE),VLOOKUP(tables_388100!C199,input_388100!A:H,8,FALSE))</f>
        <v>6168.4363599999997</v>
      </c>
      <c r="P199" s="46">
        <f ca="1">O199/SUM(O:O)</f>
        <v>2.4095454532191234E-2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input_388100!A$2</f>
        <v>388100</v>
      </c>
      <c r="B200" s="6">
        <v>478</v>
      </c>
      <c r="C200" s="7" t="str">
        <f t="shared" si="9"/>
        <v>Premium5color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1"/>
        <v>color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IFERROR(VLOOKUP(B200,input_388100!L:R,7,FALSE),VLOOKUP(tables_388100!C200,input_388100!A:H,8,FALSE))</f>
        <v>324.65454999999997</v>
      </c>
      <c r="P200" s="46">
        <f ca="1">O200/SUM(O:O)</f>
        <v>1.2681818359870387E-3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input_388100!A$2</f>
        <v>388100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1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IFERROR(VLOOKUP(B201,input_388100!L:R,7,FALSE),VLOOKUP(tables_388100!C201,input_388100!A:H,8,FALSE))</f>
        <v>152</v>
      </c>
      <c r="P201" s="46">
        <f ca="1">O201/SUM(O:O)</f>
        <v>5.9375000002319356E-4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input_388100!A$2</f>
        <v>388100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1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IFERROR(VLOOKUP(B202,input_388100!L:R,7,FALSE),VLOOKUP(tables_388100!C202,input_388100!A:H,8,FALSE))</f>
        <v>8</v>
      </c>
      <c r="P202" s="46">
        <f ca="1">O202/SUM(O:O)</f>
        <v>3.1250000001220711E-5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input_388100!A$2</f>
        <v>388100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1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IFERROR(VLOOKUP(B203,input_388100!L:R,7,FALSE),VLOOKUP(tables_388100!C203,input_388100!A:H,8,FALSE))</f>
        <v>0</v>
      </c>
      <c r="P203" s="46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input_388100!A$2</f>
        <v>388100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1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IFERROR(VLOOKUP(B204,input_388100!L:R,7,FALSE),VLOOKUP(tables_388100!C204,input_388100!A:H,8,FALSE))</f>
        <v>1413.6</v>
      </c>
      <c r="P204" s="46">
        <f ca="1">O204/SUM(O:O)</f>
        <v>5.5218750002156997E-3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input_388100!A$2</f>
        <v>388100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1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IFERROR(VLOOKUP(B205,input_388100!L:R,7,FALSE),VLOOKUP(tables_388100!C205,input_388100!A:H,8,FALSE))</f>
        <v>74.400000000000006</v>
      </c>
      <c r="P205" s="46">
        <f ca="1">O205/SUM(O:O)</f>
        <v>2.9062500001135266E-4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input_388100!A$2</f>
        <v>388100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1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IFERROR(VLOOKUP(B206,input_388100!L:R,7,FALSE),VLOOKUP(tables_388100!C206,input_388100!A:H,8,FALSE))</f>
        <v>152</v>
      </c>
      <c r="P206" s="46">
        <f ca="1">O206/SUM(O:O)</f>
        <v>5.9375000002319356E-4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input_388100!A$2</f>
        <v>388100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1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IFERROR(VLOOKUP(B207,input_388100!L:R,7,FALSE),VLOOKUP(tables_388100!C207,input_388100!A:H,8,FALSE))</f>
        <v>8</v>
      </c>
      <c r="P207" s="46">
        <f ca="1">O207/SUM(O:O)</f>
        <v>3.1250000001220711E-5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input_388100!A$2</f>
        <v>388100</v>
      </c>
      <c r="B208" s="6">
        <v>494</v>
      </c>
      <c r="C208" s="7" t="str">
        <f t="shared" si="9"/>
        <v>PremiumSS4color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1"/>
        <v>color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IFERROR(VLOOKUP(B208,input_388100!L:R,7,FALSE),VLOOKUP(tables_388100!C208,input_388100!A:H,8,FALSE))</f>
        <v>729.6</v>
      </c>
      <c r="P208" s="46">
        <f ca="1">O208/SUM(O:O)</f>
        <v>2.850000000111329E-3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input_388100!A$2</f>
        <v>388100</v>
      </c>
      <c r="B209" s="6">
        <v>495</v>
      </c>
      <c r="C209" s="7" t="str">
        <f t="shared" si="9"/>
        <v>PremiumSS5color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1"/>
        <v>color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IFERROR(VLOOKUP(B209,input_388100!L:R,7,FALSE),VLOOKUP(tables_388100!C209,input_388100!A:H,8,FALSE))</f>
        <v>38.4</v>
      </c>
      <c r="P209" s="46">
        <f ca="1">O209/SUM(O:O)</f>
        <v>1.5000000000585942E-4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input_388100!A$2</f>
        <v>388100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1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IFERROR(VLOOKUP(B210,input_388100!L:R,7,FALSE),VLOOKUP(tables_388100!C210,input_388100!A:H,8,FALSE))</f>
        <v>0</v>
      </c>
      <c r="P210" s="46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input_388100!A$2</f>
        <v>388100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1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IFERROR(VLOOKUP(B211,input_388100!L:R,7,FALSE),VLOOKUP(tables_388100!C211,input_388100!A:H,8,FALSE))</f>
        <v>1413.6</v>
      </c>
      <c r="P211" s="46">
        <f ca="1">O211/SUM(O:O)</f>
        <v>5.5218750002156997E-3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input_388100!A$2</f>
        <v>388100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1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IFERROR(VLOOKUP(B212,input_388100!L:R,7,FALSE),VLOOKUP(tables_388100!C212,input_388100!A:H,8,FALSE))</f>
        <v>74.400000000000006</v>
      </c>
      <c r="P212" s="46">
        <f ca="1">O212/SUM(O:O)</f>
        <v>2.9062500001135266E-4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input_388100!A$2</f>
        <v>388100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1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IFERROR(VLOOKUP(B213,input_388100!L:R,7,FALSE),VLOOKUP(tables_388100!C213,input_388100!A:H,8,FALSE))</f>
        <v>152</v>
      </c>
      <c r="P213" s="46">
        <f ca="1">O213/SUM(O:O)</f>
        <v>5.9375000002319356E-4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input_388100!A$2</f>
        <v>388100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1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IFERROR(VLOOKUP(B214,input_388100!L:R,7,FALSE),VLOOKUP(tables_388100!C214,input_388100!A:H,8,FALSE))</f>
        <v>8</v>
      </c>
      <c r="P214" s="46">
        <f ca="1">O214/SUM(O:O)</f>
        <v>3.1250000001220711E-5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input_388100!A$2</f>
        <v>388100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1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IFERROR(VLOOKUP(B215,input_388100!L:R,7,FALSE),VLOOKUP(tables_388100!C215,input_388100!A:H,8,FALSE))</f>
        <v>152</v>
      </c>
      <c r="P215" s="46">
        <f ca="1">O215/SUM(O:O)</f>
        <v>5.9375000002319356E-4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input_388100!A$2</f>
        <v>388100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1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IFERROR(VLOOKUP(B216,input_388100!L:R,7,FALSE),VLOOKUP(tables_388100!C216,input_388100!A:H,8,FALSE))</f>
        <v>8</v>
      </c>
      <c r="P216" s="46">
        <f ca="1">O216/SUM(O:O)</f>
        <v>3.1250000001220711E-5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input_388100!A$2</f>
        <v>388100</v>
      </c>
      <c r="B217" s="6">
        <v>588</v>
      </c>
      <c r="C217" s="7" t="str">
        <f t="shared" si="9"/>
        <v>Premium3color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1"/>
        <v>color</v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IFERROR(VLOOKUP(B217,input_388100!L:R,7,FALSE),VLOOKUP(tables_388100!C217,input_388100!A:H,8,FALSE))</f>
        <v>0</v>
      </c>
      <c r="P217" s="46">
        <f ca="1">O217/SUM(O:O)</f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input_388100!A$2</f>
        <v>388100</v>
      </c>
      <c r="B218" s="6">
        <v>589</v>
      </c>
      <c r="C218" s="7" t="str">
        <f t="shared" si="9"/>
        <v>Premium4color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1"/>
        <v>color</v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IFERROR(VLOOKUP(B218,input_388100!L:R,7,FALSE),VLOOKUP(tables_388100!C218,input_388100!A:H,8,FALSE))</f>
        <v>6168.4363599999997</v>
      </c>
      <c r="P218" s="46">
        <f ca="1">O218/SUM(O:O)</f>
        <v>2.4095454532191234E-2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input_388100!A$2</f>
        <v>388100</v>
      </c>
      <c r="B219" s="6">
        <v>590</v>
      </c>
      <c r="C219" s="7" t="str">
        <f t="shared" si="9"/>
        <v>Premium5color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1"/>
        <v>color</v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IFERROR(VLOOKUP(B219,input_388100!L:R,7,FALSE),VLOOKUP(tables_388100!C219,input_388100!A:H,8,FALSE))</f>
        <v>324.65454999999997</v>
      </c>
      <c r="P219" s="46">
        <f ca="1">O219/SUM(O:O)</f>
        <v>1.2681818359870387E-3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input_388100!A$2</f>
        <v>388100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1"/>
        <v/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IFERROR(VLOOKUP(B220,input_388100!L:R,7,FALSE),VLOOKUP(tables_388100!C220,input_388100!A:H,8,FALSE))</f>
        <v>0</v>
      </c>
      <c r="P220" s="46">
        <f ca="1">O220/SUM(O:O)</f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input_388100!A$2</f>
        <v>388100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1"/>
        <v/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IFERROR(VLOOKUP(B221,input_388100!L:R,7,FALSE),VLOOKUP(tables_388100!C221,input_388100!A:H,8,FALSE))</f>
        <v>1413.6</v>
      </c>
      <c r="P221" s="46">
        <f ca="1">O221/SUM(O:O)</f>
        <v>5.5218750002156997E-3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input_388100!A$2</f>
        <v>388100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1"/>
        <v/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IFERROR(VLOOKUP(B222,input_388100!L:R,7,FALSE),VLOOKUP(tables_388100!C222,input_388100!A:H,8,FALSE))</f>
        <v>74.400000000000006</v>
      </c>
      <c r="P222" s="46">
        <f ca="1">O222/SUM(O:O)</f>
        <v>2.9062500001135266E-4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input_388100!A$2</f>
        <v>388100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1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IFERROR(VLOOKUP(B223,input_388100!L:R,7,FALSE),VLOOKUP(tables_388100!C223,input_388100!A:H,8,FALSE))</f>
        <v>152</v>
      </c>
      <c r="P223" s="46">
        <f ca="1">O223/SUM(O:O)</f>
        <v>5.9375000002319356E-4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input_388100!A$2</f>
        <v>388100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1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IFERROR(VLOOKUP(B224,input_388100!L:R,7,FALSE),VLOOKUP(tables_388100!C224,input_388100!A:H,8,FALSE))</f>
        <v>8</v>
      </c>
      <c r="P224" s="46">
        <f ca="1">O224/SUM(O:O)</f>
        <v>3.1250000001220711E-5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input_388100!A$2</f>
        <v>388100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1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IFERROR(VLOOKUP(B225,input_388100!L:R,7,FALSE),VLOOKUP(tables_388100!C225,input_388100!A:H,8,FALSE))</f>
        <v>0</v>
      </c>
      <c r="P225" s="46">
        <f ca="1">O225/SUM(O:O)</f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input_388100!A$2</f>
        <v>388100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1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IFERROR(VLOOKUP(B226,input_388100!L:R,7,FALSE),VLOOKUP(tables_388100!C226,input_388100!A:H,8,FALSE))</f>
        <v>1413.6</v>
      </c>
      <c r="P226" s="46">
        <f ca="1">O226/SUM(O:O)</f>
        <v>5.5218750002156997E-3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input_388100!A$2</f>
        <v>388100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1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IFERROR(VLOOKUP(B227,input_388100!L:R,7,FALSE),VLOOKUP(tables_388100!C227,input_388100!A:H,8,FALSE))</f>
        <v>74.400000000000006</v>
      </c>
      <c r="P227" s="46">
        <f ca="1">O227/SUM(O:O)</f>
        <v>2.9062500001135266E-4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input_388100!A$2</f>
        <v>388100</v>
      </c>
      <c r="B228" s="6">
        <v>599</v>
      </c>
      <c r="C228" s="7" t="str">
        <f t="shared" si="9"/>
        <v>Premium3color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1"/>
        <v>color</v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IFERROR(VLOOKUP(B228,input_388100!L:R,7,FALSE),VLOOKUP(tables_388100!C228,input_388100!A:H,8,FALSE))</f>
        <v>0</v>
      </c>
      <c r="P228" s="46">
        <f ca="1">O228/SUM(O:O)</f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input_388100!A$2</f>
        <v>388100</v>
      </c>
      <c r="B229" s="6">
        <v>600</v>
      </c>
      <c r="C229" s="7" t="str">
        <f t="shared" si="9"/>
        <v>Premium4color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1"/>
        <v>color</v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IFERROR(VLOOKUP(B229,input_388100!L:R,7,FALSE),VLOOKUP(tables_388100!C229,input_388100!A:H,8,FALSE))</f>
        <v>6168.4363599999997</v>
      </c>
      <c r="P229" s="46">
        <f ca="1">O229/SUM(O:O)</f>
        <v>2.4095454532191234E-2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input_388100!A$2</f>
        <v>388100</v>
      </c>
      <c r="B230" s="6">
        <v>601</v>
      </c>
      <c r="C230" s="7" t="str">
        <f t="shared" si="9"/>
        <v>Premium5color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1"/>
        <v>color</v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IFERROR(VLOOKUP(B230,input_388100!L:R,7,FALSE),VLOOKUP(tables_388100!C230,input_388100!A:H,8,FALSE))</f>
        <v>324.65454999999997</v>
      </c>
      <c r="P230" s="46">
        <f ca="1">O230/SUM(O:O)</f>
        <v>1.2681818359870387E-3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input_388100!A$2</f>
        <v>388100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1"/>
        <v/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IFERROR(VLOOKUP(B231,input_388100!L:R,7,FALSE),VLOOKUP(tables_388100!C231,input_388100!A:H,8,FALSE))</f>
        <v>152</v>
      </c>
      <c r="P231" s="46">
        <f ca="1">O231/SUM(O:O)</f>
        <v>5.9375000002319356E-4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input_388100!A$2</f>
        <v>388100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1"/>
        <v/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IFERROR(VLOOKUP(B232,input_388100!L:R,7,FALSE),VLOOKUP(tables_388100!C232,input_388100!A:H,8,FALSE))</f>
        <v>8</v>
      </c>
      <c r="P232" s="46">
        <f ca="1">O232/SUM(O:O)</f>
        <v>3.1250000001220711E-5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input_388100!A$2</f>
        <v>388100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1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IFERROR(VLOOKUP(B233,input_388100!L:R,7,FALSE),VLOOKUP(tables_388100!C233,input_388100!A:H,8,FALSE))</f>
        <v>0</v>
      </c>
      <c r="P233" s="46">
        <f ca="1">O233/SUM(O:O)</f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input_388100!A$2</f>
        <v>388100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1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IFERROR(VLOOKUP(B234,input_388100!L:R,7,FALSE),VLOOKUP(tables_388100!C234,input_388100!A:H,8,FALSE))</f>
        <v>1413.6</v>
      </c>
      <c r="P234" s="46">
        <f ca="1">O234/SUM(O:O)</f>
        <v>5.5218750002156997E-3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input_388100!A$2</f>
        <v>388100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1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IFERROR(VLOOKUP(B235,input_388100!L:R,7,FALSE),VLOOKUP(tables_388100!C235,input_388100!A:H,8,FALSE))</f>
        <v>74.400000000000006</v>
      </c>
      <c r="P235" s="46">
        <f ca="1">O235/SUM(O:O)</f>
        <v>2.9062500001135266E-4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input_388100!A$2</f>
        <v>388100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1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IFERROR(VLOOKUP(B236,input_388100!L:R,7,FALSE),VLOOKUP(tables_388100!C236,input_388100!A:H,8,FALSE))</f>
        <v>152</v>
      </c>
      <c r="P236" s="46">
        <f ca="1">O236/SUM(O:O)</f>
        <v>5.9375000002319356E-4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input_388100!A$2</f>
        <v>388100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1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IFERROR(VLOOKUP(B237,input_388100!L:R,7,FALSE),VLOOKUP(tables_388100!C237,input_388100!A:H,8,FALSE))</f>
        <v>8</v>
      </c>
      <c r="P237" s="46">
        <f ca="1">O237/SUM(O:O)</f>
        <v>3.1250000001220711E-5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input_388100!A$2</f>
        <v>388100</v>
      </c>
      <c r="B238" s="6">
        <v>660</v>
      </c>
      <c r="C238" s="7" t="str">
        <f t="shared" si="9"/>
        <v>PremiumSS4color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1"/>
        <v>color</v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IFERROR(VLOOKUP(B238,input_388100!L:R,7,FALSE),VLOOKUP(tables_388100!C238,input_388100!A:H,8,FALSE))</f>
        <v>729.6</v>
      </c>
      <c r="P238" s="46">
        <f ca="1">O238/SUM(O:O)</f>
        <v>2.850000000111329E-3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input_388100!A$2</f>
        <v>388100</v>
      </c>
      <c r="B239" s="6">
        <v>661</v>
      </c>
      <c r="C239" s="7" t="str">
        <f t="shared" si="9"/>
        <v>PremiumSS5color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1"/>
        <v>color</v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IFERROR(VLOOKUP(B239,input_388100!L:R,7,FALSE),VLOOKUP(tables_388100!C239,input_388100!A:H,8,FALSE))</f>
        <v>38.4</v>
      </c>
      <c r="P239" s="46">
        <f ca="1">O239/SUM(O:O)</f>
        <v>1.5000000000585942E-4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input_388100!A$2</f>
        <v>388100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1"/>
        <v/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IFERROR(VLOOKUP(B240,input_388100!L:R,7,FALSE),VLOOKUP(tables_388100!C240,input_388100!A:H,8,FALSE))</f>
        <v>0</v>
      </c>
      <c r="P240" s="46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input_388100!A$2</f>
        <v>388100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1"/>
        <v/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IFERROR(VLOOKUP(B241,input_388100!L:R,7,FALSE),VLOOKUP(tables_388100!C241,input_388100!A:H,8,FALSE))</f>
        <v>1413.6</v>
      </c>
      <c r="P241" s="46">
        <f ca="1">O241/SUM(O:O)</f>
        <v>5.5218750002156997E-3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input_388100!A$2</f>
        <v>388100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1"/>
        <v/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IFERROR(VLOOKUP(B242,input_388100!L:R,7,FALSE),VLOOKUP(tables_388100!C242,input_388100!A:H,8,FALSE))</f>
        <v>74.400000000000006</v>
      </c>
      <c r="P242" s="46">
        <f ca="1">O242/SUM(O:O)</f>
        <v>2.9062500001135266E-4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input_388100!A$2</f>
        <v>388100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1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IFERROR(VLOOKUP(B243,input_388100!L:R,7,FALSE),VLOOKUP(tables_388100!C243,input_388100!A:H,8,FALSE))</f>
        <v>0</v>
      </c>
      <c r="P243" s="46">
        <f ca="1">O243/SUM(O:O)</f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input_388100!A$2</f>
        <v>388100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1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IFERROR(VLOOKUP(B244,input_388100!L:R,7,FALSE),VLOOKUP(tables_388100!C244,input_388100!A:H,8,FALSE))</f>
        <v>1413.6</v>
      </c>
      <c r="P244" s="46">
        <f ca="1">O244/SUM(O:O)</f>
        <v>5.5218750002156997E-3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input_388100!A$2</f>
        <v>388100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1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IFERROR(VLOOKUP(B245,input_388100!L:R,7,FALSE),VLOOKUP(tables_388100!C245,input_388100!A:H,8,FALSE))</f>
        <v>74.400000000000006</v>
      </c>
      <c r="P245" s="46">
        <f ca="1">O245/SUM(O:O)</f>
        <v>2.9062500001135266E-4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input_388100!A$2</f>
        <v>388100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1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IFERROR(VLOOKUP(B246,input_388100!L:R,7,FALSE),VLOOKUP(tables_388100!C246,input_388100!A:H,8,FALSE))</f>
        <v>0</v>
      </c>
      <c r="P246" s="46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input_388100!A$2</f>
        <v>388100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1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IFERROR(VLOOKUP(B247,input_388100!L:R,7,FALSE),VLOOKUP(tables_388100!C247,input_388100!A:H,8,FALSE))</f>
        <v>1413.6</v>
      </c>
      <c r="P247" s="46">
        <f ca="1">O247/SUM(O:O)</f>
        <v>5.5218750002156997E-3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input_388100!A$2</f>
        <v>388100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1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IFERROR(VLOOKUP(B248,input_388100!L:R,7,FALSE),VLOOKUP(tables_388100!C248,input_388100!A:H,8,FALSE))</f>
        <v>74.400000000000006</v>
      </c>
      <c r="P248" s="46">
        <f ca="1">O248/SUM(O:O)</f>
        <v>2.9062500001135266E-4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input_388100!A$2</f>
        <v>388100</v>
      </c>
      <c r="B249" s="60">
        <v>671</v>
      </c>
      <c r="C249" s="7" t="str">
        <f t="shared" si="9"/>
        <v>Premium3color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1"/>
        <v>color</v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IFERROR(VLOOKUP(B249,input_388100!L:R,7,FALSE),VLOOKUP(tables_388100!C249,input_388100!A:H,8,FALSE))</f>
        <v>0</v>
      </c>
      <c r="P249" s="46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input_388100!A$2</f>
        <v>388100</v>
      </c>
      <c r="B250" s="60">
        <v>672</v>
      </c>
      <c r="C250" s="7" t="str">
        <f t="shared" si="9"/>
        <v>Premium4color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1"/>
        <v>color</v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IFERROR(VLOOKUP(B250,input_388100!L:R,7,FALSE),VLOOKUP(tables_388100!C250,input_388100!A:H,8,FALSE))</f>
        <v>6168.4363599999997</v>
      </c>
      <c r="P250" s="46">
        <f ca="1">O250/SUM(O:O)</f>
        <v>2.4095454532191234E-2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input_388100!A$2</f>
        <v>388100</v>
      </c>
      <c r="B251" s="60">
        <v>673</v>
      </c>
      <c r="C251" s="7" t="str">
        <f t="shared" si="9"/>
        <v>Premium5color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1"/>
        <v>color</v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IFERROR(VLOOKUP(B251,input_388100!L:R,7,FALSE),VLOOKUP(tables_388100!C251,input_388100!A:H,8,FALSE))</f>
        <v>324.65454999999997</v>
      </c>
      <c r="P251" s="46">
        <f ca="1">O251/SUM(O:O)</f>
        <v>1.2681818359870387E-3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input_388100!A$2</f>
        <v>388100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1"/>
        <v/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IFERROR(VLOOKUP(B252,input_388100!L:R,7,FALSE),VLOOKUP(tables_388100!C252,input_388100!A:H,8,FALSE))</f>
        <v>152</v>
      </c>
      <c r="P252" s="46">
        <f ca="1">O252/SUM(O:O)</f>
        <v>5.9375000002319356E-4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input_388100!A$2</f>
        <v>388100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1"/>
        <v/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IFERROR(VLOOKUP(B253,input_388100!L:R,7,FALSE),VLOOKUP(tables_388100!C253,input_388100!A:H,8,FALSE))</f>
        <v>8</v>
      </c>
      <c r="P253" s="46">
        <f ca="1">O253/SUM(O:O)</f>
        <v>3.1250000001220711E-5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input_388100!A$2</f>
        <v>388100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1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IFERROR(VLOOKUP(B254,input_388100!L:R,7,FALSE),VLOOKUP(tables_388100!C254,input_388100!A:H,8,FALSE))</f>
        <v>152</v>
      </c>
      <c r="P254" s="46">
        <f ca="1">O254/SUM(O:O)</f>
        <v>5.9375000002319356E-4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input_388100!A$2</f>
        <v>388100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1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IFERROR(VLOOKUP(B255,input_388100!L:R,7,FALSE),VLOOKUP(tables_388100!C255,input_388100!A:H,8,FALSE))</f>
        <v>8</v>
      </c>
      <c r="P255" s="46">
        <f ca="1">O255/SUM(O:O)</f>
        <v>3.1250000001220711E-5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input_388100!A$2</f>
        <v>388100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 t="str">
        <f t="shared" si="11"/>
        <v/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IFERROR(VLOOKUP(B256,input_388100!L:R,7,FALSE),VLOOKUP(tables_388100!C256,input_388100!A:H,8,FALSE))</f>
        <v>1478.4</v>
      </c>
      <c r="P256" s="46">
        <f ca="1">O256/SUM(O:O)</f>
        <v>5.7750000002255884E-3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input_388100!A$2</f>
        <v>388100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 t="str">
        <f t="shared" si="11"/>
        <v/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IFERROR(VLOOKUP(B257,input_388100!L:R,7,FALSE),VLOOKUP(tables_388100!C257,input_388100!A:H,8,FALSE))</f>
        <v>9.6</v>
      </c>
      <c r="P257" s="46">
        <f ca="1">O257/SUM(O:O)</f>
        <v>3.7500000001464855E-5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input_388100!A$2</f>
        <v>388100</v>
      </c>
      <c r="B258" s="60">
        <v>730</v>
      </c>
      <c r="C258" s="7" t="str">
        <f t="shared" ref="C258:C284" si="12">D258&amp;J258&amp;E258&amp;F258&amp;G258</f>
        <v>Premium4R3lesscolor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 t="str">
        <f t="shared" si="11"/>
        <v>color</v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IFERROR(VLOOKUP(B258,input_388100!L:R,7,FALSE),VLOOKUP(tables_388100!C258,input_388100!A:H,8,FALSE))</f>
        <v>6305.7454500000003</v>
      </c>
      <c r="P258" s="46">
        <f ca="1">O258/SUM(O:O)</f>
        <v>2.4631818165024688E-2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input_388100!A$2</f>
        <v>388100</v>
      </c>
      <c r="B259" s="60">
        <v>731</v>
      </c>
      <c r="C259" s="7" t="str">
        <f t="shared" si="12"/>
        <v>Premium5R3lesscolor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 t="str">
        <f t="shared" ref="G259:G300" si="14">IF(K259="green","color","")</f>
        <v>color</v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IFERROR(VLOOKUP(B259,input_388100!L:R,7,FALSE),VLOOKUP(tables_388100!C259,input_388100!A:H,8,FALSE))</f>
        <v>187.34545</v>
      </c>
      <c r="P259" s="46">
        <f ca="1">O259/SUM(O:O)</f>
        <v>7.3181816409108682E-4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input_388100!A$2</f>
        <v>388100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 t="str">
        <f t="shared" si="14"/>
        <v/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IFERROR(VLOOKUP(B260,input_388100!L:R,7,FALSE),VLOOKUP(tables_388100!C260,input_388100!A:H,8,FALSE))</f>
        <v>160</v>
      </c>
      <c r="P260" s="46">
        <f ca="1">O260/SUM(O:O)</f>
        <v>6.2500000002441429E-4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input_388100!A$2</f>
        <v>388100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 t="str">
        <f t="shared" si="14"/>
        <v/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IFERROR(VLOOKUP(B261,input_388100!L:R,7,FALSE),VLOOKUP(tables_388100!C261,input_388100!A:H,8,FALSE))</f>
        <v>160</v>
      </c>
      <c r="P261" s="46">
        <f ca="1">O261/SUM(O:O)</f>
        <v>6.2500000002441429E-4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input_388100!A$2</f>
        <v>388100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4"/>
        <v/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IFERROR(VLOOKUP(B262,input_388100!L:R,7,FALSE),VLOOKUP(tables_388100!C262,input_388100!A:H,8,FALSE))</f>
        <v>152</v>
      </c>
      <c r="P262" s="46">
        <f ca="1">O262/SUM(O:O)</f>
        <v>5.9375000002319356E-4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input_388100!A$2</f>
        <v>388100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4"/>
        <v/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IFERROR(VLOOKUP(B263,input_388100!L:R,7,FALSE),VLOOKUP(tables_388100!C263,input_388100!A:H,8,FALSE))</f>
        <v>8</v>
      </c>
      <c r="P263" s="46">
        <f ca="1">O263/SUM(O:O)</f>
        <v>3.1250000001220711E-5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input_388100!A$2</f>
        <v>388100</v>
      </c>
      <c r="B264" s="60">
        <v>772</v>
      </c>
      <c r="C264" s="7" t="str">
        <f t="shared" si="12"/>
        <v>PremiumSS4color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4"/>
        <v>color</v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IFERROR(VLOOKUP(B264,input_388100!L:R,7,FALSE),VLOOKUP(tables_388100!C264,input_388100!A:H,8,FALSE))</f>
        <v>729.6</v>
      </c>
      <c r="P264" s="46">
        <f ca="1">O264/SUM(O:O)</f>
        <v>2.850000000111329E-3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input_388100!A$2</f>
        <v>388100</v>
      </c>
      <c r="B265" s="60">
        <v>773</v>
      </c>
      <c r="C265" s="7" t="str">
        <f t="shared" si="12"/>
        <v>PremiumSS5color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4"/>
        <v>color</v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IFERROR(VLOOKUP(B265,input_388100!L:R,7,FALSE),VLOOKUP(tables_388100!C265,input_388100!A:H,8,FALSE))</f>
        <v>38.4</v>
      </c>
      <c r="P265" s="46">
        <f ca="1">O265/SUM(O:O)</f>
        <v>1.5000000000585942E-4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input_388100!A$2</f>
        <v>388100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 t="str">
        <f t="shared" si="14"/>
        <v/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IFERROR(VLOOKUP(B266,input_388100!L:R,7,FALSE),VLOOKUP(tables_388100!C266,input_388100!A:H,8,FALSE))</f>
        <v>0</v>
      </c>
      <c r="P266" s="46">
        <f ca="1">O266/SUM(O:O)</f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input_388100!A$2</f>
        <v>388100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 t="str">
        <f t="shared" si="14"/>
        <v/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IFERROR(VLOOKUP(B267,input_388100!L:R,7,FALSE),VLOOKUP(tables_388100!C267,input_388100!A:H,8,FALSE))</f>
        <v>1413.6</v>
      </c>
      <c r="P267" s="46">
        <f ca="1">O267/SUM(O:O)</f>
        <v>5.5218750002156997E-3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input_388100!A$2</f>
        <v>388100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 t="str">
        <f t="shared" si="14"/>
        <v/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IFERROR(VLOOKUP(B268,input_388100!L:R,7,FALSE),VLOOKUP(tables_388100!C268,input_388100!A:H,8,FALSE))</f>
        <v>74.400000000000006</v>
      </c>
      <c r="P268" s="46">
        <f ca="1">O268/SUM(O:O)</f>
        <v>2.9062500001135266E-4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input_388100!A$2</f>
        <v>388100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 t="str">
        <f t="shared" si="14"/>
        <v/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IFERROR(VLOOKUP(B269,input_388100!L:R,7,FALSE),VLOOKUP(tables_388100!C269,input_388100!A:H,8,FALSE))</f>
        <v>0</v>
      </c>
      <c r="P269" s="46">
        <f ca="1">O269/SUM(O:O)</f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input_388100!A$2</f>
        <v>388100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 t="str">
        <f t="shared" si="14"/>
        <v/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IFERROR(VLOOKUP(B270,input_388100!L:R,7,FALSE),VLOOKUP(tables_388100!C270,input_388100!A:H,8,FALSE))</f>
        <v>1413.6</v>
      </c>
      <c r="P270" s="46">
        <f ca="1">O270/SUM(O:O)</f>
        <v>5.5218750002156997E-3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input_388100!A$2</f>
        <v>388100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 t="str">
        <f t="shared" si="14"/>
        <v/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IFERROR(VLOOKUP(B271,input_388100!L:R,7,FALSE),VLOOKUP(tables_388100!C271,input_388100!A:H,8,FALSE))</f>
        <v>74.400000000000006</v>
      </c>
      <c r="P271" s="46">
        <f ca="1">O271/SUM(O:O)</f>
        <v>2.9062500001135266E-4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input_388100!A$2</f>
        <v>388100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tr">
        <f t="shared" si="14"/>
        <v/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IFERROR(VLOOKUP(B272,input_388100!L:R,7,FALSE),VLOOKUP(tables_388100!C272,input_388100!A:H,8,FALSE))</f>
        <v>160</v>
      </c>
      <c r="P272" s="46">
        <f ca="1">O272/SUM(O:O)</f>
        <v>6.2500000002441429E-4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input_388100!A$2</f>
        <v>388100</v>
      </c>
      <c r="B273" s="83">
        <v>850</v>
      </c>
      <c r="C273" s="7" t="str">
        <f t="shared" si="12"/>
        <v>PremiumSS5R5onlycolor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 t="str">
        <f t="shared" si="14"/>
        <v>color</v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IFERROR(VLOOKUP(B273,input_388100!L:R,7,FALSE),VLOOKUP(tables_388100!C273,input_388100!A:H,8,FALSE))</f>
        <v>768</v>
      </c>
      <c r="P273" s="46">
        <f ca="1">O273/SUM(O:O)</f>
        <v>3.0000000001171884E-3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input_388100!A$2</f>
        <v>388100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tr">
        <f t="shared" si="14"/>
        <v/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IFERROR(VLOOKUP(B274,input_388100!L:R,7,FALSE),VLOOKUP(tables_388100!C274,input_388100!A:H,8,FALSE))</f>
        <v>1478.4</v>
      </c>
      <c r="P274" s="46">
        <f ca="1">O274/SUM(O:O)</f>
        <v>5.7750000002255884E-3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input_388100!A$2</f>
        <v>388100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tr">
        <f t="shared" si="14"/>
        <v/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IFERROR(VLOOKUP(B275,input_388100!L:R,7,FALSE),VLOOKUP(tables_388100!C275,input_388100!A:H,8,FALSE))</f>
        <v>9.6</v>
      </c>
      <c r="P275" s="46">
        <f ca="1">O275/SUM(O:O)</f>
        <v>3.7500000001464855E-5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input_388100!A$2</f>
        <v>388100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tr">
        <f t="shared" si="14"/>
        <v/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IFERROR(VLOOKUP(B276,input_388100!L:R,7,FALSE),VLOOKUP(tables_388100!C276,input_388100!A:H,8,FALSE))</f>
        <v>1478.4</v>
      </c>
      <c r="P276" s="46">
        <f ca="1">O276/SUM(O:O)</f>
        <v>5.7750000002255884E-3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input_388100!A$2</f>
        <v>388100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tr">
        <f t="shared" si="14"/>
        <v/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IFERROR(VLOOKUP(B277,input_388100!L:R,7,FALSE),VLOOKUP(tables_388100!C277,input_388100!A:H,8,FALSE))</f>
        <v>9.6</v>
      </c>
      <c r="P277" s="46">
        <f ca="1">O277/SUM(O:O)</f>
        <v>3.7500000001464855E-5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input_388100!A$2</f>
        <v>388100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tr">
        <f t="shared" si="14"/>
        <v/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IFERROR(VLOOKUP(B278,input_388100!L:R,7,FALSE),VLOOKUP(tables_388100!C278,input_388100!A:H,8,FALSE))</f>
        <v>1478.4</v>
      </c>
      <c r="P278" s="46">
        <f ca="1">O278/SUM(O:O)</f>
        <v>5.7750000002255884E-3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input_388100!A$2</f>
        <v>388100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tr">
        <f t="shared" si="14"/>
        <v/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IFERROR(VLOOKUP(B279,input_388100!L:R,7,FALSE),VLOOKUP(tables_388100!C279,input_388100!A:H,8,FALSE))</f>
        <v>9.6</v>
      </c>
      <c r="P279" s="46">
        <f ca="1">O279/SUM(O:O)</f>
        <v>3.7500000001464855E-5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input_388100!A$2</f>
        <v>388100</v>
      </c>
      <c r="B280" s="83">
        <v>864</v>
      </c>
      <c r="C280" s="7" t="str">
        <f t="shared" si="12"/>
        <v>Premium4R3lesscolor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 t="str">
        <f t="shared" si="14"/>
        <v>color</v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IFERROR(VLOOKUP(B280,input_388100!L:R,7,FALSE),VLOOKUP(tables_388100!C280,input_388100!A:H,8,FALSE))</f>
        <v>6305.7454500000003</v>
      </c>
      <c r="P280" s="46">
        <f ca="1">O280/SUM(O:O)</f>
        <v>2.4631818165024688E-2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input_388100!A$2</f>
        <v>388100</v>
      </c>
      <c r="B281" s="83">
        <v>865</v>
      </c>
      <c r="C281" s="7" t="str">
        <f t="shared" si="12"/>
        <v>Premium5R3lesscolor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 t="str">
        <f t="shared" si="14"/>
        <v>color</v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IFERROR(VLOOKUP(B281,input_388100!L:R,7,FALSE),VLOOKUP(tables_388100!C281,input_388100!A:H,8,FALSE))</f>
        <v>187.34545</v>
      </c>
      <c r="P281" s="46">
        <f ca="1">O281/SUM(O:O)</f>
        <v>7.3181816409108682E-4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input_388100!A$2</f>
        <v>388100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tr">
        <f t="shared" si="14"/>
        <v/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IFERROR(VLOOKUP(B282,input_388100!L:R,7,FALSE),VLOOKUP(tables_388100!C282,input_388100!A:H,8,FALSE))</f>
        <v>160</v>
      </c>
      <c r="P282" s="46">
        <f ca="1">O282/SUM(O:O)</f>
        <v>6.2500000002441429E-4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input_388100!A$2</f>
        <v>388100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tr">
        <f t="shared" si="14"/>
        <v/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IFERROR(VLOOKUP(B283,input_388100!L:R,7,FALSE),VLOOKUP(tables_388100!C283,input_388100!A:H,8,FALSE))</f>
        <v>160</v>
      </c>
      <c r="P283" s="46">
        <f ca="1">O283/SUM(O:O)</f>
        <v>6.2500000002441429E-4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input_388100!A$2</f>
        <v>388100</v>
      </c>
      <c r="B284" s="83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 t="str">
        <f t="shared" si="14"/>
        <v/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IFERROR(VLOOKUP(B284,input_388100!L:R,7,FALSE),VLOOKUP(tables_388100!C284,input_388100!A:H,8,FALSE))</f>
        <v>160</v>
      </c>
      <c r="P284" s="46">
        <f ca="1">O284/SUM(O:O)</f>
        <v>6.2500000002441429E-4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input_388100!A$2</f>
        <v>388100</v>
      </c>
      <c r="B285" s="83">
        <v>744</v>
      </c>
      <c r="C285" s="7" t="str">
        <f t="shared" ref="C285:C290" si="15">D285&amp;J285&amp;E285&amp;F285&amp;G285</f>
        <v>PremiumSS5R5onlycolor</v>
      </c>
      <c r="D285" s="7" t="str">
        <f t="shared" ref="D285:D290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 t="str">
        <f t="shared" si="14"/>
        <v>color</v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IFERROR(VLOOKUP(B285,input_388100!L:R,7,FALSE),VLOOKUP(tables_388100!C285,input_388100!A:H,8,FALSE))</f>
        <v>768</v>
      </c>
      <c r="P285" s="46">
        <f ca="1">O285/SUM(O:O)</f>
        <v>3.0000000001171884E-3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input_388100!A$2</f>
        <v>388100</v>
      </c>
      <c r="B286" s="83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 t="str">
        <f t="shared" si="14"/>
        <v/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IFERROR(VLOOKUP(B286,input_388100!L:R,7,FALSE),VLOOKUP(tables_388100!C286,input_388100!A:H,8,FALSE))</f>
        <v>1478.4</v>
      </c>
      <c r="P286" s="46">
        <f ca="1">O286/SUM(O:O)</f>
        <v>5.7750000002255884E-3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input_388100!A$2</f>
        <v>388100</v>
      </c>
      <c r="B287" s="83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 t="str">
        <f t="shared" si="14"/>
        <v/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IFERROR(VLOOKUP(B287,input_388100!L:R,7,FALSE),VLOOKUP(tables_388100!C287,input_388100!A:H,8,FALSE))</f>
        <v>9.6</v>
      </c>
      <c r="P287" s="46">
        <f ca="1">O287/SUM(O:O)</f>
        <v>3.7500000001464855E-5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input_388100!A$2</f>
        <v>388100</v>
      </c>
      <c r="B288" s="83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 t="str">
        <f t="shared" si="14"/>
        <v/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IFERROR(VLOOKUP(B288,input_388100!L:R,7,FALSE),VLOOKUP(tables_388100!C288,input_388100!A:H,8,FALSE))</f>
        <v>1478.4</v>
      </c>
      <c r="P288" s="46">
        <f ca="1">O288/SUM(O:O)</f>
        <v>5.7750000002255884E-3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input_388100!A$2</f>
        <v>388100</v>
      </c>
      <c r="B289" s="83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 t="str">
        <f t="shared" si="14"/>
        <v/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IFERROR(VLOOKUP(B289,input_388100!L:R,7,FALSE),VLOOKUP(tables_388100!C289,input_388100!A:H,8,FALSE))</f>
        <v>9.6</v>
      </c>
      <c r="P289" s="46">
        <f ca="1">O289/SUM(O:O)</f>
        <v>3.7500000001464855E-5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input_388100!A$2</f>
        <v>388100</v>
      </c>
      <c r="B290" s="83">
        <v>937</v>
      </c>
      <c r="C290" s="7" t="str">
        <f t="shared" si="15"/>
        <v>PremiumSS5R5only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 t="str">
        <f t="shared" si="14"/>
        <v/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IFERROR(VLOOKUP(B290,input_388100!L:R,7,FALSE),VLOOKUP(tables_388100!C290,input_388100!A:H,8,FALSE))</f>
        <v>160</v>
      </c>
      <c r="P290" s="46">
        <f ca="1">O290/SUM(O:O)</f>
        <v>6.2500000002441429E-4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input_388100!A$2</f>
        <v>388100</v>
      </c>
      <c r="B291" s="83">
        <v>939</v>
      </c>
      <c r="C291" s="7" t="str">
        <f t="shared" ref="C291:C300" si="17">D291&amp;J291&amp;E291&amp;F291&amp;G291</f>
        <v>Premium4R3lesscolor</v>
      </c>
      <c r="D291" s="7" t="str">
        <f t="shared" ref="D291:D300" si="18">IF(I291="PremiumSS",I291,IF(I291="PremiumSSS",I291,IF(I291="PremiumW",I291,"Premium")))</f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 t="str">
        <f t="shared" si="14"/>
        <v>color</v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IFERROR(VLOOKUP(B291,input_388100!L:R,7,FALSE),VLOOKUP(tables_388100!C291,input_388100!A:H,8,FALSE))</f>
        <v>6305.7454500000003</v>
      </c>
      <c r="P291" s="46">
        <f ca="1">O291/SUM(O:O)</f>
        <v>2.4631818165024688E-2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input_388100!A$2</f>
        <v>388100</v>
      </c>
      <c r="B292" s="83">
        <v>940</v>
      </c>
      <c r="C292" s="7" t="str">
        <f t="shared" si="17"/>
        <v>Premium5R3lesscolor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 t="str">
        <f t="shared" si="14"/>
        <v>color</v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IFERROR(VLOOKUP(B292,input_388100!L:R,7,FALSE),VLOOKUP(tables_388100!C292,input_388100!A:H,8,FALSE))</f>
        <v>187.34545</v>
      </c>
      <c r="P292" s="46">
        <f ca="1">O292/SUM(O:O)</f>
        <v>7.3181816409108682E-4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input_388100!A$2</f>
        <v>388100</v>
      </c>
      <c r="B293" s="83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 t="str">
        <f t="shared" si="14"/>
        <v/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IFERROR(VLOOKUP(B293,input_388100!L:R,7,FALSE),VLOOKUP(tables_388100!C293,input_388100!A:H,8,FALSE))</f>
        <v>160</v>
      </c>
      <c r="P293" s="46">
        <f ca="1">O293/SUM(O:O)</f>
        <v>6.2500000002441429E-4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input_388100!A$2</f>
        <v>388100</v>
      </c>
      <c r="B294" s="83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 t="str">
        <f t="shared" si="14"/>
        <v/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IFERROR(VLOOKUP(B294,input_388100!L:R,7,FALSE),VLOOKUP(tables_388100!C294,input_388100!A:H,8,FALSE))</f>
        <v>160</v>
      </c>
      <c r="P294" s="46">
        <f ca="1">O294/SUM(O:O)</f>
        <v>6.2500000002441429E-4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input_388100!A$2</f>
        <v>388100</v>
      </c>
      <c r="B295" s="5">
        <v>1012</v>
      </c>
      <c r="C295" s="7" t="str">
        <f t="shared" si="17"/>
        <v>PremiumSS5R5only</v>
      </c>
      <c r="D295" s="7" t="str">
        <f t="shared" si="18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 t="str">
        <f t="shared" si="14"/>
        <v/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IFERROR(VLOOKUP(B295,input_388100!L:R,7,FALSE),VLOOKUP(tables_388100!C295,input_388100!A:H,8,FALSE))</f>
        <v>160</v>
      </c>
      <c r="P295" s="46">
        <f ca="1">O295/SUM(O:O)</f>
        <v>6.2500000002441429E-4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input_388100!A$2</f>
        <v>388100</v>
      </c>
      <c r="B296" s="5">
        <v>1014</v>
      </c>
      <c r="C296" s="7" t="str">
        <f t="shared" si="17"/>
        <v>PremiumSS5R5onlycolor</v>
      </c>
      <c r="D296" s="7" t="str">
        <f t="shared" si="18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 t="str">
        <f t="shared" si="14"/>
        <v>color</v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IFERROR(VLOOKUP(B296,input_388100!L:R,7,FALSE),VLOOKUP(tables_388100!C296,input_388100!A:H,8,FALSE))</f>
        <v>768</v>
      </c>
      <c r="P296" s="46">
        <f ca="1">O296/SUM(O:O)</f>
        <v>3.0000000001171884E-3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input_388100!A$2</f>
        <v>388100</v>
      </c>
      <c r="B297" s="5">
        <v>1016</v>
      </c>
      <c r="C297" s="7" t="str">
        <f t="shared" si="17"/>
        <v>Premium4R3less</v>
      </c>
      <c r="D297" s="7" t="str">
        <f t="shared" si="18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 t="str">
        <f t="shared" si="14"/>
        <v/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IFERROR(VLOOKUP(B297,input_388100!L:R,7,FALSE),VLOOKUP(tables_388100!C297,input_388100!A:H,8,FALSE))</f>
        <v>1478.4</v>
      </c>
      <c r="P297" s="46">
        <f ca="1">O297/SUM(O:O)</f>
        <v>5.7750000002255884E-3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input_388100!A$2</f>
        <v>388100</v>
      </c>
      <c r="B298" s="5">
        <v>1017</v>
      </c>
      <c r="C298" s="7" t="str">
        <f t="shared" si="17"/>
        <v>Premium5R3less</v>
      </c>
      <c r="D298" s="7" t="str">
        <f t="shared" si="18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 t="str">
        <f t="shared" si="14"/>
        <v/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IFERROR(VLOOKUP(B298,input_388100!L:R,7,FALSE),VLOOKUP(tables_388100!C298,input_388100!A:H,8,FALSE))</f>
        <v>9.6</v>
      </c>
      <c r="P298" s="46">
        <f ca="1">O298/SUM(O:O)</f>
        <v>3.7500000001464855E-5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input_388100!A$2</f>
        <v>388100</v>
      </c>
      <c r="B299" s="5">
        <v>1018</v>
      </c>
      <c r="C299" s="7" t="str">
        <f t="shared" si="17"/>
        <v>PremiumSS5R5only</v>
      </c>
      <c r="D299" s="7" t="str">
        <f t="shared" si="18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 t="str">
        <f t="shared" si="14"/>
        <v/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IFERROR(VLOOKUP(B299,input_388100!L:R,7,FALSE),VLOOKUP(tables_388100!C299,input_388100!A:H,8,FALSE))</f>
        <v>160</v>
      </c>
      <c r="P299" s="46">
        <f ca="1">O299/SUM(O:O)</f>
        <v>6.2500000002441429E-4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input_388100!A$2</f>
        <v>388100</v>
      </c>
      <c r="B300" s="83">
        <v>958</v>
      </c>
      <c r="C300" s="7" t="str">
        <f t="shared" si="17"/>
        <v>PremiumSSS5R3lesscolor</v>
      </c>
      <c r="D300" s="7" t="str">
        <f t="shared" si="18"/>
        <v>PremiumSSS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 t="str">
        <f t="shared" si="14"/>
        <v>color</v>
      </c>
      <c r="H300" s="7" t="str">
        <f>VLOOKUP(B300,[1]characters!$A:$C,3,FALSE)</f>
        <v>ド・モルガン</v>
      </c>
      <c r="I300" s="7" t="str">
        <f>VLOOKUP(B300,[1]characters!$A:$J,10,FALSE)</f>
        <v>PremiumSSS</v>
      </c>
      <c r="J300" s="7">
        <f>VLOOKUP(B300,[1]characters!$A:$I,9,FALSE)</f>
        <v>5</v>
      </c>
      <c r="K300" s="7" t="str">
        <f>VLOOKUP(B300,[1]characters!$A:$H,8,FALSE)</f>
        <v>green</v>
      </c>
      <c r="L300" s="7" t="str">
        <f>VLOOKUP(B300,[1]characters!$A:$K,11,FALSE)</f>
        <v>balance</v>
      </c>
      <c r="M300" s="7" t="str">
        <f>VLOOKUP(B300,[1]characters!$A:$M,13,FALSE)</f>
        <v>academia</v>
      </c>
      <c r="N300" s="7" t="str">
        <f>VLOOKUP(B300,[1]characters!$A:$G,7,FALSE)</f>
        <v>男性</v>
      </c>
      <c r="O300" s="45">
        <f ca="1">IFERROR(VLOOKUP(B300,input_388100!L:R,7,FALSE),VLOOKUP(tables_388100!C300,input_388100!A:H,8,FALSE))</f>
        <v>5120</v>
      </c>
      <c r="P300" s="46">
        <f ca="1">O300/SUM(O:O)</f>
        <v>2.0000000000781257E-2</v>
      </c>
      <c r="Q300" s="89">
        <v>80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</sheetData>
  <autoFilter ref="A1:V300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K15" sqref="K1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0" t="s">
        <v>284</v>
      </c>
      <c r="B2" s="80" t="s">
        <v>286</v>
      </c>
      <c r="C2" s="81" t="s">
        <v>268</v>
      </c>
      <c r="D2" s="81">
        <v>125</v>
      </c>
      <c r="E2" s="81">
        <v>1</v>
      </c>
      <c r="F2" s="81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1" t="s">
        <v>221</v>
      </c>
      <c r="O2" s="81" t="s">
        <v>270</v>
      </c>
      <c r="P2" s="81" t="s">
        <v>271</v>
      </c>
      <c r="Q2" s="82" t="s">
        <v>272</v>
      </c>
    </row>
    <row r="3" spans="1:17" ht="21" customHeight="1" x14ac:dyDescent="0.15">
      <c r="A3" s="80" t="s">
        <v>285</v>
      </c>
      <c r="B3" s="80" t="s">
        <v>287</v>
      </c>
      <c r="C3" s="1" t="s">
        <v>248</v>
      </c>
      <c r="D3" s="1">
        <v>125</v>
      </c>
      <c r="E3" s="1">
        <v>3</v>
      </c>
      <c r="F3" s="1">
        <v>1</v>
      </c>
      <c r="G3" s="88">
        <v>0</v>
      </c>
      <c r="H3" s="88">
        <v>0</v>
      </c>
      <c r="I3" s="88">
        <v>0</v>
      </c>
      <c r="J3" s="88">
        <v>0</v>
      </c>
      <c r="K3" s="88">
        <v>1</v>
      </c>
      <c r="L3" s="88">
        <v>1</v>
      </c>
      <c r="M3" s="88">
        <v>1</v>
      </c>
      <c r="N3" s="81" t="s">
        <v>221</v>
      </c>
      <c r="O3" s="81" t="s">
        <v>269</v>
      </c>
      <c r="P3" s="81" t="s">
        <v>271</v>
      </c>
      <c r="Q3" s="82" t="s">
        <v>273</v>
      </c>
    </row>
    <row r="4" spans="1:17" ht="21" customHeight="1" x14ac:dyDescent="0.15">
      <c r="A4" s="80"/>
      <c r="B4" s="80"/>
      <c r="G4" s="88"/>
      <c r="H4" s="88"/>
      <c r="I4" s="88"/>
      <c r="J4" s="88"/>
      <c r="K4" s="88"/>
      <c r="L4" s="88"/>
      <c r="M4" s="88"/>
      <c r="N4" s="81"/>
      <c r="O4" s="81"/>
      <c r="P4" s="81"/>
      <c r="Q4" s="82"/>
    </row>
    <row r="5" spans="1:17" ht="21" customHeight="1" x14ac:dyDescent="0.15">
      <c r="A5" s="80"/>
      <c r="B5" s="80"/>
      <c r="G5" s="88"/>
      <c r="H5" s="88"/>
      <c r="I5" s="88"/>
      <c r="J5" s="88"/>
      <c r="K5" s="88"/>
      <c r="L5" s="88"/>
      <c r="M5" s="88"/>
      <c r="N5" s="81"/>
      <c r="O5" s="81"/>
      <c r="P5" s="81"/>
      <c r="Q5" s="82"/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確率の考え方</vt:lpstr>
      <vt:lpstr>Sheet1</vt:lpstr>
      <vt:lpstr>output</vt:lpstr>
      <vt:lpstr>input_388101</vt:lpstr>
      <vt:lpstr>tables_388101</vt:lpstr>
      <vt:lpstr>input_388103</vt:lpstr>
      <vt:lpstr>tables_388103</vt:lpstr>
      <vt:lpstr>tables_settle_388103</vt:lpstr>
      <vt:lpstr>input_388104</vt:lpstr>
      <vt:lpstr>tables_388104</vt:lpstr>
      <vt:lpstr>input_388105</vt:lpstr>
      <vt:lpstr>tables_388105</vt:lpstr>
      <vt:lpstr>input_388100</vt:lpstr>
      <vt:lpstr>tables_388100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2016-08-11T07:51:30Z</dcterms:modified>
</cp:coreProperties>
</file>