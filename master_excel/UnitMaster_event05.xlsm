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6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agaminesusumutakashi/BULL_data/master_excel/"/>
    </mc:Choice>
  </mc:AlternateContent>
  <bookViews>
    <workbookView xWindow="0" yWindow="460" windowWidth="28800" windowHeight="16200" tabRatio="963" activeTab="8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0" r:id="rId5"/>
    <sheet name="awake_materials" sheetId="3" r:id="rId6"/>
    <sheet name="→base値" sheetId="51" r:id="rId7"/>
    <sheet name="ghosts_label" sheetId="54" r:id="rId8"/>
    <sheet name="コスト" sheetId="13" r:id="rId9"/>
    <sheet name="レベル" sheetId="12" r:id="rId10"/>
    <sheet name="経験値" sheetId="10" r:id="rId11"/>
    <sheet name="RC6SV" sheetId="11" r:id="rId12"/>
    <sheet name="ビット" sheetId="15" r:id="rId13"/>
  </sheets>
  <externalReferences>
    <externalReference r:id="rId14"/>
    <externalReference r:id="rId15"/>
  </externalReferences>
  <definedNames>
    <definedName name="_xlnm._FilterDatabase" localSheetId="5" hidden="1">awake_materials!$B$1:$H$1</definedName>
    <definedName name="_xlnm._FilterDatabase" localSheetId="3" hidden="1">crash_skills!$A$1:$J$1</definedName>
    <definedName name="_xlnm._FilterDatabase" localSheetId="2" hidden="1">unit_skills!$A$1:$T$1</definedName>
    <definedName name="_xlnm._FilterDatabase" localSheetId="1" hidden="1">units!$A$1:$BQ$1</definedName>
    <definedName name="base_character_id">awake_materials!$B$1</definedName>
    <definedName name="character_id">units!$A$1</definedName>
    <definedName name="LIMIT">INDIRECT("Definitions.xlsm!LIMIT")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3" i="23" l="1"/>
  <c r="BR3" i="23"/>
  <c r="H4" i="23"/>
  <c r="BR4" i="23"/>
  <c r="H5" i="23"/>
  <c r="BR5" i="23"/>
  <c r="H6" i="23"/>
  <c r="BR6" i="23"/>
  <c r="H7" i="23"/>
  <c r="BR7" i="23"/>
  <c r="H8" i="23"/>
  <c r="BR8" i="23"/>
  <c r="H9" i="23"/>
  <c r="BR9" i="23"/>
  <c r="H10" i="23"/>
  <c r="BR10" i="23"/>
  <c r="H11" i="23"/>
  <c r="BR11" i="23"/>
  <c r="H12" i="23"/>
  <c r="BR12" i="23"/>
  <c r="H13" i="23"/>
  <c r="BR13" i="23"/>
  <c r="H2" i="23"/>
  <c r="BR2" i="23"/>
  <c r="F12" i="52"/>
  <c r="G5" i="11"/>
  <c r="G4" i="11"/>
  <c r="G3" i="11"/>
  <c r="G2" i="11"/>
  <c r="G5" i="13"/>
  <c r="G4" i="13"/>
  <c r="G3" i="13"/>
  <c r="G2" i="13"/>
  <c r="A10" i="3"/>
  <c r="F11" i="3"/>
  <c r="A11" i="3"/>
  <c r="F12" i="3"/>
  <c r="A12" i="3"/>
  <c r="F13" i="3"/>
  <c r="A13" i="3"/>
  <c r="A14" i="3"/>
  <c r="A15" i="3"/>
  <c r="A16" i="3"/>
  <c r="A17" i="3"/>
  <c r="A18" i="3"/>
  <c r="A19" i="3"/>
  <c r="F21" i="3"/>
  <c r="F22" i="3"/>
  <c r="F23" i="3"/>
  <c r="G23" i="3"/>
  <c r="E23" i="3"/>
  <c r="D23" i="3"/>
  <c r="C23" i="3"/>
  <c r="A23" i="3"/>
  <c r="G22" i="3"/>
  <c r="E22" i="3"/>
  <c r="D22" i="3"/>
  <c r="C22" i="3"/>
  <c r="A22" i="3"/>
  <c r="G21" i="3"/>
  <c r="E21" i="3"/>
  <c r="D21" i="3"/>
  <c r="C21" i="3"/>
  <c r="A21" i="3"/>
  <c r="G20" i="3"/>
  <c r="E20" i="3"/>
  <c r="D20" i="3"/>
  <c r="C20" i="3"/>
  <c r="A20" i="3"/>
  <c r="G19" i="3"/>
  <c r="E19" i="3"/>
  <c r="D19" i="3"/>
  <c r="C19" i="3"/>
  <c r="G18" i="3"/>
  <c r="E18" i="3"/>
  <c r="D18" i="3"/>
  <c r="C18" i="3"/>
  <c r="G17" i="3"/>
  <c r="E17" i="3"/>
  <c r="D17" i="3"/>
  <c r="C17" i="3"/>
  <c r="G12" i="23"/>
  <c r="BC12" i="23"/>
  <c r="BD12" i="23"/>
  <c r="Q12" i="23"/>
  <c r="T12" i="23"/>
  <c r="W12" i="23"/>
  <c r="AB12" i="23"/>
  <c r="I12" i="23"/>
  <c r="K12" i="23"/>
  <c r="BL12" i="23"/>
  <c r="G13" i="23"/>
  <c r="BC13" i="23"/>
  <c r="BD13" i="23"/>
  <c r="Q13" i="23"/>
  <c r="T13" i="23"/>
  <c r="W13" i="23"/>
  <c r="AB13" i="23"/>
  <c r="I13" i="23"/>
  <c r="K13" i="23"/>
  <c r="BL13" i="23"/>
  <c r="G12" i="53"/>
  <c r="G13" i="53"/>
  <c r="F13" i="52"/>
  <c r="G9" i="23"/>
  <c r="BC9" i="23"/>
  <c r="BD9" i="23"/>
  <c r="Q9" i="23"/>
  <c r="V9" i="23"/>
  <c r="W9" i="23"/>
  <c r="AD9" i="23"/>
  <c r="I9" i="23"/>
  <c r="M9" i="23"/>
  <c r="BN9" i="23"/>
  <c r="G8" i="23"/>
  <c r="BC8" i="23"/>
  <c r="BD8" i="23"/>
  <c r="Q8" i="23"/>
  <c r="V8" i="23"/>
  <c r="W8" i="23"/>
  <c r="AD8" i="23"/>
  <c r="I8" i="23"/>
  <c r="M8" i="23"/>
  <c r="BN8" i="23"/>
  <c r="T8" i="23"/>
  <c r="AB8" i="23"/>
  <c r="K8" i="23"/>
  <c r="BL8" i="23"/>
  <c r="T9" i="23"/>
  <c r="AB9" i="23"/>
  <c r="K9" i="23"/>
  <c r="BL9" i="23"/>
  <c r="S13" i="23"/>
  <c r="AA13" i="23"/>
  <c r="J13" i="23"/>
  <c r="BK13" i="23"/>
  <c r="V13" i="23"/>
  <c r="AD13" i="23"/>
  <c r="M13" i="23"/>
  <c r="BN13" i="23"/>
  <c r="G10" i="3"/>
  <c r="G11" i="23"/>
  <c r="BC11" i="23"/>
  <c r="BD11" i="23"/>
  <c r="Q11" i="23"/>
  <c r="S11" i="23"/>
  <c r="W11" i="23"/>
  <c r="AA11" i="23"/>
  <c r="I11" i="23"/>
  <c r="J11" i="23"/>
  <c r="BK11" i="23"/>
  <c r="G10" i="23"/>
  <c r="BC10" i="23"/>
  <c r="BD10" i="23"/>
  <c r="Q10" i="23"/>
  <c r="T10" i="23"/>
  <c r="W10" i="23"/>
  <c r="AB10" i="23"/>
  <c r="I10" i="23"/>
  <c r="K10" i="23"/>
  <c r="BL10" i="23"/>
  <c r="T11" i="23"/>
  <c r="AB11" i="23"/>
  <c r="K11" i="23"/>
  <c r="BL11" i="23"/>
  <c r="G16" i="3"/>
  <c r="E16" i="3"/>
  <c r="D16" i="3"/>
  <c r="C16" i="3"/>
  <c r="G15" i="3"/>
  <c r="E15" i="3"/>
  <c r="D15" i="3"/>
  <c r="C15" i="3"/>
  <c r="G14" i="3"/>
  <c r="E14" i="3"/>
  <c r="D14" i="3"/>
  <c r="C14" i="3"/>
  <c r="G13" i="3"/>
  <c r="E13" i="3"/>
  <c r="D13" i="3"/>
  <c r="C13" i="3"/>
  <c r="G12" i="3"/>
  <c r="E12" i="3"/>
  <c r="D12" i="3"/>
  <c r="C12" i="3"/>
  <c r="G11" i="3"/>
  <c r="E11" i="3"/>
  <c r="D11" i="3"/>
  <c r="C11" i="3"/>
  <c r="E10" i="3"/>
  <c r="D10" i="3"/>
  <c r="C10" i="3"/>
  <c r="F10" i="52"/>
  <c r="G7" i="23"/>
  <c r="BC7" i="23"/>
  <c r="BD7" i="23"/>
  <c r="Q7" i="23"/>
  <c r="V7" i="23"/>
  <c r="W7" i="23"/>
  <c r="AD7" i="23"/>
  <c r="I7" i="23"/>
  <c r="M7" i="23"/>
  <c r="BN7" i="23"/>
  <c r="T7" i="23"/>
  <c r="AB7" i="23"/>
  <c r="K7" i="23"/>
  <c r="BL7" i="23"/>
  <c r="S7" i="23"/>
  <c r="AA7" i="23"/>
  <c r="J7" i="23"/>
  <c r="BK7" i="23"/>
  <c r="G10" i="53"/>
  <c r="F7" i="3"/>
  <c r="F8" i="3"/>
  <c r="F9" i="3"/>
  <c r="G9" i="3"/>
  <c r="E9" i="3"/>
  <c r="D9" i="3"/>
  <c r="C9" i="3"/>
  <c r="A9" i="3"/>
  <c r="G8" i="3"/>
  <c r="E8" i="3"/>
  <c r="D8" i="3"/>
  <c r="C8" i="3"/>
  <c r="A8" i="3"/>
  <c r="G7" i="3"/>
  <c r="E7" i="3"/>
  <c r="D7" i="3"/>
  <c r="C7" i="3"/>
  <c r="A7" i="3"/>
  <c r="G6" i="3"/>
  <c r="E6" i="3"/>
  <c r="D6" i="3"/>
  <c r="C6" i="3"/>
  <c r="A6" i="3"/>
  <c r="K13" i="52"/>
  <c r="D13" i="52"/>
  <c r="K12" i="52"/>
  <c r="D12" i="52"/>
  <c r="K11" i="52"/>
  <c r="D11" i="52"/>
  <c r="K10" i="52"/>
  <c r="D10" i="52"/>
  <c r="K9" i="52"/>
  <c r="D9" i="52"/>
  <c r="K8" i="52"/>
  <c r="D8" i="52"/>
  <c r="K7" i="52"/>
  <c r="D7" i="52"/>
  <c r="K6" i="52"/>
  <c r="D6" i="52"/>
  <c r="D5" i="52"/>
  <c r="D4" i="52"/>
  <c r="D3" i="52"/>
  <c r="D2" i="52"/>
  <c r="G5" i="23"/>
  <c r="BC5" i="23"/>
  <c r="BD5" i="23"/>
  <c r="Q5" i="23"/>
  <c r="T5" i="23"/>
  <c r="W5" i="23"/>
  <c r="AB5" i="23"/>
  <c r="I5" i="23"/>
  <c r="K5" i="23"/>
  <c r="BL5" i="23"/>
  <c r="S5" i="23"/>
  <c r="AA5" i="23"/>
  <c r="J5" i="23"/>
  <c r="BK5" i="23"/>
  <c r="V5" i="23"/>
  <c r="AD5" i="23"/>
  <c r="M5" i="23"/>
  <c r="BN5" i="23"/>
  <c r="G3" i="23"/>
  <c r="BC3" i="23"/>
  <c r="BD3" i="23"/>
  <c r="Q3" i="23"/>
  <c r="T3" i="23"/>
  <c r="W3" i="23"/>
  <c r="AB3" i="23"/>
  <c r="I3" i="23"/>
  <c r="K3" i="23"/>
  <c r="BL3" i="23"/>
  <c r="V3" i="23"/>
  <c r="AD3" i="23"/>
  <c r="M3" i="23"/>
  <c r="BN3" i="23"/>
  <c r="S3" i="23"/>
  <c r="AA3" i="23"/>
  <c r="J3" i="23"/>
  <c r="BK3" i="23"/>
  <c r="F3" i="3"/>
  <c r="F4" i="3"/>
  <c r="F5" i="3"/>
  <c r="G5" i="3"/>
  <c r="E5" i="3"/>
  <c r="D5" i="3"/>
  <c r="C5" i="3"/>
  <c r="A5" i="3"/>
  <c r="G4" i="3"/>
  <c r="E4" i="3"/>
  <c r="D4" i="3"/>
  <c r="C4" i="3"/>
  <c r="A4" i="3"/>
  <c r="G3" i="3"/>
  <c r="E3" i="3"/>
  <c r="D3" i="3"/>
  <c r="C3" i="3"/>
  <c r="A3" i="3"/>
  <c r="G2" i="3"/>
  <c r="E2" i="3"/>
  <c r="D2" i="3"/>
  <c r="C2" i="3"/>
  <c r="A2" i="3"/>
  <c r="E12" i="53"/>
  <c r="E13" i="53"/>
  <c r="G11" i="53"/>
  <c r="E11" i="53"/>
  <c r="E10" i="53"/>
  <c r="G9" i="53"/>
  <c r="E9" i="53"/>
  <c r="G8" i="53"/>
  <c r="E8" i="53"/>
  <c r="G7" i="53"/>
  <c r="E7" i="53"/>
  <c r="G6" i="53"/>
  <c r="E6" i="53"/>
  <c r="G5" i="53"/>
  <c r="E5" i="53"/>
  <c r="G4" i="53"/>
  <c r="E4" i="53"/>
  <c r="G3" i="53"/>
  <c r="E3" i="53"/>
  <c r="G2" i="53"/>
  <c r="E2" i="53"/>
  <c r="I12" i="52"/>
  <c r="I13" i="52"/>
  <c r="I11" i="52"/>
  <c r="F11" i="52"/>
  <c r="I10" i="52"/>
  <c r="I9" i="52"/>
  <c r="F9" i="52"/>
  <c r="I7" i="52"/>
  <c r="I8" i="52"/>
  <c r="H8" i="52"/>
  <c r="F8" i="52"/>
  <c r="F7" i="52"/>
  <c r="I6" i="52"/>
  <c r="F6" i="52"/>
  <c r="K5" i="52"/>
  <c r="I5" i="52"/>
  <c r="F5" i="52"/>
  <c r="K4" i="52"/>
  <c r="I4" i="52"/>
  <c r="F4" i="52"/>
  <c r="K3" i="52"/>
  <c r="I3" i="52"/>
  <c r="F3" i="52"/>
  <c r="K2" i="52"/>
  <c r="I2" i="52"/>
  <c r="F2" i="52"/>
  <c r="E2" i="49"/>
  <c r="AN13" i="23"/>
  <c r="AM13" i="23"/>
  <c r="AL13" i="23"/>
  <c r="AI13" i="23"/>
  <c r="O13" i="23"/>
  <c r="N13" i="23"/>
  <c r="AN12" i="23"/>
  <c r="AM12" i="23"/>
  <c r="AL12" i="23"/>
  <c r="AI12" i="23"/>
  <c r="O12" i="23"/>
  <c r="N12" i="23"/>
  <c r="AN11" i="23"/>
  <c r="AM11" i="23"/>
  <c r="AL11" i="23"/>
  <c r="AI11" i="23"/>
  <c r="O11" i="23"/>
  <c r="N11" i="23"/>
  <c r="AN10" i="23"/>
  <c r="AM10" i="23"/>
  <c r="AL10" i="23"/>
  <c r="AI10" i="23"/>
  <c r="O10" i="23"/>
  <c r="N10" i="23"/>
  <c r="AN9" i="23"/>
  <c r="AM9" i="23"/>
  <c r="AL9" i="23"/>
  <c r="AI9" i="23"/>
  <c r="O9" i="23"/>
  <c r="N9" i="23"/>
  <c r="AN8" i="23"/>
  <c r="AM8" i="23"/>
  <c r="AL8" i="23"/>
  <c r="AI8" i="23"/>
  <c r="O8" i="23"/>
  <c r="N8" i="23"/>
  <c r="AN7" i="23"/>
  <c r="AM7" i="23"/>
  <c r="AL7" i="23"/>
  <c r="AI7" i="23"/>
  <c r="O7" i="23"/>
  <c r="N7" i="23"/>
  <c r="G6" i="23"/>
  <c r="BC6" i="23"/>
  <c r="AN6" i="23"/>
  <c r="AM6" i="23"/>
  <c r="AL6" i="23"/>
  <c r="AI6" i="23"/>
  <c r="O6" i="23"/>
  <c r="N6" i="23"/>
  <c r="AN5" i="23"/>
  <c r="AM5" i="23"/>
  <c r="AL5" i="23"/>
  <c r="AI5" i="23"/>
  <c r="O5" i="23"/>
  <c r="N5" i="23"/>
  <c r="G4" i="23"/>
  <c r="BC4" i="23"/>
  <c r="AN4" i="23"/>
  <c r="AM4" i="23"/>
  <c r="AL4" i="23"/>
  <c r="AI4" i="23"/>
  <c r="O4" i="23"/>
  <c r="N4" i="23"/>
  <c r="AN3" i="23"/>
  <c r="AM3" i="23"/>
  <c r="AL3" i="23"/>
  <c r="AI3" i="23"/>
  <c r="O3" i="23"/>
  <c r="N3" i="23"/>
  <c r="G2" i="23"/>
  <c r="BC2" i="23"/>
  <c r="AN2" i="23"/>
  <c r="AM2" i="23"/>
  <c r="AL2" i="23"/>
  <c r="AI2" i="23"/>
  <c r="O2" i="23"/>
  <c r="N2" i="23"/>
  <c r="B2" i="23"/>
  <c r="C2" i="23"/>
  <c r="D2" i="23"/>
  <c r="E2" i="23"/>
  <c r="F2" i="23"/>
  <c r="I2" i="23"/>
  <c r="J2" i="23"/>
  <c r="K2" i="23"/>
  <c r="L2" i="23"/>
  <c r="M2" i="23"/>
  <c r="P2" i="23"/>
  <c r="Q2" i="23"/>
  <c r="R2" i="23"/>
  <c r="S2" i="23"/>
  <c r="T2" i="23"/>
  <c r="U2" i="23"/>
  <c r="V2" i="23"/>
  <c r="W2" i="23"/>
  <c r="X2" i="23"/>
  <c r="Y2" i="23"/>
  <c r="Z2" i="23"/>
  <c r="AA2" i="23"/>
  <c r="AB2" i="23"/>
  <c r="AC2" i="23"/>
  <c r="AD2" i="23"/>
  <c r="AF2" i="23"/>
  <c r="AG2" i="23"/>
  <c r="AH2" i="23"/>
  <c r="AK2" i="23"/>
  <c r="AQ2" i="23"/>
  <c r="AR2" i="23"/>
  <c r="AS2" i="23"/>
  <c r="AU2" i="23"/>
  <c r="AV2" i="23"/>
  <c r="AW2" i="23"/>
  <c r="AX2" i="23"/>
  <c r="BD2" i="23"/>
  <c r="BE2" i="23"/>
  <c r="BF2" i="23"/>
  <c r="BK2" i="23"/>
  <c r="BG2" i="23"/>
  <c r="BL2" i="23"/>
  <c r="BH2" i="23"/>
  <c r="BM2" i="23"/>
  <c r="BI2" i="23"/>
  <c r="BN2" i="23"/>
  <c r="BJ2" i="23"/>
  <c r="B3" i="23"/>
  <c r="C3" i="23"/>
  <c r="D3" i="23"/>
  <c r="E3" i="23"/>
  <c r="F3" i="23"/>
  <c r="L3" i="23"/>
  <c r="P3" i="23"/>
  <c r="R3" i="23"/>
  <c r="U3" i="23"/>
  <c r="X3" i="23"/>
  <c r="Y3" i="23"/>
  <c r="Z3" i="23"/>
  <c r="AC3" i="23"/>
  <c r="AF3" i="23"/>
  <c r="AG3" i="23"/>
  <c r="AH3" i="23"/>
  <c r="AK3" i="23"/>
  <c r="AQ3" i="23"/>
  <c r="AR3" i="23"/>
  <c r="AS3" i="23"/>
  <c r="AU3" i="23"/>
  <c r="AV3" i="23"/>
  <c r="AW3" i="23"/>
  <c r="AX3" i="23"/>
  <c r="BE3" i="23"/>
  <c r="BF3" i="23"/>
  <c r="BG3" i="23"/>
  <c r="BH3" i="23"/>
  <c r="BM3" i="23"/>
  <c r="BI3" i="23"/>
  <c r="BJ3" i="23"/>
  <c r="B4" i="23"/>
  <c r="C4" i="23"/>
  <c r="D4" i="23"/>
  <c r="E4" i="23"/>
  <c r="F4" i="23"/>
  <c r="I4" i="23"/>
  <c r="J4" i="23"/>
  <c r="K4" i="23"/>
  <c r="L4" i="23"/>
  <c r="M4" i="23"/>
  <c r="P4" i="23"/>
  <c r="Q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F4" i="23"/>
  <c r="AG4" i="23"/>
  <c r="AH4" i="23"/>
  <c r="AK4" i="23"/>
  <c r="AQ4" i="23"/>
  <c r="AR4" i="23"/>
  <c r="AS4" i="23"/>
  <c r="AU4" i="23"/>
  <c r="AV4" i="23"/>
  <c r="AW4" i="23"/>
  <c r="AX4" i="23"/>
  <c r="BD4" i="23"/>
  <c r="BE4" i="23"/>
  <c r="BF4" i="23"/>
  <c r="BK4" i="23"/>
  <c r="BG4" i="23"/>
  <c r="BL4" i="23"/>
  <c r="BH4" i="23"/>
  <c r="BM4" i="23"/>
  <c r="BI4" i="23"/>
  <c r="BN4" i="23"/>
  <c r="BJ4" i="23"/>
  <c r="B5" i="23"/>
  <c r="C5" i="23"/>
  <c r="D5" i="23"/>
  <c r="E5" i="23"/>
  <c r="F5" i="23"/>
  <c r="L5" i="23"/>
  <c r="P5" i="23"/>
  <c r="R5" i="23"/>
  <c r="U5" i="23"/>
  <c r="X5" i="23"/>
  <c r="Y5" i="23"/>
  <c r="Z5" i="23"/>
  <c r="AC5" i="23"/>
  <c r="AF5" i="23"/>
  <c r="AG5" i="23"/>
  <c r="AH5" i="23"/>
  <c r="AK5" i="23"/>
  <c r="AQ5" i="23"/>
  <c r="AR5" i="23"/>
  <c r="AS5" i="23"/>
  <c r="AU5" i="23"/>
  <c r="AV5" i="23"/>
  <c r="AW5" i="23"/>
  <c r="AX5" i="23"/>
  <c r="BE5" i="23"/>
  <c r="BF5" i="23"/>
  <c r="BG5" i="23"/>
  <c r="BH5" i="23"/>
  <c r="BM5" i="23"/>
  <c r="BI5" i="23"/>
  <c r="BJ5" i="23"/>
  <c r="B6" i="23"/>
  <c r="C6" i="23"/>
  <c r="D6" i="23"/>
  <c r="E6" i="23"/>
  <c r="F6" i="23"/>
  <c r="I6" i="23"/>
  <c r="J6" i="23"/>
  <c r="K6" i="23"/>
  <c r="L6" i="23"/>
  <c r="M6" i="23"/>
  <c r="P6" i="23"/>
  <c r="Q6" i="23"/>
  <c r="R6" i="23"/>
  <c r="S6" i="23"/>
  <c r="T6" i="23"/>
  <c r="U6" i="23"/>
  <c r="V6" i="23"/>
  <c r="W6" i="23"/>
  <c r="X6" i="23"/>
  <c r="Y6" i="23"/>
  <c r="Z6" i="23"/>
  <c r="AA6" i="23"/>
  <c r="AB6" i="23"/>
  <c r="AC6" i="23"/>
  <c r="AD6" i="23"/>
  <c r="AF6" i="23"/>
  <c r="AG6" i="23"/>
  <c r="AH6" i="23"/>
  <c r="AK6" i="23"/>
  <c r="AQ6" i="23"/>
  <c r="AR6" i="23"/>
  <c r="AS6" i="23"/>
  <c r="AU6" i="23"/>
  <c r="AV6" i="23"/>
  <c r="AW6" i="23"/>
  <c r="AX6" i="23"/>
  <c r="BD6" i="23"/>
  <c r="BE6" i="23"/>
  <c r="BF6" i="23"/>
  <c r="BK6" i="23"/>
  <c r="BG6" i="23"/>
  <c r="BL6" i="23"/>
  <c r="BH6" i="23"/>
  <c r="BM6" i="23"/>
  <c r="BI6" i="23"/>
  <c r="BN6" i="23"/>
  <c r="BJ6" i="23"/>
  <c r="B7" i="23"/>
  <c r="C7" i="23"/>
  <c r="D7" i="23"/>
  <c r="E7" i="23"/>
  <c r="F7" i="23"/>
  <c r="L7" i="23"/>
  <c r="P7" i="23"/>
  <c r="R7" i="23"/>
  <c r="U7" i="23"/>
  <c r="X7" i="23"/>
  <c r="Y7" i="23"/>
  <c r="Z7" i="23"/>
  <c r="AC7" i="23"/>
  <c r="AF7" i="23"/>
  <c r="AG7" i="23"/>
  <c r="AH7" i="23"/>
  <c r="AK7" i="23"/>
  <c r="AQ7" i="23"/>
  <c r="AR7" i="23"/>
  <c r="AS7" i="23"/>
  <c r="AU7" i="23"/>
  <c r="AV7" i="23"/>
  <c r="AW7" i="23"/>
  <c r="AX7" i="23"/>
  <c r="BE7" i="23"/>
  <c r="BF7" i="23"/>
  <c r="BG7" i="23"/>
  <c r="BH7" i="23"/>
  <c r="BM7" i="23"/>
  <c r="BI7" i="23"/>
  <c r="BJ7" i="23"/>
  <c r="B8" i="23"/>
  <c r="C8" i="23"/>
  <c r="D8" i="23"/>
  <c r="E8" i="23"/>
  <c r="F8" i="23"/>
  <c r="J8" i="23"/>
  <c r="L8" i="23"/>
  <c r="P8" i="23"/>
  <c r="R8" i="23"/>
  <c r="S8" i="23"/>
  <c r="U8" i="23"/>
  <c r="X8" i="23"/>
  <c r="Y8" i="23"/>
  <c r="Z8" i="23"/>
  <c r="AA8" i="23"/>
  <c r="AC8" i="23"/>
  <c r="AF8" i="23"/>
  <c r="AG8" i="23"/>
  <c r="AH8" i="23"/>
  <c r="AK8" i="23"/>
  <c r="AQ8" i="23"/>
  <c r="AR8" i="23"/>
  <c r="AS8" i="23"/>
  <c r="AU8" i="23"/>
  <c r="AV8" i="23"/>
  <c r="AW8" i="23"/>
  <c r="AX8" i="23"/>
  <c r="BE8" i="23"/>
  <c r="BF8" i="23"/>
  <c r="BK8" i="23"/>
  <c r="BG8" i="23"/>
  <c r="BH8" i="23"/>
  <c r="BM8" i="23"/>
  <c r="BI8" i="23"/>
  <c r="BJ8" i="23"/>
  <c r="B9" i="23"/>
  <c r="C9" i="23"/>
  <c r="D9" i="23"/>
  <c r="E9" i="23"/>
  <c r="F9" i="23"/>
  <c r="J9" i="23"/>
  <c r="L9" i="23"/>
  <c r="P9" i="23"/>
  <c r="R9" i="23"/>
  <c r="S9" i="23"/>
  <c r="U9" i="23"/>
  <c r="X9" i="23"/>
  <c r="Y9" i="23"/>
  <c r="Z9" i="23"/>
  <c r="AA9" i="23"/>
  <c r="AC9" i="23"/>
  <c r="AF9" i="23"/>
  <c r="AG9" i="23"/>
  <c r="AH9" i="23"/>
  <c r="AK9" i="23"/>
  <c r="AQ9" i="23"/>
  <c r="AR9" i="23"/>
  <c r="AS9" i="23"/>
  <c r="AU9" i="23"/>
  <c r="AV9" i="23"/>
  <c r="AW9" i="23"/>
  <c r="AX9" i="23"/>
  <c r="BE9" i="23"/>
  <c r="BF9" i="23"/>
  <c r="BK9" i="23"/>
  <c r="BG9" i="23"/>
  <c r="BH9" i="23"/>
  <c r="BM9" i="23"/>
  <c r="BI9" i="23"/>
  <c r="BJ9" i="23"/>
  <c r="B10" i="23"/>
  <c r="C10" i="23"/>
  <c r="D10" i="23"/>
  <c r="E10" i="23"/>
  <c r="F10" i="23"/>
  <c r="J10" i="23"/>
  <c r="L10" i="23"/>
  <c r="M10" i="23"/>
  <c r="P10" i="23"/>
  <c r="R10" i="23"/>
  <c r="S10" i="23"/>
  <c r="U10" i="23"/>
  <c r="V10" i="23"/>
  <c r="X10" i="23"/>
  <c r="Y10" i="23"/>
  <c r="Z10" i="23"/>
  <c r="AA10" i="23"/>
  <c r="AC10" i="23"/>
  <c r="AD10" i="23"/>
  <c r="AF10" i="23"/>
  <c r="AG10" i="23"/>
  <c r="AH10" i="23"/>
  <c r="AK10" i="23"/>
  <c r="AQ10" i="23"/>
  <c r="AR10" i="23"/>
  <c r="AS10" i="23"/>
  <c r="AU10" i="23"/>
  <c r="AV10" i="23"/>
  <c r="AW10" i="23"/>
  <c r="AX10" i="23"/>
  <c r="BE10" i="23"/>
  <c r="BF10" i="23"/>
  <c r="BK10" i="23"/>
  <c r="BG10" i="23"/>
  <c r="BH10" i="23"/>
  <c r="BM10" i="23"/>
  <c r="BI10" i="23"/>
  <c r="BN10" i="23"/>
  <c r="BJ10" i="23"/>
  <c r="B11" i="23"/>
  <c r="C11" i="23"/>
  <c r="D11" i="23"/>
  <c r="E11" i="23"/>
  <c r="F11" i="23"/>
  <c r="L11" i="23"/>
  <c r="M11" i="23"/>
  <c r="P11" i="23"/>
  <c r="R11" i="23"/>
  <c r="U11" i="23"/>
  <c r="V11" i="23"/>
  <c r="X11" i="23"/>
  <c r="Y11" i="23"/>
  <c r="Z11" i="23"/>
  <c r="AC11" i="23"/>
  <c r="AD11" i="23"/>
  <c r="AF11" i="23"/>
  <c r="AG11" i="23"/>
  <c r="AH11" i="23"/>
  <c r="AK11" i="23"/>
  <c r="AQ11" i="23"/>
  <c r="AR11" i="23"/>
  <c r="AS11" i="23"/>
  <c r="AU11" i="23"/>
  <c r="AV11" i="23"/>
  <c r="AW11" i="23"/>
  <c r="AX11" i="23"/>
  <c r="BE11" i="23"/>
  <c r="BF11" i="23"/>
  <c r="BG11" i="23"/>
  <c r="BH11" i="23"/>
  <c r="BM11" i="23"/>
  <c r="BI11" i="23"/>
  <c r="BN11" i="23"/>
  <c r="BJ11" i="23"/>
  <c r="B12" i="23"/>
  <c r="C12" i="23"/>
  <c r="D12" i="23"/>
  <c r="E12" i="23"/>
  <c r="F12" i="23"/>
  <c r="J12" i="23"/>
  <c r="L12" i="23"/>
  <c r="M12" i="23"/>
  <c r="P12" i="23"/>
  <c r="R12" i="23"/>
  <c r="S12" i="23"/>
  <c r="U12" i="23"/>
  <c r="V12" i="23"/>
  <c r="X12" i="23"/>
  <c r="Y12" i="23"/>
  <c r="Z12" i="23"/>
  <c r="AA12" i="23"/>
  <c r="AC12" i="23"/>
  <c r="AD12" i="23"/>
  <c r="AF12" i="23"/>
  <c r="AG12" i="23"/>
  <c r="AH12" i="23"/>
  <c r="AK12" i="23"/>
  <c r="AQ12" i="23"/>
  <c r="AR12" i="23"/>
  <c r="AS12" i="23"/>
  <c r="AU12" i="23"/>
  <c r="AV12" i="23"/>
  <c r="AW12" i="23"/>
  <c r="AX12" i="23"/>
  <c r="BE12" i="23"/>
  <c r="BF12" i="23"/>
  <c r="BK12" i="23"/>
  <c r="BG12" i="23"/>
  <c r="BH12" i="23"/>
  <c r="BM12" i="23"/>
  <c r="BI12" i="23"/>
  <c r="BN12" i="23"/>
  <c r="BJ12" i="23"/>
  <c r="B13" i="23"/>
  <c r="C13" i="23"/>
  <c r="D13" i="23"/>
  <c r="E13" i="23"/>
  <c r="F13" i="23"/>
  <c r="L13" i="23"/>
  <c r="P13" i="23"/>
  <c r="R13" i="23"/>
  <c r="U13" i="23"/>
  <c r="X13" i="23"/>
  <c r="Y13" i="23"/>
  <c r="Z13" i="23"/>
  <c r="AC13" i="23"/>
  <c r="AF13" i="23"/>
  <c r="AG13" i="23"/>
  <c r="AH13" i="23"/>
  <c r="AK13" i="23"/>
  <c r="AQ13" i="23"/>
  <c r="AR13" i="23"/>
  <c r="AS13" i="23"/>
  <c r="AU13" i="23"/>
  <c r="AV13" i="23"/>
  <c r="AW13" i="23"/>
  <c r="AX13" i="23"/>
  <c r="BE13" i="23"/>
  <c r="BF13" i="23"/>
  <c r="BG13" i="23"/>
  <c r="BH13" i="23"/>
  <c r="BM13" i="23"/>
  <c r="BI13" i="23"/>
  <c r="BJ13" i="23"/>
  <c r="E8" i="49"/>
  <c r="E7" i="49"/>
  <c r="E6" i="49"/>
  <c r="E5" i="49"/>
  <c r="E9" i="49"/>
  <c r="E10" i="49"/>
  <c r="E3" i="49"/>
  <c r="E4" i="49"/>
</calcChain>
</file>

<file path=xl/sharedStrings.xml><?xml version="1.0" encoding="utf-8"?>
<sst xmlns="http://schemas.openxmlformats.org/spreadsheetml/2006/main" count="810" uniqueCount="342">
  <si>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</si>
  <si>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</si>
  <si>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</si>
  <si>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</si>
  <si>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</si>
  <si>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</si>
  <si>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</si>
  <si>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</si>
  <si>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</si>
  <si>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</si>
  <si>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</si>
  <si>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</si>
  <si>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</si>
  <si>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</si>
  <si>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</si>
  <si>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</si>
  <si>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</si>
  <si>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PremiumL</t>
    <phoneticPr fontId="9"/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</si>
  <si>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</si>
  <si>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</si>
  <si>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</si>
  <si>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</si>
  <si>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</si>
  <si>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</si>
  <si>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</si>
  <si>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</si>
  <si>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</si>
  <si>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</si>
  <si>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PremiumW</t>
    <phoneticPr fontId="9"/>
  </si>
  <si>
    <t>PremiumN</t>
    <phoneticPr fontId="9"/>
  </si>
  <si>
    <t>Material</t>
    <phoneticPr fontId="9"/>
  </si>
  <si>
    <t>PremiumSS</t>
    <phoneticPr fontId="9"/>
  </si>
  <si>
    <t>PremiumSSS</t>
    <phoneticPr fontId="9"/>
  </si>
  <si>
    <t>PremiumL</t>
    <phoneticPr fontId="9"/>
  </si>
  <si>
    <t>-</t>
    <phoneticPr fontId="9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</si>
  <si>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</si>
  <si>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</si>
  <si>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</si>
  <si>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</si>
  <si>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</si>
  <si>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</si>
  <si>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</si>
  <si>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Drop1T</t>
    <phoneticPr fontId="9"/>
  </si>
  <si>
    <t>Drop1S</t>
    <phoneticPr fontId="9"/>
  </si>
  <si>
    <t>Drop2W</t>
    <phoneticPr fontId="9"/>
  </si>
  <si>
    <t>Drop2S</t>
    <phoneticPr fontId="9"/>
  </si>
  <si>
    <t>調整後</t>
    <rPh sb="0" eb="2">
      <t>チョウセイ</t>
    </rPh>
    <rPh sb="2" eb="3">
      <t>アト</t>
    </rPh>
    <phoneticPr fontId="10"/>
  </si>
  <si>
    <t>PremiumN</t>
  </si>
  <si>
    <t>PremiumW</t>
  </si>
  <si>
    <t>Drop2N</t>
  </si>
  <si>
    <t>Drop2W</t>
  </si>
  <si>
    <t>Drop1S</t>
  </si>
  <si>
    <t>Drop1T</t>
  </si>
  <si>
    <t>PremiumW</t>
    <phoneticPr fontId="9"/>
  </si>
  <si>
    <t>Material</t>
    <phoneticPr fontId="9"/>
  </si>
  <si>
    <t>使用せず</t>
    <rPh sb="0" eb="2">
      <t>シヨウ</t>
    </rPh>
    <phoneticPr fontId="9"/>
  </si>
  <si>
    <t>PremiumSSS</t>
    <phoneticPr fontId="9"/>
  </si>
  <si>
    <t>PremiumN</t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</si>
  <si>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</si>
  <si>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</si>
  <si>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</si>
  <si>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</si>
  <si>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ラベル/レアリティ</t>
    <phoneticPr fontId="9"/>
  </si>
  <si>
    <t>Drop2N</t>
    <phoneticPr fontId="9"/>
  </si>
  <si>
    <t>Drop2S</t>
    <phoneticPr fontId="9"/>
  </si>
  <si>
    <t>Drop2S</t>
    <phoneticPr fontId="9"/>
  </si>
  <si>
    <t>name</t>
    <phoneticPr fontId="9"/>
  </si>
  <si>
    <t>name</t>
    <phoneticPr fontId="9"/>
  </si>
  <si>
    <t>rare</t>
    <phoneticPr fontId="9"/>
  </si>
  <si>
    <t>drop_label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</si>
  <si>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</si>
  <si>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</si>
  <si>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</si>
  <si>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</si>
  <si>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</si>
  <si>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</si>
  <si>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</si>
  <si>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</si>
  <si>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</si>
  <si>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</si>
  <si>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</si>
  <si>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</si>
  <si>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</si>
  <si>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</si>
  <si>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</si>
  <si>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</si>
  <si>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</si>
  <si>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</si>
  <si>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</si>
  <si>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</si>
  <si>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</si>
  <si>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</si>
  <si>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</si>
  <si>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</si>
  <si>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</si>
  <si>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</si>
  <si>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</si>
  <si>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</si>
  <si>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</si>
  <si>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</si>
  <si>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</si>
  <si>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</si>
  <si>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</si>
  <si>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</si>
  <si>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</si>
  <si>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</si>
  <si>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</si>
  <si>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</si>
  <si>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</si>
  <si>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</si>
  <si>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</si>
  <si>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</si>
  <si>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</si>
  <si>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</si>
  <si>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</si>
  <si>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</si>
  <si>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</si>
  <si>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</si>
  <si>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</si>
  <si>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</si>
  <si>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</si>
  <si>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</si>
  <si>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</si>
  <si>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</si>
  <si>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</si>
  <si>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temp_awake</t>
    <phoneticPr fontId="9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</si>
  <si>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</si>
  <si>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</si>
  <si>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</si>
  <si>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</si>
  <si>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</si>
  <si>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</si>
  <si>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</si>
  <si>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Drop2N</t>
    <phoneticPr fontId="9"/>
  </si>
  <si>
    <t>comment</t>
    <phoneticPr fontId="10"/>
  </si>
  <si>
    <t>character_id</t>
    <phoneticPr fontId="10"/>
  </si>
  <si>
    <t>-</t>
    <phoneticPr fontId="9"/>
  </si>
  <si>
    <t>-</t>
    <phoneticPr fontId="9"/>
  </si>
  <si>
    <t>PremiumSSS</t>
    <phoneticPr fontId="9"/>
  </si>
  <si>
    <t>PremiumSS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</si>
  <si>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</si>
  <si>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</si>
  <si>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</si>
  <si>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</si>
  <si>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</si>
  <si>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Drop2S</t>
    <phoneticPr fontId="9"/>
  </si>
  <si>
    <t>-</t>
    <phoneticPr fontId="9"/>
  </si>
  <si>
    <t>required_exp_250</t>
    <phoneticPr fontId="9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</si>
  <si>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</si>
  <si>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</si>
  <si>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</si>
  <si>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</si>
  <si>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</si>
  <si>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</si>
  <si>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</si>
  <si>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</si>
  <si>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</si>
  <si>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</si>
  <si>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</si>
  <si>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22"/>
  </si>
  <si>
    <t>material_bug</t>
    <phoneticPr fontId="9"/>
  </si>
  <si>
    <t>.tmp</t>
    <phoneticPr fontId="22"/>
  </si>
  <si>
    <t>units_</t>
    <phoneticPr fontId="22"/>
  </si>
  <si>
    <t>awake_materials_</t>
    <phoneticPr fontId="22"/>
  </si>
  <si>
    <t>unit_levels_calc_</t>
    <phoneticPr fontId="22"/>
  </si>
  <si>
    <t>.tmp</t>
    <phoneticPr fontId="22"/>
  </si>
  <si>
    <t>character_id</t>
    <phoneticPr fontId="22"/>
  </si>
  <si>
    <t>serif_id</t>
    <phoneticPr fontId="22"/>
  </si>
  <si>
    <t>serif_type</t>
  </si>
  <si>
    <t>serif_type</t>
    <phoneticPr fontId="22"/>
  </si>
  <si>
    <t>serif</t>
    <phoneticPr fontId="22"/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</si>
  <si>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</si>
  <si>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</si>
  <si>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</si>
  <si>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</si>
  <si>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</si>
  <si>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</si>
  <si>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</si>
  <si>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</si>
  <si>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</si>
  <si>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</si>
  <si>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</si>
  <si>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</si>
  <si>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</si>
  <si>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</si>
  <si>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</si>
  <si>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</si>
  <si>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</si>
  <si>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</si>
  <si>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</si>
  <si>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</si>
  <si>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</si>
  <si>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</si>
  <si>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</si>
  <si>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</si>
  <si>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</si>
  <si>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</si>
  <si>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</si>
  <si>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</si>
  <si>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</si>
  <si>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</si>
  <si>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</si>
  <si>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</si>
  <si>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</si>
  <si>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</si>
  <si>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</si>
  <si>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</si>
  <si>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</si>
  <si>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</si>
  <si>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</si>
  <si>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</si>
  <si>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</si>
  <si>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</si>
  <si>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</si>
  <si>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</si>
  <si>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</si>
  <si>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</si>
  <si>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</si>
  <si>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</si>
  <si>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</si>
  <si>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NULL</t>
    <phoneticPr fontId="9"/>
  </si>
  <si>
    <t>.tmp</t>
    <phoneticPr fontId="22"/>
  </si>
  <si>
    <t>event05</t>
  </si>
  <si>
    <t>event05</t>
    <phoneticPr fontId="22"/>
  </si>
  <si>
    <t>event05</t>
    <phoneticPr fontId="22"/>
  </si>
  <si>
    <t>valid_flg</t>
    <phoneticPr fontId="22"/>
  </si>
  <si>
    <t>ja</t>
    <phoneticPr fontId="22"/>
  </si>
  <si>
    <t>ja</t>
    <phoneticPr fontId="22"/>
  </si>
  <si>
    <t>ja</t>
    <phoneticPr fontId="22"/>
  </si>
  <si>
    <t>ja</t>
    <phoneticPr fontId="22"/>
  </si>
  <si>
    <t>ja</t>
    <phoneticPr fontId="22"/>
  </si>
  <si>
    <t>ja</t>
    <phoneticPr fontId="22"/>
  </si>
  <si>
    <t>ja</t>
    <phoneticPr fontId="22"/>
  </si>
  <si>
    <t>ja</t>
    <phoneticPr fontId="22"/>
  </si>
  <si>
    <t>ja</t>
    <phoneticPr fontId="22"/>
  </si>
  <si>
    <t>ja</t>
    <phoneticPr fontId="22"/>
  </si>
  <si>
    <t>ja</t>
    <phoneticPr fontId="22"/>
  </si>
  <si>
    <t>ja</t>
    <phoneticPr fontId="22"/>
  </si>
  <si>
    <t>old</t>
  </si>
  <si>
    <t>爆炎剣</t>
    <rPh sb="0" eb="3">
      <t>バク</t>
    </rPh>
    <phoneticPr fontId="28"/>
  </si>
  <si>
    <t>練武爆炎剣</t>
    <rPh sb="2" eb="5">
      <t>バク</t>
    </rPh>
    <phoneticPr fontId="28"/>
  </si>
  <si>
    <t>適者生存</t>
    <phoneticPr fontId="28"/>
  </si>
  <si>
    <t>適者生存・極限</t>
    <rPh sb="0" eb="5">
      <t>テk</t>
    </rPh>
    <rPh sb="5" eb="7">
      <t>キョk</t>
    </rPh>
    <phoneticPr fontId="28"/>
  </si>
  <si>
    <t>味方の残りHPが少ないほど全体に大きなダメージを与える（威力大）</t>
    <rPh sb="0" eb="2">
      <t>ミカタ</t>
    </rPh>
    <rPh sb="3" eb="4">
      <t>ノコ</t>
    </rPh>
    <rPh sb="8" eb="9">
      <t>スク</t>
    </rPh>
    <rPh sb="30" eb="31">
      <t>ダイ</t>
    </rPh>
    <phoneticPr fontId="22"/>
  </si>
  <si>
    <t>味方の残りHPが少ないほど全体に大きなダメージを与える（威力特大）</t>
    <rPh sb="0" eb="2">
      <t>ミカタ</t>
    </rPh>
    <rPh sb="3" eb="4">
      <t>ノコ</t>
    </rPh>
    <rPh sb="8" eb="9">
      <t>スク</t>
    </rPh>
    <rPh sb="30" eb="31">
      <t>トクダイ</t>
    </rPh>
    <phoneticPr fontId="22"/>
  </si>
  <si>
    <t>[effect:damage_anger, target:enemy_all, color:red, val1:2.448, val2:3.264, val3:4.08, val4:4.896,  val5:6.12, animation:damage_all_red05]</t>
    <phoneticPr fontId="22"/>
  </si>
  <si>
    <t>1体に小ダメージ
アニマルに効果大</t>
    <rPh sb="3" eb="4">
      <t>ショ</t>
    </rPh>
    <phoneticPr fontId="22"/>
  </si>
  <si>
    <t>1体に小ダメージ
アニマルに効果特大</t>
    <rPh sb="3" eb="4">
      <t>ショ</t>
    </rPh>
    <rPh sb="16" eb="17">
      <t>トk</t>
    </rPh>
    <phoneticPr fontId="22"/>
  </si>
  <si>
    <t>[effect:damage_anti_tribe, target:enemy_one, tribe:animal, val1:2.63, val2:0.94,  animation:damage_one_red04]</t>
    <phoneticPr fontId="22"/>
  </si>
  <si>
    <t>[effect:damage_anti_tribe, target:enemy_one, tribe:animal, val1:3.375, val2:1.13,  animation:damage_one_red05]</t>
    <phoneticPr fontId="22"/>
  </si>
  <si>
    <t>[effect:damage_anger, target:enemy_all, color:red, val1:1.8, val2:2.4, val3:3.0, val4:3.6, val5:4.608, animation:damage_all_red04]</t>
    <phoneticPr fontId="22"/>
  </si>
  <si>
    <t>単体に中ダメージ+
全体に大ダメージ</t>
    <phoneticPr fontId="22"/>
  </si>
  <si>
    <t>単体に中ダメージ+
全体に特大ダメージ</t>
    <rPh sb="3" eb="4">
      <t>チュウ</t>
    </rPh>
    <rPh sb="13" eb="15">
      <t>トクダ</t>
    </rPh>
    <phoneticPr fontId="22"/>
  </si>
  <si>
    <t>[effect:damage, target:enemy_all, color:green, val:0.675, animation:damage_all_green04],[effect:damage, target:enemy_one, color:green, val:1.2, animation:damage_one_green04]</t>
    <phoneticPr fontId="22"/>
  </si>
  <si>
    <t>[effect:damage, target:enemy_all, color:green, val:0.76, animation:damage_all_green04],[effect:damage, target:enemy_one, color:green, val:1.2, animation:damage_one_green05]</t>
    <phoneticPr fontId="22"/>
  </si>
  <si>
    <t>カウンター解除+単体に特大ダメージ(解除時効果超大)＋3ターン全ユニットの防御力大UP</t>
    <rPh sb="5" eb="7">
      <t>カイj</t>
    </rPh>
    <rPh sb="11" eb="13">
      <t>トクダ</t>
    </rPh>
    <rPh sb="23" eb="24">
      <t>チョウ</t>
    </rPh>
    <rPh sb="31" eb="36">
      <t>ゼン</t>
    </rPh>
    <rPh sb="40" eb="41">
      <t>ダ</t>
    </rPh>
    <phoneticPr fontId="22"/>
  </si>
  <si>
    <t>カウンター解除+単体に大ダメージ(解除時効果特大)＋3ターン全ユニットの防御力大UP</t>
    <rPh sb="5" eb="7">
      <t>カイj</t>
    </rPh>
    <rPh sb="11" eb="12">
      <t>トクダ</t>
    </rPh>
    <rPh sb="22" eb="24">
      <t>トk</t>
    </rPh>
    <rPh sb="30" eb="35">
      <t>ゼン</t>
    </rPh>
    <rPh sb="39" eb="40">
      <t>ダ</t>
    </rPh>
    <phoneticPr fontId="22"/>
  </si>
  <si>
    <t>デュアルラッシュインパクト</t>
    <phoneticPr fontId="28"/>
  </si>
  <si>
    <t>クラッシュコンビネーション</t>
    <phoneticPr fontId="28"/>
  </si>
  <si>
    <t>ラッシュインパクト</t>
    <phoneticPr fontId="28"/>
  </si>
  <si>
    <t>単体に2回中ダメージ</t>
    <rPh sb="0" eb="5">
      <t>タンタ</t>
    </rPh>
    <rPh sb="5" eb="10">
      <t>チュウd</t>
    </rPh>
    <phoneticPr fontId="22"/>
  </si>
  <si>
    <t>[effect:damage, target:enemy_one, color:green, val:1.2, animation:damage_one_green02],[effect:damage, target:enemy_one, color:green, val:1.2, animation:damage_one_green02]</t>
    <phoneticPr fontId="22"/>
  </si>
  <si>
    <t>3ターンの間青属性の攻撃力特大UP+黄パネルを青パネルに変換する</t>
    <rPh sb="6" eb="10">
      <t>ア</t>
    </rPh>
    <rPh sb="13" eb="14">
      <t>トk</t>
    </rPh>
    <phoneticPr fontId="22"/>
  </si>
  <si>
    <t>3ターンの間青属性の攻撃力特大UP+黄パネルを青パネルに変換する</t>
    <rPh sb="6" eb="10">
      <t>ア</t>
    </rPh>
    <rPh sb="13" eb="14">
      <t>トk</t>
    </rPh>
    <rPh sb="18" eb="19">
      <t>キ</t>
    </rPh>
    <phoneticPr fontId="22"/>
  </si>
  <si>
    <t xml:space="preserve">[effect:enhance_unit, target:unit_blue, turn:3, status:attack, val:0.255, calc:mul, animation:enhance_unit_all_attack04],[effect:change_block, new_block:block_blue, target:block_yellow, color:block_red, count:0, val:0.1, min_time_count:1, max_time_count:1, animation:change_block]    </t>
    <phoneticPr fontId="22"/>
  </si>
  <si>
    <t>3ターンの間全ユニットの攻撃力と回復力を特大UPする+ランダムで4つお邪魔パネルを生成</t>
    <rPh sb="5" eb="6">
      <t>ア</t>
    </rPh>
    <rPh sb="6" eb="12">
      <t>ゼン</t>
    </rPh>
    <rPh sb="12" eb="16">
      <t>コウゲk</t>
    </rPh>
    <rPh sb="16" eb="20">
      <t>カイフk</t>
    </rPh>
    <rPh sb="20" eb="22">
      <t>トk</t>
    </rPh>
    <phoneticPr fontId="22"/>
  </si>
  <si>
    <t>3ターンの間全ユニットの攻撃力と回復力を大UPする+ランダムで4つお邪魔パネルを生成</t>
    <rPh sb="5" eb="6">
      <t>ア</t>
    </rPh>
    <rPh sb="6" eb="12">
      <t>ゼン</t>
    </rPh>
    <rPh sb="12" eb="16">
      <t>コウゲk</t>
    </rPh>
    <rPh sb="16" eb="20">
      <t>カイフk</t>
    </rPh>
    <rPh sb="20" eb="21">
      <t>トk</t>
    </rPh>
    <phoneticPr fontId="22"/>
  </si>
  <si>
    <t>射法・弾道強化</t>
    <phoneticPr fontId="22"/>
  </si>
  <si>
    <t>射法・弾道強化</t>
    <phoneticPr fontId="22"/>
  </si>
  <si>
    <t>正射必中</t>
    <phoneticPr fontId="22"/>
  </si>
  <si>
    <t>正射必中</t>
    <phoneticPr fontId="22"/>
  </si>
  <si>
    <t>[effect:damage_anti_tribe, target:enemy_all, tribe:human, val1:1.31, val2:0.56, animation:damage_all_blue04]</t>
  </si>
  <si>
    <t>全体に中ダメージ
ヒューマンに効果大</t>
    <rPh sb="0" eb="2">
      <t>ゼン</t>
    </rPh>
    <rPh sb="3" eb="4">
      <t>チュ</t>
    </rPh>
    <phoneticPr fontId="22"/>
  </si>
  <si>
    <t>絵空事の取引</t>
    <rPh sb="0" eb="2">
      <t>エソラゴト</t>
    </rPh>
    <rPh sb="2" eb="3">
      <t>ジショ</t>
    </rPh>
    <rPh sb="4" eb="6">
      <t>トr</t>
    </rPh>
    <phoneticPr fontId="28"/>
  </si>
  <si>
    <t>空理空論の取引</t>
    <rPh sb="0" eb="4">
      <t>ク</t>
    </rPh>
    <rPh sb="5" eb="7">
      <t>トr</t>
    </rPh>
    <phoneticPr fontId="28"/>
  </si>
  <si>
    <t>ツイントルネード・マジック</t>
    <phoneticPr fontId="28"/>
  </si>
  <si>
    <t>ツイントルネード・マジック</t>
    <phoneticPr fontId="28"/>
  </si>
  <si>
    <t>[effect:change_block, new_block:jammer, target:block_all, color:block_red, count:4, val:0, min_time_count:0, max_time_count:0, animation:change_block],[effect:enhance_unit, target:unit_all, turn:3, status:attack, val:0.213, calc:mul, animation:enhance_unit_all_attack03],[effect:enhance_unit, target:unit_all, turn:3, status:heal, val:0.42, animation:enhance_unit_all_heal03]</t>
    <phoneticPr fontId="22"/>
  </si>
  <si>
    <t>[effect:change_block, new_block:jammer, target:block_all, color:block_red, count:4, val:0, min_time_count:0, max_time_count:0, animation:change_block],[effect:enhance_unit, target:unit_all, turn:3, status:attack, val:0.255, calc:mul, animation:enhance_unit_all_attack04],[effect:enhance_unit, target:unit_all, turn:3, status:heal, val:0.6, animation:enhance_unit_all_heal04]</t>
    <phoneticPr fontId="22"/>
  </si>
  <si>
    <t>[effect:damage, target:enemy_one, color:green, val:1.2, animation:damage_one_green02],[effect:damage, target:enemy_one, color:green, val:1.2, animation:damage_one_green02]</t>
    <phoneticPr fontId="22"/>
  </si>
  <si>
    <t>1体に小ダメージ
ゴッドに効果大</t>
    <rPh sb="3" eb="4">
      <t>ショ</t>
    </rPh>
    <phoneticPr fontId="22"/>
  </si>
  <si>
    <t>1体に小ダメージ
ゴッドに効果特大</t>
    <rPh sb="3" eb="4">
      <t>ショ</t>
    </rPh>
    <rPh sb="15" eb="16">
      <t>トk</t>
    </rPh>
    <phoneticPr fontId="22"/>
  </si>
  <si>
    <t>[effect:damage_anti_tribe, target:enemy_one, tribe:god, val1:2.63, val2:0.94,  animation:damage_one_yellow04]</t>
    <phoneticPr fontId="22"/>
  </si>
  <si>
    <t>3ターンの間Cパネル生成を短縮し、黄属性の攻撃力を特大UP</t>
    <rPh sb="5" eb="6">
      <t>ア</t>
    </rPh>
    <rPh sb="10" eb="13">
      <t>セ</t>
    </rPh>
    <rPh sb="13" eb="15">
      <t>タンシュk</t>
    </rPh>
    <rPh sb="21" eb="25">
      <t>コウゲキリョクw</t>
    </rPh>
    <rPh sb="25" eb="26">
      <t>toku</t>
    </rPh>
    <rPh sb="26" eb="27">
      <t>ダ</t>
    </rPh>
    <phoneticPr fontId="22"/>
  </si>
  <si>
    <t xml:space="preserve">[effect:enhance_unit, target:unit_blue, turn:3, status:attack, val:0.255, calc:mul, animation:enhance_unit_all_attack04],[effect:change_block, new_block:block_blue, target:block_yellow, color:block_red, count:0, val:0.1, min_time_count:1, max_time_count:1, animation:change_block]    </t>
    <phoneticPr fontId="22"/>
  </si>
  <si>
    <t>3ターンの間Cパネル生成を短縮し、黄属性の攻撃力を特大UP</t>
    <rPh sb="5" eb="6">
      <t>ア</t>
    </rPh>
    <rPh sb="10" eb="13">
      <t>セ</t>
    </rPh>
    <rPh sb="13" eb="15">
      <t>タンシュk</t>
    </rPh>
    <rPh sb="17" eb="18">
      <t>キ</t>
    </rPh>
    <rPh sb="18" eb="21">
      <t>ゾクセ</t>
    </rPh>
    <rPh sb="21" eb="25">
      <t>コウゲキリョクw</t>
    </rPh>
    <rPh sb="25" eb="26">
      <t>トk</t>
    </rPh>
    <rPh sb="26" eb="27">
      <t>ダ</t>
    </rPh>
    <phoneticPr fontId="22"/>
  </si>
  <si>
    <t>鼓舞一喝</t>
  </si>
  <si>
    <t>神喰の雷</t>
    <rPh sb="0" eb="1">
      <t>カm</t>
    </rPh>
    <rPh sb="1" eb="2">
      <t>グ</t>
    </rPh>
    <rPh sb="3" eb="4">
      <t>イカズt</t>
    </rPh>
    <phoneticPr fontId="28"/>
  </si>
  <si>
    <t>神喰の大雷</t>
    <rPh sb="0" eb="1">
      <t>カm</t>
    </rPh>
    <rPh sb="1" eb="2">
      <t>グ</t>
    </rPh>
    <rPh sb="3" eb="4">
      <t>オオk</t>
    </rPh>
    <rPh sb="4" eb="5">
      <t>カミナリ</t>
    </rPh>
    <phoneticPr fontId="28"/>
  </si>
  <si>
    <t>紅蓮聖剣エクスカリバー</t>
    <rPh sb="0" eb="2">
      <t>グレン</t>
    </rPh>
    <rPh sb="2" eb="3">
      <t>セイナr</t>
    </rPh>
    <rPh sb="3" eb="4">
      <t>ケン</t>
    </rPh>
    <phoneticPr fontId="28"/>
  </si>
  <si>
    <t>紅蓮の正義</t>
    <rPh sb="0" eb="2">
      <t>グレン</t>
    </rPh>
    <rPh sb="3" eb="5">
      <t>セイg</t>
    </rPh>
    <phoneticPr fontId="28"/>
  </si>
  <si>
    <t>1体に中ダメージ
ヒューマンに効果大</t>
    <rPh sb="3" eb="4">
      <t>チュ</t>
    </rPh>
    <phoneticPr fontId="22"/>
  </si>
  <si>
    <t>[effect:damage_anti_tribe, target:enemy_one, tribe:human, val1:3.0, val2:1.5,  animation:damage_one_red04]</t>
    <phoneticPr fontId="22"/>
  </si>
  <si>
    <t>[effect:damage_anti_tribe, target:enemy_one, tribe:human, val1:3.0, val2:1.5,  animation:damage_one_red04]</t>
    <phoneticPr fontId="22"/>
  </si>
  <si>
    <t>DropWizSSS</t>
    <phoneticPr fontId="9"/>
  </si>
  <si>
    <t>-</t>
    <phoneticPr fontId="9"/>
  </si>
  <si>
    <t>DropWizSS</t>
    <phoneticPr fontId="9"/>
  </si>
  <si>
    <t>-</t>
    <phoneticPr fontId="9"/>
  </si>
  <si>
    <t>DropWizS</t>
    <phoneticPr fontId="9"/>
  </si>
  <si>
    <t>DropN</t>
    <phoneticPr fontId="9"/>
  </si>
  <si>
    <t>DropW</t>
    <phoneticPr fontId="9"/>
  </si>
  <si>
    <t>-</t>
    <phoneticPr fontId="9"/>
  </si>
  <si>
    <t>DropWizSS</t>
    <phoneticPr fontId="9"/>
  </si>
  <si>
    <t>DropWizS</t>
    <phoneticPr fontId="9"/>
  </si>
  <si>
    <t>DropN</t>
    <phoneticPr fontId="9"/>
  </si>
  <si>
    <t>DropW</t>
    <phoneticPr fontId="9"/>
  </si>
  <si>
    <t>DropWizS</t>
    <phoneticPr fontId="9"/>
  </si>
  <si>
    <t>DropN</t>
    <phoneticPr fontId="9"/>
  </si>
  <si>
    <t>required_exp_250</t>
    <phoneticPr fontId="9"/>
  </si>
  <si>
    <t>DropW</t>
    <phoneticPr fontId="9"/>
  </si>
  <si>
    <t>DropWizS</t>
    <phoneticPr fontId="9"/>
  </si>
  <si>
    <t>DropWizN</t>
    <phoneticPr fontId="9"/>
  </si>
  <si>
    <t>DropWizW</t>
    <phoneticPr fontId="9"/>
  </si>
  <si>
    <t>required_exp_300</t>
    <phoneticPr fontId="9"/>
  </si>
  <si>
    <t>[effect:crash_condition, target:unit_all, val:-1, turn:3, animation:crash_panel_reduce03],[effect:enhance_unit, target:unit_yellow, turn:3, status:attack, val:0.255, calc:mul, animation:enhance_unit_all_attack04]</t>
    <phoneticPr fontId="22"/>
  </si>
  <si>
    <t>[effect:crash_condition, target:unit_all, val:-1, turn:3, animation:crash_panel_reduce03],[effect:enhance_unit, target:unit_yellow, turn:3, status:attack, val:0.255, calc:mul, animation:enhance_unit_all_attack04]</t>
    <phoneticPr fontId="22"/>
  </si>
  <si>
    <t>[effect:enhance_unit, target:unit_all, turn:3, status:defense, val:960, calc:add, animation:enhance_unit_all_defense03_unit01],[effect:damage_status_break, target:enemy_one, status:counter, color:green, val1:9.03, val2:5.712, animation:damage_counter_break04]</t>
    <phoneticPr fontId="22"/>
  </si>
  <si>
    <t>[effect:damage_anti_tribe, target:enemy_one, tribe:god, val1:3.375, val2:1.13,  animation:damage_one_yellow04]</t>
    <phoneticPr fontId="22"/>
  </si>
  <si>
    <t>label</t>
    <phoneticPr fontId="22"/>
  </si>
  <si>
    <t>sell_ghosts</t>
    <phoneticPr fontId="22"/>
  </si>
  <si>
    <t>Drop1T</t>
    <phoneticPr fontId="22"/>
  </si>
  <si>
    <t>Drop1W</t>
    <phoneticPr fontId="22"/>
  </si>
  <si>
    <t>Drop1N</t>
    <phoneticPr fontId="22"/>
  </si>
  <si>
    <t>Drop1S</t>
    <phoneticPr fontId="22"/>
  </si>
  <si>
    <t>Drop2N</t>
    <phoneticPr fontId="22"/>
  </si>
  <si>
    <t>Drop2W</t>
    <phoneticPr fontId="22"/>
  </si>
  <si>
    <t>DropWizW</t>
    <phoneticPr fontId="22"/>
  </si>
  <si>
    <t>DropWizN</t>
    <phoneticPr fontId="22"/>
  </si>
  <si>
    <t>DropWizS</t>
    <phoneticPr fontId="22"/>
  </si>
  <si>
    <t>DropWizSS</t>
    <phoneticPr fontId="22"/>
  </si>
  <si>
    <t>DropWizSSS</t>
    <phoneticPr fontId="22"/>
  </si>
  <si>
    <t>Material</t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</si>
  <si>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</si>
  <si>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</si>
  <si>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</si>
  <si>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</si>
  <si>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PremiumSSw</t>
    <phoneticPr fontId="22"/>
  </si>
  <si>
    <t>PremiumSSS</t>
    <phoneticPr fontId="22"/>
  </si>
  <si>
    <t>sell_ghosts</t>
  </si>
  <si>
    <t>sell_ghosts</t>
    <phoneticPr fontId="22"/>
  </si>
  <si>
    <t>[effect:force_change_block, new_block:block_red, target:block_green, count:0, val:0, animation:change_block],[effect:damage_block_break, target:enemy_all, color:red, block_color:blue, val:0.12, animation:damage_all_red03],[effect:crash_condition, target:unit_all, val:-1, turn:1, animation:crash_panel_reduce03]</t>
    <phoneticPr fontId="22"/>
  </si>
  <si>
    <t>緑パネルを赤パネルに変換+Cパネルを除く、青パネルを破壊して全体にダメージ+1ターンCパネル生成短縮</t>
    <rPh sb="21" eb="22">
      <t>ア</t>
    </rPh>
    <rPh sb="22" eb="26">
      <t>アk</t>
    </rPh>
    <rPh sb="26" eb="30">
      <t>ハカイs</t>
    </rPh>
    <rPh sb="46" eb="48">
      <t>セ</t>
    </rPh>
    <rPh sb="48" eb="50">
      <t>タンシュk</t>
    </rPh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</si>
</sst>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0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6"/>
      <name val="メイリオ"/>
      <family val="2"/>
      <charset val="128"/>
    </font>
    <font>
      <sz val="12"/>
      <name val="ＭＳ Ｐゴシック"/>
      <family val="3"/>
      <charset val="128"/>
    </font>
  </fonts>
  <fills count="26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6" tint="0.79998168889431442"/>
        <bgColor indexed="59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55"/>
      </patternFill>
    </fill>
    <fill>
      <patternFill patternType="solid">
        <fgColor theme="9" tint="0.79998168889431442"/>
        <bgColor indexed="55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8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</borders>
  <cellStyleXfs count="4812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179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vertical="center"/>
    </xf>
    <xf numFmtId="0" fontId="16" fillId="0" borderId="1" xfId="0" applyFont="1" applyBorder="1" applyAlignment="1">
      <alignment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3" fillId="7" borderId="1" xfId="0" applyFont="1" applyFill="1" applyBorder="1" applyAlignment="1">
      <alignment vertical="center"/>
    </xf>
    <xf numFmtId="0" fontId="16" fillId="10" borderId="3" xfId="0" applyFont="1" applyFill="1" applyBorder="1" applyAlignment="1">
      <alignment vertical="center"/>
    </xf>
    <xf numFmtId="0" fontId="16" fillId="12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8" fillId="13" borderId="1" xfId="0" applyFont="1" applyFill="1" applyBorder="1" applyAlignment="1">
      <alignment vertical="center"/>
    </xf>
    <xf numFmtId="0" fontId="8" fillId="13" borderId="10" xfId="0" applyFont="1" applyFill="1" applyBorder="1" applyAlignment="1">
      <alignment vertical="center"/>
    </xf>
    <xf numFmtId="0" fontId="16" fillId="13" borderId="4" xfId="0" applyFont="1" applyFill="1" applyBorder="1" applyAlignment="1">
      <alignment vertical="center"/>
    </xf>
    <xf numFmtId="0" fontId="13" fillId="0" borderId="4" xfId="0" applyFont="1" applyBorder="1" applyAlignment="1">
      <alignment horizontal="right" vertical="center" wrapText="1"/>
    </xf>
    <xf numFmtId="0" fontId="13" fillId="12" borderId="4" xfId="0" applyFont="1" applyFill="1" applyBorder="1" applyAlignment="1">
      <alignment horizontal="center" vertical="center" wrapText="1"/>
    </xf>
    <xf numFmtId="0" fontId="16" fillId="12" borderId="6" xfId="0" applyFont="1" applyFill="1" applyBorder="1" applyAlignment="1">
      <alignment horizontal="center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3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5" fillId="11" borderId="0" xfId="0" applyFont="1" applyFill="1" applyBorder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0" fontId="13" fillId="11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23" fillId="18" borderId="0" xfId="0" applyFont="1" applyFill="1"/>
    <xf numFmtId="0" fontId="16" fillId="0" borderId="4" xfId="0" applyFont="1" applyFill="1" applyBorder="1" applyAlignment="1">
      <alignment vertical="center"/>
    </xf>
    <xf numFmtId="0" fontId="13" fillId="14" borderId="4" xfId="0" applyFont="1" applyFill="1" applyBorder="1" applyAlignment="1">
      <alignment vertical="center"/>
    </xf>
    <xf numFmtId="0" fontId="16" fillId="14" borderId="1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3" borderId="3" xfId="0" applyFont="1" applyFill="1" applyBorder="1" applyAlignment="1">
      <alignment horizontal="center" vertical="center"/>
    </xf>
    <xf numFmtId="0" fontId="8" fillId="0" borderId="3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8" fillId="13" borderId="21" xfId="0" applyFont="1" applyFill="1" applyBorder="1" applyAlignment="1">
      <alignment horizontal="center" vertical="center"/>
    </xf>
    <xf numFmtId="0" fontId="8" fillId="13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5" borderId="4" xfId="0" applyFont="1" applyFill="1" applyBorder="1" applyAlignment="1">
      <alignment horizontal="left" vertical="center"/>
    </xf>
    <xf numFmtId="0" fontId="15" fillId="11" borderId="14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1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6" borderId="16" xfId="0" applyFont="1" applyFill="1" applyBorder="1" applyAlignment="1">
      <alignment horizontal="left" vertical="center"/>
    </xf>
    <xf numFmtId="0" fontId="19" fillId="17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5" borderId="17" xfId="0" applyFont="1" applyFill="1" applyBorder="1" applyAlignment="1">
      <alignment horizontal="left" vertical="center"/>
    </xf>
    <xf numFmtId="0" fontId="19" fillId="16" borderId="17" xfId="0" applyFont="1" applyFill="1" applyBorder="1" applyAlignment="1">
      <alignment horizontal="left" vertical="center"/>
    </xf>
    <xf numFmtId="0" fontId="19" fillId="15" borderId="11" xfId="0" applyFont="1" applyFill="1" applyBorder="1" applyAlignment="1">
      <alignment horizontal="left" vertical="center"/>
    </xf>
    <xf numFmtId="0" fontId="19" fillId="15" borderId="12" xfId="0" applyFont="1" applyFill="1" applyBorder="1" applyAlignment="1">
      <alignment horizontal="left" vertical="center"/>
    </xf>
    <xf numFmtId="0" fontId="8" fillId="19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20" borderId="4" xfId="0" applyFont="1" applyFill="1" applyBorder="1"/>
    <xf numFmtId="0" fontId="0" fillId="20" borderId="4" xfId="0" applyFill="1" applyBorder="1"/>
    <xf numFmtId="0" fontId="0" fillId="0" borderId="4" xfId="0" applyBorder="1"/>
    <xf numFmtId="0" fontId="13" fillId="8" borderId="0" xfId="0" applyFont="1" applyFill="1" applyBorder="1" applyAlignment="1">
      <alignment horizontal="center" vertical="center"/>
    </xf>
    <xf numFmtId="0" fontId="16" fillId="8" borderId="0" xfId="0" applyFont="1" applyFill="1" applyBorder="1" applyAlignment="1">
      <alignment horizontal="center" vertical="center"/>
    </xf>
    <xf numFmtId="0" fontId="0" fillId="0" borderId="4" xfId="0" applyFill="1" applyBorder="1"/>
    <xf numFmtId="0" fontId="0" fillId="8" borderId="4" xfId="0" applyFill="1" applyBorder="1"/>
    <xf numFmtId="0" fontId="12" fillId="21" borderId="4" xfId="0" applyFont="1" applyFill="1" applyBorder="1" applyAlignment="1">
      <alignment horizontal="center"/>
    </xf>
    <xf numFmtId="0" fontId="0" fillId="22" borderId="4" xfId="0" applyFill="1" applyBorder="1"/>
    <xf numFmtId="0" fontId="0" fillId="11" borderId="6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26" fillId="0" borderId="7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26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righ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left" vertical="center" wrapText="1"/>
    </xf>
    <xf numFmtId="0" fontId="13" fillId="0" borderId="4" xfId="0" applyFont="1" applyBorder="1"/>
    <xf numFmtId="0" fontId="16" fillId="23" borderId="4" xfId="0" applyFont="1" applyFill="1" applyBorder="1"/>
    <xf numFmtId="0" fontId="14" fillId="0" borderId="4" xfId="0" applyFont="1" applyBorder="1" applyAlignment="1">
      <alignment horizontal="right" vertical="center" wrapText="1"/>
    </xf>
    <xf numFmtId="0" fontId="16" fillId="0" borderId="4" xfId="0" applyFont="1" applyFill="1" applyBorder="1" applyAlignment="1">
      <alignment horizontal="right" vertical="center" wrapText="1"/>
    </xf>
    <xf numFmtId="0" fontId="0" fillId="0" borderId="4" xfId="0" applyFont="1" applyBorder="1"/>
    <xf numFmtId="0" fontId="0" fillId="0" borderId="4" xfId="0" applyBorder="1" applyAlignment="1">
      <alignment vertical="center"/>
    </xf>
    <xf numFmtId="0" fontId="14" fillId="0" borderId="4" xfId="0" applyFont="1" applyBorder="1" applyAlignment="1">
      <alignment horizontal="left" vertical="center" wrapText="1"/>
    </xf>
    <xf numFmtId="0" fontId="25" fillId="0" borderId="7" xfId="0" applyFont="1" applyFill="1" applyBorder="1" applyAlignment="1">
      <alignment vertical="center"/>
    </xf>
    <xf numFmtId="0" fontId="25" fillId="0" borderId="7" xfId="0" applyFont="1" applyFill="1" applyBorder="1" applyAlignment="1">
      <alignment vertical="center" wrapText="1"/>
    </xf>
    <xf numFmtId="0" fontId="16" fillId="0" borderId="0" xfId="0" applyFont="1" applyFill="1" applyAlignment="1">
      <alignment horizontal="left" vertical="center"/>
    </xf>
    <xf numFmtId="0" fontId="16" fillId="0" borderId="1" xfId="0" applyFont="1" applyFill="1" applyBorder="1" applyAlignment="1">
      <alignment horizontal="left" vertical="center"/>
    </xf>
    <xf numFmtId="0" fontId="29" fillId="0" borderId="4" xfId="0" applyFont="1" applyBorder="1" applyAlignment="1">
      <alignment vertical="center"/>
    </xf>
    <xf numFmtId="0" fontId="29" fillId="0" borderId="7" xfId="0" applyFont="1" applyBorder="1" applyAlignment="1">
      <alignment vertical="center"/>
    </xf>
    <xf numFmtId="0" fontId="16" fillId="24" borderId="3" xfId="0" applyFont="1" applyFill="1" applyBorder="1" applyAlignment="1">
      <alignment horizontal="center" vertical="center"/>
    </xf>
    <xf numFmtId="0" fontId="8" fillId="24" borderId="20" xfId="0" applyFont="1" applyFill="1" applyBorder="1" applyAlignment="1">
      <alignment horizontal="center" vertical="center"/>
    </xf>
    <xf numFmtId="0" fontId="8" fillId="24" borderId="10" xfId="0" applyFont="1" applyFill="1" applyBorder="1" applyAlignment="1">
      <alignment horizontal="center" vertical="center"/>
    </xf>
    <xf numFmtId="0" fontId="8" fillId="25" borderId="10" xfId="0" applyFont="1" applyFill="1" applyBorder="1" applyAlignment="1">
      <alignment vertical="center"/>
    </xf>
    <xf numFmtId="0" fontId="8" fillId="24" borderId="19" xfId="0" applyFont="1" applyFill="1" applyBorder="1" applyAlignment="1">
      <alignment horizontal="center" vertical="center"/>
    </xf>
    <xf numFmtId="0" fontId="8" fillId="24" borderId="4" xfId="0" applyFont="1" applyFill="1" applyBorder="1" applyAlignment="1">
      <alignment horizontal="center" vertical="center"/>
    </xf>
    <xf numFmtId="0" fontId="8" fillId="25" borderId="4" xfId="0" applyFont="1" applyFill="1" applyBorder="1" applyAlignment="1">
      <alignment vertical="center"/>
    </xf>
    <xf numFmtId="0" fontId="8" fillId="24" borderId="23" xfId="0" applyFont="1" applyFill="1" applyBorder="1" applyAlignment="1">
      <alignment horizontal="center" vertical="center"/>
    </xf>
    <xf numFmtId="0" fontId="8" fillId="24" borderId="24" xfId="0" applyFont="1" applyFill="1" applyBorder="1" applyAlignment="1">
      <alignment horizontal="center" vertical="center"/>
    </xf>
    <xf numFmtId="0" fontId="8" fillId="25" borderId="24" xfId="0" applyFont="1" applyFill="1" applyBorder="1" applyAlignment="1">
      <alignment vertical="center"/>
    </xf>
    <xf numFmtId="0" fontId="16" fillId="24" borderId="21" xfId="0" applyFont="1" applyFill="1" applyBorder="1" applyAlignment="1">
      <alignment horizontal="center" vertical="center"/>
    </xf>
    <xf numFmtId="0" fontId="8" fillId="24" borderId="25" xfId="0" applyFont="1" applyFill="1" applyBorder="1" applyAlignment="1">
      <alignment horizontal="center" vertical="center"/>
    </xf>
    <xf numFmtId="0" fontId="8" fillId="24" borderId="12" xfId="0" applyFont="1" applyFill="1" applyBorder="1" applyAlignment="1">
      <alignment horizontal="center" vertical="center"/>
    </xf>
    <xf numFmtId="0" fontId="8" fillId="24" borderId="26" xfId="0" applyFont="1" applyFill="1" applyBorder="1" applyAlignment="1">
      <alignment horizontal="center" vertical="center"/>
    </xf>
    <xf numFmtId="0" fontId="16" fillId="25" borderId="4" xfId="0" applyFont="1" applyFill="1" applyBorder="1" applyAlignment="1">
      <alignment vertical="center"/>
    </xf>
    <xf numFmtId="0" fontId="8" fillId="24" borderId="6" xfId="0" applyFont="1" applyFill="1" applyBorder="1" applyAlignment="1">
      <alignment horizontal="center" vertical="center"/>
    </xf>
    <xf numFmtId="0" fontId="8" fillId="24" borderId="27" xfId="0" applyFont="1" applyFill="1" applyBorder="1" applyAlignment="1">
      <alignment horizontal="center" vertical="center"/>
    </xf>
    <xf numFmtId="0" fontId="18" fillId="25" borderId="4" xfId="0" applyFont="1" applyFill="1" applyBorder="1" applyAlignment="1">
      <alignment horizontal="center" vertical="center"/>
    </xf>
    <xf numFmtId="0" fontId="17" fillId="25" borderId="4" xfId="0" applyFont="1" applyFill="1" applyBorder="1" applyAlignment="1">
      <alignment horizontal="center" vertical="center" wrapText="1"/>
    </xf>
    <xf numFmtId="0" fontId="17" fillId="25" borderId="12" xfId="0" applyFont="1" applyFill="1" applyBorder="1" applyAlignment="1">
      <alignment horizontal="center" vertical="center" wrapText="1"/>
    </xf>
    <xf numFmtId="0" fontId="8" fillId="25" borderId="1" xfId="0" applyFont="1" applyFill="1" applyBorder="1" applyAlignment="1">
      <alignment vertical="center"/>
    </xf>
  </cellXfs>
  <cellStyles count="4812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ハイパーリンク" xfId="4578" builtinId="8" hidden="1"/>
    <cellStyle name="ハイパーリンク" xfId="4580" builtinId="8" hidden="1"/>
    <cellStyle name="ハイパーリンク" xfId="4582" builtinId="8" hidden="1"/>
    <cellStyle name="ハイパーリンク" xfId="4584" builtinId="8" hidden="1"/>
    <cellStyle name="ハイパーリンク" xfId="4586" builtinId="8" hidden="1"/>
    <cellStyle name="ハイパーリンク" xfId="4588" builtinId="8" hidden="1"/>
    <cellStyle name="ハイパーリンク" xfId="4590" builtinId="8" hidden="1"/>
    <cellStyle name="ハイパーリンク" xfId="4592" builtinId="8" hidden="1"/>
    <cellStyle name="ハイパーリンク" xfId="4594" builtinId="8" hidden="1"/>
    <cellStyle name="ハイパーリンク" xfId="4596" builtinId="8" hidden="1"/>
    <cellStyle name="ハイパーリンク" xfId="4598" builtinId="8" hidden="1"/>
    <cellStyle name="ハイパーリンク" xfId="4600" builtinId="8" hidden="1"/>
    <cellStyle name="ハイパーリンク" xfId="4602" builtinId="8" hidden="1"/>
    <cellStyle name="ハイパーリンク" xfId="4604" builtinId="8" hidden="1"/>
    <cellStyle name="ハイパーリンク" xfId="4606" builtinId="8" hidden="1"/>
    <cellStyle name="ハイパーリンク" xfId="4608" builtinId="8" hidden="1"/>
    <cellStyle name="ハイパーリンク" xfId="4610" builtinId="8" hidden="1"/>
    <cellStyle name="ハイパーリンク" xfId="4612" builtinId="8" hidden="1"/>
    <cellStyle name="ハイパーリンク" xfId="4614" builtinId="8" hidden="1"/>
    <cellStyle name="ハイパーリンク" xfId="4616" builtinId="8" hidden="1"/>
    <cellStyle name="ハイパーリンク" xfId="4618" builtinId="8" hidden="1"/>
    <cellStyle name="ハイパーリンク" xfId="4620" builtinId="8" hidden="1"/>
    <cellStyle name="ハイパーリンク" xfId="4622" builtinId="8" hidden="1"/>
    <cellStyle name="ハイパーリンク" xfId="4624" builtinId="8" hidden="1"/>
    <cellStyle name="ハイパーリンク" xfId="4626" builtinId="8" hidden="1"/>
    <cellStyle name="ハイパーリンク" xfId="4628" builtinId="8" hidden="1"/>
    <cellStyle name="ハイパーリンク" xfId="4630" builtinId="8" hidden="1"/>
    <cellStyle name="ハイパーリンク" xfId="4632" builtinId="8" hidden="1"/>
    <cellStyle name="ハイパーリンク" xfId="4634" builtinId="8" hidden="1"/>
    <cellStyle name="ハイパーリンク" xfId="4636" builtinId="8" hidden="1"/>
    <cellStyle name="ハイパーリンク" xfId="4638" builtinId="8" hidden="1"/>
    <cellStyle name="ハイパーリンク" xfId="4640" builtinId="8" hidden="1"/>
    <cellStyle name="ハイパーリンク" xfId="4642" builtinId="8" hidden="1"/>
    <cellStyle name="ハイパーリンク" xfId="4644" builtinId="8" hidden="1"/>
    <cellStyle name="ハイパーリンク" xfId="4646" builtinId="8" hidden="1"/>
    <cellStyle name="ハイパーリンク" xfId="4648" builtinId="8" hidden="1"/>
    <cellStyle name="ハイパーリンク" xfId="4650" builtinId="8" hidden="1"/>
    <cellStyle name="ハイパーリンク" xfId="4652" builtinId="8" hidden="1"/>
    <cellStyle name="ハイパーリンク" xfId="4654" builtinId="8" hidden="1"/>
    <cellStyle name="ハイパーリンク" xfId="4656" builtinId="8" hidden="1"/>
    <cellStyle name="ハイパーリンク" xfId="4658" builtinId="8" hidden="1"/>
    <cellStyle name="ハイパーリンク" xfId="4660" builtinId="8" hidden="1"/>
    <cellStyle name="ハイパーリンク" xfId="4662" builtinId="8" hidden="1"/>
    <cellStyle name="ハイパーリンク" xfId="4664" builtinId="8" hidden="1"/>
    <cellStyle name="ハイパーリンク" xfId="4666" builtinId="8" hidden="1"/>
    <cellStyle name="ハイパーリンク" xfId="4668" builtinId="8" hidden="1"/>
    <cellStyle name="ハイパーリンク" xfId="4670" builtinId="8" hidden="1"/>
    <cellStyle name="ハイパーリンク" xfId="4672" builtinId="8" hidden="1"/>
    <cellStyle name="ハイパーリンク" xfId="4674" builtinId="8" hidden="1"/>
    <cellStyle name="ハイパーリンク" xfId="4676" builtinId="8" hidden="1"/>
    <cellStyle name="ハイパーリンク" xfId="4678" builtinId="8" hidden="1"/>
    <cellStyle name="ハイパーリンク" xfId="4680" builtinId="8" hidden="1"/>
    <cellStyle name="ハイパーリンク" xfId="4682" builtinId="8" hidden="1"/>
    <cellStyle name="ハイパーリンク" xfId="4684" builtinId="8" hidden="1"/>
    <cellStyle name="ハイパーリンク" xfId="4686" builtinId="8" hidden="1"/>
    <cellStyle name="ハイパーリンク" xfId="4688" builtinId="8" hidden="1"/>
    <cellStyle name="ハイパーリンク" xfId="4690" builtinId="8" hidden="1"/>
    <cellStyle name="ハイパーリンク" xfId="4692" builtinId="8" hidden="1"/>
    <cellStyle name="ハイパーリンク" xfId="4694" builtinId="8" hidden="1"/>
    <cellStyle name="ハイパーリンク" xfId="4696" builtinId="8" hidden="1"/>
    <cellStyle name="ハイパーリンク" xfId="4698" builtinId="8" hidden="1"/>
    <cellStyle name="ハイパーリンク" xfId="4700" builtinId="8" hidden="1"/>
    <cellStyle name="ハイパーリンク" xfId="4702" builtinId="8" hidden="1"/>
    <cellStyle name="ハイパーリンク" xfId="4704" builtinId="8" hidden="1"/>
    <cellStyle name="ハイパーリンク" xfId="4706" builtinId="8" hidden="1"/>
    <cellStyle name="ハイパーリンク" xfId="4708" builtinId="8" hidden="1"/>
    <cellStyle name="ハイパーリンク" xfId="4710" builtinId="8" hidden="1"/>
    <cellStyle name="ハイパーリンク" xfId="4712" builtinId="8" hidden="1"/>
    <cellStyle name="ハイパーリンク" xfId="4714" builtinId="8" hidden="1"/>
    <cellStyle name="ハイパーリンク" xfId="4716" builtinId="8" hidden="1"/>
    <cellStyle name="ハイパーリンク" xfId="4718" builtinId="8" hidden="1"/>
    <cellStyle name="ハイパーリンク" xfId="4720" builtinId="8" hidden="1"/>
    <cellStyle name="ハイパーリンク" xfId="4722" builtinId="8" hidden="1"/>
    <cellStyle name="ハイパーリンク" xfId="4724" builtinId="8" hidden="1"/>
    <cellStyle name="ハイパーリンク" xfId="4726" builtinId="8" hidden="1"/>
    <cellStyle name="ハイパーリンク" xfId="4728" builtinId="8" hidden="1"/>
    <cellStyle name="ハイパーリンク" xfId="4730" builtinId="8" hidden="1"/>
    <cellStyle name="ハイパーリンク" xfId="4732" builtinId="8" hidden="1"/>
    <cellStyle name="ハイパーリンク" xfId="4734" builtinId="8" hidden="1"/>
    <cellStyle name="ハイパーリンク" xfId="4736" builtinId="8" hidden="1"/>
    <cellStyle name="ハイパーリンク" xfId="4738" builtinId="8" hidden="1"/>
    <cellStyle name="ハイパーリンク" xfId="4740" builtinId="8" hidden="1"/>
    <cellStyle name="ハイパーリンク" xfId="4742" builtinId="8" hidden="1"/>
    <cellStyle name="ハイパーリンク" xfId="4744" builtinId="8" hidden="1"/>
    <cellStyle name="ハイパーリンク" xfId="4746" builtinId="8" hidden="1"/>
    <cellStyle name="ハイパーリンク" xfId="4748" builtinId="8" hidden="1"/>
    <cellStyle name="ハイパーリンク" xfId="4750" builtinId="8" hidden="1"/>
    <cellStyle name="ハイパーリンク" xfId="4752" builtinId="8" hidden="1"/>
    <cellStyle name="ハイパーリンク" xfId="4754" builtinId="8" hidden="1"/>
    <cellStyle name="ハイパーリンク" xfId="4756" builtinId="8" hidden="1"/>
    <cellStyle name="ハイパーリンク" xfId="4758" builtinId="8" hidden="1"/>
    <cellStyle name="ハイパーリンク" xfId="4760" builtinId="8" hidden="1"/>
    <cellStyle name="ハイパーリンク" xfId="4762" builtinId="8" hidden="1"/>
    <cellStyle name="ハイパーリンク" xfId="4764" builtinId="8" hidden="1"/>
    <cellStyle name="ハイパーリンク" xfId="4766" builtinId="8" hidden="1"/>
    <cellStyle name="ハイパーリンク" xfId="4768" builtinId="8" hidden="1"/>
    <cellStyle name="ハイパーリンク" xfId="4770" builtinId="8" hidden="1"/>
    <cellStyle name="ハイパーリンク" xfId="4772" builtinId="8" hidden="1"/>
    <cellStyle name="ハイパーリンク" xfId="4774" builtinId="8" hidden="1"/>
    <cellStyle name="ハイパーリンク" xfId="4776" builtinId="8" hidden="1"/>
    <cellStyle name="ハイパーリンク" xfId="4778" builtinId="8" hidden="1"/>
    <cellStyle name="ハイパーリンク" xfId="4780" builtinId="8" hidden="1"/>
    <cellStyle name="ハイパーリンク" xfId="4782" builtinId="8" hidden="1"/>
    <cellStyle name="ハイパーリンク" xfId="4784" builtinId="8" hidden="1"/>
    <cellStyle name="ハイパーリンク" xfId="4786" builtinId="8" hidden="1"/>
    <cellStyle name="ハイパーリンク" xfId="4788" builtinId="8" hidden="1"/>
    <cellStyle name="ハイパーリンク" xfId="4790" builtinId="8" hidden="1"/>
    <cellStyle name="ハイパーリンク" xfId="4792" builtinId="8" hidden="1"/>
    <cellStyle name="ハイパーリンク" xfId="4794" builtinId="8" hidden="1"/>
    <cellStyle name="ハイパーリンク" xfId="4796" builtinId="8" hidden="1"/>
    <cellStyle name="ハイパーリンク" xfId="4798" builtinId="8" hidden="1"/>
    <cellStyle name="ハイパーリンク" xfId="4800" builtinId="8" hidden="1"/>
    <cellStyle name="ハイパーリンク" xfId="4802" builtinId="8" hidden="1"/>
    <cellStyle name="ハイパーリンク" xfId="4804" builtinId="8" hidden="1"/>
    <cellStyle name="ハイパーリンク" xfId="4806" builtinId="8" hidden="1"/>
    <cellStyle name="ハイパーリンク" xfId="4808" builtinId="8" hidden="1"/>
    <cellStyle name="ハイパーリンク" xfId="4810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表示済みのハイパーリンク" xfId="4579" builtinId="9" hidden="1"/>
    <cellStyle name="表示済みのハイパーリンク" xfId="4581" builtinId="9" hidden="1"/>
    <cellStyle name="表示済みのハイパーリンク" xfId="4583" builtinId="9" hidden="1"/>
    <cellStyle name="表示済みのハイパーリンク" xfId="4585" builtinId="9" hidden="1"/>
    <cellStyle name="表示済みのハイパーリンク" xfId="4587" builtinId="9" hidden="1"/>
    <cellStyle name="表示済みのハイパーリンク" xfId="4589" builtinId="9" hidden="1"/>
    <cellStyle name="表示済みのハイパーリンク" xfId="4591" builtinId="9" hidden="1"/>
    <cellStyle name="表示済みのハイパーリンク" xfId="4593" builtinId="9" hidden="1"/>
    <cellStyle name="表示済みのハイパーリンク" xfId="4595" builtinId="9" hidden="1"/>
    <cellStyle name="表示済みのハイパーリンク" xfId="4597" builtinId="9" hidden="1"/>
    <cellStyle name="表示済みのハイパーリンク" xfId="4599" builtinId="9" hidden="1"/>
    <cellStyle name="表示済みのハイパーリンク" xfId="4601" builtinId="9" hidden="1"/>
    <cellStyle name="表示済みのハイパーリンク" xfId="4603" builtinId="9" hidden="1"/>
    <cellStyle name="表示済みのハイパーリンク" xfId="4605" builtinId="9" hidden="1"/>
    <cellStyle name="表示済みのハイパーリンク" xfId="4607" builtinId="9" hidden="1"/>
    <cellStyle name="表示済みのハイパーリンク" xfId="4609" builtinId="9" hidden="1"/>
    <cellStyle name="表示済みのハイパーリンク" xfId="4611" builtinId="9" hidden="1"/>
    <cellStyle name="表示済みのハイパーリンク" xfId="4613" builtinId="9" hidden="1"/>
    <cellStyle name="表示済みのハイパーリンク" xfId="4615" builtinId="9" hidden="1"/>
    <cellStyle name="表示済みのハイパーリンク" xfId="4617" builtinId="9" hidden="1"/>
    <cellStyle name="表示済みのハイパーリンク" xfId="4619" builtinId="9" hidden="1"/>
    <cellStyle name="表示済みのハイパーリンク" xfId="4621" builtinId="9" hidden="1"/>
    <cellStyle name="表示済みのハイパーリンク" xfId="4623" builtinId="9" hidden="1"/>
    <cellStyle name="表示済みのハイパーリンク" xfId="4625" builtinId="9" hidden="1"/>
    <cellStyle name="表示済みのハイパーリンク" xfId="4627" builtinId="9" hidden="1"/>
    <cellStyle name="表示済みのハイパーリンク" xfId="4629" builtinId="9" hidden="1"/>
    <cellStyle name="表示済みのハイパーリンク" xfId="4631" builtinId="9" hidden="1"/>
    <cellStyle name="表示済みのハイパーリンク" xfId="4633" builtinId="9" hidden="1"/>
    <cellStyle name="表示済みのハイパーリンク" xfId="4635" builtinId="9" hidden="1"/>
    <cellStyle name="表示済みのハイパーリンク" xfId="4637" builtinId="9" hidden="1"/>
    <cellStyle name="表示済みのハイパーリンク" xfId="4639" builtinId="9" hidden="1"/>
    <cellStyle name="表示済みのハイパーリンク" xfId="4641" builtinId="9" hidden="1"/>
    <cellStyle name="表示済みのハイパーリンク" xfId="4643" builtinId="9" hidden="1"/>
    <cellStyle name="表示済みのハイパーリンク" xfId="4645" builtinId="9" hidden="1"/>
    <cellStyle name="表示済みのハイパーリンク" xfId="4647" builtinId="9" hidden="1"/>
    <cellStyle name="表示済みのハイパーリンク" xfId="4649" builtinId="9" hidden="1"/>
    <cellStyle name="表示済みのハイパーリンク" xfId="4651" builtinId="9" hidden="1"/>
    <cellStyle name="表示済みのハイパーリンク" xfId="4653" builtinId="9" hidden="1"/>
    <cellStyle name="表示済みのハイパーリンク" xfId="4655" builtinId="9" hidden="1"/>
    <cellStyle name="表示済みのハイパーリンク" xfId="4657" builtinId="9" hidden="1"/>
    <cellStyle name="表示済みのハイパーリンク" xfId="4659" builtinId="9" hidden="1"/>
    <cellStyle name="表示済みのハイパーリンク" xfId="4661" builtinId="9" hidden="1"/>
    <cellStyle name="表示済みのハイパーリンク" xfId="4663" builtinId="9" hidden="1"/>
    <cellStyle name="表示済みのハイパーリンク" xfId="4665" builtinId="9" hidden="1"/>
    <cellStyle name="表示済みのハイパーリンク" xfId="4667" builtinId="9" hidden="1"/>
    <cellStyle name="表示済みのハイパーリンク" xfId="4669" builtinId="9" hidden="1"/>
    <cellStyle name="表示済みのハイパーリンク" xfId="4671" builtinId="9" hidden="1"/>
    <cellStyle name="表示済みのハイパーリンク" xfId="4673" builtinId="9" hidden="1"/>
    <cellStyle name="表示済みのハイパーリンク" xfId="4675" builtinId="9" hidden="1"/>
    <cellStyle name="表示済みのハイパーリンク" xfId="4677" builtinId="9" hidden="1"/>
    <cellStyle name="表示済みのハイパーリンク" xfId="4679" builtinId="9" hidden="1"/>
    <cellStyle name="表示済みのハイパーリンク" xfId="4681" builtinId="9" hidden="1"/>
    <cellStyle name="表示済みのハイパーリンク" xfId="4683" builtinId="9" hidden="1"/>
    <cellStyle name="表示済みのハイパーリンク" xfId="4685" builtinId="9" hidden="1"/>
    <cellStyle name="表示済みのハイパーリンク" xfId="4687" builtinId="9" hidden="1"/>
    <cellStyle name="表示済みのハイパーリンク" xfId="4689" builtinId="9" hidden="1"/>
    <cellStyle name="表示済みのハイパーリンク" xfId="4691" builtinId="9" hidden="1"/>
    <cellStyle name="表示済みのハイパーリンク" xfId="4693" builtinId="9" hidden="1"/>
    <cellStyle name="表示済みのハイパーリンク" xfId="4695" builtinId="9" hidden="1"/>
    <cellStyle name="表示済みのハイパーリンク" xfId="4697" builtinId="9" hidden="1"/>
    <cellStyle name="表示済みのハイパーリンク" xfId="4699" builtinId="9" hidden="1"/>
    <cellStyle name="表示済みのハイパーリンク" xfId="4701" builtinId="9" hidden="1"/>
    <cellStyle name="表示済みのハイパーリンク" xfId="4703" builtinId="9" hidden="1"/>
    <cellStyle name="表示済みのハイパーリンク" xfId="4705" builtinId="9" hidden="1"/>
    <cellStyle name="表示済みのハイパーリンク" xfId="4707" builtinId="9" hidden="1"/>
    <cellStyle name="表示済みのハイパーリンク" xfId="4709" builtinId="9" hidden="1"/>
    <cellStyle name="表示済みのハイパーリンク" xfId="4711" builtinId="9" hidden="1"/>
    <cellStyle name="表示済みのハイパーリンク" xfId="4713" builtinId="9" hidden="1"/>
    <cellStyle name="表示済みのハイパーリンク" xfId="4715" builtinId="9" hidden="1"/>
    <cellStyle name="表示済みのハイパーリンク" xfId="4717" builtinId="9" hidden="1"/>
    <cellStyle name="表示済みのハイパーリンク" xfId="4719" builtinId="9" hidden="1"/>
    <cellStyle name="表示済みのハイパーリンク" xfId="4721" builtinId="9" hidden="1"/>
    <cellStyle name="表示済みのハイパーリンク" xfId="4723" builtinId="9" hidden="1"/>
    <cellStyle name="表示済みのハイパーリンク" xfId="4725" builtinId="9" hidden="1"/>
    <cellStyle name="表示済みのハイパーリンク" xfId="4727" builtinId="9" hidden="1"/>
    <cellStyle name="表示済みのハイパーリンク" xfId="4729" builtinId="9" hidden="1"/>
    <cellStyle name="表示済みのハイパーリンク" xfId="4731" builtinId="9" hidden="1"/>
    <cellStyle name="表示済みのハイパーリンク" xfId="4733" builtinId="9" hidden="1"/>
    <cellStyle name="表示済みのハイパーリンク" xfId="4735" builtinId="9" hidden="1"/>
    <cellStyle name="表示済みのハイパーリンク" xfId="4737" builtinId="9" hidden="1"/>
    <cellStyle name="表示済みのハイパーリンク" xfId="4739" builtinId="9" hidden="1"/>
    <cellStyle name="表示済みのハイパーリンク" xfId="4741" builtinId="9" hidden="1"/>
    <cellStyle name="表示済みのハイパーリンク" xfId="4743" builtinId="9" hidden="1"/>
    <cellStyle name="表示済みのハイパーリンク" xfId="4745" builtinId="9" hidden="1"/>
    <cellStyle name="表示済みのハイパーリンク" xfId="4747" builtinId="9" hidden="1"/>
    <cellStyle name="表示済みのハイパーリンク" xfId="4749" builtinId="9" hidden="1"/>
    <cellStyle name="表示済みのハイパーリンク" xfId="4751" builtinId="9" hidden="1"/>
    <cellStyle name="表示済みのハイパーリンク" xfId="4753" builtinId="9" hidden="1"/>
    <cellStyle name="表示済みのハイパーリンク" xfId="4755" builtinId="9" hidden="1"/>
    <cellStyle name="表示済みのハイパーリンク" xfId="4757" builtinId="9" hidden="1"/>
    <cellStyle name="表示済みのハイパーリンク" xfId="4759" builtinId="9" hidden="1"/>
    <cellStyle name="表示済みのハイパーリンク" xfId="4761" builtinId="9" hidden="1"/>
    <cellStyle name="表示済みのハイパーリンク" xfId="4763" builtinId="9" hidden="1"/>
    <cellStyle name="表示済みのハイパーリンク" xfId="4765" builtinId="9" hidden="1"/>
    <cellStyle name="表示済みのハイパーリンク" xfId="4767" builtinId="9" hidden="1"/>
    <cellStyle name="表示済みのハイパーリンク" xfId="4769" builtinId="9" hidden="1"/>
    <cellStyle name="表示済みのハイパーリンク" xfId="4771" builtinId="9" hidden="1"/>
    <cellStyle name="表示済みのハイパーリンク" xfId="4773" builtinId="9" hidden="1"/>
    <cellStyle name="表示済みのハイパーリンク" xfId="4775" builtinId="9" hidden="1"/>
    <cellStyle name="表示済みのハイパーリンク" xfId="4777" builtinId="9" hidden="1"/>
    <cellStyle name="表示済みのハイパーリンク" xfId="4779" builtinId="9" hidden="1"/>
    <cellStyle name="表示済みのハイパーリンク" xfId="4781" builtinId="9" hidden="1"/>
    <cellStyle name="表示済みのハイパーリンク" xfId="4783" builtinId="9" hidden="1"/>
    <cellStyle name="表示済みのハイパーリンク" xfId="4785" builtinId="9" hidden="1"/>
    <cellStyle name="表示済みのハイパーリンク" xfId="4787" builtinId="9" hidden="1"/>
    <cellStyle name="表示済みのハイパーリンク" xfId="4789" builtinId="9" hidden="1"/>
    <cellStyle name="表示済みのハイパーリンク" xfId="4791" builtinId="9" hidden="1"/>
    <cellStyle name="表示済みのハイパーリンク" xfId="4793" builtinId="9" hidden="1"/>
    <cellStyle name="表示済みのハイパーリンク" xfId="4795" builtinId="9" hidden="1"/>
    <cellStyle name="表示済みのハイパーリンク" xfId="4797" builtinId="9" hidden="1"/>
    <cellStyle name="表示済みのハイパーリンク" xfId="4799" builtinId="9" hidden="1"/>
    <cellStyle name="表示済みのハイパーリンク" xfId="4801" builtinId="9" hidden="1"/>
    <cellStyle name="表示済みのハイパーリンク" xfId="4803" builtinId="9" hidden="1"/>
    <cellStyle name="表示済みのハイパーリンク" xfId="4805" builtinId="9" hidden="1"/>
    <cellStyle name="表示済みのハイパーリンク" xfId="4807" builtinId="9" hidden="1"/>
    <cellStyle name="表示済みのハイパーリンク" xfId="4809" builtinId="9" hidden="1"/>
    <cellStyle name="表示済みのハイパーリンク" xfId="4811" builtinId="9" hidden="1"/>
    <cellStyle name="赤字強調" xfId="4"/>
    <cellStyle name="青字強調" xfId="3"/>
  </cellStyles>
  <dxfs count="29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externalLink" Target="externalLinks/externalLink1.xml"/><Relationship Id="rId15" Type="http://schemas.openxmlformats.org/officeDocument/2006/relationships/externalLink" Target="externalLinks/externalLink2.xml"/><Relationship Id="rId16" Type="http://schemas.openxmlformats.org/officeDocument/2006/relationships/theme" Target="theme/theme1.xml"/><Relationship Id="rId17" Type="http://schemas.openxmlformats.org/officeDocument/2006/relationships/styles" Target="styles.xml"/><Relationship Id="rId18" Type="http://schemas.openxmlformats.org/officeDocument/2006/relationships/sharedStrings" Target="sharedStrings.xml"/><Relationship Id="rId19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nit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1393</v>
          </cell>
        </row>
        <row r="1391">
          <cell r="A1391">
            <v>1394</v>
          </cell>
        </row>
        <row r="1392">
          <cell r="A1392">
            <v>1395</v>
          </cell>
        </row>
        <row r="1393">
          <cell r="A1393">
            <v>1399</v>
          </cell>
        </row>
        <row r="1394">
          <cell r="A1394">
            <v>1400</v>
          </cell>
        </row>
        <row r="1395">
          <cell r="A1395">
            <v>1401</v>
          </cell>
        </row>
        <row r="1396">
          <cell r="A1396">
            <v>1402</v>
          </cell>
        </row>
        <row r="1397">
          <cell r="A1397">
            <v>1403</v>
          </cell>
        </row>
        <row r="1398">
          <cell r="A1398">
            <v>1404</v>
          </cell>
        </row>
        <row r="1399">
          <cell r="A1399">
            <v>1405</v>
          </cell>
        </row>
        <row r="1400">
          <cell r="A1400">
            <v>1406</v>
          </cell>
        </row>
        <row r="1401">
          <cell r="A1401">
            <v>1407</v>
          </cell>
        </row>
        <row r="1402">
          <cell r="A1402">
            <v>1408</v>
          </cell>
        </row>
        <row r="1403">
          <cell r="A1403">
            <v>1409</v>
          </cell>
        </row>
        <row r="1404">
          <cell r="A1404">
            <v>1410</v>
          </cell>
        </row>
        <row r="1405">
          <cell r="A1405">
            <v>1411</v>
          </cell>
        </row>
        <row r="1406">
          <cell r="A1406">
            <v>1412</v>
          </cell>
        </row>
        <row r="1407">
          <cell r="A1407">
            <v>1413</v>
          </cell>
        </row>
        <row r="1408">
          <cell r="A1408">
            <v>1414</v>
          </cell>
        </row>
        <row r="1409">
          <cell r="A1409">
            <v>1415</v>
          </cell>
        </row>
        <row r="1410">
          <cell r="A1410">
            <v>1416</v>
          </cell>
        </row>
        <row r="1411">
          <cell r="A1411">
            <v>1417</v>
          </cell>
        </row>
        <row r="1412">
          <cell r="A1412">
            <v>1418</v>
          </cell>
        </row>
        <row r="1413">
          <cell r="A1413">
            <v>1419</v>
          </cell>
        </row>
        <row r="1414">
          <cell r="A1414">
            <v>1420</v>
          </cell>
        </row>
        <row r="1415">
          <cell r="A1415">
            <v>1421</v>
          </cell>
        </row>
        <row r="1416">
          <cell r="A1416">
            <v>1422</v>
          </cell>
        </row>
        <row r="1417">
          <cell r="A1417">
            <v>1423</v>
          </cell>
        </row>
        <row r="1418">
          <cell r="A1418">
            <v>1424</v>
          </cell>
        </row>
        <row r="1419">
          <cell r="A1419">
            <v>1425</v>
          </cell>
        </row>
        <row r="1420">
          <cell r="A1420">
            <v>1426</v>
          </cell>
        </row>
        <row r="1421">
          <cell r="A1421">
            <v>1427</v>
          </cell>
        </row>
        <row r="1422">
          <cell r="A1422">
            <v>1428</v>
          </cell>
        </row>
        <row r="1423">
          <cell r="A1423">
            <v>1431</v>
          </cell>
        </row>
        <row r="1424">
          <cell r="A1424">
            <v>1432</v>
          </cell>
        </row>
        <row r="1425">
          <cell r="A1425">
            <v>1433</v>
          </cell>
        </row>
        <row r="1426">
          <cell r="A1426">
            <v>1434</v>
          </cell>
        </row>
        <row r="1427">
          <cell r="A1427">
            <v>1435</v>
          </cell>
        </row>
        <row r="1428">
          <cell r="A1428">
            <v>1436</v>
          </cell>
        </row>
        <row r="1429">
          <cell r="A1429">
            <v>1437</v>
          </cell>
        </row>
        <row r="1430">
          <cell r="A1430">
            <v>1438</v>
          </cell>
        </row>
        <row r="1431">
          <cell r="A1431">
            <v>1439</v>
          </cell>
        </row>
        <row r="1432">
          <cell r="A1432">
            <v>1440</v>
          </cell>
        </row>
        <row r="1433">
          <cell r="A1433">
            <v>1441</v>
          </cell>
        </row>
        <row r="1434">
          <cell r="A1434">
            <v>1442</v>
          </cell>
        </row>
        <row r="1435">
          <cell r="A1435">
            <v>1443</v>
          </cell>
        </row>
        <row r="1436">
          <cell r="A1436">
            <v>1444</v>
          </cell>
        </row>
        <row r="1437">
          <cell r="A1437">
            <v>1445</v>
          </cell>
        </row>
        <row r="1438">
          <cell r="A1438">
            <v>1446</v>
          </cell>
        </row>
        <row r="1439">
          <cell r="A1439">
            <v>1447</v>
          </cell>
        </row>
        <row r="1440">
          <cell r="A1440">
            <v>1448</v>
          </cell>
        </row>
        <row r="1441">
          <cell r="A1441">
            <v>1449</v>
          </cell>
        </row>
        <row r="1442">
          <cell r="A1442">
            <v>1450</v>
          </cell>
        </row>
        <row r="1443">
          <cell r="A1443">
            <v>1451</v>
          </cell>
        </row>
        <row r="1444">
          <cell r="A1444">
            <v>1452</v>
          </cell>
        </row>
        <row r="1445">
          <cell r="A1445">
            <v>1453</v>
          </cell>
        </row>
        <row r="1446">
          <cell r="A1446">
            <v>1454</v>
          </cell>
        </row>
        <row r="1447">
          <cell r="A1447">
            <v>1455</v>
          </cell>
        </row>
        <row r="1448">
          <cell r="A1448">
            <v>1456</v>
          </cell>
        </row>
        <row r="1449">
          <cell r="A1449">
            <v>1457</v>
          </cell>
        </row>
        <row r="1450">
          <cell r="A1450">
            <v>1458</v>
          </cell>
        </row>
        <row r="1451">
          <cell r="A1451">
            <v>1459</v>
          </cell>
        </row>
        <row r="1452">
          <cell r="A1452">
            <v>1460</v>
          </cell>
        </row>
        <row r="1453">
          <cell r="A1453">
            <v>1461</v>
          </cell>
        </row>
        <row r="1454">
          <cell r="A1454">
            <v>1462</v>
          </cell>
        </row>
        <row r="1455">
          <cell r="A1455">
            <v>1463</v>
          </cell>
        </row>
        <row r="1456">
          <cell r="A1456">
            <v>1464</v>
          </cell>
        </row>
        <row r="1457">
          <cell r="A1457">
            <v>1465</v>
          </cell>
        </row>
        <row r="1458">
          <cell r="A1458">
            <v>1466</v>
          </cell>
        </row>
        <row r="1459">
          <cell r="A1459">
            <v>1467</v>
          </cell>
        </row>
        <row r="1460">
          <cell r="A1460">
            <v>1468</v>
          </cell>
        </row>
        <row r="1461">
          <cell r="A1461">
            <v>1469</v>
          </cell>
        </row>
        <row r="1462">
          <cell r="A1462">
            <v>1470</v>
          </cell>
        </row>
        <row r="1463">
          <cell r="A1463">
            <v>1471</v>
          </cell>
        </row>
        <row r="1464">
          <cell r="A1464">
            <v>1488</v>
          </cell>
        </row>
        <row r="1465">
          <cell r="A1465">
            <v>1489</v>
          </cell>
        </row>
        <row r="1466">
          <cell r="A1466">
            <v>1490</v>
          </cell>
        </row>
        <row r="1467">
          <cell r="A1467">
            <v>1491</v>
          </cell>
        </row>
        <row r="1468">
          <cell r="A1468">
            <v>1495</v>
          </cell>
        </row>
        <row r="1469">
          <cell r="A1469">
            <v>1496</v>
          </cell>
        </row>
        <row r="1470">
          <cell r="A1470">
            <v>1497</v>
          </cell>
        </row>
        <row r="1471">
          <cell r="A1471">
            <v>1498</v>
          </cell>
        </row>
        <row r="1472">
          <cell r="A1472">
            <v>1499</v>
          </cell>
        </row>
        <row r="1473">
          <cell r="A1473">
            <v>1500</v>
          </cell>
        </row>
        <row r="1474">
          <cell r="A1474">
            <v>1501</v>
          </cell>
        </row>
        <row r="1475">
          <cell r="A1475">
            <v>1502</v>
          </cell>
        </row>
        <row r="1476">
          <cell r="A1476">
            <v>1503</v>
          </cell>
        </row>
        <row r="1477">
          <cell r="A1477">
            <v>1504</v>
          </cell>
        </row>
        <row r="1478">
          <cell r="A1478">
            <v>1505</v>
          </cell>
        </row>
        <row r="1479">
          <cell r="A1479">
            <v>1506</v>
          </cell>
        </row>
        <row r="1480">
          <cell r="A1480">
            <v>1507</v>
          </cell>
        </row>
        <row r="1481">
          <cell r="A1481">
            <v>1508</v>
          </cell>
        </row>
        <row r="1482">
          <cell r="A1482">
            <v>1509</v>
          </cell>
        </row>
        <row r="1483">
          <cell r="A1483">
            <v>1510</v>
          </cell>
        </row>
        <row r="1484">
          <cell r="A1484">
            <v>1511</v>
          </cell>
        </row>
        <row r="1485">
          <cell r="A1485">
            <v>1512</v>
          </cell>
        </row>
        <row r="1486">
          <cell r="A1486">
            <v>1513</v>
          </cell>
        </row>
        <row r="1487">
          <cell r="A1487">
            <v>1514</v>
          </cell>
        </row>
        <row r="1488">
          <cell r="A1488">
            <v>1515</v>
          </cell>
        </row>
        <row r="1489">
          <cell r="A1489">
            <v>1516</v>
          </cell>
        </row>
        <row r="1490">
          <cell r="A1490">
            <v>1517</v>
          </cell>
        </row>
        <row r="1491">
          <cell r="A1491">
            <v>1518</v>
          </cell>
        </row>
        <row r="1492">
          <cell r="A1492">
            <v>1519</v>
          </cell>
        </row>
        <row r="1493">
          <cell r="A1493">
            <v>1520</v>
          </cell>
        </row>
        <row r="1494">
          <cell r="A1494">
            <v>1521</v>
          </cell>
        </row>
        <row r="1495">
          <cell r="A1495">
            <v>1522</v>
          </cell>
        </row>
        <row r="1496">
          <cell r="A1496">
            <v>1523</v>
          </cell>
        </row>
        <row r="1497">
          <cell r="A1497">
            <v>1524</v>
          </cell>
        </row>
        <row r="1498">
          <cell r="A1498">
            <v>1525</v>
          </cell>
        </row>
        <row r="1499">
          <cell r="A1499">
            <v>1526</v>
          </cell>
        </row>
        <row r="1500">
          <cell r="A1500">
            <v>1527</v>
          </cell>
        </row>
        <row r="1501">
          <cell r="A1501">
            <v>1528</v>
          </cell>
        </row>
        <row r="1502">
          <cell r="A1502">
            <v>1529</v>
          </cell>
        </row>
        <row r="1503">
          <cell r="A1503">
            <v>1530</v>
          </cell>
        </row>
        <row r="1504">
          <cell r="A1504">
            <v>1531</v>
          </cell>
        </row>
        <row r="1505">
          <cell r="A1505">
            <v>1532</v>
          </cell>
        </row>
        <row r="1506">
          <cell r="A1506">
            <v>1533</v>
          </cell>
        </row>
        <row r="1507">
          <cell r="A1507">
            <v>1534</v>
          </cell>
        </row>
        <row r="1508">
          <cell r="A1508">
            <v>1535</v>
          </cell>
        </row>
        <row r="1509">
          <cell r="A1509">
            <v>1536</v>
          </cell>
        </row>
        <row r="1510">
          <cell r="A1510">
            <v>1537</v>
          </cell>
        </row>
        <row r="1511">
          <cell r="A1511">
            <v>1538</v>
          </cell>
        </row>
        <row r="1512">
          <cell r="A1512">
            <v>1539</v>
          </cell>
        </row>
        <row r="1513">
          <cell r="A1513">
            <v>1540</v>
          </cell>
        </row>
        <row r="1514">
          <cell r="A1514">
            <v>1541</v>
          </cell>
        </row>
        <row r="1515">
          <cell r="A1515">
            <v>1542</v>
          </cell>
        </row>
        <row r="1516">
          <cell r="A1516">
            <v>1543</v>
          </cell>
        </row>
        <row r="1517">
          <cell r="A1517">
            <v>1544</v>
          </cell>
        </row>
        <row r="1518">
          <cell r="A1518">
            <v>1545</v>
          </cell>
        </row>
        <row r="1519">
          <cell r="A1519">
            <v>1546</v>
          </cell>
        </row>
        <row r="1520">
          <cell r="A1520">
            <v>1547</v>
          </cell>
        </row>
        <row r="1521">
          <cell r="A1521">
            <v>1548</v>
          </cell>
        </row>
        <row r="1522">
          <cell r="A1522">
            <v>1549</v>
          </cell>
        </row>
        <row r="1523">
          <cell r="A1523">
            <v>1550</v>
          </cell>
        </row>
        <row r="1524">
          <cell r="A1524">
            <v>1551</v>
          </cell>
        </row>
        <row r="1525">
          <cell r="A1525">
            <v>1552</v>
          </cell>
        </row>
        <row r="1526">
          <cell r="A1526">
            <v>1553</v>
          </cell>
        </row>
        <row r="1527">
          <cell r="A1527">
            <v>1554</v>
          </cell>
        </row>
        <row r="1528">
          <cell r="A1528">
            <v>1555</v>
          </cell>
        </row>
        <row r="1529">
          <cell r="A1529">
            <v>1556</v>
          </cell>
        </row>
        <row r="1530">
          <cell r="A1530">
            <v>1557</v>
          </cell>
        </row>
        <row r="1531">
          <cell r="A1531">
            <v>1558</v>
          </cell>
        </row>
        <row r="1532">
          <cell r="A1532">
            <v>1559</v>
          </cell>
        </row>
        <row r="1533">
          <cell r="A1533">
            <v>1560</v>
          </cell>
        </row>
        <row r="1534">
          <cell r="A1534">
            <v>1561</v>
          </cell>
        </row>
        <row r="1535">
          <cell r="A1535">
            <v>1562</v>
          </cell>
        </row>
        <row r="1536">
          <cell r="A1536">
            <v>1563</v>
          </cell>
        </row>
        <row r="1537">
          <cell r="A1537">
            <v>1564</v>
          </cell>
        </row>
        <row r="1538">
          <cell r="A1538">
            <v>1565</v>
          </cell>
        </row>
        <row r="1539">
          <cell r="A1539">
            <v>1566</v>
          </cell>
        </row>
        <row r="1540">
          <cell r="A1540">
            <v>1567</v>
          </cell>
        </row>
        <row r="1541">
          <cell r="A1541">
            <v>1568</v>
          </cell>
        </row>
        <row r="1542">
          <cell r="A1542">
            <v>1569</v>
          </cell>
        </row>
        <row r="1543">
          <cell r="A1543">
            <v>1570</v>
          </cell>
        </row>
        <row r="1544">
          <cell r="A1544">
            <v>1571</v>
          </cell>
        </row>
        <row r="1545">
          <cell r="A1545">
            <v>1572</v>
          </cell>
        </row>
        <row r="1546">
          <cell r="A1546">
            <v>1573</v>
          </cell>
        </row>
        <row r="1547">
          <cell r="A1547">
            <v>1574</v>
          </cell>
        </row>
        <row r="1548">
          <cell r="A1548">
            <v>1575</v>
          </cell>
        </row>
        <row r="1549">
          <cell r="A1549">
            <v>1576</v>
          </cell>
        </row>
        <row r="1550">
          <cell r="A1550">
            <v>1577</v>
          </cell>
        </row>
        <row r="1551">
          <cell r="A1551">
            <v>1578</v>
          </cell>
        </row>
        <row r="1552">
          <cell r="A1552">
            <v>1579</v>
          </cell>
        </row>
        <row r="1553">
          <cell r="A1553">
            <v>1580</v>
          </cell>
        </row>
        <row r="1554">
          <cell r="A1554">
            <v>1581</v>
          </cell>
        </row>
        <row r="1555">
          <cell r="A1555">
            <v>1582</v>
          </cell>
        </row>
        <row r="1556">
          <cell r="A1556">
            <v>1583</v>
          </cell>
        </row>
        <row r="1557">
          <cell r="A1557">
            <v>1584</v>
          </cell>
        </row>
        <row r="1558">
          <cell r="A1558">
            <v>1585</v>
          </cell>
        </row>
        <row r="1559">
          <cell r="A1559">
            <v>1586</v>
          </cell>
        </row>
        <row r="1560">
          <cell r="A1560">
            <v>1587</v>
          </cell>
        </row>
        <row r="1561">
          <cell r="A1561">
            <v>1588</v>
          </cell>
        </row>
        <row r="1562">
          <cell r="A1562">
            <v>1603</v>
          </cell>
        </row>
        <row r="1563">
          <cell r="A1563">
            <v>1604</v>
          </cell>
        </row>
        <row r="1564">
          <cell r="A1564">
            <v>1613</v>
          </cell>
        </row>
        <row r="1565">
          <cell r="A1565">
            <v>1614</v>
          </cell>
        </row>
        <row r="1566">
          <cell r="A1566">
            <v>1615</v>
          </cell>
        </row>
        <row r="1567">
          <cell r="A1567">
            <v>1616</v>
          </cell>
        </row>
        <row r="1568">
          <cell r="A1568">
            <v>1617</v>
          </cell>
        </row>
        <row r="1569">
          <cell r="A1569">
            <v>1618</v>
          </cell>
        </row>
        <row r="1570">
          <cell r="A1570">
            <v>1619</v>
          </cell>
        </row>
        <row r="1571">
          <cell r="A1571">
            <v>1620</v>
          </cell>
        </row>
        <row r="1572">
          <cell r="A1572">
            <v>1621</v>
          </cell>
        </row>
        <row r="1573">
          <cell r="A1573">
            <v>1622</v>
          </cell>
        </row>
        <row r="1574">
          <cell r="A1574">
            <v>1623</v>
          </cell>
        </row>
        <row r="1575">
          <cell r="A1575">
            <v>1624</v>
          </cell>
        </row>
        <row r="1576">
          <cell r="A1576">
            <v>1687</v>
          </cell>
        </row>
        <row r="1577">
          <cell r="A1577">
            <v>1688</v>
          </cell>
        </row>
        <row r="1578">
          <cell r="A1578">
            <v>1689</v>
          </cell>
        </row>
        <row r="1579">
          <cell r="A1579">
            <v>1690</v>
          </cell>
        </row>
        <row r="1580">
          <cell r="A1580">
            <v>1691</v>
          </cell>
        </row>
        <row r="1581">
          <cell r="A1581">
            <v>1692</v>
          </cell>
        </row>
        <row r="1582">
          <cell r="A1582">
            <v>1693</v>
          </cell>
        </row>
        <row r="1583">
          <cell r="A1583">
            <v>1694</v>
          </cell>
        </row>
        <row r="1584">
          <cell r="A1584">
            <v>1695</v>
          </cell>
        </row>
        <row r="1585">
          <cell r="A1585">
            <v>1696</v>
          </cell>
        </row>
        <row r="1586">
          <cell r="A1586">
            <v>1697</v>
          </cell>
        </row>
        <row r="1587">
          <cell r="A1587">
            <v>1698</v>
          </cell>
        </row>
        <row r="1588">
          <cell r="A1588">
            <v>1699</v>
          </cell>
        </row>
        <row r="1589">
          <cell r="A1589">
            <v>1700</v>
          </cell>
        </row>
        <row r="1590">
          <cell r="A1590">
            <v>1701</v>
          </cell>
        </row>
        <row r="1591">
          <cell r="A1591">
            <v>1702</v>
          </cell>
        </row>
        <row r="1592">
          <cell r="A1592">
            <v>1703</v>
          </cell>
        </row>
        <row r="1593">
          <cell r="A1593">
            <v>1704</v>
          </cell>
        </row>
        <row r="1594">
          <cell r="A1594">
            <v>1705</v>
          </cell>
        </row>
        <row r="1595">
          <cell r="A1595">
            <v>1706</v>
          </cell>
        </row>
        <row r="1596">
          <cell r="A1596">
            <v>1707</v>
          </cell>
        </row>
        <row r="1597">
          <cell r="A1597">
            <v>1708</v>
          </cell>
        </row>
        <row r="1598">
          <cell r="A1598">
            <v>1709</v>
          </cell>
        </row>
        <row r="1599">
          <cell r="A1599">
            <v>1710</v>
          </cell>
        </row>
        <row r="1600">
          <cell r="A1600">
            <v>1711</v>
          </cell>
        </row>
        <row r="1601">
          <cell r="A1601">
            <v>1712</v>
          </cell>
        </row>
        <row r="1602">
          <cell r="A1602">
            <v>1713</v>
          </cell>
        </row>
        <row r="1603">
          <cell r="A1603">
            <v>1714</v>
          </cell>
        </row>
        <row r="1604">
          <cell r="A1604">
            <v>1715</v>
          </cell>
        </row>
        <row r="1605">
          <cell r="A1605">
            <v>1716</v>
          </cell>
        </row>
        <row r="1606">
          <cell r="A1606">
            <v>1717</v>
          </cell>
        </row>
        <row r="1607">
          <cell r="A1607">
            <v>1718</v>
          </cell>
        </row>
        <row r="1608">
          <cell r="A1608">
            <v>1719</v>
          </cell>
        </row>
        <row r="1609">
          <cell r="A1609">
            <v>5001</v>
          </cell>
        </row>
        <row r="1610">
          <cell r="A1610">
            <v>5002</v>
          </cell>
        </row>
        <row r="1611">
          <cell r="A1611">
            <v>5003</v>
          </cell>
        </row>
        <row r="1612">
          <cell r="A1612">
            <v>5004</v>
          </cell>
        </row>
        <row r="1613">
          <cell r="A1613">
            <v>5005</v>
          </cell>
        </row>
        <row r="1614">
          <cell r="A1614">
            <v>5006</v>
          </cell>
        </row>
        <row r="1615">
          <cell r="A1615">
            <v>5007</v>
          </cell>
        </row>
        <row r="1616">
          <cell r="A1616">
            <v>5008</v>
          </cell>
        </row>
        <row r="1617">
          <cell r="A1617">
            <v>5009</v>
          </cell>
        </row>
        <row r="1618">
          <cell r="A1618">
            <v>5010</v>
          </cell>
        </row>
        <row r="1619">
          <cell r="A1619">
            <v>5011</v>
          </cell>
        </row>
        <row r="1620">
          <cell r="A1620">
            <v>5012</v>
          </cell>
        </row>
        <row r="1621">
          <cell r="A1621">
            <v>6001</v>
          </cell>
        </row>
        <row r="1622">
          <cell r="A1622">
            <v>6002</v>
          </cell>
        </row>
        <row r="1623">
          <cell r="A1623">
            <v>6003</v>
          </cell>
        </row>
        <row r="1624">
          <cell r="A1624">
            <v>6004</v>
          </cell>
        </row>
        <row r="1625">
          <cell r="A1625">
            <v>6005</v>
          </cell>
        </row>
        <row r="1626">
          <cell r="A1626">
            <v>6006</v>
          </cell>
        </row>
        <row r="1627">
          <cell r="A1627">
            <v>6007</v>
          </cell>
        </row>
        <row r="1628">
          <cell r="A1628">
            <v>6008</v>
          </cell>
        </row>
        <row r="1629">
          <cell r="A1629">
            <v>6009</v>
          </cell>
        </row>
        <row r="1630">
          <cell r="A1630">
            <v>6010</v>
          </cell>
        </row>
        <row r="1631">
          <cell r="A1631">
            <v>6011</v>
          </cell>
        </row>
        <row r="1632">
          <cell r="A1632">
            <v>6012</v>
          </cell>
        </row>
        <row r="1633">
          <cell r="A1633">
            <v>6013</v>
          </cell>
        </row>
        <row r="1634">
          <cell r="A1634">
            <v>6014</v>
          </cell>
        </row>
        <row r="1635">
          <cell r="A1635">
            <v>6015</v>
          </cell>
        </row>
        <row r="1636">
          <cell r="A1636">
            <v>6016</v>
          </cell>
        </row>
        <row r="1637">
          <cell r="A1637">
            <v>6017</v>
          </cell>
        </row>
        <row r="1638">
          <cell r="A1638">
            <v>6018</v>
          </cell>
        </row>
        <row r="1639">
          <cell r="A1639">
            <v>6019</v>
          </cell>
        </row>
        <row r="1640">
          <cell r="A1640">
            <v>6020</v>
          </cell>
        </row>
        <row r="1641">
          <cell r="A1641">
            <v>8001</v>
          </cell>
        </row>
        <row r="1642">
          <cell r="A1642">
            <v>8002</v>
          </cell>
        </row>
        <row r="1643">
          <cell r="A1643">
            <v>8003</v>
          </cell>
        </row>
        <row r="1644">
          <cell r="A1644">
            <v>8004</v>
          </cell>
        </row>
        <row r="1645">
          <cell r="A1645">
            <v>8005</v>
          </cell>
        </row>
        <row r="1646">
          <cell r="A1646">
            <v>8006</v>
          </cell>
        </row>
        <row r="1647">
          <cell r="A1647">
            <v>8007</v>
          </cell>
        </row>
        <row r="1648">
          <cell r="A1648">
            <v>8008</v>
          </cell>
        </row>
        <row r="1649">
          <cell r="A1649">
            <v>8009</v>
          </cell>
        </row>
        <row r="1650">
          <cell r="A1650">
            <v>8010</v>
          </cell>
        </row>
        <row r="1651">
          <cell r="A1651">
            <v>8011</v>
          </cell>
        </row>
        <row r="1652">
          <cell r="A1652">
            <v>8012</v>
          </cell>
        </row>
        <row r="1653">
          <cell r="A1653">
            <v>8013</v>
          </cell>
        </row>
        <row r="1654">
          <cell r="A1654">
            <v>8014</v>
          </cell>
        </row>
        <row r="1655">
          <cell r="A1655">
            <v>8015</v>
          </cell>
        </row>
        <row r="1656">
          <cell r="A1656">
            <v>8016</v>
          </cell>
        </row>
        <row r="1657">
          <cell r="A1657">
            <v>8017</v>
          </cell>
        </row>
        <row r="1658">
          <cell r="A1658">
            <v>8018</v>
          </cell>
        </row>
        <row r="1659">
          <cell r="A1659">
            <v>8019</v>
          </cell>
        </row>
        <row r="1660">
          <cell r="A1660">
            <v>8020</v>
          </cell>
        </row>
        <row r="1661">
          <cell r="A1661">
            <v>8021</v>
          </cell>
        </row>
        <row r="1662">
          <cell r="A1662">
            <v>8022</v>
          </cell>
        </row>
        <row r="1663">
          <cell r="A1663">
            <v>8023</v>
          </cell>
        </row>
        <row r="1664">
          <cell r="A1664">
            <v>8024</v>
          </cell>
        </row>
        <row r="1665">
          <cell r="A1665">
            <v>8025</v>
          </cell>
        </row>
        <row r="1666">
          <cell r="A1666">
            <v>8026</v>
          </cell>
        </row>
        <row r="1667">
          <cell r="A1667">
            <v>8027</v>
          </cell>
        </row>
        <row r="1668">
          <cell r="A1668">
            <v>8028</v>
          </cell>
        </row>
        <row r="1669">
          <cell r="A1669">
            <v>8029</v>
          </cell>
        </row>
        <row r="1670">
          <cell r="A1670">
            <v>8030</v>
          </cell>
        </row>
        <row r="1671">
          <cell r="A1671">
            <v>8031</v>
          </cell>
        </row>
        <row r="1672">
          <cell r="A1672">
            <v>8032</v>
          </cell>
        </row>
        <row r="1673">
          <cell r="A1673">
            <v>8033</v>
          </cell>
        </row>
        <row r="1674">
          <cell r="A1674">
            <v>8034</v>
          </cell>
        </row>
        <row r="1675">
          <cell r="A1675">
            <v>8035</v>
          </cell>
        </row>
        <row r="1676">
          <cell r="A1676">
            <v>8036</v>
          </cell>
        </row>
        <row r="1677">
          <cell r="A1677">
            <v>8037</v>
          </cell>
        </row>
        <row r="1678">
          <cell r="A1678">
            <v>8038</v>
          </cell>
        </row>
        <row r="1679">
          <cell r="A1679">
            <v>8039</v>
          </cell>
        </row>
        <row r="1680">
          <cell r="A1680">
            <v>8040</v>
          </cell>
        </row>
        <row r="1681">
          <cell r="A1681">
            <v>8041</v>
          </cell>
        </row>
        <row r="1682">
          <cell r="A1682">
            <v>8042</v>
          </cell>
        </row>
        <row r="1683">
          <cell r="A1683">
            <v>8043</v>
          </cell>
        </row>
        <row r="1684">
          <cell r="A1684">
            <v>8044</v>
          </cell>
        </row>
        <row r="1685">
          <cell r="A1685">
            <v>8045</v>
          </cell>
        </row>
        <row r="1686">
          <cell r="A1686">
            <v>8046</v>
          </cell>
        </row>
        <row r="1687">
          <cell r="A1687">
            <v>8047</v>
          </cell>
        </row>
        <row r="1688">
          <cell r="A1688">
            <v>8048</v>
          </cell>
        </row>
        <row r="1689">
          <cell r="A1689">
            <v>8049</v>
          </cell>
        </row>
        <row r="1690">
          <cell r="A1690">
            <v>8050</v>
          </cell>
        </row>
        <row r="1691">
          <cell r="A1691">
            <v>8051</v>
          </cell>
        </row>
        <row r="1692">
          <cell r="A1692">
            <v>8052</v>
          </cell>
        </row>
        <row r="1693">
          <cell r="A1693">
            <v>8053</v>
          </cell>
        </row>
        <row r="1694">
          <cell r="A1694">
            <v>8054</v>
          </cell>
        </row>
        <row r="1695">
          <cell r="A1695">
            <v>8055</v>
          </cell>
        </row>
        <row r="1696">
          <cell r="A1696">
            <v>8056</v>
          </cell>
        </row>
        <row r="1697">
          <cell r="A1697">
            <v>8057</v>
          </cell>
        </row>
        <row r="1698">
          <cell r="A1698">
            <v>8058</v>
          </cell>
        </row>
        <row r="1699">
          <cell r="A1699">
            <v>8059</v>
          </cell>
        </row>
        <row r="1700">
          <cell r="A1700">
            <v>8060</v>
          </cell>
        </row>
        <row r="1701">
          <cell r="A1701">
            <v>8061</v>
          </cell>
        </row>
        <row r="1702">
          <cell r="A1702">
            <v>8062</v>
          </cell>
        </row>
        <row r="1703">
          <cell r="A1703">
            <v>8063</v>
          </cell>
        </row>
        <row r="1704">
          <cell r="A1704">
            <v>8064</v>
          </cell>
        </row>
        <row r="1705">
          <cell r="A1705">
            <v>8065</v>
          </cell>
        </row>
        <row r="1706">
          <cell r="A1706">
            <v>8066</v>
          </cell>
        </row>
        <row r="1707">
          <cell r="A1707">
            <v>8067</v>
          </cell>
        </row>
        <row r="1708">
          <cell r="A1708">
            <v>8068</v>
          </cell>
        </row>
        <row r="1709">
          <cell r="A1709">
            <v>8069</v>
          </cell>
        </row>
        <row r="1710">
          <cell r="A1710">
            <v>8070</v>
          </cell>
        </row>
        <row r="1711">
          <cell r="A1711">
            <v>8071</v>
          </cell>
        </row>
        <row r="1712">
          <cell r="A1712">
            <v>8072</v>
          </cell>
        </row>
        <row r="1713">
          <cell r="A1713">
            <v>8073</v>
          </cell>
        </row>
        <row r="1714">
          <cell r="A1714">
            <v>8074</v>
          </cell>
        </row>
        <row r="1715">
          <cell r="A1715">
            <v>8075</v>
          </cell>
        </row>
        <row r="1716">
          <cell r="A1716">
            <v>8076</v>
          </cell>
        </row>
        <row r="1717">
          <cell r="A1717">
            <v>8077</v>
          </cell>
        </row>
        <row r="1718">
          <cell r="A1718">
            <v>8078</v>
          </cell>
        </row>
        <row r="1719">
          <cell r="A1719">
            <v>8079</v>
          </cell>
        </row>
        <row r="1720">
          <cell r="A1720">
            <v>8080</v>
          </cell>
        </row>
        <row r="1721">
          <cell r="A1721">
            <v>8081</v>
          </cell>
        </row>
        <row r="1722">
          <cell r="A1722">
            <v>8082</v>
          </cell>
        </row>
        <row r="1723">
          <cell r="A1723">
            <v>8083</v>
          </cell>
        </row>
        <row r="1724">
          <cell r="A1724">
            <v>8084</v>
          </cell>
        </row>
        <row r="1725">
          <cell r="A1725">
            <v>8085</v>
          </cell>
        </row>
        <row r="1726">
          <cell r="A1726">
            <v>8086</v>
          </cell>
        </row>
        <row r="1727">
          <cell r="A1727">
            <v>8087</v>
          </cell>
        </row>
        <row r="1728">
          <cell r="A1728">
            <v>8088</v>
          </cell>
        </row>
        <row r="1729">
          <cell r="A1729">
            <v>8089</v>
          </cell>
        </row>
        <row r="1730">
          <cell r="A1730">
            <v>8090</v>
          </cell>
        </row>
        <row r="1731">
          <cell r="A1731">
            <v>8095</v>
          </cell>
        </row>
        <row r="1732">
          <cell r="A1732">
            <v>8096</v>
          </cell>
        </row>
        <row r="1733">
          <cell r="A1733">
            <v>8097</v>
          </cell>
        </row>
        <row r="1734">
          <cell r="A1734">
            <v>8098</v>
          </cell>
        </row>
        <row r="1735">
          <cell r="A1735">
            <v>8099</v>
          </cell>
        </row>
        <row r="1736">
          <cell r="A1736">
            <v>8100</v>
          </cell>
        </row>
        <row r="1737">
          <cell r="A1737">
            <v>8101</v>
          </cell>
        </row>
        <row r="1738">
          <cell r="A1738">
            <v>8102</v>
          </cell>
        </row>
        <row r="1739">
          <cell r="A1739">
            <v>8103</v>
          </cell>
        </row>
        <row r="1740">
          <cell r="A1740">
            <v>8104</v>
          </cell>
        </row>
        <row r="1741">
          <cell r="A1741">
            <v>8105</v>
          </cell>
        </row>
        <row r="1742">
          <cell r="A1742">
            <v>8106</v>
          </cell>
        </row>
        <row r="1743">
          <cell r="A1743">
            <v>8111</v>
          </cell>
        </row>
        <row r="1744">
          <cell r="A1744">
            <v>8112</v>
          </cell>
        </row>
        <row r="1745">
          <cell r="A1745">
            <v>8113</v>
          </cell>
        </row>
        <row r="1746">
          <cell r="A1746">
            <v>8114</v>
          </cell>
        </row>
        <row r="1747">
          <cell r="A1747">
            <v>8115</v>
          </cell>
        </row>
        <row r="1748">
          <cell r="A1748">
            <v>8116</v>
          </cell>
        </row>
        <row r="1749">
          <cell r="A1749">
            <v>8117</v>
          </cell>
        </row>
        <row r="1750">
          <cell r="A1750">
            <v>8118</v>
          </cell>
        </row>
        <row r="1751">
          <cell r="A1751">
            <v>8119</v>
          </cell>
        </row>
        <row r="1752">
          <cell r="A1752">
            <v>8120</v>
          </cell>
        </row>
        <row r="1753">
          <cell r="A1753">
            <v>8121</v>
          </cell>
        </row>
        <row r="1754">
          <cell r="A1754">
            <v>8122</v>
          </cell>
        </row>
        <row r="1755">
          <cell r="A1755">
            <v>8123</v>
          </cell>
        </row>
        <row r="1756">
          <cell r="A1756">
            <v>8124</v>
          </cell>
        </row>
        <row r="1757">
          <cell r="A1757">
            <v>8125</v>
          </cell>
        </row>
        <row r="1758">
          <cell r="A1758">
            <v>8126</v>
          </cell>
        </row>
        <row r="1759">
          <cell r="A1759">
            <v>8127</v>
          </cell>
        </row>
        <row r="1760">
          <cell r="A1760">
            <v>8128</v>
          </cell>
        </row>
        <row r="1761">
          <cell r="A1761">
            <v>8129</v>
          </cell>
        </row>
        <row r="1762">
          <cell r="A1762">
            <v>8130</v>
          </cell>
        </row>
        <row r="1763">
          <cell r="A1763">
            <v>8131</v>
          </cell>
        </row>
        <row r="1764">
          <cell r="A1764">
            <v>8132</v>
          </cell>
        </row>
        <row r="1765">
          <cell r="A1765">
            <v>8133</v>
          </cell>
        </row>
        <row r="1766">
          <cell r="A1766">
            <v>8134</v>
          </cell>
        </row>
        <row r="1767">
          <cell r="A1767">
            <v>8135</v>
          </cell>
        </row>
        <row r="1768">
          <cell r="A1768">
            <v>8136</v>
          </cell>
        </row>
        <row r="1769">
          <cell r="A1769">
            <v>8137</v>
          </cell>
        </row>
        <row r="1770">
          <cell r="A1770">
            <v>8138</v>
          </cell>
        </row>
        <row r="1771">
          <cell r="A1771">
            <v>9001</v>
          </cell>
        </row>
        <row r="1772">
          <cell r="A1772">
            <v>9002</v>
          </cell>
        </row>
        <row r="1773">
          <cell r="A1773">
            <v>9003</v>
          </cell>
        </row>
        <row r="1774">
          <cell r="A1774">
            <v>9004</v>
          </cell>
        </row>
        <row r="1775">
          <cell r="A1775">
            <v>9005</v>
          </cell>
        </row>
        <row r="1776">
          <cell r="A1776">
            <v>9006</v>
          </cell>
        </row>
        <row r="1777">
          <cell r="A1777">
            <v>9007</v>
          </cell>
        </row>
        <row r="1778">
          <cell r="A1778">
            <v>9008</v>
          </cell>
        </row>
        <row r="1779">
          <cell r="A1779">
            <v>9009</v>
          </cell>
        </row>
        <row r="1780">
          <cell r="A1780">
            <v>9010</v>
          </cell>
        </row>
        <row r="1781">
          <cell r="A1781">
            <v>9011</v>
          </cell>
        </row>
        <row r="1782">
          <cell r="A1782">
            <v>9012</v>
          </cell>
        </row>
        <row r="1783">
          <cell r="A1783">
            <v>10001</v>
          </cell>
        </row>
        <row r="1784">
          <cell r="A1784">
            <v>10002</v>
          </cell>
        </row>
        <row r="1785">
          <cell r="A1785">
            <v>10003</v>
          </cell>
        </row>
        <row r="1786">
          <cell r="A1786">
            <v>10004</v>
          </cell>
        </row>
        <row r="1787">
          <cell r="A1787">
            <v>10005</v>
          </cell>
        </row>
        <row r="1788">
          <cell r="A1788">
            <v>10006</v>
          </cell>
        </row>
        <row r="1789">
          <cell r="A1789">
            <v>10007</v>
          </cell>
        </row>
        <row r="1790">
          <cell r="A1790">
            <v>10008</v>
          </cell>
        </row>
        <row r="1791">
          <cell r="A1791">
            <v>10009</v>
          </cell>
        </row>
        <row r="1792">
          <cell r="A1792">
            <v>10010</v>
          </cell>
        </row>
        <row r="1793">
          <cell r="A1793">
            <v>10011</v>
          </cell>
        </row>
        <row r="1794">
          <cell r="A1794">
            <v>10012</v>
          </cell>
        </row>
        <row r="1795">
          <cell r="A1795">
            <v>10013</v>
          </cell>
        </row>
        <row r="1796">
          <cell r="A1796">
            <v>10014</v>
          </cell>
        </row>
        <row r="1797">
          <cell r="A1797">
            <v>10015</v>
          </cell>
        </row>
        <row r="1798">
          <cell r="A1798">
            <v>10016</v>
          </cell>
        </row>
        <row r="1799">
          <cell r="A1799">
            <v>10017</v>
          </cell>
        </row>
        <row r="1800">
          <cell r="A1800">
            <v>10018</v>
          </cell>
        </row>
        <row r="1801">
          <cell r="A1801">
            <v>10019</v>
          </cell>
        </row>
        <row r="1802">
          <cell r="A1802">
            <v>10020</v>
          </cell>
        </row>
        <row r="1803">
          <cell r="A1803">
            <v>10021</v>
          </cell>
        </row>
        <row r="1804">
          <cell r="A1804">
            <v>10022</v>
          </cell>
        </row>
        <row r="1805">
          <cell r="A1805">
            <v>10023</v>
          </cell>
        </row>
        <row r="1806">
          <cell r="A1806">
            <v>10024</v>
          </cell>
        </row>
        <row r="1807">
          <cell r="A1807">
            <v>10025</v>
          </cell>
        </row>
        <row r="1808">
          <cell r="A1808">
            <v>10026</v>
          </cell>
        </row>
        <row r="1809">
          <cell r="A1809">
            <v>10027</v>
          </cell>
        </row>
        <row r="1810">
          <cell r="A1810">
            <v>10028</v>
          </cell>
        </row>
        <row r="1811">
          <cell r="A1811">
            <v>10029</v>
          </cell>
        </row>
        <row r="1812">
          <cell r="A1812">
            <v>10030</v>
          </cell>
        </row>
        <row r="1813">
          <cell r="A1813">
            <v>10031</v>
          </cell>
        </row>
        <row r="1814">
          <cell r="A1814">
            <v>10032</v>
          </cell>
        </row>
        <row r="1815">
          <cell r="A1815">
            <v>10033</v>
          </cell>
        </row>
        <row r="1816">
          <cell r="A1816">
            <v>10034</v>
          </cell>
        </row>
        <row r="1817">
          <cell r="A1817">
            <v>10035</v>
          </cell>
        </row>
        <row r="1818">
          <cell r="A1818">
            <v>10036</v>
          </cell>
        </row>
        <row r="1819">
          <cell r="A1819">
            <v>10037</v>
          </cell>
        </row>
        <row r="1820">
          <cell r="A1820">
            <v>10038</v>
          </cell>
        </row>
        <row r="1821">
          <cell r="A1821">
            <v>10039</v>
          </cell>
        </row>
        <row r="1822">
          <cell r="A1822">
            <v>10040</v>
          </cell>
        </row>
        <row r="1823">
          <cell r="A1823">
            <v>10041</v>
          </cell>
        </row>
        <row r="1824">
          <cell r="A1824">
            <v>10042</v>
          </cell>
        </row>
        <row r="1825">
          <cell r="A1825">
            <v>10043</v>
          </cell>
        </row>
        <row r="1826">
          <cell r="A1826">
            <v>10044</v>
          </cell>
        </row>
        <row r="1827">
          <cell r="A1827">
            <v>10045</v>
          </cell>
        </row>
        <row r="1828">
          <cell r="A1828">
            <v>10046</v>
          </cell>
        </row>
        <row r="1829">
          <cell r="A1829">
            <v>10047</v>
          </cell>
        </row>
        <row r="1830">
          <cell r="A1830">
            <v>10048</v>
          </cell>
        </row>
        <row r="1831">
          <cell r="A1831">
            <v>10049</v>
          </cell>
        </row>
        <row r="1832">
          <cell r="A1832">
            <v>10050</v>
          </cell>
        </row>
        <row r="1833">
          <cell r="A1833">
            <v>10051</v>
          </cell>
        </row>
        <row r="1834">
          <cell r="A1834">
            <v>10052</v>
          </cell>
        </row>
        <row r="1835">
          <cell r="A1835">
            <v>10053</v>
          </cell>
        </row>
        <row r="1836">
          <cell r="A1836">
            <v>10054</v>
          </cell>
        </row>
        <row r="1837">
          <cell r="A1837">
            <v>10055</v>
          </cell>
        </row>
        <row r="1838">
          <cell r="A1838">
            <v>10056</v>
          </cell>
        </row>
        <row r="1839">
          <cell r="A1839">
            <v>10057</v>
          </cell>
        </row>
        <row r="1840">
          <cell r="A1840">
            <v>10058</v>
          </cell>
        </row>
        <row r="1841">
          <cell r="A1841">
            <v>10059</v>
          </cell>
        </row>
        <row r="1842">
          <cell r="A1842">
            <v>10060</v>
          </cell>
        </row>
        <row r="1843">
          <cell r="A1843">
            <v>10061</v>
          </cell>
        </row>
        <row r="1844">
          <cell r="A1844">
            <v>10062</v>
          </cell>
        </row>
        <row r="1845">
          <cell r="A1845">
            <v>10063</v>
          </cell>
        </row>
        <row r="1846">
          <cell r="A1846">
            <v>10064</v>
          </cell>
        </row>
        <row r="1847">
          <cell r="A1847">
            <v>10065</v>
          </cell>
        </row>
        <row r="1848">
          <cell r="A1848">
            <v>10066</v>
          </cell>
        </row>
        <row r="1849">
          <cell r="A1849">
            <v>10067</v>
          </cell>
        </row>
        <row r="1850">
          <cell r="A1850">
            <v>10068</v>
          </cell>
        </row>
        <row r="1851">
          <cell r="A1851">
            <v>10069</v>
          </cell>
        </row>
        <row r="1852">
          <cell r="A1852">
            <v>10070</v>
          </cell>
        </row>
        <row r="1853">
          <cell r="A1853">
            <v>10071</v>
          </cell>
        </row>
        <row r="1854">
          <cell r="A1854">
            <v>10072</v>
          </cell>
        </row>
        <row r="1855">
          <cell r="A1855">
            <v>10073</v>
          </cell>
        </row>
        <row r="1856">
          <cell r="A1856">
            <v>10074</v>
          </cell>
        </row>
        <row r="1857">
          <cell r="A1857">
            <v>10075</v>
          </cell>
        </row>
        <row r="1858">
          <cell r="A1858">
            <v>10076</v>
          </cell>
        </row>
        <row r="1859">
          <cell r="A1859">
            <v>10077</v>
          </cell>
        </row>
        <row r="1860">
          <cell r="A1860">
            <v>10078</v>
          </cell>
        </row>
        <row r="1861">
          <cell r="A1861">
            <v>10079</v>
          </cell>
        </row>
        <row r="1862">
          <cell r="A1862">
            <v>10080</v>
          </cell>
        </row>
        <row r="1863">
          <cell r="A1863">
            <v>10081</v>
          </cell>
        </row>
        <row r="1864">
          <cell r="A1864">
            <v>10082</v>
          </cell>
        </row>
        <row r="1865">
          <cell r="A1865">
            <v>10083</v>
          </cell>
        </row>
        <row r="1866">
          <cell r="A1866">
            <v>10084</v>
          </cell>
        </row>
        <row r="1867">
          <cell r="A1867">
            <v>10085</v>
          </cell>
        </row>
        <row r="1868">
          <cell r="A1868">
            <v>10086</v>
          </cell>
        </row>
        <row r="1869">
          <cell r="A1869">
            <v>10087</v>
          </cell>
        </row>
        <row r="1870">
          <cell r="A1870">
            <v>10088</v>
          </cell>
        </row>
        <row r="1871">
          <cell r="A1871">
            <v>10089</v>
          </cell>
        </row>
        <row r="1872">
          <cell r="A1872">
            <v>10090</v>
          </cell>
        </row>
        <row r="1873">
          <cell r="A1873">
            <v>10101</v>
          </cell>
        </row>
        <row r="1874">
          <cell r="A1874">
            <v>10102</v>
          </cell>
        </row>
        <row r="1875">
          <cell r="A1875">
            <v>10103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</row>
        <row r="19">
          <cell r="A19" t="str">
            <v>orochi</v>
          </cell>
          <cell r="B19" t="str">
            <v>ja</v>
          </cell>
          <cell r="C19" t="str">
            <v>オロチ一族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3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理論値幅"/>
      <sheetName val="units"/>
      <sheetName val="awake_materials"/>
      <sheetName val="awake_material_habitats"/>
      <sheetName val="awake_material_habitats_manual"/>
      <sheetName val="limitbreak_materials"/>
      <sheetName val="ghosts_label"/>
      <sheetName val="コスト"/>
      <sheetName val="レベル"/>
      <sheetName val="経験値"/>
      <sheetName val="RC6SV"/>
      <sheetName val="ビット"/>
      <sheetName val="unit_exp_table"/>
      <sheetName val="unit_material_exp"/>
      <sheetName val="unit_soldprice_rate"/>
    </sheetNames>
    <sheetDataSet>
      <sheetData sheetId="0"/>
      <sheetData sheetId="1"/>
      <sheetData sheetId="2">
        <row r="1">
          <cell r="A1" t="str">
            <v>character_id</v>
          </cell>
          <cell r="B1" t="str">
            <v>name</v>
          </cell>
          <cell r="C1" t="str">
            <v>特徴</v>
          </cell>
          <cell r="D1" t="str">
            <v>勢力</v>
          </cell>
          <cell r="E1" t="str">
            <v>訴求軸</v>
          </cell>
          <cell r="F1" t="str">
            <v>性別</v>
          </cell>
          <cell r="G1" t="str">
            <v>rare</v>
          </cell>
          <cell r="H1" t="str">
            <v>drop_label</v>
          </cell>
          <cell r="I1" t="str">
            <v>color</v>
          </cell>
          <cell r="J1" t="str">
            <v>HP係数</v>
          </cell>
          <cell r="K1" t="str">
            <v>攻撃係数</v>
          </cell>
          <cell r="L1" t="str">
            <v>防御系数</v>
          </cell>
          <cell r="M1" t="str">
            <v>回復系数</v>
          </cell>
          <cell r="N1" t="str">
            <v>cost</v>
          </cell>
          <cell r="O1" t="str">
            <v>max_level</v>
          </cell>
          <cell r="P1" t="str">
            <v>max_bug</v>
          </cell>
          <cell r="Q1" t="str">
            <v>character_type_id</v>
          </cell>
          <cell r="R1" t="str">
            <v>name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回復係数</v>
          </cell>
          <cell r="W1" t="str">
            <v>character_main_tribe_id</v>
          </cell>
          <cell r="X1" t="str">
            <v>name</v>
          </cell>
          <cell r="Y1" t="str">
            <v>character_sub_tribe_id</v>
          </cell>
          <cell r="Z1" t="str">
            <v>name</v>
          </cell>
          <cell r="AA1" t="str">
            <v>HP係数</v>
          </cell>
          <cell r="AB1" t="str">
            <v>攻撃係数</v>
          </cell>
          <cell r="AC1" t="str">
            <v>防御係数</v>
          </cell>
          <cell r="AD1" t="str">
            <v>回復係数</v>
          </cell>
          <cell r="AE1" t="str">
            <v>awake_character_id</v>
          </cell>
          <cell r="AF1" t="str">
            <v>name</v>
          </cell>
          <cell r="AG1" t="str">
            <v>base_character_id</v>
          </cell>
          <cell r="AH1" t="str">
            <v>name</v>
          </cell>
          <cell r="AI1" t="str">
            <v>awake_price</v>
          </cell>
          <cell r="AJ1" t="str">
            <v>growth_speed</v>
          </cell>
          <cell r="AK1" t="str">
            <v>成長速度名</v>
          </cell>
          <cell r="AL1" t="str">
            <v>exp_table</v>
          </cell>
          <cell r="AM1" t="str">
            <v>base_material_exp</v>
          </cell>
          <cell r="AN1" t="str">
            <v>base_soldprice</v>
          </cell>
          <cell r="AO1" t="str">
            <v>スキルタイプ</v>
          </cell>
          <cell r="AP1" t="str">
            <v>unit_skill_id</v>
          </cell>
          <cell r="AQ1" t="str">
            <v>unit_skill_name</v>
          </cell>
          <cell r="AR1" t="str">
            <v>unit_skill_comment</v>
          </cell>
          <cell r="AS1" t="str">
            <v>等級</v>
          </cell>
          <cell r="AT1" t="str">
            <v>crash_skill_id</v>
          </cell>
          <cell r="AU1" t="str">
            <v>crash_skill_name</v>
          </cell>
          <cell r="AV1" t="str">
            <v>crash_skill_comment</v>
          </cell>
          <cell r="AW1" t="str">
            <v>等級</v>
          </cell>
          <cell r="AX1" t="str">
            <v>valid_flg</v>
          </cell>
          <cell r="AY1" t="str">
            <v>HP係数</v>
          </cell>
          <cell r="AZ1" t="str">
            <v>攻撃系数</v>
          </cell>
          <cell r="BA1" t="str">
            <v>防御係数</v>
          </cell>
          <cell r="BB1" t="str">
            <v>回復系数</v>
          </cell>
          <cell r="BC1" t="str">
            <v>RC6SV</v>
          </cell>
          <cell r="BD1" t="str">
            <v>調整後</v>
          </cell>
          <cell r="BE1" t="str">
            <v>進化前RC6SV</v>
          </cell>
          <cell r="BF1" t="str">
            <v>進化前MAXレベル</v>
          </cell>
          <cell r="BG1" t="str">
            <v>min_hp</v>
          </cell>
          <cell r="BH1" t="str">
            <v>min_attack</v>
          </cell>
          <cell r="BI1" t="str">
            <v>min_defense</v>
          </cell>
          <cell r="BJ1" t="str">
            <v>min_heal</v>
          </cell>
          <cell r="BK1" t="str">
            <v>max_hp</v>
          </cell>
          <cell r="BL1" t="str">
            <v>max_attack</v>
          </cell>
          <cell r="BM1" t="str">
            <v>max_defense</v>
          </cell>
          <cell r="BN1" t="str">
            <v>max_heal</v>
          </cell>
          <cell r="BO1" t="str">
            <v>skip</v>
          </cell>
          <cell r="BP1" t="str">
            <v>min_max</v>
          </cell>
          <cell r="BQ1" t="str">
            <v>level_test</v>
          </cell>
          <cell r="BR1" t="str">
            <v>sell_ghosts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418</v>
          </cell>
        </row>
        <row r="412">
          <cell r="A412">
            <v>419</v>
          </cell>
        </row>
        <row r="413">
          <cell r="A413">
            <v>420</v>
          </cell>
        </row>
        <row r="414">
          <cell r="A414">
            <v>421</v>
          </cell>
        </row>
        <row r="415">
          <cell r="A415">
            <v>422</v>
          </cell>
        </row>
        <row r="416">
          <cell r="A416">
            <v>423</v>
          </cell>
        </row>
        <row r="417">
          <cell r="A417">
            <v>424</v>
          </cell>
        </row>
        <row r="418">
          <cell r="A418">
            <v>425</v>
          </cell>
        </row>
        <row r="419">
          <cell r="A419">
            <v>426</v>
          </cell>
        </row>
        <row r="420">
          <cell r="A420">
            <v>427</v>
          </cell>
        </row>
        <row r="421">
          <cell r="A421">
            <v>432</v>
          </cell>
        </row>
        <row r="422">
          <cell r="A422">
            <v>433</v>
          </cell>
        </row>
        <row r="423">
          <cell r="A423">
            <v>434</v>
          </cell>
        </row>
        <row r="424">
          <cell r="A424">
            <v>435</v>
          </cell>
        </row>
        <row r="425">
          <cell r="A425">
            <v>436</v>
          </cell>
        </row>
        <row r="426">
          <cell r="A426">
            <v>437</v>
          </cell>
        </row>
        <row r="427">
          <cell r="A427">
            <v>438</v>
          </cell>
        </row>
        <row r="428">
          <cell r="A428">
            <v>439</v>
          </cell>
        </row>
        <row r="429">
          <cell r="A429">
            <v>440</v>
          </cell>
        </row>
        <row r="430">
          <cell r="A430">
            <v>441</v>
          </cell>
        </row>
        <row r="431">
          <cell r="A431">
            <v>442</v>
          </cell>
        </row>
        <row r="432">
          <cell r="A432">
            <v>443</v>
          </cell>
        </row>
        <row r="433">
          <cell r="A433">
            <v>451</v>
          </cell>
        </row>
        <row r="434">
          <cell r="A434">
            <v>524</v>
          </cell>
        </row>
        <row r="435">
          <cell r="A435">
            <v>412</v>
          </cell>
        </row>
        <row r="436">
          <cell r="A436">
            <v>413</v>
          </cell>
        </row>
        <row r="437">
          <cell r="A437">
            <v>837</v>
          </cell>
        </row>
        <row r="438">
          <cell r="A438">
            <v>976</v>
          </cell>
        </row>
      </sheetData>
      <sheetData sheetId="3">
        <row r="1">
          <cell r="C1" t="str">
            <v>name</v>
          </cell>
        </row>
      </sheetData>
      <sheetData sheetId="4"/>
      <sheetData sheetId="5"/>
      <sheetData sheetId="6"/>
      <sheetData sheetId="7"/>
      <sheetData sheetId="8"/>
      <sheetData sheetId="9"/>
      <sheetData sheetId="10">
        <row r="1">
          <cell r="A1" t="str">
            <v>ラベル</v>
          </cell>
        </row>
      </sheetData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W10"/>
  <sheetViews>
    <sheetView workbookViewId="0">
      <selection activeCell="D13" sqref="D13"/>
    </sheetView>
  </sheetViews>
  <sheetFormatPr baseColWidth="12" defaultRowHeight="15" x14ac:dyDescent="0.15"/>
  <cols>
    <col min="2" max="2" width="14.83203125" bestFit="1" customWidth="1"/>
    <col min="5" max="5" width="17.6640625" bestFit="1" customWidth="1"/>
    <col min="6" max="6" width="22.1640625" bestFit="1" customWidth="1"/>
  </cols>
  <sheetData>
    <row r="1" spans="1:23" x14ac:dyDescent="0.15">
      <c r="A1" s="110" t="s">
        <v>158</v>
      </c>
      <c r="B1" s="110" t="s">
        <v>149</v>
      </c>
      <c r="C1" s="110" t="s">
        <v>150</v>
      </c>
      <c r="D1" s="110" t="s">
        <v>151</v>
      </c>
      <c r="E1" s="110" t="s">
        <v>152</v>
      </c>
      <c r="F1" s="110" t="s">
        <v>153</v>
      </c>
      <c r="G1" s="110" t="s">
        <v>154</v>
      </c>
      <c r="H1" s="110"/>
      <c r="I1" s="110"/>
      <c r="J1" s="110"/>
      <c r="K1" s="110"/>
      <c r="L1" s="111"/>
      <c r="M1" s="111"/>
      <c r="N1" s="111"/>
      <c r="O1" s="111"/>
      <c r="P1" s="111"/>
      <c r="Q1" s="111"/>
      <c r="R1" s="111"/>
      <c r="S1" s="111"/>
      <c r="T1" s="111"/>
      <c r="U1" s="111"/>
      <c r="V1" s="111"/>
      <c r="W1" s="111"/>
    </row>
    <row r="2" spans="1:23" x14ac:dyDescent="0.15">
      <c r="A2" s="112" t="s">
        <v>238</v>
      </c>
      <c r="B2" s="112" t="s">
        <v>162</v>
      </c>
      <c r="C2" s="112" t="s">
        <v>223</v>
      </c>
      <c r="D2" s="112" t="s">
        <v>161</v>
      </c>
      <c r="E2" s="111" t="str">
        <f>B2&amp;C2&amp;D2</f>
        <v>units_event05.tmp</v>
      </c>
      <c r="F2" s="112" t="s">
        <v>157</v>
      </c>
      <c r="G2" s="62" t="s">
        <v>18</v>
      </c>
      <c r="H2" s="63" t="s">
        <v>122</v>
      </c>
      <c r="I2" s="63" t="s">
        <v>1</v>
      </c>
      <c r="J2" s="63" t="s">
        <v>3</v>
      </c>
      <c r="K2" s="63" t="s">
        <v>2</v>
      </c>
      <c r="L2" s="63" t="s">
        <v>124</v>
      </c>
      <c r="M2" s="63" t="s">
        <v>21</v>
      </c>
      <c r="N2" s="63" t="s">
        <v>129</v>
      </c>
      <c r="O2" s="63" t="s">
        <v>127</v>
      </c>
      <c r="P2" s="63" t="s">
        <v>61</v>
      </c>
      <c r="Q2" s="63" t="s">
        <v>83</v>
      </c>
      <c r="R2" s="112" t="s">
        <v>339</v>
      </c>
      <c r="S2" s="112"/>
      <c r="T2" s="112"/>
      <c r="U2" s="112"/>
      <c r="V2" s="112"/>
      <c r="W2" s="112"/>
    </row>
    <row r="3" spans="1:23" x14ac:dyDescent="0.15">
      <c r="A3" s="112" t="s">
        <v>238</v>
      </c>
      <c r="B3" s="112" t="s">
        <v>163</v>
      </c>
      <c r="C3" s="112" t="s">
        <v>224</v>
      </c>
      <c r="D3" s="112" t="s">
        <v>161</v>
      </c>
      <c r="E3" s="111" t="str">
        <f>B3&amp;C3&amp;D3</f>
        <v>awake_materials_event05.tmp</v>
      </c>
      <c r="F3" s="112" t="s">
        <v>156</v>
      </c>
      <c r="G3" s="113" t="s">
        <v>60</v>
      </c>
      <c r="H3" s="114" t="s">
        <v>58</v>
      </c>
      <c r="I3" s="114" t="s">
        <v>59</v>
      </c>
      <c r="J3" s="116" t="s">
        <v>159</v>
      </c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</row>
    <row r="4" spans="1:23" x14ac:dyDescent="0.15">
      <c r="A4" s="112" t="s">
        <v>238</v>
      </c>
      <c r="B4" s="112" t="s">
        <v>164</v>
      </c>
      <c r="C4" s="112" t="s">
        <v>222</v>
      </c>
      <c r="D4" s="112" t="s">
        <v>165</v>
      </c>
      <c r="E4" s="111" t="str">
        <f t="shared" ref="E4" si="0">B4&amp;C4&amp;D4</f>
        <v>unit_levels_calc_event05.tmp</v>
      </c>
      <c r="F4" s="112" t="s">
        <v>155</v>
      </c>
      <c r="G4" s="58" t="s">
        <v>18</v>
      </c>
      <c r="H4" s="59" t="s">
        <v>2</v>
      </c>
      <c r="I4" s="60" t="s">
        <v>105</v>
      </c>
      <c r="J4" s="60" t="s">
        <v>106</v>
      </c>
      <c r="K4" s="60" t="s">
        <v>107</v>
      </c>
      <c r="L4" s="60" t="s">
        <v>108</v>
      </c>
      <c r="M4" s="60" t="s">
        <v>113</v>
      </c>
      <c r="N4" s="60" t="s">
        <v>114</v>
      </c>
      <c r="O4" s="60" t="s">
        <v>115</v>
      </c>
      <c r="P4" s="60" t="s">
        <v>116</v>
      </c>
      <c r="Q4" s="60" t="s">
        <v>117</v>
      </c>
      <c r="R4" s="60" t="s">
        <v>120</v>
      </c>
      <c r="S4" s="60" t="s">
        <v>118</v>
      </c>
      <c r="T4" s="60" t="s">
        <v>119</v>
      </c>
      <c r="U4" s="60" t="s">
        <v>109</v>
      </c>
      <c r="V4" s="60" t="s">
        <v>110</v>
      </c>
      <c r="W4" s="60" t="s">
        <v>111</v>
      </c>
    </row>
    <row r="5" spans="1:23" x14ac:dyDescent="0.15">
      <c r="A5" s="112" t="s">
        <v>238</v>
      </c>
      <c r="B5" s="112" t="s">
        <v>180</v>
      </c>
      <c r="C5" s="112" t="s">
        <v>222</v>
      </c>
      <c r="D5" s="112" t="s">
        <v>181</v>
      </c>
      <c r="E5" s="111" t="str">
        <f>B5&amp;C5&amp;D5</f>
        <v>unit_skills_data_event05.tmp</v>
      </c>
      <c r="F5" s="112" t="s">
        <v>182</v>
      </c>
      <c r="G5" s="120" t="s">
        <v>21</v>
      </c>
      <c r="H5" s="120" t="s">
        <v>183</v>
      </c>
      <c r="I5" s="120" t="s">
        <v>2</v>
      </c>
      <c r="J5" s="120" t="s">
        <v>184</v>
      </c>
      <c r="K5" s="120" t="s">
        <v>185</v>
      </c>
      <c r="L5" s="120" t="s">
        <v>4</v>
      </c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</row>
    <row r="6" spans="1:23" x14ac:dyDescent="0.15">
      <c r="A6" s="112" t="s">
        <v>238</v>
      </c>
      <c r="B6" s="112" t="s">
        <v>186</v>
      </c>
      <c r="C6" s="112" t="s">
        <v>222</v>
      </c>
      <c r="D6" s="112" t="s">
        <v>161</v>
      </c>
      <c r="E6" s="111" t="str">
        <f>B6&amp;C6&amp;D6</f>
        <v>unit_skills_i18n_event05.tmp</v>
      </c>
      <c r="F6" s="112" t="s">
        <v>182</v>
      </c>
      <c r="G6" s="120" t="s">
        <v>187</v>
      </c>
      <c r="H6" s="120" t="s">
        <v>171</v>
      </c>
      <c r="I6" s="120" t="s">
        <v>188</v>
      </c>
      <c r="J6" s="120" t="s">
        <v>189</v>
      </c>
      <c r="K6" s="115"/>
      <c r="L6" s="115"/>
      <c r="M6" s="60"/>
      <c r="N6" s="60"/>
      <c r="O6" s="60"/>
      <c r="P6" s="60"/>
      <c r="Q6" s="60"/>
      <c r="R6" s="60"/>
      <c r="S6" s="60"/>
      <c r="T6" s="60"/>
      <c r="U6" s="60"/>
      <c r="V6" s="60"/>
      <c r="W6" s="60"/>
    </row>
    <row r="7" spans="1:23" x14ac:dyDescent="0.15">
      <c r="A7" s="112" t="s">
        <v>238</v>
      </c>
      <c r="B7" s="112" t="s">
        <v>190</v>
      </c>
      <c r="C7" s="112" t="s">
        <v>222</v>
      </c>
      <c r="D7" s="112" t="s">
        <v>191</v>
      </c>
      <c r="E7" s="111" t="str">
        <f>B7&amp;C7&amp;D7</f>
        <v>crash_skills_data_event05.tmp</v>
      </c>
      <c r="F7" s="112" t="s">
        <v>192</v>
      </c>
      <c r="G7" s="120" t="s">
        <v>193</v>
      </c>
      <c r="H7" s="120" t="s">
        <v>185</v>
      </c>
      <c r="I7" s="120" t="s">
        <v>4</v>
      </c>
      <c r="J7" s="115"/>
      <c r="K7" s="115"/>
      <c r="L7" s="115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</row>
    <row r="8" spans="1:23" x14ac:dyDescent="0.15">
      <c r="A8" s="112" t="s">
        <v>238</v>
      </c>
      <c r="B8" s="112" t="s">
        <v>194</v>
      </c>
      <c r="C8" s="112" t="s">
        <v>222</v>
      </c>
      <c r="D8" s="112" t="s">
        <v>195</v>
      </c>
      <c r="E8" s="111" t="str">
        <f t="shared" ref="E8" si="1">B8&amp;C8&amp;D8</f>
        <v>crash_skills_i18n_event05.tmp</v>
      </c>
      <c r="F8" s="112" t="s">
        <v>192</v>
      </c>
      <c r="G8" s="120" t="s">
        <v>196</v>
      </c>
      <c r="H8" s="120" t="s">
        <v>197</v>
      </c>
      <c r="I8" s="120" t="s">
        <v>198</v>
      </c>
      <c r="J8" s="120" t="s">
        <v>199</v>
      </c>
      <c r="K8" s="121"/>
      <c r="L8" s="121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</row>
    <row r="9" spans="1:23" x14ac:dyDescent="0.15">
      <c r="A9" s="112" t="s">
        <v>238</v>
      </c>
      <c r="B9" s="115" t="s">
        <v>172</v>
      </c>
      <c r="C9" s="112" t="s">
        <v>222</v>
      </c>
      <c r="D9" s="112" t="s">
        <v>221</v>
      </c>
      <c r="E9" s="111" t="str">
        <f t="shared" ref="E9:E10" si="2">B9&amp;C9&amp;D9</f>
        <v>unit_serifs_data_event05.tmp</v>
      </c>
      <c r="F9" s="115" t="s">
        <v>174</v>
      </c>
      <c r="G9" s="119" t="s">
        <v>175</v>
      </c>
      <c r="H9" s="120" t="s">
        <v>176</v>
      </c>
      <c r="I9" s="120" t="s">
        <v>168</v>
      </c>
      <c r="J9" s="112"/>
      <c r="K9" s="112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</row>
    <row r="10" spans="1:23" x14ac:dyDescent="0.15">
      <c r="A10" s="112" t="s">
        <v>238</v>
      </c>
      <c r="B10" s="115" t="s">
        <v>173</v>
      </c>
      <c r="C10" s="112" t="s">
        <v>222</v>
      </c>
      <c r="D10" s="112" t="s">
        <v>221</v>
      </c>
      <c r="E10" s="111" t="str">
        <f t="shared" si="2"/>
        <v>unit_serifs_i18n_event05.tmp</v>
      </c>
      <c r="F10" s="115" t="s">
        <v>174</v>
      </c>
      <c r="G10" s="119" t="s">
        <v>177</v>
      </c>
      <c r="H10" s="120" t="s">
        <v>178</v>
      </c>
      <c r="I10" s="120" t="s">
        <v>179</v>
      </c>
      <c r="J10" s="112"/>
      <c r="K10" s="112"/>
      <c r="L10" s="112"/>
      <c r="M10" s="112"/>
      <c r="N10" s="112"/>
      <c r="O10" s="112"/>
      <c r="P10" s="112"/>
      <c r="Q10" s="112"/>
      <c r="R10" s="112"/>
      <c r="S10" s="112"/>
      <c r="T10" s="112"/>
      <c r="U10" s="112"/>
      <c r="V10" s="112"/>
      <c r="W10" s="112"/>
    </row>
  </sheetData>
  <phoneticPr fontId="22"/>
  <dataValidations count="1">
    <dataValidation type="list" allowBlank="1" showInputMessage="1" showErrorMessage="1" sqref="A2:A10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R13"/>
  <sheetViews>
    <sheetView showGridLines="0" workbookViewId="0">
      <pane xSplit="9" ySplit="1" topLeftCell="BM2" activePane="bottomRight" state="frozen"/>
      <selection pane="topRight" activeCell="J1" sqref="J1"/>
      <selection pane="bottomLeft" activeCell="A3" sqref="A3"/>
      <selection pane="bottomRight" activeCell="A12" sqref="A12:XFD12"/>
    </sheetView>
  </sheetViews>
  <sheetFormatPr baseColWidth="12" defaultColWidth="8.83203125" defaultRowHeight="21" customHeight="1" outlineLevelCol="1" x14ac:dyDescent="0.15"/>
  <cols>
    <col min="1" max="1" width="12.83203125" style="12" customWidth="1"/>
    <col min="2" max="2" width="21.5" style="13" bestFit="1" customWidth="1" collapsed="1"/>
    <col min="3" max="3" width="23.6640625" style="13" hidden="1" customWidth="1" outlineLevel="1"/>
    <col min="4" max="4" width="8.6640625" style="13" hidden="1" customWidth="1" outlineLevel="1"/>
    <col min="5" max="5" width="8" style="13" hidden="1" customWidth="1" outlineLevel="1"/>
    <col min="6" max="6" width="7.1640625" style="13" hidden="1" customWidth="1" outlineLevel="1"/>
    <col min="7" max="7" width="9.6640625" style="13" bestFit="1" customWidth="1"/>
    <col min="8" max="8" width="13.6640625" style="13" bestFit="1" customWidth="1"/>
    <col min="9" max="9" width="10.5" style="13" bestFit="1" customWidth="1" collapsed="1"/>
    <col min="10" max="10" width="59.5" style="13" hidden="1" customWidth="1" outlineLevel="1"/>
    <col min="11" max="13" width="13.6640625" style="13" hidden="1" customWidth="1" outlineLevel="1"/>
    <col min="14" max="14" width="10" style="13" bestFit="1" customWidth="1"/>
    <col min="15" max="15" width="13.5" style="13" bestFit="1" customWidth="1"/>
    <col min="16" max="16" width="13.5" style="13" customWidth="1"/>
    <col min="17" max="17" width="18.83203125" style="13" bestFit="1" customWidth="1"/>
    <col min="18" max="18" width="14.1640625" style="13" customWidth="1"/>
    <col min="19" max="19" width="12.33203125" style="13" customWidth="1" outlineLevel="1"/>
    <col min="20" max="22" width="13.6640625" style="13" customWidth="1" outlineLevel="1"/>
    <col min="23" max="23" width="22.83203125" style="12" bestFit="1" customWidth="1"/>
    <col min="24" max="24" width="14.1640625" style="13" customWidth="1"/>
    <col min="25" max="25" width="22" style="13" customWidth="1" outlineLevel="1"/>
    <col min="26" max="26" width="14.1640625" style="13" customWidth="1" outlineLevel="1"/>
    <col min="27" max="27" width="12.33203125" style="13" customWidth="1" outlineLevel="1"/>
    <col min="28" max="30" width="13.6640625" style="13" customWidth="1" outlineLevel="1"/>
    <col min="31" max="31" width="20.1640625" style="12" bestFit="1" customWidth="1"/>
    <col min="32" max="32" width="18.83203125" style="13" bestFit="1" customWidth="1"/>
    <col min="33" max="34" width="18.83203125" style="13" customWidth="1"/>
    <col min="35" max="35" width="15.1640625" style="13" customWidth="1"/>
    <col min="36" max="36" width="13.1640625" style="12" customWidth="1"/>
    <col min="37" max="37" width="15.33203125" style="13" bestFit="1" customWidth="1"/>
    <col min="38" max="38" width="13.33203125" style="13" bestFit="1" customWidth="1"/>
    <col min="39" max="39" width="15.33203125" style="14" bestFit="1" customWidth="1"/>
    <col min="40" max="40" width="14" style="14" bestFit="1" customWidth="1"/>
    <col min="41" max="41" width="16" style="44" bestFit="1" customWidth="1"/>
    <col min="42" max="42" width="14.33203125" style="15" bestFit="1" customWidth="1"/>
    <col min="43" max="43" width="20.83203125" style="13" customWidth="1"/>
    <col min="44" max="44" width="80.6640625" style="13" customWidth="1" outlineLevel="1"/>
    <col min="45" max="45" width="6.83203125" style="13" customWidth="1"/>
    <col min="46" max="46" width="15.6640625" style="12" bestFit="1" customWidth="1"/>
    <col min="47" max="47" width="43.6640625" style="13" customWidth="1"/>
    <col min="48" max="48" width="43.6640625" style="13" customWidth="1" outlineLevel="1"/>
    <col min="49" max="49" width="6.83203125" style="13" customWidth="1"/>
    <col min="50" max="50" width="11.33203125" style="13" bestFit="1" customWidth="1"/>
    <col min="51" max="54" width="8.33203125" style="12" customWidth="1"/>
    <col min="55" max="55" width="12" style="13" bestFit="1" customWidth="1"/>
    <col min="56" max="56" width="12" style="13" bestFit="1" customWidth="1" collapsed="1"/>
    <col min="57" max="57" width="14.33203125" style="13" hidden="1" customWidth="1" outlineLevel="1"/>
    <col min="58" max="58" width="16.1640625" style="13" hidden="1" customWidth="1" outlineLevel="1"/>
    <col min="59" max="62" width="11.83203125" style="13" customWidth="1"/>
    <col min="63" max="66" width="11.83203125" style="12" customWidth="1"/>
    <col min="67" max="67" width="12.83203125" style="12" bestFit="1" customWidth="1"/>
    <col min="68" max="68" width="12.6640625" style="12" bestFit="1" customWidth="1"/>
    <col min="69" max="69" width="13.5" style="12" bestFit="1" customWidth="1"/>
    <col min="70" max="16384" width="8.83203125" style="12"/>
  </cols>
  <sheetData>
    <row r="1" spans="1:70" ht="21" customHeight="1" x14ac:dyDescent="0.15">
      <c r="A1" s="84" t="s">
        <v>135</v>
      </c>
      <c r="B1" s="86" t="s">
        <v>70</v>
      </c>
      <c r="C1" s="89" t="s">
        <v>35</v>
      </c>
      <c r="D1" s="89" t="s">
        <v>38</v>
      </c>
      <c r="E1" s="89" t="s">
        <v>36</v>
      </c>
      <c r="F1" s="89" t="s">
        <v>37</v>
      </c>
      <c r="G1" s="84" t="s">
        <v>1</v>
      </c>
      <c r="H1" s="87" t="s">
        <v>20</v>
      </c>
      <c r="I1" s="88" t="s">
        <v>0</v>
      </c>
      <c r="J1" s="90" t="s">
        <v>75</v>
      </c>
      <c r="K1" s="90" t="s">
        <v>74</v>
      </c>
      <c r="L1" s="90" t="s">
        <v>76</v>
      </c>
      <c r="M1" s="90" t="s">
        <v>77</v>
      </c>
      <c r="N1" s="84" t="s">
        <v>3</v>
      </c>
      <c r="O1" s="91" t="s">
        <v>2</v>
      </c>
      <c r="P1" s="84" t="s">
        <v>123</v>
      </c>
      <c r="Q1" s="92" t="s">
        <v>19</v>
      </c>
      <c r="R1" s="83" t="s">
        <v>78</v>
      </c>
      <c r="S1" s="93" t="s">
        <v>24</v>
      </c>
      <c r="T1" s="93" t="s">
        <v>25</v>
      </c>
      <c r="U1" s="93" t="s">
        <v>27</v>
      </c>
      <c r="V1" s="93" t="s">
        <v>26</v>
      </c>
      <c r="W1" s="88" t="s">
        <v>40</v>
      </c>
      <c r="X1" s="89" t="s">
        <v>79</v>
      </c>
      <c r="Y1" s="88" t="s">
        <v>41</v>
      </c>
      <c r="Z1" s="89" t="s">
        <v>79</v>
      </c>
      <c r="AA1" s="90" t="s">
        <v>24</v>
      </c>
      <c r="AB1" s="90" t="s">
        <v>25</v>
      </c>
      <c r="AC1" s="90" t="s">
        <v>27</v>
      </c>
      <c r="AD1" s="90" t="s">
        <v>26</v>
      </c>
      <c r="AE1" s="94" t="s">
        <v>126</v>
      </c>
      <c r="AF1" s="83" t="s">
        <v>71</v>
      </c>
      <c r="AG1" s="95" t="s">
        <v>84</v>
      </c>
      <c r="AH1" s="83" t="s">
        <v>71</v>
      </c>
      <c r="AI1" s="95" t="s">
        <v>72</v>
      </c>
      <c r="AJ1" s="85" t="s">
        <v>93</v>
      </c>
      <c r="AK1" s="83" t="s">
        <v>22</v>
      </c>
      <c r="AL1" s="96" t="s">
        <v>94</v>
      </c>
      <c r="AM1" s="97" t="s">
        <v>92</v>
      </c>
      <c r="AN1" s="97" t="s">
        <v>95</v>
      </c>
      <c r="AO1" s="98" t="s">
        <v>39</v>
      </c>
      <c r="AP1" s="94" t="s">
        <v>21</v>
      </c>
      <c r="AQ1" s="99" t="s">
        <v>143</v>
      </c>
      <c r="AR1" s="99" t="s">
        <v>134</v>
      </c>
      <c r="AS1" s="83" t="s">
        <v>130</v>
      </c>
      <c r="AT1" s="94" t="s">
        <v>128</v>
      </c>
      <c r="AU1" s="83" t="s">
        <v>140</v>
      </c>
      <c r="AV1" s="99" t="s">
        <v>134</v>
      </c>
      <c r="AW1" s="83" t="s">
        <v>130</v>
      </c>
      <c r="AX1" s="89" t="s">
        <v>4</v>
      </c>
      <c r="AY1" s="100" t="s">
        <v>80</v>
      </c>
      <c r="AZ1" s="100" t="s">
        <v>81</v>
      </c>
      <c r="BA1" s="100" t="s">
        <v>144</v>
      </c>
      <c r="BB1" s="100" t="s">
        <v>82</v>
      </c>
      <c r="BC1" s="5" t="s">
        <v>23</v>
      </c>
      <c r="BD1" s="103" t="s">
        <v>46</v>
      </c>
      <c r="BE1" s="101" t="s">
        <v>5</v>
      </c>
      <c r="BF1" s="102" t="s">
        <v>6</v>
      </c>
      <c r="BG1" s="104" t="s">
        <v>96</v>
      </c>
      <c r="BH1" s="104" t="s">
        <v>97</v>
      </c>
      <c r="BI1" s="104" t="s">
        <v>98</v>
      </c>
      <c r="BJ1" s="104" t="s">
        <v>99</v>
      </c>
      <c r="BK1" s="105" t="s">
        <v>100</v>
      </c>
      <c r="BL1" s="105" t="s">
        <v>121</v>
      </c>
      <c r="BM1" s="105" t="s">
        <v>101</v>
      </c>
      <c r="BN1" s="105" t="s">
        <v>102</v>
      </c>
      <c r="BO1" s="106" t="s">
        <v>103</v>
      </c>
      <c r="BP1" s="107" t="s">
        <v>104</v>
      </c>
      <c r="BQ1" s="85" t="s">
        <v>112</v>
      </c>
      <c r="BR1" s="10" t="s">
        <v>338</v>
      </c>
    </row>
    <row r="2" spans="1:70" ht="21" customHeight="1" x14ac:dyDescent="0.15">
      <c r="A2" s="12">
        <v>452</v>
      </c>
      <c r="B2" s="56" t="str">
        <f ca="1">VLOOKUP($A2,OFFSET([1]characters!$A$1,0,0,COUNTA([1]characters!$A:$A),MATCH(B$1,[1]characters!$1:$1,0)-MATCH($A$1,[1]characters!$1:$1,0)+1),MATCH(B$1,[1]characters!$1:$1,0)-MATCH($A$1,[1]characters!$1:$1,0)+1,FALSE)</f>
        <v>猛狐 エゾ</v>
      </c>
      <c r="C2" s="56" t="str">
        <f ca="1">VLOOKUP($A2,OFFSET([1]characters!$A$1,0,0,COUNTA([1]characters!$A:$A),MATCH(C$1,[1]characters!$1:$1,0)-MATCH($A$1,[1]characters!$1:$1,0)+1),MATCH(C$1,[1]characters!$1:$1,0)-MATCH($A$1,[1]characters!$1:$1,0)+1,FALSE)</f>
        <v>イベント:オリジナル01</v>
      </c>
      <c r="D2" s="56" t="str">
        <f ca="1">VLOOKUP($A2,OFFSET([1]characters!$A$1,0,0,COUNTA([1]characters!$A:$A),MATCH(D$1,[1]characters!$1:$1,0)-MATCH($A$1,[1]characters!$1:$1,0)+1),MATCH(D$1,[1]characters!$1:$1,0)-MATCH($A$1,[1]characters!$1:$1,0)+1,FALSE)</f>
        <v>執行者</v>
      </c>
      <c r="E2" s="56" t="str">
        <f ca="1">VLOOKUP($A2,OFFSET([1]characters!$A$1,0,0,COUNTA([1]characters!$A:$A),MATCH(E$1,[1]characters!$1:$1,0)-MATCH($A$1,[1]characters!$1:$1,0)+1),MATCH(E$1,[1]characters!$1:$1,0)-MATCH($A$1,[1]characters!$1:$1,0)+1,FALSE)</f>
        <v>格好いい</v>
      </c>
      <c r="F2" s="56" t="str">
        <f ca="1">VLOOKUP($A2,OFFSET([1]characters!$A$1,0,0,COUNTA([1]characters!$A:$A),MATCH(F$1,[1]characters!$1:$1,0)-MATCH($A$1,[1]characters!$1:$1,0)+1),MATCH(F$1,[1]characters!$1:$1,0)-MATCH($A$1,[1]characters!$1:$1,0)+1,FALSE)</f>
        <v>男性</v>
      </c>
      <c r="G2" s="56">
        <f ca="1">VLOOKUP($A2,OFFSET([1]characters!$A$1,0,0,COUNTA([1]characters!$A:$A),MATCH(G$1,[1]characters!$1:$1,0)-MATCH($A$1,[1]characters!$1:$1,0)+1),MATCH(G$1,[1]characters!$1:$1,0)-MATCH($A$1,[1]characters!$1:$1,0)+1,FALSE)</f>
        <v>4</v>
      </c>
      <c r="H2" s="56" t="str">
        <f ca="1">VLOOKUP($A2,OFFSET([1]characters!$A$1,0,0,COUNTA([1]characters!$A:$A),MATCH(H$1,[1]characters!$1:$1,0)-MATCH($A$1,[1]characters!$1:$1,0)+1),MATCH(H$1,[1]characters!$1:$1,0)-MATCH($A$1,[1]characters!$1:$1,0)+1,FALSE)</f>
        <v>Drop2N</v>
      </c>
      <c r="I2" s="56" t="str">
        <f ca="1">VLOOKUP($A2,OFFSET([1]characters!$A$1,0,0,COUNTA([1]characters!$A:$A),MATCH(I$1,[1]characters!$1:$1,0)-MATCH($A$1,[1]characters!$1:$1,0)+1),MATCH(I$1,[1]characters!$1:$1,0)-MATCH($A$1,[1]characters!$1:$1,0)+1,FALSE)</f>
        <v>red</v>
      </c>
      <c r="J2" s="11">
        <f ca="1">VLOOKUP(I2,[1]属性!$A:$E,2,FALSE)</f>
        <v>1</v>
      </c>
      <c r="K2" s="11">
        <f ca="1">VLOOKUP(I2,[1]属性!$A:$E,3,FALSE)</f>
        <v>1.02</v>
      </c>
      <c r="L2" s="11">
        <f ca="1">VLOOKUP(I2,[1]属性!$A:$E,4,FALSE)</f>
        <v>1</v>
      </c>
      <c r="M2" s="11">
        <f ca="1">VLOOKUP(I2,[1]属性!$A:$E,5,FALSE)</f>
        <v>0.98</v>
      </c>
      <c r="N2" s="11">
        <f ca="1">INDEX(コスト!$A$1:$I$20,MATCH(H2,コスト!$A$1:$A$20,FALSE),MATCH(G2,コスト!$A$1:$I$1,FALSE))</f>
        <v>17</v>
      </c>
      <c r="O2" s="11">
        <f ca="1">INDEX(レベル!$A$1:$I$21,MATCH(H2,レベル!$A$1:$A$21,FALSE),MATCH(G2,レベル!$A$1:$I$1,FALSE))</f>
        <v>60</v>
      </c>
      <c r="P2" s="46">
        <f t="shared" ref="P2:P13" ca="1" si="0">G2*15</f>
        <v>60</v>
      </c>
      <c r="Q2" s="56" t="str">
        <f ca="1">VLOOKUP($A2,OFFSET([1]characters!$A$1,0,0,COUNTA([1]characters!$A:$A),MATCH(Q$1,[1]characters!$1:$1,0)-MATCH($A$1,[1]characters!$1:$1,0)+1),MATCH(Q$1,[1]characters!$1:$1,0)-MATCH($A$1,[1]characters!$1:$1,0)+1,FALSE)</f>
        <v>balance</v>
      </c>
      <c r="R2" s="5" t="str">
        <f ca="1">VLOOKUP(Q2,[1]character_type_i18n!$A:$H,3,FALSE)</f>
        <v>バランスタイプ</v>
      </c>
      <c r="S2" s="11">
        <f ca="1">VLOOKUP(Q2,[1]character_type_i18n!$A:$H,4,FALSE)</f>
        <v>1</v>
      </c>
      <c r="T2" s="11">
        <f ca="1">VLOOKUP(Q2,[1]character_type_i18n!$A:$H,5,FALSE)</f>
        <v>1</v>
      </c>
      <c r="U2" s="11">
        <f ca="1">VLOOKUP(Q2,[1]character_type_i18n!$A:$H,6,FALSE)</f>
        <v>1</v>
      </c>
      <c r="V2" s="11">
        <f ca="1">VLOOKUP(Q2,[1]character_type_i18n!$A:$H,7,FALSE)</f>
        <v>1</v>
      </c>
      <c r="W2" s="56" t="str">
        <f ca="1">VLOOKUP($A2,OFFSET([1]characters!$A$1,0,0,COUNTA([1]characters!$A:$A),MATCH(W$1,[1]characters!$1:$1,0)-MATCH($A$1,[1]characters!$1:$1,0)+1),MATCH(W$1,[1]characters!$1:$1,0)-MATCH($A$1,[1]characters!$1:$1,0)+1,FALSE)</f>
        <v>animal</v>
      </c>
      <c r="X2" s="5" t="str">
        <f ca="1">VLOOKUP(W2,[1]character_tribe_i18n!$A:$H,3,FALSE)</f>
        <v>アニマル</v>
      </c>
      <c r="Y2" s="56" t="str">
        <f ca="1">VLOOKUP($A2,OFFSET([1]characters!$A$1,0,0,COUNTA([1]characters!$A:$A),MATCH(Y$1,[1]characters!$1:$1,0)-MATCH($A$1,[1]characters!$1:$1,0)+1),MATCH(Y$1,[1]characters!$1:$1,0)-MATCH($A$1,[1]characters!$1:$1,0)+1,FALSE)</f>
        <v>none</v>
      </c>
      <c r="Z2" s="5" t="str">
        <f ca="1">VLOOKUP(Y2,[1]character_tribe_i18n!$A:$H,3,FALSE)</f>
        <v>種族なし</v>
      </c>
      <c r="AA2" s="11">
        <f ca="1">VLOOKUP(W2,[1]character_tribe_i18n!$A:$H,4,FALSE)</f>
        <v>1</v>
      </c>
      <c r="AB2" s="11">
        <f ca="1">VLOOKUP(W2,[1]character_tribe_i18n!$A:$H,5,FALSE)</f>
        <v>1.1000000000000001</v>
      </c>
      <c r="AC2" s="11">
        <f ca="1">VLOOKUP(W2,[1]character_tribe_i18n!$A:$H,6,FALSE)</f>
        <v>1</v>
      </c>
      <c r="AD2" s="11">
        <f ca="1">VLOOKUP(W2,[1]character_tribe_i18n!$A:$H,7,FALSE)</f>
        <v>0.9</v>
      </c>
      <c r="AE2" s="9">
        <v>453</v>
      </c>
      <c r="AF2" s="61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>急尾の猛狐 エゾ</v>
      </c>
      <c r="AG2" s="5">
        <f t="shared" ref="AG2:AG13" ca="1" si="1">IF(ISNA(MATCH(A2,AE:AE,0)),A2,INDIRECT(ADDRESS(MATCH(A2,AE:AE,0),COLUMN())))</f>
        <v>452</v>
      </c>
      <c r="AH2" s="61" t="str">
        <f ca="1">VLOOKUP($AG2,OFFSET([1]characters!$A$1,0,0,COUNTA([1]characters!$A:$A),MATCH(AH$1,[1]characters!$1:$1,0)-MATCH($A$1,[1]characters!$1:$1,0)+1),MATCH(AH$1,[1]characters!$1:$1,0)-MATCH($A$1,[1]characters!$1:$1,0)+1,FALSE)</f>
        <v>猛狐 エゾ</v>
      </c>
      <c r="AI2" s="11">
        <f ca="1">IF(AE2="NULL","NULL",VLOOKUP(G2,ビット!$A$2:$B$7,2))</f>
        <v>50000</v>
      </c>
      <c r="AJ2" s="6">
        <v>2</v>
      </c>
      <c r="AK2" s="7" t="str">
        <f t="shared" ref="AK2:AK13" si="2">IF(AJ2=1,"早熟",IF(AJ2=2,"普通",IF(AJ2=3,"晩成","")))</f>
        <v>普通</v>
      </c>
      <c r="AL2" s="11" t="str">
        <f ca="1">INDEX(経験値!$A$1:$I$20,MATCH(H2,経験値!$A$1:$A$20,FALSE),MATCH(G2,経験値!$A$1:$I$1,FALSE))</f>
        <v>required_exp_200</v>
      </c>
      <c r="AM2" s="8">
        <f ca="1">VLOOKUP(G2,経験値!$A$27:$B$31,2)</f>
        <v>3400</v>
      </c>
      <c r="AN2" s="17">
        <f ca="1">VLOOKUP(G2,ビット!$G$2:$H$7,2)</f>
        <v>600</v>
      </c>
      <c r="AO2" s="43"/>
      <c r="AP2" s="66">
        <v>452</v>
      </c>
      <c r="AQ2" s="56" t="str">
        <f ca="1">VLOOKUP($AP2,OFFSET(unit_skills!$A$1,0,0,COUNTA(unit_skills!$A:$A),MATCH(AQ$1,unit_skills!$1:$1,0)-MATCH($AP$1,unit_skills!$1:$1,0)+1),MATCH(AQ$1,unit_skills!$1:$1,0)-MATCH($AP$1,unit_skills!$1:$1,0)+1,FALSE)</f>
        <v>爆炎剣</v>
      </c>
      <c r="AR2" s="56" t="str">
        <f ca="1">VLOOKUP($AP2,OFFSET(unit_skills!$A$1,0,0,COUNTA(unit_skills!$A:$A),MATCH(AR$1,unit_skills!$1:$1,0)-MATCH($AP$1,unit_skills!$1:$1,0)+1),MATCH(AR$1,unit_skills!$1:$1,0)-MATCH($AP$1,unit_skills!$1:$1,0)+1,FALSE)</f>
        <v>味方の残りHPが少ないほど全体に大きなダメージを与える（威力大）</v>
      </c>
      <c r="AS2" s="56">
        <f ca="1">VLOOKUP($AP2,OFFSET(unit_skills!$A$1,0,0,COUNTA(unit_skills!$A:$A),MATCH(AS$1,unit_skills!$1:$1,0)-MATCH($AP$1,unit_skills!$1:$1,0)+1),MATCH(AS$1,unit_skills!$1:$1,0)-MATCH($AP$1,unit_skills!$1:$1,0)+1,FALSE)</f>
        <v>0</v>
      </c>
      <c r="AT2" s="40">
        <v>452</v>
      </c>
      <c r="AU2" s="56" t="str">
        <f ca="1">VLOOKUP($AT2,OFFSET(crash_skills!$A$1,0,0,COUNTA(crash_skills!$A:$A),MATCH(AU$1,crash_skills!$1:$1,0)-MATCH($AT$1,crash_skills!$1:$1,0)+1),MATCH(AU$1,crash_skills!$1:$1,0)-MATCH($AT$1,crash_skills!$1:$1,0)+1,FALSE)</f>
        <v>適者生存</v>
      </c>
      <c r="AV2" s="56" t="str">
        <f ca="1">VLOOKUP($AT2,OFFSET(crash_skills!$A$1,0,0,COUNTA(crash_skills!$A:$A),MATCH(AV$1,crash_skills!$1:$1,0)-MATCH($AT$1,crash_skills!$1:$1,0)+1),MATCH(AV$1,crash_skills!$1:$1,0)-MATCH($AT$1,crash_skills!$1:$1,0)+1,FALSE)</f>
        <v>1体に小ダメージ_x000D_アニマルに効果大</v>
      </c>
      <c r="AW2" s="56">
        <f ca="1">VLOOKUP($AT2,OFFSET(crash_skills!$A$1,0,0,COUNTA(crash_skills!$A:$A),MATCH(AW$1,crash_skills!$1:$1,0)-MATCH($AT$1,crash_skills!$1:$1,0)+1),MATCH(AW$1,crash_skills!$1:$1,0)-MATCH($AT$1,crash_skills!$1:$1,0)+1,FALSE)</f>
        <v>0</v>
      </c>
      <c r="AX2" s="57">
        <f ca="1">VLOOKUP($A2,OFFSET([1]characters!$A$1,0,0,COUNTA([1]characters!$A:$A),MATCH(AX$1,[1]characters!$1:$1,0)-MATCH($A$1,[1]characters!$1:$1,0)+1),MATCH(AX$1,[1]characters!$1:$1,0)-MATCH($A$1,[1]characters!$1:$1,0)+1,FALSE)</f>
        <v>3</v>
      </c>
      <c r="AY2" s="67">
        <v>1</v>
      </c>
      <c r="AZ2" s="67">
        <v>1</v>
      </c>
      <c r="BA2" s="67">
        <v>0</v>
      </c>
      <c r="BB2" s="67">
        <v>1</v>
      </c>
      <c r="BC2" s="11">
        <f ca="1">INDEX('RC6SV'!$A$1:$G$20,MATCH(H2,'RC6SV'!$A$1:$A$20,FALSE),MATCH(G2,'RC6SV'!$A$1:$G$1,FALSE))</f>
        <v>5800</v>
      </c>
      <c r="BD2" s="46">
        <f t="shared" ref="BD2:BD13" ca="1" si="3">ROUND(BC2*IF(AJ2=1,0.95,IF(AJ2=2,1,IF(AJ2,1.05,0))),0)</f>
        <v>5800</v>
      </c>
      <c r="BE2" s="11">
        <f t="shared" ref="BE2:BE13" ca="1" si="4">ROUND(IFERROR(INDIRECT(ADDRESS(MATCH($A2,$AE:$AE,0),MATCH($BC$1,$1:$1,0))),0),0)</f>
        <v>0</v>
      </c>
      <c r="BF2" s="11">
        <f t="shared" ref="BF2:BF13" ca="1" si="5">ROUND(IFERROR(INDIRECT(ADDRESS(MATCH($A2,$AE:$AE,0),10)),INDIRECT(ADDRESS(MATCH($A2,$A:$A,0),10))),0)</f>
        <v>1</v>
      </c>
      <c r="BG2" s="16">
        <f ca="1">IF($BE2&lt;=0,ROUND(BK2*0.5,0), ROUND($BE2*S2*AA2*J2*AY2*0.8*[1]ステータス!$B$2,0))</f>
        <v>1450</v>
      </c>
      <c r="BH2" s="16">
        <f ca="1">IF($BE2&lt;=0,ROUND(BL2*0.5,0), ROUND($BE2*T2*AB2*K2*AZ2*0.8*[1]ステータス!$C$2,0))</f>
        <v>976</v>
      </c>
      <c r="BI2" s="16">
        <f ca="1">IF($BE2&lt;=0,ROUND(BM2*0.5,0), ROUND($BE2*U2*AC2*L2*BA2*0.8*[1]ステータス!$D$2,0))</f>
        <v>0</v>
      </c>
      <c r="BJ2" s="16">
        <f ca="1">IF($BE2&lt;=0,ROUND(BN2*0.5,0), ROUND($BE2*V2*AD2*M2*BB2*0.8*[1]ステータス!$E$2,0))</f>
        <v>640</v>
      </c>
      <c r="BK2" s="11">
        <f ca="1">ROUND(BD2*S2*AA2*J2*AY2*[1]ステータス!$B$2,0)</f>
        <v>2900</v>
      </c>
      <c r="BL2" s="11">
        <f ca="1">ROUND(BD2*T2*AB2*K2*AZ2*[1]ステータス!$C$2,0)</f>
        <v>1952</v>
      </c>
      <c r="BM2" s="11">
        <f ca="1">ROUND(BD2*U2*AC2*L2*BA2*[1]ステータス!$D$2,0)</f>
        <v>0</v>
      </c>
      <c r="BN2" s="11">
        <f ca="1">ROUND(BD2*V2*AD2*M2*BB2*[1]ステータス!$E$2,0)</f>
        <v>1279</v>
      </c>
      <c r="BO2" s="10">
        <v>0</v>
      </c>
      <c r="BP2" s="10">
        <v>1</v>
      </c>
      <c r="BQ2" s="10" t="s">
        <v>73</v>
      </c>
      <c r="BR2" s="10">
        <f ca="1">VLOOKUP(H2,ghosts_label!$A$2:$B$19,2,FALSE)</f>
        <v>1</v>
      </c>
    </row>
    <row r="3" spans="1:70" ht="21" customHeight="1" x14ac:dyDescent="0.15">
      <c r="A3" s="12">
        <v>453</v>
      </c>
      <c r="B3" s="56" t="str">
        <f ca="1">VLOOKUP($A3,OFFSET([1]characters!$A$1,0,0,COUNTA([1]characters!$A:$A),MATCH(B$1,[1]characters!$1:$1,0)-MATCH($A$1,[1]characters!$1:$1,0)+1),MATCH(B$1,[1]characters!$1:$1,0)-MATCH($A$1,[1]characters!$1:$1,0)+1,FALSE)</f>
        <v>急尾の猛狐 エゾ</v>
      </c>
      <c r="C3" s="56" t="str">
        <f ca="1">VLOOKUP($A3,OFFSET([1]characters!$A$1,0,0,COUNTA([1]characters!$A:$A),MATCH(C$1,[1]characters!$1:$1,0)-MATCH($A$1,[1]characters!$1:$1,0)+1),MATCH(C$1,[1]characters!$1:$1,0)-MATCH($A$1,[1]characters!$1:$1,0)+1,FALSE)</f>
        <v>イベント:オリジナル01</v>
      </c>
      <c r="D3" s="56" t="str">
        <f ca="1">VLOOKUP($A3,OFFSET([1]characters!$A$1,0,0,COUNTA([1]characters!$A:$A),MATCH(D$1,[1]characters!$1:$1,0)-MATCH($A$1,[1]characters!$1:$1,0)+1),MATCH(D$1,[1]characters!$1:$1,0)-MATCH($A$1,[1]characters!$1:$1,0)+1,FALSE)</f>
        <v>執行者</v>
      </c>
      <c r="E3" s="56" t="str">
        <f ca="1">VLOOKUP($A3,OFFSET([1]characters!$A$1,0,0,COUNTA([1]characters!$A:$A),MATCH(E$1,[1]characters!$1:$1,0)-MATCH($A$1,[1]characters!$1:$1,0)+1),MATCH(E$1,[1]characters!$1:$1,0)-MATCH($A$1,[1]characters!$1:$1,0)+1,FALSE)</f>
        <v>格好いい</v>
      </c>
      <c r="F3" s="56" t="str">
        <f ca="1">VLOOKUP($A3,OFFSET([1]characters!$A$1,0,0,COUNTA([1]characters!$A:$A),MATCH(F$1,[1]characters!$1:$1,0)-MATCH($A$1,[1]characters!$1:$1,0)+1),MATCH(F$1,[1]characters!$1:$1,0)-MATCH($A$1,[1]characters!$1:$1,0)+1,FALSE)</f>
        <v>男性</v>
      </c>
      <c r="G3" s="56">
        <f ca="1">VLOOKUP($A3,OFFSET([1]characters!$A$1,0,0,COUNTA([1]characters!$A:$A),MATCH(G$1,[1]characters!$1:$1,0)-MATCH($A$1,[1]characters!$1:$1,0)+1),MATCH(G$1,[1]characters!$1:$1,0)-MATCH($A$1,[1]characters!$1:$1,0)+1,FALSE)</f>
        <v>5</v>
      </c>
      <c r="H3" s="56" t="str">
        <f ca="1">VLOOKUP($A3,OFFSET([1]characters!$A$1,0,0,COUNTA([1]characters!$A:$A),MATCH(H$1,[1]characters!$1:$1,0)-MATCH($A$1,[1]characters!$1:$1,0)+1),MATCH(H$1,[1]characters!$1:$1,0)-MATCH($A$1,[1]characters!$1:$1,0)+1,FALSE)</f>
        <v>Drop2N</v>
      </c>
      <c r="I3" s="56" t="str">
        <f ca="1">VLOOKUP($A3,OFFSET([1]characters!$A$1,0,0,COUNTA([1]characters!$A:$A),MATCH(I$1,[1]characters!$1:$1,0)-MATCH($A$1,[1]characters!$1:$1,0)+1),MATCH(I$1,[1]characters!$1:$1,0)-MATCH($A$1,[1]characters!$1:$1,0)+1,FALSE)</f>
        <v>red</v>
      </c>
      <c r="J3" s="11">
        <f ca="1">VLOOKUP(I3,[1]属性!$A:$E,2,FALSE)</f>
        <v>1</v>
      </c>
      <c r="K3" s="11">
        <f ca="1">VLOOKUP(I3,[1]属性!$A:$E,3,FALSE)</f>
        <v>1.02</v>
      </c>
      <c r="L3" s="11">
        <f ca="1">VLOOKUP(I3,[1]属性!$A:$E,4,FALSE)</f>
        <v>1</v>
      </c>
      <c r="M3" s="11">
        <f ca="1">VLOOKUP(I3,[1]属性!$A:$E,5,FALSE)</f>
        <v>0.98</v>
      </c>
      <c r="N3" s="11">
        <f ca="1">INDEX(コスト!$A$1:$I$20,MATCH(H3,コスト!$A$1:$A$20,FALSE),MATCH(G3,コスト!$A$1:$I$1,FALSE))</f>
        <v>26</v>
      </c>
      <c r="O3" s="11">
        <f ca="1">INDEX(レベル!$A$1:$I$21,MATCH(H3,レベル!$A$1:$A$21,FALSE),MATCH(G3,レベル!$A$1:$I$1,FALSE))</f>
        <v>80</v>
      </c>
      <c r="P3" s="46">
        <f t="shared" ca="1" si="0"/>
        <v>75</v>
      </c>
      <c r="Q3" s="56" t="str">
        <f ca="1">VLOOKUP($A3,OFFSET([1]characters!$A$1,0,0,COUNTA([1]characters!$A:$A),MATCH(Q$1,[1]characters!$1:$1,0)-MATCH($A$1,[1]characters!$1:$1,0)+1),MATCH(Q$1,[1]characters!$1:$1,0)-MATCH($A$1,[1]characters!$1:$1,0)+1,FALSE)</f>
        <v>balance</v>
      </c>
      <c r="R3" s="5" t="str">
        <f ca="1">VLOOKUP(Q3,[1]character_type_i18n!$A:$H,3,FALSE)</f>
        <v>バランスタイプ</v>
      </c>
      <c r="S3" s="11">
        <f ca="1">VLOOKUP(Q3,[1]character_type_i18n!$A:$H,4,FALSE)</f>
        <v>1</v>
      </c>
      <c r="T3" s="11">
        <f ca="1">VLOOKUP(Q3,[1]character_type_i18n!$A:$H,5,FALSE)</f>
        <v>1</v>
      </c>
      <c r="U3" s="11">
        <f ca="1">VLOOKUP(Q3,[1]character_type_i18n!$A:$H,6,FALSE)</f>
        <v>1</v>
      </c>
      <c r="V3" s="11">
        <f ca="1">VLOOKUP(Q3,[1]character_type_i18n!$A:$H,7,FALSE)</f>
        <v>1</v>
      </c>
      <c r="W3" s="56" t="str">
        <f ca="1">VLOOKUP($A3,OFFSET([1]characters!$A$1,0,0,COUNTA([1]characters!$A:$A),MATCH(W$1,[1]characters!$1:$1,0)-MATCH($A$1,[1]characters!$1:$1,0)+1),MATCH(W$1,[1]characters!$1:$1,0)-MATCH($A$1,[1]characters!$1:$1,0)+1,FALSE)</f>
        <v>animal</v>
      </c>
      <c r="X3" s="5" t="str">
        <f ca="1">VLOOKUP(W3,[1]character_tribe_i18n!$A:$H,3,FALSE)</f>
        <v>アニマル</v>
      </c>
      <c r="Y3" s="56" t="str">
        <f ca="1">VLOOKUP($A3,OFFSET([1]characters!$A$1,0,0,COUNTA([1]characters!$A:$A),MATCH(Y$1,[1]characters!$1:$1,0)-MATCH($A$1,[1]characters!$1:$1,0)+1),MATCH(Y$1,[1]characters!$1:$1,0)-MATCH($A$1,[1]characters!$1:$1,0)+1,FALSE)</f>
        <v>none</v>
      </c>
      <c r="Z3" s="5" t="str">
        <f ca="1">VLOOKUP(Y3,[1]character_tribe_i18n!$A:$H,3,FALSE)</f>
        <v>種族なし</v>
      </c>
      <c r="AA3" s="11">
        <f ca="1">VLOOKUP(W3,[1]character_tribe_i18n!$A:$H,4,FALSE)</f>
        <v>1</v>
      </c>
      <c r="AB3" s="11">
        <f ca="1">VLOOKUP(W3,[1]character_tribe_i18n!$A:$H,5,FALSE)</f>
        <v>1.1000000000000001</v>
      </c>
      <c r="AC3" s="11">
        <f ca="1">VLOOKUP(W3,[1]character_tribe_i18n!$A:$H,6,FALSE)</f>
        <v>1</v>
      </c>
      <c r="AD3" s="11">
        <f ca="1">VLOOKUP(W3,[1]character_tribe_i18n!$A:$H,7,FALSE)</f>
        <v>0.9</v>
      </c>
      <c r="AE3" s="9" t="s">
        <v>220</v>
      </c>
      <c r="AF3" s="61" t="str">
        <f ca="1">IF(AE3="NULL","",VLOOKUP($AE3,OFFSET([1]characters!$A$1,0,0,COUNTA([1]characters!$A:$A),MATCH(AF$1,[1]characters!$1:$1,0)-MATCH($A$1,[1]characters!$1:$1,0)+1),MATCH(AF$1,[1]characters!$1:$1,0)-MATCH($A$1,[1]characters!$1:$1,0)+1,FALSE))</f>
        <v/>
      </c>
      <c r="AG3" s="5">
        <f t="shared" ca="1" si="1"/>
        <v>452</v>
      </c>
      <c r="AH3" s="61" t="str">
        <f ca="1">VLOOKUP($AG3,OFFSET([1]characters!$A$1,0,0,COUNTA([1]characters!$A:$A),MATCH(AH$1,[1]characters!$1:$1,0)-MATCH($A$1,[1]characters!$1:$1,0)+1),MATCH(AH$1,[1]characters!$1:$1,0)-MATCH($A$1,[1]characters!$1:$1,0)+1,FALSE)</f>
        <v>猛狐 エゾ</v>
      </c>
      <c r="AI3" s="11" t="str">
        <f>IF(AE3="NULL","NULL",VLOOKUP(G3,ビット!$A$2:$B$7,2))</f>
        <v>NULL</v>
      </c>
      <c r="AJ3" s="6">
        <v>2</v>
      </c>
      <c r="AK3" s="7" t="str">
        <f t="shared" si="2"/>
        <v>普通</v>
      </c>
      <c r="AL3" s="11" t="str">
        <f ca="1">INDEX(経験値!$A$1:$I$20,MATCH(H3,経験値!$A$1:$A$20,FALSE),MATCH(G3,経験値!$A$1:$I$1,FALSE))</f>
        <v>required_exp_200</v>
      </c>
      <c r="AM3" s="8">
        <f ca="1">VLOOKUP(G3,経験値!$A$27:$B$31,2)</f>
        <v>6400</v>
      </c>
      <c r="AN3" s="17">
        <f ca="1">VLOOKUP(G3,ビット!$G$2:$H$7,2)</f>
        <v>900</v>
      </c>
      <c r="AO3" s="43"/>
      <c r="AP3" s="66">
        <v>453</v>
      </c>
      <c r="AQ3" s="56" t="str">
        <f ca="1">VLOOKUP($AP3,OFFSET(unit_skills!$A$1,0,0,COUNTA(unit_skills!$A:$A),MATCH(AQ$1,unit_skills!$1:$1,0)-MATCH($AP$1,unit_skills!$1:$1,0)+1),MATCH(AQ$1,unit_skills!$1:$1,0)-MATCH($AP$1,unit_skills!$1:$1,0)+1,FALSE)</f>
        <v>練武爆炎剣</v>
      </c>
      <c r="AR3" s="56" t="str">
        <f ca="1">VLOOKUP($AP3,OFFSET(unit_skills!$A$1,0,0,COUNTA(unit_skills!$A:$A),MATCH(AR$1,unit_skills!$1:$1,0)-MATCH($AP$1,unit_skills!$1:$1,0)+1),MATCH(AR$1,unit_skills!$1:$1,0)-MATCH($AP$1,unit_skills!$1:$1,0)+1,FALSE)</f>
        <v>味方の残りHPが少ないほど全体に大きなダメージを与える（威力特大）</v>
      </c>
      <c r="AS3" s="56">
        <f ca="1">VLOOKUP($AP3,OFFSET(unit_skills!$A$1,0,0,COUNTA(unit_skills!$A:$A),MATCH(AS$1,unit_skills!$1:$1,0)-MATCH($AP$1,unit_skills!$1:$1,0)+1),MATCH(AS$1,unit_skills!$1:$1,0)-MATCH($AP$1,unit_skills!$1:$1,0)+1,FALSE)</f>
        <v>0</v>
      </c>
      <c r="AT3" s="40">
        <v>453</v>
      </c>
      <c r="AU3" s="56" t="str">
        <f ca="1">VLOOKUP($AT3,OFFSET(crash_skills!$A$1,0,0,COUNTA(crash_skills!$A:$A),MATCH(AU$1,crash_skills!$1:$1,0)-MATCH($AT$1,crash_skills!$1:$1,0)+1),MATCH(AU$1,crash_skills!$1:$1,0)-MATCH($AT$1,crash_skills!$1:$1,0)+1,FALSE)</f>
        <v>適者生存・極限</v>
      </c>
      <c r="AV3" s="56" t="str">
        <f ca="1">VLOOKUP($AT3,OFFSET(crash_skills!$A$1,0,0,COUNTA(crash_skills!$A:$A),MATCH(AV$1,crash_skills!$1:$1,0)-MATCH($AT$1,crash_skills!$1:$1,0)+1),MATCH(AV$1,crash_skills!$1:$1,0)-MATCH($AT$1,crash_skills!$1:$1,0)+1,FALSE)</f>
        <v>1体に小ダメージ_x000D_アニマルに効果特大</v>
      </c>
      <c r="AW3" s="56">
        <f ca="1">VLOOKUP($AT3,OFFSET(crash_skills!$A$1,0,0,COUNTA(crash_skills!$A:$A),MATCH(AW$1,crash_skills!$1:$1,0)-MATCH($AT$1,crash_skills!$1:$1,0)+1),MATCH(AW$1,crash_skills!$1:$1,0)-MATCH($AT$1,crash_skills!$1:$1,0)+1,FALSE)</f>
        <v>0</v>
      </c>
      <c r="AX3" s="57">
        <f ca="1">VLOOKUP($A3,OFFSET([1]characters!$A$1,0,0,COUNTA([1]characters!$A:$A),MATCH(AX$1,[1]characters!$1:$1,0)-MATCH($A$1,[1]characters!$1:$1,0)+1),MATCH(AX$1,[1]characters!$1:$1,0)-MATCH($A$1,[1]characters!$1:$1,0)+1,FALSE)</f>
        <v>3</v>
      </c>
      <c r="AY3" s="67">
        <v>1</v>
      </c>
      <c r="AZ3" s="67">
        <v>1.1200000000000001</v>
      </c>
      <c r="BA3" s="67">
        <v>0</v>
      </c>
      <c r="BB3" s="67">
        <v>1.1200000000000001</v>
      </c>
      <c r="BC3" s="11">
        <f ca="1">INDEX('RC6SV'!$A$1:$G$20,MATCH(H3,'RC6SV'!$A$1:$A$20,FALSE),MATCH(G3,'RC6SV'!$A$1:$G$1,FALSE))</f>
        <v>7600</v>
      </c>
      <c r="BD3" s="46">
        <f t="shared" ca="1" si="3"/>
        <v>7600</v>
      </c>
      <c r="BE3" s="11">
        <f t="shared" ca="1" si="4"/>
        <v>5800</v>
      </c>
      <c r="BF3" s="11">
        <f t="shared" ca="1" si="5"/>
        <v>1</v>
      </c>
      <c r="BG3" s="16">
        <f ca="1">IF($BE3&lt;=0,ROUND(BK3*0.5,0), ROUND($BE3*S3*AA3*J3*AY3*0.8*[1]ステータス!$B$2,0))</f>
        <v>2320</v>
      </c>
      <c r="BH3" s="16">
        <f ca="1">IF($BE3&lt;=0,ROUND(BL3*0.5,0), ROUND($BE3*T3*AB3*K3*AZ3*0.8*[1]ステータス!$C$2,0))</f>
        <v>1749</v>
      </c>
      <c r="BI3" s="16">
        <f ca="1">IF($BE3&lt;=0,ROUND(BM3*0.5,0), ROUND($BE3*U3*AC3*L3*BA3*0.8*[1]ステータス!$D$2,0))</f>
        <v>0</v>
      </c>
      <c r="BJ3" s="16">
        <f ca="1">IF($BE3&lt;=0,ROUND(BN3*0.5,0), ROUND($BE3*V3*AD3*M3*BB3*0.8*[1]ステータス!$E$2,0))</f>
        <v>1146</v>
      </c>
      <c r="BK3" s="11">
        <f ca="1">ROUND(BD3*S3*AA3*J3*AY3*[1]ステータス!$B$2,0)</f>
        <v>3800</v>
      </c>
      <c r="BL3" s="11">
        <f ca="1">ROUND(BD3*T3*AB3*K3*AZ3*[1]ステータス!$C$2,0)</f>
        <v>2865</v>
      </c>
      <c r="BM3" s="11">
        <f ca="1">ROUND(BD3*U3*AC3*L3*BA3*[1]ステータス!$D$2,0)</f>
        <v>0</v>
      </c>
      <c r="BN3" s="11">
        <f ca="1">ROUND(BD3*V3*AD3*M3*BB3*[1]ステータス!$E$2,0)</f>
        <v>1877</v>
      </c>
      <c r="BO3" s="10">
        <v>0</v>
      </c>
      <c r="BP3" s="10">
        <v>1</v>
      </c>
      <c r="BQ3" s="10" t="s">
        <v>73</v>
      </c>
      <c r="BR3" s="10">
        <f ca="1">VLOOKUP(H3,ghosts_label!$A$2:$B$19,2,FALSE)</f>
        <v>1</v>
      </c>
    </row>
    <row r="4" spans="1:70" ht="21" customHeight="1" x14ac:dyDescent="0.15">
      <c r="A4" s="12">
        <v>454</v>
      </c>
      <c r="B4" s="56" t="str">
        <f ca="1">VLOOKUP($A4,OFFSET([1]characters!$A$1,0,0,COUNTA([1]characters!$A:$A),MATCH(B$1,[1]characters!$1:$1,0)-MATCH($A$1,[1]characters!$1:$1,0)+1),MATCH(B$1,[1]characters!$1:$1,0)-MATCH($A$1,[1]characters!$1:$1,0)+1,FALSE)</f>
        <v>二闘 レッサとギガン</v>
      </c>
      <c r="C4" s="56" t="str">
        <f ca="1">VLOOKUP($A4,OFFSET([1]characters!$A$1,0,0,COUNTA([1]characters!$A:$A),MATCH(C$1,[1]characters!$1:$1,0)-MATCH($A$1,[1]characters!$1:$1,0)+1),MATCH(C$1,[1]characters!$1:$1,0)-MATCH($A$1,[1]characters!$1:$1,0)+1,FALSE)</f>
        <v>イベント:オリジナル01</v>
      </c>
      <c r="D4" s="56" t="str">
        <f ca="1">VLOOKUP($A4,OFFSET([1]characters!$A$1,0,0,COUNTA([1]characters!$A:$A),MATCH(D$1,[1]characters!$1:$1,0)-MATCH($A$1,[1]characters!$1:$1,0)+1),MATCH(D$1,[1]characters!$1:$1,0)-MATCH($A$1,[1]characters!$1:$1,0)+1,FALSE)</f>
        <v>執行者</v>
      </c>
      <c r="E4" s="56" t="str">
        <f ca="1">VLOOKUP($A4,OFFSET([1]characters!$A$1,0,0,COUNTA([1]characters!$A:$A),MATCH(E$1,[1]characters!$1:$1,0)-MATCH($A$1,[1]characters!$1:$1,0)+1),MATCH(E$1,[1]characters!$1:$1,0)-MATCH($A$1,[1]characters!$1:$1,0)+1,FALSE)</f>
        <v>格好いい</v>
      </c>
      <c r="F4" s="56" t="str">
        <f ca="1">VLOOKUP($A4,OFFSET([1]characters!$A$1,0,0,COUNTA([1]characters!$A:$A),MATCH(F$1,[1]characters!$1:$1,0)-MATCH($A$1,[1]characters!$1:$1,0)+1),MATCH(F$1,[1]characters!$1:$1,0)-MATCH($A$1,[1]characters!$1:$1,0)+1,FALSE)</f>
        <v>男性</v>
      </c>
      <c r="G4" s="56">
        <f ca="1">VLOOKUP($A4,OFFSET([1]characters!$A$1,0,0,COUNTA([1]characters!$A:$A),MATCH(G$1,[1]characters!$1:$1,0)-MATCH($A$1,[1]characters!$1:$1,0)+1),MATCH(G$1,[1]characters!$1:$1,0)-MATCH($A$1,[1]characters!$1:$1,0)+1,FALSE)</f>
        <v>4</v>
      </c>
      <c r="H4" s="56" t="str">
        <f ca="1">VLOOKUP($A4,OFFSET([1]characters!$A$1,0,0,COUNTA([1]characters!$A:$A),MATCH(H$1,[1]characters!$1:$1,0)-MATCH($A$1,[1]characters!$1:$1,0)+1),MATCH(H$1,[1]characters!$1:$1,0)-MATCH($A$1,[1]characters!$1:$1,0)+1,FALSE)</f>
        <v>Drop2N</v>
      </c>
      <c r="I4" s="56" t="str">
        <f ca="1">VLOOKUP($A4,OFFSET([1]characters!$A$1,0,0,COUNTA([1]characters!$A:$A),MATCH(I$1,[1]characters!$1:$1,0)-MATCH($A$1,[1]characters!$1:$1,0)+1),MATCH(I$1,[1]characters!$1:$1,0)-MATCH($A$1,[1]characters!$1:$1,0)+1,FALSE)</f>
        <v>green</v>
      </c>
      <c r="J4" s="11">
        <f ca="1">VLOOKUP(I4,[1]属性!$A:$E,2,FALSE)</f>
        <v>1.02</v>
      </c>
      <c r="K4" s="11">
        <f ca="1">VLOOKUP(I4,[1]属性!$A:$E,3,FALSE)</f>
        <v>0.98</v>
      </c>
      <c r="L4" s="11">
        <f ca="1">VLOOKUP(I4,[1]属性!$A:$E,4,FALSE)</f>
        <v>1</v>
      </c>
      <c r="M4" s="11">
        <f ca="1">VLOOKUP(I4,[1]属性!$A:$E,5,FALSE)</f>
        <v>1</v>
      </c>
      <c r="N4" s="11">
        <f ca="1">INDEX(コスト!$A$1:$I$20,MATCH(H4,コスト!$A$1:$A$20,FALSE),MATCH(G4,コスト!$A$1:$I$1,FALSE))</f>
        <v>17</v>
      </c>
      <c r="O4" s="11">
        <f ca="1">INDEX(レベル!$A$1:$I$21,MATCH(H4,レベル!$A$1:$A$21,FALSE),MATCH(G4,レベル!$A$1:$I$1,FALSE))</f>
        <v>60</v>
      </c>
      <c r="P4" s="46">
        <f t="shared" ca="1" si="0"/>
        <v>60</v>
      </c>
      <c r="Q4" s="56" t="str">
        <f ca="1">VLOOKUP($A4,OFFSET([1]characters!$A$1,0,0,COUNTA([1]characters!$A:$A),MATCH(Q$1,[1]characters!$1:$1,0)-MATCH($A$1,[1]characters!$1:$1,0)+1),MATCH(Q$1,[1]characters!$1:$1,0)-MATCH($A$1,[1]characters!$1:$1,0)+1,FALSE)</f>
        <v>hp</v>
      </c>
      <c r="R4" s="5" t="str">
        <f ca="1">VLOOKUP(Q4,[1]character_type_i18n!$A:$H,3,FALSE)</f>
        <v>体力タイプ</v>
      </c>
      <c r="S4" s="11">
        <f ca="1">VLOOKUP(Q4,[1]character_type_i18n!$A:$H,4,FALSE)</f>
        <v>1.45</v>
      </c>
      <c r="T4" s="11">
        <f ca="1">VLOOKUP(Q4,[1]character_type_i18n!$A:$H,5,FALSE)</f>
        <v>0.85</v>
      </c>
      <c r="U4" s="11">
        <f ca="1">VLOOKUP(Q4,[1]character_type_i18n!$A:$H,6,FALSE)</f>
        <v>1</v>
      </c>
      <c r="V4" s="11">
        <f ca="1">VLOOKUP(Q4,[1]character_type_i18n!$A:$H,7,FALSE)</f>
        <v>0.7</v>
      </c>
      <c r="W4" s="56" t="str">
        <f ca="1">VLOOKUP($A4,OFFSET([1]characters!$A$1,0,0,COUNTA([1]characters!$A:$A),MATCH(W$1,[1]characters!$1:$1,0)-MATCH($A$1,[1]characters!$1:$1,0)+1),MATCH(W$1,[1]characters!$1:$1,0)-MATCH($A$1,[1]characters!$1:$1,0)+1,FALSE)</f>
        <v>human</v>
      </c>
      <c r="X4" s="5" t="str">
        <f ca="1">VLOOKUP(W4,[1]character_tribe_i18n!$A:$H,3,FALSE)</f>
        <v>ヒューマン</v>
      </c>
      <c r="Y4" s="56" t="str">
        <f ca="1">VLOOKUP($A4,OFFSET([1]characters!$A$1,0,0,COUNTA([1]characters!$A:$A),MATCH(Y$1,[1]characters!$1:$1,0)-MATCH($A$1,[1]characters!$1:$1,0)+1),MATCH(Y$1,[1]characters!$1:$1,0)-MATCH($A$1,[1]characters!$1:$1,0)+1,FALSE)</f>
        <v>machine</v>
      </c>
      <c r="Z4" s="5" t="str">
        <f ca="1">VLOOKUP(Y4,[1]character_tribe_i18n!$A:$H,3,FALSE)</f>
        <v>マシン</v>
      </c>
      <c r="AA4" s="11">
        <f ca="1">VLOOKUP(W4,[1]character_tribe_i18n!$A:$H,4,FALSE)</f>
        <v>0.94</v>
      </c>
      <c r="AB4" s="11">
        <f ca="1">VLOOKUP(W4,[1]character_tribe_i18n!$A:$H,5,FALSE)</f>
        <v>0.99</v>
      </c>
      <c r="AC4" s="11">
        <f ca="1">VLOOKUP(W4,[1]character_tribe_i18n!$A:$H,6,FALSE)</f>
        <v>1</v>
      </c>
      <c r="AD4" s="11">
        <f ca="1">VLOOKUP(W4,[1]character_tribe_i18n!$A:$H,7,FALSE)</f>
        <v>1.07</v>
      </c>
      <c r="AE4" s="9">
        <v>455</v>
      </c>
      <c r="AF4" s="61" t="str">
        <f ca="1">IF(AE4="NULL","",VLOOKUP($AE4,OFFSET([1]characters!$A$1,0,0,COUNTA([1]characters!$A:$A),MATCH(AF$1,[1]characters!$1:$1,0)-MATCH($A$1,[1]characters!$1:$1,0)+1),MATCH(AF$1,[1]characters!$1:$1,0)-MATCH($A$1,[1]characters!$1:$1,0)+1,FALSE))</f>
        <v>廃街の二闘 レッサとギガン</v>
      </c>
      <c r="AG4" s="5">
        <f t="shared" ca="1" si="1"/>
        <v>454</v>
      </c>
      <c r="AH4" s="61" t="str">
        <f ca="1">VLOOKUP($AG4,OFFSET([1]characters!$A$1,0,0,COUNTA([1]characters!$A:$A),MATCH(AH$1,[1]characters!$1:$1,0)-MATCH($A$1,[1]characters!$1:$1,0)+1),MATCH(AH$1,[1]characters!$1:$1,0)-MATCH($A$1,[1]characters!$1:$1,0)+1,FALSE)</f>
        <v>二闘 レッサとギガン</v>
      </c>
      <c r="AI4" s="11">
        <f ca="1">IF(AE4="NULL","NULL",VLOOKUP(G4,ビット!$A$2:$B$7,2))</f>
        <v>50000</v>
      </c>
      <c r="AJ4" s="6">
        <v>2</v>
      </c>
      <c r="AK4" s="7" t="str">
        <f t="shared" si="2"/>
        <v>普通</v>
      </c>
      <c r="AL4" s="11" t="str">
        <f ca="1">INDEX(経験値!$A$1:$I$20,MATCH(H4,経験値!$A$1:$A$20,FALSE),MATCH(G4,経験値!$A$1:$I$1,FALSE))</f>
        <v>required_exp_200</v>
      </c>
      <c r="AM4" s="8">
        <f ca="1">VLOOKUP(G4,経験値!$A$27:$B$31,2)</f>
        <v>3400</v>
      </c>
      <c r="AN4" s="17">
        <f ca="1">VLOOKUP(G4,ビット!$G$2:$H$7,2)</f>
        <v>600</v>
      </c>
      <c r="AO4" s="43"/>
      <c r="AP4" s="66">
        <v>455</v>
      </c>
      <c r="AQ4" s="56" t="str">
        <f ca="1">VLOOKUP($AP4,OFFSET(unit_skills!$A$1,0,0,COUNTA(unit_skills!$A:$A),MATCH(AQ$1,unit_skills!$1:$1,0)-MATCH($AP$1,unit_skills!$1:$1,0)+1),MATCH(AQ$1,unit_skills!$1:$1,0)-MATCH($AP$1,unit_skills!$1:$1,0)+1,FALSE)</f>
        <v>クラッシュコンビネーション</v>
      </c>
      <c r="AR4" s="56" t="str">
        <f ca="1">VLOOKUP($AP4,OFFSET(unit_skills!$A$1,0,0,COUNTA(unit_skills!$A:$A),MATCH(AR$1,unit_skills!$1:$1,0)-MATCH($AP$1,unit_skills!$1:$1,0)+1),MATCH(AR$1,unit_skills!$1:$1,0)-MATCH($AP$1,unit_skills!$1:$1,0)+1,FALSE)</f>
        <v>カウンター解除+単体に大ダメージ(解除時効果特大)＋3ターン全ユニットの防御力大UP</v>
      </c>
      <c r="AS4" s="56">
        <f ca="1">VLOOKUP($AP4,OFFSET(unit_skills!$A$1,0,0,COUNTA(unit_skills!$A:$A),MATCH(AS$1,unit_skills!$1:$1,0)-MATCH($AP$1,unit_skills!$1:$1,0)+1),MATCH(AS$1,unit_skills!$1:$1,0)-MATCH($AP$1,unit_skills!$1:$1,0)+1,FALSE)</f>
        <v>0</v>
      </c>
      <c r="AT4" s="40">
        <v>454</v>
      </c>
      <c r="AU4" s="56" t="str">
        <f ca="1">VLOOKUP($AT4,OFFSET(crash_skills!$A$1,0,0,COUNTA(crash_skills!$A:$A),MATCH(AU$1,crash_skills!$1:$1,0)-MATCH($AT$1,crash_skills!$1:$1,0)+1),MATCH(AU$1,crash_skills!$1:$1,0)-MATCH($AT$1,crash_skills!$1:$1,0)+1,FALSE)</f>
        <v>ラッシュインパクト</v>
      </c>
      <c r="AV4" s="56" t="str">
        <f ca="1">VLOOKUP($AT4,OFFSET(crash_skills!$A$1,0,0,COUNTA(crash_skills!$A:$A),MATCH(AV$1,crash_skills!$1:$1,0)-MATCH($AT$1,crash_skills!$1:$1,0)+1),MATCH(AV$1,crash_skills!$1:$1,0)-MATCH($AT$1,crash_skills!$1:$1,0)+1,FALSE)</f>
        <v>単体に中ダメージ+_x000D_全体に大ダメージ</v>
      </c>
      <c r="AW4" s="56">
        <f ca="1">VLOOKUP($AT4,OFFSET(crash_skills!$A$1,0,0,COUNTA(crash_skills!$A:$A),MATCH(AW$1,crash_skills!$1:$1,0)-MATCH($AT$1,crash_skills!$1:$1,0)+1),MATCH(AW$1,crash_skills!$1:$1,0)-MATCH($AT$1,crash_skills!$1:$1,0)+1,FALSE)</f>
        <v>0</v>
      </c>
      <c r="AX4" s="57">
        <f ca="1">VLOOKUP($A4,OFFSET([1]characters!$A$1,0,0,COUNTA([1]characters!$A:$A),MATCH(AX$1,[1]characters!$1:$1,0)-MATCH($A$1,[1]characters!$1:$1,0)+1),MATCH(AX$1,[1]characters!$1:$1,0)-MATCH($A$1,[1]characters!$1:$1,0)+1,FALSE)</f>
        <v>3</v>
      </c>
      <c r="AY4" s="67">
        <v>1.1000000000000001</v>
      </c>
      <c r="AZ4" s="67">
        <v>1.32</v>
      </c>
      <c r="BA4" s="67">
        <v>0</v>
      </c>
      <c r="BB4" s="67">
        <v>0.78</v>
      </c>
      <c r="BC4" s="11">
        <f ca="1">INDEX('RC6SV'!$A$1:$G$20,MATCH(H4,'RC6SV'!$A$1:$A$20,FALSE),MATCH(G4,'RC6SV'!$A$1:$G$1,FALSE))</f>
        <v>5800</v>
      </c>
      <c r="BD4" s="46">
        <f t="shared" ca="1" si="3"/>
        <v>5800</v>
      </c>
      <c r="BE4" s="11">
        <f t="shared" ca="1" si="4"/>
        <v>0</v>
      </c>
      <c r="BF4" s="11">
        <f t="shared" ca="1" si="5"/>
        <v>1</v>
      </c>
      <c r="BG4" s="16">
        <f ca="1">IF($BE4&lt;=0,ROUND(BK4*0.5,0), ROUND($BE4*S4*AA4*J4*AY4*0.8*[1]ステータス!$B$2,0))</f>
        <v>2218</v>
      </c>
      <c r="BH4" s="16">
        <f ca="1">IF($BE4&lt;=0,ROUND(BL4*0.5,0), ROUND($BE4*T4*AB4*K4*AZ4*0.8*[1]ステータス!$C$2,0))</f>
        <v>947</v>
      </c>
      <c r="BI4" s="16">
        <f ca="1">IF($BE4&lt;=0,ROUND(BM4*0.5,0), ROUND($BE4*U4*AC4*L4*BA4*0.8*[1]ステータス!$D$2,0))</f>
        <v>0</v>
      </c>
      <c r="BJ4" s="16">
        <f ca="1">IF($BE4&lt;=0,ROUND(BN4*0.5,0), ROUND($BE4*V4*AD4*M4*BB4*0.8*[1]ステータス!$E$2,0))</f>
        <v>424</v>
      </c>
      <c r="BK4" s="11">
        <f ca="1">ROUND(BD4*S4*AA4*J4*AY4*[1]ステータス!$B$2,0)</f>
        <v>4435</v>
      </c>
      <c r="BL4" s="11">
        <f ca="1">ROUND(BD4*T4*AB4*K4*AZ4*[1]ステータス!$C$2,0)</f>
        <v>1894</v>
      </c>
      <c r="BM4" s="11">
        <f ca="1">ROUND(BD4*U4*AC4*L4*BA4*[1]ステータス!$D$2,0)</f>
        <v>0</v>
      </c>
      <c r="BN4" s="11">
        <f ca="1">ROUND(BD4*V4*AD4*M4*BB4*[1]ステータス!$E$2,0)</f>
        <v>847</v>
      </c>
      <c r="BO4" s="10">
        <v>0</v>
      </c>
      <c r="BP4" s="10">
        <v>1</v>
      </c>
      <c r="BQ4" s="10" t="s">
        <v>73</v>
      </c>
      <c r="BR4" s="10">
        <f ca="1">VLOOKUP(H4,ghosts_label!$A$2:$B$19,2,FALSE)</f>
        <v>1</v>
      </c>
    </row>
    <row r="5" spans="1:70" ht="21" customHeight="1" x14ac:dyDescent="0.15">
      <c r="A5" s="12">
        <v>455</v>
      </c>
      <c r="B5" s="56" t="str">
        <f ca="1">VLOOKUP($A5,OFFSET([1]characters!$A$1,0,0,COUNTA([1]characters!$A:$A),MATCH(B$1,[1]characters!$1:$1,0)-MATCH($A$1,[1]characters!$1:$1,0)+1),MATCH(B$1,[1]characters!$1:$1,0)-MATCH($A$1,[1]characters!$1:$1,0)+1,FALSE)</f>
        <v>廃街の二闘 レッサとギガン</v>
      </c>
      <c r="C5" s="56" t="str">
        <f ca="1">VLOOKUP($A5,OFFSET([1]characters!$A$1,0,0,COUNTA([1]characters!$A:$A),MATCH(C$1,[1]characters!$1:$1,0)-MATCH($A$1,[1]characters!$1:$1,0)+1),MATCH(C$1,[1]characters!$1:$1,0)-MATCH($A$1,[1]characters!$1:$1,0)+1,FALSE)</f>
        <v>イベント:オリジナル01</v>
      </c>
      <c r="D5" s="56" t="str">
        <f ca="1">VLOOKUP($A5,OFFSET([1]characters!$A$1,0,0,COUNTA([1]characters!$A:$A),MATCH(D$1,[1]characters!$1:$1,0)-MATCH($A$1,[1]characters!$1:$1,0)+1),MATCH(D$1,[1]characters!$1:$1,0)-MATCH($A$1,[1]characters!$1:$1,0)+1,FALSE)</f>
        <v>執行者</v>
      </c>
      <c r="E5" s="56" t="str">
        <f ca="1">VLOOKUP($A5,OFFSET([1]characters!$A$1,0,0,COUNTA([1]characters!$A:$A),MATCH(E$1,[1]characters!$1:$1,0)-MATCH($A$1,[1]characters!$1:$1,0)+1),MATCH(E$1,[1]characters!$1:$1,0)-MATCH($A$1,[1]characters!$1:$1,0)+1,FALSE)</f>
        <v>格好いい</v>
      </c>
      <c r="F5" s="56" t="str">
        <f ca="1">VLOOKUP($A5,OFFSET([1]characters!$A$1,0,0,COUNTA([1]characters!$A:$A),MATCH(F$1,[1]characters!$1:$1,0)-MATCH($A$1,[1]characters!$1:$1,0)+1),MATCH(F$1,[1]characters!$1:$1,0)-MATCH($A$1,[1]characters!$1:$1,0)+1,FALSE)</f>
        <v>男性</v>
      </c>
      <c r="G5" s="56">
        <f ca="1">VLOOKUP($A5,OFFSET([1]characters!$A$1,0,0,COUNTA([1]characters!$A:$A),MATCH(G$1,[1]characters!$1:$1,0)-MATCH($A$1,[1]characters!$1:$1,0)+1),MATCH(G$1,[1]characters!$1:$1,0)-MATCH($A$1,[1]characters!$1:$1,0)+1,FALSE)</f>
        <v>5</v>
      </c>
      <c r="H5" s="56" t="str">
        <f ca="1">VLOOKUP($A5,OFFSET([1]characters!$A$1,0,0,COUNTA([1]characters!$A:$A),MATCH(H$1,[1]characters!$1:$1,0)-MATCH($A$1,[1]characters!$1:$1,0)+1),MATCH(H$1,[1]characters!$1:$1,0)-MATCH($A$1,[1]characters!$1:$1,0)+1,FALSE)</f>
        <v>Drop2N</v>
      </c>
      <c r="I5" s="56" t="str">
        <f ca="1">VLOOKUP($A5,OFFSET([1]characters!$A$1,0,0,COUNTA([1]characters!$A:$A),MATCH(I$1,[1]characters!$1:$1,0)-MATCH($A$1,[1]characters!$1:$1,0)+1),MATCH(I$1,[1]characters!$1:$1,0)-MATCH($A$1,[1]characters!$1:$1,0)+1,FALSE)</f>
        <v>green</v>
      </c>
      <c r="J5" s="11">
        <f ca="1">VLOOKUP(I5,[1]属性!$A:$E,2,FALSE)</f>
        <v>1.02</v>
      </c>
      <c r="K5" s="11">
        <f ca="1">VLOOKUP(I5,[1]属性!$A:$E,3,FALSE)</f>
        <v>0.98</v>
      </c>
      <c r="L5" s="11">
        <f ca="1">VLOOKUP(I5,[1]属性!$A:$E,4,FALSE)</f>
        <v>1</v>
      </c>
      <c r="M5" s="11">
        <f ca="1">VLOOKUP(I5,[1]属性!$A:$E,5,FALSE)</f>
        <v>1</v>
      </c>
      <c r="N5" s="11">
        <f ca="1">INDEX(コスト!$A$1:$I$20,MATCH(H5,コスト!$A$1:$A$20,FALSE),MATCH(G5,コスト!$A$1:$I$1,FALSE))</f>
        <v>26</v>
      </c>
      <c r="O5" s="11">
        <f ca="1">INDEX(レベル!$A$1:$I$21,MATCH(H5,レベル!$A$1:$A$21,FALSE),MATCH(G5,レベル!$A$1:$I$1,FALSE))</f>
        <v>80</v>
      </c>
      <c r="P5" s="46">
        <f t="shared" ca="1" si="0"/>
        <v>75</v>
      </c>
      <c r="Q5" s="56" t="str">
        <f ca="1">VLOOKUP($A5,OFFSET([1]characters!$A$1,0,0,COUNTA([1]characters!$A:$A),MATCH(Q$1,[1]characters!$1:$1,0)-MATCH($A$1,[1]characters!$1:$1,0)+1),MATCH(Q$1,[1]characters!$1:$1,0)-MATCH($A$1,[1]characters!$1:$1,0)+1,FALSE)</f>
        <v>hp</v>
      </c>
      <c r="R5" s="5" t="str">
        <f ca="1">VLOOKUP(Q5,[1]character_type_i18n!$A:$H,3,FALSE)</f>
        <v>体力タイプ</v>
      </c>
      <c r="S5" s="11">
        <f ca="1">VLOOKUP(Q5,[1]character_type_i18n!$A:$H,4,FALSE)</f>
        <v>1.45</v>
      </c>
      <c r="T5" s="11">
        <f ca="1">VLOOKUP(Q5,[1]character_type_i18n!$A:$H,5,FALSE)</f>
        <v>0.85</v>
      </c>
      <c r="U5" s="11">
        <f ca="1">VLOOKUP(Q5,[1]character_type_i18n!$A:$H,6,FALSE)</f>
        <v>1</v>
      </c>
      <c r="V5" s="11">
        <f ca="1">VLOOKUP(Q5,[1]character_type_i18n!$A:$H,7,FALSE)</f>
        <v>0.7</v>
      </c>
      <c r="W5" s="56" t="str">
        <f ca="1">VLOOKUP($A5,OFFSET([1]characters!$A$1,0,0,COUNTA([1]characters!$A:$A),MATCH(W$1,[1]characters!$1:$1,0)-MATCH($A$1,[1]characters!$1:$1,0)+1),MATCH(W$1,[1]characters!$1:$1,0)-MATCH($A$1,[1]characters!$1:$1,0)+1,FALSE)</f>
        <v>human</v>
      </c>
      <c r="X5" s="5" t="str">
        <f ca="1">VLOOKUP(W5,[1]character_tribe_i18n!$A:$H,3,FALSE)</f>
        <v>ヒューマン</v>
      </c>
      <c r="Y5" s="56" t="str">
        <f ca="1">VLOOKUP($A5,OFFSET([1]characters!$A$1,0,0,COUNTA([1]characters!$A:$A),MATCH(Y$1,[1]characters!$1:$1,0)-MATCH($A$1,[1]characters!$1:$1,0)+1),MATCH(Y$1,[1]characters!$1:$1,0)-MATCH($A$1,[1]characters!$1:$1,0)+1,FALSE)</f>
        <v>machine</v>
      </c>
      <c r="Z5" s="5" t="str">
        <f ca="1">VLOOKUP(Y5,[1]character_tribe_i18n!$A:$H,3,FALSE)</f>
        <v>マシン</v>
      </c>
      <c r="AA5" s="11">
        <f ca="1">VLOOKUP(W5,[1]character_tribe_i18n!$A:$H,4,FALSE)</f>
        <v>0.94</v>
      </c>
      <c r="AB5" s="11">
        <f ca="1">VLOOKUP(W5,[1]character_tribe_i18n!$A:$H,5,FALSE)</f>
        <v>0.99</v>
      </c>
      <c r="AC5" s="11">
        <f ca="1">VLOOKUP(W5,[1]character_tribe_i18n!$A:$H,6,FALSE)</f>
        <v>1</v>
      </c>
      <c r="AD5" s="11">
        <f ca="1">VLOOKUP(W5,[1]character_tribe_i18n!$A:$H,7,FALSE)</f>
        <v>1.07</v>
      </c>
      <c r="AE5" s="9" t="s">
        <v>220</v>
      </c>
      <c r="AF5" s="61" t="str">
        <f ca="1">IF(AE5="NULL","",VLOOKUP($AE5,OFFSET([1]characters!$A$1,0,0,COUNTA([1]characters!$A:$A),MATCH(AF$1,[1]characters!$1:$1,0)-MATCH($A$1,[1]characters!$1:$1,0)+1),MATCH(AF$1,[1]characters!$1:$1,0)-MATCH($A$1,[1]characters!$1:$1,0)+1,FALSE))</f>
        <v/>
      </c>
      <c r="AG5" s="5">
        <f t="shared" ca="1" si="1"/>
        <v>454</v>
      </c>
      <c r="AH5" s="61" t="str">
        <f ca="1">VLOOKUP($AG5,OFFSET([1]characters!$A$1,0,0,COUNTA([1]characters!$A:$A),MATCH(AH$1,[1]characters!$1:$1,0)-MATCH($A$1,[1]characters!$1:$1,0)+1),MATCH(AH$1,[1]characters!$1:$1,0)-MATCH($A$1,[1]characters!$1:$1,0)+1,FALSE)</f>
        <v>二闘 レッサとギガン</v>
      </c>
      <c r="AI5" s="11" t="str">
        <f>IF(AE5="NULL","NULL",VLOOKUP(G5,ビット!$A$2:$B$7,2))</f>
        <v>NULL</v>
      </c>
      <c r="AJ5" s="6">
        <v>2</v>
      </c>
      <c r="AK5" s="7" t="str">
        <f t="shared" si="2"/>
        <v>普通</v>
      </c>
      <c r="AL5" s="11" t="str">
        <f ca="1">INDEX(経験値!$A$1:$I$20,MATCH(H5,経験値!$A$1:$A$20,FALSE),MATCH(G5,経験値!$A$1:$I$1,FALSE))</f>
        <v>required_exp_200</v>
      </c>
      <c r="AM5" s="8">
        <f ca="1">VLOOKUP(G5,経験値!$A$27:$B$31,2)</f>
        <v>6400</v>
      </c>
      <c r="AN5" s="17">
        <f ca="1">VLOOKUP(G5,ビット!$G$2:$H$7,2)</f>
        <v>900</v>
      </c>
      <c r="AO5" s="43"/>
      <c r="AP5" s="66">
        <v>455</v>
      </c>
      <c r="AQ5" s="56" t="str">
        <f ca="1">VLOOKUP($AP5,OFFSET(unit_skills!$A$1,0,0,COUNTA(unit_skills!$A:$A),MATCH(AQ$1,unit_skills!$1:$1,0)-MATCH($AP$1,unit_skills!$1:$1,0)+1),MATCH(AQ$1,unit_skills!$1:$1,0)-MATCH($AP$1,unit_skills!$1:$1,0)+1,FALSE)</f>
        <v>クラッシュコンビネーション</v>
      </c>
      <c r="AR5" s="56" t="str">
        <f ca="1">VLOOKUP($AP5,OFFSET(unit_skills!$A$1,0,0,COUNTA(unit_skills!$A:$A),MATCH(AR$1,unit_skills!$1:$1,0)-MATCH($AP$1,unit_skills!$1:$1,0)+1),MATCH(AR$1,unit_skills!$1:$1,0)-MATCH($AP$1,unit_skills!$1:$1,0)+1,FALSE)</f>
        <v>カウンター解除+単体に大ダメージ(解除時効果特大)＋3ターン全ユニットの防御力大UP</v>
      </c>
      <c r="AS5" s="56">
        <f ca="1">VLOOKUP($AP5,OFFSET(unit_skills!$A$1,0,0,COUNTA(unit_skills!$A:$A),MATCH(AS$1,unit_skills!$1:$1,0)-MATCH($AP$1,unit_skills!$1:$1,0)+1),MATCH(AS$1,unit_skills!$1:$1,0)-MATCH($AP$1,unit_skills!$1:$1,0)+1,FALSE)</f>
        <v>0</v>
      </c>
      <c r="AT5" s="40">
        <v>455</v>
      </c>
      <c r="AU5" s="56" t="str">
        <f ca="1">VLOOKUP($AT5,OFFSET(crash_skills!$A$1,0,0,COUNTA(crash_skills!$A:$A),MATCH(AU$1,crash_skills!$1:$1,0)-MATCH($AT$1,crash_skills!$1:$1,0)+1),MATCH(AU$1,crash_skills!$1:$1,0)-MATCH($AT$1,crash_skills!$1:$1,0)+1,FALSE)</f>
        <v>デュアルラッシュインパクト</v>
      </c>
      <c r="AV5" s="56" t="str">
        <f ca="1">VLOOKUP($AT5,OFFSET(crash_skills!$A$1,0,0,COUNTA(crash_skills!$A:$A),MATCH(AV$1,crash_skills!$1:$1,0)-MATCH($AT$1,crash_skills!$1:$1,0)+1),MATCH(AV$1,crash_skills!$1:$1,0)-MATCH($AT$1,crash_skills!$1:$1,0)+1,FALSE)</f>
        <v>単体に中ダメージ+_x000D_全体に特大ダメージ</v>
      </c>
      <c r="AW5" s="56">
        <f ca="1">VLOOKUP($AT5,OFFSET(crash_skills!$A$1,0,0,COUNTA(crash_skills!$A:$A),MATCH(AW$1,crash_skills!$1:$1,0)-MATCH($AT$1,crash_skills!$1:$1,0)+1),MATCH(AW$1,crash_skills!$1:$1,0)-MATCH($AT$1,crash_skills!$1:$1,0)+1,FALSE)</f>
        <v>0</v>
      </c>
      <c r="AX5" s="57">
        <f ca="1">VLOOKUP($A5,OFFSET([1]characters!$A$1,0,0,COUNTA([1]characters!$A:$A),MATCH(AX$1,[1]characters!$1:$1,0)-MATCH($A$1,[1]characters!$1:$1,0)+1),MATCH(AX$1,[1]characters!$1:$1,0)-MATCH($A$1,[1]characters!$1:$1,0)+1,FALSE)</f>
        <v>3</v>
      </c>
      <c r="AY5" s="67">
        <v>1.1000000000000001</v>
      </c>
      <c r="AZ5" s="67">
        <v>1.32</v>
      </c>
      <c r="BA5" s="67">
        <v>0</v>
      </c>
      <c r="BB5" s="67">
        <v>0.78</v>
      </c>
      <c r="BC5" s="11">
        <f ca="1">INDEX('RC6SV'!$A$1:$G$20,MATCH(H5,'RC6SV'!$A$1:$A$20,FALSE),MATCH(G5,'RC6SV'!$A$1:$G$1,FALSE))</f>
        <v>7600</v>
      </c>
      <c r="BD5" s="46">
        <f t="shared" ca="1" si="3"/>
        <v>7600</v>
      </c>
      <c r="BE5" s="11">
        <f t="shared" ca="1" si="4"/>
        <v>5800</v>
      </c>
      <c r="BF5" s="11">
        <f t="shared" ca="1" si="5"/>
        <v>1</v>
      </c>
      <c r="BG5" s="16">
        <f ca="1">IF($BE5&lt;=0,ROUND(BK5*0.5,0), ROUND($BE5*S5*AA5*J5*AY5*0.8*[1]ステータス!$B$2,0))</f>
        <v>3548</v>
      </c>
      <c r="BH5" s="16">
        <f ca="1">IF($BE5&lt;=0,ROUND(BL5*0.5,0), ROUND($BE5*T5*AB5*K5*AZ5*0.8*[1]ステータス!$C$2,0))</f>
        <v>1515</v>
      </c>
      <c r="BI5" s="16">
        <f ca="1">IF($BE5&lt;=0,ROUND(BM5*0.5,0), ROUND($BE5*U5*AC5*L5*BA5*0.8*[1]ステータス!$D$2,0))</f>
        <v>0</v>
      </c>
      <c r="BJ5" s="16">
        <f ca="1">IF($BE5&lt;=0,ROUND(BN5*0.5,0), ROUND($BE5*V5*AD5*M5*BB5*0.8*[1]ステータス!$E$2,0))</f>
        <v>678</v>
      </c>
      <c r="BK5" s="11">
        <f ca="1">ROUND(BD5*S5*AA5*J5*AY5*[1]ステータス!$B$2,0)</f>
        <v>5811</v>
      </c>
      <c r="BL5" s="11">
        <f ca="1">ROUND(BD5*T5*AB5*K5*AZ5*[1]ステータス!$C$2,0)</f>
        <v>2482</v>
      </c>
      <c r="BM5" s="11">
        <f ca="1">ROUND(BD5*U5*AC5*L5*BA5*[1]ステータス!$D$2,0)</f>
        <v>0</v>
      </c>
      <c r="BN5" s="11">
        <f ca="1">ROUND(BD5*V5*AD5*M5*BB5*[1]ステータス!$E$2,0)</f>
        <v>1110</v>
      </c>
      <c r="BO5" s="10">
        <v>0</v>
      </c>
      <c r="BP5" s="10">
        <v>1</v>
      </c>
      <c r="BQ5" s="10" t="s">
        <v>73</v>
      </c>
      <c r="BR5" s="10">
        <f ca="1">VLOOKUP(H5,ghosts_label!$A$2:$B$19,2,FALSE)</f>
        <v>1</v>
      </c>
    </row>
    <row r="6" spans="1:70" ht="21" customHeight="1" x14ac:dyDescent="0.15">
      <c r="A6" s="12">
        <v>456</v>
      </c>
      <c r="B6" s="56" t="str">
        <f ca="1">VLOOKUP($A6,OFFSET([1]characters!$A$1,0,0,COUNTA([1]characters!$A:$A),MATCH(B$1,[1]characters!$1:$1,0)-MATCH($A$1,[1]characters!$1:$1,0)+1),MATCH(B$1,[1]characters!$1:$1,0)-MATCH($A$1,[1]characters!$1:$1,0)+1,FALSE)</f>
        <v>射絶 ユヅル</v>
      </c>
      <c r="C6" s="56" t="str">
        <f ca="1">VLOOKUP($A6,OFFSET([1]characters!$A$1,0,0,COUNTA([1]characters!$A:$A),MATCH(C$1,[1]characters!$1:$1,0)-MATCH($A$1,[1]characters!$1:$1,0)+1),MATCH(C$1,[1]characters!$1:$1,0)-MATCH($A$1,[1]characters!$1:$1,0)+1,FALSE)</f>
        <v>イベント:オリジナル01</v>
      </c>
      <c r="D6" s="56" t="str">
        <f ca="1">VLOOKUP($A6,OFFSET([1]characters!$A$1,0,0,COUNTA([1]characters!$A:$A),MATCH(D$1,[1]characters!$1:$1,0)-MATCH($A$1,[1]characters!$1:$1,0)+1),MATCH(D$1,[1]characters!$1:$1,0)-MATCH($A$1,[1]characters!$1:$1,0)+1,FALSE)</f>
        <v>執行者</v>
      </c>
      <c r="E6" s="56" t="str">
        <f ca="1">VLOOKUP($A6,OFFSET([1]characters!$A$1,0,0,COUNTA([1]characters!$A:$A),MATCH(E$1,[1]characters!$1:$1,0)-MATCH($A$1,[1]characters!$1:$1,0)+1),MATCH(E$1,[1]characters!$1:$1,0)-MATCH($A$1,[1]characters!$1:$1,0)+1,FALSE)</f>
        <v>格好いい</v>
      </c>
      <c r="F6" s="56" t="str">
        <f ca="1">VLOOKUP($A6,OFFSET([1]characters!$A$1,0,0,COUNTA([1]characters!$A:$A),MATCH(F$1,[1]characters!$1:$1,0)-MATCH($A$1,[1]characters!$1:$1,0)+1),MATCH(F$1,[1]characters!$1:$1,0)-MATCH($A$1,[1]characters!$1:$1,0)+1,FALSE)</f>
        <v>女性</v>
      </c>
      <c r="G6" s="56">
        <f ca="1">VLOOKUP($A6,OFFSET([1]characters!$A$1,0,0,COUNTA([1]characters!$A:$A),MATCH(G$1,[1]characters!$1:$1,0)-MATCH($A$1,[1]characters!$1:$1,0)+1),MATCH(G$1,[1]characters!$1:$1,0)-MATCH($A$1,[1]characters!$1:$1,0)+1,FALSE)</f>
        <v>4</v>
      </c>
      <c r="H6" s="56" t="str">
        <f ca="1">VLOOKUP($A6,OFFSET([1]characters!$A$1,0,0,COUNTA([1]characters!$A:$A),MATCH(H$1,[1]characters!$1:$1,0)-MATCH($A$1,[1]characters!$1:$1,0)+1),MATCH(H$1,[1]characters!$1:$1,0)-MATCH($A$1,[1]characters!$1:$1,0)+1,FALSE)</f>
        <v>Drop2N</v>
      </c>
      <c r="I6" s="56" t="str">
        <f ca="1">VLOOKUP($A6,OFFSET([1]characters!$A$1,0,0,COUNTA([1]characters!$A:$A),MATCH(I$1,[1]characters!$1:$1,0)-MATCH($A$1,[1]characters!$1:$1,0)+1),MATCH(I$1,[1]characters!$1:$1,0)-MATCH($A$1,[1]characters!$1:$1,0)+1,FALSE)</f>
        <v>blue</v>
      </c>
      <c r="J6" s="11">
        <f ca="1">VLOOKUP(I6,[1]属性!$A:$E,2,FALSE)</f>
        <v>1</v>
      </c>
      <c r="K6" s="11">
        <f ca="1">VLOOKUP(I6,[1]属性!$A:$E,3,FALSE)</f>
        <v>0.98</v>
      </c>
      <c r="L6" s="11">
        <f ca="1">VLOOKUP(I6,[1]属性!$A:$E,4,FALSE)</f>
        <v>1</v>
      </c>
      <c r="M6" s="11">
        <f ca="1">VLOOKUP(I6,[1]属性!$A:$E,5,FALSE)</f>
        <v>1.02</v>
      </c>
      <c r="N6" s="11">
        <f ca="1">INDEX(コスト!$A$1:$I$20,MATCH(H6,コスト!$A$1:$A$20,FALSE),MATCH(G6,コスト!$A$1:$I$1,FALSE))</f>
        <v>17</v>
      </c>
      <c r="O6" s="11">
        <f ca="1">INDEX(レベル!$A$1:$I$21,MATCH(H6,レベル!$A$1:$A$21,FALSE),MATCH(G6,レベル!$A$1:$I$1,FALSE))</f>
        <v>60</v>
      </c>
      <c r="P6" s="46">
        <f t="shared" ca="1" si="0"/>
        <v>60</v>
      </c>
      <c r="Q6" s="56" t="str">
        <f ca="1">VLOOKUP($A6,OFFSET([1]characters!$A$1,0,0,COUNTA([1]characters!$A:$A),MATCH(Q$1,[1]characters!$1:$1,0)-MATCH($A$1,[1]characters!$1:$1,0)+1),MATCH(Q$1,[1]characters!$1:$1,0)-MATCH($A$1,[1]characters!$1:$1,0)+1,FALSE)</f>
        <v>technical</v>
      </c>
      <c r="R6" s="5" t="str">
        <f ca="1">VLOOKUP(Q6,[1]character_type_i18n!$A:$H,3,FALSE)</f>
        <v>テクニカルタイプ</v>
      </c>
      <c r="S6" s="11">
        <f ca="1">VLOOKUP(Q6,[1]character_type_i18n!$A:$H,4,FALSE)</f>
        <v>0.9</v>
      </c>
      <c r="T6" s="11">
        <f ca="1">VLOOKUP(Q6,[1]character_type_i18n!$A:$H,5,FALSE)</f>
        <v>0.9</v>
      </c>
      <c r="U6" s="11">
        <f ca="1">VLOOKUP(Q6,[1]character_type_i18n!$A:$H,6,FALSE)</f>
        <v>1</v>
      </c>
      <c r="V6" s="11">
        <f ca="1">VLOOKUP(Q6,[1]character_type_i18n!$A:$H,7,FALSE)</f>
        <v>0.9</v>
      </c>
      <c r="W6" s="56" t="str">
        <f ca="1">VLOOKUP($A6,OFFSET([1]characters!$A$1,0,0,COUNTA([1]characters!$A:$A),MATCH(W$1,[1]characters!$1:$1,0)-MATCH($A$1,[1]characters!$1:$1,0)+1),MATCH(W$1,[1]characters!$1:$1,0)-MATCH($A$1,[1]characters!$1:$1,0)+1,FALSE)</f>
        <v>human</v>
      </c>
      <c r="X6" s="5" t="str">
        <f ca="1">VLOOKUP(W6,[1]character_tribe_i18n!$A:$H,3,FALSE)</f>
        <v>ヒューマン</v>
      </c>
      <c r="Y6" s="56" t="str">
        <f ca="1">VLOOKUP($A6,OFFSET([1]characters!$A$1,0,0,COUNTA([1]characters!$A:$A),MATCH(Y$1,[1]characters!$1:$1,0)-MATCH($A$1,[1]characters!$1:$1,0)+1),MATCH(Y$1,[1]characters!$1:$1,0)-MATCH($A$1,[1]characters!$1:$1,0)+1,FALSE)</f>
        <v>none</v>
      </c>
      <c r="Z6" s="5" t="str">
        <f ca="1">VLOOKUP(Y6,[1]character_tribe_i18n!$A:$H,3,FALSE)</f>
        <v>種族なし</v>
      </c>
      <c r="AA6" s="11">
        <f ca="1">VLOOKUP(W6,[1]character_tribe_i18n!$A:$H,4,FALSE)</f>
        <v>0.94</v>
      </c>
      <c r="AB6" s="11">
        <f ca="1">VLOOKUP(W6,[1]character_tribe_i18n!$A:$H,5,FALSE)</f>
        <v>0.99</v>
      </c>
      <c r="AC6" s="11">
        <f ca="1">VLOOKUP(W6,[1]character_tribe_i18n!$A:$H,6,FALSE)</f>
        <v>1</v>
      </c>
      <c r="AD6" s="11">
        <f ca="1">VLOOKUP(W6,[1]character_tribe_i18n!$A:$H,7,FALSE)</f>
        <v>1.07</v>
      </c>
      <c r="AE6" s="9">
        <v>457</v>
      </c>
      <c r="AF6" s="61" t="str">
        <f ca="1">IF(AE6="NULL","",VLOOKUP($AE6,OFFSET([1]characters!$A$1,0,0,COUNTA([1]characters!$A:$A),MATCH(AF$1,[1]characters!$1:$1,0)-MATCH($A$1,[1]characters!$1:$1,0)+1),MATCH(AF$1,[1]characters!$1:$1,0)-MATCH($A$1,[1]characters!$1:$1,0)+1,FALSE))</f>
        <v>京速射絶 ユヅル</v>
      </c>
      <c r="AG6" s="5">
        <f t="shared" ca="1" si="1"/>
        <v>456</v>
      </c>
      <c r="AH6" s="61" t="str">
        <f ca="1">VLOOKUP($AG6,OFFSET([1]characters!$A$1,0,0,COUNTA([1]characters!$A:$A),MATCH(AH$1,[1]characters!$1:$1,0)-MATCH($A$1,[1]characters!$1:$1,0)+1),MATCH(AH$1,[1]characters!$1:$1,0)-MATCH($A$1,[1]characters!$1:$1,0)+1,FALSE)</f>
        <v>射絶 ユヅル</v>
      </c>
      <c r="AI6" s="11">
        <f ca="1">IF(AE6="NULL","NULL",VLOOKUP(G6,ビット!$A$2:$B$7,2))</f>
        <v>50000</v>
      </c>
      <c r="AJ6" s="6">
        <v>2</v>
      </c>
      <c r="AK6" s="7" t="str">
        <f t="shared" si="2"/>
        <v>普通</v>
      </c>
      <c r="AL6" s="11" t="str">
        <f ca="1">INDEX(経験値!$A$1:$I$20,MATCH(H6,経験値!$A$1:$A$20,FALSE),MATCH(G6,経験値!$A$1:$I$1,FALSE))</f>
        <v>required_exp_200</v>
      </c>
      <c r="AM6" s="8">
        <f ca="1">VLOOKUP(G6,経験値!$A$27:$B$31,2)</f>
        <v>3400</v>
      </c>
      <c r="AN6" s="17">
        <f ca="1">VLOOKUP(G6,ビット!$G$2:$H$7,2)</f>
        <v>600</v>
      </c>
      <c r="AO6" s="43"/>
      <c r="AP6" s="66">
        <v>456</v>
      </c>
      <c r="AQ6" s="56" t="str">
        <f ca="1">VLOOKUP($AP6,OFFSET(unit_skills!$A$1,0,0,COUNTA(unit_skills!$A:$A),MATCH(AQ$1,unit_skills!$1:$1,0)-MATCH($AP$1,unit_skills!$1:$1,0)+1),MATCH(AQ$1,unit_skills!$1:$1,0)-MATCH($AP$1,unit_skills!$1:$1,0)+1,FALSE)</f>
        <v>射法・弾道強化</v>
      </c>
      <c r="AR6" s="56" t="str">
        <f ca="1">VLOOKUP($AP6,OFFSET(unit_skills!$A$1,0,0,COUNTA(unit_skills!$A:$A),MATCH(AR$1,unit_skills!$1:$1,0)-MATCH($AP$1,unit_skills!$1:$1,0)+1),MATCH(AR$1,unit_skills!$1:$1,0)-MATCH($AP$1,unit_skills!$1:$1,0)+1,FALSE)</f>
        <v>3ターンの間青属性の攻撃力特大UP+黄パネルを青パネルに変換する</v>
      </c>
      <c r="AS6" s="56">
        <f ca="1">VLOOKUP($AP6,OFFSET(unit_skills!$A$1,0,0,COUNTA(unit_skills!$A:$A),MATCH(AS$1,unit_skills!$1:$1,0)-MATCH($AP$1,unit_skills!$1:$1,0)+1),MATCH(AS$1,unit_skills!$1:$1,0)-MATCH($AP$1,unit_skills!$1:$1,0)+1,FALSE)</f>
        <v>0</v>
      </c>
      <c r="AT6" s="40">
        <v>456</v>
      </c>
      <c r="AU6" s="56" t="str">
        <f ca="1">VLOOKUP($AT6,OFFSET(crash_skills!$A$1,0,0,COUNTA(crash_skills!$A:$A),MATCH(AU$1,crash_skills!$1:$1,0)-MATCH($AT$1,crash_skills!$1:$1,0)+1),MATCH(AU$1,crash_skills!$1:$1,0)-MATCH($AT$1,crash_skills!$1:$1,0)+1,FALSE)</f>
        <v>正射必中</v>
      </c>
      <c r="AV6" s="56" t="str">
        <f ca="1">VLOOKUP($AT6,OFFSET(crash_skills!$A$1,0,0,COUNTA(crash_skills!$A:$A),MATCH(AV$1,crash_skills!$1:$1,0)-MATCH($AT$1,crash_skills!$1:$1,0)+1),MATCH(AV$1,crash_skills!$1:$1,0)-MATCH($AT$1,crash_skills!$1:$1,0)+1,FALSE)</f>
        <v>全体に中ダメージ_x000D_ヒューマンに効果大</v>
      </c>
      <c r="AW6" s="56">
        <f ca="1">VLOOKUP($AT6,OFFSET(crash_skills!$A$1,0,0,COUNTA(crash_skills!$A:$A),MATCH(AW$1,crash_skills!$1:$1,0)-MATCH($AT$1,crash_skills!$1:$1,0)+1),MATCH(AW$1,crash_skills!$1:$1,0)-MATCH($AT$1,crash_skills!$1:$1,0)+1,FALSE)</f>
        <v>0</v>
      </c>
      <c r="AX6" s="57">
        <f ca="1">VLOOKUP($A6,OFFSET([1]characters!$A$1,0,0,COUNTA([1]characters!$A:$A),MATCH(AX$1,[1]characters!$1:$1,0)-MATCH($A$1,[1]characters!$1:$1,0)+1),MATCH(AX$1,[1]characters!$1:$1,0)-MATCH($A$1,[1]characters!$1:$1,0)+1,FALSE)</f>
        <v>3</v>
      </c>
      <c r="AY6" s="67">
        <v>1</v>
      </c>
      <c r="AZ6" s="67">
        <v>1.3</v>
      </c>
      <c r="BA6" s="67">
        <v>0</v>
      </c>
      <c r="BB6" s="67">
        <v>1</v>
      </c>
      <c r="BC6" s="11">
        <f ca="1">INDEX('RC6SV'!$A$1:$G$20,MATCH(H6,'RC6SV'!$A$1:$A$20,FALSE),MATCH(G6,'RC6SV'!$A$1:$G$1,FALSE))</f>
        <v>5800</v>
      </c>
      <c r="BD6" s="46">
        <f t="shared" ca="1" si="3"/>
        <v>5800</v>
      </c>
      <c r="BE6" s="11">
        <f t="shared" ca="1" si="4"/>
        <v>0</v>
      </c>
      <c r="BF6" s="11">
        <f t="shared" ca="1" si="5"/>
        <v>1</v>
      </c>
      <c r="BG6" s="16">
        <f ca="1">IF($BE6&lt;=0,ROUND(BK6*0.5,0), ROUND($BE6*S6*AA6*J6*AY6*0.8*[1]ステータス!$B$2,0))</f>
        <v>1227</v>
      </c>
      <c r="BH6" s="16">
        <f ca="1">IF($BE6&lt;=0,ROUND(BL6*0.5,0), ROUND($BE6*T6*AB6*K6*AZ6*0.8*[1]ステータス!$C$2,0))</f>
        <v>988</v>
      </c>
      <c r="BI6" s="16">
        <f ca="1">IF($BE6&lt;=0,ROUND(BM6*0.5,0), ROUND($BE6*U6*AC6*L6*BA6*0.8*[1]ステータス!$D$2,0))</f>
        <v>0</v>
      </c>
      <c r="BJ6" s="16">
        <f ca="1">IF($BE6&lt;=0,ROUND(BN6*0.5,0), ROUND($BE6*V6*AD6*M6*BB6*0.8*[1]ステータス!$E$2,0))</f>
        <v>712</v>
      </c>
      <c r="BK6" s="11">
        <f ca="1">ROUND(BD6*S6*AA6*J6*AY6*[1]ステータス!$B$2,0)</f>
        <v>2453</v>
      </c>
      <c r="BL6" s="11">
        <f ca="1">ROUND(BD6*T6*AB6*K6*AZ6*[1]ステータス!$C$2,0)</f>
        <v>1975</v>
      </c>
      <c r="BM6" s="11">
        <f ca="1">ROUND(BD6*U6*AC6*L6*BA6*[1]ステータス!$D$2,0)</f>
        <v>0</v>
      </c>
      <c r="BN6" s="11">
        <f ca="1">ROUND(BD6*V6*AD6*M6*BB6*[1]ステータス!$E$2,0)</f>
        <v>1424</v>
      </c>
      <c r="BO6" s="10">
        <v>0</v>
      </c>
      <c r="BP6" s="10">
        <v>1</v>
      </c>
      <c r="BQ6" s="10" t="s">
        <v>73</v>
      </c>
      <c r="BR6" s="10">
        <f ca="1">VLOOKUP(H6,ghosts_label!$A$2:$B$19,2,FALSE)</f>
        <v>1</v>
      </c>
    </row>
    <row r="7" spans="1:70" ht="21" customHeight="1" x14ac:dyDescent="0.15">
      <c r="A7" s="12">
        <v>457</v>
      </c>
      <c r="B7" s="56" t="str">
        <f ca="1">VLOOKUP($A7,OFFSET([1]characters!$A$1,0,0,COUNTA([1]characters!$A:$A),MATCH(B$1,[1]characters!$1:$1,0)-MATCH($A$1,[1]characters!$1:$1,0)+1),MATCH(B$1,[1]characters!$1:$1,0)-MATCH($A$1,[1]characters!$1:$1,0)+1,FALSE)</f>
        <v>京速射絶 ユヅル</v>
      </c>
      <c r="C7" s="56" t="str">
        <f ca="1">VLOOKUP($A7,OFFSET([1]characters!$A$1,0,0,COUNTA([1]characters!$A:$A),MATCH(C$1,[1]characters!$1:$1,0)-MATCH($A$1,[1]characters!$1:$1,0)+1),MATCH(C$1,[1]characters!$1:$1,0)-MATCH($A$1,[1]characters!$1:$1,0)+1,FALSE)</f>
        <v>イベント:オリジナル01</v>
      </c>
      <c r="D7" s="56" t="str">
        <f ca="1">VLOOKUP($A7,OFFSET([1]characters!$A$1,0,0,COUNTA([1]characters!$A:$A),MATCH(D$1,[1]characters!$1:$1,0)-MATCH($A$1,[1]characters!$1:$1,0)+1),MATCH(D$1,[1]characters!$1:$1,0)-MATCH($A$1,[1]characters!$1:$1,0)+1,FALSE)</f>
        <v>執行者</v>
      </c>
      <c r="E7" s="56" t="str">
        <f ca="1">VLOOKUP($A7,OFFSET([1]characters!$A$1,0,0,COUNTA([1]characters!$A:$A),MATCH(E$1,[1]characters!$1:$1,0)-MATCH($A$1,[1]characters!$1:$1,0)+1),MATCH(E$1,[1]characters!$1:$1,0)-MATCH($A$1,[1]characters!$1:$1,0)+1,FALSE)</f>
        <v>格好いい</v>
      </c>
      <c r="F7" s="56" t="str">
        <f ca="1">VLOOKUP($A7,OFFSET([1]characters!$A$1,0,0,COUNTA([1]characters!$A:$A),MATCH(F$1,[1]characters!$1:$1,0)-MATCH($A$1,[1]characters!$1:$1,0)+1),MATCH(F$1,[1]characters!$1:$1,0)-MATCH($A$1,[1]characters!$1:$1,0)+1,FALSE)</f>
        <v>女性</v>
      </c>
      <c r="G7" s="56">
        <f ca="1">VLOOKUP($A7,OFFSET([1]characters!$A$1,0,0,COUNTA([1]characters!$A:$A),MATCH(G$1,[1]characters!$1:$1,0)-MATCH($A$1,[1]characters!$1:$1,0)+1),MATCH(G$1,[1]characters!$1:$1,0)-MATCH($A$1,[1]characters!$1:$1,0)+1,FALSE)</f>
        <v>5</v>
      </c>
      <c r="H7" s="56" t="str">
        <f ca="1">VLOOKUP($A7,OFFSET([1]characters!$A$1,0,0,COUNTA([1]characters!$A:$A),MATCH(H$1,[1]characters!$1:$1,0)-MATCH($A$1,[1]characters!$1:$1,0)+1),MATCH(H$1,[1]characters!$1:$1,0)-MATCH($A$1,[1]characters!$1:$1,0)+1,FALSE)</f>
        <v>Drop2N</v>
      </c>
      <c r="I7" s="56" t="str">
        <f ca="1">VLOOKUP($A7,OFFSET([1]characters!$A$1,0,0,COUNTA([1]characters!$A:$A),MATCH(I$1,[1]characters!$1:$1,0)-MATCH($A$1,[1]characters!$1:$1,0)+1),MATCH(I$1,[1]characters!$1:$1,0)-MATCH($A$1,[1]characters!$1:$1,0)+1,FALSE)</f>
        <v>blue</v>
      </c>
      <c r="J7" s="11">
        <f ca="1">VLOOKUP(I7,[1]属性!$A:$E,2,FALSE)</f>
        <v>1</v>
      </c>
      <c r="K7" s="11">
        <f ca="1">VLOOKUP(I7,[1]属性!$A:$E,3,FALSE)</f>
        <v>0.98</v>
      </c>
      <c r="L7" s="11">
        <f ca="1">VLOOKUP(I7,[1]属性!$A:$E,4,FALSE)</f>
        <v>1</v>
      </c>
      <c r="M7" s="11">
        <f ca="1">VLOOKUP(I7,[1]属性!$A:$E,5,FALSE)</f>
        <v>1.02</v>
      </c>
      <c r="N7" s="11">
        <f ca="1">INDEX(コスト!$A$1:$I$20,MATCH(H7,コスト!$A$1:$A$20,FALSE),MATCH(G7,コスト!$A$1:$I$1,FALSE))</f>
        <v>26</v>
      </c>
      <c r="O7" s="11">
        <f ca="1">INDEX(レベル!$A$1:$I$21,MATCH(H7,レベル!$A$1:$A$21,FALSE),MATCH(G7,レベル!$A$1:$I$1,FALSE))</f>
        <v>80</v>
      </c>
      <c r="P7" s="46">
        <f t="shared" ca="1" si="0"/>
        <v>75</v>
      </c>
      <c r="Q7" s="56" t="str">
        <f ca="1">VLOOKUP($A7,OFFSET([1]characters!$A$1,0,0,COUNTA([1]characters!$A:$A),MATCH(Q$1,[1]characters!$1:$1,0)-MATCH($A$1,[1]characters!$1:$1,0)+1),MATCH(Q$1,[1]characters!$1:$1,0)-MATCH($A$1,[1]characters!$1:$1,0)+1,FALSE)</f>
        <v>technical</v>
      </c>
      <c r="R7" s="5" t="str">
        <f ca="1">VLOOKUP(Q7,[1]character_type_i18n!$A:$H,3,FALSE)</f>
        <v>テクニカルタイプ</v>
      </c>
      <c r="S7" s="11">
        <f ca="1">VLOOKUP(Q7,[1]character_type_i18n!$A:$H,4,FALSE)</f>
        <v>0.9</v>
      </c>
      <c r="T7" s="11">
        <f ca="1">VLOOKUP(Q7,[1]character_type_i18n!$A:$H,5,FALSE)</f>
        <v>0.9</v>
      </c>
      <c r="U7" s="11">
        <f ca="1">VLOOKUP(Q7,[1]character_type_i18n!$A:$H,6,FALSE)</f>
        <v>1</v>
      </c>
      <c r="V7" s="11">
        <f ca="1">VLOOKUP(Q7,[1]character_type_i18n!$A:$H,7,FALSE)</f>
        <v>0.9</v>
      </c>
      <c r="W7" s="56" t="str">
        <f ca="1">VLOOKUP($A7,OFFSET([1]characters!$A$1,0,0,COUNTA([1]characters!$A:$A),MATCH(W$1,[1]characters!$1:$1,0)-MATCH($A$1,[1]characters!$1:$1,0)+1),MATCH(W$1,[1]characters!$1:$1,0)-MATCH($A$1,[1]characters!$1:$1,0)+1,FALSE)</f>
        <v>human</v>
      </c>
      <c r="X7" s="5" t="str">
        <f ca="1">VLOOKUP(W7,[1]character_tribe_i18n!$A:$H,3,FALSE)</f>
        <v>ヒューマン</v>
      </c>
      <c r="Y7" s="56" t="str">
        <f ca="1">VLOOKUP($A7,OFFSET([1]characters!$A$1,0,0,COUNTA([1]characters!$A:$A),MATCH(Y$1,[1]characters!$1:$1,0)-MATCH($A$1,[1]characters!$1:$1,0)+1),MATCH(Y$1,[1]characters!$1:$1,0)-MATCH($A$1,[1]characters!$1:$1,0)+1,FALSE)</f>
        <v>none</v>
      </c>
      <c r="Z7" s="5" t="str">
        <f ca="1">VLOOKUP(Y7,[1]character_tribe_i18n!$A:$H,3,FALSE)</f>
        <v>種族なし</v>
      </c>
      <c r="AA7" s="11">
        <f ca="1">VLOOKUP(W7,[1]character_tribe_i18n!$A:$H,4,FALSE)</f>
        <v>0.94</v>
      </c>
      <c r="AB7" s="11">
        <f ca="1">VLOOKUP(W7,[1]character_tribe_i18n!$A:$H,5,FALSE)</f>
        <v>0.99</v>
      </c>
      <c r="AC7" s="11">
        <f ca="1">VLOOKUP(W7,[1]character_tribe_i18n!$A:$H,6,FALSE)</f>
        <v>1</v>
      </c>
      <c r="AD7" s="11">
        <f ca="1">VLOOKUP(W7,[1]character_tribe_i18n!$A:$H,7,FALSE)</f>
        <v>1.07</v>
      </c>
      <c r="AE7" s="9" t="s">
        <v>220</v>
      </c>
      <c r="AF7" s="61" t="str">
        <f ca="1">IF(AE7="NULL","",VLOOKUP($AE7,OFFSET([1]characters!$A$1,0,0,COUNTA([1]characters!$A:$A),MATCH(AF$1,[1]characters!$1:$1,0)-MATCH($A$1,[1]characters!$1:$1,0)+1),MATCH(AF$1,[1]characters!$1:$1,0)-MATCH($A$1,[1]characters!$1:$1,0)+1,FALSE))</f>
        <v/>
      </c>
      <c r="AG7" s="5">
        <f t="shared" ca="1" si="1"/>
        <v>456</v>
      </c>
      <c r="AH7" s="61" t="str">
        <f ca="1">VLOOKUP($AG7,OFFSET([1]characters!$A$1,0,0,COUNTA([1]characters!$A:$A),MATCH(AH$1,[1]characters!$1:$1,0)-MATCH($A$1,[1]characters!$1:$1,0)+1),MATCH(AH$1,[1]characters!$1:$1,0)-MATCH($A$1,[1]characters!$1:$1,0)+1,FALSE)</f>
        <v>射絶 ユヅル</v>
      </c>
      <c r="AI7" s="11" t="str">
        <f>IF(AE7="NULL","NULL",VLOOKUP(G7,ビット!$A$2:$B$7,2))</f>
        <v>NULL</v>
      </c>
      <c r="AJ7" s="6">
        <v>2</v>
      </c>
      <c r="AK7" s="7" t="str">
        <f t="shared" si="2"/>
        <v>普通</v>
      </c>
      <c r="AL7" s="11" t="str">
        <f ca="1">INDEX(経験値!$A$1:$I$20,MATCH(H7,経験値!$A$1:$A$20,FALSE),MATCH(G7,経験値!$A$1:$I$1,FALSE))</f>
        <v>required_exp_200</v>
      </c>
      <c r="AM7" s="8">
        <f ca="1">VLOOKUP(G7,経験値!$A$27:$B$31,2)</f>
        <v>6400</v>
      </c>
      <c r="AN7" s="17">
        <f ca="1">VLOOKUP(G7,ビット!$G$2:$H$7,2)</f>
        <v>900</v>
      </c>
      <c r="AO7" s="43"/>
      <c r="AP7" s="66">
        <v>457</v>
      </c>
      <c r="AQ7" s="56" t="str">
        <f ca="1">VLOOKUP($AP7,OFFSET(unit_skills!$A$1,0,0,COUNTA(unit_skills!$A:$A),MATCH(AQ$1,unit_skills!$1:$1,0)-MATCH($AP$1,unit_skills!$1:$1,0)+1),MATCH(AQ$1,unit_skills!$1:$1,0)-MATCH($AP$1,unit_skills!$1:$1,0)+1,FALSE)</f>
        <v>射法・弾道強化</v>
      </c>
      <c r="AR7" s="56" t="str">
        <f ca="1">VLOOKUP($AP7,OFFSET(unit_skills!$A$1,0,0,COUNTA(unit_skills!$A:$A),MATCH(AR$1,unit_skills!$1:$1,0)-MATCH($AP$1,unit_skills!$1:$1,0)+1),MATCH(AR$1,unit_skills!$1:$1,0)-MATCH($AP$1,unit_skills!$1:$1,0)+1,FALSE)</f>
        <v>3ターンの間青属性の攻撃力特大UP+黄パネルを青パネルに変換する</v>
      </c>
      <c r="AS7" s="56">
        <f ca="1">VLOOKUP($AP7,OFFSET(unit_skills!$A$1,0,0,COUNTA(unit_skills!$A:$A),MATCH(AS$1,unit_skills!$1:$1,0)-MATCH($AP$1,unit_skills!$1:$1,0)+1),MATCH(AS$1,unit_skills!$1:$1,0)-MATCH($AP$1,unit_skills!$1:$1,0)+1,FALSE)</f>
        <v>0</v>
      </c>
      <c r="AT7" s="40">
        <v>457</v>
      </c>
      <c r="AU7" s="56" t="str">
        <f ca="1">VLOOKUP($AT7,OFFSET(crash_skills!$A$1,0,0,COUNTA(crash_skills!$A:$A),MATCH(AU$1,crash_skills!$1:$1,0)-MATCH($AT$1,crash_skills!$1:$1,0)+1),MATCH(AU$1,crash_skills!$1:$1,0)-MATCH($AT$1,crash_skills!$1:$1,0)+1,FALSE)</f>
        <v>正射必中</v>
      </c>
      <c r="AV7" s="56" t="str">
        <f ca="1">VLOOKUP($AT7,OFFSET(crash_skills!$A$1,0,0,COUNTA(crash_skills!$A:$A),MATCH(AV$1,crash_skills!$1:$1,0)-MATCH($AT$1,crash_skills!$1:$1,0)+1),MATCH(AV$1,crash_skills!$1:$1,0)-MATCH($AT$1,crash_skills!$1:$1,0)+1,FALSE)</f>
        <v>全体に中ダメージ_x000D_ヒューマンに効果大</v>
      </c>
      <c r="AW7" s="56">
        <f ca="1">VLOOKUP($AT7,OFFSET(crash_skills!$A$1,0,0,COUNTA(crash_skills!$A:$A),MATCH(AW$1,crash_skills!$1:$1,0)-MATCH($AT$1,crash_skills!$1:$1,0)+1),MATCH(AW$1,crash_skills!$1:$1,0)-MATCH($AT$1,crash_skills!$1:$1,0)+1,FALSE)</f>
        <v>0</v>
      </c>
      <c r="AX7" s="57">
        <f ca="1">VLOOKUP($A7,OFFSET([1]characters!$A$1,0,0,COUNTA([1]characters!$A:$A),MATCH(AX$1,[1]characters!$1:$1,0)-MATCH($A$1,[1]characters!$1:$1,0)+1),MATCH(AX$1,[1]characters!$1:$1,0)-MATCH($A$1,[1]characters!$1:$1,0)+1,FALSE)</f>
        <v>3</v>
      </c>
      <c r="AY7" s="67">
        <v>1</v>
      </c>
      <c r="AZ7" s="67">
        <v>1.3</v>
      </c>
      <c r="BA7" s="67">
        <v>0</v>
      </c>
      <c r="BB7" s="67">
        <v>1</v>
      </c>
      <c r="BC7" s="11">
        <f ca="1">INDEX('RC6SV'!$A$1:$G$20,MATCH(H7,'RC6SV'!$A$1:$A$20,FALSE),MATCH(G7,'RC6SV'!$A$1:$G$1,FALSE))</f>
        <v>7600</v>
      </c>
      <c r="BD7" s="46">
        <f t="shared" ca="1" si="3"/>
        <v>7600</v>
      </c>
      <c r="BE7" s="11">
        <f t="shared" ca="1" si="4"/>
        <v>5800</v>
      </c>
      <c r="BF7" s="11">
        <f t="shared" ca="1" si="5"/>
        <v>1</v>
      </c>
      <c r="BG7" s="16">
        <f ca="1">IF($BE7&lt;=0,ROUND(BK7*0.5,0), ROUND($BE7*S7*AA7*J7*AY7*0.8*[1]ステータス!$B$2,0))</f>
        <v>1963</v>
      </c>
      <c r="BH7" s="16">
        <f ca="1">IF($BE7&lt;=0,ROUND(BL7*0.5,0), ROUND($BE7*T7*AB7*K7*AZ7*0.8*[1]ステータス!$C$2,0))</f>
        <v>1580</v>
      </c>
      <c r="BI7" s="16">
        <f ca="1">IF($BE7&lt;=0,ROUND(BM7*0.5,0), ROUND($BE7*U7*AC7*L7*BA7*0.8*[1]ステータス!$D$2,0))</f>
        <v>0</v>
      </c>
      <c r="BJ7" s="16">
        <f ca="1">IF($BE7&lt;=0,ROUND(BN7*0.5,0), ROUND($BE7*V7*AD7*M7*BB7*0.8*[1]ステータス!$E$2,0))</f>
        <v>1139</v>
      </c>
      <c r="BK7" s="11">
        <f ca="1">ROUND(BD7*S7*AA7*J7*AY7*[1]ステータス!$B$2,0)</f>
        <v>3215</v>
      </c>
      <c r="BL7" s="11">
        <f ca="1">ROUND(BD7*T7*AB7*K7*AZ7*[1]ステータス!$C$2,0)</f>
        <v>2588</v>
      </c>
      <c r="BM7" s="11">
        <f ca="1">ROUND(BD7*U7*AC7*L7*BA7*[1]ステータス!$D$2,0)</f>
        <v>0</v>
      </c>
      <c r="BN7" s="11">
        <f ca="1">ROUND(BD7*V7*AD7*M7*BB7*[1]ステータス!$E$2,0)</f>
        <v>1866</v>
      </c>
      <c r="BO7" s="10">
        <v>0</v>
      </c>
      <c r="BP7" s="10">
        <v>1</v>
      </c>
      <c r="BQ7" s="10" t="s">
        <v>73</v>
      </c>
      <c r="BR7" s="10">
        <f ca="1">VLOOKUP(H7,ghosts_label!$A$2:$B$19,2,FALSE)</f>
        <v>1</v>
      </c>
    </row>
    <row r="8" spans="1:70" ht="21" customHeight="1" x14ac:dyDescent="0.15">
      <c r="A8" s="12">
        <v>458</v>
      </c>
      <c r="B8" s="56" t="str">
        <f ca="1">VLOOKUP($A8,OFFSET([1]characters!$A$1,0,0,COUNTA([1]characters!$A:$A),MATCH(B$1,[1]characters!$1:$1,0)-MATCH($A$1,[1]characters!$1:$1,0)+1),MATCH(B$1,[1]characters!$1:$1,0)-MATCH($A$1,[1]characters!$1:$1,0)+1,FALSE)</f>
        <v>嵐龍 スガル</v>
      </c>
      <c r="C8" s="56" t="str">
        <f ca="1">VLOOKUP($A8,OFFSET([1]characters!$A$1,0,0,COUNTA([1]characters!$A:$A),MATCH(C$1,[1]characters!$1:$1,0)-MATCH($A$1,[1]characters!$1:$1,0)+1),MATCH(C$1,[1]characters!$1:$1,0)-MATCH($A$1,[1]characters!$1:$1,0)+1,FALSE)</f>
        <v>イベント:オリジナル01</v>
      </c>
      <c r="D8" s="56" t="str">
        <f ca="1">VLOOKUP($A8,OFFSET([1]characters!$A$1,0,0,COUNTA([1]characters!$A:$A),MATCH(D$1,[1]characters!$1:$1,0)-MATCH($A$1,[1]characters!$1:$1,0)+1),MATCH(D$1,[1]characters!$1:$1,0)-MATCH($A$1,[1]characters!$1:$1,0)+1,FALSE)</f>
        <v>執行者</v>
      </c>
      <c r="E8" s="56" t="str">
        <f ca="1">VLOOKUP($A8,OFFSET([1]characters!$A$1,0,0,COUNTA([1]characters!$A:$A),MATCH(E$1,[1]characters!$1:$1,0)-MATCH($A$1,[1]characters!$1:$1,0)+1),MATCH(E$1,[1]characters!$1:$1,0)-MATCH($A$1,[1]characters!$1:$1,0)+1,FALSE)</f>
        <v>格好いい</v>
      </c>
      <c r="F8" s="56" t="str">
        <f ca="1">VLOOKUP($A8,OFFSET([1]characters!$A$1,0,0,COUNTA([1]characters!$A:$A),MATCH(F$1,[1]characters!$1:$1,0)-MATCH($A$1,[1]characters!$1:$1,0)+1),MATCH(F$1,[1]characters!$1:$1,0)-MATCH($A$1,[1]characters!$1:$1,0)+1,FALSE)</f>
        <v>男性</v>
      </c>
      <c r="G8" s="56">
        <f ca="1">VLOOKUP($A8,OFFSET([1]characters!$A$1,0,0,COUNTA([1]characters!$A:$A),MATCH(G$1,[1]characters!$1:$1,0)-MATCH($A$1,[1]characters!$1:$1,0)+1),MATCH(G$1,[1]characters!$1:$1,0)-MATCH($A$1,[1]characters!$1:$1,0)+1,FALSE)</f>
        <v>4</v>
      </c>
      <c r="H8" s="56" t="str">
        <f ca="1">VLOOKUP($A8,OFFSET([1]characters!$A$1,0,0,COUNTA([1]characters!$A:$A),MATCH(H$1,[1]characters!$1:$1,0)-MATCH($A$1,[1]characters!$1:$1,0)+1),MATCH(H$1,[1]characters!$1:$1,0)-MATCH($A$1,[1]characters!$1:$1,0)+1,FALSE)</f>
        <v>Drop2N</v>
      </c>
      <c r="I8" s="56" t="str">
        <f ca="1">VLOOKUP($A8,OFFSET([1]characters!$A$1,0,0,COUNTA([1]characters!$A:$A),MATCH(I$1,[1]characters!$1:$1,0)-MATCH($A$1,[1]characters!$1:$1,0)+1),MATCH(I$1,[1]characters!$1:$1,0)-MATCH($A$1,[1]characters!$1:$1,0)+1,FALSE)</f>
        <v>yellow</v>
      </c>
      <c r="J8" s="11">
        <f ca="1">VLOOKUP(I8,[1]属性!$A:$E,2,FALSE)</f>
        <v>0.98</v>
      </c>
      <c r="K8" s="11">
        <f ca="1">VLOOKUP(I8,[1]属性!$A:$E,3,FALSE)</f>
        <v>1.01</v>
      </c>
      <c r="L8" s="11">
        <f ca="1">VLOOKUP(I8,[1]属性!$A:$E,4,FALSE)</f>
        <v>1</v>
      </c>
      <c r="M8" s="11">
        <f ca="1">VLOOKUP(I8,[1]属性!$A:$E,5,FALSE)</f>
        <v>1.01</v>
      </c>
      <c r="N8" s="11">
        <f ca="1">INDEX(コスト!$A$1:$I$20,MATCH(H8,コスト!$A$1:$A$20,FALSE),MATCH(G8,コスト!$A$1:$I$1,FALSE))</f>
        <v>17</v>
      </c>
      <c r="O8" s="11">
        <f ca="1">INDEX(レベル!$A$1:$I$21,MATCH(H8,レベル!$A$1:$A$21,FALSE),MATCH(G8,レベル!$A$1:$I$1,FALSE))</f>
        <v>60</v>
      </c>
      <c r="P8" s="46">
        <f t="shared" ca="1" si="0"/>
        <v>60</v>
      </c>
      <c r="Q8" s="56" t="str">
        <f ca="1">VLOOKUP($A8,OFFSET([1]characters!$A$1,0,0,COUNTA([1]characters!$A:$A),MATCH(Q$1,[1]characters!$1:$1,0)-MATCH($A$1,[1]characters!$1:$1,0)+1),MATCH(Q$1,[1]characters!$1:$1,0)-MATCH($A$1,[1]characters!$1:$1,0)+1,FALSE)</f>
        <v>hp</v>
      </c>
      <c r="R8" s="5" t="str">
        <f ca="1">VLOOKUP(Q8,[1]character_type_i18n!$A:$H,3,FALSE)</f>
        <v>体力タイプ</v>
      </c>
      <c r="S8" s="11">
        <f ca="1">VLOOKUP(Q8,[1]character_type_i18n!$A:$H,4,FALSE)</f>
        <v>1.45</v>
      </c>
      <c r="T8" s="11">
        <f ca="1">VLOOKUP(Q8,[1]character_type_i18n!$A:$H,5,FALSE)</f>
        <v>0.85</v>
      </c>
      <c r="U8" s="11">
        <f ca="1">VLOOKUP(Q8,[1]character_type_i18n!$A:$H,6,FALSE)</f>
        <v>1</v>
      </c>
      <c r="V8" s="11">
        <f ca="1">VLOOKUP(Q8,[1]character_type_i18n!$A:$H,7,FALSE)</f>
        <v>0.7</v>
      </c>
      <c r="W8" s="56" t="str">
        <f ca="1">VLOOKUP($A8,OFFSET([1]characters!$A$1,0,0,COUNTA([1]characters!$A:$A),MATCH(W$1,[1]characters!$1:$1,0)-MATCH($A$1,[1]characters!$1:$1,0)+1),MATCH(W$1,[1]characters!$1:$1,0)-MATCH($A$1,[1]characters!$1:$1,0)+1,FALSE)</f>
        <v>dragon</v>
      </c>
      <c r="X8" s="5" t="str">
        <f ca="1">VLOOKUP(W8,[1]character_tribe_i18n!$A:$H,3,FALSE)</f>
        <v>ドラゴン</v>
      </c>
      <c r="Y8" s="56" t="str">
        <f ca="1">VLOOKUP($A8,OFFSET([1]characters!$A$1,0,0,COUNTA([1]characters!$A:$A),MATCH(Y$1,[1]characters!$1:$1,0)-MATCH($A$1,[1]characters!$1:$1,0)+1),MATCH(Y$1,[1]characters!$1:$1,0)-MATCH($A$1,[1]characters!$1:$1,0)+1,FALSE)</f>
        <v>none</v>
      </c>
      <c r="Z8" s="5" t="str">
        <f ca="1">VLOOKUP(Y8,[1]character_tribe_i18n!$A:$H,3,FALSE)</f>
        <v>種族なし</v>
      </c>
      <c r="AA8" s="11">
        <f ca="1">VLOOKUP(W8,[1]character_tribe_i18n!$A:$H,4,FALSE)</f>
        <v>1.1499999999999999</v>
      </c>
      <c r="AB8" s="11">
        <f ca="1">VLOOKUP(W8,[1]character_tribe_i18n!$A:$H,5,FALSE)</f>
        <v>1.1000000000000001</v>
      </c>
      <c r="AC8" s="11">
        <f ca="1">VLOOKUP(W8,[1]character_tribe_i18n!$A:$H,6,FALSE)</f>
        <v>1</v>
      </c>
      <c r="AD8" s="11">
        <f ca="1">VLOOKUP(W8,[1]character_tribe_i18n!$A:$H,7,FALSE)</f>
        <v>0.75</v>
      </c>
      <c r="AE8" s="9">
        <v>459</v>
      </c>
      <c r="AF8" s="61" t="str">
        <f ca="1">IF(AE8="NULL","",VLOOKUP($AE8,OFFSET([1]characters!$A$1,0,0,COUNTA([1]characters!$A:$A),MATCH(AF$1,[1]characters!$1:$1,0)-MATCH($A$1,[1]characters!$1:$1,0)+1),MATCH(AF$1,[1]characters!$1:$1,0)-MATCH($A$1,[1]characters!$1:$1,0)+1,FALSE))</f>
        <v>威喝の嵐龍 スガル</v>
      </c>
      <c r="AG8" s="5">
        <f t="shared" ca="1" si="1"/>
        <v>458</v>
      </c>
      <c r="AH8" s="61" t="str">
        <f ca="1">VLOOKUP($AG8,OFFSET([1]characters!$A$1,0,0,COUNTA([1]characters!$A:$A),MATCH(AH$1,[1]characters!$1:$1,0)-MATCH($A$1,[1]characters!$1:$1,0)+1),MATCH(AH$1,[1]characters!$1:$1,0)-MATCH($A$1,[1]characters!$1:$1,0)+1,FALSE)</f>
        <v>嵐龍 スガル</v>
      </c>
      <c r="AI8" s="11">
        <f ca="1">IF(AE8="NULL","NULL",VLOOKUP(G8,ビット!$A$2:$B$7,2))</f>
        <v>50000</v>
      </c>
      <c r="AJ8" s="6">
        <v>2</v>
      </c>
      <c r="AK8" s="7" t="str">
        <f t="shared" si="2"/>
        <v>普通</v>
      </c>
      <c r="AL8" s="11" t="str">
        <f ca="1">INDEX(経験値!$A$1:$I$20,MATCH(H8,経験値!$A$1:$A$20,FALSE),MATCH(G8,経験値!$A$1:$I$1,FALSE))</f>
        <v>required_exp_200</v>
      </c>
      <c r="AM8" s="8">
        <f ca="1">VLOOKUP(G8,経験値!$A$27:$B$31,2)</f>
        <v>3400</v>
      </c>
      <c r="AN8" s="17">
        <f ca="1">VLOOKUP(G8,ビット!$G$2:$H$7,2)</f>
        <v>600</v>
      </c>
      <c r="AO8" s="43"/>
      <c r="AP8" s="66">
        <v>458</v>
      </c>
      <c r="AQ8" s="56" t="str">
        <f ca="1">VLOOKUP($AP8,OFFSET(unit_skills!$A$1,0,0,COUNTA(unit_skills!$A:$A),MATCH(AQ$1,unit_skills!$1:$1,0)-MATCH($AP$1,unit_skills!$1:$1,0)+1),MATCH(AQ$1,unit_skills!$1:$1,0)-MATCH($AP$1,unit_skills!$1:$1,0)+1,FALSE)</f>
        <v>鼓舞一喝</v>
      </c>
      <c r="AR8" s="56" t="str">
        <f ca="1">VLOOKUP($AP8,OFFSET(unit_skills!$A$1,0,0,COUNTA(unit_skills!$A:$A),MATCH(AR$1,unit_skills!$1:$1,0)-MATCH($AP$1,unit_skills!$1:$1,0)+1),MATCH(AR$1,unit_skills!$1:$1,0)-MATCH($AP$1,unit_skills!$1:$1,0)+1,FALSE)</f>
        <v>3ターンの間Cパネル生成を短縮し、黄属性の攻撃力を特大UP</v>
      </c>
      <c r="AS8" s="56">
        <f ca="1">VLOOKUP($AP8,OFFSET(unit_skills!$A$1,0,0,COUNTA(unit_skills!$A:$A),MATCH(AS$1,unit_skills!$1:$1,0)-MATCH($AP$1,unit_skills!$1:$1,0)+1),MATCH(AS$1,unit_skills!$1:$1,0)-MATCH($AP$1,unit_skills!$1:$1,0)+1,FALSE)</f>
        <v>0</v>
      </c>
      <c r="AT8" s="40">
        <v>458</v>
      </c>
      <c r="AU8" s="56" t="str">
        <f ca="1">VLOOKUP($AT8,OFFSET(crash_skills!$A$1,0,0,COUNTA(crash_skills!$A:$A),MATCH(AU$1,crash_skills!$1:$1,0)-MATCH($AT$1,crash_skills!$1:$1,0)+1),MATCH(AU$1,crash_skills!$1:$1,0)-MATCH($AT$1,crash_skills!$1:$1,0)+1,FALSE)</f>
        <v>神喰の雷</v>
      </c>
      <c r="AV8" s="56" t="str">
        <f ca="1">VLOOKUP($AT8,OFFSET(crash_skills!$A$1,0,0,COUNTA(crash_skills!$A:$A),MATCH(AV$1,crash_skills!$1:$1,0)-MATCH($AT$1,crash_skills!$1:$1,0)+1),MATCH(AV$1,crash_skills!$1:$1,0)-MATCH($AT$1,crash_skills!$1:$1,0)+1,FALSE)</f>
        <v>1体に小ダメージ_x000D_ゴッドに効果大</v>
      </c>
      <c r="AW8" s="56">
        <f ca="1">VLOOKUP($AT8,OFFSET(crash_skills!$A$1,0,0,COUNTA(crash_skills!$A:$A),MATCH(AW$1,crash_skills!$1:$1,0)-MATCH($AT$1,crash_skills!$1:$1,0)+1),MATCH(AW$1,crash_skills!$1:$1,0)-MATCH($AT$1,crash_skills!$1:$1,0)+1,FALSE)</f>
        <v>0</v>
      </c>
      <c r="AX8" s="57">
        <f ca="1">VLOOKUP($A8,OFFSET([1]characters!$A$1,0,0,COUNTA([1]characters!$A:$A),MATCH(AX$1,[1]characters!$1:$1,0)-MATCH($A$1,[1]characters!$1:$1,0)+1),MATCH(AX$1,[1]characters!$1:$1,0)-MATCH($A$1,[1]characters!$1:$1,0)+1,FALSE)</f>
        <v>3</v>
      </c>
      <c r="AY8" s="67">
        <v>1</v>
      </c>
      <c r="AZ8" s="67">
        <v>1.1399999999999999</v>
      </c>
      <c r="BA8" s="67">
        <v>0</v>
      </c>
      <c r="BB8" s="67">
        <v>0.8</v>
      </c>
      <c r="BC8" s="11">
        <f ca="1">INDEX('RC6SV'!$A$1:$G$20,MATCH(H8,'RC6SV'!$A$1:$A$20,FALSE),MATCH(G8,'RC6SV'!$A$1:$G$1,FALSE))</f>
        <v>5800</v>
      </c>
      <c r="BD8" s="46">
        <f t="shared" ca="1" si="3"/>
        <v>5800</v>
      </c>
      <c r="BE8" s="11">
        <f t="shared" ca="1" si="4"/>
        <v>0</v>
      </c>
      <c r="BF8" s="11">
        <f t="shared" ca="1" si="5"/>
        <v>1</v>
      </c>
      <c r="BG8" s="16">
        <f ca="1">IF($BE8&lt;=0,ROUND(BK8*0.5,0), ROUND($BE8*S8*AA8*J8*AY8*0.8*[1]ステータス!$B$2,0))</f>
        <v>2370</v>
      </c>
      <c r="BH8" s="16">
        <f ca="1">IF($BE8&lt;=0,ROUND(BL8*0.5,0), ROUND($BE8*T8*AB8*K8*AZ8*0.8*[1]ステータス!$C$2,0))</f>
        <v>937</v>
      </c>
      <c r="BI8" s="16">
        <f ca="1">IF($BE8&lt;=0,ROUND(BM8*0.5,0), ROUND($BE8*U8*AC8*L8*BA8*0.8*[1]ステータス!$D$2,0))</f>
        <v>0</v>
      </c>
      <c r="BJ8" s="16">
        <f ca="1">IF($BE8&lt;=0,ROUND(BN8*0.5,0), ROUND($BE8*V8*AD8*M8*BB8*0.8*[1]ステータス!$E$2,0))</f>
        <v>308</v>
      </c>
      <c r="BK8" s="11">
        <f ca="1">ROUND(BD8*S8*AA8*J8*AY8*[1]ステータス!$B$2,0)</f>
        <v>4739</v>
      </c>
      <c r="BL8" s="11">
        <f ca="1">ROUND(BD8*T8*AB8*K8*AZ8*[1]ステータス!$C$2,0)</f>
        <v>1873</v>
      </c>
      <c r="BM8" s="11">
        <f ca="1">ROUND(BD8*U8*AC8*L8*BA8*[1]ステータス!$D$2,0)</f>
        <v>0</v>
      </c>
      <c r="BN8" s="11">
        <f ca="1">ROUND(BD8*V8*AD8*M8*BB8*[1]ステータス!$E$2,0)</f>
        <v>615</v>
      </c>
      <c r="BO8" s="10">
        <v>0</v>
      </c>
      <c r="BP8" s="10">
        <v>1</v>
      </c>
      <c r="BQ8" s="10" t="s">
        <v>73</v>
      </c>
      <c r="BR8" s="10">
        <f ca="1">VLOOKUP(H8,ghosts_label!$A$2:$B$19,2,FALSE)</f>
        <v>1</v>
      </c>
    </row>
    <row r="9" spans="1:70" ht="21" customHeight="1" x14ac:dyDescent="0.15">
      <c r="A9" s="12">
        <v>459</v>
      </c>
      <c r="B9" s="56" t="str">
        <f ca="1">VLOOKUP($A9,OFFSET([1]characters!$A$1,0,0,COUNTA([1]characters!$A:$A),MATCH(B$1,[1]characters!$1:$1,0)-MATCH($A$1,[1]characters!$1:$1,0)+1),MATCH(B$1,[1]characters!$1:$1,0)-MATCH($A$1,[1]characters!$1:$1,0)+1,FALSE)</f>
        <v>威喝の嵐龍 スガル</v>
      </c>
      <c r="C9" s="56" t="str">
        <f ca="1">VLOOKUP($A9,OFFSET([1]characters!$A$1,0,0,COUNTA([1]characters!$A:$A),MATCH(C$1,[1]characters!$1:$1,0)-MATCH($A$1,[1]characters!$1:$1,0)+1),MATCH(C$1,[1]characters!$1:$1,0)-MATCH($A$1,[1]characters!$1:$1,0)+1,FALSE)</f>
        <v>イベント:オリジナル01</v>
      </c>
      <c r="D9" s="56" t="str">
        <f ca="1">VLOOKUP($A9,OFFSET([1]characters!$A$1,0,0,COUNTA([1]characters!$A:$A),MATCH(D$1,[1]characters!$1:$1,0)-MATCH($A$1,[1]characters!$1:$1,0)+1),MATCH(D$1,[1]characters!$1:$1,0)-MATCH($A$1,[1]characters!$1:$1,0)+1,FALSE)</f>
        <v>執行者</v>
      </c>
      <c r="E9" s="56" t="str">
        <f ca="1">VLOOKUP($A9,OFFSET([1]characters!$A$1,0,0,COUNTA([1]characters!$A:$A),MATCH(E$1,[1]characters!$1:$1,0)-MATCH($A$1,[1]characters!$1:$1,0)+1),MATCH(E$1,[1]characters!$1:$1,0)-MATCH($A$1,[1]characters!$1:$1,0)+1,FALSE)</f>
        <v>格好いい</v>
      </c>
      <c r="F9" s="56" t="str">
        <f ca="1">VLOOKUP($A9,OFFSET([1]characters!$A$1,0,0,COUNTA([1]characters!$A:$A),MATCH(F$1,[1]characters!$1:$1,0)-MATCH($A$1,[1]characters!$1:$1,0)+1),MATCH(F$1,[1]characters!$1:$1,0)-MATCH($A$1,[1]characters!$1:$1,0)+1,FALSE)</f>
        <v>男性</v>
      </c>
      <c r="G9" s="56">
        <f ca="1">VLOOKUP($A9,OFFSET([1]characters!$A$1,0,0,COUNTA([1]characters!$A:$A),MATCH(G$1,[1]characters!$1:$1,0)-MATCH($A$1,[1]characters!$1:$1,0)+1),MATCH(G$1,[1]characters!$1:$1,0)-MATCH($A$1,[1]characters!$1:$1,0)+1,FALSE)</f>
        <v>5</v>
      </c>
      <c r="H9" s="56" t="str">
        <f ca="1">VLOOKUP($A9,OFFSET([1]characters!$A$1,0,0,COUNTA([1]characters!$A:$A),MATCH(H$1,[1]characters!$1:$1,0)-MATCH($A$1,[1]characters!$1:$1,0)+1),MATCH(H$1,[1]characters!$1:$1,0)-MATCH($A$1,[1]characters!$1:$1,0)+1,FALSE)</f>
        <v>Drop2N</v>
      </c>
      <c r="I9" s="56" t="str">
        <f ca="1">VLOOKUP($A9,OFFSET([1]characters!$A$1,0,0,COUNTA([1]characters!$A:$A),MATCH(I$1,[1]characters!$1:$1,0)-MATCH($A$1,[1]characters!$1:$1,0)+1),MATCH(I$1,[1]characters!$1:$1,0)-MATCH($A$1,[1]characters!$1:$1,0)+1,FALSE)</f>
        <v>yellow</v>
      </c>
      <c r="J9" s="11">
        <f ca="1">VLOOKUP(I9,[1]属性!$A:$E,2,FALSE)</f>
        <v>0.98</v>
      </c>
      <c r="K9" s="11">
        <f ca="1">VLOOKUP(I9,[1]属性!$A:$E,3,FALSE)</f>
        <v>1.01</v>
      </c>
      <c r="L9" s="11">
        <f ca="1">VLOOKUP(I9,[1]属性!$A:$E,4,FALSE)</f>
        <v>1</v>
      </c>
      <c r="M9" s="11">
        <f ca="1">VLOOKUP(I9,[1]属性!$A:$E,5,FALSE)</f>
        <v>1.01</v>
      </c>
      <c r="N9" s="11">
        <f ca="1">INDEX(コスト!$A$1:$I$20,MATCH(H9,コスト!$A$1:$A$20,FALSE),MATCH(G9,コスト!$A$1:$I$1,FALSE))</f>
        <v>26</v>
      </c>
      <c r="O9" s="11">
        <f ca="1">INDEX(レベル!$A$1:$I$21,MATCH(H9,レベル!$A$1:$A$21,FALSE),MATCH(G9,レベル!$A$1:$I$1,FALSE))</f>
        <v>80</v>
      </c>
      <c r="P9" s="46">
        <f t="shared" ca="1" si="0"/>
        <v>75</v>
      </c>
      <c r="Q9" s="56" t="str">
        <f ca="1">VLOOKUP($A9,OFFSET([1]characters!$A$1,0,0,COUNTA([1]characters!$A:$A),MATCH(Q$1,[1]characters!$1:$1,0)-MATCH($A$1,[1]characters!$1:$1,0)+1),MATCH(Q$1,[1]characters!$1:$1,0)-MATCH($A$1,[1]characters!$1:$1,0)+1,FALSE)</f>
        <v>hp</v>
      </c>
      <c r="R9" s="5" t="str">
        <f ca="1">VLOOKUP(Q9,[1]character_type_i18n!$A:$H,3,FALSE)</f>
        <v>体力タイプ</v>
      </c>
      <c r="S9" s="11">
        <f ca="1">VLOOKUP(Q9,[1]character_type_i18n!$A:$H,4,FALSE)</f>
        <v>1.45</v>
      </c>
      <c r="T9" s="11">
        <f ca="1">VLOOKUP(Q9,[1]character_type_i18n!$A:$H,5,FALSE)</f>
        <v>0.85</v>
      </c>
      <c r="U9" s="11">
        <f ca="1">VLOOKUP(Q9,[1]character_type_i18n!$A:$H,6,FALSE)</f>
        <v>1</v>
      </c>
      <c r="V9" s="11">
        <f ca="1">VLOOKUP(Q9,[1]character_type_i18n!$A:$H,7,FALSE)</f>
        <v>0.7</v>
      </c>
      <c r="W9" s="56" t="str">
        <f ca="1">VLOOKUP($A9,OFFSET([1]characters!$A$1,0,0,COUNTA([1]characters!$A:$A),MATCH(W$1,[1]characters!$1:$1,0)-MATCH($A$1,[1]characters!$1:$1,0)+1),MATCH(W$1,[1]characters!$1:$1,0)-MATCH($A$1,[1]characters!$1:$1,0)+1,FALSE)</f>
        <v>dragon</v>
      </c>
      <c r="X9" s="5" t="str">
        <f ca="1">VLOOKUP(W9,[1]character_tribe_i18n!$A:$H,3,FALSE)</f>
        <v>ドラゴン</v>
      </c>
      <c r="Y9" s="56" t="str">
        <f ca="1">VLOOKUP($A9,OFFSET([1]characters!$A$1,0,0,COUNTA([1]characters!$A:$A),MATCH(Y$1,[1]characters!$1:$1,0)-MATCH($A$1,[1]characters!$1:$1,0)+1),MATCH(Y$1,[1]characters!$1:$1,0)-MATCH($A$1,[1]characters!$1:$1,0)+1,FALSE)</f>
        <v>none</v>
      </c>
      <c r="Z9" s="5" t="str">
        <f ca="1">VLOOKUP(Y9,[1]character_tribe_i18n!$A:$H,3,FALSE)</f>
        <v>種族なし</v>
      </c>
      <c r="AA9" s="11">
        <f ca="1">VLOOKUP(W9,[1]character_tribe_i18n!$A:$H,4,FALSE)</f>
        <v>1.1499999999999999</v>
      </c>
      <c r="AB9" s="11">
        <f ca="1">VLOOKUP(W9,[1]character_tribe_i18n!$A:$H,5,FALSE)</f>
        <v>1.1000000000000001</v>
      </c>
      <c r="AC9" s="11">
        <f ca="1">VLOOKUP(W9,[1]character_tribe_i18n!$A:$H,6,FALSE)</f>
        <v>1</v>
      </c>
      <c r="AD9" s="11">
        <f ca="1">VLOOKUP(W9,[1]character_tribe_i18n!$A:$H,7,FALSE)</f>
        <v>0.75</v>
      </c>
      <c r="AE9" s="9" t="s">
        <v>220</v>
      </c>
      <c r="AF9" s="61" t="str">
        <f ca="1">IF(AE9="NULL","",VLOOKUP($AE9,OFFSET([1]characters!$A$1,0,0,COUNTA([1]characters!$A:$A),MATCH(AF$1,[1]characters!$1:$1,0)-MATCH($A$1,[1]characters!$1:$1,0)+1),MATCH(AF$1,[1]characters!$1:$1,0)-MATCH($A$1,[1]characters!$1:$1,0)+1,FALSE))</f>
        <v/>
      </c>
      <c r="AG9" s="5">
        <f t="shared" ca="1" si="1"/>
        <v>458</v>
      </c>
      <c r="AH9" s="61" t="str">
        <f ca="1">VLOOKUP($AG9,OFFSET([1]characters!$A$1,0,0,COUNTA([1]characters!$A:$A),MATCH(AH$1,[1]characters!$1:$1,0)-MATCH($A$1,[1]characters!$1:$1,0)+1),MATCH(AH$1,[1]characters!$1:$1,0)-MATCH($A$1,[1]characters!$1:$1,0)+1,FALSE)</f>
        <v>嵐龍 スガル</v>
      </c>
      <c r="AI9" s="11" t="str">
        <f>IF(AE9="NULL","NULL",VLOOKUP(G9,ビット!$A$2:$B$7,2))</f>
        <v>NULL</v>
      </c>
      <c r="AJ9" s="6">
        <v>2</v>
      </c>
      <c r="AK9" s="7" t="str">
        <f t="shared" si="2"/>
        <v>普通</v>
      </c>
      <c r="AL9" s="11" t="str">
        <f ca="1">INDEX(経験値!$A$1:$I$20,MATCH(H9,経験値!$A$1:$A$20,FALSE),MATCH(G9,経験値!$A$1:$I$1,FALSE))</f>
        <v>required_exp_200</v>
      </c>
      <c r="AM9" s="8">
        <f ca="1">VLOOKUP(G9,経験値!$A$27:$B$31,2)</f>
        <v>6400</v>
      </c>
      <c r="AN9" s="17">
        <f ca="1">VLOOKUP(G9,ビット!$G$2:$H$7,2)</f>
        <v>900</v>
      </c>
      <c r="AO9" s="43"/>
      <c r="AP9" s="66">
        <v>459</v>
      </c>
      <c r="AQ9" s="56" t="str">
        <f ca="1">VLOOKUP($AP9,OFFSET(unit_skills!$A$1,0,0,COUNTA(unit_skills!$A:$A),MATCH(AQ$1,unit_skills!$1:$1,0)-MATCH($AP$1,unit_skills!$1:$1,0)+1),MATCH(AQ$1,unit_skills!$1:$1,0)-MATCH($AP$1,unit_skills!$1:$1,0)+1,FALSE)</f>
        <v>鼓舞一喝</v>
      </c>
      <c r="AR9" s="56" t="str">
        <f ca="1">VLOOKUP($AP9,OFFSET(unit_skills!$A$1,0,0,COUNTA(unit_skills!$A:$A),MATCH(AR$1,unit_skills!$1:$1,0)-MATCH($AP$1,unit_skills!$1:$1,0)+1),MATCH(AR$1,unit_skills!$1:$1,0)-MATCH($AP$1,unit_skills!$1:$1,0)+1,FALSE)</f>
        <v>3ターンの間Cパネル生成を短縮し、黄属性の攻撃力を特大UP</v>
      </c>
      <c r="AS9" s="56">
        <f ca="1">VLOOKUP($AP9,OFFSET(unit_skills!$A$1,0,0,COUNTA(unit_skills!$A:$A),MATCH(AS$1,unit_skills!$1:$1,0)-MATCH($AP$1,unit_skills!$1:$1,0)+1),MATCH(AS$1,unit_skills!$1:$1,0)-MATCH($AP$1,unit_skills!$1:$1,0)+1,FALSE)</f>
        <v>0</v>
      </c>
      <c r="AT9" s="40">
        <v>459</v>
      </c>
      <c r="AU9" s="56" t="str">
        <f ca="1">VLOOKUP($AT9,OFFSET(crash_skills!$A$1,0,0,COUNTA(crash_skills!$A:$A),MATCH(AU$1,crash_skills!$1:$1,0)-MATCH($AT$1,crash_skills!$1:$1,0)+1),MATCH(AU$1,crash_skills!$1:$1,0)-MATCH($AT$1,crash_skills!$1:$1,0)+1,FALSE)</f>
        <v>神喰の大雷</v>
      </c>
      <c r="AV9" s="56" t="str">
        <f ca="1">VLOOKUP($AT9,OFFSET(crash_skills!$A$1,0,0,COUNTA(crash_skills!$A:$A),MATCH(AV$1,crash_skills!$1:$1,0)-MATCH($AT$1,crash_skills!$1:$1,0)+1),MATCH(AV$1,crash_skills!$1:$1,0)-MATCH($AT$1,crash_skills!$1:$1,0)+1,FALSE)</f>
        <v>1体に小ダメージ_x000D_ゴッドに効果特大</v>
      </c>
      <c r="AW9" s="56">
        <f ca="1">VLOOKUP($AT9,OFFSET(crash_skills!$A$1,0,0,COUNTA(crash_skills!$A:$A),MATCH(AW$1,crash_skills!$1:$1,0)-MATCH($AT$1,crash_skills!$1:$1,0)+1),MATCH(AW$1,crash_skills!$1:$1,0)-MATCH($AT$1,crash_skills!$1:$1,0)+1,FALSE)</f>
        <v>0</v>
      </c>
      <c r="AX9" s="57">
        <f ca="1">VLOOKUP($A9,OFFSET([1]characters!$A$1,0,0,COUNTA([1]characters!$A:$A),MATCH(AX$1,[1]characters!$1:$1,0)-MATCH($A$1,[1]characters!$1:$1,0)+1),MATCH(AX$1,[1]characters!$1:$1,0)-MATCH($A$1,[1]characters!$1:$1,0)+1,FALSE)</f>
        <v>3</v>
      </c>
      <c r="AY9" s="67">
        <v>1</v>
      </c>
      <c r="AZ9" s="67">
        <v>1.1399999999999999</v>
      </c>
      <c r="BA9" s="67">
        <v>0</v>
      </c>
      <c r="BB9" s="67">
        <v>0.8</v>
      </c>
      <c r="BC9" s="11">
        <f ca="1">INDEX('RC6SV'!$A$1:$G$20,MATCH(H9,'RC6SV'!$A$1:$A$20,FALSE),MATCH(G9,'RC6SV'!$A$1:$G$1,FALSE))</f>
        <v>7600</v>
      </c>
      <c r="BD9" s="46">
        <f t="shared" ca="1" si="3"/>
        <v>7600</v>
      </c>
      <c r="BE9" s="11">
        <f t="shared" ca="1" si="4"/>
        <v>5800</v>
      </c>
      <c r="BF9" s="11">
        <f t="shared" ca="1" si="5"/>
        <v>1</v>
      </c>
      <c r="BG9" s="16">
        <f ca="1">IF($BE9&lt;=0,ROUND(BK9*0.5,0), ROUND($BE9*S9*AA9*J9*AY9*0.8*[1]ステータス!$B$2,0))</f>
        <v>3791</v>
      </c>
      <c r="BH9" s="16">
        <f ca="1">IF($BE9&lt;=0,ROUND(BL9*0.5,0), ROUND($BE9*T9*AB9*K9*AZ9*0.8*[1]ステータス!$C$2,0))</f>
        <v>1499</v>
      </c>
      <c r="BI9" s="16">
        <f ca="1">IF($BE9&lt;=0,ROUND(BM9*0.5,0), ROUND($BE9*U9*AC9*L9*BA9*0.8*[1]ステータス!$D$2,0))</f>
        <v>0</v>
      </c>
      <c r="BJ9" s="16">
        <f ca="1">IF($BE9&lt;=0,ROUND(BN9*0.5,0), ROUND($BE9*V9*AD9*M9*BB9*0.8*[1]ステータス!$E$2,0))</f>
        <v>492</v>
      </c>
      <c r="BK9" s="11">
        <f ca="1">ROUND(BD9*S9*AA9*J9*AY9*[1]ステータス!$B$2,0)</f>
        <v>6210</v>
      </c>
      <c r="BL9" s="11">
        <f ca="1">ROUND(BD9*T9*AB9*K9*AZ9*[1]ステータス!$C$2,0)</f>
        <v>2455</v>
      </c>
      <c r="BM9" s="11">
        <f ca="1">ROUND(BD9*U9*AC9*L9*BA9*[1]ステータス!$D$2,0)</f>
        <v>0</v>
      </c>
      <c r="BN9" s="11">
        <f ca="1">ROUND(BD9*V9*AD9*M9*BB9*[1]ステータス!$E$2,0)</f>
        <v>806</v>
      </c>
      <c r="BO9" s="10">
        <v>0</v>
      </c>
      <c r="BP9" s="10">
        <v>1</v>
      </c>
      <c r="BQ9" s="10" t="s">
        <v>73</v>
      </c>
      <c r="BR9" s="10">
        <f ca="1">VLOOKUP(H9,ghosts_label!$A$2:$B$19,2,FALSE)</f>
        <v>1</v>
      </c>
    </row>
    <row r="10" spans="1:70" ht="21" customHeight="1" x14ac:dyDescent="0.15">
      <c r="A10" s="12">
        <v>460</v>
      </c>
      <c r="B10" s="56" t="str">
        <f ca="1">VLOOKUP($A10,OFFSET([1]characters!$A$1,0,0,COUNTA([1]characters!$A:$A),MATCH(B$1,[1]characters!$1:$1,0)-MATCH($A$1,[1]characters!$1:$1,0)+1),MATCH(B$1,[1]characters!$1:$1,0)-MATCH($A$1,[1]characters!$1:$1,0)+1,FALSE)</f>
        <v>オズ</v>
      </c>
      <c r="C10" s="56" t="str">
        <f ca="1">VLOOKUP($A10,OFFSET([1]characters!$A$1,0,0,COUNTA([1]characters!$A:$A),MATCH(C$1,[1]characters!$1:$1,0)-MATCH($A$1,[1]characters!$1:$1,0)+1),MATCH(C$1,[1]characters!$1:$1,0)-MATCH($A$1,[1]characters!$1:$1,0)+1,FALSE)</f>
        <v>イベント:ウィザード</v>
      </c>
      <c r="D10" s="56" t="str">
        <f ca="1">VLOOKUP($A10,OFFSET([1]characters!$A$1,0,0,COUNTA([1]characters!$A:$A),MATCH(D$1,[1]characters!$1:$1,0)-MATCH($A$1,[1]characters!$1:$1,0)+1),MATCH(D$1,[1]characters!$1:$1,0)-MATCH($A$1,[1]characters!$1:$1,0)+1,FALSE)</f>
        <v>執行者</v>
      </c>
      <c r="E10" s="56" t="str">
        <f ca="1">VLOOKUP($A10,OFFSET([1]characters!$A$1,0,0,COUNTA([1]characters!$A:$A),MATCH(E$1,[1]characters!$1:$1,0)-MATCH($A$1,[1]characters!$1:$1,0)+1),MATCH(E$1,[1]characters!$1:$1,0)-MATCH($A$1,[1]characters!$1:$1,0)+1,FALSE)</f>
        <v>格好いい</v>
      </c>
      <c r="F10" s="56" t="str">
        <f ca="1">VLOOKUP($A10,OFFSET([1]characters!$A$1,0,0,COUNTA([1]characters!$A:$A),MATCH(F$1,[1]characters!$1:$1,0)-MATCH($A$1,[1]characters!$1:$1,0)+1),MATCH(F$1,[1]characters!$1:$1,0)-MATCH($A$1,[1]characters!$1:$1,0)+1,FALSE)</f>
        <v>男性</v>
      </c>
      <c r="G10" s="56">
        <f ca="1">VLOOKUP($A10,OFFSET([1]characters!$A$1,0,0,COUNTA([1]characters!$A:$A),MATCH(G$1,[1]characters!$1:$1,0)-MATCH($A$1,[1]characters!$1:$1,0)+1),MATCH(G$1,[1]characters!$1:$1,0)-MATCH($A$1,[1]characters!$1:$1,0)+1,FALSE)</f>
        <v>4</v>
      </c>
      <c r="H10" s="56" t="str">
        <f ca="1">VLOOKUP($A10,OFFSET([1]characters!$A$1,0,0,COUNTA([1]characters!$A:$A),MATCH(H$1,[1]characters!$1:$1,0)-MATCH($A$1,[1]characters!$1:$1,0)+1),MATCH(H$1,[1]characters!$1:$1,0)-MATCH($A$1,[1]characters!$1:$1,0)+1,FALSE)</f>
        <v>DropWizS</v>
      </c>
      <c r="I10" s="56" t="str">
        <f ca="1">VLOOKUP($A10,OFFSET([1]characters!$A$1,0,0,COUNTA([1]characters!$A:$A),MATCH(I$1,[1]characters!$1:$1,0)-MATCH($A$1,[1]characters!$1:$1,0)+1),MATCH(I$1,[1]characters!$1:$1,0)-MATCH($A$1,[1]characters!$1:$1,0)+1,FALSE)</f>
        <v>green</v>
      </c>
      <c r="J10" s="11">
        <f ca="1">VLOOKUP(I10,[1]属性!$A:$E,2,FALSE)</f>
        <v>1.02</v>
      </c>
      <c r="K10" s="11">
        <f ca="1">VLOOKUP(I10,[1]属性!$A:$E,3,FALSE)</f>
        <v>0.98</v>
      </c>
      <c r="L10" s="11">
        <f ca="1">VLOOKUP(I10,[1]属性!$A:$E,4,FALSE)</f>
        <v>1</v>
      </c>
      <c r="M10" s="11">
        <f ca="1">VLOOKUP(I10,[1]属性!$A:$E,5,FALSE)</f>
        <v>1</v>
      </c>
      <c r="N10" s="11">
        <f ca="1">INDEX(コスト!$A$1:$I$20,MATCH(H10,コスト!$A$1:$A$20,FALSE),MATCH(G10,コスト!$A$1:$I$1,FALSE))</f>
        <v>20</v>
      </c>
      <c r="O10" s="11">
        <f ca="1">INDEX(レベル!$A$1:$I$21,MATCH(H10,レベル!$A$1:$A$21,FALSE),MATCH(G10,レベル!$A$1:$I$1,FALSE))</f>
        <v>60</v>
      </c>
      <c r="P10" s="46">
        <f t="shared" ca="1" si="0"/>
        <v>60</v>
      </c>
      <c r="Q10" s="56" t="str">
        <f ca="1">VLOOKUP($A10,OFFSET([1]characters!$A$1,0,0,COUNTA([1]characters!$A:$A),MATCH(Q$1,[1]characters!$1:$1,0)-MATCH($A$1,[1]characters!$1:$1,0)+1),MATCH(Q$1,[1]characters!$1:$1,0)-MATCH($A$1,[1]characters!$1:$1,0)+1,FALSE)</f>
        <v>technical</v>
      </c>
      <c r="R10" s="5" t="str">
        <f ca="1">VLOOKUP(Q10,[1]character_type_i18n!$A:$H,3,FALSE)</f>
        <v>テクニカルタイプ</v>
      </c>
      <c r="S10" s="11">
        <f ca="1">VLOOKUP(Q10,[1]character_type_i18n!$A:$H,4,FALSE)</f>
        <v>0.9</v>
      </c>
      <c r="T10" s="11">
        <f ca="1">VLOOKUP(Q10,[1]character_type_i18n!$A:$H,5,FALSE)</f>
        <v>0.9</v>
      </c>
      <c r="U10" s="11">
        <f ca="1">VLOOKUP(Q10,[1]character_type_i18n!$A:$H,6,FALSE)</f>
        <v>1</v>
      </c>
      <c r="V10" s="11">
        <f ca="1">VLOOKUP(Q10,[1]character_type_i18n!$A:$H,7,FALSE)</f>
        <v>0.9</v>
      </c>
      <c r="W10" s="56" t="str">
        <f ca="1">VLOOKUP($A10,OFFSET([1]characters!$A$1,0,0,COUNTA([1]characters!$A:$A),MATCH(W$1,[1]characters!$1:$1,0)-MATCH($A$1,[1]characters!$1:$1,0)+1),MATCH(W$1,[1]characters!$1:$1,0)-MATCH($A$1,[1]characters!$1:$1,0)+1,FALSE)</f>
        <v>human</v>
      </c>
      <c r="X10" s="5" t="str">
        <f ca="1">VLOOKUP(W10,[1]character_tribe_i18n!$A:$H,3,FALSE)</f>
        <v>ヒューマン</v>
      </c>
      <c r="Y10" s="56" t="str">
        <f ca="1">VLOOKUP($A10,OFFSET([1]characters!$A$1,0,0,COUNTA([1]characters!$A:$A),MATCH(Y$1,[1]characters!$1:$1,0)-MATCH($A$1,[1]characters!$1:$1,0)+1),MATCH(Y$1,[1]characters!$1:$1,0)-MATCH($A$1,[1]characters!$1:$1,0)+1,FALSE)</f>
        <v>none</v>
      </c>
      <c r="Z10" s="5" t="str">
        <f ca="1">VLOOKUP(Y10,[1]character_tribe_i18n!$A:$H,3,FALSE)</f>
        <v>種族なし</v>
      </c>
      <c r="AA10" s="11">
        <f ca="1">VLOOKUP(W10,[1]character_tribe_i18n!$A:$H,4,FALSE)</f>
        <v>0.94</v>
      </c>
      <c r="AB10" s="11">
        <f ca="1">VLOOKUP(W10,[1]character_tribe_i18n!$A:$H,5,FALSE)</f>
        <v>0.99</v>
      </c>
      <c r="AC10" s="11">
        <f ca="1">VLOOKUP(W10,[1]character_tribe_i18n!$A:$H,6,FALSE)</f>
        <v>1</v>
      </c>
      <c r="AD10" s="11">
        <f ca="1">VLOOKUP(W10,[1]character_tribe_i18n!$A:$H,7,FALSE)</f>
        <v>1.07</v>
      </c>
      <c r="AE10" s="9">
        <v>461</v>
      </c>
      <c r="AF10" s="61" t="str">
        <f ca="1">IF(AE10="NULL","",VLOOKUP($AE10,OFFSET([1]characters!$A$1,0,0,COUNTA([1]characters!$A:$A),MATCH(AF$1,[1]characters!$1:$1,0)-MATCH($A$1,[1]characters!$1:$1,0)+1),MATCH(AF$1,[1]characters!$1:$1,0)-MATCH($A$1,[1]characters!$1:$1,0)+1,FALSE))</f>
        <v>大いなる虚像 オズ</v>
      </c>
      <c r="AG10" s="5">
        <f t="shared" ca="1" si="1"/>
        <v>460</v>
      </c>
      <c r="AH10" s="61" t="str">
        <f ca="1">VLOOKUP($AG10,OFFSET([1]characters!$A$1,0,0,COUNTA([1]characters!$A:$A),MATCH(AH$1,[1]characters!$1:$1,0)-MATCH($A$1,[1]characters!$1:$1,0)+1),MATCH(AH$1,[1]characters!$1:$1,0)-MATCH($A$1,[1]characters!$1:$1,0)+1,FALSE)</f>
        <v>オズ</v>
      </c>
      <c r="AI10" s="11">
        <f ca="1">IF(AE10="NULL","NULL",VLOOKUP(G10,ビット!$A$2:$B$7,2))</f>
        <v>50000</v>
      </c>
      <c r="AJ10" s="6">
        <v>2</v>
      </c>
      <c r="AK10" s="7" t="str">
        <f t="shared" si="2"/>
        <v>普通</v>
      </c>
      <c r="AL10" s="11" t="str">
        <f ca="1">INDEX(経験値!$A$1:$I$20,MATCH(H10,経験値!$A$1:$A$20,FALSE),MATCH(G10,経験値!$A$1:$I$1,FALSE))</f>
        <v>required_exp_200</v>
      </c>
      <c r="AM10" s="8">
        <f ca="1">VLOOKUP(G10,経験値!$A$27:$B$31,2)</f>
        <v>3400</v>
      </c>
      <c r="AN10" s="17">
        <f ca="1">VLOOKUP(G10,ビット!$G$2:$H$7,2)</f>
        <v>600</v>
      </c>
      <c r="AO10" s="43"/>
      <c r="AP10" s="66">
        <v>460</v>
      </c>
      <c r="AQ10" s="56" t="str">
        <f ca="1">VLOOKUP($AP10,OFFSET(unit_skills!$A$1,0,0,COUNTA(unit_skills!$A:$A),MATCH(AQ$1,unit_skills!$1:$1,0)-MATCH($AP$1,unit_skills!$1:$1,0)+1),MATCH(AQ$1,unit_skills!$1:$1,0)-MATCH($AP$1,unit_skills!$1:$1,0)+1,FALSE)</f>
        <v>絵空事の取引</v>
      </c>
      <c r="AR10" s="56" t="str">
        <f ca="1">VLOOKUP($AP10,OFFSET(unit_skills!$A$1,0,0,COUNTA(unit_skills!$A:$A),MATCH(AR$1,unit_skills!$1:$1,0)-MATCH($AP$1,unit_skills!$1:$1,0)+1),MATCH(AR$1,unit_skills!$1:$1,0)-MATCH($AP$1,unit_skills!$1:$1,0)+1,FALSE)</f>
        <v>3ターンの間全ユニットの攻撃力と回復力を大UPする+ランダムで4つお邪魔パネルを生成</v>
      </c>
      <c r="AS10" s="56">
        <f ca="1">VLOOKUP($AP10,OFFSET(unit_skills!$A$1,0,0,COUNTA(unit_skills!$A:$A),MATCH(AS$1,unit_skills!$1:$1,0)-MATCH($AP$1,unit_skills!$1:$1,0)+1),MATCH(AS$1,unit_skills!$1:$1,0)-MATCH($AP$1,unit_skills!$1:$1,0)+1,FALSE)</f>
        <v>0</v>
      </c>
      <c r="AT10" s="40">
        <v>460</v>
      </c>
      <c r="AU10" s="56" t="str">
        <f ca="1">VLOOKUP($AT10,OFFSET(crash_skills!$A$1,0,0,COUNTA(crash_skills!$A:$A),MATCH(AU$1,crash_skills!$1:$1,0)-MATCH($AT$1,crash_skills!$1:$1,0)+1),MATCH(AU$1,crash_skills!$1:$1,0)-MATCH($AT$1,crash_skills!$1:$1,0)+1,FALSE)</f>
        <v>ツイントルネード・マジック</v>
      </c>
      <c r="AV10" s="56" t="str">
        <f ca="1">VLOOKUP($AT10,OFFSET(crash_skills!$A$1,0,0,COUNTA(crash_skills!$A:$A),MATCH(AV$1,crash_skills!$1:$1,0)-MATCH($AT$1,crash_skills!$1:$1,0)+1),MATCH(AV$1,crash_skills!$1:$1,0)-MATCH($AT$1,crash_skills!$1:$1,0)+1,FALSE)</f>
        <v>単体に2回中ダメージ</v>
      </c>
      <c r="AW10" s="56">
        <f ca="1">VLOOKUP($AT10,OFFSET(crash_skills!$A$1,0,0,COUNTA(crash_skills!$A:$A),MATCH(AW$1,crash_skills!$1:$1,0)-MATCH($AT$1,crash_skills!$1:$1,0)+1),MATCH(AW$1,crash_skills!$1:$1,0)-MATCH($AT$1,crash_skills!$1:$1,0)+1,FALSE)</f>
        <v>0</v>
      </c>
      <c r="AX10" s="57">
        <f ca="1">VLOOKUP($A10,OFFSET([1]characters!$A$1,0,0,COUNTA([1]characters!$A:$A),MATCH(AX$1,[1]characters!$1:$1,0)-MATCH($A$1,[1]characters!$1:$1,0)+1),MATCH(AX$1,[1]characters!$1:$1,0)-MATCH($A$1,[1]characters!$1:$1,0)+1,FALSE)</f>
        <v>3</v>
      </c>
      <c r="AY10" s="67">
        <v>1.1000000000000001</v>
      </c>
      <c r="AZ10" s="67">
        <v>1.4</v>
      </c>
      <c r="BA10" s="67">
        <v>0</v>
      </c>
      <c r="BB10" s="67">
        <v>1.1000000000000001</v>
      </c>
      <c r="BC10" s="11">
        <f ca="1">INDEX('RC6SV'!$A$1:$G$20,MATCH(H10,'RC6SV'!$A$1:$A$20,FALSE),MATCH(G10,'RC6SV'!$A$1:$G$1,FALSE))</f>
        <v>7000</v>
      </c>
      <c r="BD10" s="46">
        <f t="shared" ca="1" si="3"/>
        <v>7000</v>
      </c>
      <c r="BE10" s="11">
        <f t="shared" ca="1" si="4"/>
        <v>0</v>
      </c>
      <c r="BF10" s="11">
        <f t="shared" ca="1" si="5"/>
        <v>1</v>
      </c>
      <c r="BG10" s="16">
        <f ca="1">IF($BE10&lt;=0,ROUND(BK10*0.5,0), ROUND($BE10*S10*AA10*J10*AY10*0.8*[1]ステータス!$B$2,0))</f>
        <v>1661</v>
      </c>
      <c r="BH10" s="16">
        <f ca="1">IF($BE10&lt;=0,ROUND(BL10*0.5,0), ROUND($BE10*T10*AB10*K10*AZ10*0.8*[1]ステータス!$C$2,0))</f>
        <v>1284</v>
      </c>
      <c r="BI10" s="16">
        <f ca="1">IF($BE10&lt;=0,ROUND(BM10*0.5,0), ROUND($BE10*U10*AC10*L10*BA10*0.8*[1]ステータス!$D$2,0))</f>
        <v>0</v>
      </c>
      <c r="BJ10" s="16">
        <f ca="1">IF($BE10&lt;=0,ROUND(BN10*0.5,0), ROUND($BE10*V10*AD10*M10*BB10*0.8*[1]ステータス!$E$2,0))</f>
        <v>927</v>
      </c>
      <c r="BK10" s="11">
        <f ca="1">ROUND(BD10*S10*AA10*J10*AY10*[1]ステータス!$B$2,0)</f>
        <v>3322</v>
      </c>
      <c r="BL10" s="11">
        <f ca="1">ROUND(BD10*T10*AB10*K10*AZ10*[1]ステータス!$C$2,0)</f>
        <v>2567</v>
      </c>
      <c r="BM10" s="11">
        <f ca="1">ROUND(BD10*U10*AC10*L10*BA10*[1]ステータス!$D$2,0)</f>
        <v>0</v>
      </c>
      <c r="BN10" s="11">
        <f ca="1">ROUND(BD10*V10*AD10*M10*BB10*[1]ステータス!$E$2,0)</f>
        <v>1854</v>
      </c>
      <c r="BO10" s="10">
        <v>0</v>
      </c>
      <c r="BP10" s="10">
        <v>1</v>
      </c>
      <c r="BQ10" s="10" t="s">
        <v>73</v>
      </c>
      <c r="BR10" s="10">
        <f ca="1">VLOOKUP(H10,ghosts_label!$A$2:$B$19,2,FALSE)</f>
        <v>1</v>
      </c>
    </row>
    <row r="11" spans="1:70" ht="21" customHeight="1" x14ac:dyDescent="0.15">
      <c r="A11" s="12">
        <v>461</v>
      </c>
      <c r="B11" s="56" t="str">
        <f ca="1">VLOOKUP($A11,OFFSET([1]characters!$A$1,0,0,COUNTA([1]characters!$A:$A),MATCH(B$1,[1]characters!$1:$1,0)-MATCH($A$1,[1]characters!$1:$1,0)+1),MATCH(B$1,[1]characters!$1:$1,0)-MATCH($A$1,[1]characters!$1:$1,0)+1,FALSE)</f>
        <v>大いなる虚像 オズ</v>
      </c>
      <c r="C11" s="56" t="str">
        <f ca="1">VLOOKUP($A11,OFFSET([1]characters!$A$1,0,0,COUNTA([1]characters!$A:$A),MATCH(C$1,[1]characters!$1:$1,0)-MATCH($A$1,[1]characters!$1:$1,0)+1),MATCH(C$1,[1]characters!$1:$1,0)-MATCH($A$1,[1]characters!$1:$1,0)+1,FALSE)</f>
        <v>イベント:ウィザード</v>
      </c>
      <c r="D11" s="56" t="str">
        <f ca="1">VLOOKUP($A11,OFFSET([1]characters!$A$1,0,0,COUNTA([1]characters!$A:$A),MATCH(D$1,[1]characters!$1:$1,0)-MATCH($A$1,[1]characters!$1:$1,0)+1),MATCH(D$1,[1]characters!$1:$1,0)-MATCH($A$1,[1]characters!$1:$1,0)+1,FALSE)</f>
        <v>執行者</v>
      </c>
      <c r="E11" s="56" t="str">
        <f ca="1">VLOOKUP($A11,OFFSET([1]characters!$A$1,0,0,COUNTA([1]characters!$A:$A),MATCH(E$1,[1]characters!$1:$1,0)-MATCH($A$1,[1]characters!$1:$1,0)+1),MATCH(E$1,[1]characters!$1:$1,0)-MATCH($A$1,[1]characters!$1:$1,0)+1,FALSE)</f>
        <v>格好いい</v>
      </c>
      <c r="F11" s="56" t="str">
        <f ca="1">VLOOKUP($A11,OFFSET([1]characters!$A$1,0,0,COUNTA([1]characters!$A:$A),MATCH(F$1,[1]characters!$1:$1,0)-MATCH($A$1,[1]characters!$1:$1,0)+1),MATCH(F$1,[1]characters!$1:$1,0)-MATCH($A$1,[1]characters!$1:$1,0)+1,FALSE)</f>
        <v>男性</v>
      </c>
      <c r="G11" s="56">
        <f ca="1">VLOOKUP($A11,OFFSET([1]characters!$A$1,0,0,COUNTA([1]characters!$A:$A),MATCH(G$1,[1]characters!$1:$1,0)-MATCH($A$1,[1]characters!$1:$1,0)+1),MATCH(G$1,[1]characters!$1:$1,0)-MATCH($A$1,[1]characters!$1:$1,0)+1,FALSE)</f>
        <v>5</v>
      </c>
      <c r="H11" s="56" t="str">
        <f ca="1">VLOOKUP($A11,OFFSET([1]characters!$A$1,0,0,COUNTA([1]characters!$A:$A),MATCH(H$1,[1]characters!$1:$1,0)-MATCH($A$1,[1]characters!$1:$1,0)+1),MATCH(H$1,[1]characters!$1:$1,0)-MATCH($A$1,[1]characters!$1:$1,0)+1,FALSE)</f>
        <v>DropWizS</v>
      </c>
      <c r="I11" s="56" t="str">
        <f ca="1">VLOOKUP($A11,OFFSET([1]characters!$A$1,0,0,COUNTA([1]characters!$A:$A),MATCH(I$1,[1]characters!$1:$1,0)-MATCH($A$1,[1]characters!$1:$1,0)+1),MATCH(I$1,[1]characters!$1:$1,0)-MATCH($A$1,[1]characters!$1:$1,0)+1,FALSE)</f>
        <v>green</v>
      </c>
      <c r="J11" s="11">
        <f ca="1">VLOOKUP(I11,[1]属性!$A:$E,2,FALSE)</f>
        <v>1.02</v>
      </c>
      <c r="K11" s="11">
        <f ca="1">VLOOKUP(I11,[1]属性!$A:$E,3,FALSE)</f>
        <v>0.98</v>
      </c>
      <c r="L11" s="11">
        <f ca="1">VLOOKUP(I11,[1]属性!$A:$E,4,FALSE)</f>
        <v>1</v>
      </c>
      <c r="M11" s="11">
        <f ca="1">VLOOKUP(I11,[1]属性!$A:$E,5,FALSE)</f>
        <v>1</v>
      </c>
      <c r="N11" s="11">
        <f ca="1">INDEX(コスト!$A$1:$I$20,MATCH(H11,コスト!$A$1:$A$20,FALSE),MATCH(G11,コスト!$A$1:$I$1,FALSE))</f>
        <v>30</v>
      </c>
      <c r="O11" s="11">
        <f ca="1">INDEX(レベル!$A$1:$I$21,MATCH(H11,レベル!$A$1:$A$21,FALSE),MATCH(G11,レベル!$A$1:$I$1,FALSE))</f>
        <v>80</v>
      </c>
      <c r="P11" s="46">
        <f t="shared" ca="1" si="0"/>
        <v>75</v>
      </c>
      <c r="Q11" s="56" t="str">
        <f ca="1">VLOOKUP($A11,OFFSET([1]characters!$A$1,0,0,COUNTA([1]characters!$A:$A),MATCH(Q$1,[1]characters!$1:$1,0)-MATCH($A$1,[1]characters!$1:$1,0)+1),MATCH(Q$1,[1]characters!$1:$1,0)-MATCH($A$1,[1]characters!$1:$1,0)+1,FALSE)</f>
        <v>technical</v>
      </c>
      <c r="R11" s="5" t="str">
        <f ca="1">VLOOKUP(Q11,[1]character_type_i18n!$A:$H,3,FALSE)</f>
        <v>テクニカルタイプ</v>
      </c>
      <c r="S11" s="11">
        <f ca="1">VLOOKUP(Q11,[1]character_type_i18n!$A:$H,4,FALSE)</f>
        <v>0.9</v>
      </c>
      <c r="T11" s="11">
        <f ca="1">VLOOKUP(Q11,[1]character_type_i18n!$A:$H,5,FALSE)</f>
        <v>0.9</v>
      </c>
      <c r="U11" s="11">
        <f ca="1">VLOOKUP(Q11,[1]character_type_i18n!$A:$H,6,FALSE)</f>
        <v>1</v>
      </c>
      <c r="V11" s="11">
        <f ca="1">VLOOKUP(Q11,[1]character_type_i18n!$A:$H,7,FALSE)</f>
        <v>0.9</v>
      </c>
      <c r="W11" s="56" t="str">
        <f ca="1">VLOOKUP($A11,OFFSET([1]characters!$A$1,0,0,COUNTA([1]characters!$A:$A),MATCH(W$1,[1]characters!$1:$1,0)-MATCH($A$1,[1]characters!$1:$1,0)+1),MATCH(W$1,[1]characters!$1:$1,0)-MATCH($A$1,[1]characters!$1:$1,0)+1,FALSE)</f>
        <v>human</v>
      </c>
      <c r="X11" s="5" t="str">
        <f ca="1">VLOOKUP(W11,[1]character_tribe_i18n!$A:$H,3,FALSE)</f>
        <v>ヒューマン</v>
      </c>
      <c r="Y11" s="56" t="str">
        <f ca="1">VLOOKUP($A11,OFFSET([1]characters!$A$1,0,0,COUNTA([1]characters!$A:$A),MATCH(Y$1,[1]characters!$1:$1,0)-MATCH($A$1,[1]characters!$1:$1,0)+1),MATCH(Y$1,[1]characters!$1:$1,0)-MATCH($A$1,[1]characters!$1:$1,0)+1,FALSE)</f>
        <v>none</v>
      </c>
      <c r="Z11" s="5" t="str">
        <f ca="1">VLOOKUP(Y11,[1]character_tribe_i18n!$A:$H,3,FALSE)</f>
        <v>種族なし</v>
      </c>
      <c r="AA11" s="11">
        <f ca="1">VLOOKUP(W11,[1]character_tribe_i18n!$A:$H,4,FALSE)</f>
        <v>0.94</v>
      </c>
      <c r="AB11" s="11">
        <f ca="1">VLOOKUP(W11,[1]character_tribe_i18n!$A:$H,5,FALSE)</f>
        <v>0.99</v>
      </c>
      <c r="AC11" s="11">
        <f ca="1">VLOOKUP(W11,[1]character_tribe_i18n!$A:$H,6,FALSE)</f>
        <v>1</v>
      </c>
      <c r="AD11" s="11">
        <f ca="1">VLOOKUP(W11,[1]character_tribe_i18n!$A:$H,7,FALSE)</f>
        <v>1.07</v>
      </c>
      <c r="AE11" s="9">
        <v>818</v>
      </c>
      <c r="AF11" s="61" t="str">
        <f ca="1">IF(AE11="NULL","",VLOOKUP($AE11,OFFSET([1]characters!$A$1,0,0,COUNTA([1]characters!$A:$A),MATCH(AF$1,[1]characters!$1:$1,0)-MATCH($A$1,[1]characters!$1:$1,0)+1),MATCH(AF$1,[1]characters!$1:$1,0)-MATCH($A$1,[1]characters!$1:$1,0)+1,FALSE))</f>
        <v>虚空を飾る大輪 オズ</v>
      </c>
      <c r="AG11" s="5">
        <f t="shared" ca="1" si="1"/>
        <v>460</v>
      </c>
      <c r="AH11" s="61" t="str">
        <f ca="1">VLOOKUP($AG11,OFFSET([1]characters!$A$1,0,0,COUNTA([1]characters!$A:$A),MATCH(AH$1,[1]characters!$1:$1,0)-MATCH($A$1,[1]characters!$1:$1,0)+1),MATCH(AH$1,[1]characters!$1:$1,0)-MATCH($A$1,[1]characters!$1:$1,0)+1,FALSE)</f>
        <v>オズ</v>
      </c>
      <c r="AI11" s="11">
        <f ca="1">IF(AE11="NULL","NULL",VLOOKUP(G11,ビット!$A$2:$B$7,2))</f>
        <v>200000</v>
      </c>
      <c r="AJ11" s="6">
        <v>2</v>
      </c>
      <c r="AK11" s="7" t="str">
        <f t="shared" si="2"/>
        <v>普通</v>
      </c>
      <c r="AL11" s="11" t="str">
        <f ca="1">INDEX(経験値!$A$1:$I$20,MATCH(H11,経験値!$A$1:$A$20,FALSE),MATCH(G11,経験値!$A$1:$I$1,FALSE))</f>
        <v>required_exp_200</v>
      </c>
      <c r="AM11" s="8">
        <f ca="1">VLOOKUP(G11,経験値!$A$27:$B$31,2)</f>
        <v>6400</v>
      </c>
      <c r="AN11" s="17">
        <f ca="1">VLOOKUP(G11,ビット!$G$2:$H$7,2)</f>
        <v>900</v>
      </c>
      <c r="AO11" s="43"/>
      <c r="AP11" s="66">
        <v>461</v>
      </c>
      <c r="AQ11" s="56" t="str">
        <f ca="1">VLOOKUP($AP11,OFFSET(unit_skills!$A$1,0,0,COUNTA(unit_skills!$A:$A),MATCH(AQ$1,unit_skills!$1:$1,0)-MATCH($AP$1,unit_skills!$1:$1,0)+1),MATCH(AQ$1,unit_skills!$1:$1,0)-MATCH($AP$1,unit_skills!$1:$1,0)+1,FALSE)</f>
        <v>空理空論の取引</v>
      </c>
      <c r="AR11" s="56" t="str">
        <f ca="1">VLOOKUP($AP11,OFFSET(unit_skills!$A$1,0,0,COUNTA(unit_skills!$A:$A),MATCH(AR$1,unit_skills!$1:$1,0)-MATCH($AP$1,unit_skills!$1:$1,0)+1),MATCH(AR$1,unit_skills!$1:$1,0)-MATCH($AP$1,unit_skills!$1:$1,0)+1,FALSE)</f>
        <v>3ターンの間全ユニットの攻撃力と回復力を特大UPする+ランダムで4つお邪魔パネルを生成</v>
      </c>
      <c r="AS11" s="56">
        <f ca="1">VLOOKUP($AP11,OFFSET(unit_skills!$A$1,0,0,COUNTA(unit_skills!$A:$A),MATCH(AS$1,unit_skills!$1:$1,0)-MATCH($AP$1,unit_skills!$1:$1,0)+1),MATCH(AS$1,unit_skills!$1:$1,0)-MATCH($AP$1,unit_skills!$1:$1,0)+1,FALSE)</f>
        <v>0</v>
      </c>
      <c r="AT11" s="40">
        <v>461</v>
      </c>
      <c r="AU11" s="56" t="str">
        <f ca="1">VLOOKUP($AT11,OFFSET(crash_skills!$A$1,0,0,COUNTA(crash_skills!$A:$A),MATCH(AU$1,crash_skills!$1:$1,0)-MATCH($AT$1,crash_skills!$1:$1,0)+1),MATCH(AU$1,crash_skills!$1:$1,0)-MATCH($AT$1,crash_skills!$1:$1,0)+1,FALSE)</f>
        <v>ツイントルネード・マジック</v>
      </c>
      <c r="AV11" s="56" t="str">
        <f ca="1">VLOOKUP($AT11,OFFSET(crash_skills!$A$1,0,0,COUNTA(crash_skills!$A:$A),MATCH(AV$1,crash_skills!$1:$1,0)-MATCH($AT$1,crash_skills!$1:$1,0)+1),MATCH(AV$1,crash_skills!$1:$1,0)-MATCH($AT$1,crash_skills!$1:$1,0)+1,FALSE)</f>
        <v>単体に2回中ダメージ</v>
      </c>
      <c r="AW11" s="56">
        <f ca="1">VLOOKUP($AT11,OFFSET(crash_skills!$A$1,0,0,COUNTA(crash_skills!$A:$A),MATCH(AW$1,crash_skills!$1:$1,0)-MATCH($AT$1,crash_skills!$1:$1,0)+1),MATCH(AW$1,crash_skills!$1:$1,0)-MATCH($AT$1,crash_skills!$1:$1,0)+1,FALSE)</f>
        <v>0</v>
      </c>
      <c r="AX11" s="57">
        <f ca="1">VLOOKUP($A11,OFFSET([1]characters!$A$1,0,0,COUNTA([1]characters!$A:$A),MATCH(AX$1,[1]characters!$1:$1,0)-MATCH($A$1,[1]characters!$1:$1,0)+1),MATCH(AX$1,[1]characters!$1:$1,0)-MATCH($A$1,[1]characters!$1:$1,0)+1,FALSE)</f>
        <v>3</v>
      </c>
      <c r="AY11" s="67">
        <v>1.1000000000000001</v>
      </c>
      <c r="AZ11" s="67">
        <v>1.4</v>
      </c>
      <c r="BA11" s="67">
        <v>0</v>
      </c>
      <c r="BB11" s="67">
        <v>1.1000000000000001</v>
      </c>
      <c r="BC11" s="11">
        <f ca="1">INDEX('RC6SV'!$A$1:$G$20,MATCH(H11,'RC6SV'!$A$1:$A$20,FALSE),MATCH(G11,'RC6SV'!$A$1:$G$1,FALSE))</f>
        <v>9000</v>
      </c>
      <c r="BD11" s="46">
        <f t="shared" ca="1" si="3"/>
        <v>9000</v>
      </c>
      <c r="BE11" s="11">
        <f t="shared" ca="1" si="4"/>
        <v>7000</v>
      </c>
      <c r="BF11" s="11">
        <f t="shared" ca="1" si="5"/>
        <v>1</v>
      </c>
      <c r="BG11" s="16">
        <f ca="1">IF($BE11&lt;=0,ROUND(BK11*0.5,0), ROUND($BE11*S11*AA11*J11*AY11*0.8*[1]ステータス!$B$2,0))</f>
        <v>2658</v>
      </c>
      <c r="BH11" s="16">
        <f ca="1">IF($BE11&lt;=0,ROUND(BL11*0.5,0), ROUND($BE11*T11*AB11*K11*AZ11*0.8*[1]ステータス!$C$2,0))</f>
        <v>2054</v>
      </c>
      <c r="BI11" s="16">
        <f ca="1">IF($BE11&lt;=0,ROUND(BM11*0.5,0), ROUND($BE11*U11*AC11*L11*BA11*0.8*[1]ステータス!$D$2,0))</f>
        <v>0</v>
      </c>
      <c r="BJ11" s="16">
        <f ca="1">IF($BE11&lt;=0,ROUND(BN11*0.5,0), ROUND($BE11*V11*AD11*M11*BB11*0.8*[1]ステータス!$E$2,0))</f>
        <v>1483</v>
      </c>
      <c r="BK11" s="11">
        <f ca="1">ROUND(BD11*S11*AA11*J11*AY11*[1]ステータス!$B$2,0)</f>
        <v>4271</v>
      </c>
      <c r="BL11" s="11">
        <f ca="1">ROUND(BD11*T11*AB11*K11*AZ11*[1]ステータス!$C$2,0)</f>
        <v>3301</v>
      </c>
      <c r="BM11" s="11">
        <f ca="1">ROUND(BD11*U11*AC11*L11*BA11*[1]ステータス!$D$2,0)</f>
        <v>0</v>
      </c>
      <c r="BN11" s="11">
        <f ca="1">ROUND(BD11*V11*AD11*M11*BB11*[1]ステータス!$E$2,0)</f>
        <v>2383</v>
      </c>
      <c r="BO11" s="10">
        <v>0</v>
      </c>
      <c r="BP11" s="10">
        <v>1</v>
      </c>
      <c r="BQ11" s="10" t="s">
        <v>73</v>
      </c>
      <c r="BR11" s="10">
        <f ca="1">VLOOKUP(H11,ghosts_label!$A$2:$B$19,2,FALSE)</f>
        <v>1</v>
      </c>
    </row>
    <row r="12" spans="1:70" ht="21" customHeight="1" x14ac:dyDescent="0.15">
      <c r="A12" s="12">
        <v>472</v>
      </c>
      <c r="B12" s="56" t="str">
        <f ca="1">VLOOKUP($A12,OFFSET([1]characters!$A$1,0,0,COUNTA([1]characters!$A:$A),MATCH(B$1,[1]characters!$1:$1,0)-MATCH($A$1,[1]characters!$1:$1,0)+1),MATCH(B$1,[1]characters!$1:$1,0)-MATCH($A$1,[1]characters!$1:$1,0)+1,FALSE)</f>
        <v>アーサー</v>
      </c>
      <c r="C12" s="56" t="str">
        <f ca="1">VLOOKUP($A12,OFFSET([1]characters!$A$1,0,0,COUNTA([1]characters!$A:$A),MATCH(C$1,[1]characters!$1:$1,0)-MATCH($A$1,[1]characters!$1:$1,0)+1),MATCH(C$1,[1]characters!$1:$1,0)-MATCH($A$1,[1]characters!$1:$1,0)+1,FALSE)</f>
        <v>イベント:ウィザード</v>
      </c>
      <c r="D12" s="56" t="str">
        <f ca="1">VLOOKUP($A12,OFFSET([1]characters!$A$1,0,0,COUNTA([1]characters!$A:$A),MATCH(D$1,[1]characters!$1:$1,0)-MATCH($A$1,[1]characters!$1:$1,0)+1),MATCH(D$1,[1]characters!$1:$1,0)-MATCH($A$1,[1]characters!$1:$1,0)+1,FALSE)</f>
        <v>執行者</v>
      </c>
      <c r="E12" s="56" t="str">
        <f ca="1">VLOOKUP($A12,OFFSET([1]characters!$A$1,0,0,COUNTA([1]characters!$A:$A),MATCH(E$1,[1]characters!$1:$1,0)-MATCH($A$1,[1]characters!$1:$1,0)+1),MATCH(E$1,[1]characters!$1:$1,0)-MATCH($A$1,[1]characters!$1:$1,0)+1,FALSE)</f>
        <v>格好いい</v>
      </c>
      <c r="F12" s="56" t="str">
        <f ca="1">VLOOKUP($A12,OFFSET([1]characters!$A$1,0,0,COUNTA([1]characters!$A:$A),MATCH(F$1,[1]characters!$1:$1,0)-MATCH($A$1,[1]characters!$1:$1,0)+1),MATCH(F$1,[1]characters!$1:$1,0)-MATCH($A$1,[1]characters!$1:$1,0)+1,FALSE)</f>
        <v>男性</v>
      </c>
      <c r="G12" s="56">
        <f ca="1">VLOOKUP($A12,OFFSET([1]characters!$A$1,0,0,COUNTA([1]characters!$A:$A),MATCH(G$1,[1]characters!$1:$1,0)-MATCH($A$1,[1]characters!$1:$1,0)+1),MATCH(G$1,[1]characters!$1:$1,0)-MATCH($A$1,[1]characters!$1:$1,0)+1,FALSE)</f>
        <v>4</v>
      </c>
      <c r="H12" s="56" t="str">
        <f ca="1">VLOOKUP($A12,OFFSET([1]characters!$A$1,0,0,COUNTA([1]characters!$A:$A),MATCH(H$1,[1]characters!$1:$1,0)-MATCH($A$1,[1]characters!$1:$1,0)+1),MATCH(H$1,[1]characters!$1:$1,0)-MATCH($A$1,[1]characters!$1:$1,0)+1,FALSE)</f>
        <v>DropWizS</v>
      </c>
      <c r="I12" s="56" t="str">
        <f ca="1">VLOOKUP($A12,OFFSET([1]characters!$A$1,0,0,COUNTA([1]characters!$A:$A),MATCH(I$1,[1]characters!$1:$1,0)-MATCH($A$1,[1]characters!$1:$1,0)+1),MATCH(I$1,[1]characters!$1:$1,0)-MATCH($A$1,[1]characters!$1:$1,0)+1,FALSE)</f>
        <v>red</v>
      </c>
      <c r="J12" s="11">
        <f ca="1">VLOOKUP(I12,[1]属性!$A:$E,2,FALSE)</f>
        <v>1</v>
      </c>
      <c r="K12" s="11">
        <f ca="1">VLOOKUP(I12,[1]属性!$A:$E,3,FALSE)</f>
        <v>1.02</v>
      </c>
      <c r="L12" s="11">
        <f ca="1">VLOOKUP(I12,[1]属性!$A:$E,4,FALSE)</f>
        <v>1</v>
      </c>
      <c r="M12" s="11">
        <f ca="1">VLOOKUP(I12,[1]属性!$A:$E,5,FALSE)</f>
        <v>0.98</v>
      </c>
      <c r="N12" s="11">
        <f ca="1">INDEX(コスト!$A$1:$I$20,MATCH(H12,コスト!$A$1:$A$20,FALSE),MATCH(G12,コスト!$A$1:$I$1,FALSE))</f>
        <v>20</v>
      </c>
      <c r="O12" s="11">
        <f ca="1">INDEX(レベル!$A$1:$I$21,MATCH(H12,レベル!$A$1:$A$21,FALSE),MATCH(G12,レベル!$A$1:$I$1,FALSE))</f>
        <v>60</v>
      </c>
      <c r="P12" s="46">
        <f t="shared" ca="1" si="0"/>
        <v>60</v>
      </c>
      <c r="Q12" s="56" t="str">
        <f ca="1">VLOOKUP($A12,OFFSET([1]characters!$A$1,0,0,COUNTA([1]characters!$A:$A),MATCH(Q$1,[1]characters!$1:$1,0)-MATCH($A$1,[1]characters!$1:$1,0)+1),MATCH(Q$1,[1]characters!$1:$1,0)-MATCH($A$1,[1]characters!$1:$1,0)+1,FALSE)</f>
        <v>balance</v>
      </c>
      <c r="R12" s="5" t="str">
        <f ca="1">VLOOKUP(Q12,[1]character_type_i18n!$A:$H,3,FALSE)</f>
        <v>バランスタイプ</v>
      </c>
      <c r="S12" s="11">
        <f ca="1">VLOOKUP(Q12,[1]character_type_i18n!$A:$H,4,FALSE)</f>
        <v>1</v>
      </c>
      <c r="T12" s="11">
        <f ca="1">VLOOKUP(Q12,[1]character_type_i18n!$A:$H,5,FALSE)</f>
        <v>1</v>
      </c>
      <c r="U12" s="11">
        <f ca="1">VLOOKUP(Q12,[1]character_type_i18n!$A:$H,6,FALSE)</f>
        <v>1</v>
      </c>
      <c r="V12" s="11">
        <f ca="1">VLOOKUP(Q12,[1]character_type_i18n!$A:$H,7,FALSE)</f>
        <v>1</v>
      </c>
      <c r="W12" s="56" t="str">
        <f ca="1">VLOOKUP($A12,OFFSET([1]characters!$A$1,0,0,COUNTA([1]characters!$A:$A),MATCH(W$1,[1]characters!$1:$1,0)-MATCH($A$1,[1]characters!$1:$1,0)+1),MATCH(W$1,[1]characters!$1:$1,0)-MATCH($A$1,[1]characters!$1:$1,0)+1,FALSE)</f>
        <v>human</v>
      </c>
      <c r="X12" s="5" t="str">
        <f ca="1">VLOOKUP(W12,[1]character_tribe_i18n!$A:$H,3,FALSE)</f>
        <v>ヒューマン</v>
      </c>
      <c r="Y12" s="56" t="str">
        <f ca="1">VLOOKUP($A12,OFFSET([1]characters!$A$1,0,0,COUNTA([1]characters!$A:$A),MATCH(Y$1,[1]characters!$1:$1,0)-MATCH($A$1,[1]characters!$1:$1,0)+1),MATCH(Y$1,[1]characters!$1:$1,0)-MATCH($A$1,[1]characters!$1:$1,0)+1,FALSE)</f>
        <v>none</v>
      </c>
      <c r="Z12" s="5" t="str">
        <f ca="1">VLOOKUP(Y12,[1]character_tribe_i18n!$A:$H,3,FALSE)</f>
        <v>種族なし</v>
      </c>
      <c r="AA12" s="11">
        <f ca="1">VLOOKUP(W12,[1]character_tribe_i18n!$A:$H,4,FALSE)</f>
        <v>0.94</v>
      </c>
      <c r="AB12" s="11">
        <f ca="1">VLOOKUP(W12,[1]character_tribe_i18n!$A:$H,5,FALSE)</f>
        <v>0.99</v>
      </c>
      <c r="AC12" s="11">
        <f ca="1">VLOOKUP(W12,[1]character_tribe_i18n!$A:$H,6,FALSE)</f>
        <v>1</v>
      </c>
      <c r="AD12" s="11">
        <f ca="1">VLOOKUP(W12,[1]character_tribe_i18n!$A:$H,7,FALSE)</f>
        <v>1.07</v>
      </c>
      <c r="AE12" s="9">
        <v>473</v>
      </c>
      <c r="AF12" s="61" t="str">
        <f ca="1">IF(AE12="NULL","",VLOOKUP($AE12,OFFSET([1]characters!$A$1,0,0,COUNTA([1]characters!$A:$A),MATCH(AF$1,[1]characters!$1:$1,0)-MATCH($A$1,[1]characters!$1:$1,0)+1),MATCH(AF$1,[1]characters!$1:$1,0)-MATCH($A$1,[1]characters!$1:$1,0)+1,FALSE))</f>
        <v>凶堅なる正義 アーサー</v>
      </c>
      <c r="AG12" s="5">
        <f t="shared" ca="1" si="1"/>
        <v>472</v>
      </c>
      <c r="AH12" s="61" t="str">
        <f ca="1">VLOOKUP($AG12,OFFSET([1]characters!$A$1,0,0,COUNTA([1]characters!$A:$A),MATCH(AH$1,[1]characters!$1:$1,0)-MATCH($A$1,[1]characters!$1:$1,0)+1),MATCH(AH$1,[1]characters!$1:$1,0)-MATCH($A$1,[1]characters!$1:$1,0)+1,FALSE)</f>
        <v>アーサー</v>
      </c>
      <c r="AI12" s="11">
        <f ca="1">IF(AE12="NULL","NULL",VLOOKUP(G12,ビット!$A$2:$B$7,2))</f>
        <v>50000</v>
      </c>
      <c r="AJ12" s="6">
        <v>2</v>
      </c>
      <c r="AK12" s="7" t="str">
        <f t="shared" si="2"/>
        <v>普通</v>
      </c>
      <c r="AL12" s="11" t="str">
        <f ca="1">INDEX(経験値!$A$1:$I$20,MATCH(H12,経験値!$A$1:$A$20,FALSE),MATCH(G12,経験値!$A$1:$I$1,FALSE))</f>
        <v>required_exp_200</v>
      </c>
      <c r="AM12" s="8">
        <f ca="1">VLOOKUP(G12,経験値!$A$27:$B$31,2)</f>
        <v>3400</v>
      </c>
      <c r="AN12" s="17">
        <f ca="1">VLOOKUP(G12,ビット!$G$2:$H$7,2)</f>
        <v>600</v>
      </c>
      <c r="AO12" s="43"/>
      <c r="AP12" s="66">
        <v>472</v>
      </c>
      <c r="AQ12" s="56" t="str">
        <f ca="1">VLOOKUP($AP12,OFFSET(unit_skills!$A$1,0,0,COUNTA(unit_skills!$A:$A),MATCH(AQ$1,unit_skills!$1:$1,0)-MATCH($AP$1,unit_skills!$1:$1,0)+1),MATCH(AQ$1,unit_skills!$1:$1,0)-MATCH($AP$1,unit_skills!$1:$1,0)+1,FALSE)</f>
        <v>紅蓮聖剣エクスカリバー</v>
      </c>
      <c r="AR12" s="56" t="str">
        <f ca="1">VLOOKUP($AP12,OFFSET(unit_skills!$A$1,0,0,COUNTA(unit_skills!$A:$A),MATCH(AR$1,unit_skills!$1:$1,0)-MATCH($AP$1,unit_skills!$1:$1,0)+1),MATCH(AR$1,unit_skills!$1:$1,0)-MATCH($AP$1,unit_skills!$1:$1,0)+1,FALSE)</f>
        <v>緑パネルを赤パネルに変換+Cパネルを除く、青パネルを破壊して全体にダメージ+1ターンCパネル生成短縮</v>
      </c>
      <c r="AS12" s="56">
        <f ca="1">VLOOKUP($AP12,OFFSET(unit_skills!$A$1,0,0,COUNTA(unit_skills!$A:$A),MATCH(AS$1,unit_skills!$1:$1,0)-MATCH($AP$1,unit_skills!$1:$1,0)+1),MATCH(AS$1,unit_skills!$1:$1,0)-MATCH($AP$1,unit_skills!$1:$1,0)+1,FALSE)</f>
        <v>0</v>
      </c>
      <c r="AT12" s="40">
        <v>472</v>
      </c>
      <c r="AU12" s="56" t="str">
        <f ca="1">VLOOKUP($AT12,OFFSET(crash_skills!$A$1,0,0,COUNTA(crash_skills!$A:$A),MATCH(AU$1,crash_skills!$1:$1,0)-MATCH($AT$1,crash_skills!$1:$1,0)+1),MATCH(AU$1,crash_skills!$1:$1,0)-MATCH($AT$1,crash_skills!$1:$1,0)+1,FALSE)</f>
        <v>紅蓮の正義</v>
      </c>
      <c r="AV12" s="56" t="str">
        <f ca="1">VLOOKUP($AT12,OFFSET(crash_skills!$A$1,0,0,COUNTA(crash_skills!$A:$A),MATCH(AV$1,crash_skills!$1:$1,0)-MATCH($AT$1,crash_skills!$1:$1,0)+1),MATCH(AV$1,crash_skills!$1:$1,0)-MATCH($AT$1,crash_skills!$1:$1,0)+1,FALSE)</f>
        <v>1体に中ダメージ_x000D_ヒューマンに効果大</v>
      </c>
      <c r="AW12" s="56">
        <f ca="1">VLOOKUP($AT12,OFFSET(crash_skills!$A$1,0,0,COUNTA(crash_skills!$A:$A),MATCH(AW$1,crash_skills!$1:$1,0)-MATCH($AT$1,crash_skills!$1:$1,0)+1),MATCH(AW$1,crash_skills!$1:$1,0)-MATCH($AT$1,crash_skills!$1:$1,0)+1,FALSE)</f>
        <v>0</v>
      </c>
      <c r="AX12" s="57">
        <f ca="1">VLOOKUP($A12,OFFSET([1]characters!$A$1,0,0,COUNTA([1]characters!$A:$A),MATCH(AX$1,[1]characters!$1:$1,0)-MATCH($A$1,[1]characters!$1:$1,0)+1),MATCH(AX$1,[1]characters!$1:$1,0)-MATCH($A$1,[1]characters!$1:$1,0)+1,FALSE)</f>
        <v>3</v>
      </c>
      <c r="AY12" s="67">
        <v>1</v>
      </c>
      <c r="AZ12" s="67">
        <v>1.24</v>
      </c>
      <c r="BA12" s="67">
        <v>0</v>
      </c>
      <c r="BB12" s="67">
        <v>1.1000000000000001</v>
      </c>
      <c r="BC12" s="11">
        <f ca="1">INDEX('RC6SV'!$A$1:$G$20,MATCH(H12,'RC6SV'!$A$1:$A$20,FALSE),MATCH(G12,'RC6SV'!$A$1:$G$1,FALSE))</f>
        <v>7000</v>
      </c>
      <c r="BD12" s="46">
        <f t="shared" ca="1" si="3"/>
        <v>7000</v>
      </c>
      <c r="BE12" s="11">
        <f t="shared" ca="1" si="4"/>
        <v>0</v>
      </c>
      <c r="BF12" s="11">
        <f t="shared" ca="1" si="5"/>
        <v>1</v>
      </c>
      <c r="BG12" s="16">
        <f ca="1">IF($BE12&lt;=0,ROUND(BK12*0.5,0), ROUND($BE12*S12*AA12*J12*AY12*0.8*[1]ステータス!$B$2,0))</f>
        <v>1645</v>
      </c>
      <c r="BH12" s="16">
        <f ca="1">IF($BE12&lt;=0,ROUND(BL12*0.5,0), ROUND($BE12*T12*AB12*K12*AZ12*0.8*[1]ステータス!$C$2,0))</f>
        <v>1315</v>
      </c>
      <c r="BI12" s="16">
        <f ca="1">IF($BE12&lt;=0,ROUND(BM12*0.5,0), ROUND($BE12*U12*AC12*L12*BA12*0.8*[1]ステータス!$D$2,0))</f>
        <v>0</v>
      </c>
      <c r="BJ12" s="16">
        <f ca="1">IF($BE12&lt;=0,ROUND(BN12*0.5,0), ROUND($BE12*V12*AD12*M12*BB12*0.8*[1]ステータス!$E$2,0))</f>
        <v>1010</v>
      </c>
      <c r="BK12" s="11">
        <f ca="1">ROUND(BD12*S12*AA12*J12*AY12*[1]ステータス!$B$2,0)</f>
        <v>3290</v>
      </c>
      <c r="BL12" s="11">
        <f ca="1">ROUND(BD12*T12*AB12*K12*AZ12*[1]ステータス!$C$2,0)</f>
        <v>2630</v>
      </c>
      <c r="BM12" s="11">
        <f ca="1">ROUND(BD12*U12*AC12*L12*BA12*[1]ステータス!$D$2,0)</f>
        <v>0</v>
      </c>
      <c r="BN12" s="11">
        <f ca="1">ROUND(BD12*V12*AD12*M12*BB12*[1]ステータス!$E$2,0)</f>
        <v>2019</v>
      </c>
      <c r="BO12" s="10">
        <v>0</v>
      </c>
      <c r="BP12" s="10">
        <v>1</v>
      </c>
      <c r="BQ12" s="10" t="s">
        <v>73</v>
      </c>
      <c r="BR12" s="10">
        <f ca="1">VLOOKUP(H12,ghosts_label!$A$2:$B$19,2,FALSE)</f>
        <v>1</v>
      </c>
    </row>
    <row r="13" spans="1:70" ht="21" customHeight="1" x14ac:dyDescent="0.15">
      <c r="A13" s="12">
        <v>473</v>
      </c>
      <c r="B13" s="56" t="str">
        <f ca="1">VLOOKUP($A13,OFFSET([1]characters!$A$1,0,0,COUNTA([1]characters!$A:$A),MATCH(B$1,[1]characters!$1:$1,0)-MATCH($A$1,[1]characters!$1:$1,0)+1),MATCH(B$1,[1]characters!$1:$1,0)-MATCH($A$1,[1]characters!$1:$1,0)+1,FALSE)</f>
        <v>凶堅なる正義 アーサー</v>
      </c>
      <c r="C13" s="56" t="str">
        <f ca="1">VLOOKUP($A13,OFFSET([1]characters!$A$1,0,0,COUNTA([1]characters!$A:$A),MATCH(C$1,[1]characters!$1:$1,0)-MATCH($A$1,[1]characters!$1:$1,0)+1),MATCH(C$1,[1]characters!$1:$1,0)-MATCH($A$1,[1]characters!$1:$1,0)+1,FALSE)</f>
        <v>イベント:ウィザード</v>
      </c>
      <c r="D13" s="56" t="str">
        <f ca="1">VLOOKUP($A13,OFFSET([1]characters!$A$1,0,0,COUNTA([1]characters!$A:$A),MATCH(D$1,[1]characters!$1:$1,0)-MATCH($A$1,[1]characters!$1:$1,0)+1),MATCH(D$1,[1]characters!$1:$1,0)-MATCH($A$1,[1]characters!$1:$1,0)+1,FALSE)</f>
        <v>執行者</v>
      </c>
      <c r="E13" s="56" t="str">
        <f ca="1">VLOOKUP($A13,OFFSET([1]characters!$A$1,0,0,COUNTA([1]characters!$A:$A),MATCH(E$1,[1]characters!$1:$1,0)-MATCH($A$1,[1]characters!$1:$1,0)+1),MATCH(E$1,[1]characters!$1:$1,0)-MATCH($A$1,[1]characters!$1:$1,0)+1,FALSE)</f>
        <v>格好いい</v>
      </c>
      <c r="F13" s="56" t="str">
        <f ca="1">VLOOKUP($A13,OFFSET([1]characters!$A$1,0,0,COUNTA([1]characters!$A:$A),MATCH(F$1,[1]characters!$1:$1,0)-MATCH($A$1,[1]characters!$1:$1,0)+1),MATCH(F$1,[1]characters!$1:$1,0)-MATCH($A$1,[1]characters!$1:$1,0)+1,FALSE)</f>
        <v>男性</v>
      </c>
      <c r="G13" s="56">
        <f ca="1">VLOOKUP($A13,OFFSET([1]characters!$A$1,0,0,COUNTA([1]characters!$A:$A),MATCH(G$1,[1]characters!$1:$1,0)-MATCH($A$1,[1]characters!$1:$1,0)+1),MATCH(G$1,[1]characters!$1:$1,0)-MATCH($A$1,[1]characters!$1:$1,0)+1,FALSE)</f>
        <v>5</v>
      </c>
      <c r="H13" s="56" t="str">
        <f ca="1">VLOOKUP($A13,OFFSET([1]characters!$A$1,0,0,COUNTA([1]characters!$A:$A),MATCH(H$1,[1]characters!$1:$1,0)-MATCH($A$1,[1]characters!$1:$1,0)+1),MATCH(H$1,[1]characters!$1:$1,0)-MATCH($A$1,[1]characters!$1:$1,0)+1,FALSE)</f>
        <v>DropWizS</v>
      </c>
      <c r="I13" s="56" t="str">
        <f ca="1">VLOOKUP($A13,OFFSET([1]characters!$A$1,0,0,COUNTA([1]characters!$A:$A),MATCH(I$1,[1]characters!$1:$1,0)-MATCH($A$1,[1]characters!$1:$1,0)+1),MATCH(I$1,[1]characters!$1:$1,0)-MATCH($A$1,[1]characters!$1:$1,0)+1,FALSE)</f>
        <v>red</v>
      </c>
      <c r="J13" s="11">
        <f ca="1">VLOOKUP(I13,[1]属性!$A:$E,2,FALSE)</f>
        <v>1</v>
      </c>
      <c r="K13" s="11">
        <f ca="1">VLOOKUP(I13,[1]属性!$A:$E,3,FALSE)</f>
        <v>1.02</v>
      </c>
      <c r="L13" s="11">
        <f ca="1">VLOOKUP(I13,[1]属性!$A:$E,4,FALSE)</f>
        <v>1</v>
      </c>
      <c r="M13" s="11">
        <f ca="1">VLOOKUP(I13,[1]属性!$A:$E,5,FALSE)</f>
        <v>0.98</v>
      </c>
      <c r="N13" s="11">
        <f ca="1">INDEX(コスト!$A$1:$I$20,MATCH(H13,コスト!$A$1:$A$20,FALSE),MATCH(G13,コスト!$A$1:$I$1,FALSE))</f>
        <v>30</v>
      </c>
      <c r="O13" s="11">
        <f ca="1">INDEX(レベル!$A$1:$I$21,MATCH(H13,レベル!$A$1:$A$21,FALSE),MATCH(G13,レベル!$A$1:$I$1,FALSE))</f>
        <v>80</v>
      </c>
      <c r="P13" s="46">
        <f t="shared" ca="1" si="0"/>
        <v>75</v>
      </c>
      <c r="Q13" s="56" t="str">
        <f ca="1">VLOOKUP($A13,OFFSET([1]characters!$A$1,0,0,COUNTA([1]characters!$A:$A),MATCH(Q$1,[1]characters!$1:$1,0)-MATCH($A$1,[1]characters!$1:$1,0)+1),MATCH(Q$1,[1]characters!$1:$1,0)-MATCH($A$1,[1]characters!$1:$1,0)+1,FALSE)</f>
        <v>balance</v>
      </c>
      <c r="R13" s="5" t="str">
        <f ca="1">VLOOKUP(Q13,[1]character_type_i18n!$A:$H,3,FALSE)</f>
        <v>バランスタイプ</v>
      </c>
      <c r="S13" s="11">
        <f ca="1">VLOOKUP(Q13,[1]character_type_i18n!$A:$H,4,FALSE)</f>
        <v>1</v>
      </c>
      <c r="T13" s="11">
        <f ca="1">VLOOKUP(Q13,[1]character_type_i18n!$A:$H,5,FALSE)</f>
        <v>1</v>
      </c>
      <c r="U13" s="11">
        <f ca="1">VLOOKUP(Q13,[1]character_type_i18n!$A:$H,6,FALSE)</f>
        <v>1</v>
      </c>
      <c r="V13" s="11">
        <f ca="1">VLOOKUP(Q13,[1]character_type_i18n!$A:$H,7,FALSE)</f>
        <v>1</v>
      </c>
      <c r="W13" s="56" t="str">
        <f ca="1">VLOOKUP($A13,OFFSET([1]characters!$A$1,0,0,COUNTA([1]characters!$A:$A),MATCH(W$1,[1]characters!$1:$1,0)-MATCH($A$1,[1]characters!$1:$1,0)+1),MATCH(W$1,[1]characters!$1:$1,0)-MATCH($A$1,[1]characters!$1:$1,0)+1,FALSE)</f>
        <v>human</v>
      </c>
      <c r="X13" s="5" t="str">
        <f ca="1">VLOOKUP(W13,[1]character_tribe_i18n!$A:$H,3,FALSE)</f>
        <v>ヒューマン</v>
      </c>
      <c r="Y13" s="56" t="str">
        <f ca="1">VLOOKUP($A13,OFFSET([1]characters!$A$1,0,0,COUNTA([1]characters!$A:$A),MATCH(Y$1,[1]characters!$1:$1,0)-MATCH($A$1,[1]characters!$1:$1,0)+1),MATCH(Y$1,[1]characters!$1:$1,0)-MATCH($A$1,[1]characters!$1:$1,0)+1,FALSE)</f>
        <v>none</v>
      </c>
      <c r="Z13" s="5" t="str">
        <f ca="1">VLOOKUP(Y13,[1]character_tribe_i18n!$A:$H,3,FALSE)</f>
        <v>種族なし</v>
      </c>
      <c r="AA13" s="11">
        <f ca="1">VLOOKUP(W13,[1]character_tribe_i18n!$A:$H,4,FALSE)</f>
        <v>0.94</v>
      </c>
      <c r="AB13" s="11">
        <f ca="1">VLOOKUP(W13,[1]character_tribe_i18n!$A:$H,5,FALSE)</f>
        <v>0.99</v>
      </c>
      <c r="AC13" s="11">
        <f ca="1">VLOOKUP(W13,[1]character_tribe_i18n!$A:$H,6,FALSE)</f>
        <v>1</v>
      </c>
      <c r="AD13" s="11">
        <f ca="1">VLOOKUP(W13,[1]character_tribe_i18n!$A:$H,7,FALSE)</f>
        <v>1.07</v>
      </c>
      <c r="AE13" s="9">
        <v>820</v>
      </c>
      <c r="AF13" s="61" t="str">
        <f ca="1">IF(AE13="NULL","",VLOOKUP($AE13,OFFSET([1]characters!$A$1,0,0,COUNTA([1]characters!$A:$A),MATCH(AF$1,[1]characters!$1:$1,0)-MATCH($A$1,[1]characters!$1:$1,0)+1),MATCH(AF$1,[1]characters!$1:$1,0)-MATCH($A$1,[1]characters!$1:$1,0)+1,FALSE))</f>
        <v>凶心者の聖儀 アーサー</v>
      </c>
      <c r="AG13" s="5">
        <f t="shared" ca="1" si="1"/>
        <v>472</v>
      </c>
      <c r="AH13" s="61" t="str">
        <f ca="1">VLOOKUP($AG13,OFFSET([1]characters!$A$1,0,0,COUNTA([1]characters!$A:$A),MATCH(AH$1,[1]characters!$1:$1,0)-MATCH($A$1,[1]characters!$1:$1,0)+1),MATCH(AH$1,[1]characters!$1:$1,0)-MATCH($A$1,[1]characters!$1:$1,0)+1,FALSE)</f>
        <v>アーサー</v>
      </c>
      <c r="AI13" s="11">
        <f ca="1">IF(AE13="NULL","NULL",VLOOKUP(G13,ビット!$A$2:$B$7,2))</f>
        <v>200000</v>
      </c>
      <c r="AJ13" s="6">
        <v>2</v>
      </c>
      <c r="AK13" s="7" t="str">
        <f t="shared" si="2"/>
        <v>普通</v>
      </c>
      <c r="AL13" s="11" t="str">
        <f ca="1">INDEX(経験値!$A$1:$I$20,MATCH(H13,経験値!$A$1:$A$20,FALSE),MATCH(G13,経験値!$A$1:$I$1,FALSE))</f>
        <v>required_exp_200</v>
      </c>
      <c r="AM13" s="8">
        <f ca="1">VLOOKUP(G13,経験値!$A$27:$B$31,2)</f>
        <v>6400</v>
      </c>
      <c r="AN13" s="17">
        <f ca="1">VLOOKUP(G13,ビット!$G$2:$H$7,2)</f>
        <v>900</v>
      </c>
      <c r="AO13" s="43"/>
      <c r="AP13" s="66">
        <v>473</v>
      </c>
      <c r="AQ13" s="56" t="str">
        <f ca="1">VLOOKUP($AP13,OFFSET(unit_skills!$A$1,0,0,COUNTA(unit_skills!$A:$A),MATCH(AQ$1,unit_skills!$1:$1,0)-MATCH($AP$1,unit_skills!$1:$1,0)+1),MATCH(AQ$1,unit_skills!$1:$1,0)-MATCH($AP$1,unit_skills!$1:$1,0)+1,FALSE)</f>
        <v>紅蓮聖剣エクスカリバー</v>
      </c>
      <c r="AR13" s="56" t="str">
        <f ca="1">VLOOKUP($AP13,OFFSET(unit_skills!$A$1,0,0,COUNTA(unit_skills!$A:$A),MATCH(AR$1,unit_skills!$1:$1,0)-MATCH($AP$1,unit_skills!$1:$1,0)+1),MATCH(AR$1,unit_skills!$1:$1,0)-MATCH($AP$1,unit_skills!$1:$1,0)+1,FALSE)</f>
        <v>緑パネルを赤パネルに変換+Cパネルを除く、青パネルを破壊して全体にダメージ+1ターンCパネル生成短縮</v>
      </c>
      <c r="AS13" s="56">
        <f ca="1">VLOOKUP($AP13,OFFSET(unit_skills!$A$1,0,0,COUNTA(unit_skills!$A:$A),MATCH(AS$1,unit_skills!$1:$1,0)-MATCH($AP$1,unit_skills!$1:$1,0)+1),MATCH(AS$1,unit_skills!$1:$1,0)-MATCH($AP$1,unit_skills!$1:$1,0)+1,FALSE)</f>
        <v>0</v>
      </c>
      <c r="AT13" s="40">
        <v>473</v>
      </c>
      <c r="AU13" s="56" t="str">
        <f ca="1">VLOOKUP($AT13,OFFSET(crash_skills!$A$1,0,0,COUNTA(crash_skills!$A:$A),MATCH(AU$1,crash_skills!$1:$1,0)-MATCH($AT$1,crash_skills!$1:$1,0)+1),MATCH(AU$1,crash_skills!$1:$1,0)-MATCH($AT$1,crash_skills!$1:$1,0)+1,FALSE)</f>
        <v>紅蓮の正義</v>
      </c>
      <c r="AV13" s="56" t="str">
        <f ca="1">VLOOKUP($AT13,OFFSET(crash_skills!$A$1,0,0,COUNTA(crash_skills!$A:$A),MATCH(AV$1,crash_skills!$1:$1,0)-MATCH($AT$1,crash_skills!$1:$1,0)+1),MATCH(AV$1,crash_skills!$1:$1,0)-MATCH($AT$1,crash_skills!$1:$1,0)+1,FALSE)</f>
        <v>1体に中ダメージ_x000D_ヒューマンに効果大</v>
      </c>
      <c r="AW13" s="56">
        <f ca="1">VLOOKUP($AT13,OFFSET(crash_skills!$A$1,0,0,COUNTA(crash_skills!$A:$A),MATCH(AW$1,crash_skills!$1:$1,0)-MATCH($AT$1,crash_skills!$1:$1,0)+1),MATCH(AW$1,crash_skills!$1:$1,0)-MATCH($AT$1,crash_skills!$1:$1,0)+1,FALSE)</f>
        <v>0</v>
      </c>
      <c r="AX13" s="57">
        <f ca="1">VLOOKUP($A13,OFFSET([1]characters!$A$1,0,0,COUNTA([1]characters!$A:$A),MATCH(AX$1,[1]characters!$1:$1,0)-MATCH($A$1,[1]characters!$1:$1,0)+1),MATCH(AX$1,[1]characters!$1:$1,0)-MATCH($A$1,[1]characters!$1:$1,0)+1,FALSE)</f>
        <v>3</v>
      </c>
      <c r="AY13" s="67">
        <v>1</v>
      </c>
      <c r="AZ13" s="67">
        <v>1.24</v>
      </c>
      <c r="BA13" s="67">
        <v>0</v>
      </c>
      <c r="BB13" s="67">
        <v>1.1000000000000001</v>
      </c>
      <c r="BC13" s="11">
        <f ca="1">INDEX('RC6SV'!$A$1:$G$20,MATCH(H13,'RC6SV'!$A$1:$A$20,FALSE),MATCH(G13,'RC6SV'!$A$1:$G$1,FALSE))</f>
        <v>9000</v>
      </c>
      <c r="BD13" s="46">
        <f t="shared" ca="1" si="3"/>
        <v>9000</v>
      </c>
      <c r="BE13" s="11">
        <f t="shared" ca="1" si="4"/>
        <v>7000</v>
      </c>
      <c r="BF13" s="11">
        <f t="shared" ca="1" si="5"/>
        <v>1</v>
      </c>
      <c r="BG13" s="16">
        <f ca="1">IF($BE13&lt;=0,ROUND(BK13*0.5,0), ROUND($BE13*S13*AA13*J13*AY13*0.8*[1]ステータス!$B$2,0))</f>
        <v>2632</v>
      </c>
      <c r="BH13" s="16">
        <f ca="1">IF($BE13&lt;=0,ROUND(BL13*0.5,0), ROUND($BE13*T13*AB13*K13*AZ13*0.8*[1]ステータス!$C$2,0))</f>
        <v>2104</v>
      </c>
      <c r="BI13" s="16">
        <f ca="1">IF($BE13&lt;=0,ROUND(BM13*0.5,0), ROUND($BE13*U13*AC13*L13*BA13*0.8*[1]ステータス!$D$2,0))</f>
        <v>0</v>
      </c>
      <c r="BJ13" s="16">
        <f ca="1">IF($BE13&lt;=0,ROUND(BN13*0.5,0), ROUND($BE13*V13*AD13*M13*BB13*0.8*[1]ステータス!$E$2,0))</f>
        <v>1615</v>
      </c>
      <c r="BK13" s="11">
        <f ca="1">ROUND(BD13*S13*AA13*J13*AY13*[1]ステータス!$B$2,0)</f>
        <v>4230</v>
      </c>
      <c r="BL13" s="11">
        <f ca="1">ROUND(BD13*T13*AB13*K13*AZ13*[1]ステータス!$C$2,0)</f>
        <v>3381</v>
      </c>
      <c r="BM13" s="11">
        <f ca="1">ROUND(BD13*U13*AC13*L13*BA13*[1]ステータス!$D$2,0)</f>
        <v>0</v>
      </c>
      <c r="BN13" s="11">
        <f ca="1">ROUND(BD13*V13*AD13*M13*BB13*[1]ステータス!$E$2,0)</f>
        <v>2595</v>
      </c>
      <c r="BO13" s="10">
        <v>0</v>
      </c>
      <c r="BP13" s="10">
        <v>1</v>
      </c>
      <c r="BQ13" s="10" t="s">
        <v>73</v>
      </c>
      <c r="BR13" s="10">
        <f ca="1">VLOOKUP(H13,ghosts_label!$A$2:$B$19,2,FALSE)</f>
        <v>1</v>
      </c>
    </row>
  </sheetData>
  <autoFilter ref="A1:BQ1"/>
  <phoneticPr fontId="10"/>
  <conditionalFormatting sqref="BO1">
    <cfRule type="cellIs" dxfId="28" priority="120" stopIfTrue="1" operator="equal">
      <formula>1</formula>
    </cfRule>
  </conditionalFormatting>
  <conditionalFormatting sqref="BQ1">
    <cfRule type="cellIs" dxfId="27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T13"/>
  <sheetViews>
    <sheetView showGridLines="0" workbookViewId="0">
      <pane xSplit="5" ySplit="1" topLeftCell="F2" activePane="bottomRight" state="frozen"/>
      <selection pane="topRight" activeCell="D1" sqref="D1"/>
      <selection pane="bottomLeft" activeCell="A2" sqref="A2"/>
      <selection pane="bottomRight" activeCell="E14" sqref="E14"/>
    </sheetView>
  </sheetViews>
  <sheetFormatPr baseColWidth="12" defaultColWidth="13" defaultRowHeight="21" customHeight="1" outlineLevelCol="1" x14ac:dyDescent="0.15"/>
  <cols>
    <col min="1" max="1" width="16.1640625" style="134" bestFit="1" customWidth="1"/>
    <col min="2" max="2" width="13" style="134" bestFit="1" customWidth="1"/>
    <col min="3" max="3" width="21.83203125" style="134" customWidth="1"/>
    <col min="4" max="4" width="9" style="134" customWidth="1"/>
    <col min="5" max="5" width="41.83203125" style="134" customWidth="1"/>
    <col min="6" max="6" width="9" style="134" customWidth="1"/>
    <col min="7" max="7" width="7.83203125" style="134" bestFit="1" customWidth="1"/>
    <col min="8" max="8" width="8.1640625" style="134" bestFit="1" customWidth="1"/>
    <col min="9" max="9" width="13.6640625" style="134" bestFit="1" customWidth="1"/>
    <col min="10" max="11" width="51.6640625" style="134" customWidth="1"/>
    <col min="12" max="12" width="10.83203125" style="134" customWidth="1" outlineLevel="1"/>
    <col min="13" max="18" width="9.5" style="133" customWidth="1" outlineLevel="1"/>
    <col min="19" max="19" width="20.33203125" style="134" customWidth="1" outlineLevel="1"/>
    <col min="20" max="20" width="10.33203125" style="134" bestFit="1" customWidth="1"/>
    <col min="21" max="16384" width="13" style="134"/>
  </cols>
  <sheetData>
    <row r="1" spans="1:20" s="133" customFormat="1" ht="21" customHeight="1" x14ac:dyDescent="0.15">
      <c r="A1" s="122" t="s">
        <v>21</v>
      </c>
      <c r="B1" s="123" t="s">
        <v>171</v>
      </c>
      <c r="C1" s="124" t="s">
        <v>66</v>
      </c>
      <c r="D1" s="125" t="s">
        <v>201</v>
      </c>
      <c r="E1" s="125" t="s">
        <v>200</v>
      </c>
      <c r="F1" s="125" t="s">
        <v>201</v>
      </c>
      <c r="G1" s="122" t="s">
        <v>183</v>
      </c>
      <c r="H1" s="126" t="s">
        <v>2</v>
      </c>
      <c r="I1" s="126" t="s">
        <v>202</v>
      </c>
      <c r="J1" s="126" t="s">
        <v>203</v>
      </c>
      <c r="K1" s="127"/>
      <c r="L1" s="126" t="s">
        <v>225</v>
      </c>
      <c r="M1" s="128" t="s">
        <v>204</v>
      </c>
      <c r="N1" s="129" t="s">
        <v>205</v>
      </c>
      <c r="O1" s="129" t="s">
        <v>206</v>
      </c>
      <c r="P1" s="129" t="s">
        <v>207</v>
      </c>
      <c r="Q1" s="129" t="s">
        <v>208</v>
      </c>
      <c r="R1" s="130" t="s">
        <v>209</v>
      </c>
      <c r="S1" s="131" t="s">
        <v>210</v>
      </c>
      <c r="T1" s="132" t="s">
        <v>211</v>
      </c>
    </row>
    <row r="2" spans="1:20" ht="21" customHeight="1" x14ac:dyDescent="0.15">
      <c r="A2" s="12">
        <v>452</v>
      </c>
      <c r="B2" s="136" t="s">
        <v>227</v>
      </c>
      <c r="C2" s="150" t="s">
        <v>239</v>
      </c>
      <c r="D2" s="138">
        <f t="shared" ref="D2:F11" si="0">LEN(C2)</f>
        <v>3</v>
      </c>
      <c r="E2" s="151" t="s">
        <v>243</v>
      </c>
      <c r="F2" s="138">
        <f t="shared" si="0"/>
        <v>32</v>
      </c>
      <c r="G2" s="121">
        <v>8</v>
      </c>
      <c r="H2" s="121">
        <v>5</v>
      </c>
      <c r="I2" s="139">
        <f>2001</f>
        <v>2001</v>
      </c>
      <c r="J2" s="139" t="s">
        <v>250</v>
      </c>
      <c r="K2" s="56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猛狐 エゾ</v>
      </c>
      <c r="L2" s="140">
        <v>3</v>
      </c>
      <c r="M2" s="141"/>
      <c r="N2" s="142"/>
      <c r="O2" s="142"/>
      <c r="P2" s="142"/>
      <c r="Q2" s="142"/>
      <c r="R2" s="142"/>
      <c r="S2" s="137"/>
      <c r="T2" s="143"/>
    </row>
    <row r="3" spans="1:20" ht="21" customHeight="1" x14ac:dyDescent="0.15">
      <c r="A3" s="12">
        <v>453</v>
      </c>
      <c r="B3" s="136" t="s">
        <v>228</v>
      </c>
      <c r="C3" s="150" t="s">
        <v>240</v>
      </c>
      <c r="D3" s="138">
        <f t="shared" si="0"/>
        <v>5</v>
      </c>
      <c r="E3" s="151" t="s">
        <v>244</v>
      </c>
      <c r="F3" s="138">
        <f t="shared" si="0"/>
        <v>33</v>
      </c>
      <c r="G3" s="121">
        <v>9</v>
      </c>
      <c r="H3" s="121">
        <v>5</v>
      </c>
      <c r="I3" s="139">
        <f>2001</f>
        <v>2001</v>
      </c>
      <c r="J3" s="139" t="s">
        <v>245</v>
      </c>
      <c r="K3" s="56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急尾の猛狐 エゾ</v>
      </c>
      <c r="L3" s="140">
        <v>3</v>
      </c>
      <c r="M3" s="141"/>
      <c r="N3" s="142"/>
      <c r="O3" s="142"/>
      <c r="P3" s="142"/>
      <c r="Q3" s="142"/>
      <c r="R3" s="142"/>
      <c r="S3" s="137"/>
      <c r="T3" s="143"/>
    </row>
    <row r="4" spans="1:20" ht="21" customHeight="1" x14ac:dyDescent="0.15">
      <c r="A4" s="12">
        <v>454</v>
      </c>
      <c r="B4" s="136" t="s">
        <v>228</v>
      </c>
      <c r="C4" s="150" t="s">
        <v>258</v>
      </c>
      <c r="D4" s="138">
        <f t="shared" si="0"/>
        <v>13</v>
      </c>
      <c r="E4" s="137" t="s">
        <v>255</v>
      </c>
      <c r="F4" s="138">
        <f t="shared" si="0"/>
        <v>43</v>
      </c>
      <c r="G4" s="121">
        <v>16</v>
      </c>
      <c r="H4" s="121">
        <v>5</v>
      </c>
      <c r="I4" s="139">
        <f>2001</f>
        <v>2001</v>
      </c>
      <c r="J4" s="139" t="s">
        <v>316</v>
      </c>
      <c r="K4" s="56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二闘 レッサとギガン</v>
      </c>
      <c r="L4" s="140">
        <v>3</v>
      </c>
      <c r="M4" s="141"/>
      <c r="N4" s="142"/>
      <c r="O4" s="142"/>
      <c r="P4" s="142"/>
      <c r="Q4" s="142"/>
      <c r="R4" s="142"/>
      <c r="S4" s="137"/>
      <c r="T4" s="143"/>
    </row>
    <row r="5" spans="1:20" ht="21" customHeight="1" x14ac:dyDescent="0.15">
      <c r="A5" s="12">
        <v>455</v>
      </c>
      <c r="B5" s="136" t="s">
        <v>229</v>
      </c>
      <c r="C5" s="150" t="s">
        <v>258</v>
      </c>
      <c r="D5" s="138">
        <f t="shared" si="0"/>
        <v>13</v>
      </c>
      <c r="E5" s="137" t="s">
        <v>256</v>
      </c>
      <c r="F5" s="138">
        <f t="shared" si="0"/>
        <v>42</v>
      </c>
      <c r="G5" s="121">
        <v>16</v>
      </c>
      <c r="H5" s="121">
        <v>5</v>
      </c>
      <c r="I5" s="139">
        <f>2001</f>
        <v>2001</v>
      </c>
      <c r="J5" s="139" t="s">
        <v>316</v>
      </c>
      <c r="K5" s="56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廃街の二闘 レッサとギガン</v>
      </c>
      <c r="L5" s="140">
        <v>3</v>
      </c>
      <c r="M5" s="141"/>
      <c r="N5" s="142"/>
      <c r="O5" s="142"/>
      <c r="P5" s="142"/>
      <c r="Q5" s="142"/>
      <c r="R5" s="142"/>
      <c r="S5" s="137"/>
      <c r="T5" s="143"/>
    </row>
    <row r="6" spans="1:20" ht="21" customHeight="1" x14ac:dyDescent="0.15">
      <c r="A6" s="12">
        <v>456</v>
      </c>
      <c r="B6" s="136" t="s">
        <v>229</v>
      </c>
      <c r="C6" s="137" t="s">
        <v>267</v>
      </c>
      <c r="D6" s="138">
        <f t="shared" si="0"/>
        <v>7</v>
      </c>
      <c r="E6" s="137" t="s">
        <v>262</v>
      </c>
      <c r="F6" s="138">
        <f t="shared" si="0"/>
        <v>32</v>
      </c>
      <c r="G6" s="121">
        <v>10</v>
      </c>
      <c r="H6" s="121">
        <v>5</v>
      </c>
      <c r="I6" s="139">
        <f>2001</f>
        <v>2001</v>
      </c>
      <c r="J6" s="139" t="s">
        <v>264</v>
      </c>
      <c r="K6" s="56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射絶 ユヅル</v>
      </c>
      <c r="L6" s="140">
        <v>3</v>
      </c>
      <c r="M6" s="141"/>
      <c r="N6" s="142"/>
      <c r="O6" s="142"/>
      <c r="P6" s="142"/>
      <c r="Q6" s="142"/>
      <c r="R6" s="142"/>
      <c r="S6" s="137"/>
      <c r="T6" s="143"/>
    </row>
    <row r="7" spans="1:20" ht="21" customHeight="1" x14ac:dyDescent="0.15">
      <c r="A7" s="12">
        <v>457</v>
      </c>
      <c r="B7" s="136" t="s">
        <v>229</v>
      </c>
      <c r="C7" s="137" t="s">
        <v>268</v>
      </c>
      <c r="D7" s="138">
        <f t="shared" si="0"/>
        <v>7</v>
      </c>
      <c r="E7" s="137" t="s">
        <v>263</v>
      </c>
      <c r="F7" s="138">
        <f t="shared" si="0"/>
        <v>32</v>
      </c>
      <c r="G7" s="66">
        <v>10</v>
      </c>
      <c r="H7" s="121">
        <v>5</v>
      </c>
      <c r="I7" s="139">
        <f>2001</f>
        <v>2001</v>
      </c>
      <c r="J7" s="139" t="s">
        <v>284</v>
      </c>
      <c r="K7" s="56" t="str">
        <f ca="1">VLOOKUP($A7,OFFSET([1]characters!$A$1,0,0,COUNTA([1]characters!$A:$A),MATCH("name",[1]characters!$1:$1,0)-MATCH("character_id",[1]characters!$1:$1,0)+1),MATCH("name",[1]characters!$1:$1,0)-MATCH("character_id",[1]characters!$1:$1,0)+1,FALSE)</f>
        <v>京速射絶 ユヅル</v>
      </c>
      <c r="L7" s="140">
        <v>3</v>
      </c>
      <c r="M7" s="141"/>
      <c r="N7" s="142"/>
      <c r="O7" s="142"/>
      <c r="P7" s="142"/>
      <c r="Q7" s="142"/>
      <c r="R7" s="142"/>
      <c r="S7" s="137"/>
      <c r="T7" s="143"/>
    </row>
    <row r="8" spans="1:20" ht="21" customHeight="1" x14ac:dyDescent="0.15">
      <c r="A8" s="154">
        <v>458</v>
      </c>
      <c r="B8" s="136" t="s">
        <v>230</v>
      </c>
      <c r="C8" s="156" t="s">
        <v>286</v>
      </c>
      <c r="D8" s="138">
        <f t="shared" si="0"/>
        <v>4</v>
      </c>
      <c r="E8" s="137" t="s">
        <v>285</v>
      </c>
      <c r="F8" s="138">
        <f t="shared" si="0"/>
        <v>29</v>
      </c>
      <c r="G8" s="121">
        <v>11</v>
      </c>
      <c r="H8" s="121">
        <f>H7</f>
        <v>5</v>
      </c>
      <c r="I8" s="139">
        <f>I7</f>
        <v>2001</v>
      </c>
      <c r="J8" s="139" t="s">
        <v>314</v>
      </c>
      <c r="K8" s="155" t="str">
        <f ca="1">VLOOKUP($A8,OFFSET([1]characters!$A$1,0,0,COUNTA([1]characters!$A:$A),MATCH("name",[1]characters!$1:$1,0)-MATCH("character_id",[1]characters!$1:$1,0)+1),MATCH("name",[1]characters!$1:$1,0)-MATCH("character_id",[1]characters!$1:$1,0)+1,FALSE)</f>
        <v>嵐龍 スガル</v>
      </c>
      <c r="L8" s="140">
        <v>3</v>
      </c>
      <c r="M8" s="141"/>
      <c r="N8" s="142"/>
      <c r="O8" s="142"/>
      <c r="P8" s="142"/>
      <c r="Q8" s="142"/>
      <c r="R8" s="142"/>
      <c r="S8" s="137"/>
      <c r="T8" s="143"/>
    </row>
    <row r="9" spans="1:20" ht="21" customHeight="1" x14ac:dyDescent="0.15">
      <c r="A9" s="12">
        <v>459</v>
      </c>
      <c r="B9" s="136" t="s">
        <v>231</v>
      </c>
      <c r="C9" s="157" t="s">
        <v>286</v>
      </c>
      <c r="D9" s="138">
        <f t="shared" si="0"/>
        <v>4</v>
      </c>
      <c r="E9" s="137" t="s">
        <v>283</v>
      </c>
      <c r="F9" s="138">
        <f t="shared" si="0"/>
        <v>29</v>
      </c>
      <c r="G9" s="121">
        <v>11</v>
      </c>
      <c r="H9" s="121">
        <v>5</v>
      </c>
      <c r="I9" s="139">
        <f>2001</f>
        <v>2001</v>
      </c>
      <c r="J9" s="139" t="s">
        <v>315</v>
      </c>
      <c r="K9" s="56" t="str">
        <f ca="1">VLOOKUP($A9,OFFSET([1]characters!$A$1,0,0,COUNTA([1]characters!$A:$A),MATCH("name",[1]characters!$1:$1,0)-MATCH("character_id",[1]characters!$1:$1,0)+1),MATCH("name",[1]characters!$1:$1,0)-MATCH("character_id",[1]characters!$1:$1,0)+1,FALSE)</f>
        <v>威喝の嵐龍 スガル</v>
      </c>
      <c r="L9" s="140">
        <v>3</v>
      </c>
      <c r="M9" s="141"/>
      <c r="N9" s="142"/>
      <c r="O9" s="142"/>
      <c r="P9" s="142"/>
      <c r="Q9" s="142"/>
      <c r="R9" s="142"/>
      <c r="S9" s="137"/>
      <c r="T9" s="143"/>
    </row>
    <row r="10" spans="1:20" ht="21" customHeight="1" x14ac:dyDescent="0.15">
      <c r="A10" s="12">
        <v>460</v>
      </c>
      <c r="B10" s="136" t="s">
        <v>229</v>
      </c>
      <c r="C10" s="150" t="s">
        <v>273</v>
      </c>
      <c r="D10" s="138">
        <f t="shared" si="0"/>
        <v>6</v>
      </c>
      <c r="E10" s="137" t="s">
        <v>266</v>
      </c>
      <c r="F10" s="138">
        <f>LEN(E10)</f>
        <v>42</v>
      </c>
      <c r="G10" s="121">
        <v>9</v>
      </c>
      <c r="H10" s="121">
        <v>5</v>
      </c>
      <c r="I10" s="139">
        <f>2001</f>
        <v>2001</v>
      </c>
      <c r="J10" s="139" t="s">
        <v>277</v>
      </c>
      <c r="K10" s="56" t="str">
        <f ca="1">VLOOKUP($A10,OFFSET([1]characters!$A$1,0,0,COUNTA([1]characters!$A:$A),MATCH("name",[1]characters!$1:$1,0)-MATCH("character_id",[1]characters!$1:$1,0)+1),MATCH("name",[1]characters!$1:$1,0)-MATCH("character_id",[1]characters!$1:$1,0)+1,FALSE)</f>
        <v>オズ</v>
      </c>
      <c r="L10" s="140">
        <v>3</v>
      </c>
      <c r="M10" s="141"/>
      <c r="N10" s="142"/>
      <c r="O10" s="142"/>
      <c r="P10" s="142"/>
      <c r="Q10" s="142"/>
      <c r="R10" s="142"/>
      <c r="S10" s="137"/>
      <c r="T10" s="143"/>
    </row>
    <row r="11" spans="1:20" ht="21" customHeight="1" x14ac:dyDescent="0.15">
      <c r="A11" s="12">
        <v>461</v>
      </c>
      <c r="B11" s="136" t="s">
        <v>226</v>
      </c>
      <c r="C11" s="150" t="s">
        <v>274</v>
      </c>
      <c r="D11" s="138">
        <f t="shared" si="0"/>
        <v>7</v>
      </c>
      <c r="E11" s="137" t="s">
        <v>265</v>
      </c>
      <c r="F11" s="138">
        <f t="shared" si="0"/>
        <v>43</v>
      </c>
      <c r="G11" s="121">
        <v>11</v>
      </c>
      <c r="H11" s="121">
        <v>5</v>
      </c>
      <c r="I11" s="139">
        <f>2001</f>
        <v>2001</v>
      </c>
      <c r="J11" s="139" t="s">
        <v>278</v>
      </c>
      <c r="K11" s="56" t="str">
        <f ca="1">VLOOKUP($A11,OFFSET([1]characters!$A$1,0,0,COUNTA([1]characters!$A:$A),MATCH("name",[1]characters!$1:$1,0)-MATCH("character_id",[1]characters!$1:$1,0)+1),MATCH("name",[1]characters!$1:$1,0)-MATCH("character_id",[1]characters!$1:$1,0)+1,FALSE)</f>
        <v>大いなる虚像 オズ</v>
      </c>
      <c r="L11" s="140">
        <v>3</v>
      </c>
      <c r="M11" s="141"/>
      <c r="N11" s="142"/>
      <c r="O11" s="142"/>
      <c r="P11" s="142"/>
      <c r="Q11" s="142"/>
      <c r="R11" s="142"/>
      <c r="S11" s="137"/>
      <c r="T11" s="143"/>
    </row>
    <row r="12" spans="1:20" ht="21" customHeight="1" x14ac:dyDescent="0.15">
      <c r="A12" s="12">
        <v>472</v>
      </c>
      <c r="B12" s="136" t="s">
        <v>226</v>
      </c>
      <c r="C12" s="150" t="s">
        <v>289</v>
      </c>
      <c r="D12" s="138">
        <f t="shared" ref="D12:D13" si="1">LEN(C12)</f>
        <v>11</v>
      </c>
      <c r="E12" s="137" t="s">
        <v>341</v>
      </c>
      <c r="F12" s="138">
        <f>LEN(E12)</f>
        <v>50</v>
      </c>
      <c r="G12" s="121">
        <v>12</v>
      </c>
      <c r="H12" s="121">
        <v>5</v>
      </c>
      <c r="I12" s="139">
        <f>2001</f>
        <v>2001</v>
      </c>
      <c r="J12" s="139" t="s">
        <v>340</v>
      </c>
      <c r="K12" s="56" t="str">
        <f ca="1">VLOOKUP($A12,OFFSET([1]characters!$A$1,0,0,COUNTA([1]characters!$A:$A),MATCH("name",[1]characters!$1:$1,0)-MATCH("character_id",[1]characters!$1:$1,0)+1),MATCH("name",[1]characters!$1:$1,0)-MATCH("character_id",[1]characters!$1:$1,0)+1,FALSE)</f>
        <v>アーサー</v>
      </c>
      <c r="L12" s="140">
        <v>3</v>
      </c>
      <c r="M12" s="141"/>
      <c r="N12" s="142"/>
      <c r="O12" s="142"/>
      <c r="P12" s="142"/>
      <c r="Q12" s="142"/>
      <c r="R12" s="142"/>
      <c r="S12" s="137"/>
      <c r="T12" s="143"/>
    </row>
    <row r="13" spans="1:20" ht="21" customHeight="1" x14ac:dyDescent="0.15">
      <c r="A13" s="12">
        <v>473</v>
      </c>
      <c r="B13" s="136" t="s">
        <v>226</v>
      </c>
      <c r="C13" s="150" t="s">
        <v>289</v>
      </c>
      <c r="D13" s="138">
        <f t="shared" si="1"/>
        <v>11</v>
      </c>
      <c r="E13" s="137" t="s">
        <v>341</v>
      </c>
      <c r="F13" s="138">
        <f>LEN(E13)</f>
        <v>50</v>
      </c>
      <c r="G13" s="121">
        <v>12</v>
      </c>
      <c r="H13" s="121">
        <v>5</v>
      </c>
      <c r="I13" s="139">
        <f>2001</f>
        <v>2001</v>
      </c>
      <c r="J13" s="139" t="s">
        <v>340</v>
      </c>
      <c r="K13" s="56" t="str">
        <f ca="1">VLOOKUP($A13,OFFSET([1]characters!$A$1,0,0,COUNTA([1]characters!$A:$A),MATCH("name",[1]characters!$1:$1,0)-MATCH("character_id",[1]characters!$1:$1,0)+1),MATCH("name",[1]characters!$1:$1,0)-MATCH("character_id",[1]characters!$1:$1,0)+1,FALSE)</f>
        <v>凶堅なる正義 アーサー</v>
      </c>
      <c r="L13" s="140">
        <v>3</v>
      </c>
      <c r="M13" s="141"/>
      <c r="N13" s="142"/>
      <c r="O13" s="142"/>
      <c r="P13" s="142"/>
      <c r="Q13" s="142"/>
      <c r="R13" s="142"/>
      <c r="S13" s="137"/>
      <c r="T13" s="143"/>
    </row>
  </sheetData>
  <sheetProtection selectLockedCells="1" selectUnlockedCells="1"/>
  <autoFilter ref="A1:T1">
    <sortState ref="A2:T432">
      <sortCondition ref="A1:A432"/>
    </sortState>
  </autoFilter>
  <phoneticPr fontId="22"/>
  <conditionalFormatting sqref="F1 F14:F1048576">
    <cfRule type="cellIs" dxfId="26" priority="9" operator="greaterThan">
      <formula>41</formula>
    </cfRule>
  </conditionalFormatting>
  <conditionalFormatting sqref="F2:F13">
    <cfRule type="cellIs" dxfId="25" priority="3" operator="greaterThan">
      <formula>41</formula>
    </cfRule>
  </conditionalFormatting>
  <conditionalFormatting sqref="D1 D14:D1048576">
    <cfRule type="cellIs" dxfId="24" priority="2" operator="greaterThan">
      <formula>41</formula>
    </cfRule>
  </conditionalFormatting>
  <conditionalFormatting sqref="D2:D13">
    <cfRule type="cellIs" dxfId="23" priority="1" operator="greaterThan">
      <formula>41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S13"/>
  <sheetViews>
    <sheetView showGridLines="0" workbookViewId="0">
      <pane xSplit="4" ySplit="1" topLeftCell="F5" activePane="bottomRight" state="frozen"/>
      <selection pane="topRight" activeCell="D1" sqref="D1"/>
      <selection pane="bottomLeft" activeCell="A3" sqref="A3"/>
      <selection pane="bottomRight" activeCell="D12" sqref="D12"/>
    </sheetView>
  </sheetViews>
  <sheetFormatPr baseColWidth="12" defaultColWidth="13" defaultRowHeight="21" customHeight="1" x14ac:dyDescent="0.15"/>
  <cols>
    <col min="1" max="2" width="12.1640625" style="134" customWidth="1"/>
    <col min="3" max="3" width="48.83203125" style="135" customWidth="1"/>
    <col min="4" max="4" width="23.83203125" style="135" customWidth="1"/>
    <col min="5" max="5" width="10.5" style="135" customWidth="1"/>
    <col min="6" max="7" width="59.1640625" style="135" customWidth="1"/>
    <col min="8" max="8" width="6.83203125" style="134" bestFit="1" customWidth="1"/>
    <col min="9" max="9" width="20.33203125" style="134" customWidth="1"/>
    <col min="10" max="10" width="5" style="134" bestFit="1" customWidth="1"/>
    <col min="11" max="16384" width="13" style="134"/>
  </cols>
  <sheetData>
    <row r="1" spans="1:19" ht="21" customHeight="1" x14ac:dyDescent="0.15">
      <c r="A1" s="122" t="s">
        <v>219</v>
      </c>
      <c r="B1" s="123" t="s">
        <v>218</v>
      </c>
      <c r="C1" s="124" t="s">
        <v>217</v>
      </c>
      <c r="D1" s="125" t="s">
        <v>216</v>
      </c>
      <c r="E1" s="125" t="s">
        <v>215</v>
      </c>
      <c r="F1" s="126" t="s">
        <v>214</v>
      </c>
      <c r="G1" s="127"/>
      <c r="H1" s="126" t="s">
        <v>213</v>
      </c>
      <c r="I1" s="127" t="s">
        <v>212</v>
      </c>
      <c r="J1" s="131" t="s">
        <v>211</v>
      </c>
    </row>
    <row r="2" spans="1:19" ht="21" customHeight="1" x14ac:dyDescent="0.15">
      <c r="A2" s="12">
        <v>452</v>
      </c>
      <c r="B2" s="136" t="s">
        <v>226</v>
      </c>
      <c r="C2" s="150" t="s">
        <v>241</v>
      </c>
      <c r="D2" s="137" t="s">
        <v>246</v>
      </c>
      <c r="E2" s="138">
        <f t="shared" ref="E2:E11" si="0">LEN(D2)</f>
        <v>17</v>
      </c>
      <c r="F2" s="152" t="s">
        <v>248</v>
      </c>
      <c r="G2" s="56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猛狐 エゾ</v>
      </c>
      <c r="H2" s="139">
        <v>3</v>
      </c>
      <c r="I2" s="139"/>
      <c r="J2" s="144"/>
      <c r="K2" s="140">
        <v>1</v>
      </c>
      <c r="L2" s="141"/>
      <c r="M2" s="142"/>
      <c r="N2" s="142"/>
      <c r="O2" s="142"/>
      <c r="P2" s="142"/>
      <c r="Q2" s="142"/>
      <c r="R2" s="137"/>
      <c r="S2" s="143"/>
    </row>
    <row r="3" spans="1:19" ht="21" customHeight="1" x14ac:dyDescent="0.15">
      <c r="A3" s="12">
        <v>453</v>
      </c>
      <c r="B3" s="136" t="s">
        <v>228</v>
      </c>
      <c r="C3" s="150" t="s">
        <v>242</v>
      </c>
      <c r="D3" s="137" t="s">
        <v>247</v>
      </c>
      <c r="E3" s="138">
        <f t="shared" si="0"/>
        <v>18</v>
      </c>
      <c r="F3" s="152" t="s">
        <v>249</v>
      </c>
      <c r="G3" s="56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急尾の猛狐 エゾ</v>
      </c>
      <c r="H3" s="139">
        <v>3</v>
      </c>
      <c r="I3" s="139"/>
      <c r="J3" s="144"/>
      <c r="K3" s="140">
        <v>1</v>
      </c>
      <c r="L3" s="141"/>
      <c r="M3" s="142"/>
      <c r="N3" s="142"/>
      <c r="O3" s="142"/>
      <c r="P3" s="142"/>
      <c r="Q3" s="142"/>
      <c r="R3" s="137"/>
      <c r="S3" s="143"/>
    </row>
    <row r="4" spans="1:19" ht="21" customHeight="1" x14ac:dyDescent="0.15">
      <c r="A4" s="12">
        <v>454</v>
      </c>
      <c r="B4" s="136" t="s">
        <v>232</v>
      </c>
      <c r="C4" s="150" t="s">
        <v>259</v>
      </c>
      <c r="D4" s="137" t="s">
        <v>251</v>
      </c>
      <c r="E4" s="138">
        <f t="shared" si="0"/>
        <v>18</v>
      </c>
      <c r="F4" s="153" t="s">
        <v>253</v>
      </c>
      <c r="G4" s="56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二闘 レッサとギガン</v>
      </c>
      <c r="H4" s="139">
        <v>3</v>
      </c>
      <c r="I4" s="139"/>
      <c r="J4" s="144"/>
      <c r="K4" s="140">
        <v>1</v>
      </c>
      <c r="L4" s="141"/>
      <c r="M4" s="142"/>
      <c r="N4" s="142"/>
      <c r="O4" s="142"/>
      <c r="P4" s="142"/>
      <c r="Q4" s="142"/>
      <c r="R4" s="137"/>
      <c r="S4" s="143"/>
    </row>
    <row r="5" spans="1:19" ht="21" customHeight="1" x14ac:dyDescent="0.15">
      <c r="A5" s="12">
        <v>455</v>
      </c>
      <c r="B5" s="136" t="s">
        <v>233</v>
      </c>
      <c r="C5" s="150" t="s">
        <v>257</v>
      </c>
      <c r="D5" s="137" t="s">
        <v>252</v>
      </c>
      <c r="E5" s="138">
        <f t="shared" si="0"/>
        <v>19</v>
      </c>
      <c r="F5" s="153" t="s">
        <v>254</v>
      </c>
      <c r="G5" s="56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廃街の二闘 レッサとギガン</v>
      </c>
      <c r="H5" s="139">
        <v>3</v>
      </c>
      <c r="I5" s="139"/>
      <c r="J5" s="144"/>
      <c r="K5" s="140">
        <v>1</v>
      </c>
      <c r="L5" s="141"/>
      <c r="M5" s="142"/>
      <c r="N5" s="142"/>
      <c r="O5" s="142"/>
      <c r="P5" s="142"/>
      <c r="Q5" s="142"/>
      <c r="R5" s="137"/>
      <c r="S5" s="143"/>
    </row>
    <row r="6" spans="1:19" ht="21" customHeight="1" x14ac:dyDescent="0.15">
      <c r="A6" s="12">
        <v>456</v>
      </c>
      <c r="B6" s="136" t="s">
        <v>234</v>
      </c>
      <c r="C6" s="137" t="s">
        <v>269</v>
      </c>
      <c r="D6" s="137" t="s">
        <v>272</v>
      </c>
      <c r="E6" s="138">
        <f t="shared" si="0"/>
        <v>18</v>
      </c>
      <c r="F6" s="153" t="s">
        <v>271</v>
      </c>
      <c r="G6" s="56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射絶 ユヅル</v>
      </c>
      <c r="H6" s="139">
        <v>3</v>
      </c>
      <c r="I6" s="139"/>
      <c r="J6" s="144"/>
      <c r="K6" s="140">
        <v>1</v>
      </c>
      <c r="L6" s="141"/>
      <c r="M6" s="142"/>
      <c r="N6" s="142"/>
      <c r="O6" s="142"/>
      <c r="P6" s="142"/>
      <c r="Q6" s="142"/>
      <c r="R6" s="137"/>
      <c r="S6" s="143"/>
    </row>
    <row r="7" spans="1:19" ht="21" customHeight="1" x14ac:dyDescent="0.15">
      <c r="A7" s="12">
        <v>457</v>
      </c>
      <c r="B7" s="136" t="s">
        <v>235</v>
      </c>
      <c r="C7" s="137" t="s">
        <v>270</v>
      </c>
      <c r="D7" s="137" t="s">
        <v>272</v>
      </c>
      <c r="E7" s="138">
        <f t="shared" si="0"/>
        <v>18</v>
      </c>
      <c r="F7" s="153" t="s">
        <v>271</v>
      </c>
      <c r="G7" s="56" t="str">
        <f ca="1">VLOOKUP($A7,OFFSET([1]characters!$A$1,0,0,COUNTA([1]characters!$A:$A),MATCH("name",[1]characters!$1:$1,0)-MATCH("character_id",[1]characters!$1:$1,0)+1),MATCH("name",[1]characters!$1:$1,0)-MATCH("character_id",[1]characters!$1:$1,0)+1,FALSE)</f>
        <v>京速射絶 ユヅル</v>
      </c>
      <c r="H7" s="139">
        <v>3</v>
      </c>
      <c r="I7" s="139"/>
      <c r="J7" s="144"/>
      <c r="K7" s="140">
        <v>1</v>
      </c>
      <c r="L7" s="141"/>
      <c r="M7" s="142"/>
      <c r="N7" s="142"/>
      <c r="O7" s="142"/>
      <c r="P7" s="142"/>
      <c r="Q7" s="142"/>
      <c r="R7" s="137"/>
      <c r="S7" s="143"/>
    </row>
    <row r="8" spans="1:19" ht="21" customHeight="1" x14ac:dyDescent="0.15">
      <c r="A8" s="12">
        <v>458</v>
      </c>
      <c r="B8" s="136" t="s">
        <v>236</v>
      </c>
      <c r="C8" s="150" t="s">
        <v>287</v>
      </c>
      <c r="D8" s="137" t="s">
        <v>280</v>
      </c>
      <c r="E8" s="138">
        <f t="shared" si="0"/>
        <v>16</v>
      </c>
      <c r="F8" s="152" t="s">
        <v>282</v>
      </c>
      <c r="G8" s="56" t="str">
        <f ca="1">VLOOKUP($A8,OFFSET([1]characters!$A$1,0,0,COUNTA([1]characters!$A:$A),MATCH("name",[1]characters!$1:$1,0)-MATCH("character_id",[1]characters!$1:$1,0)+1),MATCH("name",[1]characters!$1:$1,0)-MATCH("character_id",[1]characters!$1:$1,0)+1,FALSE)</f>
        <v>嵐龍 スガル</v>
      </c>
      <c r="H8" s="139">
        <v>3</v>
      </c>
      <c r="I8" s="139"/>
      <c r="J8" s="144"/>
      <c r="K8" s="140">
        <v>1</v>
      </c>
      <c r="L8" s="141"/>
      <c r="M8" s="142"/>
      <c r="N8" s="142"/>
      <c r="O8" s="142"/>
      <c r="P8" s="142"/>
      <c r="Q8" s="142"/>
      <c r="R8" s="137"/>
      <c r="S8" s="143"/>
    </row>
    <row r="9" spans="1:19" ht="21" customHeight="1" x14ac:dyDescent="0.15">
      <c r="A9" s="12">
        <v>459</v>
      </c>
      <c r="B9" s="136" t="s">
        <v>233</v>
      </c>
      <c r="C9" s="150" t="s">
        <v>288</v>
      </c>
      <c r="D9" s="137" t="s">
        <v>281</v>
      </c>
      <c r="E9" s="138">
        <f t="shared" si="0"/>
        <v>17</v>
      </c>
      <c r="F9" s="152" t="s">
        <v>317</v>
      </c>
      <c r="G9" s="56" t="str">
        <f ca="1">VLOOKUP($A9,OFFSET([1]characters!$A$1,0,0,COUNTA([1]characters!$A:$A),MATCH("name",[1]characters!$1:$1,0)-MATCH("character_id",[1]characters!$1:$1,0)+1),MATCH("name",[1]characters!$1:$1,0)-MATCH("character_id",[1]characters!$1:$1,0)+1,FALSE)</f>
        <v>威喝の嵐龍 スガル</v>
      </c>
      <c r="H9" s="139">
        <v>3</v>
      </c>
      <c r="I9" s="139"/>
      <c r="J9" s="144"/>
      <c r="K9" s="140">
        <v>1</v>
      </c>
      <c r="L9" s="141"/>
      <c r="M9" s="142"/>
      <c r="N9" s="142"/>
      <c r="O9" s="142"/>
      <c r="P9" s="142"/>
      <c r="Q9" s="142"/>
      <c r="R9" s="137"/>
      <c r="S9" s="143"/>
    </row>
    <row r="10" spans="1:19" ht="21" customHeight="1" x14ac:dyDescent="0.15">
      <c r="A10" s="12">
        <v>460</v>
      </c>
      <c r="B10" s="136" t="s">
        <v>228</v>
      </c>
      <c r="C10" s="150" t="s">
        <v>275</v>
      </c>
      <c r="D10" s="137" t="s">
        <v>260</v>
      </c>
      <c r="E10" s="138">
        <f t="shared" si="0"/>
        <v>10</v>
      </c>
      <c r="F10" s="121" t="s">
        <v>261</v>
      </c>
      <c r="G10" s="56" t="str">
        <f ca="1">VLOOKUP($A10,OFFSET([1]characters!$A$1,0,0,COUNTA([1]characters!$A:$A),MATCH("name",[1]characters!$1:$1,0)-MATCH("character_id",[1]characters!$1:$1,0)+1),MATCH("name",[1]characters!$1:$1,0)-MATCH("character_id",[1]characters!$1:$1,0)+1,FALSE)</f>
        <v>オズ</v>
      </c>
      <c r="H10" s="139">
        <v>3</v>
      </c>
      <c r="I10" s="139"/>
      <c r="J10" s="144"/>
      <c r="K10" s="140">
        <v>1</v>
      </c>
      <c r="L10" s="141"/>
      <c r="M10" s="142"/>
      <c r="N10" s="142"/>
      <c r="O10" s="142"/>
      <c r="P10" s="142"/>
      <c r="Q10" s="142"/>
      <c r="R10" s="137"/>
      <c r="S10" s="143"/>
    </row>
    <row r="11" spans="1:19" ht="21" customHeight="1" x14ac:dyDescent="0.15">
      <c r="A11" s="12">
        <v>461</v>
      </c>
      <c r="B11" s="136" t="s">
        <v>237</v>
      </c>
      <c r="C11" s="150" t="s">
        <v>276</v>
      </c>
      <c r="D11" s="137" t="s">
        <v>260</v>
      </c>
      <c r="E11" s="138">
        <f t="shared" si="0"/>
        <v>10</v>
      </c>
      <c r="F11" s="121" t="s">
        <v>279</v>
      </c>
      <c r="G11" s="56" t="str">
        <f ca="1">VLOOKUP($A11,OFFSET([1]characters!$A$1,0,0,COUNTA([1]characters!$A:$A),MATCH("name",[1]characters!$1:$1,0)-MATCH("character_id",[1]characters!$1:$1,0)+1),MATCH("name",[1]characters!$1:$1,0)-MATCH("character_id",[1]characters!$1:$1,0)+1,FALSE)</f>
        <v>大いなる虚像 オズ</v>
      </c>
      <c r="H11" s="139">
        <v>3</v>
      </c>
      <c r="I11" s="139"/>
      <c r="J11" s="144"/>
      <c r="K11" s="140">
        <v>1</v>
      </c>
      <c r="L11" s="141"/>
      <c r="M11" s="142"/>
      <c r="N11" s="142"/>
      <c r="O11" s="142"/>
      <c r="P11" s="142"/>
      <c r="Q11" s="142"/>
      <c r="R11" s="137"/>
      <c r="S11" s="143"/>
    </row>
    <row r="12" spans="1:19" ht="21" customHeight="1" x14ac:dyDescent="0.15">
      <c r="A12" s="12">
        <v>472</v>
      </c>
      <c r="B12" s="136" t="s">
        <v>237</v>
      </c>
      <c r="C12" s="150" t="s">
        <v>290</v>
      </c>
      <c r="D12" s="137" t="s">
        <v>291</v>
      </c>
      <c r="E12" s="138">
        <f t="shared" ref="E12:E13" si="1">LEN(D12)</f>
        <v>18</v>
      </c>
      <c r="F12" s="152" t="s">
        <v>292</v>
      </c>
      <c r="G12" s="56" t="str">
        <f ca="1">VLOOKUP($A12,OFFSET([1]characters!$A$1,0,0,COUNTA([1]characters!$A:$A),MATCH("name",[1]characters!$1:$1,0)-MATCH("character_id",[1]characters!$1:$1,0)+1),MATCH("name",[1]characters!$1:$1,0)-MATCH("character_id",[1]characters!$1:$1,0)+1,FALSE)</f>
        <v>アーサー</v>
      </c>
      <c r="H12" s="139">
        <v>3</v>
      </c>
      <c r="I12" s="139"/>
      <c r="J12" s="144"/>
      <c r="K12" s="140">
        <v>2</v>
      </c>
      <c r="L12" s="141"/>
      <c r="M12" s="142"/>
      <c r="N12" s="142"/>
      <c r="O12" s="142"/>
      <c r="P12" s="142"/>
      <c r="Q12" s="142"/>
      <c r="R12" s="137"/>
      <c r="S12" s="143"/>
    </row>
    <row r="13" spans="1:19" ht="21" customHeight="1" x14ac:dyDescent="0.15">
      <c r="A13" s="12">
        <v>473</v>
      </c>
      <c r="B13" s="136" t="s">
        <v>237</v>
      </c>
      <c r="C13" s="150" t="s">
        <v>290</v>
      </c>
      <c r="D13" s="137" t="s">
        <v>291</v>
      </c>
      <c r="E13" s="138">
        <f t="shared" si="1"/>
        <v>18</v>
      </c>
      <c r="F13" s="152" t="s">
        <v>293</v>
      </c>
      <c r="G13" s="56" t="str">
        <f ca="1">VLOOKUP($A13,OFFSET([1]characters!$A$1,0,0,COUNTA([1]characters!$A:$A),MATCH("name",[1]characters!$1:$1,0)-MATCH("character_id",[1]characters!$1:$1,0)+1),MATCH("name",[1]characters!$1:$1,0)-MATCH("character_id",[1]characters!$1:$1,0)+1,FALSE)</f>
        <v>凶堅なる正義 アーサー</v>
      </c>
      <c r="H13" s="139">
        <v>3</v>
      </c>
      <c r="I13" s="139"/>
      <c r="J13" s="144"/>
      <c r="K13" s="140">
        <v>3</v>
      </c>
      <c r="L13" s="141"/>
      <c r="M13" s="142"/>
      <c r="N13" s="142"/>
      <c r="O13" s="142"/>
      <c r="P13" s="142"/>
      <c r="Q13" s="142"/>
      <c r="R13" s="137"/>
      <c r="S13" s="143"/>
    </row>
  </sheetData>
  <sheetProtection selectLockedCells="1" selectUnlockedCells="1"/>
  <autoFilter ref="A1:J1"/>
  <phoneticPr fontId="22"/>
  <conditionalFormatting sqref="E2:E13">
    <cfRule type="cellIs" dxfId="22" priority="1" operator="greaterThan">
      <formula>41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0000FF"/>
  </sheetPr>
  <dimension ref="A1:E25"/>
  <sheetViews>
    <sheetView workbookViewId="0">
      <selection activeCell="F24" sqref="F24"/>
    </sheetView>
  </sheetViews>
  <sheetFormatPr baseColWidth="12" defaultRowHeight="15" x14ac:dyDescent="0.15"/>
  <sheetData>
    <row r="1" spans="1:5" x14ac:dyDescent="0.15">
      <c r="A1" s="118" t="s">
        <v>166</v>
      </c>
      <c r="B1" s="118" t="s">
        <v>167</v>
      </c>
      <c r="C1" s="118" t="s">
        <v>169</v>
      </c>
      <c r="D1" s="116" t="s">
        <v>171</v>
      </c>
      <c r="E1" s="116" t="s">
        <v>170</v>
      </c>
    </row>
    <row r="2" spans="1:5" x14ac:dyDescent="0.15">
      <c r="A2" s="112"/>
      <c r="B2" s="112"/>
      <c r="C2" s="112"/>
      <c r="D2" s="112"/>
      <c r="E2" s="112"/>
    </row>
    <row r="3" spans="1:5" x14ac:dyDescent="0.15">
      <c r="A3" s="112"/>
      <c r="B3" s="112"/>
      <c r="C3" s="112"/>
      <c r="D3" s="112"/>
      <c r="E3" s="112"/>
    </row>
    <row r="4" spans="1:5" x14ac:dyDescent="0.15">
      <c r="A4" s="112"/>
      <c r="B4" s="112"/>
      <c r="C4" s="112"/>
      <c r="D4" s="112"/>
      <c r="E4" s="112"/>
    </row>
    <row r="5" spans="1:5" x14ac:dyDescent="0.15">
      <c r="A5" s="112"/>
      <c r="B5" s="112"/>
      <c r="C5" s="112"/>
      <c r="D5" s="112"/>
      <c r="E5" s="112"/>
    </row>
    <row r="6" spans="1:5" x14ac:dyDescent="0.15">
      <c r="A6" s="112"/>
      <c r="B6" s="112"/>
      <c r="C6" s="112"/>
      <c r="D6" s="112"/>
      <c r="E6" s="112"/>
    </row>
    <row r="7" spans="1:5" x14ac:dyDescent="0.15">
      <c r="A7" s="112"/>
      <c r="B7" s="112"/>
      <c r="C7" s="112"/>
      <c r="D7" s="112"/>
      <c r="E7" s="112"/>
    </row>
    <row r="8" spans="1:5" x14ac:dyDescent="0.15">
      <c r="A8" s="112"/>
      <c r="B8" s="112"/>
      <c r="C8" s="112"/>
      <c r="D8" s="112"/>
      <c r="E8" s="112"/>
    </row>
    <row r="9" spans="1:5" x14ac:dyDescent="0.15">
      <c r="A9" s="112"/>
      <c r="B9" s="112"/>
      <c r="C9" s="112"/>
      <c r="D9" s="112"/>
      <c r="E9" s="112"/>
    </row>
    <row r="10" spans="1:5" x14ac:dyDescent="0.15">
      <c r="A10" s="112"/>
      <c r="B10" s="112"/>
      <c r="C10" s="112"/>
      <c r="D10" s="112"/>
      <c r="E10" s="112"/>
    </row>
    <row r="11" spans="1:5" x14ac:dyDescent="0.15">
      <c r="A11" s="112"/>
      <c r="B11" s="112"/>
      <c r="C11" s="112"/>
      <c r="D11" s="112"/>
      <c r="E11" s="112"/>
    </row>
    <row r="12" spans="1:5" x14ac:dyDescent="0.15">
      <c r="A12" s="112"/>
      <c r="B12" s="112"/>
      <c r="C12" s="112"/>
      <c r="D12" s="112"/>
      <c r="E12" s="112"/>
    </row>
    <row r="13" spans="1:5" x14ac:dyDescent="0.15">
      <c r="A13" s="112"/>
      <c r="B13" s="112"/>
      <c r="C13" s="112"/>
      <c r="D13" s="112"/>
      <c r="E13" s="112"/>
    </row>
    <row r="14" spans="1:5" x14ac:dyDescent="0.15">
      <c r="A14" s="112"/>
      <c r="B14" s="112"/>
      <c r="C14" s="112"/>
      <c r="D14" s="112"/>
      <c r="E14" s="112"/>
    </row>
    <row r="15" spans="1:5" x14ac:dyDescent="0.15">
      <c r="A15" s="112"/>
      <c r="B15" s="112"/>
      <c r="C15" s="112"/>
      <c r="D15" s="112"/>
      <c r="E15" s="112"/>
    </row>
    <row r="16" spans="1:5" x14ac:dyDescent="0.15">
      <c r="A16" s="112"/>
      <c r="B16" s="112"/>
      <c r="C16" s="112"/>
      <c r="D16" s="112"/>
      <c r="E16" s="112"/>
    </row>
    <row r="17" spans="1:5" x14ac:dyDescent="0.15">
      <c r="A17" s="112"/>
      <c r="B17" s="112"/>
      <c r="C17" s="112"/>
      <c r="D17" s="112"/>
      <c r="E17" s="112"/>
    </row>
    <row r="18" spans="1:5" x14ac:dyDescent="0.15">
      <c r="A18" s="112"/>
      <c r="B18" s="112"/>
      <c r="C18" s="112"/>
      <c r="D18" s="112"/>
      <c r="E18" s="112"/>
    </row>
    <row r="19" spans="1:5" x14ac:dyDescent="0.15">
      <c r="A19" s="112"/>
      <c r="B19" s="112"/>
      <c r="C19" s="112"/>
      <c r="D19" s="112"/>
      <c r="E19" s="112"/>
    </row>
    <row r="20" spans="1:5" x14ac:dyDescent="0.15">
      <c r="A20" s="112"/>
      <c r="B20" s="112"/>
      <c r="C20" s="112"/>
      <c r="D20" s="112"/>
      <c r="E20" s="112"/>
    </row>
    <row r="21" spans="1:5" x14ac:dyDescent="0.15">
      <c r="A21" s="112"/>
      <c r="B21" s="112"/>
      <c r="C21" s="112"/>
      <c r="D21" s="112"/>
      <c r="E21" s="112"/>
    </row>
    <row r="22" spans="1:5" x14ac:dyDescent="0.15">
      <c r="A22" s="112"/>
      <c r="B22" s="112"/>
      <c r="C22" s="112"/>
      <c r="D22" s="112"/>
      <c r="E22" s="112"/>
    </row>
    <row r="23" spans="1:5" x14ac:dyDescent="0.15">
      <c r="A23" s="112"/>
      <c r="B23" s="112"/>
      <c r="C23" s="112"/>
      <c r="D23" s="112"/>
      <c r="E23" s="112"/>
    </row>
    <row r="24" spans="1:5" x14ac:dyDescent="0.15">
      <c r="A24" s="112"/>
      <c r="B24" s="112"/>
      <c r="C24" s="112"/>
      <c r="D24" s="112"/>
      <c r="E24" s="112"/>
    </row>
    <row r="25" spans="1:5" x14ac:dyDescent="0.15">
      <c r="A25" s="112"/>
      <c r="B25" s="112"/>
      <c r="C25" s="112"/>
      <c r="D25" s="112"/>
      <c r="E25" s="112"/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I23"/>
  <sheetViews>
    <sheetView showGridLines="0" workbookViewId="0">
      <pane ySplit="1" topLeftCell="A2" activePane="bottomLeft" state="frozen"/>
      <selection pane="bottomLeft" activeCell="B25" sqref="B25"/>
    </sheetView>
  </sheetViews>
  <sheetFormatPr baseColWidth="12" defaultColWidth="13" defaultRowHeight="15" x14ac:dyDescent="0.15"/>
  <cols>
    <col min="1" max="1" width="11.5" style="64" bestFit="1" customWidth="1"/>
    <col min="2" max="2" width="19.1640625" style="3" bestFit="1" customWidth="1"/>
    <col min="3" max="3" width="22.83203125" style="2" bestFit="1" customWidth="1"/>
    <col min="4" max="4" width="9.6640625" style="2" bestFit="1" customWidth="1"/>
    <col min="5" max="5" width="13.6640625" style="2" bestFit="1" customWidth="1"/>
    <col min="6" max="6" width="21.33203125" style="2" bestFit="1" customWidth="1"/>
    <col min="7" max="7" width="13.5" style="2" bestFit="1" customWidth="1"/>
    <col min="8" max="8" width="17" style="1" bestFit="1" customWidth="1"/>
    <col min="9" max="16384" width="13" style="2"/>
  </cols>
  <sheetData>
    <row r="1" spans="1:9" ht="21" customHeight="1" x14ac:dyDescent="0.15">
      <c r="A1" s="64" t="s">
        <v>125</v>
      </c>
      <c r="B1" s="41" t="s">
        <v>60</v>
      </c>
      <c r="C1" s="19" t="s">
        <v>66</v>
      </c>
      <c r="D1" s="19" t="s">
        <v>68</v>
      </c>
      <c r="E1" s="19" t="s">
        <v>69</v>
      </c>
      <c r="F1" s="42" t="s">
        <v>58</v>
      </c>
      <c r="G1" s="19" t="s">
        <v>67</v>
      </c>
      <c r="H1" s="18" t="s">
        <v>59</v>
      </c>
      <c r="I1" s="117" t="s">
        <v>160</v>
      </c>
    </row>
    <row r="2" spans="1:9" x14ac:dyDescent="0.15">
      <c r="A2" s="64" t="str">
        <f t="shared" ref="A2:A19" si="0">B2&amp;"_"&amp;F2</f>
        <v>452_104</v>
      </c>
      <c r="B2" s="145">
        <v>452</v>
      </c>
      <c r="C2" s="146" t="e">
        <f ca="1">VLOOKUP($B2,OFFSET([2]units!$A$1,0,0,COUNTA([2]units!$A:$A),MATCH(C$1,[2]units!$1:$1,0)-COLUMN(INDIRECT("character_id"))+1),MATCH(C$1,[2]units!$1:$1,0)-COLUMN(INDIRECT("character_id"))+1,FALSE)</f>
        <v>#VALUE!</v>
      </c>
      <c r="D2" s="146" t="e">
        <f ca="1">VLOOKUP($B2,OFFSET([2]units!$A$1,0,0,COUNTA([2]units!$A:$A),MATCH(D$1,[2]units!$1:$1,0)-COLUMN(INDIRECT("character_id"))+1),MATCH(D$1,[2]units!$1:$1,0)-COLUMN(INDIRECT("character_id"))+1,FALSE)</f>
        <v>#VALUE!</v>
      </c>
      <c r="E2" s="146" t="e">
        <f ca="1">VLOOKUP($B2,OFFSET([2]units!$A$1,0,0,COUNTA([2]units!$A:$A),MATCH(E$1,[2]units!$1:$1,0)-COLUMN(INDIRECT("character_id"))+1),MATCH(E$1,[2]units!$1:$1,0)-COLUMN(INDIRECT("character_id"))+1,FALSE)</f>
        <v>#VALUE!</v>
      </c>
      <c r="F2" s="147">
        <v>104</v>
      </c>
      <c r="G2" s="146" t="e">
        <f ca="1">VLOOKUP($F2,OFFSET([2]units!$A$1,0,0,COUNTA([2]units!$A:$A),MATCH(G$1,[2]units!$1:$1,0)-COLUMN(INDIRECT("character_id"))+1),MATCH(G$1,[2]units!$1:$1,0)-COLUMN(INDIRECT("character_id"))+1,FALSE)</f>
        <v>#VALUE!</v>
      </c>
      <c r="H2" s="148">
        <v>1</v>
      </c>
      <c r="I2" s="149">
        <v>1</v>
      </c>
    </row>
    <row r="3" spans="1:9" x14ac:dyDescent="0.15">
      <c r="A3" s="64" t="str">
        <f t="shared" si="0"/>
        <v>452_103</v>
      </c>
      <c r="B3" s="145">
        <v>452</v>
      </c>
      <c r="C3" s="146" t="e">
        <f ca="1">VLOOKUP($B3,OFFSET([2]units!$A$1,0,0,COUNTA([2]units!$A:$A),MATCH(C$1,[2]units!$1:$1,0)-COLUMN(INDIRECT("character_id"))+1),MATCH(C$1,[2]units!$1:$1,0)-COLUMN(INDIRECT("character_id"))+1,FALSE)</f>
        <v>#VALUE!</v>
      </c>
      <c r="D3" s="146" t="e">
        <f ca="1">VLOOKUP($B3,OFFSET([2]units!$A$1,0,0,COUNTA([2]units!$A:$A),MATCH(D$1,[2]units!$1:$1,0)-COLUMN(INDIRECT("character_id"))+1),MATCH(D$1,[2]units!$1:$1,0)-COLUMN(INDIRECT("character_id"))+1,FALSE)</f>
        <v>#VALUE!</v>
      </c>
      <c r="E3" s="146" t="e">
        <f ca="1">VLOOKUP($B3,OFFSET([2]units!$A$1,0,0,COUNTA([2]units!$A:$A),MATCH(E$1,[2]units!$1:$1,0)-COLUMN(INDIRECT("character_id"))+1),MATCH(E$1,[2]units!$1:$1,0)-COLUMN(INDIRECT("character_id"))+1,FALSE)</f>
        <v>#VALUE!</v>
      </c>
      <c r="F3" s="147">
        <f>F2-1</f>
        <v>103</v>
      </c>
      <c r="G3" s="146" t="e">
        <f ca="1">VLOOKUP($F3,OFFSET([2]units!$A$1,0,0,COUNTA([2]units!$A:$A),MATCH(G$1,[2]units!$1:$1,0)-COLUMN(INDIRECT("character_id"))+1),MATCH(G$1,[2]units!$1:$1,0)-COLUMN(INDIRECT("character_id"))+1,FALSE)</f>
        <v>#VALUE!</v>
      </c>
      <c r="H3" s="148">
        <v>1</v>
      </c>
      <c r="I3" s="149">
        <v>1</v>
      </c>
    </row>
    <row r="4" spans="1:9" x14ac:dyDescent="0.15">
      <c r="A4" s="64" t="str">
        <f t="shared" si="0"/>
        <v>452_102</v>
      </c>
      <c r="B4" s="145">
        <v>452</v>
      </c>
      <c r="C4" s="146" t="e">
        <f ca="1">VLOOKUP($B4,OFFSET([2]units!$A$1,0,0,COUNTA([2]units!$A:$A),MATCH(C$1,[2]units!$1:$1,0)-COLUMN(INDIRECT("character_id"))+1),MATCH(C$1,[2]units!$1:$1,0)-COLUMN(INDIRECT("character_id"))+1,FALSE)</f>
        <v>#VALUE!</v>
      </c>
      <c r="D4" s="146" t="e">
        <f ca="1">VLOOKUP($B4,OFFSET([2]units!$A$1,0,0,COUNTA([2]units!$A:$A),MATCH(D$1,[2]units!$1:$1,0)-COLUMN(INDIRECT("character_id"))+1),MATCH(D$1,[2]units!$1:$1,0)-COLUMN(INDIRECT("character_id"))+1,FALSE)</f>
        <v>#VALUE!</v>
      </c>
      <c r="E4" s="146" t="e">
        <f ca="1">VLOOKUP($B4,OFFSET([2]units!$A$1,0,0,COUNTA([2]units!$A:$A),MATCH(E$1,[2]units!$1:$1,0)-COLUMN(INDIRECT("character_id"))+1),MATCH(E$1,[2]units!$1:$1,0)-COLUMN(INDIRECT("character_id"))+1,FALSE)</f>
        <v>#VALUE!</v>
      </c>
      <c r="F4" s="147">
        <f t="shared" ref="F4:F5" si="1">F3-1</f>
        <v>102</v>
      </c>
      <c r="G4" s="146" t="e">
        <f ca="1">VLOOKUP($F4,OFFSET([2]units!$A$1,0,0,COUNTA([2]units!$A:$A),MATCH(G$1,[2]units!$1:$1,0)-COLUMN(INDIRECT("character_id"))+1),MATCH(G$1,[2]units!$1:$1,0)-COLUMN(INDIRECT("character_id"))+1,FALSE)</f>
        <v>#VALUE!</v>
      </c>
      <c r="H4" s="148">
        <v>2</v>
      </c>
      <c r="I4" s="149">
        <v>1</v>
      </c>
    </row>
    <row r="5" spans="1:9" x14ac:dyDescent="0.15">
      <c r="A5" s="64" t="str">
        <f t="shared" si="0"/>
        <v>452_101</v>
      </c>
      <c r="B5" s="145">
        <v>452</v>
      </c>
      <c r="C5" s="146" t="e">
        <f ca="1">VLOOKUP($B5,OFFSET([2]units!$A$1,0,0,COUNTA([2]units!$A:$A),MATCH(C$1,[2]units!$1:$1,0)-COLUMN(INDIRECT("character_id"))+1),MATCH(C$1,[2]units!$1:$1,0)-COLUMN(INDIRECT("character_id"))+1,FALSE)</f>
        <v>#VALUE!</v>
      </c>
      <c r="D5" s="146" t="e">
        <f ca="1">VLOOKUP($B5,OFFSET([2]units!$A$1,0,0,COUNTA([2]units!$A:$A),MATCH(D$1,[2]units!$1:$1,0)-COLUMN(INDIRECT("character_id"))+1),MATCH(D$1,[2]units!$1:$1,0)-COLUMN(INDIRECT("character_id"))+1,FALSE)</f>
        <v>#VALUE!</v>
      </c>
      <c r="E5" s="146" t="e">
        <f ca="1">VLOOKUP($B5,OFFSET([2]units!$A$1,0,0,COUNTA([2]units!$A:$A),MATCH(E$1,[2]units!$1:$1,0)-COLUMN(INDIRECT("character_id"))+1),MATCH(E$1,[2]units!$1:$1,0)-COLUMN(INDIRECT("character_id"))+1,FALSE)</f>
        <v>#VALUE!</v>
      </c>
      <c r="F5" s="147">
        <f t="shared" si="1"/>
        <v>101</v>
      </c>
      <c r="G5" s="146" t="e">
        <f ca="1">VLOOKUP($F5,OFFSET([2]units!$A$1,0,0,COUNTA([2]units!$A:$A),MATCH(G$1,[2]units!$1:$1,0)-COLUMN(INDIRECT("character_id"))+1),MATCH(G$1,[2]units!$1:$1,0)-COLUMN(INDIRECT("character_id"))+1,FALSE)</f>
        <v>#VALUE!</v>
      </c>
      <c r="H5" s="148">
        <v>1</v>
      </c>
      <c r="I5" s="149">
        <v>1</v>
      </c>
    </row>
    <row r="6" spans="1:9" x14ac:dyDescent="0.15">
      <c r="A6" s="64" t="str">
        <f t="shared" si="0"/>
        <v>454_108</v>
      </c>
      <c r="B6" s="145">
        <v>454</v>
      </c>
      <c r="C6" s="146" t="e">
        <f ca="1">VLOOKUP($B6,OFFSET([2]units!$A$1,0,0,COUNTA([2]units!$A:$A),MATCH(C$1,[2]units!$1:$1,0)-COLUMN(INDIRECT("character_id"))+1),MATCH(C$1,[2]units!$1:$1,0)-COLUMN(INDIRECT("character_id"))+1,FALSE)</f>
        <v>#VALUE!</v>
      </c>
      <c r="D6" s="146" t="e">
        <f ca="1">VLOOKUP($B6,OFFSET([2]units!$A$1,0,0,COUNTA([2]units!$A:$A),MATCH(D$1,[2]units!$1:$1,0)-COLUMN(INDIRECT("character_id"))+1),MATCH(D$1,[2]units!$1:$1,0)-COLUMN(INDIRECT("character_id"))+1,FALSE)</f>
        <v>#VALUE!</v>
      </c>
      <c r="E6" s="146" t="e">
        <f ca="1">VLOOKUP($B6,OFFSET([2]units!$A$1,0,0,COUNTA([2]units!$A:$A),MATCH(E$1,[2]units!$1:$1,0)-COLUMN(INDIRECT("character_id"))+1),MATCH(E$1,[2]units!$1:$1,0)-COLUMN(INDIRECT("character_id"))+1,FALSE)</f>
        <v>#VALUE!</v>
      </c>
      <c r="F6" s="147">
        <v>108</v>
      </c>
      <c r="G6" s="146" t="e">
        <f ca="1">VLOOKUP($F6,OFFSET([2]units!$A$1,0,0,COUNTA([2]units!$A:$A),MATCH(G$1,[2]units!$1:$1,0)-COLUMN(INDIRECT("character_id"))+1),MATCH(G$1,[2]units!$1:$1,0)-COLUMN(INDIRECT("character_id"))+1,FALSE)</f>
        <v>#VALUE!</v>
      </c>
      <c r="H6" s="148">
        <v>1</v>
      </c>
      <c r="I6" s="149">
        <v>1</v>
      </c>
    </row>
    <row r="7" spans="1:9" x14ac:dyDescent="0.15">
      <c r="A7" s="64" t="str">
        <f t="shared" si="0"/>
        <v>454_107</v>
      </c>
      <c r="B7" s="145">
        <v>454</v>
      </c>
      <c r="C7" s="146" t="e">
        <f ca="1">VLOOKUP($B7,OFFSET([2]units!$A$1,0,0,COUNTA([2]units!$A:$A),MATCH(C$1,[2]units!$1:$1,0)-COLUMN(INDIRECT("character_id"))+1),MATCH(C$1,[2]units!$1:$1,0)-COLUMN(INDIRECT("character_id"))+1,FALSE)</f>
        <v>#VALUE!</v>
      </c>
      <c r="D7" s="146" t="e">
        <f ca="1">VLOOKUP($B7,OFFSET([2]units!$A$1,0,0,COUNTA([2]units!$A:$A),MATCH(D$1,[2]units!$1:$1,0)-COLUMN(INDIRECT("character_id"))+1),MATCH(D$1,[2]units!$1:$1,0)-COLUMN(INDIRECT("character_id"))+1,FALSE)</f>
        <v>#VALUE!</v>
      </c>
      <c r="E7" s="146" t="e">
        <f ca="1">VLOOKUP($B7,OFFSET([2]units!$A$1,0,0,COUNTA([2]units!$A:$A),MATCH(E$1,[2]units!$1:$1,0)-COLUMN(INDIRECT("character_id"))+1),MATCH(E$1,[2]units!$1:$1,0)-COLUMN(INDIRECT("character_id"))+1,FALSE)</f>
        <v>#VALUE!</v>
      </c>
      <c r="F7" s="147">
        <f>F6-1</f>
        <v>107</v>
      </c>
      <c r="G7" s="146" t="e">
        <f ca="1">VLOOKUP($F7,OFFSET([2]units!$A$1,0,0,COUNTA([2]units!$A:$A),MATCH(G$1,[2]units!$1:$1,0)-COLUMN(INDIRECT("character_id"))+1),MATCH(G$1,[2]units!$1:$1,0)-COLUMN(INDIRECT("character_id"))+1,FALSE)</f>
        <v>#VALUE!</v>
      </c>
      <c r="H7" s="148">
        <v>1</v>
      </c>
      <c r="I7" s="149">
        <v>1</v>
      </c>
    </row>
    <row r="8" spans="1:9" x14ac:dyDescent="0.15">
      <c r="A8" s="64" t="str">
        <f t="shared" si="0"/>
        <v>454_106</v>
      </c>
      <c r="B8" s="145">
        <v>454</v>
      </c>
      <c r="C8" s="146" t="e">
        <f ca="1">VLOOKUP($B8,OFFSET([2]units!$A$1,0,0,COUNTA([2]units!$A:$A),MATCH(C$1,[2]units!$1:$1,0)-COLUMN(INDIRECT("character_id"))+1),MATCH(C$1,[2]units!$1:$1,0)-COLUMN(INDIRECT("character_id"))+1,FALSE)</f>
        <v>#VALUE!</v>
      </c>
      <c r="D8" s="146" t="e">
        <f ca="1">VLOOKUP($B8,OFFSET([2]units!$A$1,0,0,COUNTA([2]units!$A:$A),MATCH(D$1,[2]units!$1:$1,0)-COLUMN(INDIRECT("character_id"))+1),MATCH(D$1,[2]units!$1:$1,0)-COLUMN(INDIRECT("character_id"))+1,FALSE)</f>
        <v>#VALUE!</v>
      </c>
      <c r="E8" s="146" t="e">
        <f ca="1">VLOOKUP($B8,OFFSET([2]units!$A$1,0,0,COUNTA([2]units!$A:$A),MATCH(E$1,[2]units!$1:$1,0)-COLUMN(INDIRECT("character_id"))+1),MATCH(E$1,[2]units!$1:$1,0)-COLUMN(INDIRECT("character_id"))+1,FALSE)</f>
        <v>#VALUE!</v>
      </c>
      <c r="F8" s="147">
        <f t="shared" ref="F8:F9" si="2">F7-1</f>
        <v>106</v>
      </c>
      <c r="G8" s="146" t="e">
        <f ca="1">VLOOKUP($F8,OFFSET([2]units!$A$1,0,0,COUNTA([2]units!$A:$A),MATCH(G$1,[2]units!$1:$1,0)-COLUMN(INDIRECT("character_id"))+1),MATCH(G$1,[2]units!$1:$1,0)-COLUMN(INDIRECT("character_id"))+1,FALSE)</f>
        <v>#VALUE!</v>
      </c>
      <c r="H8" s="148">
        <v>2</v>
      </c>
      <c r="I8" s="149">
        <v>1</v>
      </c>
    </row>
    <row r="9" spans="1:9" x14ac:dyDescent="0.15">
      <c r="A9" s="64" t="str">
        <f t="shared" si="0"/>
        <v>454_105</v>
      </c>
      <c r="B9" s="145">
        <v>454</v>
      </c>
      <c r="C9" s="146" t="e">
        <f ca="1">VLOOKUP($B9,OFFSET([2]units!$A$1,0,0,COUNTA([2]units!$A:$A),MATCH(C$1,[2]units!$1:$1,0)-COLUMN(INDIRECT("character_id"))+1),MATCH(C$1,[2]units!$1:$1,0)-COLUMN(INDIRECT("character_id"))+1,FALSE)</f>
        <v>#VALUE!</v>
      </c>
      <c r="D9" s="146" t="e">
        <f ca="1">VLOOKUP($B9,OFFSET([2]units!$A$1,0,0,COUNTA([2]units!$A:$A),MATCH(D$1,[2]units!$1:$1,0)-COLUMN(INDIRECT("character_id"))+1),MATCH(D$1,[2]units!$1:$1,0)-COLUMN(INDIRECT("character_id"))+1,FALSE)</f>
        <v>#VALUE!</v>
      </c>
      <c r="E9" s="146" t="e">
        <f ca="1">VLOOKUP($B9,OFFSET([2]units!$A$1,0,0,COUNTA([2]units!$A:$A),MATCH(E$1,[2]units!$1:$1,0)-COLUMN(INDIRECT("character_id"))+1),MATCH(E$1,[2]units!$1:$1,0)-COLUMN(INDIRECT("character_id"))+1,FALSE)</f>
        <v>#VALUE!</v>
      </c>
      <c r="F9" s="147">
        <f t="shared" si="2"/>
        <v>105</v>
      </c>
      <c r="G9" s="146" t="e">
        <f ca="1">VLOOKUP($F9,OFFSET([2]units!$A$1,0,0,COUNTA([2]units!$A:$A),MATCH(G$1,[2]units!$1:$1,0)-COLUMN(INDIRECT("character_id"))+1),MATCH(G$1,[2]units!$1:$1,0)-COLUMN(INDIRECT("character_id"))+1,FALSE)</f>
        <v>#VALUE!</v>
      </c>
      <c r="H9" s="148">
        <v>1</v>
      </c>
      <c r="I9" s="149">
        <v>1</v>
      </c>
    </row>
    <row r="10" spans="1:9" x14ac:dyDescent="0.15">
      <c r="A10" s="64" t="str">
        <f t="shared" si="0"/>
        <v>456_112</v>
      </c>
      <c r="B10" s="145">
        <v>456</v>
      </c>
      <c r="C10" s="146" t="e">
        <f ca="1">VLOOKUP($B10,OFFSET([2]units!$A$1,0,0,COUNTA([2]units!$A:$A),MATCH(C$1,[2]units!$1:$1,0)-COLUMN(INDIRECT("character_id"))+1),MATCH(C$1,[2]units!$1:$1,0)-COLUMN(INDIRECT("character_id"))+1,FALSE)</f>
        <v>#VALUE!</v>
      </c>
      <c r="D10" s="146" t="e">
        <f ca="1">VLOOKUP($B10,OFFSET([2]units!$A$1,0,0,COUNTA([2]units!$A:$A),MATCH(D$1,[2]units!$1:$1,0)-COLUMN(INDIRECT("character_id"))+1),MATCH(D$1,[2]units!$1:$1,0)-COLUMN(INDIRECT("character_id"))+1,FALSE)</f>
        <v>#VALUE!</v>
      </c>
      <c r="E10" s="146" t="e">
        <f ca="1">VLOOKUP($B10,OFFSET([2]units!$A$1,0,0,COUNTA([2]units!$A:$A),MATCH(E$1,[2]units!$1:$1,0)-COLUMN(INDIRECT("character_id"))+1),MATCH(E$1,[2]units!$1:$1,0)-COLUMN(INDIRECT("character_id"))+1,FALSE)</f>
        <v>#VALUE!</v>
      </c>
      <c r="F10" s="147">
        <v>112</v>
      </c>
      <c r="G10" s="146" t="e">
        <f ca="1">VLOOKUP($F10,OFFSET([2]units!$A$1,0,0,COUNTA([2]units!$A:$A),MATCH(G$1,[2]units!$1:$1,0)-COLUMN(INDIRECT("character_id"))+1),MATCH(G$1,[2]units!$1:$1,0)-COLUMN(INDIRECT("character_id"))+1,FALSE)</f>
        <v>#VALUE!</v>
      </c>
      <c r="H10" s="148">
        <v>1</v>
      </c>
      <c r="I10" s="149">
        <v>1</v>
      </c>
    </row>
    <row r="11" spans="1:9" x14ac:dyDescent="0.15">
      <c r="A11" s="64" t="str">
        <f t="shared" si="0"/>
        <v>456_111</v>
      </c>
      <c r="B11" s="145">
        <v>456</v>
      </c>
      <c r="C11" s="146" t="e">
        <f ca="1">VLOOKUP($B11,OFFSET([2]units!$A$1,0,0,COUNTA([2]units!$A:$A),MATCH(C$1,[2]units!$1:$1,0)-COLUMN(INDIRECT("character_id"))+1),MATCH(C$1,[2]units!$1:$1,0)-COLUMN(INDIRECT("character_id"))+1,FALSE)</f>
        <v>#VALUE!</v>
      </c>
      <c r="D11" s="146" t="e">
        <f ca="1">VLOOKUP($B11,OFFSET([2]units!$A$1,0,0,COUNTA([2]units!$A:$A),MATCH(D$1,[2]units!$1:$1,0)-COLUMN(INDIRECT("character_id"))+1),MATCH(D$1,[2]units!$1:$1,0)-COLUMN(INDIRECT("character_id"))+1,FALSE)</f>
        <v>#VALUE!</v>
      </c>
      <c r="E11" s="146" t="e">
        <f ca="1">VLOOKUP($B11,OFFSET([2]units!$A$1,0,0,COUNTA([2]units!$A:$A),MATCH(E$1,[2]units!$1:$1,0)-COLUMN(INDIRECT("character_id"))+1),MATCH(E$1,[2]units!$1:$1,0)-COLUMN(INDIRECT("character_id"))+1,FALSE)</f>
        <v>#VALUE!</v>
      </c>
      <c r="F11" s="147">
        <f>F10-1</f>
        <v>111</v>
      </c>
      <c r="G11" s="146" t="e">
        <f ca="1">VLOOKUP($F11,OFFSET([2]units!$A$1,0,0,COUNTA([2]units!$A:$A),MATCH(G$1,[2]units!$1:$1,0)-COLUMN(INDIRECT("character_id"))+1),MATCH(G$1,[2]units!$1:$1,0)-COLUMN(INDIRECT("character_id"))+1,FALSE)</f>
        <v>#VALUE!</v>
      </c>
      <c r="H11" s="148">
        <v>1</v>
      </c>
      <c r="I11" s="149">
        <v>1</v>
      </c>
    </row>
    <row r="12" spans="1:9" x14ac:dyDescent="0.15">
      <c r="A12" s="64" t="str">
        <f t="shared" si="0"/>
        <v>456_110</v>
      </c>
      <c r="B12" s="145">
        <v>456</v>
      </c>
      <c r="C12" s="146" t="e">
        <f ca="1">VLOOKUP($B12,OFFSET([2]units!$A$1,0,0,COUNTA([2]units!$A:$A),MATCH(C$1,[2]units!$1:$1,0)-COLUMN(INDIRECT("character_id"))+1),MATCH(C$1,[2]units!$1:$1,0)-COLUMN(INDIRECT("character_id"))+1,FALSE)</f>
        <v>#VALUE!</v>
      </c>
      <c r="D12" s="146" t="e">
        <f ca="1">VLOOKUP($B12,OFFSET([2]units!$A$1,0,0,COUNTA([2]units!$A:$A),MATCH(D$1,[2]units!$1:$1,0)-COLUMN(INDIRECT("character_id"))+1),MATCH(D$1,[2]units!$1:$1,0)-COLUMN(INDIRECT("character_id"))+1,FALSE)</f>
        <v>#VALUE!</v>
      </c>
      <c r="E12" s="146" t="e">
        <f ca="1">VLOOKUP($B12,OFFSET([2]units!$A$1,0,0,COUNTA([2]units!$A:$A),MATCH(E$1,[2]units!$1:$1,0)-COLUMN(INDIRECT("character_id"))+1),MATCH(E$1,[2]units!$1:$1,0)-COLUMN(INDIRECT("character_id"))+1,FALSE)</f>
        <v>#VALUE!</v>
      </c>
      <c r="F12" s="147">
        <f t="shared" ref="F12:F13" si="3">F11-1</f>
        <v>110</v>
      </c>
      <c r="G12" s="146" t="e">
        <f ca="1">VLOOKUP($F12,OFFSET([2]units!$A$1,0,0,COUNTA([2]units!$A:$A),MATCH(G$1,[2]units!$1:$1,0)-COLUMN(INDIRECT("character_id"))+1),MATCH(G$1,[2]units!$1:$1,0)-COLUMN(INDIRECT("character_id"))+1,FALSE)</f>
        <v>#VALUE!</v>
      </c>
      <c r="H12" s="148">
        <v>2</v>
      </c>
      <c r="I12" s="149">
        <v>1</v>
      </c>
    </row>
    <row r="13" spans="1:9" x14ac:dyDescent="0.15">
      <c r="A13" s="64" t="str">
        <f t="shared" si="0"/>
        <v>456_109</v>
      </c>
      <c r="B13" s="145">
        <v>456</v>
      </c>
      <c r="C13" s="146" t="e">
        <f ca="1">VLOOKUP($B13,OFFSET([2]units!$A$1,0,0,COUNTA([2]units!$A:$A),MATCH(C$1,[2]units!$1:$1,0)-COLUMN(INDIRECT("character_id"))+1),MATCH(C$1,[2]units!$1:$1,0)-COLUMN(INDIRECT("character_id"))+1,FALSE)</f>
        <v>#VALUE!</v>
      </c>
      <c r="D13" s="146" t="e">
        <f ca="1">VLOOKUP($B13,OFFSET([2]units!$A$1,0,0,COUNTA([2]units!$A:$A),MATCH(D$1,[2]units!$1:$1,0)-COLUMN(INDIRECT("character_id"))+1),MATCH(D$1,[2]units!$1:$1,0)-COLUMN(INDIRECT("character_id"))+1,FALSE)</f>
        <v>#VALUE!</v>
      </c>
      <c r="E13" s="146" t="e">
        <f ca="1">VLOOKUP($B13,OFFSET([2]units!$A$1,0,0,COUNTA([2]units!$A:$A),MATCH(E$1,[2]units!$1:$1,0)-COLUMN(INDIRECT("character_id"))+1),MATCH(E$1,[2]units!$1:$1,0)-COLUMN(INDIRECT("character_id"))+1,FALSE)</f>
        <v>#VALUE!</v>
      </c>
      <c r="F13" s="147">
        <f t="shared" si="3"/>
        <v>109</v>
      </c>
      <c r="G13" s="146" t="e">
        <f ca="1">VLOOKUP($F13,OFFSET([2]units!$A$1,0,0,COUNTA([2]units!$A:$A),MATCH(G$1,[2]units!$1:$1,0)-COLUMN(INDIRECT("character_id"))+1),MATCH(G$1,[2]units!$1:$1,0)-COLUMN(INDIRECT("character_id"))+1,FALSE)</f>
        <v>#VALUE!</v>
      </c>
      <c r="H13" s="148">
        <v>1</v>
      </c>
      <c r="I13" s="149">
        <v>1</v>
      </c>
    </row>
    <row r="14" spans="1:9" x14ac:dyDescent="0.15">
      <c r="A14" s="64" t="str">
        <f t="shared" si="0"/>
        <v>460_454</v>
      </c>
      <c r="B14" s="145">
        <v>460</v>
      </c>
      <c r="C14" s="146" t="e">
        <f ca="1">VLOOKUP($B14,OFFSET([2]units!$A$1,0,0,COUNTA([2]units!$A:$A),MATCH(C$1,[2]units!$1:$1,0)-COLUMN(INDIRECT("character_id"))+1),MATCH(C$1,[2]units!$1:$1,0)-COLUMN(INDIRECT("character_id"))+1,FALSE)</f>
        <v>#VALUE!</v>
      </c>
      <c r="D14" s="146" t="e">
        <f ca="1">VLOOKUP($B14,OFFSET([2]units!$A$1,0,0,COUNTA([2]units!$A:$A),MATCH(D$1,[2]units!$1:$1,0)-COLUMN(INDIRECT("character_id"))+1),MATCH(D$1,[2]units!$1:$1,0)-COLUMN(INDIRECT("character_id"))+1,FALSE)</f>
        <v>#VALUE!</v>
      </c>
      <c r="E14" s="146" t="e">
        <f ca="1">VLOOKUP($B14,OFFSET([2]units!$A$1,0,0,COUNTA([2]units!$A:$A),MATCH(E$1,[2]units!$1:$1,0)-COLUMN(INDIRECT("character_id"))+1),MATCH(E$1,[2]units!$1:$1,0)-COLUMN(INDIRECT("character_id"))+1,FALSE)</f>
        <v>#VALUE!</v>
      </c>
      <c r="F14" s="147">
        <v>454</v>
      </c>
      <c r="G14" s="146" t="e">
        <f ca="1">VLOOKUP($F14,OFFSET([2]units!$A$1,0,0,COUNTA([2]units!$A:$A),MATCH(G$1,[2]units!$1:$1,0)-COLUMN(INDIRECT("character_id"))+1),MATCH(G$1,[2]units!$1:$1,0)-COLUMN(INDIRECT("character_id"))+1,FALSE)</f>
        <v>#VALUE!</v>
      </c>
      <c r="H14" s="148">
        <v>2</v>
      </c>
      <c r="I14" s="149">
        <v>1</v>
      </c>
    </row>
    <row r="15" spans="1:9" x14ac:dyDescent="0.15">
      <c r="A15" s="64" t="str">
        <f t="shared" si="0"/>
        <v>460_456</v>
      </c>
      <c r="B15" s="145">
        <v>460</v>
      </c>
      <c r="C15" s="146" t="e">
        <f ca="1">VLOOKUP($B15,OFFSET([2]units!$A$1,0,0,COUNTA([2]units!$A:$A),MATCH(C$1,[2]units!$1:$1,0)-COLUMN(INDIRECT("character_id"))+1),MATCH(C$1,[2]units!$1:$1,0)-COLUMN(INDIRECT("character_id"))+1,FALSE)</f>
        <v>#VALUE!</v>
      </c>
      <c r="D15" s="146" t="e">
        <f ca="1">VLOOKUP($B15,OFFSET([2]units!$A$1,0,0,COUNTA([2]units!$A:$A),MATCH(D$1,[2]units!$1:$1,0)-COLUMN(INDIRECT("character_id"))+1),MATCH(D$1,[2]units!$1:$1,0)-COLUMN(INDIRECT("character_id"))+1,FALSE)</f>
        <v>#VALUE!</v>
      </c>
      <c r="E15" s="146" t="e">
        <f ca="1">VLOOKUP($B15,OFFSET([2]units!$A$1,0,0,COUNTA([2]units!$A:$A),MATCH(E$1,[2]units!$1:$1,0)-COLUMN(INDIRECT("character_id"))+1),MATCH(E$1,[2]units!$1:$1,0)-COLUMN(INDIRECT("character_id"))+1,FALSE)</f>
        <v>#VALUE!</v>
      </c>
      <c r="F15" s="147">
        <v>456</v>
      </c>
      <c r="G15" s="146" t="e">
        <f ca="1">VLOOKUP($F15,OFFSET([2]units!$A$1,0,0,COUNTA([2]units!$A:$A),MATCH(G$1,[2]units!$1:$1,0)-COLUMN(INDIRECT("character_id"))+1),MATCH(G$1,[2]units!$1:$1,0)-COLUMN(INDIRECT("character_id"))+1,FALSE)</f>
        <v>#VALUE!</v>
      </c>
      <c r="H15" s="148">
        <v>2</v>
      </c>
      <c r="I15" s="149">
        <v>1</v>
      </c>
    </row>
    <row r="16" spans="1:9" x14ac:dyDescent="0.15">
      <c r="A16" s="64" t="str">
        <f t="shared" si="0"/>
        <v>460_108</v>
      </c>
      <c r="B16" s="145">
        <v>460</v>
      </c>
      <c r="C16" s="146" t="e">
        <f ca="1">VLOOKUP($B16,OFFSET([2]units!$A$1,0,0,COUNTA([2]units!$A:$A),MATCH(C$1,[2]units!$1:$1,0)-COLUMN(INDIRECT("character_id"))+1),MATCH(C$1,[2]units!$1:$1,0)-COLUMN(INDIRECT("character_id"))+1,FALSE)</f>
        <v>#VALUE!</v>
      </c>
      <c r="D16" s="146" t="e">
        <f ca="1">VLOOKUP($B16,OFFSET([2]units!$A$1,0,0,COUNTA([2]units!$A:$A),MATCH(D$1,[2]units!$1:$1,0)-COLUMN(INDIRECT("character_id"))+1),MATCH(D$1,[2]units!$1:$1,0)-COLUMN(INDIRECT("character_id"))+1,FALSE)</f>
        <v>#VALUE!</v>
      </c>
      <c r="E16" s="146" t="e">
        <f ca="1">VLOOKUP($B16,OFFSET([2]units!$A$1,0,0,COUNTA([2]units!$A:$A),MATCH(E$1,[2]units!$1:$1,0)-COLUMN(INDIRECT("character_id"))+1),MATCH(E$1,[2]units!$1:$1,0)-COLUMN(INDIRECT("character_id"))+1,FALSE)</f>
        <v>#VALUE!</v>
      </c>
      <c r="F16" s="147">
        <v>108</v>
      </c>
      <c r="G16" s="146" t="e">
        <f ca="1">VLOOKUP($F16,OFFSET([2]units!$A$1,0,0,COUNTA([2]units!$A:$A),MATCH(G$1,[2]units!$1:$1,0)-COLUMN(INDIRECT("character_id"))+1),MATCH(G$1,[2]units!$1:$1,0)-COLUMN(INDIRECT("character_id"))+1,FALSE)</f>
        <v>#VALUE!</v>
      </c>
      <c r="H16" s="148">
        <v>1</v>
      </c>
      <c r="I16" s="149">
        <v>1</v>
      </c>
    </row>
    <row r="17" spans="1:9" x14ac:dyDescent="0.15">
      <c r="A17" s="64" t="str">
        <f t="shared" si="0"/>
        <v>472_452</v>
      </c>
      <c r="B17" s="145">
        <v>472</v>
      </c>
      <c r="C17" s="146" t="e">
        <f ca="1">VLOOKUP($B17,OFFSET([2]units!$A$1,0,0,COUNTA([2]units!$A:$A),MATCH(C$1,[2]units!$1:$1,0)-COLUMN(INDIRECT("character_id"))+1),MATCH(C$1,[2]units!$1:$1,0)-COLUMN(INDIRECT("character_id"))+1,FALSE)</f>
        <v>#VALUE!</v>
      </c>
      <c r="D17" s="146" t="e">
        <f ca="1">VLOOKUP($B17,OFFSET([2]units!$A$1,0,0,COUNTA([2]units!$A:$A),MATCH(D$1,[2]units!$1:$1,0)-COLUMN(INDIRECT("character_id"))+1),MATCH(D$1,[2]units!$1:$1,0)-COLUMN(INDIRECT("character_id"))+1,FALSE)</f>
        <v>#VALUE!</v>
      </c>
      <c r="E17" s="146" t="e">
        <f ca="1">VLOOKUP($B17,OFFSET([2]units!$A$1,0,0,COUNTA([2]units!$A:$A),MATCH(E$1,[2]units!$1:$1,0)-COLUMN(INDIRECT("character_id"))+1),MATCH(E$1,[2]units!$1:$1,0)-COLUMN(INDIRECT("character_id"))+1,FALSE)</f>
        <v>#VALUE!</v>
      </c>
      <c r="F17" s="147">
        <v>452</v>
      </c>
      <c r="G17" s="146" t="e">
        <f ca="1">VLOOKUP($F17,OFFSET([2]units!$A$1,0,0,COUNTA([2]units!$A:$A),MATCH(G$1,[2]units!$1:$1,0)-COLUMN(INDIRECT("character_id"))+1),MATCH(G$1,[2]units!$1:$1,0)-COLUMN(INDIRECT("character_id"))+1,FALSE)</f>
        <v>#VALUE!</v>
      </c>
      <c r="H17" s="148">
        <v>2</v>
      </c>
      <c r="I17" s="149">
        <v>1</v>
      </c>
    </row>
    <row r="18" spans="1:9" x14ac:dyDescent="0.15">
      <c r="A18" s="64" t="str">
        <f t="shared" si="0"/>
        <v>472_458</v>
      </c>
      <c r="B18" s="145">
        <v>472</v>
      </c>
      <c r="C18" s="146" t="e">
        <f ca="1">VLOOKUP($B18,OFFSET([2]units!$A$1,0,0,COUNTA([2]units!$A:$A),MATCH(C$1,[2]units!$1:$1,0)-COLUMN(INDIRECT("character_id"))+1),MATCH(C$1,[2]units!$1:$1,0)-COLUMN(INDIRECT("character_id"))+1,FALSE)</f>
        <v>#VALUE!</v>
      </c>
      <c r="D18" s="146" t="e">
        <f ca="1">VLOOKUP($B18,OFFSET([2]units!$A$1,0,0,COUNTA([2]units!$A:$A),MATCH(D$1,[2]units!$1:$1,0)-COLUMN(INDIRECT("character_id"))+1),MATCH(D$1,[2]units!$1:$1,0)-COLUMN(INDIRECT("character_id"))+1,FALSE)</f>
        <v>#VALUE!</v>
      </c>
      <c r="E18" s="146" t="e">
        <f ca="1">VLOOKUP($B18,OFFSET([2]units!$A$1,0,0,COUNTA([2]units!$A:$A),MATCH(E$1,[2]units!$1:$1,0)-COLUMN(INDIRECT("character_id"))+1),MATCH(E$1,[2]units!$1:$1,0)-COLUMN(INDIRECT("character_id"))+1,FALSE)</f>
        <v>#VALUE!</v>
      </c>
      <c r="F18" s="147">
        <v>458</v>
      </c>
      <c r="G18" s="146" t="e">
        <f ca="1">VLOOKUP($F18,OFFSET([2]units!$A$1,0,0,COUNTA([2]units!$A:$A),MATCH(G$1,[2]units!$1:$1,0)-COLUMN(INDIRECT("character_id"))+1),MATCH(G$1,[2]units!$1:$1,0)-COLUMN(INDIRECT("character_id"))+1,FALSE)</f>
        <v>#VALUE!</v>
      </c>
      <c r="H18" s="148">
        <v>2</v>
      </c>
      <c r="I18" s="149">
        <v>1</v>
      </c>
    </row>
    <row r="19" spans="1:9" x14ac:dyDescent="0.15">
      <c r="A19" s="64" t="str">
        <f t="shared" si="0"/>
        <v>472_104</v>
      </c>
      <c r="B19" s="145">
        <v>472</v>
      </c>
      <c r="C19" s="146" t="e">
        <f ca="1">VLOOKUP($B19,OFFSET([2]units!$A$1,0,0,COUNTA([2]units!$A:$A),MATCH(C$1,[2]units!$1:$1,0)-COLUMN(INDIRECT("character_id"))+1),MATCH(C$1,[2]units!$1:$1,0)-COLUMN(INDIRECT("character_id"))+1,FALSE)</f>
        <v>#VALUE!</v>
      </c>
      <c r="D19" s="146" t="e">
        <f ca="1">VLOOKUP($B19,OFFSET([2]units!$A$1,0,0,COUNTA([2]units!$A:$A),MATCH(D$1,[2]units!$1:$1,0)-COLUMN(INDIRECT("character_id"))+1),MATCH(D$1,[2]units!$1:$1,0)-COLUMN(INDIRECT("character_id"))+1,FALSE)</f>
        <v>#VALUE!</v>
      </c>
      <c r="E19" s="146" t="e">
        <f ca="1">VLOOKUP($B19,OFFSET([2]units!$A$1,0,0,COUNTA([2]units!$A:$A),MATCH(E$1,[2]units!$1:$1,0)-COLUMN(INDIRECT("character_id"))+1),MATCH(E$1,[2]units!$1:$1,0)-COLUMN(INDIRECT("character_id"))+1,FALSE)</f>
        <v>#VALUE!</v>
      </c>
      <c r="F19" s="147">
        <v>104</v>
      </c>
      <c r="G19" s="146" t="e">
        <f ca="1">VLOOKUP($F19,OFFSET([2]units!$A$1,0,0,COUNTA([2]units!$A:$A),MATCH(G$1,[2]units!$1:$1,0)-COLUMN(INDIRECT("character_id"))+1),MATCH(G$1,[2]units!$1:$1,0)-COLUMN(INDIRECT("character_id"))+1,FALSE)</f>
        <v>#VALUE!</v>
      </c>
      <c r="H19" s="148">
        <v>1</v>
      </c>
      <c r="I19" s="149">
        <v>1</v>
      </c>
    </row>
    <row r="20" spans="1:9" x14ac:dyDescent="0.15">
      <c r="A20" s="64" t="str">
        <f t="shared" ref="A20:A23" si="4">B20&amp;"_"&amp;F20</f>
        <v>458_116</v>
      </c>
      <c r="B20" s="145">
        <v>458</v>
      </c>
      <c r="C20" s="146" t="e">
        <f ca="1">VLOOKUP($B20,OFFSET([2]units!$A$1,0,0,COUNTA([2]units!$A:$A),MATCH(C$1,[2]units!$1:$1,0)-COLUMN(INDIRECT("character_id"))+1),MATCH(C$1,[2]units!$1:$1,0)-COLUMN(INDIRECT("character_id"))+1,FALSE)</f>
        <v>#VALUE!</v>
      </c>
      <c r="D20" s="146" t="e">
        <f ca="1">VLOOKUP($B20,OFFSET([2]units!$A$1,0,0,COUNTA([2]units!$A:$A),MATCH(D$1,[2]units!$1:$1,0)-COLUMN(INDIRECT("character_id"))+1),MATCH(D$1,[2]units!$1:$1,0)-COLUMN(INDIRECT("character_id"))+1,FALSE)</f>
        <v>#VALUE!</v>
      </c>
      <c r="E20" s="146" t="e">
        <f ca="1">VLOOKUP($B20,OFFSET([2]units!$A$1,0,0,COUNTA([2]units!$A:$A),MATCH(E$1,[2]units!$1:$1,0)-COLUMN(INDIRECT("character_id"))+1),MATCH(E$1,[2]units!$1:$1,0)-COLUMN(INDIRECT("character_id"))+1,FALSE)</f>
        <v>#VALUE!</v>
      </c>
      <c r="F20" s="147">
        <v>116</v>
      </c>
      <c r="G20" s="146" t="e">
        <f ca="1">VLOOKUP($F20,OFFSET([2]units!$A$1,0,0,COUNTA([2]units!$A:$A),MATCH(G$1,[2]units!$1:$1,0)-COLUMN(INDIRECT("character_id"))+1),MATCH(G$1,[2]units!$1:$1,0)-COLUMN(INDIRECT("character_id"))+1,FALSE)</f>
        <v>#VALUE!</v>
      </c>
      <c r="H20" s="148">
        <v>1</v>
      </c>
      <c r="I20" s="149">
        <v>1</v>
      </c>
    </row>
    <row r="21" spans="1:9" x14ac:dyDescent="0.15">
      <c r="A21" s="64" t="str">
        <f t="shared" si="4"/>
        <v>458_115</v>
      </c>
      <c r="B21" s="145">
        <v>458</v>
      </c>
      <c r="C21" s="146" t="e">
        <f ca="1">VLOOKUP($B21,OFFSET([2]units!$A$1,0,0,COUNTA([2]units!$A:$A),MATCH(C$1,[2]units!$1:$1,0)-COLUMN(INDIRECT("character_id"))+1),MATCH(C$1,[2]units!$1:$1,0)-COLUMN(INDIRECT("character_id"))+1,FALSE)</f>
        <v>#VALUE!</v>
      </c>
      <c r="D21" s="146" t="e">
        <f ca="1">VLOOKUP($B21,OFFSET([2]units!$A$1,0,0,COUNTA([2]units!$A:$A),MATCH(D$1,[2]units!$1:$1,0)-COLUMN(INDIRECT("character_id"))+1),MATCH(D$1,[2]units!$1:$1,0)-COLUMN(INDIRECT("character_id"))+1,FALSE)</f>
        <v>#VALUE!</v>
      </c>
      <c r="E21" s="146" t="e">
        <f ca="1">VLOOKUP($B21,OFFSET([2]units!$A$1,0,0,COUNTA([2]units!$A:$A),MATCH(E$1,[2]units!$1:$1,0)-COLUMN(INDIRECT("character_id"))+1),MATCH(E$1,[2]units!$1:$1,0)-COLUMN(INDIRECT("character_id"))+1,FALSE)</f>
        <v>#VALUE!</v>
      </c>
      <c r="F21" s="147">
        <f>F20-1</f>
        <v>115</v>
      </c>
      <c r="G21" s="146" t="e">
        <f ca="1">VLOOKUP($F21,OFFSET([2]units!$A$1,0,0,COUNTA([2]units!$A:$A),MATCH(G$1,[2]units!$1:$1,0)-COLUMN(INDIRECT("character_id"))+1),MATCH(G$1,[2]units!$1:$1,0)-COLUMN(INDIRECT("character_id"))+1,FALSE)</f>
        <v>#VALUE!</v>
      </c>
      <c r="H21" s="148">
        <v>1</v>
      </c>
      <c r="I21" s="149">
        <v>1</v>
      </c>
    </row>
    <row r="22" spans="1:9" x14ac:dyDescent="0.15">
      <c r="A22" s="64" t="str">
        <f t="shared" si="4"/>
        <v>458_114</v>
      </c>
      <c r="B22" s="145">
        <v>458</v>
      </c>
      <c r="C22" s="146" t="e">
        <f ca="1">VLOOKUP($B22,OFFSET([2]units!$A$1,0,0,COUNTA([2]units!$A:$A),MATCH(C$1,[2]units!$1:$1,0)-COLUMN(INDIRECT("character_id"))+1),MATCH(C$1,[2]units!$1:$1,0)-COLUMN(INDIRECT("character_id"))+1,FALSE)</f>
        <v>#VALUE!</v>
      </c>
      <c r="D22" s="146" t="e">
        <f ca="1">VLOOKUP($B22,OFFSET([2]units!$A$1,0,0,COUNTA([2]units!$A:$A),MATCH(D$1,[2]units!$1:$1,0)-COLUMN(INDIRECT("character_id"))+1),MATCH(D$1,[2]units!$1:$1,0)-COLUMN(INDIRECT("character_id"))+1,FALSE)</f>
        <v>#VALUE!</v>
      </c>
      <c r="E22" s="146" t="e">
        <f ca="1">VLOOKUP($B22,OFFSET([2]units!$A$1,0,0,COUNTA([2]units!$A:$A),MATCH(E$1,[2]units!$1:$1,0)-COLUMN(INDIRECT("character_id"))+1),MATCH(E$1,[2]units!$1:$1,0)-COLUMN(INDIRECT("character_id"))+1,FALSE)</f>
        <v>#VALUE!</v>
      </c>
      <c r="F22" s="147">
        <f t="shared" ref="F22:F23" si="5">F21-1</f>
        <v>114</v>
      </c>
      <c r="G22" s="146" t="e">
        <f ca="1">VLOOKUP($F22,OFFSET([2]units!$A$1,0,0,COUNTA([2]units!$A:$A),MATCH(G$1,[2]units!$1:$1,0)-COLUMN(INDIRECT("character_id"))+1),MATCH(G$1,[2]units!$1:$1,0)-COLUMN(INDIRECT("character_id"))+1,FALSE)</f>
        <v>#VALUE!</v>
      </c>
      <c r="H22" s="148">
        <v>2</v>
      </c>
      <c r="I22" s="149">
        <v>1</v>
      </c>
    </row>
    <row r="23" spans="1:9" x14ac:dyDescent="0.15">
      <c r="A23" s="64" t="str">
        <f t="shared" si="4"/>
        <v>458_113</v>
      </c>
      <c r="B23" s="145">
        <v>458</v>
      </c>
      <c r="C23" s="146" t="e">
        <f ca="1">VLOOKUP($B23,OFFSET([2]units!$A$1,0,0,COUNTA([2]units!$A:$A),MATCH(C$1,[2]units!$1:$1,0)-COLUMN(INDIRECT("character_id"))+1),MATCH(C$1,[2]units!$1:$1,0)-COLUMN(INDIRECT("character_id"))+1,FALSE)</f>
        <v>#VALUE!</v>
      </c>
      <c r="D23" s="146" t="e">
        <f ca="1">VLOOKUP($B23,OFFSET([2]units!$A$1,0,0,COUNTA([2]units!$A:$A),MATCH(D$1,[2]units!$1:$1,0)-COLUMN(INDIRECT("character_id"))+1),MATCH(D$1,[2]units!$1:$1,0)-COLUMN(INDIRECT("character_id"))+1,FALSE)</f>
        <v>#VALUE!</v>
      </c>
      <c r="E23" s="146" t="e">
        <f ca="1">VLOOKUP($B23,OFFSET([2]units!$A$1,0,0,COUNTA([2]units!$A:$A),MATCH(E$1,[2]units!$1:$1,0)-COLUMN(INDIRECT("character_id"))+1),MATCH(E$1,[2]units!$1:$1,0)-COLUMN(INDIRECT("character_id"))+1,FALSE)</f>
        <v>#VALUE!</v>
      </c>
      <c r="F23" s="147">
        <f t="shared" si="5"/>
        <v>113</v>
      </c>
      <c r="G23" s="146" t="e">
        <f ca="1">VLOOKUP($F23,OFFSET([2]units!$A$1,0,0,COUNTA([2]units!$A:$A),MATCH(G$1,[2]units!$1:$1,0)-COLUMN(INDIRECT("character_id"))+1),MATCH(G$1,[2]units!$1:$1,0)-COLUMN(INDIRECT("character_id"))+1,FALSE)</f>
        <v>#VALUE!</v>
      </c>
      <c r="H23" s="148">
        <v>1</v>
      </c>
      <c r="I23" s="149">
        <v>1</v>
      </c>
    </row>
  </sheetData>
  <sheetProtection selectLockedCells="1" selectUnlockedCells="1"/>
  <autoFilter ref="B1:H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B19"/>
  <sheetViews>
    <sheetView workbookViewId="0">
      <selection activeCell="E16" sqref="E16:F16"/>
    </sheetView>
  </sheetViews>
  <sheetFormatPr baseColWidth="12" defaultRowHeight="15" x14ac:dyDescent="0.15"/>
  <sheetData>
    <row r="1" spans="1:2" x14ac:dyDescent="0.15">
      <c r="A1" t="s">
        <v>318</v>
      </c>
      <c r="B1" t="s">
        <v>319</v>
      </c>
    </row>
    <row r="2" spans="1:2" x14ac:dyDescent="0.15">
      <c r="A2" t="s">
        <v>320</v>
      </c>
      <c r="B2">
        <v>1</v>
      </c>
    </row>
    <row r="3" spans="1:2" x14ac:dyDescent="0.15">
      <c r="A3" t="s">
        <v>321</v>
      </c>
      <c r="B3">
        <v>1</v>
      </c>
    </row>
    <row r="4" spans="1:2" x14ac:dyDescent="0.15">
      <c r="A4" t="s">
        <v>322</v>
      </c>
      <c r="B4">
        <v>1</v>
      </c>
    </row>
    <row r="5" spans="1:2" x14ac:dyDescent="0.15">
      <c r="A5" t="s">
        <v>323</v>
      </c>
      <c r="B5">
        <v>1</v>
      </c>
    </row>
    <row r="6" spans="1:2" x14ac:dyDescent="0.15">
      <c r="A6" t="s">
        <v>324</v>
      </c>
      <c r="B6">
        <v>1</v>
      </c>
    </row>
    <row r="7" spans="1:2" x14ac:dyDescent="0.15">
      <c r="A7" t="s">
        <v>325</v>
      </c>
      <c r="B7">
        <v>1</v>
      </c>
    </row>
    <row r="8" spans="1:2" x14ac:dyDescent="0.15">
      <c r="A8" t="s">
        <v>326</v>
      </c>
      <c r="B8">
        <v>1</v>
      </c>
    </row>
    <row r="9" spans="1:2" x14ac:dyDescent="0.15">
      <c r="A9" t="s">
        <v>327</v>
      </c>
      <c r="B9">
        <v>1</v>
      </c>
    </row>
    <row r="10" spans="1:2" x14ac:dyDescent="0.15">
      <c r="A10" t="s">
        <v>328</v>
      </c>
      <c r="B10">
        <v>1</v>
      </c>
    </row>
    <row r="11" spans="1:2" x14ac:dyDescent="0.15">
      <c r="A11" t="s">
        <v>329</v>
      </c>
      <c r="B11">
        <v>1</v>
      </c>
    </row>
    <row r="12" spans="1:2" x14ac:dyDescent="0.15">
      <c r="A12" t="s">
        <v>330</v>
      </c>
      <c r="B12">
        <v>1</v>
      </c>
    </row>
    <row r="13" spans="1:2" x14ac:dyDescent="0.15">
      <c r="A13" t="s">
        <v>331</v>
      </c>
      <c r="B13">
        <v>0</v>
      </c>
    </row>
    <row r="14" spans="1:2" x14ac:dyDescent="0.15">
      <c r="A14" t="s">
        <v>332</v>
      </c>
      <c r="B14">
        <v>500</v>
      </c>
    </row>
    <row r="15" spans="1:2" x14ac:dyDescent="0.15">
      <c r="A15" t="s">
        <v>333</v>
      </c>
      <c r="B15">
        <v>600</v>
      </c>
    </row>
    <row r="16" spans="1:2" x14ac:dyDescent="0.15">
      <c r="A16" t="s">
        <v>334</v>
      </c>
      <c r="B16">
        <v>700</v>
      </c>
    </row>
    <row r="17" spans="1:2" x14ac:dyDescent="0.15">
      <c r="A17" t="s">
        <v>335</v>
      </c>
      <c r="B17">
        <v>5500</v>
      </c>
    </row>
    <row r="18" spans="1:2" x14ac:dyDescent="0.15">
      <c r="A18" t="s">
        <v>336</v>
      </c>
      <c r="B18">
        <v>6000</v>
      </c>
    </row>
    <row r="19" spans="1:2" x14ac:dyDescent="0.15">
      <c r="A19" t="s">
        <v>337</v>
      </c>
      <c r="B19">
        <v>30000</v>
      </c>
    </row>
  </sheetData>
  <phoneticPr fontId="2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20"/>
  <sheetViews>
    <sheetView showGridLines="0" tabSelected="1" workbookViewId="0">
      <selection activeCell="E10" sqref="E10"/>
    </sheetView>
  </sheetViews>
  <sheetFormatPr baseColWidth="12" defaultColWidth="13" defaultRowHeight="21" customHeight="1" x14ac:dyDescent="0.15"/>
  <cols>
    <col min="1" max="1" width="13" style="4"/>
    <col min="2" max="16384" width="13" style="22"/>
  </cols>
  <sheetData>
    <row r="1" spans="1:9" s="4" customFormat="1" ht="21" customHeight="1" x14ac:dyDescent="0.15">
      <c r="A1" s="29" t="s">
        <v>62</v>
      </c>
      <c r="B1" s="31">
        <v>1</v>
      </c>
      <c r="C1" s="31">
        <v>2</v>
      </c>
      <c r="D1" s="31">
        <v>3</v>
      </c>
      <c r="E1" s="31">
        <v>4</v>
      </c>
      <c r="F1" s="31">
        <v>5</v>
      </c>
      <c r="G1" s="31">
        <v>6</v>
      </c>
      <c r="H1" s="31">
        <v>7</v>
      </c>
      <c r="I1" s="31">
        <v>8</v>
      </c>
    </row>
    <row r="2" spans="1:9" s="4" customFormat="1" ht="21" customHeight="1" x14ac:dyDescent="0.15">
      <c r="A2" s="158" t="s">
        <v>294</v>
      </c>
      <c r="B2" s="159"/>
      <c r="C2" s="160"/>
      <c r="D2" s="161" t="s">
        <v>295</v>
      </c>
      <c r="E2" s="161">
        <v>30</v>
      </c>
      <c r="F2" s="161">
        <v>40</v>
      </c>
      <c r="G2" s="161">
        <f>15+F2</f>
        <v>55</v>
      </c>
      <c r="H2" s="160"/>
      <c r="I2" s="160"/>
    </row>
    <row r="3" spans="1:9" s="4" customFormat="1" ht="21" customHeight="1" x14ac:dyDescent="0.15">
      <c r="A3" s="158" t="s">
        <v>296</v>
      </c>
      <c r="B3" s="162"/>
      <c r="C3" s="163"/>
      <c r="D3" s="164" t="s">
        <v>297</v>
      </c>
      <c r="E3" s="164">
        <v>25</v>
      </c>
      <c r="F3" s="164">
        <v>35</v>
      </c>
      <c r="G3" s="161">
        <f t="shared" ref="G3:G5" si="0">15+F3</f>
        <v>50</v>
      </c>
      <c r="H3" s="163"/>
      <c r="I3" s="163"/>
    </row>
    <row r="4" spans="1:9" s="4" customFormat="1" ht="21" customHeight="1" x14ac:dyDescent="0.15">
      <c r="A4" s="158" t="s">
        <v>298</v>
      </c>
      <c r="B4" s="165"/>
      <c r="C4" s="166"/>
      <c r="D4" s="167">
        <v>10</v>
      </c>
      <c r="E4" s="167">
        <v>20</v>
      </c>
      <c r="F4" s="167">
        <v>30</v>
      </c>
      <c r="G4" s="167">
        <f t="shared" si="0"/>
        <v>45</v>
      </c>
      <c r="H4" s="166"/>
      <c r="I4" s="166"/>
    </row>
    <row r="5" spans="1:9" s="4" customFormat="1" ht="21" customHeight="1" x14ac:dyDescent="0.15">
      <c r="A5" s="168" t="s">
        <v>299</v>
      </c>
      <c r="B5" s="169"/>
      <c r="C5" s="170"/>
      <c r="D5" s="27">
        <v>9</v>
      </c>
      <c r="E5" s="27">
        <v>18</v>
      </c>
      <c r="F5" s="27">
        <v>28</v>
      </c>
      <c r="G5" s="38">
        <f t="shared" si="0"/>
        <v>43</v>
      </c>
      <c r="H5" s="170"/>
      <c r="I5" s="170"/>
    </row>
    <row r="6" spans="1:9" s="4" customFormat="1" ht="21" customHeight="1" x14ac:dyDescent="0.15">
      <c r="A6" s="168" t="s">
        <v>300</v>
      </c>
      <c r="B6" s="169"/>
      <c r="C6" s="170"/>
      <c r="D6" s="27">
        <v>7</v>
      </c>
      <c r="E6" s="27">
        <v>16</v>
      </c>
      <c r="F6" s="68" t="s">
        <v>11</v>
      </c>
      <c r="G6" s="68" t="s">
        <v>11</v>
      </c>
      <c r="H6" s="170"/>
      <c r="I6" s="170"/>
    </row>
    <row r="7" spans="1:9" ht="21" customHeight="1" x14ac:dyDescent="0.15">
      <c r="A7" s="77" t="s">
        <v>33</v>
      </c>
      <c r="B7" s="37" t="s">
        <v>11</v>
      </c>
      <c r="C7" s="37" t="s">
        <v>11</v>
      </c>
      <c r="D7" s="38" t="s">
        <v>34</v>
      </c>
      <c r="E7" s="38" t="s">
        <v>34</v>
      </c>
      <c r="F7" s="38" t="s">
        <v>34</v>
      </c>
      <c r="G7" s="38" t="s">
        <v>34</v>
      </c>
      <c r="H7" s="38" t="s">
        <v>34</v>
      </c>
      <c r="I7" s="38" t="s">
        <v>34</v>
      </c>
    </row>
    <row r="8" spans="1:9" ht="21" customHeight="1" x14ac:dyDescent="0.15">
      <c r="A8" s="78" t="s">
        <v>32</v>
      </c>
      <c r="B8" s="37" t="s">
        <v>11</v>
      </c>
      <c r="C8" s="37" t="s">
        <v>11</v>
      </c>
      <c r="D8" s="38" t="s">
        <v>34</v>
      </c>
      <c r="E8" s="38">
        <v>30</v>
      </c>
      <c r="F8" s="38">
        <v>40</v>
      </c>
      <c r="G8" s="38" t="s">
        <v>34</v>
      </c>
      <c r="H8" s="38" t="s">
        <v>34</v>
      </c>
      <c r="I8" s="38" t="s">
        <v>34</v>
      </c>
    </row>
    <row r="9" spans="1:9" s="44" customFormat="1" ht="21" customHeight="1" x14ac:dyDescent="0.15">
      <c r="A9" s="79" t="s">
        <v>31</v>
      </c>
      <c r="B9" s="27" t="s">
        <v>11</v>
      </c>
      <c r="C9" s="27" t="s">
        <v>11</v>
      </c>
      <c r="D9" s="109" t="s">
        <v>146</v>
      </c>
      <c r="E9" s="109">
        <v>25</v>
      </c>
      <c r="F9" s="109">
        <v>35</v>
      </c>
      <c r="G9" s="109" t="s">
        <v>34</v>
      </c>
      <c r="H9" s="109" t="s">
        <v>34</v>
      </c>
      <c r="I9" s="109" t="s">
        <v>34</v>
      </c>
    </row>
    <row r="10" spans="1:9" ht="21" customHeight="1" x14ac:dyDescent="0.15">
      <c r="A10" s="79" t="s">
        <v>9</v>
      </c>
      <c r="B10" s="68" t="s">
        <v>11</v>
      </c>
      <c r="C10" s="68" t="s">
        <v>11</v>
      </c>
      <c r="D10" s="27">
        <v>10</v>
      </c>
      <c r="E10" s="27">
        <v>20</v>
      </c>
      <c r="F10" s="27">
        <v>30</v>
      </c>
      <c r="G10" s="68" t="s">
        <v>11</v>
      </c>
      <c r="H10" s="68" t="s">
        <v>11</v>
      </c>
      <c r="I10" s="68" t="s">
        <v>11</v>
      </c>
    </row>
    <row r="11" spans="1:9" ht="21" customHeight="1" x14ac:dyDescent="0.15">
      <c r="A11" s="79" t="s">
        <v>29</v>
      </c>
      <c r="B11" s="68" t="s">
        <v>11</v>
      </c>
      <c r="C11" s="68" t="s">
        <v>11</v>
      </c>
      <c r="D11" s="27">
        <v>9</v>
      </c>
      <c r="E11" s="27">
        <v>18</v>
      </c>
      <c r="F11" s="27">
        <v>28</v>
      </c>
      <c r="G11" s="68" t="s">
        <v>11</v>
      </c>
      <c r="H11" s="68" t="s">
        <v>11</v>
      </c>
      <c r="I11" s="68" t="s">
        <v>11</v>
      </c>
    </row>
    <row r="12" spans="1:9" ht="21" customHeight="1" x14ac:dyDescent="0.15">
      <c r="A12" s="79" t="s">
        <v>28</v>
      </c>
      <c r="B12" s="68" t="s">
        <v>11</v>
      </c>
      <c r="C12" s="68" t="s">
        <v>11</v>
      </c>
      <c r="D12" s="27">
        <v>7</v>
      </c>
      <c r="E12" s="27">
        <v>16</v>
      </c>
      <c r="F12" s="68" t="s">
        <v>11</v>
      </c>
      <c r="G12" s="68" t="s">
        <v>11</v>
      </c>
      <c r="H12" s="68" t="s">
        <v>11</v>
      </c>
      <c r="I12" s="68" t="s">
        <v>11</v>
      </c>
    </row>
    <row r="13" spans="1:9" ht="21" customHeight="1" x14ac:dyDescent="0.15">
      <c r="A13" s="108" t="s">
        <v>45</v>
      </c>
      <c r="B13" s="68" t="s">
        <v>11</v>
      </c>
      <c r="C13" s="68" t="s">
        <v>11</v>
      </c>
      <c r="D13" s="27">
        <v>8</v>
      </c>
      <c r="E13" s="27">
        <v>17</v>
      </c>
      <c r="F13" s="27">
        <v>26</v>
      </c>
      <c r="G13" s="68" t="s">
        <v>11</v>
      </c>
      <c r="H13" s="68" t="s">
        <v>11</v>
      </c>
      <c r="I13" s="68" t="s">
        <v>11</v>
      </c>
    </row>
    <row r="14" spans="1:9" ht="21" customHeight="1" x14ac:dyDescent="0.15">
      <c r="A14" s="79" t="s">
        <v>63</v>
      </c>
      <c r="B14" s="68" t="s">
        <v>11</v>
      </c>
      <c r="C14" s="68" t="s">
        <v>11</v>
      </c>
      <c r="D14" s="27">
        <v>8</v>
      </c>
      <c r="E14" s="27">
        <v>17</v>
      </c>
      <c r="F14" s="27">
        <v>26</v>
      </c>
      <c r="G14" s="68" t="s">
        <v>11</v>
      </c>
      <c r="H14" s="68" t="s">
        <v>11</v>
      </c>
      <c r="I14" s="68" t="s">
        <v>11</v>
      </c>
    </row>
    <row r="15" spans="1:9" ht="21" customHeight="1" x14ac:dyDescent="0.15">
      <c r="A15" s="79" t="s">
        <v>44</v>
      </c>
      <c r="B15" s="68" t="s">
        <v>11</v>
      </c>
      <c r="C15" s="68" t="s">
        <v>11</v>
      </c>
      <c r="D15" s="27">
        <v>6</v>
      </c>
      <c r="E15" s="27">
        <v>14</v>
      </c>
      <c r="F15" s="68" t="s">
        <v>11</v>
      </c>
      <c r="G15" s="68" t="s">
        <v>11</v>
      </c>
      <c r="H15" s="68" t="s">
        <v>11</v>
      </c>
      <c r="I15" s="68" t="s">
        <v>11</v>
      </c>
    </row>
    <row r="16" spans="1:9" ht="21" customHeight="1" x14ac:dyDescent="0.15">
      <c r="A16" s="79" t="s">
        <v>43</v>
      </c>
      <c r="B16" s="68" t="s">
        <v>11</v>
      </c>
      <c r="C16" s="27">
        <v>4</v>
      </c>
      <c r="D16" s="27">
        <v>6</v>
      </c>
      <c r="E16" s="27">
        <v>14</v>
      </c>
      <c r="F16" s="68" t="s">
        <v>11</v>
      </c>
      <c r="G16" s="68" t="s">
        <v>11</v>
      </c>
      <c r="H16" s="68" t="s">
        <v>11</v>
      </c>
      <c r="I16" s="68" t="s">
        <v>11</v>
      </c>
    </row>
    <row r="17" spans="1:9" ht="21" customHeight="1" x14ac:dyDescent="0.15">
      <c r="A17" s="79" t="s">
        <v>8</v>
      </c>
      <c r="B17" s="27">
        <v>2</v>
      </c>
      <c r="C17" s="27">
        <v>4</v>
      </c>
      <c r="D17" s="27">
        <v>6</v>
      </c>
      <c r="E17" s="68" t="s">
        <v>11</v>
      </c>
      <c r="F17" s="68" t="s">
        <v>11</v>
      </c>
      <c r="G17" s="68" t="s">
        <v>11</v>
      </c>
      <c r="H17" s="68" t="s">
        <v>11</v>
      </c>
      <c r="I17" s="68" t="s">
        <v>11</v>
      </c>
    </row>
    <row r="18" spans="1:9" ht="21" customHeight="1" x14ac:dyDescent="0.15">
      <c r="A18" s="80" t="s">
        <v>7</v>
      </c>
      <c r="B18" s="30">
        <v>1</v>
      </c>
      <c r="C18" s="30">
        <v>2</v>
      </c>
      <c r="D18" s="69" t="s">
        <v>11</v>
      </c>
      <c r="E18" s="69" t="s">
        <v>11</v>
      </c>
      <c r="F18" s="69" t="s">
        <v>11</v>
      </c>
      <c r="G18" s="69" t="s">
        <v>11</v>
      </c>
      <c r="H18" s="69" t="s">
        <v>11</v>
      </c>
      <c r="I18" s="69" t="s">
        <v>11</v>
      </c>
    </row>
    <row r="19" spans="1:9" ht="21" customHeight="1" x14ac:dyDescent="0.15">
      <c r="A19" s="81" t="s">
        <v>42</v>
      </c>
      <c r="B19" s="25">
        <v>1</v>
      </c>
      <c r="C19" s="25">
        <v>1</v>
      </c>
      <c r="D19" s="69" t="s">
        <v>11</v>
      </c>
      <c r="E19" s="69" t="s">
        <v>11</v>
      </c>
      <c r="F19" s="69" t="s">
        <v>11</v>
      </c>
      <c r="G19" s="69" t="s">
        <v>11</v>
      </c>
      <c r="H19" s="69" t="s">
        <v>11</v>
      </c>
      <c r="I19" s="69" t="s">
        <v>11</v>
      </c>
    </row>
    <row r="20" spans="1:9" ht="21" customHeight="1" x14ac:dyDescent="0.15">
      <c r="A20" s="36" t="s">
        <v>30</v>
      </c>
      <c r="B20" s="35">
        <v>99</v>
      </c>
      <c r="C20" s="35">
        <v>99</v>
      </c>
      <c r="D20" s="35">
        <v>99</v>
      </c>
      <c r="E20" s="35">
        <v>99</v>
      </c>
      <c r="F20" s="35">
        <v>99</v>
      </c>
      <c r="G20" s="35">
        <v>99</v>
      </c>
      <c r="H20" s="35">
        <v>99</v>
      </c>
      <c r="I20" s="35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20"/>
  <sheetViews>
    <sheetView showGridLines="0" workbookViewId="0">
      <selection activeCell="K18" sqref="K18"/>
    </sheetView>
  </sheetViews>
  <sheetFormatPr baseColWidth="12" defaultColWidth="13" defaultRowHeight="21" customHeight="1" x14ac:dyDescent="0.15"/>
  <cols>
    <col min="1" max="1" width="13" style="4"/>
    <col min="2" max="16384" width="13" style="22"/>
  </cols>
  <sheetData>
    <row r="1" spans="1:9" ht="21" customHeight="1" x14ac:dyDescent="0.15">
      <c r="A1" s="31" t="s">
        <v>10</v>
      </c>
      <c r="B1" s="21">
        <v>1</v>
      </c>
      <c r="C1" s="21">
        <v>2</v>
      </c>
      <c r="D1" s="21">
        <v>3</v>
      </c>
      <c r="E1" s="21">
        <v>4</v>
      </c>
      <c r="F1" s="21">
        <v>5</v>
      </c>
      <c r="G1" s="21">
        <v>6</v>
      </c>
      <c r="H1" s="21">
        <v>7</v>
      </c>
      <c r="I1" s="21">
        <v>8</v>
      </c>
    </row>
    <row r="2" spans="1:9" s="4" customFormat="1" ht="21" customHeight="1" x14ac:dyDescent="0.15">
      <c r="A2" s="168" t="s">
        <v>294</v>
      </c>
      <c r="B2" s="171"/>
      <c r="C2" s="160"/>
      <c r="D2" s="172" t="s">
        <v>301</v>
      </c>
      <c r="E2" s="172">
        <v>60</v>
      </c>
      <c r="F2" s="172">
        <v>80</v>
      </c>
      <c r="G2" s="172">
        <v>99</v>
      </c>
      <c r="H2" s="160"/>
      <c r="I2" s="160"/>
    </row>
    <row r="3" spans="1:9" s="4" customFormat="1" ht="21" customHeight="1" x14ac:dyDescent="0.15">
      <c r="A3" s="168" t="s">
        <v>302</v>
      </c>
      <c r="B3" s="173"/>
      <c r="C3" s="163"/>
      <c r="D3" s="172" t="s">
        <v>301</v>
      </c>
      <c r="E3" s="172">
        <v>60</v>
      </c>
      <c r="F3" s="172">
        <v>80</v>
      </c>
      <c r="G3" s="172">
        <v>99</v>
      </c>
      <c r="H3" s="163"/>
      <c r="I3" s="163"/>
    </row>
    <row r="4" spans="1:9" s="4" customFormat="1" ht="21" customHeight="1" x14ac:dyDescent="0.15">
      <c r="A4" s="168" t="s">
        <v>303</v>
      </c>
      <c r="B4" s="174"/>
      <c r="C4" s="166"/>
      <c r="D4" s="172">
        <v>40</v>
      </c>
      <c r="E4" s="172">
        <v>60</v>
      </c>
      <c r="F4" s="172">
        <v>80</v>
      </c>
      <c r="G4" s="172">
        <v>99</v>
      </c>
      <c r="H4" s="166"/>
      <c r="I4" s="166"/>
    </row>
    <row r="5" spans="1:9" s="4" customFormat="1" ht="21" customHeight="1" x14ac:dyDescent="0.15">
      <c r="A5" s="168" t="s">
        <v>304</v>
      </c>
      <c r="B5" s="169"/>
      <c r="C5" s="170"/>
      <c r="D5" s="172">
        <v>40</v>
      </c>
      <c r="E5" s="172">
        <v>60</v>
      </c>
      <c r="F5" s="172">
        <v>80</v>
      </c>
      <c r="G5" s="172">
        <v>99</v>
      </c>
      <c r="H5" s="170"/>
      <c r="I5" s="170"/>
    </row>
    <row r="6" spans="1:9" s="4" customFormat="1" ht="21" customHeight="1" x14ac:dyDescent="0.15">
      <c r="A6" s="168" t="s">
        <v>305</v>
      </c>
      <c r="B6" s="169"/>
      <c r="C6" s="170"/>
      <c r="D6" s="172">
        <v>40</v>
      </c>
      <c r="E6" s="172">
        <v>60</v>
      </c>
      <c r="F6" s="172" t="s">
        <v>34</v>
      </c>
      <c r="G6" s="172" t="s">
        <v>34</v>
      </c>
      <c r="H6" s="170"/>
      <c r="I6" s="170"/>
    </row>
    <row r="7" spans="1:9" ht="21" customHeight="1" x14ac:dyDescent="0.15">
      <c r="A7" s="73" t="s">
        <v>33</v>
      </c>
      <c r="B7" s="39" t="s">
        <v>137</v>
      </c>
      <c r="C7" s="39" t="s">
        <v>137</v>
      </c>
      <c r="D7" s="39" t="s">
        <v>137</v>
      </c>
      <c r="E7" s="39" t="s">
        <v>137</v>
      </c>
      <c r="F7" s="39" t="s">
        <v>137</v>
      </c>
      <c r="G7" s="39" t="s">
        <v>137</v>
      </c>
      <c r="H7" s="39" t="s">
        <v>137</v>
      </c>
      <c r="I7" s="39" t="s">
        <v>137</v>
      </c>
    </row>
    <row r="8" spans="1:9" ht="21" customHeight="1" x14ac:dyDescent="0.15">
      <c r="A8" s="73" t="s">
        <v>32</v>
      </c>
      <c r="B8" s="39" t="s">
        <v>137</v>
      </c>
      <c r="C8" s="39" t="s">
        <v>137</v>
      </c>
      <c r="D8" s="39" t="s">
        <v>137</v>
      </c>
      <c r="E8" s="39">
        <v>60</v>
      </c>
      <c r="F8" s="39">
        <v>80</v>
      </c>
      <c r="G8" s="39" t="s">
        <v>137</v>
      </c>
      <c r="H8" s="39" t="s">
        <v>137</v>
      </c>
      <c r="I8" s="39" t="s">
        <v>137</v>
      </c>
    </row>
    <row r="9" spans="1:9" s="44" customFormat="1" ht="21" customHeight="1" x14ac:dyDescent="0.15">
      <c r="A9" s="74" t="s">
        <v>31</v>
      </c>
      <c r="B9" s="65" t="s">
        <v>137</v>
      </c>
      <c r="C9" s="65" t="s">
        <v>137</v>
      </c>
      <c r="D9" s="65" t="s">
        <v>137</v>
      </c>
      <c r="E9" s="65">
        <v>60</v>
      </c>
      <c r="F9" s="65">
        <v>80</v>
      </c>
      <c r="G9" s="65" t="s">
        <v>137</v>
      </c>
      <c r="H9" s="65" t="s">
        <v>137</v>
      </c>
      <c r="I9" s="65" t="s">
        <v>137</v>
      </c>
    </row>
    <row r="10" spans="1:9" ht="21" customHeight="1" x14ac:dyDescent="0.15">
      <c r="A10" s="74" t="s">
        <v>9</v>
      </c>
      <c r="B10" s="70" t="s">
        <v>136</v>
      </c>
      <c r="C10" s="70" t="s">
        <v>136</v>
      </c>
      <c r="D10" s="35">
        <v>40</v>
      </c>
      <c r="E10" s="35">
        <v>60</v>
      </c>
      <c r="F10" s="35">
        <v>80</v>
      </c>
      <c r="G10" s="70" t="s">
        <v>136</v>
      </c>
      <c r="H10" s="70" t="s">
        <v>136</v>
      </c>
      <c r="I10" s="70" t="s">
        <v>136</v>
      </c>
    </row>
    <row r="11" spans="1:9" ht="21" customHeight="1" x14ac:dyDescent="0.15">
      <c r="A11" s="74" t="s">
        <v>29</v>
      </c>
      <c r="B11" s="70" t="s">
        <v>136</v>
      </c>
      <c r="C11" s="70" t="s">
        <v>136</v>
      </c>
      <c r="D11" s="35">
        <v>40</v>
      </c>
      <c r="E11" s="35">
        <v>60</v>
      </c>
      <c r="F11" s="35">
        <v>80</v>
      </c>
      <c r="G11" s="70" t="s">
        <v>136</v>
      </c>
      <c r="H11" s="70" t="s">
        <v>136</v>
      </c>
      <c r="I11" s="70" t="s">
        <v>136</v>
      </c>
    </row>
    <row r="12" spans="1:9" ht="21" customHeight="1" x14ac:dyDescent="0.15">
      <c r="A12" s="74" t="s">
        <v>53</v>
      </c>
      <c r="B12" s="70" t="s">
        <v>136</v>
      </c>
      <c r="C12" s="70" t="s">
        <v>136</v>
      </c>
      <c r="D12" s="35">
        <v>40</v>
      </c>
      <c r="E12" s="35">
        <v>60</v>
      </c>
      <c r="F12" s="70" t="s">
        <v>136</v>
      </c>
      <c r="G12" s="70" t="s">
        <v>136</v>
      </c>
      <c r="H12" s="70" t="s">
        <v>136</v>
      </c>
      <c r="I12" s="70" t="s">
        <v>136</v>
      </c>
    </row>
    <row r="13" spans="1:9" ht="21" customHeight="1" x14ac:dyDescent="0.15">
      <c r="A13" s="75" t="s">
        <v>64</v>
      </c>
      <c r="B13" s="70" t="s">
        <v>136</v>
      </c>
      <c r="C13" s="70" t="s">
        <v>136</v>
      </c>
      <c r="D13" s="35">
        <v>40</v>
      </c>
      <c r="E13" s="35">
        <v>60</v>
      </c>
      <c r="F13" s="35">
        <v>80</v>
      </c>
      <c r="G13" s="70" t="s">
        <v>136</v>
      </c>
      <c r="H13" s="70" t="s">
        <v>136</v>
      </c>
      <c r="I13" s="70" t="s">
        <v>136</v>
      </c>
    </row>
    <row r="14" spans="1:9" ht="21" customHeight="1" x14ac:dyDescent="0.15">
      <c r="A14" s="54" t="s">
        <v>49</v>
      </c>
      <c r="B14" s="70" t="s">
        <v>136</v>
      </c>
      <c r="C14" s="70" t="s">
        <v>136</v>
      </c>
      <c r="D14" s="35">
        <v>40</v>
      </c>
      <c r="E14" s="35">
        <v>60</v>
      </c>
      <c r="F14" s="35">
        <v>80</v>
      </c>
      <c r="G14" s="70" t="s">
        <v>136</v>
      </c>
      <c r="H14" s="70" t="s">
        <v>136</v>
      </c>
      <c r="I14" s="70" t="s">
        <v>136</v>
      </c>
    </row>
    <row r="15" spans="1:9" ht="21" customHeight="1" x14ac:dyDescent="0.15">
      <c r="A15" s="54" t="s">
        <v>50</v>
      </c>
      <c r="B15" s="70" t="s">
        <v>136</v>
      </c>
      <c r="C15" s="35">
        <v>30</v>
      </c>
      <c r="D15" s="35">
        <v>40</v>
      </c>
      <c r="E15" s="35">
        <v>60</v>
      </c>
      <c r="F15" s="70" t="s">
        <v>136</v>
      </c>
      <c r="G15" s="70" t="s">
        <v>136</v>
      </c>
      <c r="H15" s="70" t="s">
        <v>136</v>
      </c>
      <c r="I15" s="70" t="s">
        <v>136</v>
      </c>
    </row>
    <row r="16" spans="1:9" ht="21" customHeight="1" x14ac:dyDescent="0.15">
      <c r="A16" s="54" t="s">
        <v>51</v>
      </c>
      <c r="B16" s="70" t="s">
        <v>136</v>
      </c>
      <c r="C16" s="35">
        <v>30</v>
      </c>
      <c r="D16" s="35">
        <v>40</v>
      </c>
      <c r="E16" s="35">
        <v>60</v>
      </c>
      <c r="F16" s="70" t="s">
        <v>136</v>
      </c>
      <c r="G16" s="70" t="s">
        <v>136</v>
      </c>
      <c r="H16" s="70" t="s">
        <v>136</v>
      </c>
      <c r="I16" s="70" t="s">
        <v>136</v>
      </c>
    </row>
    <row r="17" spans="1:9" ht="21" customHeight="1" x14ac:dyDescent="0.15">
      <c r="A17" s="55" t="s">
        <v>8</v>
      </c>
      <c r="B17" s="35">
        <v>15</v>
      </c>
      <c r="C17" s="35">
        <v>30</v>
      </c>
      <c r="D17" s="35">
        <v>40</v>
      </c>
      <c r="E17" s="70" t="s">
        <v>136</v>
      </c>
      <c r="F17" s="70" t="s">
        <v>136</v>
      </c>
      <c r="G17" s="70" t="s">
        <v>136</v>
      </c>
      <c r="H17" s="70" t="s">
        <v>136</v>
      </c>
      <c r="I17" s="70" t="s">
        <v>136</v>
      </c>
    </row>
    <row r="18" spans="1:9" ht="21" customHeight="1" x14ac:dyDescent="0.15">
      <c r="A18" s="50" t="s">
        <v>7</v>
      </c>
      <c r="B18" s="35">
        <v>15</v>
      </c>
      <c r="C18" s="35">
        <v>30</v>
      </c>
      <c r="D18" s="35">
        <v>40</v>
      </c>
      <c r="E18" s="70" t="s">
        <v>136</v>
      </c>
      <c r="F18" s="70" t="s">
        <v>136</v>
      </c>
      <c r="G18" s="70" t="s">
        <v>136</v>
      </c>
      <c r="H18" s="70" t="s">
        <v>136</v>
      </c>
      <c r="I18" s="70" t="s">
        <v>136</v>
      </c>
    </row>
    <row r="19" spans="1:9" ht="21" customHeight="1" x14ac:dyDescent="0.15">
      <c r="A19" s="52" t="s">
        <v>52</v>
      </c>
      <c r="B19" s="35">
        <v>10</v>
      </c>
      <c r="C19" s="35">
        <v>20</v>
      </c>
      <c r="D19" s="70" t="s">
        <v>136</v>
      </c>
      <c r="E19" s="70" t="s">
        <v>136</v>
      </c>
      <c r="F19" s="70" t="s">
        <v>136</v>
      </c>
      <c r="G19" s="70" t="s">
        <v>136</v>
      </c>
      <c r="H19" s="70" t="s">
        <v>136</v>
      </c>
      <c r="I19" s="70" t="s">
        <v>136</v>
      </c>
    </row>
    <row r="20" spans="1:9" ht="21" customHeight="1" x14ac:dyDescent="0.15">
      <c r="A20" s="76" t="s">
        <v>54</v>
      </c>
      <c r="B20" s="35">
        <v>1</v>
      </c>
      <c r="C20" s="35">
        <v>1</v>
      </c>
      <c r="D20" s="35">
        <v>1</v>
      </c>
      <c r="E20" s="35">
        <v>1</v>
      </c>
      <c r="F20" s="35">
        <v>1</v>
      </c>
      <c r="G20" s="35">
        <v>1</v>
      </c>
      <c r="H20" s="35">
        <v>1</v>
      </c>
      <c r="I20" s="35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31"/>
  <sheetViews>
    <sheetView showGridLines="0" workbookViewId="0">
      <selection activeCell="G4" sqref="G4"/>
    </sheetView>
  </sheetViews>
  <sheetFormatPr baseColWidth="12" defaultColWidth="13" defaultRowHeight="21" customHeight="1" x14ac:dyDescent="0.15"/>
  <cols>
    <col min="1" max="16384" width="13" style="22"/>
  </cols>
  <sheetData>
    <row r="1" spans="1:11" ht="21" customHeight="1" x14ac:dyDescent="0.15">
      <c r="A1" s="47" t="s">
        <v>10</v>
      </c>
      <c r="B1" s="48">
        <v>1</v>
      </c>
      <c r="C1" s="48">
        <v>2</v>
      </c>
      <c r="D1" s="48">
        <v>3</v>
      </c>
      <c r="E1" s="48">
        <v>4</v>
      </c>
      <c r="F1" s="48">
        <v>5</v>
      </c>
      <c r="G1" s="48">
        <v>6</v>
      </c>
      <c r="H1" s="48">
        <v>7</v>
      </c>
      <c r="I1" s="48">
        <v>8</v>
      </c>
    </row>
    <row r="2" spans="1:11" s="4" customFormat="1" ht="21" customHeight="1" x14ac:dyDescent="0.15">
      <c r="A2" s="158" t="s">
        <v>294</v>
      </c>
      <c r="B2" s="159"/>
      <c r="C2" s="160"/>
      <c r="D2" s="172" t="s">
        <v>34</v>
      </c>
      <c r="E2" s="175" t="s">
        <v>148</v>
      </c>
      <c r="F2" s="175" t="s">
        <v>148</v>
      </c>
      <c r="G2" s="175" t="s">
        <v>313</v>
      </c>
      <c r="H2" s="160"/>
      <c r="I2" s="160"/>
    </row>
    <row r="3" spans="1:11" s="4" customFormat="1" ht="21" customHeight="1" x14ac:dyDescent="0.15">
      <c r="A3" s="158" t="s">
        <v>302</v>
      </c>
      <c r="B3" s="162"/>
      <c r="C3" s="163"/>
      <c r="D3" s="175" t="s">
        <v>85</v>
      </c>
      <c r="E3" s="175" t="s">
        <v>85</v>
      </c>
      <c r="F3" s="175" t="s">
        <v>85</v>
      </c>
      <c r="G3" s="175" t="s">
        <v>148</v>
      </c>
      <c r="H3" s="163"/>
      <c r="I3" s="163"/>
    </row>
    <row r="4" spans="1:11" s="4" customFormat="1" ht="21" customHeight="1" x14ac:dyDescent="0.15">
      <c r="A4" s="158" t="s">
        <v>306</v>
      </c>
      <c r="B4" s="165"/>
      <c r="C4" s="166"/>
      <c r="D4" s="176" t="s">
        <v>85</v>
      </c>
      <c r="E4" s="176" t="s">
        <v>85</v>
      </c>
      <c r="F4" s="176" t="s">
        <v>85</v>
      </c>
      <c r="G4" s="175" t="s">
        <v>148</v>
      </c>
      <c r="H4" s="166"/>
      <c r="I4" s="166"/>
    </row>
    <row r="5" spans="1:11" s="4" customFormat="1" ht="21" customHeight="1" x14ac:dyDescent="0.15">
      <c r="A5" s="168" t="s">
        <v>307</v>
      </c>
      <c r="B5" s="169"/>
      <c r="C5" s="170"/>
      <c r="D5" s="176" t="s">
        <v>85</v>
      </c>
      <c r="E5" s="176" t="s">
        <v>85</v>
      </c>
      <c r="F5" s="176" t="s">
        <v>85</v>
      </c>
      <c r="G5" s="175" t="s">
        <v>308</v>
      </c>
      <c r="H5" s="170"/>
      <c r="I5" s="170"/>
    </row>
    <row r="6" spans="1:11" s="4" customFormat="1" ht="21" customHeight="1" x14ac:dyDescent="0.15">
      <c r="A6" s="168" t="s">
        <v>309</v>
      </c>
      <c r="B6" s="169"/>
      <c r="C6" s="170"/>
      <c r="D6" s="177" t="s">
        <v>86</v>
      </c>
      <c r="E6" s="177" t="s">
        <v>86</v>
      </c>
      <c r="F6" s="172" t="s">
        <v>34</v>
      </c>
      <c r="G6" s="172" t="s">
        <v>34</v>
      </c>
      <c r="H6" s="170"/>
      <c r="I6" s="170"/>
    </row>
    <row r="7" spans="1:11" ht="21" customHeight="1" x14ac:dyDescent="0.15">
      <c r="A7" s="49" t="s">
        <v>17</v>
      </c>
      <c r="B7" s="39" t="s">
        <v>137</v>
      </c>
      <c r="C7" s="39" t="s">
        <v>137</v>
      </c>
      <c r="D7" s="39" t="s">
        <v>137</v>
      </c>
      <c r="E7" s="39" t="s">
        <v>137</v>
      </c>
      <c r="F7" s="39" t="s">
        <v>137</v>
      </c>
      <c r="G7" s="39" t="s">
        <v>137</v>
      </c>
      <c r="H7" s="39" t="s">
        <v>137</v>
      </c>
      <c r="I7" s="39" t="s">
        <v>137</v>
      </c>
    </row>
    <row r="8" spans="1:11" ht="21" customHeight="1" x14ac:dyDescent="0.15">
      <c r="A8" s="49" t="s">
        <v>138</v>
      </c>
      <c r="B8" s="39" t="s">
        <v>137</v>
      </c>
      <c r="C8" s="39" t="s">
        <v>137</v>
      </c>
      <c r="D8" s="39" t="s">
        <v>137</v>
      </c>
      <c r="E8" s="51" t="s">
        <v>147</v>
      </c>
      <c r="F8" s="51" t="s">
        <v>148</v>
      </c>
      <c r="G8" s="39" t="s">
        <v>137</v>
      </c>
      <c r="H8" s="39" t="s">
        <v>137</v>
      </c>
      <c r="I8" s="39" t="s">
        <v>137</v>
      </c>
    </row>
    <row r="9" spans="1:11" s="44" customFormat="1" ht="21" customHeight="1" x14ac:dyDescent="0.15">
      <c r="A9" s="49" t="s">
        <v>139</v>
      </c>
      <c r="B9" s="65" t="s">
        <v>137</v>
      </c>
      <c r="C9" s="65" t="s">
        <v>137</v>
      </c>
      <c r="D9" s="65" t="s">
        <v>137</v>
      </c>
      <c r="E9" s="51" t="s">
        <v>85</v>
      </c>
      <c r="F9" s="51" t="s">
        <v>85</v>
      </c>
      <c r="G9" s="65" t="s">
        <v>137</v>
      </c>
      <c r="H9" s="65" t="s">
        <v>137</v>
      </c>
      <c r="I9" s="65" t="s">
        <v>137</v>
      </c>
    </row>
    <row r="10" spans="1:11" ht="21" customHeight="1" x14ac:dyDescent="0.15">
      <c r="A10" s="50" t="s">
        <v>9</v>
      </c>
      <c r="B10" s="70" t="s">
        <v>136</v>
      </c>
      <c r="C10" s="70" t="s">
        <v>136</v>
      </c>
      <c r="D10" s="51" t="s">
        <v>85</v>
      </c>
      <c r="E10" s="51" t="s">
        <v>85</v>
      </c>
      <c r="F10" s="51" t="s">
        <v>85</v>
      </c>
      <c r="G10" s="70" t="s">
        <v>136</v>
      </c>
      <c r="H10" s="70" t="s">
        <v>136</v>
      </c>
      <c r="I10" s="70" t="s">
        <v>136</v>
      </c>
      <c r="K10" s="26" t="s">
        <v>12</v>
      </c>
    </row>
    <row r="11" spans="1:11" ht="21" customHeight="1" x14ac:dyDescent="0.15">
      <c r="A11" s="52" t="s">
        <v>47</v>
      </c>
      <c r="B11" s="70" t="s">
        <v>136</v>
      </c>
      <c r="C11" s="70" t="s">
        <v>136</v>
      </c>
      <c r="D11" s="52" t="s">
        <v>85</v>
      </c>
      <c r="E11" s="52" t="s">
        <v>85</v>
      </c>
      <c r="F11" s="52" t="s">
        <v>85</v>
      </c>
      <c r="G11" s="70" t="s">
        <v>136</v>
      </c>
      <c r="H11" s="70" t="s">
        <v>136</v>
      </c>
      <c r="I11" s="70" t="s">
        <v>136</v>
      </c>
      <c r="K11" s="28" t="s">
        <v>13</v>
      </c>
    </row>
    <row r="12" spans="1:11" ht="21" customHeight="1" x14ac:dyDescent="0.15">
      <c r="A12" s="53" t="s">
        <v>48</v>
      </c>
      <c r="B12" s="70" t="s">
        <v>136</v>
      </c>
      <c r="C12" s="70" t="s">
        <v>136</v>
      </c>
      <c r="D12" s="53" t="s">
        <v>86</v>
      </c>
      <c r="E12" s="53" t="s">
        <v>86</v>
      </c>
      <c r="F12" s="70" t="s">
        <v>136</v>
      </c>
      <c r="G12" s="70" t="s">
        <v>136</v>
      </c>
      <c r="H12" s="70" t="s">
        <v>136</v>
      </c>
      <c r="I12" s="70" t="s">
        <v>136</v>
      </c>
      <c r="K12" s="71" t="s">
        <v>55</v>
      </c>
    </row>
    <row r="13" spans="1:11" ht="21" customHeight="1" x14ac:dyDescent="0.15">
      <c r="A13" s="53" t="s">
        <v>65</v>
      </c>
      <c r="B13" s="70" t="s">
        <v>136</v>
      </c>
      <c r="C13" s="70" t="s">
        <v>136</v>
      </c>
      <c r="D13" s="54" t="s">
        <v>85</v>
      </c>
      <c r="E13" s="54" t="s">
        <v>85</v>
      </c>
      <c r="F13" s="54" t="s">
        <v>85</v>
      </c>
      <c r="G13" s="70" t="s">
        <v>136</v>
      </c>
      <c r="H13" s="70" t="s">
        <v>136</v>
      </c>
      <c r="I13" s="70" t="s">
        <v>136</v>
      </c>
      <c r="K13" s="72"/>
    </row>
    <row r="14" spans="1:11" ht="21" customHeight="1" x14ac:dyDescent="0.15">
      <c r="A14" s="54" t="s">
        <v>49</v>
      </c>
      <c r="B14" s="70" t="s">
        <v>136</v>
      </c>
      <c r="C14" s="70" t="s">
        <v>136</v>
      </c>
      <c r="D14" s="54" t="s">
        <v>85</v>
      </c>
      <c r="E14" s="54" t="s">
        <v>85</v>
      </c>
      <c r="F14" s="54" t="s">
        <v>85</v>
      </c>
      <c r="G14" s="70" t="s">
        <v>136</v>
      </c>
      <c r="H14" s="70" t="s">
        <v>136</v>
      </c>
      <c r="I14" s="70" t="s">
        <v>136</v>
      </c>
    </row>
    <row r="15" spans="1:11" ht="21" customHeight="1" x14ac:dyDescent="0.15">
      <c r="A15" s="54" t="s">
        <v>50</v>
      </c>
      <c r="B15" s="70" t="s">
        <v>136</v>
      </c>
      <c r="C15" s="70" t="s">
        <v>136</v>
      </c>
      <c r="D15" s="54" t="s">
        <v>86</v>
      </c>
      <c r="E15" s="54" t="s">
        <v>86</v>
      </c>
      <c r="F15" s="70" t="s">
        <v>136</v>
      </c>
      <c r="G15" s="70" t="s">
        <v>136</v>
      </c>
      <c r="H15" s="70" t="s">
        <v>136</v>
      </c>
      <c r="I15" s="70" t="s">
        <v>136</v>
      </c>
    </row>
    <row r="16" spans="1:11" ht="21" customHeight="1" x14ac:dyDescent="0.15">
      <c r="A16" s="54" t="s">
        <v>51</v>
      </c>
      <c r="B16" s="70" t="s">
        <v>136</v>
      </c>
      <c r="C16" s="54" t="s">
        <v>86</v>
      </c>
      <c r="D16" s="54" t="s">
        <v>86</v>
      </c>
      <c r="E16" s="54" t="s">
        <v>86</v>
      </c>
      <c r="F16" s="70" t="s">
        <v>136</v>
      </c>
      <c r="G16" s="70" t="s">
        <v>136</v>
      </c>
      <c r="H16" s="70" t="s">
        <v>136</v>
      </c>
      <c r="I16" s="70" t="s">
        <v>136</v>
      </c>
    </row>
    <row r="17" spans="1:9" ht="21" customHeight="1" x14ac:dyDescent="0.15">
      <c r="A17" s="55" t="s">
        <v>8</v>
      </c>
      <c r="B17" s="55" t="s">
        <v>87</v>
      </c>
      <c r="C17" s="55" t="s">
        <v>87</v>
      </c>
      <c r="D17" s="55" t="s">
        <v>87</v>
      </c>
      <c r="E17" s="70" t="s">
        <v>136</v>
      </c>
      <c r="F17" s="70" t="s">
        <v>136</v>
      </c>
      <c r="G17" s="70" t="s">
        <v>136</v>
      </c>
      <c r="H17" s="70" t="s">
        <v>136</v>
      </c>
      <c r="I17" s="70" t="s">
        <v>136</v>
      </c>
    </row>
    <row r="18" spans="1:9" ht="21" customHeight="1" x14ac:dyDescent="0.15">
      <c r="A18" s="50" t="s">
        <v>7</v>
      </c>
      <c r="B18" s="50" t="s">
        <v>88</v>
      </c>
      <c r="C18" s="50" t="s">
        <v>88</v>
      </c>
      <c r="D18" s="70" t="s">
        <v>136</v>
      </c>
      <c r="E18" s="70" t="s">
        <v>136</v>
      </c>
      <c r="F18" s="70" t="s">
        <v>136</v>
      </c>
      <c r="G18" s="70" t="s">
        <v>136</v>
      </c>
      <c r="H18" s="70" t="s">
        <v>136</v>
      </c>
      <c r="I18" s="70" t="s">
        <v>136</v>
      </c>
    </row>
    <row r="19" spans="1:9" ht="21" customHeight="1" x14ac:dyDescent="0.15">
      <c r="A19" s="52" t="s">
        <v>52</v>
      </c>
      <c r="B19" s="52" t="s">
        <v>89</v>
      </c>
      <c r="C19" s="52" t="s">
        <v>89</v>
      </c>
      <c r="D19" s="70" t="s">
        <v>136</v>
      </c>
      <c r="E19" s="70" t="s">
        <v>136</v>
      </c>
      <c r="F19" s="70" t="s">
        <v>136</v>
      </c>
      <c r="G19" s="70" t="s">
        <v>136</v>
      </c>
      <c r="H19" s="70" t="s">
        <v>136</v>
      </c>
      <c r="I19" s="70" t="s">
        <v>136</v>
      </c>
    </row>
    <row r="20" spans="1:9" ht="21" customHeight="1" x14ac:dyDescent="0.15">
      <c r="A20" s="36" t="s">
        <v>30</v>
      </c>
      <c r="B20" s="82" t="s">
        <v>73</v>
      </c>
      <c r="C20" s="82" t="s">
        <v>73</v>
      </c>
      <c r="D20" s="82" t="s">
        <v>73</v>
      </c>
      <c r="E20" s="82" t="s">
        <v>73</v>
      </c>
      <c r="F20" s="82" t="s">
        <v>73</v>
      </c>
      <c r="G20" s="82" t="s">
        <v>73</v>
      </c>
      <c r="H20" s="82" t="s">
        <v>73</v>
      </c>
      <c r="I20" s="82" t="s">
        <v>73</v>
      </c>
    </row>
    <row r="25" spans="1:9" ht="21" customHeight="1" x14ac:dyDescent="0.15">
      <c r="A25" s="22" t="s">
        <v>14</v>
      </c>
    </row>
    <row r="26" spans="1:9" ht="21" customHeight="1" x14ac:dyDescent="0.15">
      <c r="A26" s="20" t="s">
        <v>90</v>
      </c>
      <c r="B26" s="20" t="s">
        <v>91</v>
      </c>
    </row>
    <row r="27" spans="1:9" ht="21" customHeight="1" x14ac:dyDescent="0.15">
      <c r="A27" s="23">
        <v>1</v>
      </c>
      <c r="B27" s="23">
        <v>200</v>
      </c>
    </row>
    <row r="28" spans="1:9" ht="21" customHeight="1" x14ac:dyDescent="0.15">
      <c r="A28" s="23">
        <v>2</v>
      </c>
      <c r="B28" s="23">
        <v>600</v>
      </c>
    </row>
    <row r="29" spans="1:9" ht="21" customHeight="1" x14ac:dyDescent="0.15">
      <c r="A29" s="23">
        <v>3</v>
      </c>
      <c r="B29" s="23">
        <v>1500</v>
      </c>
    </row>
    <row r="30" spans="1:9" ht="21" customHeight="1" x14ac:dyDescent="0.15">
      <c r="A30" s="23">
        <v>4</v>
      </c>
      <c r="B30" s="23">
        <v>3400</v>
      </c>
    </row>
    <row r="31" spans="1:9" ht="21" customHeight="1" x14ac:dyDescent="0.15">
      <c r="A31" s="23">
        <v>5</v>
      </c>
      <c r="B31" s="23">
        <v>6400</v>
      </c>
    </row>
  </sheetData>
  <sheetProtection selectLockedCells="1" selectUnlockedCells="1"/>
  <phoneticPr fontId="9"/>
  <conditionalFormatting sqref="A34:I65540 J1:IV1 J10:J13 L10:IV13 J14:IV65540 J7:IV7">
    <cfRule type="cellIs" dxfId="21" priority="18" stopIfTrue="1" operator="equal">
      <formula>1</formula>
    </cfRule>
  </conditionalFormatting>
  <conditionalFormatting sqref="A24:B25 A32:B33 C24:I33 G19:I19">
    <cfRule type="cellIs" dxfId="20" priority="17" stopIfTrue="1" operator="equal">
      <formula>1</formula>
    </cfRule>
  </conditionalFormatting>
  <conditionalFormatting sqref="D18:G18 F15:I18">
    <cfRule type="cellIs" dxfId="19" priority="16" stopIfTrue="1" operator="equal">
      <formula>1</formula>
    </cfRule>
  </conditionalFormatting>
  <conditionalFormatting sqref="F17:G17">
    <cfRule type="cellIs" dxfId="18" priority="15" stopIfTrue="1" operator="equal">
      <formula>1</formula>
    </cfRule>
  </conditionalFormatting>
  <conditionalFormatting sqref="A20">
    <cfRule type="cellIs" dxfId="17" priority="14" stopIfTrue="1" operator="equal">
      <formula>1</formula>
    </cfRule>
  </conditionalFormatting>
  <conditionalFormatting sqref="K10:K13">
    <cfRule type="cellIs" dxfId="16" priority="13" stopIfTrue="1" operator="equal">
      <formula>1</formula>
    </cfRule>
  </conditionalFormatting>
  <conditionalFormatting sqref="J8:IV8">
    <cfRule type="cellIs" dxfId="15" priority="12" stopIfTrue="1" operator="equal">
      <formula>1</formula>
    </cfRule>
  </conditionalFormatting>
  <conditionalFormatting sqref="J9:IV9">
    <cfRule type="cellIs" dxfId="14" priority="11" stopIfTrue="1" operator="equal">
      <formula>1</formula>
    </cfRule>
  </conditionalFormatting>
  <conditionalFormatting sqref="G10:I14">
    <cfRule type="cellIs" dxfId="13" priority="9" stopIfTrue="1" operator="equal">
      <formula>1</formula>
    </cfRule>
  </conditionalFormatting>
  <conditionalFormatting sqref="B10:C15">
    <cfRule type="cellIs" dxfId="12" priority="8" stopIfTrue="1" operator="equal">
      <formula>1</formula>
    </cfRule>
  </conditionalFormatting>
  <conditionalFormatting sqref="B16">
    <cfRule type="cellIs" dxfId="11" priority="7" stopIfTrue="1" operator="equal">
      <formula>1</formula>
    </cfRule>
  </conditionalFormatting>
  <conditionalFormatting sqref="E17">
    <cfRule type="cellIs" dxfId="10" priority="6" stopIfTrue="1" operator="equal">
      <formula>1</formula>
    </cfRule>
  </conditionalFormatting>
  <conditionalFormatting sqref="F12">
    <cfRule type="cellIs" dxfId="9" priority="4" stopIfTrue="1" operator="equal">
      <formula>1</formula>
    </cfRule>
  </conditionalFormatting>
  <conditionalFormatting sqref="J2:IV6">
    <cfRule type="cellIs" dxfId="8" priority="3" stopIfTrue="1" operator="equal">
      <formula>1</formula>
    </cfRule>
  </conditionalFormatting>
  <conditionalFormatting sqref="G6">
    <cfRule type="cellIs" dxfId="7" priority="2" stopIfTrue="1" operator="equal">
      <formula>1</formula>
    </cfRule>
  </conditionalFormatting>
  <conditionalFormatting sqref="F6">
    <cfRule type="cellIs" dxfId="6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20"/>
  <sheetViews>
    <sheetView showGridLines="0" workbookViewId="0">
      <selection activeCell="E6" sqref="E6"/>
    </sheetView>
  </sheetViews>
  <sheetFormatPr baseColWidth="12" defaultColWidth="13" defaultRowHeight="21" customHeight="1" x14ac:dyDescent="0.15"/>
  <cols>
    <col min="1" max="1" width="13" style="4"/>
    <col min="2" max="16384" width="13" style="22"/>
  </cols>
  <sheetData>
    <row r="1" spans="1:9" s="4" customFormat="1" ht="21" customHeight="1" x14ac:dyDescent="0.15">
      <c r="A1" s="31" t="s">
        <v>10</v>
      </c>
      <c r="B1" s="31">
        <v>1</v>
      </c>
      <c r="C1" s="31">
        <v>2</v>
      </c>
      <c r="D1" s="31">
        <v>3</v>
      </c>
      <c r="E1" s="31">
        <v>4</v>
      </c>
      <c r="F1" s="31">
        <v>5</v>
      </c>
      <c r="G1" s="31">
        <v>6</v>
      </c>
      <c r="H1" s="31">
        <v>7</v>
      </c>
      <c r="I1" s="31">
        <v>8</v>
      </c>
    </row>
    <row r="2" spans="1:9" s="4" customFormat="1" ht="21" customHeight="1" x14ac:dyDescent="0.15">
      <c r="A2" s="158" t="s">
        <v>294</v>
      </c>
      <c r="B2" s="159"/>
      <c r="C2" s="160"/>
      <c r="D2" s="178" t="s">
        <v>11</v>
      </c>
      <c r="E2" s="178">
        <v>8000</v>
      </c>
      <c r="F2" s="178">
        <v>10000</v>
      </c>
      <c r="G2" s="178">
        <f>F2+4000</f>
        <v>14000</v>
      </c>
      <c r="H2" s="160"/>
      <c r="I2" s="160"/>
    </row>
    <row r="3" spans="1:9" s="4" customFormat="1" ht="21" customHeight="1" x14ac:dyDescent="0.15">
      <c r="A3" s="158" t="s">
        <v>302</v>
      </c>
      <c r="B3" s="162"/>
      <c r="C3" s="163"/>
      <c r="D3" s="178" t="s">
        <v>11</v>
      </c>
      <c r="E3" s="178">
        <v>7500</v>
      </c>
      <c r="F3" s="178">
        <v>9500</v>
      </c>
      <c r="G3" s="178">
        <f t="shared" ref="G3:G4" si="0">F3+4000</f>
        <v>13500</v>
      </c>
      <c r="H3" s="163"/>
      <c r="I3" s="163"/>
    </row>
    <row r="4" spans="1:9" s="4" customFormat="1" ht="21" customHeight="1" x14ac:dyDescent="0.15">
      <c r="A4" s="158" t="s">
        <v>310</v>
      </c>
      <c r="B4" s="165"/>
      <c r="C4" s="166"/>
      <c r="D4" s="178">
        <v>5000</v>
      </c>
      <c r="E4" s="178">
        <v>7000</v>
      </c>
      <c r="F4" s="178">
        <v>9000</v>
      </c>
      <c r="G4" s="178">
        <f t="shared" si="0"/>
        <v>13000</v>
      </c>
      <c r="H4" s="166"/>
      <c r="I4" s="166"/>
    </row>
    <row r="5" spans="1:9" s="4" customFormat="1" ht="21" customHeight="1" x14ac:dyDescent="0.15">
      <c r="A5" s="168" t="s">
        <v>311</v>
      </c>
      <c r="B5" s="169"/>
      <c r="C5" s="170"/>
      <c r="D5" s="178">
        <v>4900</v>
      </c>
      <c r="E5" s="178">
        <v>6700</v>
      </c>
      <c r="F5" s="178">
        <v>8500</v>
      </c>
      <c r="G5" s="178">
        <f t="shared" ref="G5" si="1">5000+F5</f>
        <v>13500</v>
      </c>
      <c r="H5" s="170"/>
      <c r="I5" s="170"/>
    </row>
    <row r="6" spans="1:9" s="4" customFormat="1" ht="21" customHeight="1" x14ac:dyDescent="0.15">
      <c r="A6" s="168" t="s">
        <v>312</v>
      </c>
      <c r="B6" s="169"/>
      <c r="C6" s="170"/>
      <c r="D6" s="178">
        <v>4800</v>
      </c>
      <c r="E6" s="178">
        <v>6600</v>
      </c>
      <c r="F6" s="178" t="s">
        <v>11</v>
      </c>
      <c r="G6" s="178" t="s">
        <v>11</v>
      </c>
      <c r="H6" s="170"/>
      <c r="I6" s="170"/>
    </row>
    <row r="7" spans="1:9" ht="21" customHeight="1" x14ac:dyDescent="0.15">
      <c r="A7" s="77" t="s">
        <v>17</v>
      </c>
      <c r="B7" s="45" t="s">
        <v>11</v>
      </c>
      <c r="C7" s="45" t="s">
        <v>11</v>
      </c>
      <c r="D7" s="45" t="s">
        <v>11</v>
      </c>
      <c r="E7" s="45" t="s">
        <v>11</v>
      </c>
      <c r="F7" s="45" t="s">
        <v>11</v>
      </c>
      <c r="G7" s="45" t="s">
        <v>11</v>
      </c>
      <c r="H7" s="45" t="s">
        <v>11</v>
      </c>
      <c r="I7" s="45" t="s">
        <v>11</v>
      </c>
    </row>
    <row r="8" spans="1:9" ht="21" customHeight="1" x14ac:dyDescent="0.15">
      <c r="A8" s="78" t="s">
        <v>56</v>
      </c>
      <c r="B8" s="45" t="s">
        <v>11</v>
      </c>
      <c r="C8" s="45" t="s">
        <v>11</v>
      </c>
      <c r="D8" s="45" t="s">
        <v>11</v>
      </c>
      <c r="E8" s="45">
        <v>8000</v>
      </c>
      <c r="F8" s="27">
        <v>10000</v>
      </c>
      <c r="G8" s="45" t="s">
        <v>11</v>
      </c>
      <c r="H8" s="45" t="s">
        <v>11</v>
      </c>
      <c r="I8" s="45" t="s">
        <v>11</v>
      </c>
    </row>
    <row r="9" spans="1:9" s="44" customFormat="1" ht="21" customHeight="1" x14ac:dyDescent="0.15">
      <c r="A9" s="79" t="s">
        <v>31</v>
      </c>
      <c r="B9" s="27" t="s">
        <v>11</v>
      </c>
      <c r="C9" s="27" t="s">
        <v>11</v>
      </c>
      <c r="D9" s="27" t="s">
        <v>11</v>
      </c>
      <c r="E9" s="27">
        <v>7500</v>
      </c>
      <c r="F9" s="27">
        <v>9500</v>
      </c>
      <c r="G9" s="27" t="s">
        <v>11</v>
      </c>
      <c r="H9" s="27" t="s">
        <v>11</v>
      </c>
      <c r="I9" s="27" t="s">
        <v>11</v>
      </c>
    </row>
    <row r="10" spans="1:9" ht="21" customHeight="1" x14ac:dyDescent="0.15">
      <c r="A10" s="79" t="s">
        <v>9</v>
      </c>
      <c r="B10" s="68" t="s">
        <v>11</v>
      </c>
      <c r="C10" s="68" t="s">
        <v>11</v>
      </c>
      <c r="D10" s="27">
        <v>5000</v>
      </c>
      <c r="E10" s="27">
        <v>7000</v>
      </c>
      <c r="F10" s="27">
        <v>9000</v>
      </c>
      <c r="G10" s="68" t="s">
        <v>11</v>
      </c>
      <c r="H10" s="68" t="s">
        <v>11</v>
      </c>
      <c r="I10" s="68" t="s">
        <v>11</v>
      </c>
    </row>
    <row r="11" spans="1:9" ht="21" customHeight="1" x14ac:dyDescent="0.15">
      <c r="A11" s="79" t="s">
        <v>57</v>
      </c>
      <c r="B11" s="68" t="s">
        <v>11</v>
      </c>
      <c r="C11" s="68" t="s">
        <v>11</v>
      </c>
      <c r="D11" s="27">
        <v>4900</v>
      </c>
      <c r="E11" s="27">
        <v>6700</v>
      </c>
      <c r="F11" s="27">
        <v>8500</v>
      </c>
      <c r="G11" s="68" t="s">
        <v>11</v>
      </c>
      <c r="H11" s="68" t="s">
        <v>11</v>
      </c>
      <c r="I11" s="68" t="s">
        <v>11</v>
      </c>
    </row>
    <row r="12" spans="1:9" ht="21" customHeight="1" x14ac:dyDescent="0.15">
      <c r="A12" s="79" t="s">
        <v>132</v>
      </c>
      <c r="B12" s="68" t="s">
        <v>11</v>
      </c>
      <c r="C12" s="68" t="s">
        <v>11</v>
      </c>
      <c r="D12" s="27">
        <v>4800</v>
      </c>
      <c r="E12" s="27">
        <v>6600</v>
      </c>
      <c r="F12" s="68" t="s">
        <v>11</v>
      </c>
      <c r="G12" s="68" t="s">
        <v>11</v>
      </c>
      <c r="H12" s="68" t="s">
        <v>11</v>
      </c>
      <c r="I12" s="68" t="s">
        <v>11</v>
      </c>
    </row>
    <row r="13" spans="1:9" ht="21" customHeight="1" x14ac:dyDescent="0.15">
      <c r="A13" s="79" t="s">
        <v>145</v>
      </c>
      <c r="B13" s="68" t="s">
        <v>11</v>
      </c>
      <c r="C13" s="68" t="s">
        <v>11</v>
      </c>
      <c r="D13" s="68" t="s">
        <v>11</v>
      </c>
      <c r="E13" s="27">
        <v>6300</v>
      </c>
      <c r="F13" s="68" t="s">
        <v>11</v>
      </c>
      <c r="G13" s="68" t="s">
        <v>11</v>
      </c>
      <c r="H13" s="68" t="s">
        <v>11</v>
      </c>
      <c r="I13" s="68" t="s">
        <v>11</v>
      </c>
    </row>
    <row r="14" spans="1:9" ht="21" customHeight="1" x14ac:dyDescent="0.15">
      <c r="A14" s="79" t="s">
        <v>133</v>
      </c>
      <c r="B14" s="68" t="s">
        <v>11</v>
      </c>
      <c r="C14" s="68" t="s">
        <v>11</v>
      </c>
      <c r="D14" s="27">
        <v>4600</v>
      </c>
      <c r="E14" s="27">
        <v>5800</v>
      </c>
      <c r="F14" s="27">
        <v>7600</v>
      </c>
      <c r="G14" s="68" t="s">
        <v>11</v>
      </c>
      <c r="H14" s="68" t="s">
        <v>11</v>
      </c>
      <c r="I14" s="68" t="s">
        <v>11</v>
      </c>
    </row>
    <row r="15" spans="1:9" ht="21" customHeight="1" x14ac:dyDescent="0.15">
      <c r="A15" s="79" t="s">
        <v>131</v>
      </c>
      <c r="B15" s="68" t="s">
        <v>11</v>
      </c>
      <c r="C15" s="68" t="s">
        <v>11</v>
      </c>
      <c r="D15" s="27">
        <v>4400</v>
      </c>
      <c r="E15" s="27">
        <v>5600</v>
      </c>
      <c r="F15" s="68" t="s">
        <v>11</v>
      </c>
      <c r="G15" s="68" t="s">
        <v>11</v>
      </c>
      <c r="H15" s="68" t="s">
        <v>11</v>
      </c>
      <c r="I15" s="68" t="s">
        <v>11</v>
      </c>
    </row>
    <row r="16" spans="1:9" ht="21" customHeight="1" x14ac:dyDescent="0.15">
      <c r="A16" s="79" t="s">
        <v>43</v>
      </c>
      <c r="B16" s="68" t="s">
        <v>11</v>
      </c>
      <c r="C16" s="27">
        <v>3000</v>
      </c>
      <c r="D16" s="27">
        <v>4200</v>
      </c>
      <c r="E16" s="27">
        <v>5400</v>
      </c>
      <c r="F16" s="68" t="s">
        <v>11</v>
      </c>
      <c r="G16" s="68" t="s">
        <v>11</v>
      </c>
      <c r="H16" s="68" t="s">
        <v>11</v>
      </c>
      <c r="I16" s="68" t="s">
        <v>11</v>
      </c>
    </row>
    <row r="17" spans="1:9" ht="21" customHeight="1" x14ac:dyDescent="0.15">
      <c r="A17" s="79" t="s">
        <v>8</v>
      </c>
      <c r="B17" s="27">
        <v>2000</v>
      </c>
      <c r="C17" s="27">
        <v>2800</v>
      </c>
      <c r="D17" s="27">
        <v>4000</v>
      </c>
      <c r="E17" s="68" t="s">
        <v>11</v>
      </c>
      <c r="F17" s="68" t="s">
        <v>11</v>
      </c>
      <c r="G17" s="68" t="s">
        <v>11</v>
      </c>
      <c r="H17" s="68" t="s">
        <v>11</v>
      </c>
      <c r="I17" s="68" t="s">
        <v>11</v>
      </c>
    </row>
    <row r="18" spans="1:9" ht="21" customHeight="1" x14ac:dyDescent="0.15">
      <c r="A18" s="80" t="s">
        <v>7</v>
      </c>
      <c r="B18" s="27">
        <v>1750</v>
      </c>
      <c r="C18" s="27">
        <v>2550</v>
      </c>
      <c r="D18" s="68" t="s">
        <v>11</v>
      </c>
      <c r="E18" s="68" t="s">
        <v>11</v>
      </c>
      <c r="F18" s="68" t="s">
        <v>11</v>
      </c>
      <c r="G18" s="68" t="s">
        <v>11</v>
      </c>
      <c r="H18" s="68" t="s">
        <v>11</v>
      </c>
      <c r="I18" s="68" t="s">
        <v>11</v>
      </c>
    </row>
    <row r="19" spans="1:9" ht="21" customHeight="1" x14ac:dyDescent="0.15">
      <c r="A19" s="80" t="s">
        <v>42</v>
      </c>
      <c r="B19" s="27">
        <v>1500</v>
      </c>
      <c r="C19" s="27">
        <v>2300</v>
      </c>
      <c r="D19" s="68" t="s">
        <v>11</v>
      </c>
      <c r="E19" s="68" t="s">
        <v>11</v>
      </c>
      <c r="F19" s="68" t="s">
        <v>11</v>
      </c>
      <c r="G19" s="68" t="s">
        <v>11</v>
      </c>
      <c r="H19" s="68" t="s">
        <v>11</v>
      </c>
      <c r="I19" s="68" t="s">
        <v>11</v>
      </c>
    </row>
    <row r="20" spans="1:9" ht="21" customHeight="1" x14ac:dyDescent="0.15">
      <c r="A20" s="36" t="s">
        <v>30</v>
      </c>
      <c r="B20" s="35">
        <v>1000</v>
      </c>
      <c r="C20" s="35">
        <v>1000</v>
      </c>
      <c r="D20" s="35">
        <v>1000</v>
      </c>
      <c r="E20" s="35">
        <v>1000</v>
      </c>
      <c r="F20" s="35">
        <v>1000</v>
      </c>
      <c r="G20" s="35">
        <v>1000</v>
      </c>
      <c r="H20" s="35">
        <v>1000</v>
      </c>
      <c r="I20" s="35">
        <v>1000</v>
      </c>
    </row>
  </sheetData>
  <sheetProtection selectLockedCells="1" selectUnlockedCells="1"/>
  <phoneticPr fontId="9"/>
  <conditionalFormatting sqref="L22:R65541 J1:IU1 L7:R19 S7:IU1048576 J7:K1048576">
    <cfRule type="cellIs" dxfId="5" priority="4" stopIfTrue="1" operator="equal">
      <formula>1</formula>
    </cfRule>
  </conditionalFormatting>
  <conditionalFormatting sqref="A21:I65541">
    <cfRule type="cellIs" dxfId="4" priority="5" stopIfTrue="1" operator="equal">
      <formula>1</formula>
    </cfRule>
  </conditionalFormatting>
  <conditionalFormatting sqref="A20:I20">
    <cfRule type="cellIs" dxfId="3" priority="3" stopIfTrue="1" operator="equal">
      <formula>1</formula>
    </cfRule>
  </conditionalFormatting>
  <conditionalFormatting sqref="J2:IV4">
    <cfRule type="cellIs" dxfId="2" priority="2" stopIfTrue="1" operator="equal">
      <formula>1</formula>
    </cfRule>
  </conditionalFormatting>
  <conditionalFormatting sqref="J5:IV6">
    <cfRule type="cellIs" dxfId="1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B8" sqref="B8"/>
    </sheetView>
  </sheetViews>
  <sheetFormatPr baseColWidth="12" defaultColWidth="13" defaultRowHeight="21" customHeight="1" x14ac:dyDescent="0.15"/>
  <cols>
    <col min="1" max="16384" width="13" style="22"/>
  </cols>
  <sheetData>
    <row r="1" spans="1:8" ht="21" customHeight="1" x14ac:dyDescent="0.15">
      <c r="A1" s="22" t="s">
        <v>141</v>
      </c>
      <c r="G1" s="22" t="s">
        <v>142</v>
      </c>
    </row>
    <row r="2" spans="1:8" ht="21" customHeight="1" x14ac:dyDescent="0.15">
      <c r="A2" s="20" t="s">
        <v>15</v>
      </c>
      <c r="B2" s="20" t="s">
        <v>16</v>
      </c>
      <c r="G2" s="20" t="s">
        <v>15</v>
      </c>
      <c r="H2" s="20" t="s">
        <v>16</v>
      </c>
    </row>
    <row r="3" spans="1:8" ht="21" customHeight="1" x14ac:dyDescent="0.15">
      <c r="A3" s="23">
        <v>1</v>
      </c>
      <c r="B3" s="32">
        <v>5000</v>
      </c>
      <c r="G3" s="23">
        <v>1</v>
      </c>
      <c r="H3" s="23">
        <v>75</v>
      </c>
    </row>
    <row r="4" spans="1:8" ht="21" customHeight="1" x14ac:dyDescent="0.15">
      <c r="A4" s="23">
        <v>2</v>
      </c>
      <c r="B4" s="24">
        <v>10000</v>
      </c>
      <c r="G4" s="23">
        <v>2</v>
      </c>
      <c r="H4" s="23">
        <v>150</v>
      </c>
    </row>
    <row r="5" spans="1:8" ht="21" customHeight="1" x14ac:dyDescent="0.15">
      <c r="A5" s="23">
        <v>3</v>
      </c>
      <c r="B5" s="24">
        <v>20000</v>
      </c>
      <c r="G5" s="23">
        <v>3</v>
      </c>
      <c r="H5" s="23">
        <v>300</v>
      </c>
    </row>
    <row r="6" spans="1:8" ht="21" customHeight="1" x14ac:dyDescent="0.15">
      <c r="A6" s="23">
        <v>4</v>
      </c>
      <c r="B6" s="24">
        <v>50000</v>
      </c>
      <c r="G6" s="23">
        <v>4</v>
      </c>
      <c r="H6" s="23">
        <v>600</v>
      </c>
    </row>
    <row r="7" spans="1:8" ht="21" customHeight="1" x14ac:dyDescent="0.15">
      <c r="A7" s="23">
        <v>5</v>
      </c>
      <c r="B7" s="24">
        <v>200000</v>
      </c>
      <c r="G7" s="23">
        <v>5</v>
      </c>
      <c r="H7" s="23">
        <v>900</v>
      </c>
    </row>
    <row r="8" spans="1:8" ht="21" customHeight="1" x14ac:dyDescent="0.15">
      <c r="A8" s="23">
        <v>6</v>
      </c>
      <c r="B8" s="33"/>
      <c r="G8" s="23">
        <v>6</v>
      </c>
      <c r="H8" s="34"/>
    </row>
    <row r="9" spans="1:8" ht="21" customHeight="1" x14ac:dyDescent="0.15">
      <c r="A9" s="23">
        <v>7</v>
      </c>
      <c r="B9" s="33"/>
      <c r="G9" s="23">
        <v>7</v>
      </c>
      <c r="H9" s="33"/>
    </row>
    <row r="10" spans="1:8" ht="21" customHeight="1" x14ac:dyDescent="0.15">
      <c r="A10" s="23">
        <v>8</v>
      </c>
      <c r="B10" s="33"/>
      <c r="G10" s="23">
        <v>8</v>
      </c>
      <c r="H10" s="33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output</vt:lpstr>
      <vt:lpstr>units</vt:lpstr>
      <vt:lpstr>unit_skills</vt:lpstr>
      <vt:lpstr>crash_skills</vt:lpstr>
      <vt:lpstr>unit_serifs</vt:lpstr>
      <vt:lpstr>awake_materials</vt:lpstr>
      <vt:lpstr>→base値</vt:lpstr>
      <vt:lpstr>ghosts_label</vt:lpstr>
      <vt:lpstr>コスト</vt:lpstr>
      <vt:lpstr>レベル</vt:lpstr>
      <vt:lpstr>経験値</vt:lpstr>
      <vt:lpstr>RC6SV</vt:lpstr>
      <vt:lpstr>ビット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2017-06-06T08:11:06Z</dcterms:modified>
</cp:coreProperties>
</file>