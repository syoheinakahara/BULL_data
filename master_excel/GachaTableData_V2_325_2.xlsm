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30860" yWindow="-5100" windowWidth="31920" windowHeight="19680" tabRatio="943" activeTab="2"/>
  </bookViews>
  <sheets>
    <sheet name="確率の考え方" sheetId="110" r:id="rId1"/>
    <sheet name="Sheet1" sheetId="107" r:id="rId2"/>
    <sheet name="output" sheetId="103" r:id="rId3"/>
    <sheet name="input_325101" sheetId="106" r:id="rId4"/>
    <sheet name="tables_325101" sheetId="82" r:id="rId5"/>
    <sheet name="input_325103" sheetId="119" r:id="rId6"/>
    <sheet name="tables_325103" sheetId="120" r:id="rId7"/>
    <sheet name="input_settle_325103" sheetId="121" r:id="rId8"/>
    <sheet name="tables_settle_325103" sheetId="122" r:id="rId9"/>
    <sheet name="input_325104" sheetId="123" r:id="rId10"/>
    <sheet name="tables_325104" sheetId="124" r:id="rId11"/>
    <sheet name="input_325105" sheetId="125" r:id="rId12"/>
    <sheet name="tables_325105" sheetId="126" r:id="rId13"/>
    <sheet name="input_325100" sheetId="127" r:id="rId14"/>
    <sheet name="tables_325100" sheetId="128" r:id="rId15"/>
    <sheet name="gacha_bonus_tables" sheetId="98" r:id="rId16"/>
    <sheet name="R6追加前" sheetId="111" r:id="rId17"/>
    <sheet name="R6開放" sheetId="112" r:id="rId18"/>
  </sheets>
  <externalReferences>
    <externalReference r:id="rId19"/>
  </externalReferences>
  <definedNames>
    <definedName name="_xlnm._FilterDatabase" localSheetId="15" hidden="1">gacha_bonus_tables!$A$1:$F$1</definedName>
    <definedName name="_xlnm._FilterDatabase" localSheetId="14" hidden="1">tables_325100!$A$1:$V$271</definedName>
    <definedName name="_xlnm._FilterDatabase" localSheetId="4" hidden="1">tables_325101!$A$1:$V$271</definedName>
    <definedName name="_xlnm._FilterDatabase" localSheetId="6" hidden="1">tables_325103!$A$1:$V$271</definedName>
    <definedName name="_xlnm._FilterDatabase" localSheetId="10" hidden="1">tables_325104!$A$1:$V$271</definedName>
    <definedName name="_xlnm._FilterDatabase" localSheetId="12" hidden="1">tables_325105!$A$1:$V$271</definedName>
    <definedName name="_xlnm._FilterDatabase" localSheetId="8" hidden="1">tables_settle_325103!$A$1:$V$271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103" l="1"/>
  <c r="E7" i="103"/>
  <c r="C6" i="103"/>
  <c r="E6" i="103"/>
  <c r="C5" i="103"/>
  <c r="E5" i="103"/>
  <c r="C4" i="103"/>
  <c r="E4" i="103"/>
  <c r="C3" i="103"/>
  <c r="E3" i="103"/>
  <c r="C2" i="103"/>
  <c r="E2" i="103"/>
  <c r="A49" i="127"/>
  <c r="A49" i="125"/>
  <c r="A49" i="123"/>
  <c r="I272" i="128"/>
  <c r="D272" i="128"/>
  <c r="J272" i="128"/>
  <c r="F272" i="128"/>
  <c r="C272" i="128"/>
  <c r="A2" i="127"/>
  <c r="B44" i="127"/>
  <c r="Q3" i="127"/>
  <c r="Q4" i="127"/>
  <c r="Q5" i="127"/>
  <c r="Q6" i="127"/>
  <c r="Q7" i="127"/>
  <c r="Q8" i="127"/>
  <c r="Q9" i="127"/>
  <c r="Q10" i="127"/>
  <c r="Q11" i="127"/>
  <c r="Q12" i="127"/>
  <c r="Q13" i="127"/>
  <c r="Q14" i="127"/>
  <c r="C44" i="127"/>
  <c r="D44" i="127"/>
  <c r="G44" i="127"/>
  <c r="I2" i="128"/>
  <c r="D2" i="128"/>
  <c r="J2" i="128"/>
  <c r="E2" i="128"/>
  <c r="F2" i="128"/>
  <c r="K2" i="128"/>
  <c r="G2" i="128"/>
  <c r="C2" i="128"/>
  <c r="I3" i="128"/>
  <c r="D3" i="128"/>
  <c r="J3" i="128"/>
  <c r="E3" i="128"/>
  <c r="F3" i="128"/>
  <c r="K3" i="128"/>
  <c r="G3" i="128"/>
  <c r="C3" i="128"/>
  <c r="I4" i="128"/>
  <c r="D4" i="128"/>
  <c r="J4" i="128"/>
  <c r="E4" i="128"/>
  <c r="F4" i="128"/>
  <c r="K4" i="128"/>
  <c r="G4" i="128"/>
  <c r="C4" i="128"/>
  <c r="I5" i="128"/>
  <c r="D5" i="128"/>
  <c r="J5" i="128"/>
  <c r="E5" i="128"/>
  <c r="F5" i="128"/>
  <c r="K5" i="128"/>
  <c r="G5" i="128"/>
  <c r="C5" i="128"/>
  <c r="I6" i="128"/>
  <c r="D6" i="128"/>
  <c r="J6" i="128"/>
  <c r="E6" i="128"/>
  <c r="F6" i="128"/>
  <c r="K6" i="128"/>
  <c r="G6" i="128"/>
  <c r="C6" i="128"/>
  <c r="I7" i="128"/>
  <c r="D7" i="128"/>
  <c r="J7" i="128"/>
  <c r="E7" i="128"/>
  <c r="F7" i="128"/>
  <c r="K7" i="128"/>
  <c r="G7" i="128"/>
  <c r="C7" i="128"/>
  <c r="I8" i="128"/>
  <c r="D8" i="128"/>
  <c r="J8" i="128"/>
  <c r="E8" i="128"/>
  <c r="F8" i="128"/>
  <c r="K8" i="128"/>
  <c r="G8" i="128"/>
  <c r="C8" i="128"/>
  <c r="I9" i="128"/>
  <c r="D9" i="128"/>
  <c r="J9" i="128"/>
  <c r="E9" i="128"/>
  <c r="F9" i="128"/>
  <c r="K9" i="128"/>
  <c r="G9" i="128"/>
  <c r="C9" i="128"/>
  <c r="I10" i="128"/>
  <c r="D10" i="128"/>
  <c r="J10" i="128"/>
  <c r="E10" i="128"/>
  <c r="F10" i="128"/>
  <c r="K10" i="128"/>
  <c r="G10" i="128"/>
  <c r="C10" i="128"/>
  <c r="I11" i="128"/>
  <c r="D11" i="128"/>
  <c r="J11" i="128"/>
  <c r="E11" i="128"/>
  <c r="F11" i="128"/>
  <c r="K11" i="128"/>
  <c r="G11" i="128"/>
  <c r="C11" i="128"/>
  <c r="I12" i="128"/>
  <c r="D12" i="128"/>
  <c r="J12" i="128"/>
  <c r="E12" i="128"/>
  <c r="F12" i="128"/>
  <c r="K12" i="128"/>
  <c r="G12" i="128"/>
  <c r="C12" i="128"/>
  <c r="I13" i="128"/>
  <c r="D13" i="128"/>
  <c r="J13" i="128"/>
  <c r="E13" i="128"/>
  <c r="F13" i="128"/>
  <c r="K13" i="128"/>
  <c r="G13" i="128"/>
  <c r="C13" i="128"/>
  <c r="I14" i="128"/>
  <c r="D14" i="128"/>
  <c r="J14" i="128"/>
  <c r="E14" i="128"/>
  <c r="F14" i="128"/>
  <c r="K14" i="128"/>
  <c r="G14" i="128"/>
  <c r="C14" i="128"/>
  <c r="I15" i="128"/>
  <c r="D15" i="128"/>
  <c r="J15" i="128"/>
  <c r="E15" i="128"/>
  <c r="F15" i="128"/>
  <c r="K15" i="128"/>
  <c r="G15" i="128"/>
  <c r="C15" i="128"/>
  <c r="I16" i="128"/>
  <c r="D16" i="128"/>
  <c r="J16" i="128"/>
  <c r="E16" i="128"/>
  <c r="F16" i="128"/>
  <c r="K16" i="128"/>
  <c r="G16" i="128"/>
  <c r="C16" i="128"/>
  <c r="I17" i="128"/>
  <c r="D17" i="128"/>
  <c r="J17" i="128"/>
  <c r="E17" i="128"/>
  <c r="F17" i="128"/>
  <c r="K17" i="128"/>
  <c r="G17" i="128"/>
  <c r="C17" i="128"/>
  <c r="I18" i="128"/>
  <c r="D18" i="128"/>
  <c r="J18" i="128"/>
  <c r="E18" i="128"/>
  <c r="F18" i="128"/>
  <c r="K18" i="128"/>
  <c r="G18" i="128"/>
  <c r="C18" i="128"/>
  <c r="I19" i="128"/>
  <c r="D19" i="128"/>
  <c r="J19" i="128"/>
  <c r="E19" i="128"/>
  <c r="F19" i="128"/>
  <c r="K19" i="128"/>
  <c r="G19" i="128"/>
  <c r="C19" i="128"/>
  <c r="I20" i="128"/>
  <c r="D20" i="128"/>
  <c r="J20" i="128"/>
  <c r="E20" i="128"/>
  <c r="F20" i="128"/>
  <c r="K20" i="128"/>
  <c r="G20" i="128"/>
  <c r="C20" i="128"/>
  <c r="I21" i="128"/>
  <c r="D21" i="128"/>
  <c r="J21" i="128"/>
  <c r="E21" i="128"/>
  <c r="F21" i="128"/>
  <c r="K21" i="128"/>
  <c r="G21" i="128"/>
  <c r="C21" i="128"/>
  <c r="I22" i="128"/>
  <c r="D22" i="128"/>
  <c r="J22" i="128"/>
  <c r="E22" i="128"/>
  <c r="F22" i="128"/>
  <c r="K22" i="128"/>
  <c r="G22" i="128"/>
  <c r="C22" i="128"/>
  <c r="I23" i="128"/>
  <c r="D23" i="128"/>
  <c r="J23" i="128"/>
  <c r="E23" i="128"/>
  <c r="F23" i="128"/>
  <c r="K23" i="128"/>
  <c r="G23" i="128"/>
  <c r="C23" i="128"/>
  <c r="I24" i="128"/>
  <c r="D24" i="128"/>
  <c r="J24" i="128"/>
  <c r="E24" i="128"/>
  <c r="F24" i="128"/>
  <c r="K24" i="128"/>
  <c r="G24" i="128"/>
  <c r="C24" i="128"/>
  <c r="I25" i="128"/>
  <c r="D25" i="128"/>
  <c r="J25" i="128"/>
  <c r="E25" i="128"/>
  <c r="F25" i="128"/>
  <c r="K25" i="128"/>
  <c r="G25" i="128"/>
  <c r="C25" i="128"/>
  <c r="I26" i="128"/>
  <c r="D26" i="128"/>
  <c r="J26" i="128"/>
  <c r="E26" i="128"/>
  <c r="F26" i="128"/>
  <c r="K26" i="128"/>
  <c r="G26" i="128"/>
  <c r="C26" i="128"/>
  <c r="I27" i="128"/>
  <c r="D27" i="128"/>
  <c r="J27" i="128"/>
  <c r="E27" i="128"/>
  <c r="F27" i="128"/>
  <c r="K27" i="128"/>
  <c r="G27" i="128"/>
  <c r="C27" i="128"/>
  <c r="I28" i="128"/>
  <c r="D28" i="128"/>
  <c r="J28" i="128"/>
  <c r="E28" i="128"/>
  <c r="F28" i="128"/>
  <c r="K28" i="128"/>
  <c r="G28" i="128"/>
  <c r="C28" i="128"/>
  <c r="I29" i="128"/>
  <c r="D29" i="128"/>
  <c r="J29" i="128"/>
  <c r="E29" i="128"/>
  <c r="F29" i="128"/>
  <c r="K29" i="128"/>
  <c r="G29" i="128"/>
  <c r="C29" i="128"/>
  <c r="I30" i="128"/>
  <c r="D30" i="128"/>
  <c r="J30" i="128"/>
  <c r="E30" i="128"/>
  <c r="F30" i="128"/>
  <c r="K30" i="128"/>
  <c r="G30" i="128"/>
  <c r="C30" i="128"/>
  <c r="I31" i="128"/>
  <c r="D31" i="128"/>
  <c r="J31" i="128"/>
  <c r="E31" i="128"/>
  <c r="F31" i="128"/>
  <c r="K31" i="128"/>
  <c r="G31" i="128"/>
  <c r="C31" i="128"/>
  <c r="I32" i="128"/>
  <c r="D32" i="128"/>
  <c r="J32" i="128"/>
  <c r="E32" i="128"/>
  <c r="F32" i="128"/>
  <c r="K32" i="128"/>
  <c r="G32" i="128"/>
  <c r="C32" i="128"/>
  <c r="I33" i="128"/>
  <c r="D33" i="128"/>
  <c r="J33" i="128"/>
  <c r="E33" i="128"/>
  <c r="F33" i="128"/>
  <c r="K33" i="128"/>
  <c r="G33" i="128"/>
  <c r="C33" i="128"/>
  <c r="I34" i="128"/>
  <c r="D34" i="128"/>
  <c r="J34" i="128"/>
  <c r="E34" i="128"/>
  <c r="F34" i="128"/>
  <c r="K34" i="128"/>
  <c r="G34" i="128"/>
  <c r="C34" i="128"/>
  <c r="I35" i="128"/>
  <c r="D35" i="128"/>
  <c r="J35" i="128"/>
  <c r="E35" i="128"/>
  <c r="F35" i="128"/>
  <c r="K35" i="128"/>
  <c r="G35" i="128"/>
  <c r="C35" i="128"/>
  <c r="I36" i="128"/>
  <c r="D36" i="128"/>
  <c r="J36" i="128"/>
  <c r="E36" i="128"/>
  <c r="F36" i="128"/>
  <c r="K36" i="128"/>
  <c r="G36" i="128"/>
  <c r="C36" i="128"/>
  <c r="I37" i="128"/>
  <c r="D37" i="128"/>
  <c r="J37" i="128"/>
  <c r="E37" i="128"/>
  <c r="F37" i="128"/>
  <c r="K37" i="128"/>
  <c r="G37" i="128"/>
  <c r="C37" i="128"/>
  <c r="I38" i="128"/>
  <c r="D38" i="128"/>
  <c r="J38" i="128"/>
  <c r="E38" i="128"/>
  <c r="F38" i="128"/>
  <c r="K38" i="128"/>
  <c r="G38" i="128"/>
  <c r="C38" i="128"/>
  <c r="I39" i="128"/>
  <c r="D39" i="128"/>
  <c r="J39" i="128"/>
  <c r="E39" i="128"/>
  <c r="F39" i="128"/>
  <c r="K39" i="128"/>
  <c r="G39" i="128"/>
  <c r="C39" i="128"/>
  <c r="I40" i="128"/>
  <c r="D40" i="128"/>
  <c r="J40" i="128"/>
  <c r="E40" i="128"/>
  <c r="F40" i="128"/>
  <c r="K40" i="128"/>
  <c r="G40" i="128"/>
  <c r="C40" i="128"/>
  <c r="I41" i="128"/>
  <c r="D41" i="128"/>
  <c r="J41" i="128"/>
  <c r="E41" i="128"/>
  <c r="F41" i="128"/>
  <c r="K41" i="128"/>
  <c r="G41" i="128"/>
  <c r="C41" i="128"/>
  <c r="I42" i="128"/>
  <c r="D42" i="128"/>
  <c r="J42" i="128"/>
  <c r="E42" i="128"/>
  <c r="F42" i="128"/>
  <c r="K42" i="128"/>
  <c r="G42" i="128"/>
  <c r="C42" i="128"/>
  <c r="I43" i="128"/>
  <c r="D43" i="128"/>
  <c r="J43" i="128"/>
  <c r="E43" i="128"/>
  <c r="F43" i="128"/>
  <c r="K43" i="128"/>
  <c r="G43" i="128"/>
  <c r="C43" i="128"/>
  <c r="I44" i="128"/>
  <c r="D44" i="128"/>
  <c r="J44" i="128"/>
  <c r="E44" i="128"/>
  <c r="F44" i="128"/>
  <c r="K44" i="128"/>
  <c r="G44" i="128"/>
  <c r="C44" i="128"/>
  <c r="I45" i="128"/>
  <c r="D45" i="128"/>
  <c r="J45" i="128"/>
  <c r="E45" i="128"/>
  <c r="F45" i="128"/>
  <c r="K45" i="128"/>
  <c r="G45" i="128"/>
  <c r="C45" i="128"/>
  <c r="I46" i="128"/>
  <c r="D46" i="128"/>
  <c r="J46" i="128"/>
  <c r="E46" i="128"/>
  <c r="F46" i="128"/>
  <c r="K46" i="128"/>
  <c r="G46" i="128"/>
  <c r="C46" i="128"/>
  <c r="I47" i="128"/>
  <c r="D47" i="128"/>
  <c r="J47" i="128"/>
  <c r="E47" i="128"/>
  <c r="F47" i="128"/>
  <c r="K47" i="128"/>
  <c r="G47" i="128"/>
  <c r="C47" i="128"/>
  <c r="I48" i="128"/>
  <c r="D48" i="128"/>
  <c r="J48" i="128"/>
  <c r="E48" i="128"/>
  <c r="F48" i="128"/>
  <c r="K48" i="128"/>
  <c r="G48" i="128"/>
  <c r="C48" i="128"/>
  <c r="I49" i="128"/>
  <c r="D49" i="128"/>
  <c r="J49" i="128"/>
  <c r="E49" i="128"/>
  <c r="F49" i="128"/>
  <c r="K49" i="128"/>
  <c r="G49" i="128"/>
  <c r="C49" i="128"/>
  <c r="I50" i="128"/>
  <c r="D50" i="128"/>
  <c r="J50" i="128"/>
  <c r="E50" i="128"/>
  <c r="F50" i="128"/>
  <c r="K50" i="128"/>
  <c r="G50" i="128"/>
  <c r="C50" i="128"/>
  <c r="I51" i="128"/>
  <c r="D51" i="128"/>
  <c r="J51" i="128"/>
  <c r="E51" i="128"/>
  <c r="F51" i="128"/>
  <c r="K51" i="128"/>
  <c r="G51" i="128"/>
  <c r="C51" i="128"/>
  <c r="I52" i="128"/>
  <c r="D52" i="128"/>
  <c r="J52" i="128"/>
  <c r="E52" i="128"/>
  <c r="F52" i="128"/>
  <c r="K52" i="128"/>
  <c r="G52" i="128"/>
  <c r="C52" i="128"/>
  <c r="I53" i="128"/>
  <c r="D53" i="128"/>
  <c r="J53" i="128"/>
  <c r="E53" i="128"/>
  <c r="F53" i="128"/>
  <c r="K53" i="128"/>
  <c r="G53" i="128"/>
  <c r="C53" i="128"/>
  <c r="I54" i="128"/>
  <c r="D54" i="128"/>
  <c r="J54" i="128"/>
  <c r="E54" i="128"/>
  <c r="F54" i="128"/>
  <c r="K54" i="128"/>
  <c r="G54" i="128"/>
  <c r="C54" i="128"/>
  <c r="I55" i="128"/>
  <c r="D55" i="128"/>
  <c r="J55" i="128"/>
  <c r="E55" i="128"/>
  <c r="F55" i="128"/>
  <c r="K55" i="128"/>
  <c r="G55" i="128"/>
  <c r="C55" i="128"/>
  <c r="I56" i="128"/>
  <c r="D56" i="128"/>
  <c r="J56" i="128"/>
  <c r="E56" i="128"/>
  <c r="F56" i="128"/>
  <c r="K56" i="128"/>
  <c r="G56" i="128"/>
  <c r="C56" i="128"/>
  <c r="I57" i="128"/>
  <c r="D57" i="128"/>
  <c r="J57" i="128"/>
  <c r="E57" i="128"/>
  <c r="F57" i="128"/>
  <c r="K57" i="128"/>
  <c r="G57" i="128"/>
  <c r="C57" i="128"/>
  <c r="I58" i="128"/>
  <c r="D58" i="128"/>
  <c r="J58" i="128"/>
  <c r="E58" i="128"/>
  <c r="F58" i="128"/>
  <c r="K58" i="128"/>
  <c r="G58" i="128"/>
  <c r="C58" i="128"/>
  <c r="I59" i="128"/>
  <c r="D59" i="128"/>
  <c r="J59" i="128"/>
  <c r="E59" i="128"/>
  <c r="F59" i="128"/>
  <c r="K59" i="128"/>
  <c r="G59" i="128"/>
  <c r="C59" i="128"/>
  <c r="I60" i="128"/>
  <c r="D60" i="128"/>
  <c r="J60" i="128"/>
  <c r="E60" i="128"/>
  <c r="F60" i="128"/>
  <c r="K60" i="128"/>
  <c r="G60" i="128"/>
  <c r="C60" i="128"/>
  <c r="I61" i="128"/>
  <c r="D61" i="128"/>
  <c r="J61" i="128"/>
  <c r="E61" i="128"/>
  <c r="F61" i="128"/>
  <c r="K61" i="128"/>
  <c r="G61" i="128"/>
  <c r="C61" i="128"/>
  <c r="I62" i="128"/>
  <c r="D62" i="128"/>
  <c r="J62" i="128"/>
  <c r="E62" i="128"/>
  <c r="F62" i="128"/>
  <c r="K62" i="128"/>
  <c r="G62" i="128"/>
  <c r="C62" i="128"/>
  <c r="I63" i="128"/>
  <c r="D63" i="128"/>
  <c r="J63" i="128"/>
  <c r="E63" i="128"/>
  <c r="F63" i="128"/>
  <c r="K63" i="128"/>
  <c r="G63" i="128"/>
  <c r="C63" i="128"/>
  <c r="I64" i="128"/>
  <c r="D64" i="128"/>
  <c r="J64" i="128"/>
  <c r="E64" i="128"/>
  <c r="F64" i="128"/>
  <c r="K64" i="128"/>
  <c r="G64" i="128"/>
  <c r="C64" i="128"/>
  <c r="I65" i="128"/>
  <c r="D65" i="128"/>
  <c r="J65" i="128"/>
  <c r="E65" i="128"/>
  <c r="F65" i="128"/>
  <c r="K65" i="128"/>
  <c r="G65" i="128"/>
  <c r="C65" i="128"/>
  <c r="I66" i="128"/>
  <c r="D66" i="128"/>
  <c r="J66" i="128"/>
  <c r="E66" i="128"/>
  <c r="F66" i="128"/>
  <c r="K66" i="128"/>
  <c r="G66" i="128"/>
  <c r="C66" i="128"/>
  <c r="I67" i="128"/>
  <c r="D67" i="128"/>
  <c r="J67" i="128"/>
  <c r="E67" i="128"/>
  <c r="F67" i="128"/>
  <c r="K67" i="128"/>
  <c r="G67" i="128"/>
  <c r="C67" i="128"/>
  <c r="I68" i="128"/>
  <c r="D68" i="128"/>
  <c r="J68" i="128"/>
  <c r="E68" i="128"/>
  <c r="F68" i="128"/>
  <c r="K68" i="128"/>
  <c r="G68" i="128"/>
  <c r="C68" i="128"/>
  <c r="I69" i="128"/>
  <c r="D69" i="128"/>
  <c r="J69" i="128"/>
  <c r="E69" i="128"/>
  <c r="F69" i="128"/>
  <c r="K69" i="128"/>
  <c r="G69" i="128"/>
  <c r="C69" i="128"/>
  <c r="I70" i="128"/>
  <c r="D70" i="128"/>
  <c r="J70" i="128"/>
  <c r="E70" i="128"/>
  <c r="F70" i="128"/>
  <c r="K70" i="128"/>
  <c r="G70" i="128"/>
  <c r="C70" i="128"/>
  <c r="I71" i="128"/>
  <c r="D71" i="128"/>
  <c r="J71" i="128"/>
  <c r="E71" i="128"/>
  <c r="F71" i="128"/>
  <c r="K71" i="128"/>
  <c r="G71" i="128"/>
  <c r="C71" i="128"/>
  <c r="I72" i="128"/>
  <c r="D72" i="128"/>
  <c r="J72" i="128"/>
  <c r="E72" i="128"/>
  <c r="F72" i="128"/>
  <c r="K72" i="128"/>
  <c r="G72" i="128"/>
  <c r="C72" i="128"/>
  <c r="I73" i="128"/>
  <c r="D73" i="128"/>
  <c r="J73" i="128"/>
  <c r="E73" i="128"/>
  <c r="F73" i="128"/>
  <c r="K73" i="128"/>
  <c r="G73" i="128"/>
  <c r="C73" i="128"/>
  <c r="I74" i="128"/>
  <c r="D74" i="128"/>
  <c r="J74" i="128"/>
  <c r="E74" i="128"/>
  <c r="F74" i="128"/>
  <c r="K74" i="128"/>
  <c r="G74" i="128"/>
  <c r="C74" i="128"/>
  <c r="I75" i="128"/>
  <c r="D75" i="128"/>
  <c r="J75" i="128"/>
  <c r="E75" i="128"/>
  <c r="F75" i="128"/>
  <c r="K75" i="128"/>
  <c r="G75" i="128"/>
  <c r="C75" i="128"/>
  <c r="I76" i="128"/>
  <c r="D76" i="128"/>
  <c r="J76" i="128"/>
  <c r="E76" i="128"/>
  <c r="F76" i="128"/>
  <c r="K76" i="128"/>
  <c r="G76" i="128"/>
  <c r="C76" i="128"/>
  <c r="I77" i="128"/>
  <c r="D77" i="128"/>
  <c r="J77" i="128"/>
  <c r="E77" i="128"/>
  <c r="F77" i="128"/>
  <c r="K77" i="128"/>
  <c r="G77" i="128"/>
  <c r="C77" i="128"/>
  <c r="I78" i="128"/>
  <c r="D78" i="128"/>
  <c r="J78" i="128"/>
  <c r="E78" i="128"/>
  <c r="F78" i="128"/>
  <c r="K78" i="128"/>
  <c r="G78" i="128"/>
  <c r="C78" i="128"/>
  <c r="I79" i="128"/>
  <c r="D79" i="128"/>
  <c r="J79" i="128"/>
  <c r="E79" i="128"/>
  <c r="F79" i="128"/>
  <c r="K79" i="128"/>
  <c r="G79" i="128"/>
  <c r="C79" i="128"/>
  <c r="I80" i="128"/>
  <c r="D80" i="128"/>
  <c r="J80" i="128"/>
  <c r="E80" i="128"/>
  <c r="F80" i="128"/>
  <c r="K80" i="128"/>
  <c r="G80" i="128"/>
  <c r="C80" i="128"/>
  <c r="I81" i="128"/>
  <c r="D81" i="128"/>
  <c r="J81" i="128"/>
  <c r="E81" i="128"/>
  <c r="F81" i="128"/>
  <c r="K81" i="128"/>
  <c r="G81" i="128"/>
  <c r="C81" i="128"/>
  <c r="I82" i="128"/>
  <c r="D82" i="128"/>
  <c r="J82" i="128"/>
  <c r="E82" i="128"/>
  <c r="F82" i="128"/>
  <c r="K82" i="128"/>
  <c r="G82" i="128"/>
  <c r="C82" i="128"/>
  <c r="I83" i="128"/>
  <c r="D83" i="128"/>
  <c r="J83" i="128"/>
  <c r="E83" i="128"/>
  <c r="F83" i="128"/>
  <c r="K83" i="128"/>
  <c r="G83" i="128"/>
  <c r="C83" i="128"/>
  <c r="I84" i="128"/>
  <c r="D84" i="128"/>
  <c r="J84" i="128"/>
  <c r="E84" i="128"/>
  <c r="F84" i="128"/>
  <c r="K84" i="128"/>
  <c r="G84" i="128"/>
  <c r="C84" i="128"/>
  <c r="I85" i="128"/>
  <c r="D85" i="128"/>
  <c r="J85" i="128"/>
  <c r="E85" i="128"/>
  <c r="F85" i="128"/>
  <c r="K85" i="128"/>
  <c r="G85" i="128"/>
  <c r="C85" i="128"/>
  <c r="I86" i="128"/>
  <c r="D86" i="128"/>
  <c r="J86" i="128"/>
  <c r="E86" i="128"/>
  <c r="F86" i="128"/>
  <c r="K86" i="128"/>
  <c r="G86" i="128"/>
  <c r="C86" i="128"/>
  <c r="I87" i="128"/>
  <c r="D87" i="128"/>
  <c r="J87" i="128"/>
  <c r="E87" i="128"/>
  <c r="F87" i="128"/>
  <c r="K87" i="128"/>
  <c r="G87" i="128"/>
  <c r="C87" i="128"/>
  <c r="I88" i="128"/>
  <c r="D88" i="128"/>
  <c r="J88" i="128"/>
  <c r="E88" i="128"/>
  <c r="F88" i="128"/>
  <c r="K88" i="128"/>
  <c r="G88" i="128"/>
  <c r="C88" i="128"/>
  <c r="I89" i="128"/>
  <c r="D89" i="128"/>
  <c r="J89" i="128"/>
  <c r="E89" i="128"/>
  <c r="F89" i="128"/>
  <c r="K89" i="128"/>
  <c r="G89" i="128"/>
  <c r="C89" i="128"/>
  <c r="I90" i="128"/>
  <c r="D90" i="128"/>
  <c r="J90" i="128"/>
  <c r="E90" i="128"/>
  <c r="F90" i="128"/>
  <c r="K90" i="128"/>
  <c r="G90" i="128"/>
  <c r="C90" i="128"/>
  <c r="I91" i="128"/>
  <c r="D91" i="128"/>
  <c r="J91" i="128"/>
  <c r="E91" i="128"/>
  <c r="F91" i="128"/>
  <c r="K91" i="128"/>
  <c r="G91" i="128"/>
  <c r="C91" i="128"/>
  <c r="I92" i="128"/>
  <c r="D92" i="128"/>
  <c r="J92" i="128"/>
  <c r="E92" i="128"/>
  <c r="F92" i="128"/>
  <c r="K92" i="128"/>
  <c r="G92" i="128"/>
  <c r="C92" i="128"/>
  <c r="I93" i="128"/>
  <c r="D93" i="128"/>
  <c r="J93" i="128"/>
  <c r="E93" i="128"/>
  <c r="F93" i="128"/>
  <c r="K93" i="128"/>
  <c r="G93" i="128"/>
  <c r="C93" i="128"/>
  <c r="I94" i="128"/>
  <c r="D94" i="128"/>
  <c r="J94" i="128"/>
  <c r="E94" i="128"/>
  <c r="F94" i="128"/>
  <c r="K94" i="128"/>
  <c r="G94" i="128"/>
  <c r="C94" i="128"/>
  <c r="I95" i="128"/>
  <c r="D95" i="128"/>
  <c r="J95" i="128"/>
  <c r="E95" i="128"/>
  <c r="F95" i="128"/>
  <c r="K95" i="128"/>
  <c r="G95" i="128"/>
  <c r="C95" i="128"/>
  <c r="I96" i="128"/>
  <c r="D96" i="128"/>
  <c r="J96" i="128"/>
  <c r="E96" i="128"/>
  <c r="F96" i="128"/>
  <c r="K96" i="128"/>
  <c r="G96" i="128"/>
  <c r="C96" i="128"/>
  <c r="I97" i="128"/>
  <c r="D97" i="128"/>
  <c r="J97" i="128"/>
  <c r="E97" i="128"/>
  <c r="F97" i="128"/>
  <c r="K97" i="128"/>
  <c r="G97" i="128"/>
  <c r="C97" i="128"/>
  <c r="I98" i="128"/>
  <c r="D98" i="128"/>
  <c r="J98" i="128"/>
  <c r="E98" i="128"/>
  <c r="F98" i="128"/>
  <c r="K98" i="128"/>
  <c r="G98" i="128"/>
  <c r="C98" i="128"/>
  <c r="I99" i="128"/>
  <c r="D99" i="128"/>
  <c r="J99" i="128"/>
  <c r="E99" i="128"/>
  <c r="F99" i="128"/>
  <c r="K99" i="128"/>
  <c r="G99" i="128"/>
  <c r="C99" i="128"/>
  <c r="I100" i="128"/>
  <c r="D100" i="128"/>
  <c r="J100" i="128"/>
  <c r="E100" i="128"/>
  <c r="F100" i="128"/>
  <c r="K100" i="128"/>
  <c r="G100" i="128"/>
  <c r="C100" i="128"/>
  <c r="I101" i="128"/>
  <c r="D101" i="128"/>
  <c r="J101" i="128"/>
  <c r="E101" i="128"/>
  <c r="F101" i="128"/>
  <c r="K101" i="128"/>
  <c r="G101" i="128"/>
  <c r="C101" i="128"/>
  <c r="I102" i="128"/>
  <c r="D102" i="128"/>
  <c r="J102" i="128"/>
  <c r="E102" i="128"/>
  <c r="F102" i="128"/>
  <c r="K102" i="128"/>
  <c r="G102" i="128"/>
  <c r="C102" i="128"/>
  <c r="I103" i="128"/>
  <c r="D103" i="128"/>
  <c r="J103" i="128"/>
  <c r="E103" i="128"/>
  <c r="F103" i="128"/>
  <c r="K103" i="128"/>
  <c r="G103" i="128"/>
  <c r="C103" i="128"/>
  <c r="I104" i="128"/>
  <c r="D104" i="128"/>
  <c r="J104" i="128"/>
  <c r="E104" i="128"/>
  <c r="F104" i="128"/>
  <c r="K104" i="128"/>
  <c r="G104" i="128"/>
  <c r="C104" i="128"/>
  <c r="I105" i="128"/>
  <c r="D105" i="128"/>
  <c r="J105" i="128"/>
  <c r="E105" i="128"/>
  <c r="F105" i="128"/>
  <c r="K105" i="128"/>
  <c r="G105" i="128"/>
  <c r="C105" i="128"/>
  <c r="I106" i="128"/>
  <c r="D106" i="128"/>
  <c r="J106" i="128"/>
  <c r="E106" i="128"/>
  <c r="F106" i="128"/>
  <c r="K106" i="128"/>
  <c r="G106" i="128"/>
  <c r="C106" i="128"/>
  <c r="I107" i="128"/>
  <c r="D107" i="128"/>
  <c r="J107" i="128"/>
  <c r="E107" i="128"/>
  <c r="F107" i="128"/>
  <c r="K107" i="128"/>
  <c r="G107" i="128"/>
  <c r="C107" i="128"/>
  <c r="I108" i="128"/>
  <c r="D108" i="128"/>
  <c r="J108" i="128"/>
  <c r="E108" i="128"/>
  <c r="F108" i="128"/>
  <c r="K108" i="128"/>
  <c r="G108" i="128"/>
  <c r="C108" i="128"/>
  <c r="I109" i="128"/>
  <c r="D109" i="128"/>
  <c r="J109" i="128"/>
  <c r="E109" i="128"/>
  <c r="F109" i="128"/>
  <c r="K109" i="128"/>
  <c r="G109" i="128"/>
  <c r="C109" i="128"/>
  <c r="I110" i="128"/>
  <c r="D110" i="128"/>
  <c r="J110" i="128"/>
  <c r="E110" i="128"/>
  <c r="F110" i="128"/>
  <c r="K110" i="128"/>
  <c r="G110" i="128"/>
  <c r="C110" i="128"/>
  <c r="I111" i="128"/>
  <c r="D111" i="128"/>
  <c r="J111" i="128"/>
  <c r="E111" i="128"/>
  <c r="F111" i="128"/>
  <c r="K111" i="128"/>
  <c r="G111" i="128"/>
  <c r="C111" i="128"/>
  <c r="I112" i="128"/>
  <c r="D112" i="128"/>
  <c r="J112" i="128"/>
  <c r="E112" i="128"/>
  <c r="F112" i="128"/>
  <c r="K112" i="128"/>
  <c r="G112" i="128"/>
  <c r="C112" i="128"/>
  <c r="I113" i="128"/>
  <c r="D113" i="128"/>
  <c r="J113" i="128"/>
  <c r="E113" i="128"/>
  <c r="F113" i="128"/>
  <c r="K113" i="128"/>
  <c r="G113" i="128"/>
  <c r="C113" i="128"/>
  <c r="I114" i="128"/>
  <c r="D114" i="128"/>
  <c r="J114" i="128"/>
  <c r="E114" i="128"/>
  <c r="F114" i="128"/>
  <c r="K114" i="128"/>
  <c r="G114" i="128"/>
  <c r="C114" i="128"/>
  <c r="I115" i="128"/>
  <c r="D115" i="128"/>
  <c r="J115" i="128"/>
  <c r="E115" i="128"/>
  <c r="F115" i="128"/>
  <c r="K115" i="128"/>
  <c r="G115" i="128"/>
  <c r="C115" i="128"/>
  <c r="I116" i="128"/>
  <c r="D116" i="128"/>
  <c r="J116" i="128"/>
  <c r="E116" i="128"/>
  <c r="F116" i="128"/>
  <c r="K116" i="128"/>
  <c r="G116" i="128"/>
  <c r="C116" i="128"/>
  <c r="I117" i="128"/>
  <c r="D117" i="128"/>
  <c r="J117" i="128"/>
  <c r="E117" i="128"/>
  <c r="F117" i="128"/>
  <c r="K117" i="128"/>
  <c r="G117" i="128"/>
  <c r="C117" i="128"/>
  <c r="I118" i="128"/>
  <c r="D118" i="128"/>
  <c r="J118" i="128"/>
  <c r="E118" i="128"/>
  <c r="F118" i="128"/>
  <c r="K118" i="128"/>
  <c r="G118" i="128"/>
  <c r="C118" i="128"/>
  <c r="I119" i="128"/>
  <c r="D119" i="128"/>
  <c r="J119" i="128"/>
  <c r="E119" i="128"/>
  <c r="F119" i="128"/>
  <c r="K119" i="128"/>
  <c r="G119" i="128"/>
  <c r="C119" i="128"/>
  <c r="I120" i="128"/>
  <c r="D120" i="128"/>
  <c r="J120" i="128"/>
  <c r="E120" i="128"/>
  <c r="F120" i="128"/>
  <c r="K120" i="128"/>
  <c r="G120" i="128"/>
  <c r="C120" i="128"/>
  <c r="I121" i="128"/>
  <c r="D121" i="128"/>
  <c r="J121" i="128"/>
  <c r="E121" i="128"/>
  <c r="F121" i="128"/>
  <c r="K121" i="128"/>
  <c r="G121" i="128"/>
  <c r="C121" i="128"/>
  <c r="I122" i="128"/>
  <c r="D122" i="128"/>
  <c r="J122" i="128"/>
  <c r="E122" i="128"/>
  <c r="F122" i="128"/>
  <c r="K122" i="128"/>
  <c r="G122" i="128"/>
  <c r="C122" i="128"/>
  <c r="I123" i="128"/>
  <c r="D123" i="128"/>
  <c r="J123" i="128"/>
  <c r="E123" i="128"/>
  <c r="F123" i="128"/>
  <c r="K123" i="128"/>
  <c r="G123" i="128"/>
  <c r="C123" i="128"/>
  <c r="I124" i="128"/>
  <c r="D124" i="128"/>
  <c r="J124" i="128"/>
  <c r="E124" i="128"/>
  <c r="F124" i="128"/>
  <c r="K124" i="128"/>
  <c r="G124" i="128"/>
  <c r="C124" i="128"/>
  <c r="I125" i="128"/>
  <c r="D125" i="128"/>
  <c r="J125" i="128"/>
  <c r="E125" i="128"/>
  <c r="F125" i="128"/>
  <c r="K125" i="128"/>
  <c r="G125" i="128"/>
  <c r="C125" i="128"/>
  <c r="I126" i="128"/>
  <c r="D126" i="128"/>
  <c r="J126" i="128"/>
  <c r="E126" i="128"/>
  <c r="F126" i="128"/>
  <c r="K126" i="128"/>
  <c r="G126" i="128"/>
  <c r="C126" i="128"/>
  <c r="I127" i="128"/>
  <c r="D127" i="128"/>
  <c r="J127" i="128"/>
  <c r="E127" i="128"/>
  <c r="F127" i="128"/>
  <c r="K127" i="128"/>
  <c r="G127" i="128"/>
  <c r="C127" i="128"/>
  <c r="I128" i="128"/>
  <c r="D128" i="128"/>
  <c r="J128" i="128"/>
  <c r="E128" i="128"/>
  <c r="F128" i="128"/>
  <c r="K128" i="128"/>
  <c r="G128" i="128"/>
  <c r="C128" i="128"/>
  <c r="I129" i="128"/>
  <c r="D129" i="128"/>
  <c r="J129" i="128"/>
  <c r="E129" i="128"/>
  <c r="F129" i="128"/>
  <c r="K129" i="128"/>
  <c r="G129" i="128"/>
  <c r="C129" i="128"/>
  <c r="I130" i="128"/>
  <c r="D130" i="128"/>
  <c r="J130" i="128"/>
  <c r="E130" i="128"/>
  <c r="F130" i="128"/>
  <c r="K130" i="128"/>
  <c r="G130" i="128"/>
  <c r="C130" i="128"/>
  <c r="I131" i="128"/>
  <c r="D131" i="128"/>
  <c r="J131" i="128"/>
  <c r="E131" i="128"/>
  <c r="F131" i="128"/>
  <c r="K131" i="128"/>
  <c r="G131" i="128"/>
  <c r="C131" i="128"/>
  <c r="I132" i="128"/>
  <c r="D132" i="128"/>
  <c r="J132" i="128"/>
  <c r="E132" i="128"/>
  <c r="F132" i="128"/>
  <c r="K132" i="128"/>
  <c r="G132" i="128"/>
  <c r="C132" i="128"/>
  <c r="I133" i="128"/>
  <c r="D133" i="128"/>
  <c r="J133" i="128"/>
  <c r="E133" i="128"/>
  <c r="F133" i="128"/>
  <c r="K133" i="128"/>
  <c r="G133" i="128"/>
  <c r="C133" i="128"/>
  <c r="I134" i="128"/>
  <c r="D134" i="128"/>
  <c r="J134" i="128"/>
  <c r="E134" i="128"/>
  <c r="F134" i="128"/>
  <c r="K134" i="128"/>
  <c r="G134" i="128"/>
  <c r="C134" i="128"/>
  <c r="I135" i="128"/>
  <c r="D135" i="128"/>
  <c r="J135" i="128"/>
  <c r="E135" i="128"/>
  <c r="F135" i="128"/>
  <c r="K135" i="128"/>
  <c r="G135" i="128"/>
  <c r="C135" i="128"/>
  <c r="I136" i="128"/>
  <c r="D136" i="128"/>
  <c r="J136" i="128"/>
  <c r="E136" i="128"/>
  <c r="F136" i="128"/>
  <c r="K136" i="128"/>
  <c r="G136" i="128"/>
  <c r="C136" i="128"/>
  <c r="I137" i="128"/>
  <c r="D137" i="128"/>
  <c r="J137" i="128"/>
  <c r="E137" i="128"/>
  <c r="F137" i="128"/>
  <c r="K137" i="128"/>
  <c r="G137" i="128"/>
  <c r="C137" i="128"/>
  <c r="I138" i="128"/>
  <c r="D138" i="128"/>
  <c r="J138" i="128"/>
  <c r="E138" i="128"/>
  <c r="F138" i="128"/>
  <c r="K138" i="128"/>
  <c r="G138" i="128"/>
  <c r="C138" i="128"/>
  <c r="I139" i="128"/>
  <c r="D139" i="128"/>
  <c r="J139" i="128"/>
  <c r="E139" i="128"/>
  <c r="F139" i="128"/>
  <c r="K139" i="128"/>
  <c r="G139" i="128"/>
  <c r="C139" i="128"/>
  <c r="I140" i="128"/>
  <c r="D140" i="128"/>
  <c r="J140" i="128"/>
  <c r="E140" i="128"/>
  <c r="F140" i="128"/>
  <c r="K140" i="128"/>
  <c r="G140" i="128"/>
  <c r="C140" i="128"/>
  <c r="I141" i="128"/>
  <c r="D141" i="128"/>
  <c r="J141" i="128"/>
  <c r="E141" i="128"/>
  <c r="F141" i="128"/>
  <c r="K141" i="128"/>
  <c r="G141" i="128"/>
  <c r="C141" i="128"/>
  <c r="I142" i="128"/>
  <c r="D142" i="128"/>
  <c r="J142" i="128"/>
  <c r="E142" i="128"/>
  <c r="F142" i="128"/>
  <c r="K142" i="128"/>
  <c r="G142" i="128"/>
  <c r="C142" i="128"/>
  <c r="I143" i="128"/>
  <c r="D143" i="128"/>
  <c r="J143" i="128"/>
  <c r="E143" i="128"/>
  <c r="F143" i="128"/>
  <c r="K143" i="128"/>
  <c r="G143" i="128"/>
  <c r="C143" i="128"/>
  <c r="I144" i="128"/>
  <c r="D144" i="128"/>
  <c r="J144" i="128"/>
  <c r="E144" i="128"/>
  <c r="F144" i="128"/>
  <c r="K144" i="128"/>
  <c r="G144" i="128"/>
  <c r="C144" i="128"/>
  <c r="I145" i="128"/>
  <c r="D145" i="128"/>
  <c r="J145" i="128"/>
  <c r="E145" i="128"/>
  <c r="F145" i="128"/>
  <c r="K145" i="128"/>
  <c r="G145" i="128"/>
  <c r="C145" i="128"/>
  <c r="I146" i="128"/>
  <c r="D146" i="128"/>
  <c r="J146" i="128"/>
  <c r="E146" i="128"/>
  <c r="F146" i="128"/>
  <c r="K146" i="128"/>
  <c r="G146" i="128"/>
  <c r="C146" i="128"/>
  <c r="I147" i="128"/>
  <c r="D147" i="128"/>
  <c r="J147" i="128"/>
  <c r="E147" i="128"/>
  <c r="F147" i="128"/>
  <c r="K147" i="128"/>
  <c r="G147" i="128"/>
  <c r="C147" i="128"/>
  <c r="I148" i="128"/>
  <c r="D148" i="128"/>
  <c r="J148" i="128"/>
  <c r="E148" i="128"/>
  <c r="F148" i="128"/>
  <c r="K148" i="128"/>
  <c r="G148" i="128"/>
  <c r="C148" i="128"/>
  <c r="I149" i="128"/>
  <c r="D149" i="128"/>
  <c r="J149" i="128"/>
  <c r="E149" i="128"/>
  <c r="F149" i="128"/>
  <c r="K149" i="128"/>
  <c r="G149" i="128"/>
  <c r="C149" i="128"/>
  <c r="I150" i="128"/>
  <c r="D150" i="128"/>
  <c r="J150" i="128"/>
  <c r="E150" i="128"/>
  <c r="F150" i="128"/>
  <c r="K150" i="128"/>
  <c r="G150" i="128"/>
  <c r="C150" i="128"/>
  <c r="I151" i="128"/>
  <c r="D151" i="128"/>
  <c r="J151" i="128"/>
  <c r="E151" i="128"/>
  <c r="F151" i="128"/>
  <c r="K151" i="128"/>
  <c r="G151" i="128"/>
  <c r="C151" i="128"/>
  <c r="I152" i="128"/>
  <c r="D152" i="128"/>
  <c r="J152" i="128"/>
  <c r="E152" i="128"/>
  <c r="F152" i="128"/>
  <c r="K152" i="128"/>
  <c r="G152" i="128"/>
  <c r="C152" i="128"/>
  <c r="I153" i="128"/>
  <c r="D153" i="128"/>
  <c r="J153" i="128"/>
  <c r="E153" i="128"/>
  <c r="F153" i="128"/>
  <c r="K153" i="128"/>
  <c r="G153" i="128"/>
  <c r="C153" i="128"/>
  <c r="I154" i="128"/>
  <c r="D154" i="128"/>
  <c r="J154" i="128"/>
  <c r="E154" i="128"/>
  <c r="F154" i="128"/>
  <c r="K154" i="128"/>
  <c r="G154" i="128"/>
  <c r="C154" i="128"/>
  <c r="I155" i="128"/>
  <c r="D155" i="128"/>
  <c r="J155" i="128"/>
  <c r="E155" i="128"/>
  <c r="F155" i="128"/>
  <c r="K155" i="128"/>
  <c r="G155" i="128"/>
  <c r="C155" i="128"/>
  <c r="I156" i="128"/>
  <c r="D156" i="128"/>
  <c r="J156" i="128"/>
  <c r="E156" i="128"/>
  <c r="F156" i="128"/>
  <c r="K156" i="128"/>
  <c r="G156" i="128"/>
  <c r="C156" i="128"/>
  <c r="I157" i="128"/>
  <c r="D157" i="128"/>
  <c r="J157" i="128"/>
  <c r="E157" i="128"/>
  <c r="F157" i="128"/>
  <c r="K157" i="128"/>
  <c r="G157" i="128"/>
  <c r="C157" i="128"/>
  <c r="I158" i="128"/>
  <c r="D158" i="128"/>
  <c r="J158" i="128"/>
  <c r="E158" i="128"/>
  <c r="F158" i="128"/>
  <c r="K158" i="128"/>
  <c r="G158" i="128"/>
  <c r="C158" i="128"/>
  <c r="I159" i="128"/>
  <c r="D159" i="128"/>
  <c r="J159" i="128"/>
  <c r="E159" i="128"/>
  <c r="F159" i="128"/>
  <c r="K159" i="128"/>
  <c r="G159" i="128"/>
  <c r="C159" i="128"/>
  <c r="I160" i="128"/>
  <c r="D160" i="128"/>
  <c r="J160" i="128"/>
  <c r="E160" i="128"/>
  <c r="F160" i="128"/>
  <c r="K160" i="128"/>
  <c r="G160" i="128"/>
  <c r="C160" i="128"/>
  <c r="I161" i="128"/>
  <c r="D161" i="128"/>
  <c r="J161" i="128"/>
  <c r="E161" i="128"/>
  <c r="F161" i="128"/>
  <c r="K161" i="128"/>
  <c r="G161" i="128"/>
  <c r="C161" i="128"/>
  <c r="I162" i="128"/>
  <c r="D162" i="128"/>
  <c r="J162" i="128"/>
  <c r="E162" i="128"/>
  <c r="F162" i="128"/>
  <c r="K162" i="128"/>
  <c r="G162" i="128"/>
  <c r="C162" i="128"/>
  <c r="I163" i="128"/>
  <c r="D163" i="128"/>
  <c r="J163" i="128"/>
  <c r="E163" i="128"/>
  <c r="F163" i="128"/>
  <c r="K163" i="128"/>
  <c r="G163" i="128"/>
  <c r="C163" i="128"/>
  <c r="I164" i="128"/>
  <c r="D164" i="128"/>
  <c r="J164" i="128"/>
  <c r="E164" i="128"/>
  <c r="F164" i="128"/>
  <c r="K164" i="128"/>
  <c r="G164" i="128"/>
  <c r="C164" i="128"/>
  <c r="I165" i="128"/>
  <c r="D165" i="128"/>
  <c r="J165" i="128"/>
  <c r="E165" i="128"/>
  <c r="F165" i="128"/>
  <c r="K165" i="128"/>
  <c r="G165" i="128"/>
  <c r="C165" i="128"/>
  <c r="I166" i="128"/>
  <c r="D166" i="128"/>
  <c r="J166" i="128"/>
  <c r="E166" i="128"/>
  <c r="F166" i="128"/>
  <c r="K166" i="128"/>
  <c r="G166" i="128"/>
  <c r="C166" i="128"/>
  <c r="I167" i="128"/>
  <c r="D167" i="128"/>
  <c r="J167" i="128"/>
  <c r="E167" i="128"/>
  <c r="F167" i="128"/>
  <c r="K167" i="128"/>
  <c r="G167" i="128"/>
  <c r="C167" i="128"/>
  <c r="I168" i="128"/>
  <c r="D168" i="128"/>
  <c r="J168" i="128"/>
  <c r="E168" i="128"/>
  <c r="F168" i="128"/>
  <c r="K168" i="128"/>
  <c r="G168" i="128"/>
  <c r="C168" i="128"/>
  <c r="I169" i="128"/>
  <c r="D169" i="128"/>
  <c r="J169" i="128"/>
  <c r="E169" i="128"/>
  <c r="F169" i="128"/>
  <c r="K169" i="128"/>
  <c r="G169" i="128"/>
  <c r="C169" i="128"/>
  <c r="I170" i="128"/>
  <c r="D170" i="128"/>
  <c r="J170" i="128"/>
  <c r="E170" i="128"/>
  <c r="F170" i="128"/>
  <c r="K170" i="128"/>
  <c r="G170" i="128"/>
  <c r="C170" i="128"/>
  <c r="I171" i="128"/>
  <c r="D171" i="128"/>
  <c r="J171" i="128"/>
  <c r="E171" i="128"/>
  <c r="F171" i="128"/>
  <c r="K171" i="128"/>
  <c r="G171" i="128"/>
  <c r="C171" i="128"/>
  <c r="I172" i="128"/>
  <c r="D172" i="128"/>
  <c r="J172" i="128"/>
  <c r="E172" i="128"/>
  <c r="F172" i="128"/>
  <c r="K172" i="128"/>
  <c r="G172" i="128"/>
  <c r="C172" i="128"/>
  <c r="I173" i="128"/>
  <c r="D173" i="128"/>
  <c r="J173" i="128"/>
  <c r="E173" i="128"/>
  <c r="F173" i="128"/>
  <c r="K173" i="128"/>
  <c r="G173" i="128"/>
  <c r="C173" i="128"/>
  <c r="I174" i="128"/>
  <c r="D174" i="128"/>
  <c r="J174" i="128"/>
  <c r="E174" i="128"/>
  <c r="F174" i="128"/>
  <c r="K174" i="128"/>
  <c r="G174" i="128"/>
  <c r="C174" i="128"/>
  <c r="I175" i="128"/>
  <c r="D175" i="128"/>
  <c r="J175" i="128"/>
  <c r="E175" i="128"/>
  <c r="F175" i="128"/>
  <c r="K175" i="128"/>
  <c r="G175" i="128"/>
  <c r="C175" i="128"/>
  <c r="I176" i="128"/>
  <c r="D176" i="128"/>
  <c r="J176" i="128"/>
  <c r="E176" i="128"/>
  <c r="F176" i="128"/>
  <c r="K176" i="128"/>
  <c r="G176" i="128"/>
  <c r="C176" i="128"/>
  <c r="I177" i="128"/>
  <c r="D177" i="128"/>
  <c r="J177" i="128"/>
  <c r="E177" i="128"/>
  <c r="F177" i="128"/>
  <c r="K177" i="128"/>
  <c r="G177" i="128"/>
  <c r="C177" i="128"/>
  <c r="I178" i="128"/>
  <c r="D178" i="128"/>
  <c r="J178" i="128"/>
  <c r="E178" i="128"/>
  <c r="F178" i="128"/>
  <c r="K178" i="128"/>
  <c r="G178" i="128"/>
  <c r="C178" i="128"/>
  <c r="I179" i="128"/>
  <c r="D179" i="128"/>
  <c r="J179" i="128"/>
  <c r="E179" i="128"/>
  <c r="F179" i="128"/>
  <c r="K179" i="128"/>
  <c r="G179" i="128"/>
  <c r="C179" i="128"/>
  <c r="I180" i="128"/>
  <c r="D180" i="128"/>
  <c r="J180" i="128"/>
  <c r="E180" i="128"/>
  <c r="F180" i="128"/>
  <c r="K180" i="128"/>
  <c r="G180" i="128"/>
  <c r="C180" i="128"/>
  <c r="I181" i="128"/>
  <c r="D181" i="128"/>
  <c r="J181" i="128"/>
  <c r="E181" i="128"/>
  <c r="F181" i="128"/>
  <c r="K181" i="128"/>
  <c r="G181" i="128"/>
  <c r="C181" i="128"/>
  <c r="I182" i="128"/>
  <c r="D182" i="128"/>
  <c r="J182" i="128"/>
  <c r="E182" i="128"/>
  <c r="F182" i="128"/>
  <c r="K182" i="128"/>
  <c r="G182" i="128"/>
  <c r="C182" i="128"/>
  <c r="I183" i="128"/>
  <c r="D183" i="128"/>
  <c r="J183" i="128"/>
  <c r="E183" i="128"/>
  <c r="F183" i="128"/>
  <c r="K183" i="128"/>
  <c r="G183" i="128"/>
  <c r="C183" i="128"/>
  <c r="I184" i="128"/>
  <c r="D184" i="128"/>
  <c r="J184" i="128"/>
  <c r="E184" i="128"/>
  <c r="F184" i="128"/>
  <c r="K184" i="128"/>
  <c r="G184" i="128"/>
  <c r="C184" i="128"/>
  <c r="I185" i="128"/>
  <c r="D185" i="128"/>
  <c r="J185" i="128"/>
  <c r="E185" i="128"/>
  <c r="F185" i="128"/>
  <c r="K185" i="128"/>
  <c r="G185" i="128"/>
  <c r="C185" i="128"/>
  <c r="I186" i="128"/>
  <c r="D186" i="128"/>
  <c r="J186" i="128"/>
  <c r="E186" i="128"/>
  <c r="F186" i="128"/>
  <c r="K186" i="128"/>
  <c r="G186" i="128"/>
  <c r="C186" i="128"/>
  <c r="I187" i="128"/>
  <c r="D187" i="128"/>
  <c r="J187" i="128"/>
  <c r="E187" i="128"/>
  <c r="F187" i="128"/>
  <c r="K187" i="128"/>
  <c r="G187" i="128"/>
  <c r="C187" i="128"/>
  <c r="I188" i="128"/>
  <c r="D188" i="128"/>
  <c r="J188" i="128"/>
  <c r="E188" i="128"/>
  <c r="F188" i="128"/>
  <c r="K188" i="128"/>
  <c r="G188" i="128"/>
  <c r="C188" i="128"/>
  <c r="I189" i="128"/>
  <c r="D189" i="128"/>
  <c r="J189" i="128"/>
  <c r="E189" i="128"/>
  <c r="F189" i="128"/>
  <c r="K189" i="128"/>
  <c r="G189" i="128"/>
  <c r="C189" i="128"/>
  <c r="I190" i="128"/>
  <c r="D190" i="128"/>
  <c r="J190" i="128"/>
  <c r="E190" i="128"/>
  <c r="F190" i="128"/>
  <c r="K190" i="128"/>
  <c r="G190" i="128"/>
  <c r="C190" i="128"/>
  <c r="I191" i="128"/>
  <c r="D191" i="128"/>
  <c r="J191" i="128"/>
  <c r="E191" i="128"/>
  <c r="F191" i="128"/>
  <c r="K191" i="128"/>
  <c r="G191" i="128"/>
  <c r="C191" i="128"/>
  <c r="I192" i="128"/>
  <c r="D192" i="128"/>
  <c r="J192" i="128"/>
  <c r="E192" i="128"/>
  <c r="F192" i="128"/>
  <c r="K192" i="128"/>
  <c r="G192" i="128"/>
  <c r="C192" i="128"/>
  <c r="I193" i="128"/>
  <c r="D193" i="128"/>
  <c r="J193" i="128"/>
  <c r="E193" i="128"/>
  <c r="F193" i="128"/>
  <c r="K193" i="128"/>
  <c r="G193" i="128"/>
  <c r="C193" i="128"/>
  <c r="I194" i="128"/>
  <c r="D194" i="128"/>
  <c r="J194" i="128"/>
  <c r="E194" i="128"/>
  <c r="F194" i="128"/>
  <c r="K194" i="128"/>
  <c r="G194" i="128"/>
  <c r="C194" i="128"/>
  <c r="I195" i="128"/>
  <c r="D195" i="128"/>
  <c r="J195" i="128"/>
  <c r="E195" i="128"/>
  <c r="F195" i="128"/>
  <c r="K195" i="128"/>
  <c r="G195" i="128"/>
  <c r="C195" i="128"/>
  <c r="I196" i="128"/>
  <c r="D196" i="128"/>
  <c r="J196" i="128"/>
  <c r="E196" i="128"/>
  <c r="F196" i="128"/>
  <c r="K196" i="128"/>
  <c r="G196" i="128"/>
  <c r="C196" i="128"/>
  <c r="I197" i="128"/>
  <c r="D197" i="128"/>
  <c r="J197" i="128"/>
  <c r="E197" i="128"/>
  <c r="F197" i="128"/>
  <c r="K197" i="128"/>
  <c r="G197" i="128"/>
  <c r="C197" i="128"/>
  <c r="I198" i="128"/>
  <c r="D198" i="128"/>
  <c r="J198" i="128"/>
  <c r="E198" i="128"/>
  <c r="F198" i="128"/>
  <c r="K198" i="128"/>
  <c r="G198" i="128"/>
  <c r="C198" i="128"/>
  <c r="I199" i="128"/>
  <c r="D199" i="128"/>
  <c r="J199" i="128"/>
  <c r="E199" i="128"/>
  <c r="F199" i="128"/>
  <c r="K199" i="128"/>
  <c r="G199" i="128"/>
  <c r="C199" i="128"/>
  <c r="I200" i="128"/>
  <c r="D200" i="128"/>
  <c r="J200" i="128"/>
  <c r="E200" i="128"/>
  <c r="F200" i="128"/>
  <c r="K200" i="128"/>
  <c r="G200" i="128"/>
  <c r="C200" i="128"/>
  <c r="I201" i="128"/>
  <c r="D201" i="128"/>
  <c r="J201" i="128"/>
  <c r="E201" i="128"/>
  <c r="F201" i="128"/>
  <c r="K201" i="128"/>
  <c r="G201" i="128"/>
  <c r="C201" i="128"/>
  <c r="I202" i="128"/>
  <c r="D202" i="128"/>
  <c r="J202" i="128"/>
  <c r="E202" i="128"/>
  <c r="F202" i="128"/>
  <c r="K202" i="128"/>
  <c r="G202" i="128"/>
  <c r="C202" i="128"/>
  <c r="I203" i="128"/>
  <c r="D203" i="128"/>
  <c r="J203" i="128"/>
  <c r="E203" i="128"/>
  <c r="F203" i="128"/>
  <c r="K203" i="128"/>
  <c r="G203" i="128"/>
  <c r="C203" i="128"/>
  <c r="I204" i="128"/>
  <c r="D204" i="128"/>
  <c r="J204" i="128"/>
  <c r="E204" i="128"/>
  <c r="F204" i="128"/>
  <c r="K204" i="128"/>
  <c r="G204" i="128"/>
  <c r="C204" i="128"/>
  <c r="I205" i="128"/>
  <c r="D205" i="128"/>
  <c r="J205" i="128"/>
  <c r="E205" i="128"/>
  <c r="F205" i="128"/>
  <c r="K205" i="128"/>
  <c r="G205" i="128"/>
  <c r="C205" i="128"/>
  <c r="I206" i="128"/>
  <c r="D206" i="128"/>
  <c r="J206" i="128"/>
  <c r="E206" i="128"/>
  <c r="F206" i="128"/>
  <c r="K206" i="128"/>
  <c r="G206" i="128"/>
  <c r="C206" i="128"/>
  <c r="I207" i="128"/>
  <c r="D207" i="128"/>
  <c r="J207" i="128"/>
  <c r="E207" i="128"/>
  <c r="F207" i="128"/>
  <c r="K207" i="128"/>
  <c r="G207" i="128"/>
  <c r="C207" i="128"/>
  <c r="I208" i="128"/>
  <c r="D208" i="128"/>
  <c r="J208" i="128"/>
  <c r="E208" i="128"/>
  <c r="F208" i="128"/>
  <c r="K208" i="128"/>
  <c r="G208" i="128"/>
  <c r="C208" i="128"/>
  <c r="I209" i="128"/>
  <c r="D209" i="128"/>
  <c r="J209" i="128"/>
  <c r="E209" i="128"/>
  <c r="F209" i="128"/>
  <c r="K209" i="128"/>
  <c r="G209" i="128"/>
  <c r="C209" i="128"/>
  <c r="I210" i="128"/>
  <c r="D210" i="128"/>
  <c r="J210" i="128"/>
  <c r="E210" i="128"/>
  <c r="F210" i="128"/>
  <c r="K210" i="128"/>
  <c r="G210" i="128"/>
  <c r="C210" i="128"/>
  <c r="I211" i="128"/>
  <c r="D211" i="128"/>
  <c r="J211" i="128"/>
  <c r="E211" i="128"/>
  <c r="F211" i="128"/>
  <c r="K211" i="128"/>
  <c r="G211" i="128"/>
  <c r="C211" i="128"/>
  <c r="I212" i="128"/>
  <c r="D212" i="128"/>
  <c r="J212" i="128"/>
  <c r="E212" i="128"/>
  <c r="F212" i="128"/>
  <c r="K212" i="128"/>
  <c r="G212" i="128"/>
  <c r="C212" i="128"/>
  <c r="I213" i="128"/>
  <c r="D213" i="128"/>
  <c r="J213" i="128"/>
  <c r="E213" i="128"/>
  <c r="F213" i="128"/>
  <c r="K213" i="128"/>
  <c r="G213" i="128"/>
  <c r="C213" i="128"/>
  <c r="I214" i="128"/>
  <c r="D214" i="128"/>
  <c r="J214" i="128"/>
  <c r="E214" i="128"/>
  <c r="F214" i="128"/>
  <c r="K214" i="128"/>
  <c r="G214" i="128"/>
  <c r="C214" i="128"/>
  <c r="I215" i="128"/>
  <c r="D215" i="128"/>
  <c r="J215" i="128"/>
  <c r="E215" i="128"/>
  <c r="F215" i="128"/>
  <c r="K215" i="128"/>
  <c r="G215" i="128"/>
  <c r="C215" i="128"/>
  <c r="I216" i="128"/>
  <c r="D216" i="128"/>
  <c r="J216" i="128"/>
  <c r="E216" i="128"/>
  <c r="F216" i="128"/>
  <c r="K216" i="128"/>
  <c r="G216" i="128"/>
  <c r="C216" i="128"/>
  <c r="I217" i="128"/>
  <c r="D217" i="128"/>
  <c r="J217" i="128"/>
  <c r="E217" i="128"/>
  <c r="F217" i="128"/>
  <c r="K217" i="128"/>
  <c r="G217" i="128"/>
  <c r="C217" i="128"/>
  <c r="I218" i="128"/>
  <c r="D218" i="128"/>
  <c r="J218" i="128"/>
  <c r="E218" i="128"/>
  <c r="F218" i="128"/>
  <c r="K218" i="128"/>
  <c r="G218" i="128"/>
  <c r="C218" i="128"/>
  <c r="I219" i="128"/>
  <c r="D219" i="128"/>
  <c r="J219" i="128"/>
  <c r="E219" i="128"/>
  <c r="F219" i="128"/>
  <c r="K219" i="128"/>
  <c r="G219" i="128"/>
  <c r="C219" i="128"/>
  <c r="I220" i="128"/>
  <c r="D220" i="128"/>
  <c r="J220" i="128"/>
  <c r="E220" i="128"/>
  <c r="F220" i="128"/>
  <c r="K220" i="128"/>
  <c r="G220" i="128"/>
  <c r="C220" i="128"/>
  <c r="I221" i="128"/>
  <c r="D221" i="128"/>
  <c r="J221" i="128"/>
  <c r="E221" i="128"/>
  <c r="F221" i="128"/>
  <c r="K221" i="128"/>
  <c r="G221" i="128"/>
  <c r="C221" i="128"/>
  <c r="I222" i="128"/>
  <c r="D222" i="128"/>
  <c r="J222" i="128"/>
  <c r="E222" i="128"/>
  <c r="F222" i="128"/>
  <c r="K222" i="128"/>
  <c r="G222" i="128"/>
  <c r="C222" i="128"/>
  <c r="I223" i="128"/>
  <c r="D223" i="128"/>
  <c r="J223" i="128"/>
  <c r="E223" i="128"/>
  <c r="F223" i="128"/>
  <c r="K223" i="128"/>
  <c r="G223" i="128"/>
  <c r="C223" i="128"/>
  <c r="I224" i="128"/>
  <c r="D224" i="128"/>
  <c r="J224" i="128"/>
  <c r="E224" i="128"/>
  <c r="F224" i="128"/>
  <c r="K224" i="128"/>
  <c r="G224" i="128"/>
  <c r="C224" i="128"/>
  <c r="I225" i="128"/>
  <c r="D225" i="128"/>
  <c r="J225" i="128"/>
  <c r="E225" i="128"/>
  <c r="F225" i="128"/>
  <c r="K225" i="128"/>
  <c r="G225" i="128"/>
  <c r="C225" i="128"/>
  <c r="I226" i="128"/>
  <c r="D226" i="128"/>
  <c r="J226" i="128"/>
  <c r="E226" i="128"/>
  <c r="F226" i="128"/>
  <c r="K226" i="128"/>
  <c r="G226" i="128"/>
  <c r="C226" i="128"/>
  <c r="I227" i="128"/>
  <c r="D227" i="128"/>
  <c r="J227" i="128"/>
  <c r="E227" i="128"/>
  <c r="F227" i="128"/>
  <c r="K227" i="128"/>
  <c r="G227" i="128"/>
  <c r="C227" i="128"/>
  <c r="I228" i="128"/>
  <c r="D228" i="128"/>
  <c r="J228" i="128"/>
  <c r="E228" i="128"/>
  <c r="F228" i="128"/>
  <c r="K228" i="128"/>
  <c r="G228" i="128"/>
  <c r="C228" i="128"/>
  <c r="I229" i="128"/>
  <c r="D229" i="128"/>
  <c r="J229" i="128"/>
  <c r="E229" i="128"/>
  <c r="F229" i="128"/>
  <c r="K229" i="128"/>
  <c r="G229" i="128"/>
  <c r="C229" i="128"/>
  <c r="I230" i="128"/>
  <c r="D230" i="128"/>
  <c r="J230" i="128"/>
  <c r="E230" i="128"/>
  <c r="F230" i="128"/>
  <c r="K230" i="128"/>
  <c r="G230" i="128"/>
  <c r="C230" i="128"/>
  <c r="I231" i="128"/>
  <c r="D231" i="128"/>
  <c r="J231" i="128"/>
  <c r="E231" i="128"/>
  <c r="F231" i="128"/>
  <c r="K231" i="128"/>
  <c r="G231" i="128"/>
  <c r="C231" i="128"/>
  <c r="I232" i="128"/>
  <c r="D232" i="128"/>
  <c r="J232" i="128"/>
  <c r="E232" i="128"/>
  <c r="F232" i="128"/>
  <c r="K232" i="128"/>
  <c r="G232" i="128"/>
  <c r="C232" i="128"/>
  <c r="I233" i="128"/>
  <c r="D233" i="128"/>
  <c r="J233" i="128"/>
  <c r="E233" i="128"/>
  <c r="F233" i="128"/>
  <c r="K233" i="128"/>
  <c r="G233" i="128"/>
  <c r="C233" i="128"/>
  <c r="I234" i="128"/>
  <c r="D234" i="128"/>
  <c r="J234" i="128"/>
  <c r="E234" i="128"/>
  <c r="F234" i="128"/>
  <c r="K234" i="128"/>
  <c r="G234" i="128"/>
  <c r="C234" i="128"/>
  <c r="I235" i="128"/>
  <c r="D235" i="128"/>
  <c r="J235" i="128"/>
  <c r="E235" i="128"/>
  <c r="F235" i="128"/>
  <c r="K235" i="128"/>
  <c r="G235" i="128"/>
  <c r="C235" i="128"/>
  <c r="I236" i="128"/>
  <c r="D236" i="128"/>
  <c r="J236" i="128"/>
  <c r="E236" i="128"/>
  <c r="F236" i="128"/>
  <c r="K236" i="128"/>
  <c r="G236" i="128"/>
  <c r="C236" i="128"/>
  <c r="I237" i="128"/>
  <c r="D237" i="128"/>
  <c r="J237" i="128"/>
  <c r="E237" i="128"/>
  <c r="F237" i="128"/>
  <c r="K237" i="128"/>
  <c r="G237" i="128"/>
  <c r="C237" i="128"/>
  <c r="I238" i="128"/>
  <c r="D238" i="128"/>
  <c r="J238" i="128"/>
  <c r="E238" i="128"/>
  <c r="F238" i="128"/>
  <c r="K238" i="128"/>
  <c r="G238" i="128"/>
  <c r="C238" i="128"/>
  <c r="I239" i="128"/>
  <c r="D239" i="128"/>
  <c r="J239" i="128"/>
  <c r="E239" i="128"/>
  <c r="F239" i="128"/>
  <c r="K239" i="128"/>
  <c r="G239" i="128"/>
  <c r="C239" i="128"/>
  <c r="I240" i="128"/>
  <c r="D240" i="128"/>
  <c r="J240" i="128"/>
  <c r="E240" i="128"/>
  <c r="F240" i="128"/>
  <c r="K240" i="128"/>
  <c r="G240" i="128"/>
  <c r="C240" i="128"/>
  <c r="I241" i="128"/>
  <c r="D241" i="128"/>
  <c r="J241" i="128"/>
  <c r="E241" i="128"/>
  <c r="F241" i="128"/>
  <c r="K241" i="128"/>
  <c r="G241" i="128"/>
  <c r="C241" i="128"/>
  <c r="I242" i="128"/>
  <c r="D242" i="128"/>
  <c r="J242" i="128"/>
  <c r="E242" i="128"/>
  <c r="F242" i="128"/>
  <c r="K242" i="128"/>
  <c r="G242" i="128"/>
  <c r="C242" i="128"/>
  <c r="I243" i="128"/>
  <c r="D243" i="128"/>
  <c r="J243" i="128"/>
  <c r="E243" i="128"/>
  <c r="F243" i="128"/>
  <c r="K243" i="128"/>
  <c r="G243" i="128"/>
  <c r="C243" i="128"/>
  <c r="I244" i="128"/>
  <c r="D244" i="128"/>
  <c r="J244" i="128"/>
  <c r="E244" i="128"/>
  <c r="F244" i="128"/>
  <c r="K244" i="128"/>
  <c r="G244" i="128"/>
  <c r="C244" i="128"/>
  <c r="I245" i="128"/>
  <c r="D245" i="128"/>
  <c r="J245" i="128"/>
  <c r="E245" i="128"/>
  <c r="F245" i="128"/>
  <c r="K245" i="128"/>
  <c r="G245" i="128"/>
  <c r="C245" i="128"/>
  <c r="I246" i="128"/>
  <c r="D246" i="128"/>
  <c r="J246" i="128"/>
  <c r="E246" i="128"/>
  <c r="F246" i="128"/>
  <c r="K246" i="128"/>
  <c r="G246" i="128"/>
  <c r="C246" i="128"/>
  <c r="I247" i="128"/>
  <c r="D247" i="128"/>
  <c r="J247" i="128"/>
  <c r="E247" i="128"/>
  <c r="F247" i="128"/>
  <c r="K247" i="128"/>
  <c r="G247" i="128"/>
  <c r="C247" i="128"/>
  <c r="I248" i="128"/>
  <c r="D248" i="128"/>
  <c r="J248" i="128"/>
  <c r="E248" i="128"/>
  <c r="F248" i="128"/>
  <c r="K248" i="128"/>
  <c r="G248" i="128"/>
  <c r="C248" i="128"/>
  <c r="I249" i="128"/>
  <c r="D249" i="128"/>
  <c r="J249" i="128"/>
  <c r="E249" i="128"/>
  <c r="F249" i="128"/>
  <c r="K249" i="128"/>
  <c r="G249" i="128"/>
  <c r="C249" i="128"/>
  <c r="I250" i="128"/>
  <c r="D250" i="128"/>
  <c r="J250" i="128"/>
  <c r="E250" i="128"/>
  <c r="F250" i="128"/>
  <c r="K250" i="128"/>
  <c r="G250" i="128"/>
  <c r="C250" i="128"/>
  <c r="I251" i="128"/>
  <c r="D251" i="128"/>
  <c r="J251" i="128"/>
  <c r="E251" i="128"/>
  <c r="F251" i="128"/>
  <c r="K251" i="128"/>
  <c r="G251" i="128"/>
  <c r="C251" i="128"/>
  <c r="I252" i="128"/>
  <c r="D252" i="128"/>
  <c r="J252" i="128"/>
  <c r="E252" i="128"/>
  <c r="F252" i="128"/>
  <c r="K252" i="128"/>
  <c r="G252" i="128"/>
  <c r="C252" i="128"/>
  <c r="I253" i="128"/>
  <c r="D253" i="128"/>
  <c r="J253" i="128"/>
  <c r="E253" i="128"/>
  <c r="F253" i="128"/>
  <c r="K253" i="128"/>
  <c r="G253" i="128"/>
  <c r="C253" i="128"/>
  <c r="I254" i="128"/>
  <c r="D254" i="128"/>
  <c r="J254" i="128"/>
  <c r="E254" i="128"/>
  <c r="F254" i="128"/>
  <c r="K254" i="128"/>
  <c r="G254" i="128"/>
  <c r="C254" i="128"/>
  <c r="I255" i="128"/>
  <c r="D255" i="128"/>
  <c r="J255" i="128"/>
  <c r="E255" i="128"/>
  <c r="F255" i="128"/>
  <c r="K255" i="128"/>
  <c r="G255" i="128"/>
  <c r="C255" i="128"/>
  <c r="I256" i="128"/>
  <c r="D256" i="128"/>
  <c r="J256" i="128"/>
  <c r="E256" i="128"/>
  <c r="F256" i="128"/>
  <c r="K256" i="128"/>
  <c r="G256" i="128"/>
  <c r="C256" i="128"/>
  <c r="I257" i="128"/>
  <c r="D257" i="128"/>
  <c r="J257" i="128"/>
  <c r="E257" i="128"/>
  <c r="F257" i="128"/>
  <c r="K257" i="128"/>
  <c r="G257" i="128"/>
  <c r="C257" i="128"/>
  <c r="I258" i="128"/>
  <c r="D258" i="128"/>
  <c r="J258" i="128"/>
  <c r="E258" i="128"/>
  <c r="F258" i="128"/>
  <c r="K258" i="128"/>
  <c r="G258" i="128"/>
  <c r="C258" i="128"/>
  <c r="I259" i="128"/>
  <c r="D259" i="128"/>
  <c r="J259" i="128"/>
  <c r="E259" i="128"/>
  <c r="F259" i="128"/>
  <c r="K259" i="128"/>
  <c r="G259" i="128"/>
  <c r="C259" i="128"/>
  <c r="I260" i="128"/>
  <c r="D260" i="128"/>
  <c r="J260" i="128"/>
  <c r="E260" i="128"/>
  <c r="F260" i="128"/>
  <c r="K260" i="128"/>
  <c r="G260" i="128"/>
  <c r="C260" i="128"/>
  <c r="I261" i="128"/>
  <c r="D261" i="128"/>
  <c r="J261" i="128"/>
  <c r="E261" i="128"/>
  <c r="F261" i="128"/>
  <c r="K261" i="128"/>
  <c r="G261" i="128"/>
  <c r="C261" i="128"/>
  <c r="I262" i="128"/>
  <c r="D262" i="128"/>
  <c r="J262" i="128"/>
  <c r="E262" i="128"/>
  <c r="F262" i="128"/>
  <c r="K262" i="128"/>
  <c r="G262" i="128"/>
  <c r="C262" i="128"/>
  <c r="I263" i="128"/>
  <c r="D263" i="128"/>
  <c r="J263" i="128"/>
  <c r="E263" i="128"/>
  <c r="F263" i="128"/>
  <c r="K263" i="128"/>
  <c r="G263" i="128"/>
  <c r="C263" i="128"/>
  <c r="I264" i="128"/>
  <c r="D264" i="128"/>
  <c r="J264" i="128"/>
  <c r="E264" i="128"/>
  <c r="F264" i="128"/>
  <c r="K264" i="128"/>
  <c r="G264" i="128"/>
  <c r="C264" i="128"/>
  <c r="I265" i="128"/>
  <c r="D265" i="128"/>
  <c r="J265" i="128"/>
  <c r="E265" i="128"/>
  <c r="F265" i="128"/>
  <c r="K265" i="128"/>
  <c r="G265" i="128"/>
  <c r="C265" i="128"/>
  <c r="I266" i="128"/>
  <c r="D266" i="128"/>
  <c r="J266" i="128"/>
  <c r="E266" i="128"/>
  <c r="F266" i="128"/>
  <c r="K266" i="128"/>
  <c r="G266" i="128"/>
  <c r="C266" i="128"/>
  <c r="I267" i="128"/>
  <c r="D267" i="128"/>
  <c r="J267" i="128"/>
  <c r="E267" i="128"/>
  <c r="F267" i="128"/>
  <c r="K267" i="128"/>
  <c r="G267" i="128"/>
  <c r="C267" i="128"/>
  <c r="I268" i="128"/>
  <c r="D268" i="128"/>
  <c r="J268" i="128"/>
  <c r="E268" i="128"/>
  <c r="F268" i="128"/>
  <c r="K268" i="128"/>
  <c r="G268" i="128"/>
  <c r="C268" i="128"/>
  <c r="I269" i="128"/>
  <c r="D269" i="128"/>
  <c r="J269" i="128"/>
  <c r="E269" i="128"/>
  <c r="F269" i="128"/>
  <c r="K269" i="128"/>
  <c r="G269" i="128"/>
  <c r="C269" i="128"/>
  <c r="I270" i="128"/>
  <c r="D270" i="128"/>
  <c r="J270" i="128"/>
  <c r="E270" i="128"/>
  <c r="F270" i="128"/>
  <c r="K270" i="128"/>
  <c r="G270" i="128"/>
  <c r="C270" i="128"/>
  <c r="I271" i="128"/>
  <c r="D271" i="128"/>
  <c r="J271" i="128"/>
  <c r="E271" i="128"/>
  <c r="F271" i="128"/>
  <c r="K271" i="128"/>
  <c r="G271" i="128"/>
  <c r="C271" i="128"/>
  <c r="E44" i="127"/>
  <c r="H44" i="127"/>
  <c r="O272" i="128"/>
  <c r="B5" i="127"/>
  <c r="B10" i="127"/>
  <c r="F8" i="127"/>
  <c r="E31" i="127"/>
  <c r="E34" i="127"/>
  <c r="E36" i="127"/>
  <c r="E8" i="127"/>
  <c r="G8" i="127"/>
  <c r="B32" i="127"/>
  <c r="F6" i="127"/>
  <c r="E39" i="127"/>
  <c r="E41" i="127"/>
  <c r="E42" i="127"/>
  <c r="E6" i="127"/>
  <c r="G6" i="127"/>
  <c r="B37" i="127"/>
  <c r="B30" i="127"/>
  <c r="C30" i="127"/>
  <c r="D30" i="127"/>
  <c r="G30" i="127"/>
  <c r="E30" i="127"/>
  <c r="H30" i="127"/>
  <c r="O2" i="128"/>
  <c r="B31" i="127"/>
  <c r="C31" i="127"/>
  <c r="D31" i="127"/>
  <c r="G31" i="127"/>
  <c r="H31" i="127"/>
  <c r="O3" i="128"/>
  <c r="F7" i="127"/>
  <c r="E18" i="127"/>
  <c r="E21" i="127"/>
  <c r="E23" i="127"/>
  <c r="E7" i="127"/>
  <c r="G7" i="127"/>
  <c r="B19" i="127"/>
  <c r="F5" i="127"/>
  <c r="E26" i="127"/>
  <c r="E28" i="127"/>
  <c r="E29" i="127"/>
  <c r="E5" i="127"/>
  <c r="G5" i="127"/>
  <c r="B24" i="127"/>
  <c r="B17" i="127"/>
  <c r="C17" i="127"/>
  <c r="D17" i="127"/>
  <c r="G17" i="127"/>
  <c r="E17" i="127"/>
  <c r="H17" i="127"/>
  <c r="O4" i="128"/>
  <c r="B18" i="127"/>
  <c r="C18" i="127"/>
  <c r="D18" i="127"/>
  <c r="G18" i="127"/>
  <c r="H18" i="127"/>
  <c r="O5" i="128"/>
  <c r="O6" i="128"/>
  <c r="O7" i="128"/>
  <c r="O8" i="128"/>
  <c r="O9" i="128"/>
  <c r="O10" i="128"/>
  <c r="O11" i="128"/>
  <c r="O12" i="128"/>
  <c r="O13" i="128"/>
  <c r="O14" i="128"/>
  <c r="O15" i="128"/>
  <c r="O16" i="128"/>
  <c r="O17" i="128"/>
  <c r="O18" i="128"/>
  <c r="O19" i="128"/>
  <c r="O20" i="128"/>
  <c r="O21" i="128"/>
  <c r="O22" i="128"/>
  <c r="O23" i="128"/>
  <c r="O24" i="128"/>
  <c r="O25" i="128"/>
  <c r="O26" i="128"/>
  <c r="O27" i="128"/>
  <c r="O28" i="128"/>
  <c r="O29" i="128"/>
  <c r="O30" i="128"/>
  <c r="O31" i="128"/>
  <c r="O32" i="128"/>
  <c r="O33" i="128"/>
  <c r="O34" i="128"/>
  <c r="O35" i="128"/>
  <c r="O36" i="128"/>
  <c r="O37" i="128"/>
  <c r="O38" i="128"/>
  <c r="O39" i="128"/>
  <c r="O40" i="128"/>
  <c r="O41" i="128"/>
  <c r="C37" i="127"/>
  <c r="D37" i="127"/>
  <c r="G37" i="127"/>
  <c r="E37" i="127"/>
  <c r="H37" i="127"/>
  <c r="O42" i="128"/>
  <c r="B38" i="127"/>
  <c r="C38" i="127"/>
  <c r="D38" i="127"/>
  <c r="G38" i="127"/>
  <c r="E38" i="127"/>
  <c r="H38" i="127"/>
  <c r="O43" i="128"/>
  <c r="B39" i="127"/>
  <c r="C39" i="127"/>
  <c r="D39" i="127"/>
  <c r="G39" i="127"/>
  <c r="H39" i="127"/>
  <c r="O44" i="128"/>
  <c r="C24" i="127"/>
  <c r="D24" i="127"/>
  <c r="G24" i="127"/>
  <c r="E24" i="127"/>
  <c r="H24" i="127"/>
  <c r="O45" i="128"/>
  <c r="B25" i="127"/>
  <c r="C25" i="127"/>
  <c r="D25" i="127"/>
  <c r="G25" i="127"/>
  <c r="E25" i="127"/>
  <c r="H25" i="127"/>
  <c r="O46" i="128"/>
  <c r="B26" i="127"/>
  <c r="C26" i="127"/>
  <c r="D26" i="127"/>
  <c r="G26" i="127"/>
  <c r="H26" i="127"/>
  <c r="O47" i="128"/>
  <c r="O48" i="128"/>
  <c r="O49" i="128"/>
  <c r="O50" i="128"/>
  <c r="C19" i="127"/>
  <c r="D19" i="127"/>
  <c r="G19" i="127"/>
  <c r="E19" i="127"/>
  <c r="H19" i="127"/>
  <c r="O51" i="128"/>
  <c r="B20" i="127"/>
  <c r="C20" i="127"/>
  <c r="D20" i="127"/>
  <c r="G20" i="127"/>
  <c r="E20" i="127"/>
  <c r="H20" i="127"/>
  <c r="O52" i="128"/>
  <c r="B21" i="127"/>
  <c r="C21" i="127"/>
  <c r="D21" i="127"/>
  <c r="G21" i="127"/>
  <c r="H21" i="127"/>
  <c r="O53" i="128"/>
  <c r="C32" i="127"/>
  <c r="D32" i="127"/>
  <c r="G32" i="127"/>
  <c r="E32" i="127"/>
  <c r="H32" i="127"/>
  <c r="O54" i="128"/>
  <c r="B33" i="127"/>
  <c r="C33" i="127"/>
  <c r="D33" i="127"/>
  <c r="G33" i="127"/>
  <c r="E33" i="127"/>
  <c r="H33" i="127"/>
  <c r="O55" i="128"/>
  <c r="B34" i="127"/>
  <c r="C34" i="127"/>
  <c r="D34" i="127"/>
  <c r="G34" i="127"/>
  <c r="H34" i="127"/>
  <c r="O56" i="128"/>
  <c r="O57" i="128"/>
  <c r="O58" i="128"/>
  <c r="O59" i="128"/>
  <c r="O60" i="128"/>
  <c r="O61" i="128"/>
  <c r="O62" i="128"/>
  <c r="O63" i="128"/>
  <c r="O64" i="128"/>
  <c r="O65" i="128"/>
  <c r="O66" i="128"/>
  <c r="O67" i="128"/>
  <c r="O68" i="128"/>
  <c r="O69" i="128"/>
  <c r="O70" i="128"/>
  <c r="O71" i="128"/>
  <c r="O72" i="128"/>
  <c r="O73" i="128"/>
  <c r="O74" i="128"/>
  <c r="O75" i="128"/>
  <c r="O76" i="128"/>
  <c r="O77" i="128"/>
  <c r="O78" i="128"/>
  <c r="O79" i="128"/>
  <c r="O80" i="128"/>
  <c r="O81" i="128"/>
  <c r="O82" i="128"/>
  <c r="O83" i="128"/>
  <c r="O84" i="128"/>
  <c r="O85" i="128"/>
  <c r="O86" i="128"/>
  <c r="O87" i="128"/>
  <c r="O88" i="128"/>
  <c r="O89" i="128"/>
  <c r="O90" i="128"/>
  <c r="O91" i="128"/>
  <c r="O92" i="128"/>
  <c r="O93" i="128"/>
  <c r="O94" i="128"/>
  <c r="O95" i="128"/>
  <c r="O96" i="128"/>
  <c r="O97" i="128"/>
  <c r="O98" i="128"/>
  <c r="O99" i="128"/>
  <c r="O100" i="128"/>
  <c r="O101" i="128"/>
  <c r="O102" i="128"/>
  <c r="O103" i="128"/>
  <c r="O104" i="128"/>
  <c r="O105" i="128"/>
  <c r="O106" i="128"/>
  <c r="O107" i="128"/>
  <c r="O108" i="128"/>
  <c r="O109" i="128"/>
  <c r="O110" i="128"/>
  <c r="O111" i="128"/>
  <c r="O112" i="128"/>
  <c r="O113" i="128"/>
  <c r="O114" i="128"/>
  <c r="O115" i="128"/>
  <c r="O116" i="128"/>
  <c r="O117" i="128"/>
  <c r="O118" i="128"/>
  <c r="O119" i="128"/>
  <c r="O120" i="128"/>
  <c r="O121" i="128"/>
  <c r="O122" i="128"/>
  <c r="O123" i="128"/>
  <c r="O124" i="128"/>
  <c r="O125" i="128"/>
  <c r="O126" i="128"/>
  <c r="O127" i="128"/>
  <c r="O128" i="128"/>
  <c r="O129" i="128"/>
  <c r="O130" i="128"/>
  <c r="O131" i="128"/>
  <c r="O132" i="128"/>
  <c r="O133" i="128"/>
  <c r="O134" i="128"/>
  <c r="O135" i="128"/>
  <c r="O136" i="128"/>
  <c r="O137" i="128"/>
  <c r="B40" i="127"/>
  <c r="C40" i="127"/>
  <c r="D40" i="127"/>
  <c r="G40" i="127"/>
  <c r="E40" i="127"/>
  <c r="H40" i="127"/>
  <c r="O138" i="128"/>
  <c r="B41" i="127"/>
  <c r="C41" i="127"/>
  <c r="D41" i="127"/>
  <c r="G41" i="127"/>
  <c r="H41" i="127"/>
  <c r="O139" i="128"/>
  <c r="E27" i="127"/>
  <c r="B27" i="127"/>
  <c r="C27" i="127"/>
  <c r="D27" i="127"/>
  <c r="G27" i="127"/>
  <c r="H27" i="127"/>
  <c r="O140" i="128"/>
  <c r="B28" i="127"/>
  <c r="C28" i="127"/>
  <c r="D28" i="127"/>
  <c r="G28" i="127"/>
  <c r="H28" i="127"/>
  <c r="O141" i="128"/>
  <c r="O142" i="128"/>
  <c r="O143" i="128"/>
  <c r="O144" i="128"/>
  <c r="O145" i="128"/>
  <c r="O146" i="128"/>
  <c r="O147" i="128"/>
  <c r="O148" i="128"/>
  <c r="O149" i="128"/>
  <c r="O150" i="128"/>
  <c r="O151" i="128"/>
  <c r="O152" i="128"/>
  <c r="O153" i="128"/>
  <c r="O154" i="128"/>
  <c r="O155" i="128"/>
  <c r="O156" i="128"/>
  <c r="O157" i="128"/>
  <c r="O158" i="128"/>
  <c r="O159" i="128"/>
  <c r="O160" i="128"/>
  <c r="O161" i="128"/>
  <c r="O162" i="128"/>
  <c r="O163" i="128"/>
  <c r="O164" i="128"/>
  <c r="O165" i="128"/>
  <c r="O166" i="128"/>
  <c r="O167" i="128"/>
  <c r="O168" i="128"/>
  <c r="O169" i="128"/>
  <c r="O170" i="128"/>
  <c r="O171" i="128"/>
  <c r="O172" i="128"/>
  <c r="O173" i="128"/>
  <c r="O174" i="128"/>
  <c r="O175" i="128"/>
  <c r="O176" i="128"/>
  <c r="O177" i="128"/>
  <c r="O178" i="128"/>
  <c r="O179" i="128"/>
  <c r="O180" i="128"/>
  <c r="O181" i="128"/>
  <c r="O182" i="128"/>
  <c r="O183" i="128"/>
  <c r="O184" i="128"/>
  <c r="O185" i="128"/>
  <c r="O186" i="128"/>
  <c r="O187" i="128"/>
  <c r="O188" i="128"/>
  <c r="O189" i="128"/>
  <c r="O190" i="128"/>
  <c r="O191" i="128"/>
  <c r="O192" i="128"/>
  <c r="O193" i="128"/>
  <c r="O194" i="128"/>
  <c r="O195" i="128"/>
  <c r="O196" i="128"/>
  <c r="O197" i="128"/>
  <c r="O198" i="128"/>
  <c r="O199" i="128"/>
  <c r="O200" i="128"/>
  <c r="O201" i="128"/>
  <c r="O202" i="128"/>
  <c r="O203" i="128"/>
  <c r="O204" i="128"/>
  <c r="O205" i="128"/>
  <c r="O206" i="128"/>
  <c r="O207" i="128"/>
  <c r="O208" i="128"/>
  <c r="O209" i="128"/>
  <c r="O210" i="128"/>
  <c r="O211" i="128"/>
  <c r="O212" i="128"/>
  <c r="O213" i="128"/>
  <c r="O214" i="128"/>
  <c r="O215" i="128"/>
  <c r="O216" i="128"/>
  <c r="O217" i="128"/>
  <c r="O218" i="128"/>
  <c r="O219" i="128"/>
  <c r="O220" i="128"/>
  <c r="O221" i="128"/>
  <c r="O222" i="128"/>
  <c r="O223" i="128"/>
  <c r="O224" i="128"/>
  <c r="O225" i="128"/>
  <c r="O226" i="128"/>
  <c r="O227" i="128"/>
  <c r="O228" i="128"/>
  <c r="O229" i="128"/>
  <c r="O230" i="128"/>
  <c r="O231" i="128"/>
  <c r="O232" i="128"/>
  <c r="O233" i="128"/>
  <c r="O234" i="128"/>
  <c r="O235" i="128"/>
  <c r="O236" i="128"/>
  <c r="O237" i="128"/>
  <c r="O238" i="128"/>
  <c r="O239" i="128"/>
  <c r="O240" i="128"/>
  <c r="O241" i="128"/>
  <c r="O242" i="128"/>
  <c r="O243" i="128"/>
  <c r="O244" i="128"/>
  <c r="O245" i="128"/>
  <c r="O246" i="128"/>
  <c r="O247" i="128"/>
  <c r="O248" i="128"/>
  <c r="O249" i="128"/>
  <c r="O250" i="128"/>
  <c r="O251" i="128"/>
  <c r="O252" i="128"/>
  <c r="O253" i="128"/>
  <c r="O254" i="128"/>
  <c r="O255" i="128"/>
  <c r="O256" i="128"/>
  <c r="O257" i="128"/>
  <c r="O258" i="128"/>
  <c r="O259" i="128"/>
  <c r="O260" i="128"/>
  <c r="O261" i="128"/>
  <c r="O262" i="128"/>
  <c r="O263" i="128"/>
  <c r="O264" i="128"/>
  <c r="O265" i="128"/>
  <c r="E35" i="127"/>
  <c r="B42" i="127"/>
  <c r="B36" i="127"/>
  <c r="B35" i="127"/>
  <c r="C35" i="127"/>
  <c r="D35" i="127"/>
  <c r="G35" i="127"/>
  <c r="H35" i="127"/>
  <c r="O266" i="128"/>
  <c r="C36" i="127"/>
  <c r="D36" i="127"/>
  <c r="G36" i="127"/>
  <c r="H36" i="127"/>
  <c r="O267" i="128"/>
  <c r="B29" i="127"/>
  <c r="B23" i="127"/>
  <c r="B22" i="127"/>
  <c r="C22" i="127"/>
  <c r="D22" i="127"/>
  <c r="G22" i="127"/>
  <c r="E22" i="127"/>
  <c r="H22" i="127"/>
  <c r="O268" i="128"/>
  <c r="C23" i="127"/>
  <c r="D23" i="127"/>
  <c r="G23" i="127"/>
  <c r="H23" i="127"/>
  <c r="O269" i="128"/>
  <c r="C29" i="127"/>
  <c r="D29" i="127"/>
  <c r="G29" i="127"/>
  <c r="H29" i="127"/>
  <c r="O270" i="128"/>
  <c r="O271" i="128"/>
  <c r="P272" i="128"/>
  <c r="N272" i="128"/>
  <c r="M272" i="128"/>
  <c r="L272" i="128"/>
  <c r="K272" i="128"/>
  <c r="H272" i="128"/>
  <c r="A272" i="128"/>
  <c r="P271" i="128"/>
  <c r="N271" i="128"/>
  <c r="M271" i="128"/>
  <c r="L271" i="128"/>
  <c r="H271" i="128"/>
  <c r="A271" i="128"/>
  <c r="P270" i="128"/>
  <c r="N270" i="128"/>
  <c r="M270" i="128"/>
  <c r="L270" i="128"/>
  <c r="H270" i="128"/>
  <c r="A270" i="128"/>
  <c r="P269" i="128"/>
  <c r="N269" i="128"/>
  <c r="M269" i="128"/>
  <c r="L269" i="128"/>
  <c r="H269" i="128"/>
  <c r="A269" i="128"/>
  <c r="P268" i="128"/>
  <c r="N268" i="128"/>
  <c r="M268" i="128"/>
  <c r="L268" i="128"/>
  <c r="H268" i="128"/>
  <c r="A268" i="128"/>
  <c r="P267" i="128"/>
  <c r="N267" i="128"/>
  <c r="M267" i="128"/>
  <c r="L267" i="128"/>
  <c r="H267" i="128"/>
  <c r="A267" i="128"/>
  <c r="P266" i="128"/>
  <c r="N266" i="128"/>
  <c r="M266" i="128"/>
  <c r="L266" i="128"/>
  <c r="H266" i="128"/>
  <c r="A266" i="128"/>
  <c r="P265" i="128"/>
  <c r="N265" i="128"/>
  <c r="M265" i="128"/>
  <c r="L265" i="128"/>
  <c r="H265" i="128"/>
  <c r="A265" i="128"/>
  <c r="P264" i="128"/>
  <c r="N264" i="128"/>
  <c r="M264" i="128"/>
  <c r="L264" i="128"/>
  <c r="H264" i="128"/>
  <c r="A264" i="128"/>
  <c r="P263" i="128"/>
  <c r="N263" i="128"/>
  <c r="M263" i="128"/>
  <c r="L263" i="128"/>
  <c r="H263" i="128"/>
  <c r="A263" i="128"/>
  <c r="P262" i="128"/>
  <c r="N262" i="128"/>
  <c r="M262" i="128"/>
  <c r="L262" i="128"/>
  <c r="H262" i="128"/>
  <c r="A262" i="128"/>
  <c r="P261" i="128"/>
  <c r="N261" i="128"/>
  <c r="M261" i="128"/>
  <c r="L261" i="128"/>
  <c r="H261" i="128"/>
  <c r="A261" i="128"/>
  <c r="P260" i="128"/>
  <c r="N260" i="128"/>
  <c r="M260" i="128"/>
  <c r="L260" i="128"/>
  <c r="H260" i="128"/>
  <c r="A260" i="128"/>
  <c r="P259" i="128"/>
  <c r="N259" i="128"/>
  <c r="M259" i="128"/>
  <c r="L259" i="128"/>
  <c r="H259" i="128"/>
  <c r="A259" i="128"/>
  <c r="P258" i="128"/>
  <c r="N258" i="128"/>
  <c r="M258" i="128"/>
  <c r="L258" i="128"/>
  <c r="H258" i="128"/>
  <c r="A258" i="128"/>
  <c r="P257" i="128"/>
  <c r="N257" i="128"/>
  <c r="M257" i="128"/>
  <c r="L257" i="128"/>
  <c r="H257" i="128"/>
  <c r="A257" i="128"/>
  <c r="P256" i="128"/>
  <c r="N256" i="128"/>
  <c r="M256" i="128"/>
  <c r="L256" i="128"/>
  <c r="H256" i="128"/>
  <c r="A256" i="128"/>
  <c r="P255" i="128"/>
  <c r="N255" i="128"/>
  <c r="M255" i="128"/>
  <c r="L255" i="128"/>
  <c r="H255" i="128"/>
  <c r="A255" i="128"/>
  <c r="P254" i="128"/>
  <c r="N254" i="128"/>
  <c r="M254" i="128"/>
  <c r="L254" i="128"/>
  <c r="H254" i="128"/>
  <c r="A254" i="128"/>
  <c r="P253" i="128"/>
  <c r="N253" i="128"/>
  <c r="M253" i="128"/>
  <c r="L253" i="128"/>
  <c r="H253" i="128"/>
  <c r="A253" i="128"/>
  <c r="P252" i="128"/>
  <c r="N252" i="128"/>
  <c r="M252" i="128"/>
  <c r="L252" i="128"/>
  <c r="H252" i="128"/>
  <c r="A252" i="128"/>
  <c r="P251" i="128"/>
  <c r="N251" i="128"/>
  <c r="M251" i="128"/>
  <c r="L251" i="128"/>
  <c r="H251" i="128"/>
  <c r="A251" i="128"/>
  <c r="P250" i="128"/>
  <c r="N250" i="128"/>
  <c r="M250" i="128"/>
  <c r="L250" i="128"/>
  <c r="H250" i="128"/>
  <c r="A250" i="128"/>
  <c r="P249" i="128"/>
  <c r="N249" i="128"/>
  <c r="M249" i="128"/>
  <c r="L249" i="128"/>
  <c r="H249" i="128"/>
  <c r="A249" i="128"/>
  <c r="P248" i="128"/>
  <c r="N248" i="128"/>
  <c r="M248" i="128"/>
  <c r="L248" i="128"/>
  <c r="H248" i="128"/>
  <c r="A248" i="128"/>
  <c r="P247" i="128"/>
  <c r="N247" i="128"/>
  <c r="M247" i="128"/>
  <c r="L247" i="128"/>
  <c r="H247" i="128"/>
  <c r="A247" i="128"/>
  <c r="P246" i="128"/>
  <c r="N246" i="128"/>
  <c r="M246" i="128"/>
  <c r="L246" i="128"/>
  <c r="H246" i="128"/>
  <c r="A246" i="128"/>
  <c r="P245" i="128"/>
  <c r="N245" i="128"/>
  <c r="M245" i="128"/>
  <c r="L245" i="128"/>
  <c r="H245" i="128"/>
  <c r="A245" i="128"/>
  <c r="P244" i="128"/>
  <c r="N244" i="128"/>
  <c r="M244" i="128"/>
  <c r="L244" i="128"/>
  <c r="H244" i="128"/>
  <c r="A244" i="128"/>
  <c r="P243" i="128"/>
  <c r="N243" i="128"/>
  <c r="M243" i="128"/>
  <c r="L243" i="128"/>
  <c r="H243" i="128"/>
  <c r="A243" i="128"/>
  <c r="P242" i="128"/>
  <c r="N242" i="128"/>
  <c r="M242" i="128"/>
  <c r="L242" i="128"/>
  <c r="H242" i="128"/>
  <c r="A242" i="128"/>
  <c r="P241" i="128"/>
  <c r="N241" i="128"/>
  <c r="M241" i="128"/>
  <c r="L241" i="128"/>
  <c r="H241" i="128"/>
  <c r="A241" i="128"/>
  <c r="P240" i="128"/>
  <c r="N240" i="128"/>
  <c r="M240" i="128"/>
  <c r="L240" i="128"/>
  <c r="H240" i="128"/>
  <c r="A240" i="128"/>
  <c r="P239" i="128"/>
  <c r="N239" i="128"/>
  <c r="M239" i="128"/>
  <c r="L239" i="128"/>
  <c r="H239" i="128"/>
  <c r="A239" i="128"/>
  <c r="P238" i="128"/>
  <c r="N238" i="128"/>
  <c r="M238" i="128"/>
  <c r="L238" i="128"/>
  <c r="H238" i="128"/>
  <c r="A238" i="128"/>
  <c r="P237" i="128"/>
  <c r="N237" i="128"/>
  <c r="M237" i="128"/>
  <c r="L237" i="128"/>
  <c r="H237" i="128"/>
  <c r="A237" i="128"/>
  <c r="P236" i="128"/>
  <c r="N236" i="128"/>
  <c r="M236" i="128"/>
  <c r="L236" i="128"/>
  <c r="H236" i="128"/>
  <c r="A236" i="128"/>
  <c r="P235" i="128"/>
  <c r="N235" i="128"/>
  <c r="M235" i="128"/>
  <c r="L235" i="128"/>
  <c r="H235" i="128"/>
  <c r="A235" i="128"/>
  <c r="P234" i="128"/>
  <c r="N234" i="128"/>
  <c r="M234" i="128"/>
  <c r="L234" i="128"/>
  <c r="H234" i="128"/>
  <c r="A234" i="128"/>
  <c r="P233" i="128"/>
  <c r="N233" i="128"/>
  <c r="M233" i="128"/>
  <c r="L233" i="128"/>
  <c r="H233" i="128"/>
  <c r="A233" i="128"/>
  <c r="P232" i="128"/>
  <c r="N232" i="128"/>
  <c r="M232" i="128"/>
  <c r="L232" i="128"/>
  <c r="H232" i="128"/>
  <c r="A232" i="128"/>
  <c r="P231" i="128"/>
  <c r="N231" i="128"/>
  <c r="M231" i="128"/>
  <c r="L231" i="128"/>
  <c r="H231" i="128"/>
  <c r="A231" i="128"/>
  <c r="P230" i="128"/>
  <c r="N230" i="128"/>
  <c r="M230" i="128"/>
  <c r="L230" i="128"/>
  <c r="H230" i="128"/>
  <c r="A230" i="128"/>
  <c r="P229" i="128"/>
  <c r="N229" i="128"/>
  <c r="M229" i="128"/>
  <c r="L229" i="128"/>
  <c r="H229" i="128"/>
  <c r="A229" i="128"/>
  <c r="P228" i="128"/>
  <c r="N228" i="128"/>
  <c r="M228" i="128"/>
  <c r="L228" i="128"/>
  <c r="H228" i="128"/>
  <c r="A228" i="128"/>
  <c r="P227" i="128"/>
  <c r="N227" i="128"/>
  <c r="M227" i="128"/>
  <c r="L227" i="128"/>
  <c r="H227" i="128"/>
  <c r="A227" i="128"/>
  <c r="P226" i="128"/>
  <c r="N226" i="128"/>
  <c r="M226" i="128"/>
  <c r="L226" i="128"/>
  <c r="H226" i="128"/>
  <c r="A226" i="128"/>
  <c r="P225" i="128"/>
  <c r="N225" i="128"/>
  <c r="M225" i="128"/>
  <c r="L225" i="128"/>
  <c r="H225" i="128"/>
  <c r="A225" i="128"/>
  <c r="P224" i="128"/>
  <c r="N224" i="128"/>
  <c r="M224" i="128"/>
  <c r="L224" i="128"/>
  <c r="H224" i="128"/>
  <c r="A224" i="128"/>
  <c r="P223" i="128"/>
  <c r="N223" i="128"/>
  <c r="M223" i="128"/>
  <c r="L223" i="128"/>
  <c r="H223" i="128"/>
  <c r="A223" i="128"/>
  <c r="P222" i="128"/>
  <c r="N222" i="128"/>
  <c r="M222" i="128"/>
  <c r="L222" i="128"/>
  <c r="H222" i="128"/>
  <c r="A222" i="128"/>
  <c r="P221" i="128"/>
  <c r="N221" i="128"/>
  <c r="M221" i="128"/>
  <c r="L221" i="128"/>
  <c r="H221" i="128"/>
  <c r="A221" i="128"/>
  <c r="P220" i="128"/>
  <c r="N220" i="128"/>
  <c r="M220" i="128"/>
  <c r="L220" i="128"/>
  <c r="H220" i="128"/>
  <c r="A220" i="128"/>
  <c r="P219" i="128"/>
  <c r="N219" i="128"/>
  <c r="M219" i="128"/>
  <c r="L219" i="128"/>
  <c r="H219" i="128"/>
  <c r="A219" i="128"/>
  <c r="P218" i="128"/>
  <c r="N218" i="128"/>
  <c r="M218" i="128"/>
  <c r="L218" i="128"/>
  <c r="H218" i="128"/>
  <c r="A218" i="128"/>
  <c r="P217" i="128"/>
  <c r="N217" i="128"/>
  <c r="M217" i="128"/>
  <c r="L217" i="128"/>
  <c r="H217" i="128"/>
  <c r="A217" i="128"/>
  <c r="P216" i="128"/>
  <c r="N216" i="128"/>
  <c r="M216" i="128"/>
  <c r="L216" i="128"/>
  <c r="H216" i="128"/>
  <c r="A216" i="128"/>
  <c r="P215" i="128"/>
  <c r="N215" i="128"/>
  <c r="M215" i="128"/>
  <c r="L215" i="128"/>
  <c r="H215" i="128"/>
  <c r="A215" i="128"/>
  <c r="P214" i="128"/>
  <c r="N214" i="128"/>
  <c r="M214" i="128"/>
  <c r="L214" i="128"/>
  <c r="H214" i="128"/>
  <c r="A214" i="128"/>
  <c r="P213" i="128"/>
  <c r="N213" i="128"/>
  <c r="M213" i="128"/>
  <c r="L213" i="128"/>
  <c r="H213" i="128"/>
  <c r="A213" i="128"/>
  <c r="P212" i="128"/>
  <c r="N212" i="128"/>
  <c r="M212" i="128"/>
  <c r="L212" i="128"/>
  <c r="H212" i="128"/>
  <c r="A212" i="128"/>
  <c r="P211" i="128"/>
  <c r="N211" i="128"/>
  <c r="M211" i="128"/>
  <c r="L211" i="128"/>
  <c r="H211" i="128"/>
  <c r="A211" i="128"/>
  <c r="P210" i="128"/>
  <c r="N210" i="128"/>
  <c r="M210" i="128"/>
  <c r="L210" i="128"/>
  <c r="H210" i="128"/>
  <c r="A210" i="128"/>
  <c r="P209" i="128"/>
  <c r="N209" i="128"/>
  <c r="M209" i="128"/>
  <c r="L209" i="128"/>
  <c r="H209" i="128"/>
  <c r="A209" i="128"/>
  <c r="P208" i="128"/>
  <c r="N208" i="128"/>
  <c r="M208" i="128"/>
  <c r="L208" i="128"/>
  <c r="H208" i="128"/>
  <c r="A208" i="128"/>
  <c r="P207" i="128"/>
  <c r="N207" i="128"/>
  <c r="M207" i="128"/>
  <c r="L207" i="128"/>
  <c r="H207" i="128"/>
  <c r="A207" i="128"/>
  <c r="P206" i="128"/>
  <c r="N206" i="128"/>
  <c r="M206" i="128"/>
  <c r="L206" i="128"/>
  <c r="H206" i="128"/>
  <c r="A206" i="128"/>
  <c r="P205" i="128"/>
  <c r="N205" i="128"/>
  <c r="M205" i="128"/>
  <c r="L205" i="128"/>
  <c r="H205" i="128"/>
  <c r="A205" i="128"/>
  <c r="P204" i="128"/>
  <c r="N204" i="128"/>
  <c r="M204" i="128"/>
  <c r="L204" i="128"/>
  <c r="H204" i="128"/>
  <c r="A204" i="128"/>
  <c r="P203" i="128"/>
  <c r="N203" i="128"/>
  <c r="M203" i="128"/>
  <c r="L203" i="128"/>
  <c r="H203" i="128"/>
  <c r="A203" i="128"/>
  <c r="P202" i="128"/>
  <c r="N202" i="128"/>
  <c r="M202" i="128"/>
  <c r="L202" i="128"/>
  <c r="H202" i="128"/>
  <c r="A202" i="128"/>
  <c r="P201" i="128"/>
  <c r="N201" i="128"/>
  <c r="M201" i="128"/>
  <c r="L201" i="128"/>
  <c r="H201" i="128"/>
  <c r="A201" i="128"/>
  <c r="P200" i="128"/>
  <c r="N200" i="128"/>
  <c r="M200" i="128"/>
  <c r="L200" i="128"/>
  <c r="H200" i="128"/>
  <c r="A200" i="128"/>
  <c r="P199" i="128"/>
  <c r="N199" i="128"/>
  <c r="M199" i="128"/>
  <c r="L199" i="128"/>
  <c r="H199" i="128"/>
  <c r="A199" i="128"/>
  <c r="P198" i="128"/>
  <c r="N198" i="128"/>
  <c r="M198" i="128"/>
  <c r="L198" i="128"/>
  <c r="H198" i="128"/>
  <c r="A198" i="128"/>
  <c r="P197" i="128"/>
  <c r="N197" i="128"/>
  <c r="M197" i="128"/>
  <c r="L197" i="128"/>
  <c r="H197" i="128"/>
  <c r="A197" i="128"/>
  <c r="P196" i="128"/>
  <c r="N196" i="128"/>
  <c r="M196" i="128"/>
  <c r="L196" i="128"/>
  <c r="H196" i="128"/>
  <c r="A196" i="128"/>
  <c r="P195" i="128"/>
  <c r="N195" i="128"/>
  <c r="M195" i="128"/>
  <c r="L195" i="128"/>
  <c r="H195" i="128"/>
  <c r="A195" i="128"/>
  <c r="P194" i="128"/>
  <c r="N194" i="128"/>
  <c r="M194" i="128"/>
  <c r="L194" i="128"/>
  <c r="H194" i="128"/>
  <c r="A194" i="128"/>
  <c r="P193" i="128"/>
  <c r="N193" i="128"/>
  <c r="M193" i="128"/>
  <c r="L193" i="128"/>
  <c r="H193" i="128"/>
  <c r="A193" i="128"/>
  <c r="P192" i="128"/>
  <c r="N192" i="128"/>
  <c r="M192" i="128"/>
  <c r="L192" i="128"/>
  <c r="H192" i="128"/>
  <c r="A192" i="128"/>
  <c r="P191" i="128"/>
  <c r="N191" i="128"/>
  <c r="M191" i="128"/>
  <c r="L191" i="128"/>
  <c r="H191" i="128"/>
  <c r="A191" i="128"/>
  <c r="P190" i="128"/>
  <c r="N190" i="128"/>
  <c r="M190" i="128"/>
  <c r="L190" i="128"/>
  <c r="H190" i="128"/>
  <c r="A190" i="128"/>
  <c r="P189" i="128"/>
  <c r="N189" i="128"/>
  <c r="M189" i="128"/>
  <c r="L189" i="128"/>
  <c r="H189" i="128"/>
  <c r="A189" i="128"/>
  <c r="P188" i="128"/>
  <c r="N188" i="128"/>
  <c r="M188" i="128"/>
  <c r="L188" i="128"/>
  <c r="H188" i="128"/>
  <c r="A188" i="128"/>
  <c r="P187" i="128"/>
  <c r="N187" i="128"/>
  <c r="M187" i="128"/>
  <c r="L187" i="128"/>
  <c r="H187" i="128"/>
  <c r="A187" i="128"/>
  <c r="P186" i="128"/>
  <c r="N186" i="128"/>
  <c r="M186" i="128"/>
  <c r="L186" i="128"/>
  <c r="H186" i="128"/>
  <c r="A186" i="128"/>
  <c r="P185" i="128"/>
  <c r="N185" i="128"/>
  <c r="M185" i="128"/>
  <c r="L185" i="128"/>
  <c r="H185" i="128"/>
  <c r="A185" i="128"/>
  <c r="P184" i="128"/>
  <c r="N184" i="128"/>
  <c r="M184" i="128"/>
  <c r="L184" i="128"/>
  <c r="H184" i="128"/>
  <c r="A184" i="128"/>
  <c r="P183" i="128"/>
  <c r="N183" i="128"/>
  <c r="M183" i="128"/>
  <c r="L183" i="128"/>
  <c r="H183" i="128"/>
  <c r="A183" i="128"/>
  <c r="P182" i="128"/>
  <c r="N182" i="128"/>
  <c r="M182" i="128"/>
  <c r="L182" i="128"/>
  <c r="H182" i="128"/>
  <c r="A182" i="128"/>
  <c r="P181" i="128"/>
  <c r="N181" i="128"/>
  <c r="M181" i="128"/>
  <c r="L181" i="128"/>
  <c r="H181" i="128"/>
  <c r="A181" i="128"/>
  <c r="P180" i="128"/>
  <c r="N180" i="128"/>
  <c r="M180" i="128"/>
  <c r="L180" i="128"/>
  <c r="H180" i="128"/>
  <c r="A180" i="128"/>
  <c r="P179" i="128"/>
  <c r="N179" i="128"/>
  <c r="M179" i="128"/>
  <c r="L179" i="128"/>
  <c r="H179" i="128"/>
  <c r="A179" i="128"/>
  <c r="P178" i="128"/>
  <c r="N178" i="128"/>
  <c r="M178" i="128"/>
  <c r="L178" i="128"/>
  <c r="H178" i="128"/>
  <c r="A178" i="128"/>
  <c r="P177" i="128"/>
  <c r="N177" i="128"/>
  <c r="M177" i="128"/>
  <c r="L177" i="128"/>
  <c r="H177" i="128"/>
  <c r="A177" i="128"/>
  <c r="P176" i="128"/>
  <c r="N176" i="128"/>
  <c r="M176" i="128"/>
  <c r="L176" i="128"/>
  <c r="H176" i="128"/>
  <c r="A176" i="128"/>
  <c r="P175" i="128"/>
  <c r="N175" i="128"/>
  <c r="M175" i="128"/>
  <c r="L175" i="128"/>
  <c r="H175" i="128"/>
  <c r="A175" i="128"/>
  <c r="P174" i="128"/>
  <c r="N174" i="128"/>
  <c r="M174" i="128"/>
  <c r="L174" i="128"/>
  <c r="H174" i="128"/>
  <c r="A174" i="128"/>
  <c r="P173" i="128"/>
  <c r="N173" i="128"/>
  <c r="M173" i="128"/>
  <c r="L173" i="128"/>
  <c r="H173" i="128"/>
  <c r="A173" i="128"/>
  <c r="P172" i="128"/>
  <c r="N172" i="128"/>
  <c r="M172" i="128"/>
  <c r="L172" i="128"/>
  <c r="H172" i="128"/>
  <c r="A172" i="128"/>
  <c r="P171" i="128"/>
  <c r="N171" i="128"/>
  <c r="M171" i="128"/>
  <c r="L171" i="128"/>
  <c r="H171" i="128"/>
  <c r="A171" i="128"/>
  <c r="P170" i="128"/>
  <c r="N170" i="128"/>
  <c r="M170" i="128"/>
  <c r="L170" i="128"/>
  <c r="H170" i="128"/>
  <c r="A170" i="128"/>
  <c r="P169" i="128"/>
  <c r="N169" i="128"/>
  <c r="M169" i="128"/>
  <c r="L169" i="128"/>
  <c r="H169" i="128"/>
  <c r="A169" i="128"/>
  <c r="P168" i="128"/>
  <c r="N168" i="128"/>
  <c r="M168" i="128"/>
  <c r="L168" i="128"/>
  <c r="H168" i="128"/>
  <c r="A168" i="128"/>
  <c r="P167" i="128"/>
  <c r="N167" i="128"/>
  <c r="M167" i="128"/>
  <c r="L167" i="128"/>
  <c r="H167" i="128"/>
  <c r="A167" i="128"/>
  <c r="P166" i="128"/>
  <c r="N166" i="128"/>
  <c r="M166" i="128"/>
  <c r="L166" i="128"/>
  <c r="H166" i="128"/>
  <c r="A166" i="128"/>
  <c r="P165" i="128"/>
  <c r="N165" i="128"/>
  <c r="M165" i="128"/>
  <c r="L165" i="128"/>
  <c r="H165" i="128"/>
  <c r="A165" i="128"/>
  <c r="P164" i="128"/>
  <c r="N164" i="128"/>
  <c r="M164" i="128"/>
  <c r="L164" i="128"/>
  <c r="H164" i="128"/>
  <c r="A164" i="128"/>
  <c r="P163" i="128"/>
  <c r="N163" i="128"/>
  <c r="M163" i="128"/>
  <c r="L163" i="128"/>
  <c r="H163" i="128"/>
  <c r="A163" i="128"/>
  <c r="P162" i="128"/>
  <c r="N162" i="128"/>
  <c r="M162" i="128"/>
  <c r="L162" i="128"/>
  <c r="H162" i="128"/>
  <c r="A162" i="128"/>
  <c r="P161" i="128"/>
  <c r="N161" i="128"/>
  <c r="M161" i="128"/>
  <c r="L161" i="128"/>
  <c r="H161" i="128"/>
  <c r="A161" i="128"/>
  <c r="P160" i="128"/>
  <c r="N160" i="128"/>
  <c r="M160" i="128"/>
  <c r="L160" i="128"/>
  <c r="H160" i="128"/>
  <c r="A160" i="128"/>
  <c r="P159" i="128"/>
  <c r="N159" i="128"/>
  <c r="M159" i="128"/>
  <c r="L159" i="128"/>
  <c r="H159" i="128"/>
  <c r="A159" i="128"/>
  <c r="P158" i="128"/>
  <c r="N158" i="128"/>
  <c r="M158" i="128"/>
  <c r="L158" i="128"/>
  <c r="H158" i="128"/>
  <c r="A158" i="128"/>
  <c r="P157" i="128"/>
  <c r="N157" i="128"/>
  <c r="M157" i="128"/>
  <c r="L157" i="128"/>
  <c r="H157" i="128"/>
  <c r="A157" i="128"/>
  <c r="P156" i="128"/>
  <c r="N156" i="128"/>
  <c r="M156" i="128"/>
  <c r="L156" i="128"/>
  <c r="H156" i="128"/>
  <c r="A156" i="128"/>
  <c r="P155" i="128"/>
  <c r="N155" i="128"/>
  <c r="M155" i="128"/>
  <c r="L155" i="128"/>
  <c r="H155" i="128"/>
  <c r="A155" i="128"/>
  <c r="P154" i="128"/>
  <c r="N154" i="128"/>
  <c r="M154" i="128"/>
  <c r="L154" i="128"/>
  <c r="H154" i="128"/>
  <c r="A154" i="128"/>
  <c r="P153" i="128"/>
  <c r="N153" i="128"/>
  <c r="M153" i="128"/>
  <c r="L153" i="128"/>
  <c r="H153" i="128"/>
  <c r="A153" i="128"/>
  <c r="P152" i="128"/>
  <c r="N152" i="128"/>
  <c r="M152" i="128"/>
  <c r="L152" i="128"/>
  <c r="H152" i="128"/>
  <c r="A152" i="128"/>
  <c r="P151" i="128"/>
  <c r="N151" i="128"/>
  <c r="M151" i="128"/>
  <c r="L151" i="128"/>
  <c r="H151" i="128"/>
  <c r="A151" i="128"/>
  <c r="P150" i="128"/>
  <c r="N150" i="128"/>
  <c r="M150" i="128"/>
  <c r="L150" i="128"/>
  <c r="H150" i="128"/>
  <c r="A150" i="128"/>
  <c r="P149" i="128"/>
  <c r="N149" i="128"/>
  <c r="M149" i="128"/>
  <c r="L149" i="128"/>
  <c r="H149" i="128"/>
  <c r="A149" i="128"/>
  <c r="P148" i="128"/>
  <c r="N148" i="128"/>
  <c r="M148" i="128"/>
  <c r="L148" i="128"/>
  <c r="H148" i="128"/>
  <c r="A148" i="128"/>
  <c r="P147" i="128"/>
  <c r="N147" i="128"/>
  <c r="M147" i="128"/>
  <c r="L147" i="128"/>
  <c r="H147" i="128"/>
  <c r="A147" i="128"/>
  <c r="P146" i="128"/>
  <c r="N146" i="128"/>
  <c r="M146" i="128"/>
  <c r="L146" i="128"/>
  <c r="H146" i="128"/>
  <c r="A146" i="128"/>
  <c r="P145" i="128"/>
  <c r="N145" i="128"/>
  <c r="M145" i="128"/>
  <c r="L145" i="128"/>
  <c r="H145" i="128"/>
  <c r="A145" i="128"/>
  <c r="P144" i="128"/>
  <c r="N144" i="128"/>
  <c r="M144" i="128"/>
  <c r="L144" i="128"/>
  <c r="H144" i="128"/>
  <c r="A144" i="128"/>
  <c r="P143" i="128"/>
  <c r="N143" i="128"/>
  <c r="M143" i="128"/>
  <c r="L143" i="128"/>
  <c r="H143" i="128"/>
  <c r="A143" i="128"/>
  <c r="P142" i="128"/>
  <c r="N142" i="128"/>
  <c r="M142" i="128"/>
  <c r="L142" i="128"/>
  <c r="H142" i="128"/>
  <c r="A142" i="128"/>
  <c r="P141" i="128"/>
  <c r="N141" i="128"/>
  <c r="M141" i="128"/>
  <c r="L141" i="128"/>
  <c r="H141" i="128"/>
  <c r="A141" i="128"/>
  <c r="P140" i="128"/>
  <c r="N140" i="128"/>
  <c r="M140" i="128"/>
  <c r="L140" i="128"/>
  <c r="H140" i="128"/>
  <c r="A140" i="128"/>
  <c r="P139" i="128"/>
  <c r="N139" i="128"/>
  <c r="M139" i="128"/>
  <c r="L139" i="128"/>
  <c r="H139" i="128"/>
  <c r="A139" i="128"/>
  <c r="P138" i="128"/>
  <c r="N138" i="128"/>
  <c r="M138" i="128"/>
  <c r="L138" i="128"/>
  <c r="H138" i="128"/>
  <c r="A138" i="128"/>
  <c r="P137" i="128"/>
  <c r="N137" i="128"/>
  <c r="M137" i="128"/>
  <c r="L137" i="128"/>
  <c r="H137" i="128"/>
  <c r="A137" i="128"/>
  <c r="P136" i="128"/>
  <c r="N136" i="128"/>
  <c r="M136" i="128"/>
  <c r="L136" i="128"/>
  <c r="H136" i="128"/>
  <c r="A136" i="128"/>
  <c r="P135" i="128"/>
  <c r="N135" i="128"/>
  <c r="M135" i="128"/>
  <c r="L135" i="128"/>
  <c r="H135" i="128"/>
  <c r="A135" i="128"/>
  <c r="P134" i="128"/>
  <c r="N134" i="128"/>
  <c r="M134" i="128"/>
  <c r="L134" i="128"/>
  <c r="H134" i="128"/>
  <c r="A134" i="128"/>
  <c r="P133" i="128"/>
  <c r="N133" i="128"/>
  <c r="M133" i="128"/>
  <c r="L133" i="128"/>
  <c r="H133" i="128"/>
  <c r="A133" i="128"/>
  <c r="P132" i="128"/>
  <c r="N132" i="128"/>
  <c r="M132" i="128"/>
  <c r="L132" i="128"/>
  <c r="H132" i="128"/>
  <c r="A132" i="128"/>
  <c r="P131" i="128"/>
  <c r="N131" i="128"/>
  <c r="M131" i="128"/>
  <c r="L131" i="128"/>
  <c r="H131" i="128"/>
  <c r="A131" i="128"/>
  <c r="P130" i="128"/>
  <c r="N130" i="128"/>
  <c r="M130" i="128"/>
  <c r="L130" i="128"/>
  <c r="H130" i="128"/>
  <c r="A130" i="128"/>
  <c r="P129" i="128"/>
  <c r="N129" i="128"/>
  <c r="M129" i="128"/>
  <c r="L129" i="128"/>
  <c r="H129" i="128"/>
  <c r="A129" i="128"/>
  <c r="P128" i="128"/>
  <c r="N128" i="128"/>
  <c r="M128" i="128"/>
  <c r="L128" i="128"/>
  <c r="H128" i="128"/>
  <c r="A128" i="128"/>
  <c r="P127" i="128"/>
  <c r="N127" i="128"/>
  <c r="M127" i="128"/>
  <c r="L127" i="128"/>
  <c r="H127" i="128"/>
  <c r="A127" i="128"/>
  <c r="P126" i="128"/>
  <c r="N126" i="128"/>
  <c r="M126" i="128"/>
  <c r="L126" i="128"/>
  <c r="H126" i="128"/>
  <c r="A126" i="128"/>
  <c r="P125" i="128"/>
  <c r="N125" i="128"/>
  <c r="M125" i="128"/>
  <c r="L125" i="128"/>
  <c r="H125" i="128"/>
  <c r="A125" i="128"/>
  <c r="P124" i="128"/>
  <c r="N124" i="128"/>
  <c r="M124" i="128"/>
  <c r="L124" i="128"/>
  <c r="H124" i="128"/>
  <c r="A124" i="128"/>
  <c r="P123" i="128"/>
  <c r="N123" i="128"/>
  <c r="M123" i="128"/>
  <c r="L123" i="128"/>
  <c r="H123" i="128"/>
  <c r="A123" i="128"/>
  <c r="P122" i="128"/>
  <c r="N122" i="128"/>
  <c r="M122" i="128"/>
  <c r="L122" i="128"/>
  <c r="H122" i="128"/>
  <c r="A122" i="128"/>
  <c r="P121" i="128"/>
  <c r="N121" i="128"/>
  <c r="M121" i="128"/>
  <c r="L121" i="128"/>
  <c r="H121" i="128"/>
  <c r="A121" i="128"/>
  <c r="P120" i="128"/>
  <c r="N120" i="128"/>
  <c r="M120" i="128"/>
  <c r="L120" i="128"/>
  <c r="H120" i="128"/>
  <c r="A120" i="128"/>
  <c r="P119" i="128"/>
  <c r="N119" i="128"/>
  <c r="M119" i="128"/>
  <c r="L119" i="128"/>
  <c r="H119" i="128"/>
  <c r="A119" i="128"/>
  <c r="P118" i="128"/>
  <c r="N118" i="128"/>
  <c r="M118" i="128"/>
  <c r="L118" i="128"/>
  <c r="H118" i="128"/>
  <c r="A118" i="128"/>
  <c r="P117" i="128"/>
  <c r="N117" i="128"/>
  <c r="M117" i="128"/>
  <c r="L117" i="128"/>
  <c r="H117" i="128"/>
  <c r="A117" i="128"/>
  <c r="P116" i="128"/>
  <c r="N116" i="128"/>
  <c r="M116" i="128"/>
  <c r="L116" i="128"/>
  <c r="H116" i="128"/>
  <c r="A116" i="128"/>
  <c r="P115" i="128"/>
  <c r="N115" i="128"/>
  <c r="M115" i="128"/>
  <c r="L115" i="128"/>
  <c r="H115" i="128"/>
  <c r="A115" i="128"/>
  <c r="P114" i="128"/>
  <c r="N114" i="128"/>
  <c r="M114" i="128"/>
  <c r="L114" i="128"/>
  <c r="H114" i="128"/>
  <c r="A114" i="128"/>
  <c r="P113" i="128"/>
  <c r="N113" i="128"/>
  <c r="M113" i="128"/>
  <c r="L113" i="128"/>
  <c r="H113" i="128"/>
  <c r="A113" i="128"/>
  <c r="P112" i="128"/>
  <c r="N112" i="128"/>
  <c r="M112" i="128"/>
  <c r="L112" i="128"/>
  <c r="H112" i="128"/>
  <c r="A112" i="128"/>
  <c r="P111" i="128"/>
  <c r="N111" i="128"/>
  <c r="M111" i="128"/>
  <c r="L111" i="128"/>
  <c r="H111" i="128"/>
  <c r="A111" i="128"/>
  <c r="P110" i="128"/>
  <c r="N110" i="128"/>
  <c r="M110" i="128"/>
  <c r="L110" i="128"/>
  <c r="H110" i="128"/>
  <c r="A110" i="128"/>
  <c r="P109" i="128"/>
  <c r="N109" i="128"/>
  <c r="M109" i="128"/>
  <c r="L109" i="128"/>
  <c r="H109" i="128"/>
  <c r="A109" i="128"/>
  <c r="P108" i="128"/>
  <c r="N108" i="128"/>
  <c r="M108" i="128"/>
  <c r="L108" i="128"/>
  <c r="H108" i="128"/>
  <c r="A108" i="128"/>
  <c r="P107" i="128"/>
  <c r="N107" i="128"/>
  <c r="M107" i="128"/>
  <c r="L107" i="128"/>
  <c r="H107" i="128"/>
  <c r="A107" i="128"/>
  <c r="P106" i="128"/>
  <c r="N106" i="128"/>
  <c r="M106" i="128"/>
  <c r="L106" i="128"/>
  <c r="H106" i="128"/>
  <c r="A106" i="128"/>
  <c r="P105" i="128"/>
  <c r="N105" i="128"/>
  <c r="M105" i="128"/>
  <c r="L105" i="128"/>
  <c r="H105" i="128"/>
  <c r="A105" i="128"/>
  <c r="P104" i="128"/>
  <c r="N104" i="128"/>
  <c r="M104" i="128"/>
  <c r="L104" i="128"/>
  <c r="H104" i="128"/>
  <c r="A104" i="128"/>
  <c r="P103" i="128"/>
  <c r="N103" i="128"/>
  <c r="M103" i="128"/>
  <c r="L103" i="128"/>
  <c r="H103" i="128"/>
  <c r="A103" i="128"/>
  <c r="P102" i="128"/>
  <c r="N102" i="128"/>
  <c r="M102" i="128"/>
  <c r="L102" i="128"/>
  <c r="H102" i="128"/>
  <c r="A102" i="128"/>
  <c r="P101" i="128"/>
  <c r="N101" i="128"/>
  <c r="M101" i="128"/>
  <c r="L101" i="128"/>
  <c r="H101" i="128"/>
  <c r="A101" i="128"/>
  <c r="P100" i="128"/>
  <c r="N100" i="128"/>
  <c r="M100" i="128"/>
  <c r="L100" i="128"/>
  <c r="H100" i="128"/>
  <c r="A100" i="128"/>
  <c r="P99" i="128"/>
  <c r="N99" i="128"/>
  <c r="M99" i="128"/>
  <c r="L99" i="128"/>
  <c r="H99" i="128"/>
  <c r="A99" i="128"/>
  <c r="P98" i="128"/>
  <c r="N98" i="128"/>
  <c r="M98" i="128"/>
  <c r="L98" i="128"/>
  <c r="H98" i="128"/>
  <c r="A98" i="128"/>
  <c r="P97" i="128"/>
  <c r="N97" i="128"/>
  <c r="M97" i="128"/>
  <c r="L97" i="128"/>
  <c r="H97" i="128"/>
  <c r="A97" i="128"/>
  <c r="P96" i="128"/>
  <c r="N96" i="128"/>
  <c r="M96" i="128"/>
  <c r="L96" i="128"/>
  <c r="H96" i="128"/>
  <c r="A96" i="128"/>
  <c r="P95" i="128"/>
  <c r="N95" i="128"/>
  <c r="M95" i="128"/>
  <c r="L95" i="128"/>
  <c r="H95" i="128"/>
  <c r="A95" i="128"/>
  <c r="P94" i="128"/>
  <c r="N94" i="128"/>
  <c r="M94" i="128"/>
  <c r="L94" i="128"/>
  <c r="H94" i="128"/>
  <c r="A94" i="128"/>
  <c r="P93" i="128"/>
  <c r="N93" i="128"/>
  <c r="M93" i="128"/>
  <c r="L93" i="128"/>
  <c r="H93" i="128"/>
  <c r="A93" i="128"/>
  <c r="P92" i="128"/>
  <c r="N92" i="128"/>
  <c r="M92" i="128"/>
  <c r="L92" i="128"/>
  <c r="H92" i="128"/>
  <c r="A92" i="128"/>
  <c r="P91" i="128"/>
  <c r="N91" i="128"/>
  <c r="M91" i="128"/>
  <c r="L91" i="128"/>
  <c r="H91" i="128"/>
  <c r="A91" i="128"/>
  <c r="P90" i="128"/>
  <c r="N90" i="128"/>
  <c r="M90" i="128"/>
  <c r="L90" i="128"/>
  <c r="H90" i="128"/>
  <c r="A90" i="128"/>
  <c r="P89" i="128"/>
  <c r="N89" i="128"/>
  <c r="M89" i="128"/>
  <c r="L89" i="128"/>
  <c r="H89" i="128"/>
  <c r="A89" i="128"/>
  <c r="P88" i="128"/>
  <c r="N88" i="128"/>
  <c r="M88" i="128"/>
  <c r="L88" i="128"/>
  <c r="H88" i="128"/>
  <c r="A88" i="128"/>
  <c r="P87" i="128"/>
  <c r="N87" i="128"/>
  <c r="M87" i="128"/>
  <c r="L87" i="128"/>
  <c r="H87" i="128"/>
  <c r="A87" i="128"/>
  <c r="P86" i="128"/>
  <c r="N86" i="128"/>
  <c r="M86" i="128"/>
  <c r="L86" i="128"/>
  <c r="H86" i="128"/>
  <c r="A86" i="128"/>
  <c r="P85" i="128"/>
  <c r="N85" i="128"/>
  <c r="M85" i="128"/>
  <c r="L85" i="128"/>
  <c r="H85" i="128"/>
  <c r="A85" i="128"/>
  <c r="P84" i="128"/>
  <c r="N84" i="128"/>
  <c r="M84" i="128"/>
  <c r="L84" i="128"/>
  <c r="H84" i="128"/>
  <c r="A84" i="128"/>
  <c r="P83" i="128"/>
  <c r="N83" i="128"/>
  <c r="M83" i="128"/>
  <c r="L83" i="128"/>
  <c r="H83" i="128"/>
  <c r="A83" i="128"/>
  <c r="P82" i="128"/>
  <c r="N82" i="128"/>
  <c r="M82" i="128"/>
  <c r="L82" i="128"/>
  <c r="H82" i="128"/>
  <c r="A82" i="128"/>
  <c r="P81" i="128"/>
  <c r="N81" i="128"/>
  <c r="M81" i="128"/>
  <c r="L81" i="128"/>
  <c r="H81" i="128"/>
  <c r="A81" i="128"/>
  <c r="P80" i="128"/>
  <c r="N80" i="128"/>
  <c r="M80" i="128"/>
  <c r="L80" i="128"/>
  <c r="H80" i="128"/>
  <c r="A80" i="128"/>
  <c r="P79" i="128"/>
  <c r="N79" i="128"/>
  <c r="M79" i="128"/>
  <c r="L79" i="128"/>
  <c r="H79" i="128"/>
  <c r="A79" i="128"/>
  <c r="P78" i="128"/>
  <c r="N78" i="128"/>
  <c r="M78" i="128"/>
  <c r="L78" i="128"/>
  <c r="H78" i="128"/>
  <c r="A78" i="128"/>
  <c r="P77" i="128"/>
  <c r="N77" i="128"/>
  <c r="M77" i="128"/>
  <c r="L77" i="128"/>
  <c r="H77" i="128"/>
  <c r="A77" i="128"/>
  <c r="P76" i="128"/>
  <c r="N76" i="128"/>
  <c r="M76" i="128"/>
  <c r="L76" i="128"/>
  <c r="H76" i="128"/>
  <c r="A76" i="128"/>
  <c r="P75" i="128"/>
  <c r="N75" i="128"/>
  <c r="M75" i="128"/>
  <c r="L75" i="128"/>
  <c r="H75" i="128"/>
  <c r="A75" i="128"/>
  <c r="P74" i="128"/>
  <c r="N74" i="128"/>
  <c r="M74" i="128"/>
  <c r="L74" i="128"/>
  <c r="H74" i="128"/>
  <c r="A74" i="128"/>
  <c r="P73" i="128"/>
  <c r="N73" i="128"/>
  <c r="M73" i="128"/>
  <c r="L73" i="128"/>
  <c r="H73" i="128"/>
  <c r="A73" i="128"/>
  <c r="P72" i="128"/>
  <c r="N72" i="128"/>
  <c r="M72" i="128"/>
  <c r="L72" i="128"/>
  <c r="H72" i="128"/>
  <c r="A72" i="128"/>
  <c r="P71" i="128"/>
  <c r="N71" i="128"/>
  <c r="M71" i="128"/>
  <c r="L71" i="128"/>
  <c r="H71" i="128"/>
  <c r="A71" i="128"/>
  <c r="P70" i="128"/>
  <c r="N70" i="128"/>
  <c r="M70" i="128"/>
  <c r="L70" i="128"/>
  <c r="H70" i="128"/>
  <c r="A70" i="128"/>
  <c r="P69" i="128"/>
  <c r="N69" i="128"/>
  <c r="M69" i="128"/>
  <c r="L69" i="128"/>
  <c r="H69" i="128"/>
  <c r="A69" i="128"/>
  <c r="P68" i="128"/>
  <c r="N68" i="128"/>
  <c r="M68" i="128"/>
  <c r="L68" i="128"/>
  <c r="H68" i="128"/>
  <c r="A68" i="128"/>
  <c r="P67" i="128"/>
  <c r="N67" i="128"/>
  <c r="M67" i="128"/>
  <c r="L67" i="128"/>
  <c r="H67" i="128"/>
  <c r="A67" i="128"/>
  <c r="P66" i="128"/>
  <c r="N66" i="128"/>
  <c r="M66" i="128"/>
  <c r="L66" i="128"/>
  <c r="H66" i="128"/>
  <c r="A66" i="128"/>
  <c r="P65" i="128"/>
  <c r="N65" i="128"/>
  <c r="M65" i="128"/>
  <c r="L65" i="128"/>
  <c r="H65" i="128"/>
  <c r="A65" i="128"/>
  <c r="P64" i="128"/>
  <c r="N64" i="128"/>
  <c r="M64" i="128"/>
  <c r="L64" i="128"/>
  <c r="H64" i="128"/>
  <c r="A64" i="128"/>
  <c r="P63" i="128"/>
  <c r="N63" i="128"/>
  <c r="M63" i="128"/>
  <c r="L63" i="128"/>
  <c r="H63" i="128"/>
  <c r="A63" i="128"/>
  <c r="P62" i="128"/>
  <c r="N62" i="128"/>
  <c r="M62" i="128"/>
  <c r="L62" i="128"/>
  <c r="H62" i="128"/>
  <c r="A62" i="128"/>
  <c r="P61" i="128"/>
  <c r="N61" i="128"/>
  <c r="M61" i="128"/>
  <c r="L61" i="128"/>
  <c r="H61" i="128"/>
  <c r="A61" i="128"/>
  <c r="P60" i="128"/>
  <c r="N60" i="128"/>
  <c r="M60" i="128"/>
  <c r="L60" i="128"/>
  <c r="H60" i="128"/>
  <c r="A60" i="128"/>
  <c r="P59" i="128"/>
  <c r="N59" i="128"/>
  <c r="M59" i="128"/>
  <c r="L59" i="128"/>
  <c r="H59" i="128"/>
  <c r="A59" i="128"/>
  <c r="P58" i="128"/>
  <c r="N58" i="128"/>
  <c r="M58" i="128"/>
  <c r="L58" i="128"/>
  <c r="H58" i="128"/>
  <c r="A58" i="128"/>
  <c r="P57" i="128"/>
  <c r="N57" i="128"/>
  <c r="M57" i="128"/>
  <c r="L57" i="128"/>
  <c r="H57" i="128"/>
  <c r="A57" i="128"/>
  <c r="P56" i="128"/>
  <c r="N56" i="128"/>
  <c r="M56" i="128"/>
  <c r="L56" i="128"/>
  <c r="H56" i="128"/>
  <c r="A56" i="128"/>
  <c r="P55" i="128"/>
  <c r="N55" i="128"/>
  <c r="M55" i="128"/>
  <c r="L55" i="128"/>
  <c r="H55" i="128"/>
  <c r="A55" i="128"/>
  <c r="P54" i="128"/>
  <c r="N54" i="128"/>
  <c r="M54" i="128"/>
  <c r="L54" i="128"/>
  <c r="H54" i="128"/>
  <c r="A54" i="128"/>
  <c r="P53" i="128"/>
  <c r="N53" i="128"/>
  <c r="M53" i="128"/>
  <c r="L53" i="128"/>
  <c r="H53" i="128"/>
  <c r="A53" i="128"/>
  <c r="P52" i="128"/>
  <c r="N52" i="128"/>
  <c r="M52" i="128"/>
  <c r="L52" i="128"/>
  <c r="H52" i="128"/>
  <c r="A52" i="128"/>
  <c r="P51" i="128"/>
  <c r="N51" i="128"/>
  <c r="M51" i="128"/>
  <c r="L51" i="128"/>
  <c r="H51" i="128"/>
  <c r="A51" i="128"/>
  <c r="P50" i="128"/>
  <c r="N50" i="128"/>
  <c r="M50" i="128"/>
  <c r="L50" i="128"/>
  <c r="H50" i="128"/>
  <c r="A50" i="128"/>
  <c r="P49" i="128"/>
  <c r="N49" i="128"/>
  <c r="M49" i="128"/>
  <c r="L49" i="128"/>
  <c r="H49" i="128"/>
  <c r="A49" i="128"/>
  <c r="P48" i="128"/>
  <c r="N48" i="128"/>
  <c r="M48" i="128"/>
  <c r="L48" i="128"/>
  <c r="H48" i="128"/>
  <c r="A48" i="128"/>
  <c r="P47" i="128"/>
  <c r="N47" i="128"/>
  <c r="M47" i="128"/>
  <c r="L47" i="128"/>
  <c r="H47" i="128"/>
  <c r="A47" i="128"/>
  <c r="P46" i="128"/>
  <c r="N46" i="128"/>
  <c r="M46" i="128"/>
  <c r="L46" i="128"/>
  <c r="H46" i="128"/>
  <c r="A46" i="128"/>
  <c r="P45" i="128"/>
  <c r="N45" i="128"/>
  <c r="M45" i="128"/>
  <c r="L45" i="128"/>
  <c r="H45" i="128"/>
  <c r="A45" i="128"/>
  <c r="P44" i="128"/>
  <c r="N44" i="128"/>
  <c r="M44" i="128"/>
  <c r="L44" i="128"/>
  <c r="H44" i="128"/>
  <c r="A44" i="128"/>
  <c r="P43" i="128"/>
  <c r="N43" i="128"/>
  <c r="M43" i="128"/>
  <c r="L43" i="128"/>
  <c r="H43" i="128"/>
  <c r="A43" i="128"/>
  <c r="P42" i="128"/>
  <c r="N42" i="128"/>
  <c r="M42" i="128"/>
  <c r="L42" i="128"/>
  <c r="H42" i="128"/>
  <c r="A42" i="128"/>
  <c r="P41" i="128"/>
  <c r="N41" i="128"/>
  <c r="M41" i="128"/>
  <c r="L41" i="128"/>
  <c r="H41" i="128"/>
  <c r="A41" i="128"/>
  <c r="P40" i="128"/>
  <c r="N40" i="128"/>
  <c r="M40" i="128"/>
  <c r="L40" i="128"/>
  <c r="H40" i="128"/>
  <c r="A40" i="128"/>
  <c r="P39" i="128"/>
  <c r="N39" i="128"/>
  <c r="M39" i="128"/>
  <c r="L39" i="128"/>
  <c r="H39" i="128"/>
  <c r="A39" i="128"/>
  <c r="P38" i="128"/>
  <c r="N38" i="128"/>
  <c r="M38" i="128"/>
  <c r="L38" i="128"/>
  <c r="H38" i="128"/>
  <c r="A38" i="128"/>
  <c r="P37" i="128"/>
  <c r="N37" i="128"/>
  <c r="M37" i="128"/>
  <c r="L37" i="128"/>
  <c r="H37" i="128"/>
  <c r="A37" i="128"/>
  <c r="P36" i="128"/>
  <c r="N36" i="128"/>
  <c r="M36" i="128"/>
  <c r="L36" i="128"/>
  <c r="H36" i="128"/>
  <c r="A36" i="128"/>
  <c r="P35" i="128"/>
  <c r="N35" i="128"/>
  <c r="M35" i="128"/>
  <c r="L35" i="128"/>
  <c r="H35" i="128"/>
  <c r="A35" i="128"/>
  <c r="P34" i="128"/>
  <c r="N34" i="128"/>
  <c r="M34" i="128"/>
  <c r="L34" i="128"/>
  <c r="H34" i="128"/>
  <c r="A34" i="128"/>
  <c r="P33" i="128"/>
  <c r="N33" i="128"/>
  <c r="M33" i="128"/>
  <c r="L33" i="128"/>
  <c r="H33" i="128"/>
  <c r="A33" i="128"/>
  <c r="P32" i="128"/>
  <c r="N32" i="128"/>
  <c r="M32" i="128"/>
  <c r="L32" i="128"/>
  <c r="H32" i="128"/>
  <c r="A32" i="128"/>
  <c r="P31" i="128"/>
  <c r="N31" i="128"/>
  <c r="M31" i="128"/>
  <c r="L31" i="128"/>
  <c r="H31" i="128"/>
  <c r="A31" i="128"/>
  <c r="P30" i="128"/>
  <c r="N30" i="128"/>
  <c r="M30" i="128"/>
  <c r="L30" i="128"/>
  <c r="H30" i="128"/>
  <c r="A30" i="128"/>
  <c r="P29" i="128"/>
  <c r="N29" i="128"/>
  <c r="M29" i="128"/>
  <c r="L29" i="128"/>
  <c r="H29" i="128"/>
  <c r="A29" i="128"/>
  <c r="P28" i="128"/>
  <c r="N28" i="128"/>
  <c r="M28" i="128"/>
  <c r="L28" i="128"/>
  <c r="H28" i="128"/>
  <c r="A28" i="128"/>
  <c r="P27" i="128"/>
  <c r="N27" i="128"/>
  <c r="M27" i="128"/>
  <c r="L27" i="128"/>
  <c r="H27" i="128"/>
  <c r="A27" i="128"/>
  <c r="P26" i="128"/>
  <c r="N26" i="128"/>
  <c r="M26" i="128"/>
  <c r="L26" i="128"/>
  <c r="H26" i="128"/>
  <c r="A26" i="128"/>
  <c r="P25" i="128"/>
  <c r="N25" i="128"/>
  <c r="M25" i="128"/>
  <c r="L25" i="128"/>
  <c r="H25" i="128"/>
  <c r="A25" i="128"/>
  <c r="P24" i="128"/>
  <c r="N24" i="128"/>
  <c r="M24" i="128"/>
  <c r="L24" i="128"/>
  <c r="H24" i="128"/>
  <c r="A24" i="128"/>
  <c r="P23" i="128"/>
  <c r="N23" i="128"/>
  <c r="M23" i="128"/>
  <c r="L23" i="128"/>
  <c r="H23" i="128"/>
  <c r="A23" i="128"/>
  <c r="P22" i="128"/>
  <c r="N22" i="128"/>
  <c r="M22" i="128"/>
  <c r="L22" i="128"/>
  <c r="H22" i="128"/>
  <c r="A22" i="128"/>
  <c r="P21" i="128"/>
  <c r="N21" i="128"/>
  <c r="M21" i="128"/>
  <c r="L21" i="128"/>
  <c r="H21" i="128"/>
  <c r="A21" i="128"/>
  <c r="P20" i="128"/>
  <c r="N20" i="128"/>
  <c r="M20" i="128"/>
  <c r="L20" i="128"/>
  <c r="H20" i="128"/>
  <c r="A20" i="128"/>
  <c r="P19" i="128"/>
  <c r="N19" i="128"/>
  <c r="M19" i="128"/>
  <c r="L19" i="128"/>
  <c r="H19" i="128"/>
  <c r="A19" i="128"/>
  <c r="P18" i="128"/>
  <c r="N18" i="128"/>
  <c r="M18" i="128"/>
  <c r="L18" i="128"/>
  <c r="H18" i="128"/>
  <c r="A18" i="128"/>
  <c r="P17" i="128"/>
  <c r="N17" i="128"/>
  <c r="M17" i="128"/>
  <c r="L17" i="128"/>
  <c r="H17" i="128"/>
  <c r="A17" i="128"/>
  <c r="P16" i="128"/>
  <c r="N16" i="128"/>
  <c r="M16" i="128"/>
  <c r="L16" i="128"/>
  <c r="H16" i="128"/>
  <c r="A16" i="128"/>
  <c r="P15" i="128"/>
  <c r="N15" i="128"/>
  <c r="M15" i="128"/>
  <c r="L15" i="128"/>
  <c r="H15" i="128"/>
  <c r="A15" i="128"/>
  <c r="P14" i="128"/>
  <c r="N14" i="128"/>
  <c r="M14" i="128"/>
  <c r="L14" i="128"/>
  <c r="H14" i="128"/>
  <c r="A14" i="128"/>
  <c r="P13" i="128"/>
  <c r="N13" i="128"/>
  <c r="M13" i="128"/>
  <c r="L13" i="128"/>
  <c r="H13" i="128"/>
  <c r="A13" i="128"/>
  <c r="P12" i="128"/>
  <c r="N12" i="128"/>
  <c r="M12" i="128"/>
  <c r="L12" i="128"/>
  <c r="H12" i="128"/>
  <c r="A12" i="128"/>
  <c r="P11" i="128"/>
  <c r="N11" i="128"/>
  <c r="M11" i="128"/>
  <c r="L11" i="128"/>
  <c r="H11" i="128"/>
  <c r="A11" i="128"/>
  <c r="P10" i="128"/>
  <c r="N10" i="128"/>
  <c r="M10" i="128"/>
  <c r="L10" i="128"/>
  <c r="H10" i="128"/>
  <c r="A10" i="128"/>
  <c r="P9" i="128"/>
  <c r="N9" i="128"/>
  <c r="M9" i="128"/>
  <c r="L9" i="128"/>
  <c r="H9" i="128"/>
  <c r="A9" i="128"/>
  <c r="P8" i="128"/>
  <c r="N8" i="128"/>
  <c r="M8" i="128"/>
  <c r="L8" i="128"/>
  <c r="H8" i="128"/>
  <c r="A8" i="128"/>
  <c r="P7" i="128"/>
  <c r="N7" i="128"/>
  <c r="M7" i="128"/>
  <c r="L7" i="128"/>
  <c r="H7" i="128"/>
  <c r="A7" i="128"/>
  <c r="P6" i="128"/>
  <c r="N6" i="128"/>
  <c r="M6" i="128"/>
  <c r="L6" i="128"/>
  <c r="H6" i="128"/>
  <c r="A6" i="128"/>
  <c r="P5" i="128"/>
  <c r="N5" i="128"/>
  <c r="M5" i="128"/>
  <c r="L5" i="128"/>
  <c r="H5" i="128"/>
  <c r="A5" i="128"/>
  <c r="P4" i="128"/>
  <c r="N4" i="128"/>
  <c r="M4" i="128"/>
  <c r="L4" i="128"/>
  <c r="H4" i="128"/>
  <c r="A4" i="128"/>
  <c r="P3" i="128"/>
  <c r="N3" i="128"/>
  <c r="M3" i="128"/>
  <c r="L3" i="128"/>
  <c r="H3" i="128"/>
  <c r="A3" i="128"/>
  <c r="P2" i="128"/>
  <c r="N2" i="128"/>
  <c r="M2" i="128"/>
  <c r="L2" i="128"/>
  <c r="H2" i="128"/>
  <c r="A2" i="128"/>
  <c r="F61" i="127"/>
  <c r="F60" i="127"/>
  <c r="B53" i="127"/>
  <c r="B54" i="127"/>
  <c r="B55" i="127"/>
  <c r="B56" i="127"/>
  <c r="B57" i="127"/>
  <c r="B58" i="127"/>
  <c r="B59" i="127"/>
  <c r="B60" i="127"/>
  <c r="C53" i="127"/>
  <c r="C54" i="127"/>
  <c r="C55" i="127"/>
  <c r="C56" i="127"/>
  <c r="C57" i="127"/>
  <c r="C58" i="127"/>
  <c r="C59" i="127"/>
  <c r="C60" i="127"/>
  <c r="F59" i="127"/>
  <c r="F58" i="127"/>
  <c r="F55" i="127"/>
  <c r="G55" i="127"/>
  <c r="F54" i="127"/>
  <c r="G54" i="127"/>
  <c r="F53" i="127"/>
  <c r="G53" i="127"/>
  <c r="C42" i="127"/>
  <c r="D42" i="127"/>
  <c r="G42" i="127"/>
  <c r="H42" i="127"/>
  <c r="C43" i="127"/>
  <c r="D43" i="127"/>
  <c r="G43" i="127"/>
  <c r="E43" i="127"/>
  <c r="H43" i="127"/>
  <c r="H49" i="127"/>
  <c r="B45" i="127"/>
  <c r="C45" i="127"/>
  <c r="D45" i="127"/>
  <c r="K44" i="127"/>
  <c r="I44" i="127"/>
  <c r="J44" i="127"/>
  <c r="F44" i="127"/>
  <c r="K43" i="127"/>
  <c r="I43" i="127"/>
  <c r="J43" i="127"/>
  <c r="F43" i="127"/>
  <c r="K42" i="127"/>
  <c r="I42" i="127"/>
  <c r="J42" i="127"/>
  <c r="F42" i="127"/>
  <c r="K41" i="127"/>
  <c r="I41" i="127"/>
  <c r="J41" i="127"/>
  <c r="F41" i="127"/>
  <c r="K40" i="127"/>
  <c r="I40" i="127"/>
  <c r="J40" i="127"/>
  <c r="F40" i="127"/>
  <c r="K39" i="127"/>
  <c r="I39" i="127"/>
  <c r="J39" i="127"/>
  <c r="F39" i="127"/>
  <c r="K38" i="127"/>
  <c r="I38" i="127"/>
  <c r="J38" i="127"/>
  <c r="F38" i="127"/>
  <c r="K37" i="127"/>
  <c r="I37" i="127"/>
  <c r="J37" i="127"/>
  <c r="F37" i="127"/>
  <c r="K36" i="127"/>
  <c r="I36" i="127"/>
  <c r="J36" i="127"/>
  <c r="F36" i="127"/>
  <c r="K35" i="127"/>
  <c r="I35" i="127"/>
  <c r="J35" i="127"/>
  <c r="F35" i="127"/>
  <c r="K34" i="127"/>
  <c r="I34" i="127"/>
  <c r="J34" i="127"/>
  <c r="F34" i="127"/>
  <c r="K33" i="127"/>
  <c r="I33" i="127"/>
  <c r="J33" i="127"/>
  <c r="F33" i="127"/>
  <c r="K32" i="127"/>
  <c r="I32" i="127"/>
  <c r="J32" i="127"/>
  <c r="F32" i="127"/>
  <c r="K31" i="127"/>
  <c r="I31" i="127"/>
  <c r="J31" i="127"/>
  <c r="F31" i="127"/>
  <c r="K30" i="127"/>
  <c r="I30" i="127"/>
  <c r="J30" i="127"/>
  <c r="F30" i="127"/>
  <c r="K29" i="127"/>
  <c r="I29" i="127"/>
  <c r="J29" i="127"/>
  <c r="F29" i="127"/>
  <c r="K28" i="127"/>
  <c r="I28" i="127"/>
  <c r="J28" i="127"/>
  <c r="F28" i="127"/>
  <c r="K27" i="127"/>
  <c r="I27" i="127"/>
  <c r="J27" i="127"/>
  <c r="F27" i="127"/>
  <c r="K26" i="127"/>
  <c r="I26" i="127"/>
  <c r="J26" i="127"/>
  <c r="F26" i="127"/>
  <c r="K25" i="127"/>
  <c r="I25" i="127"/>
  <c r="J25" i="127"/>
  <c r="F25" i="127"/>
  <c r="K24" i="127"/>
  <c r="I24" i="127"/>
  <c r="J24" i="127"/>
  <c r="F24" i="127"/>
  <c r="K23" i="127"/>
  <c r="I23" i="127"/>
  <c r="J23" i="127"/>
  <c r="F23" i="127"/>
  <c r="K22" i="127"/>
  <c r="I22" i="127"/>
  <c r="J22" i="127"/>
  <c r="F22" i="127"/>
  <c r="K21" i="127"/>
  <c r="I21" i="127"/>
  <c r="J21" i="127"/>
  <c r="F21" i="127"/>
  <c r="K20" i="127"/>
  <c r="I20" i="127"/>
  <c r="J20" i="127"/>
  <c r="F20" i="127"/>
  <c r="K19" i="127"/>
  <c r="I19" i="127"/>
  <c r="J19" i="127"/>
  <c r="F19" i="127"/>
  <c r="K18" i="127"/>
  <c r="I18" i="127"/>
  <c r="J18" i="127"/>
  <c r="F18" i="127"/>
  <c r="K17" i="127"/>
  <c r="I17" i="127"/>
  <c r="J17" i="127"/>
  <c r="F17" i="127"/>
  <c r="R14" i="127"/>
  <c r="P14" i="127"/>
  <c r="O14" i="127"/>
  <c r="M14" i="127"/>
  <c r="R13" i="127"/>
  <c r="P13" i="127"/>
  <c r="O13" i="127"/>
  <c r="M13" i="127"/>
  <c r="R12" i="127"/>
  <c r="P12" i="127"/>
  <c r="O12" i="127"/>
  <c r="M12" i="127"/>
  <c r="R11" i="127"/>
  <c r="P11" i="127"/>
  <c r="O11" i="127"/>
  <c r="M11" i="127"/>
  <c r="R10" i="127"/>
  <c r="P10" i="127"/>
  <c r="O10" i="127"/>
  <c r="M10" i="127"/>
  <c r="R9" i="127"/>
  <c r="P9" i="127"/>
  <c r="O9" i="127"/>
  <c r="M9" i="127"/>
  <c r="R8" i="127"/>
  <c r="P8" i="127"/>
  <c r="O8" i="127"/>
  <c r="M8" i="127"/>
  <c r="R7" i="127"/>
  <c r="P7" i="127"/>
  <c r="O7" i="127"/>
  <c r="M7" i="127"/>
  <c r="R6" i="127"/>
  <c r="P6" i="127"/>
  <c r="O6" i="127"/>
  <c r="M6" i="127"/>
  <c r="R5" i="127"/>
  <c r="P5" i="127"/>
  <c r="O5" i="127"/>
  <c r="M5" i="127"/>
  <c r="R4" i="127"/>
  <c r="P4" i="127"/>
  <c r="O4" i="127"/>
  <c r="M4" i="127"/>
  <c r="R3" i="127"/>
  <c r="P3" i="127"/>
  <c r="O3" i="127"/>
  <c r="M3" i="127"/>
  <c r="I272" i="126"/>
  <c r="D272" i="126"/>
  <c r="J272" i="126"/>
  <c r="F272" i="126"/>
  <c r="C272" i="126"/>
  <c r="A2" i="125"/>
  <c r="B44" i="125"/>
  <c r="Q3" i="125"/>
  <c r="Q4" i="125"/>
  <c r="Q5" i="125"/>
  <c r="Q6" i="125"/>
  <c r="Q7" i="125"/>
  <c r="Q8" i="125"/>
  <c r="Q9" i="125"/>
  <c r="Q10" i="125"/>
  <c r="Q11" i="125"/>
  <c r="Q12" i="125"/>
  <c r="Q13" i="125"/>
  <c r="Q14" i="125"/>
  <c r="C44" i="125"/>
  <c r="D44" i="125"/>
  <c r="G44" i="125"/>
  <c r="I2" i="126"/>
  <c r="D2" i="126"/>
  <c r="J2" i="126"/>
  <c r="E2" i="126"/>
  <c r="F2" i="126"/>
  <c r="K2" i="126"/>
  <c r="G2" i="126"/>
  <c r="C2" i="126"/>
  <c r="I3" i="126"/>
  <c r="D3" i="126"/>
  <c r="J3" i="126"/>
  <c r="E3" i="126"/>
  <c r="F3" i="126"/>
  <c r="K3" i="126"/>
  <c r="G3" i="126"/>
  <c r="C3" i="126"/>
  <c r="I4" i="126"/>
  <c r="D4" i="126"/>
  <c r="J4" i="126"/>
  <c r="E4" i="126"/>
  <c r="F4" i="126"/>
  <c r="K4" i="126"/>
  <c r="G4" i="126"/>
  <c r="C4" i="126"/>
  <c r="I5" i="126"/>
  <c r="D5" i="126"/>
  <c r="J5" i="126"/>
  <c r="E5" i="126"/>
  <c r="F5" i="126"/>
  <c r="K5" i="126"/>
  <c r="G5" i="126"/>
  <c r="C5" i="126"/>
  <c r="I6" i="126"/>
  <c r="D6" i="126"/>
  <c r="J6" i="126"/>
  <c r="E6" i="126"/>
  <c r="F6" i="126"/>
  <c r="K6" i="126"/>
  <c r="G6" i="126"/>
  <c r="C6" i="126"/>
  <c r="I7" i="126"/>
  <c r="D7" i="126"/>
  <c r="J7" i="126"/>
  <c r="E7" i="126"/>
  <c r="F7" i="126"/>
  <c r="K7" i="126"/>
  <c r="G7" i="126"/>
  <c r="C7" i="126"/>
  <c r="I8" i="126"/>
  <c r="D8" i="126"/>
  <c r="J8" i="126"/>
  <c r="E8" i="126"/>
  <c r="F8" i="126"/>
  <c r="K8" i="126"/>
  <c r="G8" i="126"/>
  <c r="C8" i="126"/>
  <c r="I9" i="126"/>
  <c r="D9" i="126"/>
  <c r="J9" i="126"/>
  <c r="E9" i="126"/>
  <c r="F9" i="126"/>
  <c r="K9" i="126"/>
  <c r="G9" i="126"/>
  <c r="C9" i="126"/>
  <c r="I10" i="126"/>
  <c r="D10" i="126"/>
  <c r="J10" i="126"/>
  <c r="E10" i="126"/>
  <c r="F10" i="126"/>
  <c r="K10" i="126"/>
  <c r="G10" i="126"/>
  <c r="C10" i="126"/>
  <c r="I11" i="126"/>
  <c r="D11" i="126"/>
  <c r="J11" i="126"/>
  <c r="E11" i="126"/>
  <c r="F11" i="126"/>
  <c r="K11" i="126"/>
  <c r="G11" i="126"/>
  <c r="C11" i="126"/>
  <c r="I12" i="126"/>
  <c r="D12" i="126"/>
  <c r="J12" i="126"/>
  <c r="E12" i="126"/>
  <c r="F12" i="126"/>
  <c r="K12" i="126"/>
  <c r="G12" i="126"/>
  <c r="C12" i="126"/>
  <c r="I13" i="126"/>
  <c r="D13" i="126"/>
  <c r="J13" i="126"/>
  <c r="E13" i="126"/>
  <c r="F13" i="126"/>
  <c r="K13" i="126"/>
  <c r="G13" i="126"/>
  <c r="C13" i="126"/>
  <c r="I14" i="126"/>
  <c r="D14" i="126"/>
  <c r="J14" i="126"/>
  <c r="E14" i="126"/>
  <c r="F14" i="126"/>
  <c r="K14" i="126"/>
  <c r="G14" i="126"/>
  <c r="C14" i="126"/>
  <c r="I15" i="126"/>
  <c r="D15" i="126"/>
  <c r="J15" i="126"/>
  <c r="E15" i="126"/>
  <c r="F15" i="126"/>
  <c r="K15" i="126"/>
  <c r="G15" i="126"/>
  <c r="C15" i="126"/>
  <c r="I16" i="126"/>
  <c r="D16" i="126"/>
  <c r="J16" i="126"/>
  <c r="E16" i="126"/>
  <c r="F16" i="126"/>
  <c r="K16" i="126"/>
  <c r="G16" i="126"/>
  <c r="C16" i="126"/>
  <c r="I17" i="126"/>
  <c r="D17" i="126"/>
  <c r="J17" i="126"/>
  <c r="E17" i="126"/>
  <c r="F17" i="126"/>
  <c r="K17" i="126"/>
  <c r="G17" i="126"/>
  <c r="C17" i="126"/>
  <c r="I18" i="126"/>
  <c r="D18" i="126"/>
  <c r="J18" i="126"/>
  <c r="E18" i="126"/>
  <c r="F18" i="126"/>
  <c r="K18" i="126"/>
  <c r="G18" i="126"/>
  <c r="C18" i="126"/>
  <c r="I19" i="126"/>
  <c r="D19" i="126"/>
  <c r="J19" i="126"/>
  <c r="E19" i="126"/>
  <c r="F19" i="126"/>
  <c r="K19" i="126"/>
  <c r="G19" i="126"/>
  <c r="C19" i="126"/>
  <c r="I20" i="126"/>
  <c r="D20" i="126"/>
  <c r="J20" i="126"/>
  <c r="E20" i="126"/>
  <c r="F20" i="126"/>
  <c r="K20" i="126"/>
  <c r="G20" i="126"/>
  <c r="C20" i="126"/>
  <c r="I21" i="126"/>
  <c r="D21" i="126"/>
  <c r="J21" i="126"/>
  <c r="E21" i="126"/>
  <c r="F21" i="126"/>
  <c r="K21" i="126"/>
  <c r="G21" i="126"/>
  <c r="C21" i="126"/>
  <c r="I22" i="126"/>
  <c r="D22" i="126"/>
  <c r="J22" i="126"/>
  <c r="E22" i="126"/>
  <c r="F22" i="126"/>
  <c r="K22" i="126"/>
  <c r="G22" i="126"/>
  <c r="C22" i="126"/>
  <c r="I23" i="126"/>
  <c r="D23" i="126"/>
  <c r="J23" i="126"/>
  <c r="E23" i="126"/>
  <c r="F23" i="126"/>
  <c r="K23" i="126"/>
  <c r="G23" i="126"/>
  <c r="C23" i="126"/>
  <c r="I24" i="126"/>
  <c r="D24" i="126"/>
  <c r="J24" i="126"/>
  <c r="E24" i="126"/>
  <c r="F24" i="126"/>
  <c r="K24" i="126"/>
  <c r="G24" i="126"/>
  <c r="C24" i="126"/>
  <c r="I25" i="126"/>
  <c r="D25" i="126"/>
  <c r="J25" i="126"/>
  <c r="E25" i="126"/>
  <c r="F25" i="126"/>
  <c r="K25" i="126"/>
  <c r="G25" i="126"/>
  <c r="C25" i="126"/>
  <c r="I26" i="126"/>
  <c r="D26" i="126"/>
  <c r="J26" i="126"/>
  <c r="E26" i="126"/>
  <c r="F26" i="126"/>
  <c r="K26" i="126"/>
  <c r="G26" i="126"/>
  <c r="C26" i="126"/>
  <c r="I27" i="126"/>
  <c r="D27" i="126"/>
  <c r="J27" i="126"/>
  <c r="E27" i="126"/>
  <c r="F27" i="126"/>
  <c r="K27" i="126"/>
  <c r="G27" i="126"/>
  <c r="C27" i="126"/>
  <c r="I28" i="126"/>
  <c r="D28" i="126"/>
  <c r="J28" i="126"/>
  <c r="E28" i="126"/>
  <c r="F28" i="126"/>
  <c r="K28" i="126"/>
  <c r="G28" i="126"/>
  <c r="C28" i="126"/>
  <c r="I29" i="126"/>
  <c r="D29" i="126"/>
  <c r="J29" i="126"/>
  <c r="E29" i="126"/>
  <c r="F29" i="126"/>
  <c r="K29" i="126"/>
  <c r="G29" i="126"/>
  <c r="C29" i="126"/>
  <c r="I30" i="126"/>
  <c r="D30" i="126"/>
  <c r="J30" i="126"/>
  <c r="E30" i="126"/>
  <c r="F30" i="126"/>
  <c r="K30" i="126"/>
  <c r="G30" i="126"/>
  <c r="C30" i="126"/>
  <c r="I31" i="126"/>
  <c r="D31" i="126"/>
  <c r="J31" i="126"/>
  <c r="E31" i="126"/>
  <c r="F31" i="126"/>
  <c r="K31" i="126"/>
  <c r="G31" i="126"/>
  <c r="C31" i="126"/>
  <c r="I32" i="126"/>
  <c r="D32" i="126"/>
  <c r="J32" i="126"/>
  <c r="E32" i="126"/>
  <c r="F32" i="126"/>
  <c r="K32" i="126"/>
  <c r="G32" i="126"/>
  <c r="C32" i="126"/>
  <c r="I33" i="126"/>
  <c r="D33" i="126"/>
  <c r="J33" i="126"/>
  <c r="E33" i="126"/>
  <c r="F33" i="126"/>
  <c r="K33" i="126"/>
  <c r="G33" i="126"/>
  <c r="C33" i="126"/>
  <c r="I34" i="126"/>
  <c r="D34" i="126"/>
  <c r="J34" i="126"/>
  <c r="E34" i="126"/>
  <c r="F34" i="126"/>
  <c r="K34" i="126"/>
  <c r="G34" i="126"/>
  <c r="C34" i="126"/>
  <c r="I35" i="126"/>
  <c r="D35" i="126"/>
  <c r="J35" i="126"/>
  <c r="E35" i="126"/>
  <c r="F35" i="126"/>
  <c r="K35" i="126"/>
  <c r="G35" i="126"/>
  <c r="C35" i="126"/>
  <c r="I36" i="126"/>
  <c r="D36" i="126"/>
  <c r="J36" i="126"/>
  <c r="E36" i="126"/>
  <c r="F36" i="126"/>
  <c r="K36" i="126"/>
  <c r="G36" i="126"/>
  <c r="C36" i="126"/>
  <c r="I37" i="126"/>
  <c r="D37" i="126"/>
  <c r="J37" i="126"/>
  <c r="E37" i="126"/>
  <c r="F37" i="126"/>
  <c r="K37" i="126"/>
  <c r="G37" i="126"/>
  <c r="C37" i="126"/>
  <c r="I38" i="126"/>
  <c r="D38" i="126"/>
  <c r="J38" i="126"/>
  <c r="E38" i="126"/>
  <c r="F38" i="126"/>
  <c r="K38" i="126"/>
  <c r="G38" i="126"/>
  <c r="C38" i="126"/>
  <c r="I39" i="126"/>
  <c r="D39" i="126"/>
  <c r="J39" i="126"/>
  <c r="E39" i="126"/>
  <c r="F39" i="126"/>
  <c r="K39" i="126"/>
  <c r="G39" i="126"/>
  <c r="C39" i="126"/>
  <c r="I40" i="126"/>
  <c r="D40" i="126"/>
  <c r="J40" i="126"/>
  <c r="E40" i="126"/>
  <c r="F40" i="126"/>
  <c r="K40" i="126"/>
  <c r="G40" i="126"/>
  <c r="C40" i="126"/>
  <c r="I41" i="126"/>
  <c r="D41" i="126"/>
  <c r="J41" i="126"/>
  <c r="E41" i="126"/>
  <c r="F41" i="126"/>
  <c r="K41" i="126"/>
  <c r="G41" i="126"/>
  <c r="C41" i="126"/>
  <c r="I42" i="126"/>
  <c r="D42" i="126"/>
  <c r="J42" i="126"/>
  <c r="E42" i="126"/>
  <c r="F42" i="126"/>
  <c r="K42" i="126"/>
  <c r="G42" i="126"/>
  <c r="C42" i="126"/>
  <c r="I43" i="126"/>
  <c r="D43" i="126"/>
  <c r="J43" i="126"/>
  <c r="E43" i="126"/>
  <c r="F43" i="126"/>
  <c r="K43" i="126"/>
  <c r="G43" i="126"/>
  <c r="C43" i="126"/>
  <c r="I44" i="126"/>
  <c r="D44" i="126"/>
  <c r="J44" i="126"/>
  <c r="E44" i="126"/>
  <c r="F44" i="126"/>
  <c r="K44" i="126"/>
  <c r="G44" i="126"/>
  <c r="C44" i="126"/>
  <c r="I45" i="126"/>
  <c r="D45" i="126"/>
  <c r="J45" i="126"/>
  <c r="E45" i="126"/>
  <c r="F45" i="126"/>
  <c r="K45" i="126"/>
  <c r="G45" i="126"/>
  <c r="C45" i="126"/>
  <c r="I46" i="126"/>
  <c r="D46" i="126"/>
  <c r="J46" i="126"/>
  <c r="E46" i="126"/>
  <c r="F46" i="126"/>
  <c r="K46" i="126"/>
  <c r="G46" i="126"/>
  <c r="C46" i="126"/>
  <c r="I47" i="126"/>
  <c r="D47" i="126"/>
  <c r="J47" i="126"/>
  <c r="E47" i="126"/>
  <c r="F47" i="126"/>
  <c r="K47" i="126"/>
  <c r="G47" i="126"/>
  <c r="C47" i="126"/>
  <c r="I48" i="126"/>
  <c r="D48" i="126"/>
  <c r="J48" i="126"/>
  <c r="E48" i="126"/>
  <c r="F48" i="126"/>
  <c r="K48" i="126"/>
  <c r="G48" i="126"/>
  <c r="C48" i="126"/>
  <c r="I49" i="126"/>
  <c r="D49" i="126"/>
  <c r="J49" i="126"/>
  <c r="E49" i="126"/>
  <c r="F49" i="126"/>
  <c r="K49" i="126"/>
  <c r="G49" i="126"/>
  <c r="C49" i="126"/>
  <c r="I50" i="126"/>
  <c r="D50" i="126"/>
  <c r="J50" i="126"/>
  <c r="E50" i="126"/>
  <c r="F50" i="126"/>
  <c r="K50" i="126"/>
  <c r="G50" i="126"/>
  <c r="C50" i="126"/>
  <c r="I51" i="126"/>
  <c r="D51" i="126"/>
  <c r="J51" i="126"/>
  <c r="E51" i="126"/>
  <c r="F51" i="126"/>
  <c r="K51" i="126"/>
  <c r="G51" i="126"/>
  <c r="C51" i="126"/>
  <c r="I52" i="126"/>
  <c r="D52" i="126"/>
  <c r="J52" i="126"/>
  <c r="E52" i="126"/>
  <c r="F52" i="126"/>
  <c r="K52" i="126"/>
  <c r="G52" i="126"/>
  <c r="C52" i="126"/>
  <c r="I53" i="126"/>
  <c r="D53" i="126"/>
  <c r="J53" i="126"/>
  <c r="E53" i="126"/>
  <c r="F53" i="126"/>
  <c r="K53" i="126"/>
  <c r="G53" i="126"/>
  <c r="C53" i="126"/>
  <c r="I54" i="126"/>
  <c r="D54" i="126"/>
  <c r="J54" i="126"/>
  <c r="E54" i="126"/>
  <c r="F54" i="126"/>
  <c r="K54" i="126"/>
  <c r="G54" i="126"/>
  <c r="C54" i="126"/>
  <c r="I55" i="126"/>
  <c r="D55" i="126"/>
  <c r="J55" i="126"/>
  <c r="E55" i="126"/>
  <c r="F55" i="126"/>
  <c r="K55" i="126"/>
  <c r="G55" i="126"/>
  <c r="C55" i="126"/>
  <c r="I56" i="126"/>
  <c r="D56" i="126"/>
  <c r="J56" i="126"/>
  <c r="E56" i="126"/>
  <c r="F56" i="126"/>
  <c r="K56" i="126"/>
  <c r="G56" i="126"/>
  <c r="C56" i="126"/>
  <c r="I57" i="126"/>
  <c r="D57" i="126"/>
  <c r="J57" i="126"/>
  <c r="E57" i="126"/>
  <c r="F57" i="126"/>
  <c r="K57" i="126"/>
  <c r="G57" i="126"/>
  <c r="C57" i="126"/>
  <c r="I58" i="126"/>
  <c r="D58" i="126"/>
  <c r="J58" i="126"/>
  <c r="E58" i="126"/>
  <c r="F58" i="126"/>
  <c r="K58" i="126"/>
  <c r="G58" i="126"/>
  <c r="C58" i="126"/>
  <c r="I59" i="126"/>
  <c r="D59" i="126"/>
  <c r="J59" i="126"/>
  <c r="E59" i="126"/>
  <c r="F59" i="126"/>
  <c r="K59" i="126"/>
  <c r="G59" i="126"/>
  <c r="C59" i="126"/>
  <c r="I60" i="126"/>
  <c r="D60" i="126"/>
  <c r="J60" i="126"/>
  <c r="E60" i="126"/>
  <c r="F60" i="126"/>
  <c r="K60" i="126"/>
  <c r="G60" i="126"/>
  <c r="C60" i="126"/>
  <c r="I61" i="126"/>
  <c r="D61" i="126"/>
  <c r="J61" i="126"/>
  <c r="E61" i="126"/>
  <c r="F61" i="126"/>
  <c r="K61" i="126"/>
  <c r="G61" i="126"/>
  <c r="C61" i="126"/>
  <c r="I62" i="126"/>
  <c r="D62" i="126"/>
  <c r="J62" i="126"/>
  <c r="E62" i="126"/>
  <c r="F62" i="126"/>
  <c r="K62" i="126"/>
  <c r="G62" i="126"/>
  <c r="C62" i="126"/>
  <c r="I63" i="126"/>
  <c r="D63" i="126"/>
  <c r="J63" i="126"/>
  <c r="E63" i="126"/>
  <c r="F63" i="126"/>
  <c r="K63" i="126"/>
  <c r="G63" i="126"/>
  <c r="C63" i="126"/>
  <c r="I64" i="126"/>
  <c r="D64" i="126"/>
  <c r="J64" i="126"/>
  <c r="E64" i="126"/>
  <c r="F64" i="126"/>
  <c r="K64" i="126"/>
  <c r="G64" i="126"/>
  <c r="C64" i="126"/>
  <c r="I65" i="126"/>
  <c r="D65" i="126"/>
  <c r="J65" i="126"/>
  <c r="E65" i="126"/>
  <c r="F65" i="126"/>
  <c r="K65" i="126"/>
  <c r="G65" i="126"/>
  <c r="C65" i="126"/>
  <c r="I66" i="126"/>
  <c r="D66" i="126"/>
  <c r="J66" i="126"/>
  <c r="E66" i="126"/>
  <c r="F66" i="126"/>
  <c r="K66" i="126"/>
  <c r="G66" i="126"/>
  <c r="C66" i="126"/>
  <c r="I67" i="126"/>
  <c r="D67" i="126"/>
  <c r="J67" i="126"/>
  <c r="E67" i="126"/>
  <c r="F67" i="126"/>
  <c r="K67" i="126"/>
  <c r="G67" i="126"/>
  <c r="C67" i="126"/>
  <c r="I68" i="126"/>
  <c r="D68" i="126"/>
  <c r="J68" i="126"/>
  <c r="E68" i="126"/>
  <c r="F68" i="126"/>
  <c r="K68" i="126"/>
  <c r="G68" i="126"/>
  <c r="C68" i="126"/>
  <c r="I69" i="126"/>
  <c r="D69" i="126"/>
  <c r="J69" i="126"/>
  <c r="E69" i="126"/>
  <c r="F69" i="126"/>
  <c r="K69" i="126"/>
  <c r="G69" i="126"/>
  <c r="C69" i="126"/>
  <c r="I70" i="126"/>
  <c r="D70" i="126"/>
  <c r="J70" i="126"/>
  <c r="E70" i="126"/>
  <c r="F70" i="126"/>
  <c r="K70" i="126"/>
  <c r="G70" i="126"/>
  <c r="C70" i="126"/>
  <c r="I71" i="126"/>
  <c r="D71" i="126"/>
  <c r="J71" i="126"/>
  <c r="E71" i="126"/>
  <c r="F71" i="126"/>
  <c r="K71" i="126"/>
  <c r="G71" i="126"/>
  <c r="C71" i="126"/>
  <c r="I72" i="126"/>
  <c r="D72" i="126"/>
  <c r="J72" i="126"/>
  <c r="E72" i="126"/>
  <c r="F72" i="126"/>
  <c r="K72" i="126"/>
  <c r="G72" i="126"/>
  <c r="C72" i="126"/>
  <c r="I73" i="126"/>
  <c r="D73" i="126"/>
  <c r="J73" i="126"/>
  <c r="E73" i="126"/>
  <c r="F73" i="126"/>
  <c r="K73" i="126"/>
  <c r="G73" i="126"/>
  <c r="C73" i="126"/>
  <c r="I74" i="126"/>
  <c r="D74" i="126"/>
  <c r="J74" i="126"/>
  <c r="E74" i="126"/>
  <c r="F74" i="126"/>
  <c r="K74" i="126"/>
  <c r="G74" i="126"/>
  <c r="C74" i="126"/>
  <c r="I75" i="126"/>
  <c r="D75" i="126"/>
  <c r="J75" i="126"/>
  <c r="E75" i="126"/>
  <c r="F75" i="126"/>
  <c r="K75" i="126"/>
  <c r="G75" i="126"/>
  <c r="C75" i="126"/>
  <c r="I76" i="126"/>
  <c r="D76" i="126"/>
  <c r="J76" i="126"/>
  <c r="E76" i="126"/>
  <c r="F76" i="126"/>
  <c r="K76" i="126"/>
  <c r="G76" i="126"/>
  <c r="C76" i="126"/>
  <c r="I77" i="126"/>
  <c r="D77" i="126"/>
  <c r="J77" i="126"/>
  <c r="E77" i="126"/>
  <c r="F77" i="126"/>
  <c r="K77" i="126"/>
  <c r="G77" i="126"/>
  <c r="C77" i="126"/>
  <c r="I78" i="126"/>
  <c r="D78" i="126"/>
  <c r="J78" i="126"/>
  <c r="E78" i="126"/>
  <c r="F78" i="126"/>
  <c r="K78" i="126"/>
  <c r="G78" i="126"/>
  <c r="C78" i="126"/>
  <c r="I79" i="126"/>
  <c r="D79" i="126"/>
  <c r="J79" i="126"/>
  <c r="E79" i="126"/>
  <c r="F79" i="126"/>
  <c r="K79" i="126"/>
  <c r="G79" i="126"/>
  <c r="C79" i="126"/>
  <c r="I80" i="126"/>
  <c r="D80" i="126"/>
  <c r="J80" i="126"/>
  <c r="E80" i="126"/>
  <c r="F80" i="126"/>
  <c r="K80" i="126"/>
  <c r="G80" i="126"/>
  <c r="C80" i="126"/>
  <c r="I81" i="126"/>
  <c r="D81" i="126"/>
  <c r="J81" i="126"/>
  <c r="E81" i="126"/>
  <c r="F81" i="126"/>
  <c r="K81" i="126"/>
  <c r="G81" i="126"/>
  <c r="C81" i="126"/>
  <c r="I82" i="126"/>
  <c r="D82" i="126"/>
  <c r="J82" i="126"/>
  <c r="E82" i="126"/>
  <c r="F82" i="126"/>
  <c r="K82" i="126"/>
  <c r="G82" i="126"/>
  <c r="C82" i="126"/>
  <c r="I83" i="126"/>
  <c r="D83" i="126"/>
  <c r="J83" i="126"/>
  <c r="E83" i="126"/>
  <c r="F83" i="126"/>
  <c r="K83" i="126"/>
  <c r="G83" i="126"/>
  <c r="C83" i="126"/>
  <c r="I84" i="126"/>
  <c r="D84" i="126"/>
  <c r="J84" i="126"/>
  <c r="E84" i="126"/>
  <c r="F84" i="126"/>
  <c r="K84" i="126"/>
  <c r="G84" i="126"/>
  <c r="C84" i="126"/>
  <c r="I85" i="126"/>
  <c r="D85" i="126"/>
  <c r="J85" i="126"/>
  <c r="E85" i="126"/>
  <c r="F85" i="126"/>
  <c r="K85" i="126"/>
  <c r="G85" i="126"/>
  <c r="C85" i="126"/>
  <c r="I86" i="126"/>
  <c r="D86" i="126"/>
  <c r="J86" i="126"/>
  <c r="E86" i="126"/>
  <c r="F86" i="126"/>
  <c r="K86" i="126"/>
  <c r="G86" i="126"/>
  <c r="C86" i="126"/>
  <c r="I87" i="126"/>
  <c r="D87" i="126"/>
  <c r="J87" i="126"/>
  <c r="E87" i="126"/>
  <c r="F87" i="126"/>
  <c r="K87" i="126"/>
  <c r="G87" i="126"/>
  <c r="C87" i="126"/>
  <c r="I88" i="126"/>
  <c r="D88" i="126"/>
  <c r="J88" i="126"/>
  <c r="E88" i="126"/>
  <c r="F88" i="126"/>
  <c r="K88" i="126"/>
  <c r="G88" i="126"/>
  <c r="C88" i="126"/>
  <c r="I89" i="126"/>
  <c r="D89" i="126"/>
  <c r="J89" i="126"/>
  <c r="E89" i="126"/>
  <c r="F89" i="126"/>
  <c r="K89" i="126"/>
  <c r="G89" i="126"/>
  <c r="C89" i="126"/>
  <c r="I90" i="126"/>
  <c r="D90" i="126"/>
  <c r="J90" i="126"/>
  <c r="E90" i="126"/>
  <c r="F90" i="126"/>
  <c r="K90" i="126"/>
  <c r="G90" i="126"/>
  <c r="C90" i="126"/>
  <c r="I91" i="126"/>
  <c r="D91" i="126"/>
  <c r="J91" i="126"/>
  <c r="E91" i="126"/>
  <c r="F91" i="126"/>
  <c r="K91" i="126"/>
  <c r="G91" i="126"/>
  <c r="C91" i="126"/>
  <c r="I92" i="126"/>
  <c r="D92" i="126"/>
  <c r="J92" i="126"/>
  <c r="E92" i="126"/>
  <c r="F92" i="126"/>
  <c r="K92" i="126"/>
  <c r="G92" i="126"/>
  <c r="C92" i="126"/>
  <c r="I93" i="126"/>
  <c r="D93" i="126"/>
  <c r="J93" i="126"/>
  <c r="E93" i="126"/>
  <c r="F93" i="126"/>
  <c r="K93" i="126"/>
  <c r="G93" i="126"/>
  <c r="C93" i="126"/>
  <c r="I94" i="126"/>
  <c r="D94" i="126"/>
  <c r="J94" i="126"/>
  <c r="E94" i="126"/>
  <c r="F94" i="126"/>
  <c r="K94" i="126"/>
  <c r="G94" i="126"/>
  <c r="C94" i="126"/>
  <c r="I95" i="126"/>
  <c r="D95" i="126"/>
  <c r="J95" i="126"/>
  <c r="E95" i="126"/>
  <c r="F95" i="126"/>
  <c r="K95" i="126"/>
  <c r="G95" i="126"/>
  <c r="C95" i="126"/>
  <c r="I96" i="126"/>
  <c r="D96" i="126"/>
  <c r="J96" i="126"/>
  <c r="E96" i="126"/>
  <c r="F96" i="126"/>
  <c r="K96" i="126"/>
  <c r="G96" i="126"/>
  <c r="C96" i="126"/>
  <c r="I97" i="126"/>
  <c r="D97" i="126"/>
  <c r="J97" i="126"/>
  <c r="E97" i="126"/>
  <c r="F97" i="126"/>
  <c r="K97" i="126"/>
  <c r="G97" i="126"/>
  <c r="C97" i="126"/>
  <c r="I98" i="126"/>
  <c r="D98" i="126"/>
  <c r="J98" i="126"/>
  <c r="E98" i="126"/>
  <c r="F98" i="126"/>
  <c r="K98" i="126"/>
  <c r="G98" i="126"/>
  <c r="C98" i="126"/>
  <c r="I99" i="126"/>
  <c r="D99" i="126"/>
  <c r="J99" i="126"/>
  <c r="E99" i="126"/>
  <c r="F99" i="126"/>
  <c r="K99" i="126"/>
  <c r="G99" i="126"/>
  <c r="C99" i="126"/>
  <c r="I100" i="126"/>
  <c r="D100" i="126"/>
  <c r="J100" i="126"/>
  <c r="E100" i="126"/>
  <c r="F100" i="126"/>
  <c r="K100" i="126"/>
  <c r="G100" i="126"/>
  <c r="C100" i="126"/>
  <c r="I101" i="126"/>
  <c r="D101" i="126"/>
  <c r="J101" i="126"/>
  <c r="E101" i="126"/>
  <c r="F101" i="126"/>
  <c r="K101" i="126"/>
  <c r="G101" i="126"/>
  <c r="C101" i="126"/>
  <c r="I102" i="126"/>
  <c r="D102" i="126"/>
  <c r="J102" i="126"/>
  <c r="E102" i="126"/>
  <c r="F102" i="126"/>
  <c r="K102" i="126"/>
  <c r="G102" i="126"/>
  <c r="C102" i="126"/>
  <c r="I103" i="126"/>
  <c r="D103" i="126"/>
  <c r="J103" i="126"/>
  <c r="E103" i="126"/>
  <c r="F103" i="126"/>
  <c r="K103" i="126"/>
  <c r="G103" i="126"/>
  <c r="C103" i="126"/>
  <c r="I104" i="126"/>
  <c r="D104" i="126"/>
  <c r="J104" i="126"/>
  <c r="E104" i="126"/>
  <c r="F104" i="126"/>
  <c r="K104" i="126"/>
  <c r="G104" i="126"/>
  <c r="C104" i="126"/>
  <c r="I105" i="126"/>
  <c r="D105" i="126"/>
  <c r="J105" i="126"/>
  <c r="E105" i="126"/>
  <c r="F105" i="126"/>
  <c r="K105" i="126"/>
  <c r="G105" i="126"/>
  <c r="C105" i="126"/>
  <c r="I106" i="126"/>
  <c r="D106" i="126"/>
  <c r="J106" i="126"/>
  <c r="E106" i="126"/>
  <c r="F106" i="126"/>
  <c r="K106" i="126"/>
  <c r="G106" i="126"/>
  <c r="C106" i="126"/>
  <c r="I107" i="126"/>
  <c r="D107" i="126"/>
  <c r="J107" i="126"/>
  <c r="E107" i="126"/>
  <c r="F107" i="126"/>
  <c r="K107" i="126"/>
  <c r="G107" i="126"/>
  <c r="C107" i="126"/>
  <c r="I108" i="126"/>
  <c r="D108" i="126"/>
  <c r="J108" i="126"/>
  <c r="E108" i="126"/>
  <c r="F108" i="126"/>
  <c r="K108" i="126"/>
  <c r="G108" i="126"/>
  <c r="C108" i="126"/>
  <c r="I109" i="126"/>
  <c r="D109" i="126"/>
  <c r="J109" i="126"/>
  <c r="E109" i="126"/>
  <c r="F109" i="126"/>
  <c r="K109" i="126"/>
  <c r="G109" i="126"/>
  <c r="C109" i="126"/>
  <c r="I110" i="126"/>
  <c r="D110" i="126"/>
  <c r="J110" i="126"/>
  <c r="E110" i="126"/>
  <c r="F110" i="126"/>
  <c r="K110" i="126"/>
  <c r="G110" i="126"/>
  <c r="C110" i="126"/>
  <c r="I111" i="126"/>
  <c r="D111" i="126"/>
  <c r="J111" i="126"/>
  <c r="E111" i="126"/>
  <c r="F111" i="126"/>
  <c r="K111" i="126"/>
  <c r="G111" i="126"/>
  <c r="C111" i="126"/>
  <c r="I112" i="126"/>
  <c r="D112" i="126"/>
  <c r="J112" i="126"/>
  <c r="E112" i="126"/>
  <c r="F112" i="126"/>
  <c r="K112" i="126"/>
  <c r="G112" i="126"/>
  <c r="C112" i="126"/>
  <c r="I113" i="126"/>
  <c r="D113" i="126"/>
  <c r="J113" i="126"/>
  <c r="E113" i="126"/>
  <c r="F113" i="126"/>
  <c r="K113" i="126"/>
  <c r="G113" i="126"/>
  <c r="C113" i="126"/>
  <c r="I114" i="126"/>
  <c r="D114" i="126"/>
  <c r="J114" i="126"/>
  <c r="E114" i="126"/>
  <c r="F114" i="126"/>
  <c r="K114" i="126"/>
  <c r="G114" i="126"/>
  <c r="C114" i="126"/>
  <c r="I115" i="126"/>
  <c r="D115" i="126"/>
  <c r="J115" i="126"/>
  <c r="E115" i="126"/>
  <c r="F115" i="126"/>
  <c r="K115" i="126"/>
  <c r="G115" i="126"/>
  <c r="C115" i="126"/>
  <c r="I116" i="126"/>
  <c r="D116" i="126"/>
  <c r="J116" i="126"/>
  <c r="E116" i="126"/>
  <c r="F116" i="126"/>
  <c r="K116" i="126"/>
  <c r="G116" i="126"/>
  <c r="C116" i="126"/>
  <c r="I117" i="126"/>
  <c r="D117" i="126"/>
  <c r="J117" i="126"/>
  <c r="E117" i="126"/>
  <c r="F117" i="126"/>
  <c r="K117" i="126"/>
  <c r="G117" i="126"/>
  <c r="C117" i="126"/>
  <c r="I118" i="126"/>
  <c r="D118" i="126"/>
  <c r="J118" i="126"/>
  <c r="E118" i="126"/>
  <c r="F118" i="126"/>
  <c r="K118" i="126"/>
  <c r="G118" i="126"/>
  <c r="C118" i="126"/>
  <c r="I119" i="126"/>
  <c r="D119" i="126"/>
  <c r="J119" i="126"/>
  <c r="E119" i="126"/>
  <c r="F119" i="126"/>
  <c r="K119" i="126"/>
  <c r="G119" i="126"/>
  <c r="C119" i="126"/>
  <c r="I120" i="126"/>
  <c r="D120" i="126"/>
  <c r="J120" i="126"/>
  <c r="E120" i="126"/>
  <c r="F120" i="126"/>
  <c r="K120" i="126"/>
  <c r="G120" i="126"/>
  <c r="C120" i="126"/>
  <c r="I121" i="126"/>
  <c r="D121" i="126"/>
  <c r="J121" i="126"/>
  <c r="E121" i="126"/>
  <c r="F121" i="126"/>
  <c r="K121" i="126"/>
  <c r="G121" i="126"/>
  <c r="C121" i="126"/>
  <c r="I122" i="126"/>
  <c r="D122" i="126"/>
  <c r="J122" i="126"/>
  <c r="E122" i="126"/>
  <c r="F122" i="126"/>
  <c r="K122" i="126"/>
  <c r="G122" i="126"/>
  <c r="C122" i="126"/>
  <c r="I123" i="126"/>
  <c r="D123" i="126"/>
  <c r="J123" i="126"/>
  <c r="E123" i="126"/>
  <c r="F123" i="126"/>
  <c r="K123" i="126"/>
  <c r="G123" i="126"/>
  <c r="C123" i="126"/>
  <c r="I124" i="126"/>
  <c r="D124" i="126"/>
  <c r="J124" i="126"/>
  <c r="E124" i="126"/>
  <c r="F124" i="126"/>
  <c r="K124" i="126"/>
  <c r="G124" i="126"/>
  <c r="C124" i="126"/>
  <c r="I125" i="126"/>
  <c r="D125" i="126"/>
  <c r="J125" i="126"/>
  <c r="E125" i="126"/>
  <c r="F125" i="126"/>
  <c r="K125" i="126"/>
  <c r="G125" i="126"/>
  <c r="C125" i="126"/>
  <c r="I126" i="126"/>
  <c r="D126" i="126"/>
  <c r="J126" i="126"/>
  <c r="E126" i="126"/>
  <c r="F126" i="126"/>
  <c r="K126" i="126"/>
  <c r="G126" i="126"/>
  <c r="C126" i="126"/>
  <c r="I127" i="126"/>
  <c r="D127" i="126"/>
  <c r="J127" i="126"/>
  <c r="E127" i="126"/>
  <c r="F127" i="126"/>
  <c r="K127" i="126"/>
  <c r="G127" i="126"/>
  <c r="C127" i="126"/>
  <c r="I128" i="126"/>
  <c r="D128" i="126"/>
  <c r="J128" i="126"/>
  <c r="E128" i="126"/>
  <c r="F128" i="126"/>
  <c r="K128" i="126"/>
  <c r="G128" i="126"/>
  <c r="C128" i="126"/>
  <c r="I129" i="126"/>
  <c r="D129" i="126"/>
  <c r="J129" i="126"/>
  <c r="E129" i="126"/>
  <c r="F129" i="126"/>
  <c r="K129" i="126"/>
  <c r="G129" i="126"/>
  <c r="C129" i="126"/>
  <c r="I130" i="126"/>
  <c r="D130" i="126"/>
  <c r="J130" i="126"/>
  <c r="E130" i="126"/>
  <c r="F130" i="126"/>
  <c r="K130" i="126"/>
  <c r="G130" i="126"/>
  <c r="C130" i="126"/>
  <c r="I131" i="126"/>
  <c r="D131" i="126"/>
  <c r="J131" i="126"/>
  <c r="E131" i="126"/>
  <c r="F131" i="126"/>
  <c r="K131" i="126"/>
  <c r="G131" i="126"/>
  <c r="C131" i="126"/>
  <c r="I132" i="126"/>
  <c r="D132" i="126"/>
  <c r="J132" i="126"/>
  <c r="E132" i="126"/>
  <c r="F132" i="126"/>
  <c r="K132" i="126"/>
  <c r="G132" i="126"/>
  <c r="C132" i="126"/>
  <c r="I133" i="126"/>
  <c r="D133" i="126"/>
  <c r="J133" i="126"/>
  <c r="E133" i="126"/>
  <c r="F133" i="126"/>
  <c r="K133" i="126"/>
  <c r="G133" i="126"/>
  <c r="C133" i="126"/>
  <c r="I134" i="126"/>
  <c r="D134" i="126"/>
  <c r="J134" i="126"/>
  <c r="E134" i="126"/>
  <c r="F134" i="126"/>
  <c r="K134" i="126"/>
  <c r="G134" i="126"/>
  <c r="C134" i="126"/>
  <c r="I135" i="126"/>
  <c r="D135" i="126"/>
  <c r="J135" i="126"/>
  <c r="E135" i="126"/>
  <c r="F135" i="126"/>
  <c r="K135" i="126"/>
  <c r="G135" i="126"/>
  <c r="C135" i="126"/>
  <c r="I136" i="126"/>
  <c r="D136" i="126"/>
  <c r="J136" i="126"/>
  <c r="E136" i="126"/>
  <c r="F136" i="126"/>
  <c r="K136" i="126"/>
  <c r="G136" i="126"/>
  <c r="C136" i="126"/>
  <c r="I137" i="126"/>
  <c r="D137" i="126"/>
  <c r="J137" i="126"/>
  <c r="E137" i="126"/>
  <c r="F137" i="126"/>
  <c r="K137" i="126"/>
  <c r="G137" i="126"/>
  <c r="C137" i="126"/>
  <c r="I138" i="126"/>
  <c r="D138" i="126"/>
  <c r="J138" i="126"/>
  <c r="E138" i="126"/>
  <c r="F138" i="126"/>
  <c r="K138" i="126"/>
  <c r="G138" i="126"/>
  <c r="C138" i="126"/>
  <c r="I139" i="126"/>
  <c r="D139" i="126"/>
  <c r="J139" i="126"/>
  <c r="E139" i="126"/>
  <c r="F139" i="126"/>
  <c r="K139" i="126"/>
  <c r="G139" i="126"/>
  <c r="C139" i="126"/>
  <c r="I140" i="126"/>
  <c r="D140" i="126"/>
  <c r="J140" i="126"/>
  <c r="E140" i="126"/>
  <c r="F140" i="126"/>
  <c r="K140" i="126"/>
  <c r="G140" i="126"/>
  <c r="C140" i="126"/>
  <c r="I141" i="126"/>
  <c r="D141" i="126"/>
  <c r="J141" i="126"/>
  <c r="E141" i="126"/>
  <c r="F141" i="126"/>
  <c r="K141" i="126"/>
  <c r="G141" i="126"/>
  <c r="C141" i="126"/>
  <c r="I142" i="126"/>
  <c r="D142" i="126"/>
  <c r="J142" i="126"/>
  <c r="E142" i="126"/>
  <c r="F142" i="126"/>
  <c r="K142" i="126"/>
  <c r="G142" i="126"/>
  <c r="C142" i="126"/>
  <c r="I143" i="126"/>
  <c r="D143" i="126"/>
  <c r="J143" i="126"/>
  <c r="E143" i="126"/>
  <c r="F143" i="126"/>
  <c r="K143" i="126"/>
  <c r="G143" i="126"/>
  <c r="C143" i="126"/>
  <c r="I144" i="126"/>
  <c r="D144" i="126"/>
  <c r="J144" i="126"/>
  <c r="E144" i="126"/>
  <c r="F144" i="126"/>
  <c r="K144" i="126"/>
  <c r="G144" i="126"/>
  <c r="C144" i="126"/>
  <c r="I145" i="126"/>
  <c r="D145" i="126"/>
  <c r="J145" i="126"/>
  <c r="E145" i="126"/>
  <c r="F145" i="126"/>
  <c r="K145" i="126"/>
  <c r="G145" i="126"/>
  <c r="C145" i="126"/>
  <c r="I146" i="126"/>
  <c r="D146" i="126"/>
  <c r="J146" i="126"/>
  <c r="E146" i="126"/>
  <c r="F146" i="126"/>
  <c r="K146" i="126"/>
  <c r="G146" i="126"/>
  <c r="C146" i="126"/>
  <c r="I147" i="126"/>
  <c r="D147" i="126"/>
  <c r="J147" i="126"/>
  <c r="E147" i="126"/>
  <c r="F147" i="126"/>
  <c r="K147" i="126"/>
  <c r="G147" i="126"/>
  <c r="C147" i="126"/>
  <c r="I148" i="126"/>
  <c r="D148" i="126"/>
  <c r="J148" i="126"/>
  <c r="E148" i="126"/>
  <c r="F148" i="126"/>
  <c r="K148" i="126"/>
  <c r="G148" i="126"/>
  <c r="C148" i="126"/>
  <c r="I149" i="126"/>
  <c r="D149" i="126"/>
  <c r="J149" i="126"/>
  <c r="E149" i="126"/>
  <c r="F149" i="126"/>
  <c r="K149" i="126"/>
  <c r="G149" i="126"/>
  <c r="C149" i="126"/>
  <c r="I150" i="126"/>
  <c r="D150" i="126"/>
  <c r="J150" i="126"/>
  <c r="E150" i="126"/>
  <c r="F150" i="126"/>
  <c r="K150" i="126"/>
  <c r="G150" i="126"/>
  <c r="C150" i="126"/>
  <c r="I151" i="126"/>
  <c r="D151" i="126"/>
  <c r="J151" i="126"/>
  <c r="E151" i="126"/>
  <c r="F151" i="126"/>
  <c r="K151" i="126"/>
  <c r="G151" i="126"/>
  <c r="C151" i="126"/>
  <c r="I152" i="126"/>
  <c r="D152" i="126"/>
  <c r="J152" i="126"/>
  <c r="E152" i="126"/>
  <c r="F152" i="126"/>
  <c r="K152" i="126"/>
  <c r="G152" i="126"/>
  <c r="C152" i="126"/>
  <c r="I153" i="126"/>
  <c r="D153" i="126"/>
  <c r="J153" i="126"/>
  <c r="E153" i="126"/>
  <c r="F153" i="126"/>
  <c r="K153" i="126"/>
  <c r="G153" i="126"/>
  <c r="C153" i="126"/>
  <c r="I154" i="126"/>
  <c r="D154" i="126"/>
  <c r="J154" i="126"/>
  <c r="E154" i="126"/>
  <c r="F154" i="126"/>
  <c r="K154" i="126"/>
  <c r="G154" i="126"/>
  <c r="C154" i="126"/>
  <c r="I155" i="126"/>
  <c r="D155" i="126"/>
  <c r="J155" i="126"/>
  <c r="E155" i="126"/>
  <c r="F155" i="126"/>
  <c r="K155" i="126"/>
  <c r="G155" i="126"/>
  <c r="C155" i="126"/>
  <c r="I156" i="126"/>
  <c r="D156" i="126"/>
  <c r="J156" i="126"/>
  <c r="E156" i="126"/>
  <c r="F156" i="126"/>
  <c r="K156" i="126"/>
  <c r="G156" i="126"/>
  <c r="C156" i="126"/>
  <c r="I157" i="126"/>
  <c r="D157" i="126"/>
  <c r="J157" i="126"/>
  <c r="E157" i="126"/>
  <c r="F157" i="126"/>
  <c r="K157" i="126"/>
  <c r="G157" i="126"/>
  <c r="C157" i="126"/>
  <c r="I158" i="126"/>
  <c r="D158" i="126"/>
  <c r="J158" i="126"/>
  <c r="E158" i="126"/>
  <c r="F158" i="126"/>
  <c r="K158" i="126"/>
  <c r="G158" i="126"/>
  <c r="C158" i="126"/>
  <c r="I159" i="126"/>
  <c r="D159" i="126"/>
  <c r="J159" i="126"/>
  <c r="E159" i="126"/>
  <c r="F159" i="126"/>
  <c r="K159" i="126"/>
  <c r="G159" i="126"/>
  <c r="C159" i="126"/>
  <c r="I160" i="126"/>
  <c r="D160" i="126"/>
  <c r="J160" i="126"/>
  <c r="E160" i="126"/>
  <c r="F160" i="126"/>
  <c r="K160" i="126"/>
  <c r="G160" i="126"/>
  <c r="C160" i="126"/>
  <c r="I161" i="126"/>
  <c r="D161" i="126"/>
  <c r="J161" i="126"/>
  <c r="E161" i="126"/>
  <c r="F161" i="126"/>
  <c r="K161" i="126"/>
  <c r="G161" i="126"/>
  <c r="C161" i="126"/>
  <c r="I162" i="126"/>
  <c r="D162" i="126"/>
  <c r="J162" i="126"/>
  <c r="E162" i="126"/>
  <c r="F162" i="126"/>
  <c r="K162" i="126"/>
  <c r="G162" i="126"/>
  <c r="C162" i="126"/>
  <c r="I163" i="126"/>
  <c r="D163" i="126"/>
  <c r="J163" i="126"/>
  <c r="E163" i="126"/>
  <c r="F163" i="126"/>
  <c r="K163" i="126"/>
  <c r="G163" i="126"/>
  <c r="C163" i="126"/>
  <c r="I164" i="126"/>
  <c r="D164" i="126"/>
  <c r="J164" i="126"/>
  <c r="E164" i="126"/>
  <c r="F164" i="126"/>
  <c r="K164" i="126"/>
  <c r="G164" i="126"/>
  <c r="C164" i="126"/>
  <c r="I165" i="126"/>
  <c r="D165" i="126"/>
  <c r="J165" i="126"/>
  <c r="E165" i="126"/>
  <c r="F165" i="126"/>
  <c r="K165" i="126"/>
  <c r="G165" i="126"/>
  <c r="C165" i="126"/>
  <c r="I166" i="126"/>
  <c r="D166" i="126"/>
  <c r="J166" i="126"/>
  <c r="E166" i="126"/>
  <c r="F166" i="126"/>
  <c r="K166" i="126"/>
  <c r="G166" i="126"/>
  <c r="C166" i="126"/>
  <c r="I167" i="126"/>
  <c r="D167" i="126"/>
  <c r="J167" i="126"/>
  <c r="E167" i="126"/>
  <c r="F167" i="126"/>
  <c r="K167" i="126"/>
  <c r="G167" i="126"/>
  <c r="C167" i="126"/>
  <c r="I168" i="126"/>
  <c r="D168" i="126"/>
  <c r="J168" i="126"/>
  <c r="E168" i="126"/>
  <c r="F168" i="126"/>
  <c r="K168" i="126"/>
  <c r="G168" i="126"/>
  <c r="C168" i="126"/>
  <c r="I169" i="126"/>
  <c r="D169" i="126"/>
  <c r="J169" i="126"/>
  <c r="E169" i="126"/>
  <c r="F169" i="126"/>
  <c r="K169" i="126"/>
  <c r="G169" i="126"/>
  <c r="C169" i="126"/>
  <c r="I170" i="126"/>
  <c r="D170" i="126"/>
  <c r="J170" i="126"/>
  <c r="E170" i="126"/>
  <c r="F170" i="126"/>
  <c r="K170" i="126"/>
  <c r="G170" i="126"/>
  <c r="C170" i="126"/>
  <c r="I171" i="126"/>
  <c r="D171" i="126"/>
  <c r="J171" i="126"/>
  <c r="E171" i="126"/>
  <c r="F171" i="126"/>
  <c r="K171" i="126"/>
  <c r="G171" i="126"/>
  <c r="C171" i="126"/>
  <c r="I172" i="126"/>
  <c r="D172" i="126"/>
  <c r="J172" i="126"/>
  <c r="E172" i="126"/>
  <c r="F172" i="126"/>
  <c r="K172" i="126"/>
  <c r="G172" i="126"/>
  <c r="C172" i="126"/>
  <c r="I173" i="126"/>
  <c r="D173" i="126"/>
  <c r="J173" i="126"/>
  <c r="E173" i="126"/>
  <c r="F173" i="126"/>
  <c r="K173" i="126"/>
  <c r="G173" i="126"/>
  <c r="C173" i="126"/>
  <c r="I174" i="126"/>
  <c r="D174" i="126"/>
  <c r="J174" i="126"/>
  <c r="E174" i="126"/>
  <c r="F174" i="126"/>
  <c r="K174" i="126"/>
  <c r="G174" i="126"/>
  <c r="C174" i="126"/>
  <c r="I175" i="126"/>
  <c r="D175" i="126"/>
  <c r="J175" i="126"/>
  <c r="E175" i="126"/>
  <c r="F175" i="126"/>
  <c r="K175" i="126"/>
  <c r="G175" i="126"/>
  <c r="C175" i="126"/>
  <c r="I176" i="126"/>
  <c r="D176" i="126"/>
  <c r="J176" i="126"/>
  <c r="E176" i="126"/>
  <c r="F176" i="126"/>
  <c r="K176" i="126"/>
  <c r="G176" i="126"/>
  <c r="C176" i="126"/>
  <c r="I177" i="126"/>
  <c r="D177" i="126"/>
  <c r="J177" i="126"/>
  <c r="E177" i="126"/>
  <c r="F177" i="126"/>
  <c r="K177" i="126"/>
  <c r="G177" i="126"/>
  <c r="C177" i="126"/>
  <c r="I178" i="126"/>
  <c r="D178" i="126"/>
  <c r="J178" i="126"/>
  <c r="E178" i="126"/>
  <c r="F178" i="126"/>
  <c r="K178" i="126"/>
  <c r="G178" i="126"/>
  <c r="C178" i="126"/>
  <c r="I179" i="126"/>
  <c r="D179" i="126"/>
  <c r="J179" i="126"/>
  <c r="E179" i="126"/>
  <c r="F179" i="126"/>
  <c r="K179" i="126"/>
  <c r="G179" i="126"/>
  <c r="C179" i="126"/>
  <c r="I180" i="126"/>
  <c r="D180" i="126"/>
  <c r="J180" i="126"/>
  <c r="E180" i="126"/>
  <c r="F180" i="126"/>
  <c r="K180" i="126"/>
  <c r="G180" i="126"/>
  <c r="C180" i="126"/>
  <c r="I181" i="126"/>
  <c r="D181" i="126"/>
  <c r="J181" i="126"/>
  <c r="E181" i="126"/>
  <c r="F181" i="126"/>
  <c r="K181" i="126"/>
  <c r="G181" i="126"/>
  <c r="C181" i="126"/>
  <c r="I182" i="126"/>
  <c r="D182" i="126"/>
  <c r="J182" i="126"/>
  <c r="E182" i="126"/>
  <c r="F182" i="126"/>
  <c r="K182" i="126"/>
  <c r="G182" i="126"/>
  <c r="C182" i="126"/>
  <c r="I183" i="126"/>
  <c r="D183" i="126"/>
  <c r="J183" i="126"/>
  <c r="E183" i="126"/>
  <c r="F183" i="126"/>
  <c r="K183" i="126"/>
  <c r="G183" i="126"/>
  <c r="C183" i="126"/>
  <c r="I184" i="126"/>
  <c r="D184" i="126"/>
  <c r="J184" i="126"/>
  <c r="E184" i="126"/>
  <c r="F184" i="126"/>
  <c r="K184" i="126"/>
  <c r="G184" i="126"/>
  <c r="C184" i="126"/>
  <c r="I185" i="126"/>
  <c r="D185" i="126"/>
  <c r="J185" i="126"/>
  <c r="E185" i="126"/>
  <c r="F185" i="126"/>
  <c r="K185" i="126"/>
  <c r="G185" i="126"/>
  <c r="C185" i="126"/>
  <c r="I186" i="126"/>
  <c r="D186" i="126"/>
  <c r="J186" i="126"/>
  <c r="E186" i="126"/>
  <c r="F186" i="126"/>
  <c r="K186" i="126"/>
  <c r="G186" i="126"/>
  <c r="C186" i="126"/>
  <c r="I187" i="126"/>
  <c r="D187" i="126"/>
  <c r="J187" i="126"/>
  <c r="E187" i="126"/>
  <c r="F187" i="126"/>
  <c r="K187" i="126"/>
  <c r="G187" i="126"/>
  <c r="C187" i="126"/>
  <c r="I188" i="126"/>
  <c r="D188" i="126"/>
  <c r="J188" i="126"/>
  <c r="E188" i="126"/>
  <c r="F188" i="126"/>
  <c r="K188" i="126"/>
  <c r="G188" i="126"/>
  <c r="C188" i="126"/>
  <c r="I189" i="126"/>
  <c r="D189" i="126"/>
  <c r="J189" i="126"/>
  <c r="E189" i="126"/>
  <c r="F189" i="126"/>
  <c r="K189" i="126"/>
  <c r="G189" i="126"/>
  <c r="C189" i="126"/>
  <c r="I190" i="126"/>
  <c r="D190" i="126"/>
  <c r="J190" i="126"/>
  <c r="E190" i="126"/>
  <c r="F190" i="126"/>
  <c r="K190" i="126"/>
  <c r="G190" i="126"/>
  <c r="C190" i="126"/>
  <c r="I191" i="126"/>
  <c r="D191" i="126"/>
  <c r="J191" i="126"/>
  <c r="E191" i="126"/>
  <c r="F191" i="126"/>
  <c r="K191" i="126"/>
  <c r="G191" i="126"/>
  <c r="C191" i="126"/>
  <c r="I192" i="126"/>
  <c r="D192" i="126"/>
  <c r="J192" i="126"/>
  <c r="E192" i="126"/>
  <c r="F192" i="126"/>
  <c r="K192" i="126"/>
  <c r="G192" i="126"/>
  <c r="C192" i="126"/>
  <c r="I193" i="126"/>
  <c r="D193" i="126"/>
  <c r="J193" i="126"/>
  <c r="E193" i="126"/>
  <c r="F193" i="126"/>
  <c r="K193" i="126"/>
  <c r="G193" i="126"/>
  <c r="C193" i="126"/>
  <c r="I194" i="126"/>
  <c r="D194" i="126"/>
  <c r="J194" i="126"/>
  <c r="E194" i="126"/>
  <c r="F194" i="126"/>
  <c r="K194" i="126"/>
  <c r="G194" i="126"/>
  <c r="C194" i="126"/>
  <c r="I195" i="126"/>
  <c r="D195" i="126"/>
  <c r="J195" i="126"/>
  <c r="E195" i="126"/>
  <c r="F195" i="126"/>
  <c r="K195" i="126"/>
  <c r="G195" i="126"/>
  <c r="C195" i="126"/>
  <c r="I196" i="126"/>
  <c r="D196" i="126"/>
  <c r="J196" i="126"/>
  <c r="E196" i="126"/>
  <c r="F196" i="126"/>
  <c r="K196" i="126"/>
  <c r="G196" i="126"/>
  <c r="C196" i="126"/>
  <c r="I197" i="126"/>
  <c r="D197" i="126"/>
  <c r="J197" i="126"/>
  <c r="E197" i="126"/>
  <c r="F197" i="126"/>
  <c r="K197" i="126"/>
  <c r="G197" i="126"/>
  <c r="C197" i="126"/>
  <c r="I198" i="126"/>
  <c r="D198" i="126"/>
  <c r="J198" i="126"/>
  <c r="E198" i="126"/>
  <c r="F198" i="126"/>
  <c r="K198" i="126"/>
  <c r="G198" i="126"/>
  <c r="C198" i="126"/>
  <c r="I199" i="126"/>
  <c r="D199" i="126"/>
  <c r="J199" i="126"/>
  <c r="E199" i="126"/>
  <c r="F199" i="126"/>
  <c r="K199" i="126"/>
  <c r="G199" i="126"/>
  <c r="C199" i="126"/>
  <c r="I200" i="126"/>
  <c r="D200" i="126"/>
  <c r="J200" i="126"/>
  <c r="E200" i="126"/>
  <c r="F200" i="126"/>
  <c r="K200" i="126"/>
  <c r="G200" i="126"/>
  <c r="C200" i="126"/>
  <c r="I201" i="126"/>
  <c r="D201" i="126"/>
  <c r="J201" i="126"/>
  <c r="E201" i="126"/>
  <c r="F201" i="126"/>
  <c r="K201" i="126"/>
  <c r="G201" i="126"/>
  <c r="C201" i="126"/>
  <c r="I202" i="126"/>
  <c r="D202" i="126"/>
  <c r="J202" i="126"/>
  <c r="E202" i="126"/>
  <c r="F202" i="126"/>
  <c r="K202" i="126"/>
  <c r="G202" i="126"/>
  <c r="C202" i="126"/>
  <c r="I203" i="126"/>
  <c r="D203" i="126"/>
  <c r="J203" i="126"/>
  <c r="E203" i="126"/>
  <c r="F203" i="126"/>
  <c r="K203" i="126"/>
  <c r="G203" i="126"/>
  <c r="C203" i="126"/>
  <c r="I204" i="126"/>
  <c r="D204" i="126"/>
  <c r="J204" i="126"/>
  <c r="E204" i="126"/>
  <c r="F204" i="126"/>
  <c r="K204" i="126"/>
  <c r="G204" i="126"/>
  <c r="C204" i="126"/>
  <c r="I205" i="126"/>
  <c r="D205" i="126"/>
  <c r="J205" i="126"/>
  <c r="E205" i="126"/>
  <c r="F205" i="126"/>
  <c r="K205" i="126"/>
  <c r="G205" i="126"/>
  <c r="C205" i="126"/>
  <c r="I206" i="126"/>
  <c r="D206" i="126"/>
  <c r="J206" i="126"/>
  <c r="E206" i="126"/>
  <c r="F206" i="126"/>
  <c r="K206" i="126"/>
  <c r="G206" i="126"/>
  <c r="C206" i="126"/>
  <c r="I207" i="126"/>
  <c r="D207" i="126"/>
  <c r="J207" i="126"/>
  <c r="E207" i="126"/>
  <c r="F207" i="126"/>
  <c r="K207" i="126"/>
  <c r="G207" i="126"/>
  <c r="C207" i="126"/>
  <c r="I208" i="126"/>
  <c r="D208" i="126"/>
  <c r="J208" i="126"/>
  <c r="E208" i="126"/>
  <c r="F208" i="126"/>
  <c r="K208" i="126"/>
  <c r="G208" i="126"/>
  <c r="C208" i="126"/>
  <c r="I209" i="126"/>
  <c r="D209" i="126"/>
  <c r="J209" i="126"/>
  <c r="E209" i="126"/>
  <c r="F209" i="126"/>
  <c r="K209" i="126"/>
  <c r="G209" i="126"/>
  <c r="C209" i="126"/>
  <c r="I210" i="126"/>
  <c r="D210" i="126"/>
  <c r="J210" i="126"/>
  <c r="E210" i="126"/>
  <c r="F210" i="126"/>
  <c r="K210" i="126"/>
  <c r="G210" i="126"/>
  <c r="C210" i="126"/>
  <c r="I211" i="126"/>
  <c r="D211" i="126"/>
  <c r="J211" i="126"/>
  <c r="E211" i="126"/>
  <c r="F211" i="126"/>
  <c r="K211" i="126"/>
  <c r="G211" i="126"/>
  <c r="C211" i="126"/>
  <c r="I212" i="126"/>
  <c r="D212" i="126"/>
  <c r="J212" i="126"/>
  <c r="E212" i="126"/>
  <c r="F212" i="126"/>
  <c r="K212" i="126"/>
  <c r="G212" i="126"/>
  <c r="C212" i="126"/>
  <c r="I213" i="126"/>
  <c r="D213" i="126"/>
  <c r="J213" i="126"/>
  <c r="E213" i="126"/>
  <c r="F213" i="126"/>
  <c r="K213" i="126"/>
  <c r="G213" i="126"/>
  <c r="C213" i="126"/>
  <c r="I214" i="126"/>
  <c r="D214" i="126"/>
  <c r="J214" i="126"/>
  <c r="E214" i="126"/>
  <c r="F214" i="126"/>
  <c r="K214" i="126"/>
  <c r="G214" i="126"/>
  <c r="C214" i="126"/>
  <c r="I215" i="126"/>
  <c r="D215" i="126"/>
  <c r="J215" i="126"/>
  <c r="E215" i="126"/>
  <c r="F215" i="126"/>
  <c r="K215" i="126"/>
  <c r="G215" i="126"/>
  <c r="C215" i="126"/>
  <c r="I216" i="126"/>
  <c r="D216" i="126"/>
  <c r="J216" i="126"/>
  <c r="E216" i="126"/>
  <c r="F216" i="126"/>
  <c r="K216" i="126"/>
  <c r="G216" i="126"/>
  <c r="C216" i="126"/>
  <c r="I217" i="126"/>
  <c r="D217" i="126"/>
  <c r="J217" i="126"/>
  <c r="E217" i="126"/>
  <c r="F217" i="126"/>
  <c r="K217" i="126"/>
  <c r="G217" i="126"/>
  <c r="C217" i="126"/>
  <c r="I218" i="126"/>
  <c r="D218" i="126"/>
  <c r="J218" i="126"/>
  <c r="E218" i="126"/>
  <c r="F218" i="126"/>
  <c r="K218" i="126"/>
  <c r="G218" i="126"/>
  <c r="C218" i="126"/>
  <c r="I219" i="126"/>
  <c r="D219" i="126"/>
  <c r="J219" i="126"/>
  <c r="E219" i="126"/>
  <c r="F219" i="126"/>
  <c r="K219" i="126"/>
  <c r="G219" i="126"/>
  <c r="C219" i="126"/>
  <c r="I220" i="126"/>
  <c r="D220" i="126"/>
  <c r="J220" i="126"/>
  <c r="E220" i="126"/>
  <c r="F220" i="126"/>
  <c r="K220" i="126"/>
  <c r="G220" i="126"/>
  <c r="C220" i="126"/>
  <c r="I221" i="126"/>
  <c r="D221" i="126"/>
  <c r="J221" i="126"/>
  <c r="E221" i="126"/>
  <c r="F221" i="126"/>
  <c r="K221" i="126"/>
  <c r="G221" i="126"/>
  <c r="C221" i="126"/>
  <c r="I222" i="126"/>
  <c r="D222" i="126"/>
  <c r="J222" i="126"/>
  <c r="E222" i="126"/>
  <c r="F222" i="126"/>
  <c r="K222" i="126"/>
  <c r="G222" i="126"/>
  <c r="C222" i="126"/>
  <c r="I223" i="126"/>
  <c r="D223" i="126"/>
  <c r="J223" i="126"/>
  <c r="E223" i="126"/>
  <c r="F223" i="126"/>
  <c r="K223" i="126"/>
  <c r="G223" i="126"/>
  <c r="C223" i="126"/>
  <c r="I224" i="126"/>
  <c r="D224" i="126"/>
  <c r="J224" i="126"/>
  <c r="E224" i="126"/>
  <c r="F224" i="126"/>
  <c r="K224" i="126"/>
  <c r="G224" i="126"/>
  <c r="C224" i="126"/>
  <c r="I225" i="126"/>
  <c r="D225" i="126"/>
  <c r="J225" i="126"/>
  <c r="E225" i="126"/>
  <c r="F225" i="126"/>
  <c r="K225" i="126"/>
  <c r="G225" i="126"/>
  <c r="C225" i="126"/>
  <c r="I226" i="126"/>
  <c r="D226" i="126"/>
  <c r="J226" i="126"/>
  <c r="E226" i="126"/>
  <c r="F226" i="126"/>
  <c r="K226" i="126"/>
  <c r="G226" i="126"/>
  <c r="C226" i="126"/>
  <c r="I227" i="126"/>
  <c r="D227" i="126"/>
  <c r="J227" i="126"/>
  <c r="E227" i="126"/>
  <c r="F227" i="126"/>
  <c r="K227" i="126"/>
  <c r="G227" i="126"/>
  <c r="C227" i="126"/>
  <c r="I228" i="126"/>
  <c r="D228" i="126"/>
  <c r="J228" i="126"/>
  <c r="E228" i="126"/>
  <c r="F228" i="126"/>
  <c r="K228" i="126"/>
  <c r="G228" i="126"/>
  <c r="C228" i="126"/>
  <c r="I229" i="126"/>
  <c r="D229" i="126"/>
  <c r="J229" i="126"/>
  <c r="E229" i="126"/>
  <c r="F229" i="126"/>
  <c r="K229" i="126"/>
  <c r="G229" i="126"/>
  <c r="C229" i="126"/>
  <c r="I230" i="126"/>
  <c r="D230" i="126"/>
  <c r="J230" i="126"/>
  <c r="E230" i="126"/>
  <c r="F230" i="126"/>
  <c r="K230" i="126"/>
  <c r="G230" i="126"/>
  <c r="C230" i="126"/>
  <c r="I231" i="126"/>
  <c r="D231" i="126"/>
  <c r="J231" i="126"/>
  <c r="E231" i="126"/>
  <c r="F231" i="126"/>
  <c r="K231" i="126"/>
  <c r="G231" i="126"/>
  <c r="C231" i="126"/>
  <c r="I232" i="126"/>
  <c r="D232" i="126"/>
  <c r="J232" i="126"/>
  <c r="E232" i="126"/>
  <c r="F232" i="126"/>
  <c r="K232" i="126"/>
  <c r="G232" i="126"/>
  <c r="C232" i="126"/>
  <c r="I233" i="126"/>
  <c r="D233" i="126"/>
  <c r="J233" i="126"/>
  <c r="E233" i="126"/>
  <c r="F233" i="126"/>
  <c r="K233" i="126"/>
  <c r="G233" i="126"/>
  <c r="C233" i="126"/>
  <c r="I234" i="126"/>
  <c r="D234" i="126"/>
  <c r="J234" i="126"/>
  <c r="E234" i="126"/>
  <c r="F234" i="126"/>
  <c r="K234" i="126"/>
  <c r="G234" i="126"/>
  <c r="C234" i="126"/>
  <c r="I235" i="126"/>
  <c r="D235" i="126"/>
  <c r="J235" i="126"/>
  <c r="E235" i="126"/>
  <c r="F235" i="126"/>
  <c r="K235" i="126"/>
  <c r="G235" i="126"/>
  <c r="C235" i="126"/>
  <c r="I236" i="126"/>
  <c r="D236" i="126"/>
  <c r="J236" i="126"/>
  <c r="E236" i="126"/>
  <c r="F236" i="126"/>
  <c r="K236" i="126"/>
  <c r="G236" i="126"/>
  <c r="C236" i="126"/>
  <c r="I237" i="126"/>
  <c r="D237" i="126"/>
  <c r="J237" i="126"/>
  <c r="E237" i="126"/>
  <c r="F237" i="126"/>
  <c r="K237" i="126"/>
  <c r="G237" i="126"/>
  <c r="C237" i="126"/>
  <c r="I238" i="126"/>
  <c r="D238" i="126"/>
  <c r="J238" i="126"/>
  <c r="E238" i="126"/>
  <c r="F238" i="126"/>
  <c r="K238" i="126"/>
  <c r="G238" i="126"/>
  <c r="C238" i="126"/>
  <c r="I239" i="126"/>
  <c r="D239" i="126"/>
  <c r="J239" i="126"/>
  <c r="E239" i="126"/>
  <c r="F239" i="126"/>
  <c r="K239" i="126"/>
  <c r="G239" i="126"/>
  <c r="C239" i="126"/>
  <c r="I240" i="126"/>
  <c r="D240" i="126"/>
  <c r="J240" i="126"/>
  <c r="E240" i="126"/>
  <c r="F240" i="126"/>
  <c r="K240" i="126"/>
  <c r="G240" i="126"/>
  <c r="C240" i="126"/>
  <c r="I241" i="126"/>
  <c r="D241" i="126"/>
  <c r="J241" i="126"/>
  <c r="E241" i="126"/>
  <c r="F241" i="126"/>
  <c r="K241" i="126"/>
  <c r="G241" i="126"/>
  <c r="C241" i="126"/>
  <c r="I242" i="126"/>
  <c r="D242" i="126"/>
  <c r="J242" i="126"/>
  <c r="E242" i="126"/>
  <c r="F242" i="126"/>
  <c r="K242" i="126"/>
  <c r="G242" i="126"/>
  <c r="C242" i="126"/>
  <c r="I243" i="126"/>
  <c r="D243" i="126"/>
  <c r="J243" i="126"/>
  <c r="E243" i="126"/>
  <c r="F243" i="126"/>
  <c r="K243" i="126"/>
  <c r="G243" i="126"/>
  <c r="C243" i="126"/>
  <c r="I244" i="126"/>
  <c r="D244" i="126"/>
  <c r="J244" i="126"/>
  <c r="E244" i="126"/>
  <c r="F244" i="126"/>
  <c r="K244" i="126"/>
  <c r="G244" i="126"/>
  <c r="C244" i="126"/>
  <c r="I245" i="126"/>
  <c r="D245" i="126"/>
  <c r="J245" i="126"/>
  <c r="E245" i="126"/>
  <c r="F245" i="126"/>
  <c r="K245" i="126"/>
  <c r="G245" i="126"/>
  <c r="C245" i="126"/>
  <c r="I246" i="126"/>
  <c r="D246" i="126"/>
  <c r="J246" i="126"/>
  <c r="E246" i="126"/>
  <c r="F246" i="126"/>
  <c r="K246" i="126"/>
  <c r="G246" i="126"/>
  <c r="C246" i="126"/>
  <c r="I247" i="126"/>
  <c r="D247" i="126"/>
  <c r="J247" i="126"/>
  <c r="E247" i="126"/>
  <c r="F247" i="126"/>
  <c r="K247" i="126"/>
  <c r="G247" i="126"/>
  <c r="C247" i="126"/>
  <c r="I248" i="126"/>
  <c r="D248" i="126"/>
  <c r="J248" i="126"/>
  <c r="E248" i="126"/>
  <c r="F248" i="126"/>
  <c r="K248" i="126"/>
  <c r="G248" i="126"/>
  <c r="C248" i="126"/>
  <c r="I249" i="126"/>
  <c r="D249" i="126"/>
  <c r="J249" i="126"/>
  <c r="E249" i="126"/>
  <c r="F249" i="126"/>
  <c r="K249" i="126"/>
  <c r="G249" i="126"/>
  <c r="C249" i="126"/>
  <c r="I250" i="126"/>
  <c r="D250" i="126"/>
  <c r="J250" i="126"/>
  <c r="E250" i="126"/>
  <c r="F250" i="126"/>
  <c r="K250" i="126"/>
  <c r="G250" i="126"/>
  <c r="C250" i="126"/>
  <c r="I251" i="126"/>
  <c r="D251" i="126"/>
  <c r="J251" i="126"/>
  <c r="E251" i="126"/>
  <c r="F251" i="126"/>
  <c r="K251" i="126"/>
  <c r="G251" i="126"/>
  <c r="C251" i="126"/>
  <c r="I252" i="126"/>
  <c r="D252" i="126"/>
  <c r="J252" i="126"/>
  <c r="E252" i="126"/>
  <c r="F252" i="126"/>
  <c r="K252" i="126"/>
  <c r="G252" i="126"/>
  <c r="C252" i="126"/>
  <c r="I253" i="126"/>
  <c r="D253" i="126"/>
  <c r="J253" i="126"/>
  <c r="E253" i="126"/>
  <c r="F253" i="126"/>
  <c r="K253" i="126"/>
  <c r="G253" i="126"/>
  <c r="C253" i="126"/>
  <c r="I254" i="126"/>
  <c r="D254" i="126"/>
  <c r="J254" i="126"/>
  <c r="E254" i="126"/>
  <c r="F254" i="126"/>
  <c r="K254" i="126"/>
  <c r="G254" i="126"/>
  <c r="C254" i="126"/>
  <c r="I255" i="126"/>
  <c r="D255" i="126"/>
  <c r="J255" i="126"/>
  <c r="E255" i="126"/>
  <c r="F255" i="126"/>
  <c r="K255" i="126"/>
  <c r="G255" i="126"/>
  <c r="C255" i="126"/>
  <c r="I256" i="126"/>
  <c r="D256" i="126"/>
  <c r="J256" i="126"/>
  <c r="E256" i="126"/>
  <c r="F256" i="126"/>
  <c r="K256" i="126"/>
  <c r="G256" i="126"/>
  <c r="C256" i="126"/>
  <c r="I257" i="126"/>
  <c r="D257" i="126"/>
  <c r="J257" i="126"/>
  <c r="E257" i="126"/>
  <c r="F257" i="126"/>
  <c r="K257" i="126"/>
  <c r="G257" i="126"/>
  <c r="C257" i="126"/>
  <c r="I258" i="126"/>
  <c r="D258" i="126"/>
  <c r="J258" i="126"/>
  <c r="E258" i="126"/>
  <c r="F258" i="126"/>
  <c r="K258" i="126"/>
  <c r="G258" i="126"/>
  <c r="C258" i="126"/>
  <c r="I259" i="126"/>
  <c r="D259" i="126"/>
  <c r="J259" i="126"/>
  <c r="E259" i="126"/>
  <c r="F259" i="126"/>
  <c r="K259" i="126"/>
  <c r="G259" i="126"/>
  <c r="C259" i="126"/>
  <c r="I260" i="126"/>
  <c r="D260" i="126"/>
  <c r="J260" i="126"/>
  <c r="E260" i="126"/>
  <c r="F260" i="126"/>
  <c r="K260" i="126"/>
  <c r="G260" i="126"/>
  <c r="C260" i="126"/>
  <c r="I261" i="126"/>
  <c r="D261" i="126"/>
  <c r="J261" i="126"/>
  <c r="E261" i="126"/>
  <c r="F261" i="126"/>
  <c r="K261" i="126"/>
  <c r="G261" i="126"/>
  <c r="C261" i="126"/>
  <c r="I262" i="126"/>
  <c r="D262" i="126"/>
  <c r="J262" i="126"/>
  <c r="E262" i="126"/>
  <c r="F262" i="126"/>
  <c r="K262" i="126"/>
  <c r="G262" i="126"/>
  <c r="C262" i="126"/>
  <c r="I263" i="126"/>
  <c r="D263" i="126"/>
  <c r="J263" i="126"/>
  <c r="E263" i="126"/>
  <c r="F263" i="126"/>
  <c r="K263" i="126"/>
  <c r="G263" i="126"/>
  <c r="C263" i="126"/>
  <c r="I264" i="126"/>
  <c r="D264" i="126"/>
  <c r="J264" i="126"/>
  <c r="E264" i="126"/>
  <c r="F264" i="126"/>
  <c r="K264" i="126"/>
  <c r="G264" i="126"/>
  <c r="C264" i="126"/>
  <c r="I265" i="126"/>
  <c r="D265" i="126"/>
  <c r="J265" i="126"/>
  <c r="E265" i="126"/>
  <c r="F265" i="126"/>
  <c r="K265" i="126"/>
  <c r="G265" i="126"/>
  <c r="C265" i="126"/>
  <c r="I266" i="126"/>
  <c r="D266" i="126"/>
  <c r="J266" i="126"/>
  <c r="E266" i="126"/>
  <c r="F266" i="126"/>
  <c r="K266" i="126"/>
  <c r="G266" i="126"/>
  <c r="C266" i="126"/>
  <c r="I267" i="126"/>
  <c r="D267" i="126"/>
  <c r="J267" i="126"/>
  <c r="E267" i="126"/>
  <c r="F267" i="126"/>
  <c r="K267" i="126"/>
  <c r="G267" i="126"/>
  <c r="C267" i="126"/>
  <c r="I268" i="126"/>
  <c r="D268" i="126"/>
  <c r="J268" i="126"/>
  <c r="E268" i="126"/>
  <c r="F268" i="126"/>
  <c r="K268" i="126"/>
  <c r="G268" i="126"/>
  <c r="C268" i="126"/>
  <c r="I269" i="126"/>
  <c r="D269" i="126"/>
  <c r="J269" i="126"/>
  <c r="E269" i="126"/>
  <c r="F269" i="126"/>
  <c r="K269" i="126"/>
  <c r="G269" i="126"/>
  <c r="C269" i="126"/>
  <c r="I270" i="126"/>
  <c r="D270" i="126"/>
  <c r="J270" i="126"/>
  <c r="E270" i="126"/>
  <c r="F270" i="126"/>
  <c r="K270" i="126"/>
  <c r="G270" i="126"/>
  <c r="C270" i="126"/>
  <c r="I271" i="126"/>
  <c r="D271" i="126"/>
  <c r="J271" i="126"/>
  <c r="E271" i="126"/>
  <c r="F271" i="126"/>
  <c r="K271" i="126"/>
  <c r="G271" i="126"/>
  <c r="C271" i="126"/>
  <c r="E44" i="125"/>
  <c r="H44" i="125"/>
  <c r="O272" i="126"/>
  <c r="B5" i="125"/>
  <c r="B10" i="125"/>
  <c r="F8" i="125"/>
  <c r="E31" i="125"/>
  <c r="E34" i="125"/>
  <c r="E36" i="125"/>
  <c r="E8" i="125"/>
  <c r="G8" i="125"/>
  <c r="B32" i="125"/>
  <c r="F6" i="125"/>
  <c r="E39" i="125"/>
  <c r="E41" i="125"/>
  <c r="E42" i="125"/>
  <c r="E6" i="125"/>
  <c r="G6" i="125"/>
  <c r="B37" i="125"/>
  <c r="B30" i="125"/>
  <c r="C30" i="125"/>
  <c r="D30" i="125"/>
  <c r="G30" i="125"/>
  <c r="E30" i="125"/>
  <c r="H30" i="125"/>
  <c r="O2" i="126"/>
  <c r="B31" i="125"/>
  <c r="C31" i="125"/>
  <c r="D31" i="125"/>
  <c r="G31" i="125"/>
  <c r="H31" i="125"/>
  <c r="O3" i="126"/>
  <c r="F7" i="125"/>
  <c r="E18" i="125"/>
  <c r="E21" i="125"/>
  <c r="E23" i="125"/>
  <c r="E7" i="125"/>
  <c r="G7" i="125"/>
  <c r="B19" i="125"/>
  <c r="F5" i="125"/>
  <c r="E26" i="125"/>
  <c r="E28" i="125"/>
  <c r="E29" i="125"/>
  <c r="E5" i="125"/>
  <c r="G5" i="125"/>
  <c r="B24" i="125"/>
  <c r="B17" i="125"/>
  <c r="C17" i="125"/>
  <c r="D17" i="125"/>
  <c r="G17" i="125"/>
  <c r="E17" i="125"/>
  <c r="H17" i="125"/>
  <c r="O4" i="126"/>
  <c r="B18" i="125"/>
  <c r="C18" i="125"/>
  <c r="D18" i="125"/>
  <c r="G18" i="125"/>
  <c r="H18" i="125"/>
  <c r="O5" i="126"/>
  <c r="O6" i="126"/>
  <c r="O7" i="126"/>
  <c r="O8" i="126"/>
  <c r="O9" i="126"/>
  <c r="O10" i="126"/>
  <c r="O11" i="126"/>
  <c r="O12" i="126"/>
  <c r="O13" i="126"/>
  <c r="O14" i="126"/>
  <c r="O15" i="126"/>
  <c r="O16" i="126"/>
  <c r="O17" i="126"/>
  <c r="O18" i="126"/>
  <c r="O19" i="126"/>
  <c r="O20" i="126"/>
  <c r="O21" i="126"/>
  <c r="O22" i="126"/>
  <c r="O23" i="126"/>
  <c r="O24" i="126"/>
  <c r="O25" i="126"/>
  <c r="O26" i="126"/>
  <c r="O27" i="126"/>
  <c r="O28" i="126"/>
  <c r="O29" i="126"/>
  <c r="O30" i="126"/>
  <c r="O31" i="126"/>
  <c r="O32" i="126"/>
  <c r="O33" i="126"/>
  <c r="O34" i="126"/>
  <c r="O35" i="126"/>
  <c r="O36" i="126"/>
  <c r="O37" i="126"/>
  <c r="O38" i="126"/>
  <c r="O39" i="126"/>
  <c r="O40" i="126"/>
  <c r="O41" i="126"/>
  <c r="C37" i="125"/>
  <c r="D37" i="125"/>
  <c r="G37" i="125"/>
  <c r="E37" i="125"/>
  <c r="H37" i="125"/>
  <c r="O42" i="126"/>
  <c r="B38" i="125"/>
  <c r="C38" i="125"/>
  <c r="D38" i="125"/>
  <c r="G38" i="125"/>
  <c r="E38" i="125"/>
  <c r="H38" i="125"/>
  <c r="O43" i="126"/>
  <c r="B39" i="125"/>
  <c r="C39" i="125"/>
  <c r="D39" i="125"/>
  <c r="G39" i="125"/>
  <c r="H39" i="125"/>
  <c r="O44" i="126"/>
  <c r="C24" i="125"/>
  <c r="D24" i="125"/>
  <c r="G24" i="125"/>
  <c r="E24" i="125"/>
  <c r="H24" i="125"/>
  <c r="O45" i="126"/>
  <c r="B25" i="125"/>
  <c r="C25" i="125"/>
  <c r="D25" i="125"/>
  <c r="G25" i="125"/>
  <c r="E25" i="125"/>
  <c r="H25" i="125"/>
  <c r="O46" i="126"/>
  <c r="B26" i="125"/>
  <c r="C26" i="125"/>
  <c r="D26" i="125"/>
  <c r="G26" i="125"/>
  <c r="H26" i="125"/>
  <c r="O47" i="126"/>
  <c r="O48" i="126"/>
  <c r="O49" i="126"/>
  <c r="O50" i="126"/>
  <c r="C19" i="125"/>
  <c r="D19" i="125"/>
  <c r="G19" i="125"/>
  <c r="E19" i="125"/>
  <c r="H19" i="125"/>
  <c r="O51" i="126"/>
  <c r="B20" i="125"/>
  <c r="C20" i="125"/>
  <c r="D20" i="125"/>
  <c r="G20" i="125"/>
  <c r="E20" i="125"/>
  <c r="H20" i="125"/>
  <c r="O52" i="126"/>
  <c r="B21" i="125"/>
  <c r="C21" i="125"/>
  <c r="D21" i="125"/>
  <c r="G21" i="125"/>
  <c r="H21" i="125"/>
  <c r="O53" i="126"/>
  <c r="C32" i="125"/>
  <c r="D32" i="125"/>
  <c r="G32" i="125"/>
  <c r="E32" i="125"/>
  <c r="H32" i="125"/>
  <c r="O54" i="126"/>
  <c r="B33" i="125"/>
  <c r="C33" i="125"/>
  <c r="D33" i="125"/>
  <c r="G33" i="125"/>
  <c r="E33" i="125"/>
  <c r="H33" i="125"/>
  <c r="O55" i="126"/>
  <c r="B34" i="125"/>
  <c r="C34" i="125"/>
  <c r="D34" i="125"/>
  <c r="G34" i="125"/>
  <c r="H34" i="125"/>
  <c r="O56" i="126"/>
  <c r="O57" i="126"/>
  <c r="O58" i="126"/>
  <c r="O59" i="126"/>
  <c r="O60" i="126"/>
  <c r="O61" i="126"/>
  <c r="O62" i="126"/>
  <c r="O63" i="126"/>
  <c r="O64" i="126"/>
  <c r="O65" i="126"/>
  <c r="O66" i="126"/>
  <c r="O67" i="126"/>
  <c r="O68" i="126"/>
  <c r="O69" i="126"/>
  <c r="O70" i="126"/>
  <c r="O71" i="126"/>
  <c r="O72" i="126"/>
  <c r="O73" i="126"/>
  <c r="O74" i="126"/>
  <c r="O75" i="126"/>
  <c r="O76" i="126"/>
  <c r="O77" i="126"/>
  <c r="O78" i="126"/>
  <c r="O79" i="126"/>
  <c r="O80" i="126"/>
  <c r="O81" i="126"/>
  <c r="O82" i="126"/>
  <c r="O83" i="126"/>
  <c r="O84" i="126"/>
  <c r="O85" i="126"/>
  <c r="O86" i="126"/>
  <c r="O87" i="126"/>
  <c r="O88" i="126"/>
  <c r="O89" i="126"/>
  <c r="O90" i="126"/>
  <c r="O91" i="126"/>
  <c r="O92" i="126"/>
  <c r="O93" i="126"/>
  <c r="O94" i="126"/>
  <c r="O95" i="126"/>
  <c r="O96" i="126"/>
  <c r="O97" i="126"/>
  <c r="O98" i="126"/>
  <c r="O99" i="126"/>
  <c r="O100" i="126"/>
  <c r="O101" i="126"/>
  <c r="O102" i="126"/>
  <c r="O103" i="126"/>
  <c r="O104" i="126"/>
  <c r="O105" i="126"/>
  <c r="O106" i="126"/>
  <c r="O107" i="126"/>
  <c r="O108" i="126"/>
  <c r="O109" i="126"/>
  <c r="O110" i="126"/>
  <c r="O111" i="126"/>
  <c r="O112" i="126"/>
  <c r="O113" i="126"/>
  <c r="O114" i="126"/>
  <c r="O115" i="126"/>
  <c r="O116" i="126"/>
  <c r="O117" i="126"/>
  <c r="O118" i="126"/>
  <c r="O119" i="126"/>
  <c r="O120" i="126"/>
  <c r="O121" i="126"/>
  <c r="O122" i="126"/>
  <c r="O123" i="126"/>
  <c r="O124" i="126"/>
  <c r="O125" i="126"/>
  <c r="O126" i="126"/>
  <c r="O127" i="126"/>
  <c r="O128" i="126"/>
  <c r="O129" i="126"/>
  <c r="O130" i="126"/>
  <c r="O131" i="126"/>
  <c r="O132" i="126"/>
  <c r="O133" i="126"/>
  <c r="O134" i="126"/>
  <c r="O135" i="126"/>
  <c r="O136" i="126"/>
  <c r="O137" i="126"/>
  <c r="B40" i="125"/>
  <c r="C40" i="125"/>
  <c r="D40" i="125"/>
  <c r="G40" i="125"/>
  <c r="E40" i="125"/>
  <c r="H40" i="125"/>
  <c r="O138" i="126"/>
  <c r="B41" i="125"/>
  <c r="C41" i="125"/>
  <c r="D41" i="125"/>
  <c r="G41" i="125"/>
  <c r="H41" i="125"/>
  <c r="O139" i="126"/>
  <c r="E27" i="125"/>
  <c r="B27" i="125"/>
  <c r="C27" i="125"/>
  <c r="D27" i="125"/>
  <c r="G27" i="125"/>
  <c r="H27" i="125"/>
  <c r="O140" i="126"/>
  <c r="B28" i="125"/>
  <c r="C28" i="125"/>
  <c r="D28" i="125"/>
  <c r="G28" i="125"/>
  <c r="H28" i="125"/>
  <c r="O141" i="126"/>
  <c r="O142" i="126"/>
  <c r="O143" i="126"/>
  <c r="O144" i="126"/>
  <c r="O145" i="126"/>
  <c r="O146" i="126"/>
  <c r="O147" i="126"/>
  <c r="O148" i="126"/>
  <c r="O149" i="126"/>
  <c r="O150" i="126"/>
  <c r="O151" i="126"/>
  <c r="O152" i="126"/>
  <c r="O153" i="126"/>
  <c r="O154" i="126"/>
  <c r="O155" i="126"/>
  <c r="O156" i="126"/>
  <c r="O157" i="126"/>
  <c r="O158" i="126"/>
  <c r="O159" i="126"/>
  <c r="O160" i="126"/>
  <c r="O161" i="126"/>
  <c r="O162" i="126"/>
  <c r="O163" i="126"/>
  <c r="O164" i="126"/>
  <c r="O165" i="126"/>
  <c r="O166" i="126"/>
  <c r="O167" i="126"/>
  <c r="O168" i="126"/>
  <c r="O169" i="126"/>
  <c r="O170" i="126"/>
  <c r="O171" i="126"/>
  <c r="O172" i="126"/>
  <c r="O173" i="126"/>
  <c r="O174" i="126"/>
  <c r="O175" i="126"/>
  <c r="O176" i="126"/>
  <c r="O177" i="126"/>
  <c r="O178" i="126"/>
  <c r="O179" i="126"/>
  <c r="O180" i="126"/>
  <c r="O181" i="126"/>
  <c r="O182" i="126"/>
  <c r="O183" i="126"/>
  <c r="O184" i="126"/>
  <c r="O185" i="126"/>
  <c r="O186" i="126"/>
  <c r="O187" i="126"/>
  <c r="O188" i="126"/>
  <c r="O189" i="126"/>
  <c r="O190" i="126"/>
  <c r="O191" i="126"/>
  <c r="O192" i="126"/>
  <c r="O193" i="126"/>
  <c r="O194" i="126"/>
  <c r="O195" i="126"/>
  <c r="O196" i="126"/>
  <c r="O197" i="126"/>
  <c r="O198" i="126"/>
  <c r="O199" i="126"/>
  <c r="O200" i="126"/>
  <c r="O201" i="126"/>
  <c r="O202" i="126"/>
  <c r="O203" i="126"/>
  <c r="O204" i="126"/>
  <c r="O205" i="126"/>
  <c r="O206" i="126"/>
  <c r="O207" i="126"/>
  <c r="O208" i="126"/>
  <c r="O209" i="126"/>
  <c r="O210" i="126"/>
  <c r="O211" i="126"/>
  <c r="O212" i="126"/>
  <c r="O213" i="126"/>
  <c r="O214" i="126"/>
  <c r="O215" i="126"/>
  <c r="O216" i="126"/>
  <c r="O217" i="126"/>
  <c r="O218" i="126"/>
  <c r="O219" i="126"/>
  <c r="O220" i="126"/>
  <c r="O221" i="126"/>
  <c r="O222" i="126"/>
  <c r="O223" i="126"/>
  <c r="O224" i="126"/>
  <c r="O225" i="126"/>
  <c r="O226" i="126"/>
  <c r="O227" i="126"/>
  <c r="O228" i="126"/>
  <c r="O229" i="126"/>
  <c r="O230" i="126"/>
  <c r="O231" i="126"/>
  <c r="O232" i="126"/>
  <c r="O233" i="126"/>
  <c r="O234" i="126"/>
  <c r="O235" i="126"/>
  <c r="O236" i="126"/>
  <c r="O237" i="126"/>
  <c r="O238" i="126"/>
  <c r="O239" i="126"/>
  <c r="O240" i="126"/>
  <c r="O241" i="126"/>
  <c r="O242" i="126"/>
  <c r="O243" i="126"/>
  <c r="O244" i="126"/>
  <c r="O245" i="126"/>
  <c r="O246" i="126"/>
  <c r="O247" i="126"/>
  <c r="O248" i="126"/>
  <c r="O249" i="126"/>
  <c r="O250" i="126"/>
  <c r="O251" i="126"/>
  <c r="O252" i="126"/>
  <c r="O253" i="126"/>
  <c r="O254" i="126"/>
  <c r="O255" i="126"/>
  <c r="O256" i="126"/>
  <c r="O257" i="126"/>
  <c r="O258" i="126"/>
  <c r="O259" i="126"/>
  <c r="O260" i="126"/>
  <c r="O261" i="126"/>
  <c r="O262" i="126"/>
  <c r="O263" i="126"/>
  <c r="O264" i="126"/>
  <c r="O265" i="126"/>
  <c r="E35" i="125"/>
  <c r="B42" i="125"/>
  <c r="B36" i="125"/>
  <c r="B35" i="125"/>
  <c r="C35" i="125"/>
  <c r="D35" i="125"/>
  <c r="G35" i="125"/>
  <c r="H35" i="125"/>
  <c r="O266" i="126"/>
  <c r="C36" i="125"/>
  <c r="D36" i="125"/>
  <c r="G36" i="125"/>
  <c r="H36" i="125"/>
  <c r="O267" i="126"/>
  <c r="B29" i="125"/>
  <c r="B23" i="125"/>
  <c r="B22" i="125"/>
  <c r="C22" i="125"/>
  <c r="D22" i="125"/>
  <c r="G22" i="125"/>
  <c r="E22" i="125"/>
  <c r="H22" i="125"/>
  <c r="O268" i="126"/>
  <c r="C23" i="125"/>
  <c r="D23" i="125"/>
  <c r="G23" i="125"/>
  <c r="H23" i="125"/>
  <c r="O269" i="126"/>
  <c r="C29" i="125"/>
  <c r="D29" i="125"/>
  <c r="G29" i="125"/>
  <c r="H29" i="125"/>
  <c r="O270" i="126"/>
  <c r="O271" i="126"/>
  <c r="P272" i="126"/>
  <c r="N272" i="126"/>
  <c r="M272" i="126"/>
  <c r="L272" i="126"/>
  <c r="K272" i="126"/>
  <c r="H272" i="126"/>
  <c r="A272" i="126"/>
  <c r="P271" i="126"/>
  <c r="N271" i="126"/>
  <c r="M271" i="126"/>
  <c r="L271" i="126"/>
  <c r="H271" i="126"/>
  <c r="A271" i="126"/>
  <c r="P270" i="126"/>
  <c r="N270" i="126"/>
  <c r="M270" i="126"/>
  <c r="L270" i="126"/>
  <c r="H270" i="126"/>
  <c r="A270" i="126"/>
  <c r="P269" i="126"/>
  <c r="N269" i="126"/>
  <c r="M269" i="126"/>
  <c r="L269" i="126"/>
  <c r="H269" i="126"/>
  <c r="A269" i="126"/>
  <c r="P268" i="126"/>
  <c r="N268" i="126"/>
  <c r="M268" i="126"/>
  <c r="L268" i="126"/>
  <c r="H268" i="126"/>
  <c r="A268" i="126"/>
  <c r="P267" i="126"/>
  <c r="N267" i="126"/>
  <c r="M267" i="126"/>
  <c r="L267" i="126"/>
  <c r="H267" i="126"/>
  <c r="A267" i="126"/>
  <c r="P266" i="126"/>
  <c r="N266" i="126"/>
  <c r="M266" i="126"/>
  <c r="L266" i="126"/>
  <c r="H266" i="126"/>
  <c r="A266" i="126"/>
  <c r="P265" i="126"/>
  <c r="N265" i="126"/>
  <c r="M265" i="126"/>
  <c r="L265" i="126"/>
  <c r="H265" i="126"/>
  <c r="A265" i="126"/>
  <c r="P264" i="126"/>
  <c r="N264" i="126"/>
  <c r="M264" i="126"/>
  <c r="L264" i="126"/>
  <c r="H264" i="126"/>
  <c r="A264" i="126"/>
  <c r="P263" i="126"/>
  <c r="N263" i="126"/>
  <c r="M263" i="126"/>
  <c r="L263" i="126"/>
  <c r="H263" i="126"/>
  <c r="A263" i="126"/>
  <c r="P262" i="126"/>
  <c r="N262" i="126"/>
  <c r="M262" i="126"/>
  <c r="L262" i="126"/>
  <c r="H262" i="126"/>
  <c r="A262" i="126"/>
  <c r="P261" i="126"/>
  <c r="N261" i="126"/>
  <c r="M261" i="126"/>
  <c r="L261" i="126"/>
  <c r="H261" i="126"/>
  <c r="A261" i="126"/>
  <c r="P260" i="126"/>
  <c r="N260" i="126"/>
  <c r="M260" i="126"/>
  <c r="L260" i="126"/>
  <c r="H260" i="126"/>
  <c r="A260" i="126"/>
  <c r="P259" i="126"/>
  <c r="N259" i="126"/>
  <c r="M259" i="126"/>
  <c r="L259" i="126"/>
  <c r="H259" i="126"/>
  <c r="A259" i="126"/>
  <c r="P258" i="126"/>
  <c r="N258" i="126"/>
  <c r="M258" i="126"/>
  <c r="L258" i="126"/>
  <c r="H258" i="126"/>
  <c r="A258" i="126"/>
  <c r="P257" i="126"/>
  <c r="N257" i="126"/>
  <c r="M257" i="126"/>
  <c r="L257" i="126"/>
  <c r="H257" i="126"/>
  <c r="A257" i="126"/>
  <c r="P256" i="126"/>
  <c r="N256" i="126"/>
  <c r="M256" i="126"/>
  <c r="L256" i="126"/>
  <c r="H256" i="126"/>
  <c r="A256" i="126"/>
  <c r="P255" i="126"/>
  <c r="N255" i="126"/>
  <c r="M255" i="126"/>
  <c r="L255" i="126"/>
  <c r="H255" i="126"/>
  <c r="A255" i="126"/>
  <c r="P254" i="126"/>
  <c r="N254" i="126"/>
  <c r="M254" i="126"/>
  <c r="L254" i="126"/>
  <c r="H254" i="126"/>
  <c r="A254" i="126"/>
  <c r="P253" i="126"/>
  <c r="N253" i="126"/>
  <c r="M253" i="126"/>
  <c r="L253" i="126"/>
  <c r="H253" i="126"/>
  <c r="A253" i="126"/>
  <c r="P252" i="126"/>
  <c r="N252" i="126"/>
  <c r="M252" i="126"/>
  <c r="L252" i="126"/>
  <c r="H252" i="126"/>
  <c r="A252" i="126"/>
  <c r="P251" i="126"/>
  <c r="N251" i="126"/>
  <c r="M251" i="126"/>
  <c r="L251" i="126"/>
  <c r="H251" i="126"/>
  <c r="A251" i="126"/>
  <c r="P250" i="126"/>
  <c r="N250" i="126"/>
  <c r="M250" i="126"/>
  <c r="L250" i="126"/>
  <c r="H250" i="126"/>
  <c r="A250" i="126"/>
  <c r="P249" i="126"/>
  <c r="N249" i="126"/>
  <c r="M249" i="126"/>
  <c r="L249" i="126"/>
  <c r="H249" i="126"/>
  <c r="A249" i="126"/>
  <c r="P248" i="126"/>
  <c r="N248" i="126"/>
  <c r="M248" i="126"/>
  <c r="L248" i="126"/>
  <c r="H248" i="126"/>
  <c r="A248" i="126"/>
  <c r="P247" i="126"/>
  <c r="N247" i="126"/>
  <c r="M247" i="126"/>
  <c r="L247" i="126"/>
  <c r="H247" i="126"/>
  <c r="A247" i="126"/>
  <c r="P246" i="126"/>
  <c r="N246" i="126"/>
  <c r="M246" i="126"/>
  <c r="L246" i="126"/>
  <c r="H246" i="126"/>
  <c r="A246" i="126"/>
  <c r="P245" i="126"/>
  <c r="N245" i="126"/>
  <c r="M245" i="126"/>
  <c r="L245" i="126"/>
  <c r="H245" i="126"/>
  <c r="A245" i="126"/>
  <c r="P244" i="126"/>
  <c r="N244" i="126"/>
  <c r="M244" i="126"/>
  <c r="L244" i="126"/>
  <c r="H244" i="126"/>
  <c r="A244" i="126"/>
  <c r="P243" i="126"/>
  <c r="N243" i="126"/>
  <c r="M243" i="126"/>
  <c r="L243" i="126"/>
  <c r="H243" i="126"/>
  <c r="A243" i="126"/>
  <c r="P242" i="126"/>
  <c r="N242" i="126"/>
  <c r="M242" i="126"/>
  <c r="L242" i="126"/>
  <c r="H242" i="126"/>
  <c r="A242" i="126"/>
  <c r="P241" i="126"/>
  <c r="N241" i="126"/>
  <c r="M241" i="126"/>
  <c r="L241" i="126"/>
  <c r="H241" i="126"/>
  <c r="A241" i="126"/>
  <c r="P240" i="126"/>
  <c r="N240" i="126"/>
  <c r="M240" i="126"/>
  <c r="L240" i="126"/>
  <c r="H240" i="126"/>
  <c r="A240" i="126"/>
  <c r="P239" i="126"/>
  <c r="N239" i="126"/>
  <c r="M239" i="126"/>
  <c r="L239" i="126"/>
  <c r="H239" i="126"/>
  <c r="A239" i="126"/>
  <c r="P238" i="126"/>
  <c r="N238" i="126"/>
  <c r="M238" i="126"/>
  <c r="L238" i="126"/>
  <c r="H238" i="126"/>
  <c r="A238" i="126"/>
  <c r="P237" i="126"/>
  <c r="N237" i="126"/>
  <c r="M237" i="126"/>
  <c r="L237" i="126"/>
  <c r="H237" i="126"/>
  <c r="A237" i="126"/>
  <c r="P236" i="126"/>
  <c r="N236" i="126"/>
  <c r="M236" i="126"/>
  <c r="L236" i="126"/>
  <c r="H236" i="126"/>
  <c r="A236" i="126"/>
  <c r="P235" i="126"/>
  <c r="N235" i="126"/>
  <c r="M235" i="126"/>
  <c r="L235" i="126"/>
  <c r="H235" i="126"/>
  <c r="A235" i="126"/>
  <c r="P234" i="126"/>
  <c r="N234" i="126"/>
  <c r="M234" i="126"/>
  <c r="L234" i="126"/>
  <c r="H234" i="126"/>
  <c r="A234" i="126"/>
  <c r="P233" i="126"/>
  <c r="N233" i="126"/>
  <c r="M233" i="126"/>
  <c r="L233" i="126"/>
  <c r="H233" i="126"/>
  <c r="A233" i="126"/>
  <c r="P232" i="126"/>
  <c r="N232" i="126"/>
  <c r="M232" i="126"/>
  <c r="L232" i="126"/>
  <c r="H232" i="126"/>
  <c r="A232" i="126"/>
  <c r="P231" i="126"/>
  <c r="N231" i="126"/>
  <c r="M231" i="126"/>
  <c r="L231" i="126"/>
  <c r="H231" i="126"/>
  <c r="A231" i="126"/>
  <c r="P230" i="126"/>
  <c r="N230" i="126"/>
  <c r="M230" i="126"/>
  <c r="L230" i="126"/>
  <c r="H230" i="126"/>
  <c r="A230" i="126"/>
  <c r="P229" i="126"/>
  <c r="N229" i="126"/>
  <c r="M229" i="126"/>
  <c r="L229" i="126"/>
  <c r="H229" i="126"/>
  <c r="A229" i="126"/>
  <c r="P228" i="126"/>
  <c r="N228" i="126"/>
  <c r="M228" i="126"/>
  <c r="L228" i="126"/>
  <c r="H228" i="126"/>
  <c r="A228" i="126"/>
  <c r="P227" i="126"/>
  <c r="N227" i="126"/>
  <c r="M227" i="126"/>
  <c r="L227" i="126"/>
  <c r="H227" i="126"/>
  <c r="A227" i="126"/>
  <c r="P226" i="126"/>
  <c r="N226" i="126"/>
  <c r="M226" i="126"/>
  <c r="L226" i="126"/>
  <c r="H226" i="126"/>
  <c r="A226" i="126"/>
  <c r="P225" i="126"/>
  <c r="N225" i="126"/>
  <c r="M225" i="126"/>
  <c r="L225" i="126"/>
  <c r="H225" i="126"/>
  <c r="A225" i="126"/>
  <c r="P224" i="126"/>
  <c r="N224" i="126"/>
  <c r="M224" i="126"/>
  <c r="L224" i="126"/>
  <c r="H224" i="126"/>
  <c r="A224" i="126"/>
  <c r="P223" i="126"/>
  <c r="N223" i="126"/>
  <c r="M223" i="126"/>
  <c r="L223" i="126"/>
  <c r="H223" i="126"/>
  <c r="A223" i="126"/>
  <c r="P222" i="126"/>
  <c r="N222" i="126"/>
  <c r="M222" i="126"/>
  <c r="L222" i="126"/>
  <c r="H222" i="126"/>
  <c r="A222" i="126"/>
  <c r="P221" i="126"/>
  <c r="N221" i="126"/>
  <c r="M221" i="126"/>
  <c r="L221" i="126"/>
  <c r="H221" i="126"/>
  <c r="A221" i="126"/>
  <c r="P220" i="126"/>
  <c r="N220" i="126"/>
  <c r="M220" i="126"/>
  <c r="L220" i="126"/>
  <c r="H220" i="126"/>
  <c r="A220" i="126"/>
  <c r="P219" i="126"/>
  <c r="N219" i="126"/>
  <c r="M219" i="126"/>
  <c r="L219" i="126"/>
  <c r="H219" i="126"/>
  <c r="A219" i="126"/>
  <c r="P218" i="126"/>
  <c r="N218" i="126"/>
  <c r="M218" i="126"/>
  <c r="L218" i="126"/>
  <c r="H218" i="126"/>
  <c r="A218" i="126"/>
  <c r="P217" i="126"/>
  <c r="N217" i="126"/>
  <c r="M217" i="126"/>
  <c r="L217" i="126"/>
  <c r="H217" i="126"/>
  <c r="A217" i="126"/>
  <c r="P216" i="126"/>
  <c r="N216" i="126"/>
  <c r="M216" i="126"/>
  <c r="L216" i="126"/>
  <c r="H216" i="126"/>
  <c r="A216" i="126"/>
  <c r="P215" i="126"/>
  <c r="N215" i="126"/>
  <c r="M215" i="126"/>
  <c r="L215" i="126"/>
  <c r="H215" i="126"/>
  <c r="A215" i="126"/>
  <c r="P214" i="126"/>
  <c r="N214" i="126"/>
  <c r="M214" i="126"/>
  <c r="L214" i="126"/>
  <c r="H214" i="126"/>
  <c r="A214" i="126"/>
  <c r="P213" i="126"/>
  <c r="N213" i="126"/>
  <c r="M213" i="126"/>
  <c r="L213" i="126"/>
  <c r="H213" i="126"/>
  <c r="A213" i="126"/>
  <c r="P212" i="126"/>
  <c r="N212" i="126"/>
  <c r="M212" i="126"/>
  <c r="L212" i="126"/>
  <c r="H212" i="126"/>
  <c r="A212" i="126"/>
  <c r="P211" i="126"/>
  <c r="N211" i="126"/>
  <c r="M211" i="126"/>
  <c r="L211" i="126"/>
  <c r="H211" i="126"/>
  <c r="A211" i="126"/>
  <c r="P210" i="126"/>
  <c r="N210" i="126"/>
  <c r="M210" i="126"/>
  <c r="L210" i="126"/>
  <c r="H210" i="126"/>
  <c r="A210" i="126"/>
  <c r="P209" i="126"/>
  <c r="N209" i="126"/>
  <c r="M209" i="126"/>
  <c r="L209" i="126"/>
  <c r="H209" i="126"/>
  <c r="A209" i="126"/>
  <c r="P208" i="126"/>
  <c r="N208" i="126"/>
  <c r="M208" i="126"/>
  <c r="L208" i="126"/>
  <c r="H208" i="126"/>
  <c r="A208" i="126"/>
  <c r="P207" i="126"/>
  <c r="N207" i="126"/>
  <c r="M207" i="126"/>
  <c r="L207" i="126"/>
  <c r="H207" i="126"/>
  <c r="A207" i="126"/>
  <c r="P206" i="126"/>
  <c r="N206" i="126"/>
  <c r="M206" i="126"/>
  <c r="L206" i="126"/>
  <c r="H206" i="126"/>
  <c r="A206" i="126"/>
  <c r="P205" i="126"/>
  <c r="N205" i="126"/>
  <c r="M205" i="126"/>
  <c r="L205" i="126"/>
  <c r="H205" i="126"/>
  <c r="A205" i="126"/>
  <c r="P204" i="126"/>
  <c r="N204" i="126"/>
  <c r="M204" i="126"/>
  <c r="L204" i="126"/>
  <c r="H204" i="126"/>
  <c r="A204" i="126"/>
  <c r="P203" i="126"/>
  <c r="N203" i="126"/>
  <c r="M203" i="126"/>
  <c r="L203" i="126"/>
  <c r="H203" i="126"/>
  <c r="A203" i="126"/>
  <c r="P202" i="126"/>
  <c r="N202" i="126"/>
  <c r="M202" i="126"/>
  <c r="L202" i="126"/>
  <c r="H202" i="126"/>
  <c r="A202" i="126"/>
  <c r="P201" i="126"/>
  <c r="N201" i="126"/>
  <c r="M201" i="126"/>
  <c r="L201" i="126"/>
  <c r="H201" i="126"/>
  <c r="A201" i="126"/>
  <c r="P200" i="126"/>
  <c r="N200" i="126"/>
  <c r="M200" i="126"/>
  <c r="L200" i="126"/>
  <c r="H200" i="126"/>
  <c r="A200" i="126"/>
  <c r="P199" i="126"/>
  <c r="N199" i="126"/>
  <c r="M199" i="126"/>
  <c r="L199" i="126"/>
  <c r="H199" i="126"/>
  <c r="A199" i="126"/>
  <c r="P198" i="126"/>
  <c r="N198" i="126"/>
  <c r="M198" i="126"/>
  <c r="L198" i="126"/>
  <c r="H198" i="126"/>
  <c r="A198" i="126"/>
  <c r="P197" i="126"/>
  <c r="N197" i="126"/>
  <c r="M197" i="126"/>
  <c r="L197" i="126"/>
  <c r="H197" i="126"/>
  <c r="A197" i="126"/>
  <c r="P196" i="126"/>
  <c r="N196" i="126"/>
  <c r="M196" i="126"/>
  <c r="L196" i="126"/>
  <c r="H196" i="126"/>
  <c r="A196" i="126"/>
  <c r="P195" i="126"/>
  <c r="N195" i="126"/>
  <c r="M195" i="126"/>
  <c r="L195" i="126"/>
  <c r="H195" i="126"/>
  <c r="A195" i="126"/>
  <c r="P194" i="126"/>
  <c r="N194" i="126"/>
  <c r="M194" i="126"/>
  <c r="L194" i="126"/>
  <c r="H194" i="126"/>
  <c r="A194" i="126"/>
  <c r="P193" i="126"/>
  <c r="N193" i="126"/>
  <c r="M193" i="126"/>
  <c r="L193" i="126"/>
  <c r="H193" i="126"/>
  <c r="A193" i="126"/>
  <c r="P192" i="126"/>
  <c r="N192" i="126"/>
  <c r="M192" i="126"/>
  <c r="L192" i="126"/>
  <c r="H192" i="126"/>
  <c r="A192" i="126"/>
  <c r="P191" i="126"/>
  <c r="N191" i="126"/>
  <c r="M191" i="126"/>
  <c r="L191" i="126"/>
  <c r="H191" i="126"/>
  <c r="A191" i="126"/>
  <c r="P190" i="126"/>
  <c r="N190" i="126"/>
  <c r="M190" i="126"/>
  <c r="L190" i="126"/>
  <c r="H190" i="126"/>
  <c r="A190" i="126"/>
  <c r="P189" i="126"/>
  <c r="N189" i="126"/>
  <c r="M189" i="126"/>
  <c r="L189" i="126"/>
  <c r="H189" i="126"/>
  <c r="A189" i="126"/>
  <c r="P188" i="126"/>
  <c r="N188" i="126"/>
  <c r="M188" i="126"/>
  <c r="L188" i="126"/>
  <c r="H188" i="126"/>
  <c r="A188" i="126"/>
  <c r="P187" i="126"/>
  <c r="N187" i="126"/>
  <c r="M187" i="126"/>
  <c r="L187" i="126"/>
  <c r="H187" i="126"/>
  <c r="A187" i="126"/>
  <c r="P186" i="126"/>
  <c r="N186" i="126"/>
  <c r="M186" i="126"/>
  <c r="L186" i="126"/>
  <c r="H186" i="126"/>
  <c r="A186" i="126"/>
  <c r="P185" i="126"/>
  <c r="N185" i="126"/>
  <c r="M185" i="126"/>
  <c r="L185" i="126"/>
  <c r="H185" i="126"/>
  <c r="A185" i="126"/>
  <c r="P184" i="126"/>
  <c r="N184" i="126"/>
  <c r="M184" i="126"/>
  <c r="L184" i="126"/>
  <c r="H184" i="126"/>
  <c r="A184" i="126"/>
  <c r="P183" i="126"/>
  <c r="N183" i="126"/>
  <c r="M183" i="126"/>
  <c r="L183" i="126"/>
  <c r="H183" i="126"/>
  <c r="A183" i="126"/>
  <c r="P182" i="126"/>
  <c r="N182" i="126"/>
  <c r="M182" i="126"/>
  <c r="L182" i="126"/>
  <c r="H182" i="126"/>
  <c r="A182" i="126"/>
  <c r="P181" i="126"/>
  <c r="N181" i="126"/>
  <c r="M181" i="126"/>
  <c r="L181" i="126"/>
  <c r="H181" i="126"/>
  <c r="A181" i="126"/>
  <c r="P180" i="126"/>
  <c r="N180" i="126"/>
  <c r="M180" i="126"/>
  <c r="L180" i="126"/>
  <c r="H180" i="126"/>
  <c r="A180" i="126"/>
  <c r="P179" i="126"/>
  <c r="N179" i="126"/>
  <c r="M179" i="126"/>
  <c r="L179" i="126"/>
  <c r="H179" i="126"/>
  <c r="A179" i="126"/>
  <c r="P178" i="126"/>
  <c r="N178" i="126"/>
  <c r="M178" i="126"/>
  <c r="L178" i="126"/>
  <c r="H178" i="126"/>
  <c r="A178" i="126"/>
  <c r="P177" i="126"/>
  <c r="N177" i="126"/>
  <c r="M177" i="126"/>
  <c r="L177" i="126"/>
  <c r="H177" i="126"/>
  <c r="A177" i="126"/>
  <c r="P176" i="126"/>
  <c r="N176" i="126"/>
  <c r="M176" i="126"/>
  <c r="L176" i="126"/>
  <c r="H176" i="126"/>
  <c r="A176" i="126"/>
  <c r="P175" i="126"/>
  <c r="N175" i="126"/>
  <c r="M175" i="126"/>
  <c r="L175" i="126"/>
  <c r="H175" i="126"/>
  <c r="A175" i="126"/>
  <c r="P174" i="126"/>
  <c r="N174" i="126"/>
  <c r="M174" i="126"/>
  <c r="L174" i="126"/>
  <c r="H174" i="126"/>
  <c r="A174" i="126"/>
  <c r="P173" i="126"/>
  <c r="N173" i="126"/>
  <c r="M173" i="126"/>
  <c r="L173" i="126"/>
  <c r="H173" i="126"/>
  <c r="A173" i="126"/>
  <c r="P172" i="126"/>
  <c r="N172" i="126"/>
  <c r="M172" i="126"/>
  <c r="L172" i="126"/>
  <c r="H172" i="126"/>
  <c r="A172" i="126"/>
  <c r="P171" i="126"/>
  <c r="N171" i="126"/>
  <c r="M171" i="126"/>
  <c r="L171" i="126"/>
  <c r="H171" i="126"/>
  <c r="A171" i="126"/>
  <c r="P170" i="126"/>
  <c r="N170" i="126"/>
  <c r="M170" i="126"/>
  <c r="L170" i="126"/>
  <c r="H170" i="126"/>
  <c r="A170" i="126"/>
  <c r="P169" i="126"/>
  <c r="N169" i="126"/>
  <c r="M169" i="126"/>
  <c r="L169" i="126"/>
  <c r="H169" i="126"/>
  <c r="A169" i="126"/>
  <c r="P168" i="126"/>
  <c r="N168" i="126"/>
  <c r="M168" i="126"/>
  <c r="L168" i="126"/>
  <c r="H168" i="126"/>
  <c r="A168" i="126"/>
  <c r="P167" i="126"/>
  <c r="N167" i="126"/>
  <c r="M167" i="126"/>
  <c r="L167" i="126"/>
  <c r="H167" i="126"/>
  <c r="A167" i="126"/>
  <c r="P166" i="126"/>
  <c r="N166" i="126"/>
  <c r="M166" i="126"/>
  <c r="L166" i="126"/>
  <c r="H166" i="126"/>
  <c r="A166" i="126"/>
  <c r="P165" i="126"/>
  <c r="N165" i="126"/>
  <c r="M165" i="126"/>
  <c r="L165" i="126"/>
  <c r="H165" i="126"/>
  <c r="A165" i="126"/>
  <c r="P164" i="126"/>
  <c r="N164" i="126"/>
  <c r="M164" i="126"/>
  <c r="L164" i="126"/>
  <c r="H164" i="126"/>
  <c r="A164" i="126"/>
  <c r="P163" i="126"/>
  <c r="N163" i="126"/>
  <c r="M163" i="126"/>
  <c r="L163" i="126"/>
  <c r="H163" i="126"/>
  <c r="A163" i="126"/>
  <c r="P162" i="126"/>
  <c r="N162" i="126"/>
  <c r="M162" i="126"/>
  <c r="L162" i="126"/>
  <c r="H162" i="126"/>
  <c r="A162" i="126"/>
  <c r="P161" i="126"/>
  <c r="N161" i="126"/>
  <c r="M161" i="126"/>
  <c r="L161" i="126"/>
  <c r="H161" i="126"/>
  <c r="A161" i="126"/>
  <c r="P160" i="126"/>
  <c r="N160" i="126"/>
  <c r="M160" i="126"/>
  <c r="L160" i="126"/>
  <c r="H160" i="126"/>
  <c r="A160" i="126"/>
  <c r="P159" i="126"/>
  <c r="N159" i="126"/>
  <c r="M159" i="126"/>
  <c r="L159" i="126"/>
  <c r="H159" i="126"/>
  <c r="A159" i="126"/>
  <c r="P158" i="126"/>
  <c r="N158" i="126"/>
  <c r="M158" i="126"/>
  <c r="L158" i="126"/>
  <c r="H158" i="126"/>
  <c r="A158" i="126"/>
  <c r="P157" i="126"/>
  <c r="N157" i="126"/>
  <c r="M157" i="126"/>
  <c r="L157" i="126"/>
  <c r="H157" i="126"/>
  <c r="A157" i="126"/>
  <c r="P156" i="126"/>
  <c r="N156" i="126"/>
  <c r="M156" i="126"/>
  <c r="L156" i="126"/>
  <c r="H156" i="126"/>
  <c r="A156" i="126"/>
  <c r="P155" i="126"/>
  <c r="N155" i="126"/>
  <c r="M155" i="126"/>
  <c r="L155" i="126"/>
  <c r="H155" i="126"/>
  <c r="A155" i="126"/>
  <c r="P154" i="126"/>
  <c r="N154" i="126"/>
  <c r="M154" i="126"/>
  <c r="L154" i="126"/>
  <c r="H154" i="126"/>
  <c r="A154" i="126"/>
  <c r="P153" i="126"/>
  <c r="N153" i="126"/>
  <c r="M153" i="126"/>
  <c r="L153" i="126"/>
  <c r="H153" i="126"/>
  <c r="A153" i="126"/>
  <c r="P152" i="126"/>
  <c r="N152" i="126"/>
  <c r="M152" i="126"/>
  <c r="L152" i="126"/>
  <c r="H152" i="126"/>
  <c r="A152" i="126"/>
  <c r="P151" i="126"/>
  <c r="N151" i="126"/>
  <c r="M151" i="126"/>
  <c r="L151" i="126"/>
  <c r="H151" i="126"/>
  <c r="A151" i="126"/>
  <c r="P150" i="126"/>
  <c r="N150" i="126"/>
  <c r="M150" i="126"/>
  <c r="L150" i="126"/>
  <c r="H150" i="126"/>
  <c r="A150" i="126"/>
  <c r="P149" i="126"/>
  <c r="N149" i="126"/>
  <c r="M149" i="126"/>
  <c r="L149" i="126"/>
  <c r="H149" i="126"/>
  <c r="A149" i="126"/>
  <c r="P148" i="126"/>
  <c r="N148" i="126"/>
  <c r="M148" i="126"/>
  <c r="L148" i="126"/>
  <c r="H148" i="126"/>
  <c r="A148" i="126"/>
  <c r="P147" i="126"/>
  <c r="N147" i="126"/>
  <c r="M147" i="126"/>
  <c r="L147" i="126"/>
  <c r="H147" i="126"/>
  <c r="A147" i="126"/>
  <c r="P146" i="126"/>
  <c r="N146" i="126"/>
  <c r="M146" i="126"/>
  <c r="L146" i="126"/>
  <c r="H146" i="126"/>
  <c r="A146" i="126"/>
  <c r="P145" i="126"/>
  <c r="N145" i="126"/>
  <c r="M145" i="126"/>
  <c r="L145" i="126"/>
  <c r="H145" i="126"/>
  <c r="A145" i="126"/>
  <c r="P144" i="126"/>
  <c r="N144" i="126"/>
  <c r="M144" i="126"/>
  <c r="L144" i="126"/>
  <c r="H144" i="126"/>
  <c r="A144" i="126"/>
  <c r="P143" i="126"/>
  <c r="N143" i="126"/>
  <c r="M143" i="126"/>
  <c r="L143" i="126"/>
  <c r="H143" i="126"/>
  <c r="A143" i="126"/>
  <c r="P142" i="126"/>
  <c r="N142" i="126"/>
  <c r="M142" i="126"/>
  <c r="L142" i="126"/>
  <c r="H142" i="126"/>
  <c r="A142" i="126"/>
  <c r="P141" i="126"/>
  <c r="N141" i="126"/>
  <c r="M141" i="126"/>
  <c r="L141" i="126"/>
  <c r="H141" i="126"/>
  <c r="A141" i="126"/>
  <c r="P140" i="126"/>
  <c r="N140" i="126"/>
  <c r="M140" i="126"/>
  <c r="L140" i="126"/>
  <c r="H140" i="126"/>
  <c r="A140" i="126"/>
  <c r="P139" i="126"/>
  <c r="N139" i="126"/>
  <c r="M139" i="126"/>
  <c r="L139" i="126"/>
  <c r="H139" i="126"/>
  <c r="A139" i="126"/>
  <c r="P138" i="126"/>
  <c r="N138" i="126"/>
  <c r="M138" i="126"/>
  <c r="L138" i="126"/>
  <c r="H138" i="126"/>
  <c r="A138" i="126"/>
  <c r="P137" i="126"/>
  <c r="N137" i="126"/>
  <c r="M137" i="126"/>
  <c r="L137" i="126"/>
  <c r="H137" i="126"/>
  <c r="A137" i="126"/>
  <c r="P136" i="126"/>
  <c r="N136" i="126"/>
  <c r="M136" i="126"/>
  <c r="L136" i="126"/>
  <c r="H136" i="126"/>
  <c r="A136" i="126"/>
  <c r="P135" i="126"/>
  <c r="N135" i="126"/>
  <c r="M135" i="126"/>
  <c r="L135" i="126"/>
  <c r="H135" i="126"/>
  <c r="A135" i="126"/>
  <c r="P134" i="126"/>
  <c r="N134" i="126"/>
  <c r="M134" i="126"/>
  <c r="L134" i="126"/>
  <c r="H134" i="126"/>
  <c r="A134" i="126"/>
  <c r="P133" i="126"/>
  <c r="N133" i="126"/>
  <c r="M133" i="126"/>
  <c r="L133" i="126"/>
  <c r="H133" i="126"/>
  <c r="A133" i="126"/>
  <c r="P132" i="126"/>
  <c r="N132" i="126"/>
  <c r="M132" i="126"/>
  <c r="L132" i="126"/>
  <c r="H132" i="126"/>
  <c r="A132" i="126"/>
  <c r="P131" i="126"/>
  <c r="N131" i="126"/>
  <c r="M131" i="126"/>
  <c r="L131" i="126"/>
  <c r="H131" i="126"/>
  <c r="A131" i="126"/>
  <c r="P130" i="126"/>
  <c r="N130" i="126"/>
  <c r="M130" i="126"/>
  <c r="L130" i="126"/>
  <c r="H130" i="126"/>
  <c r="A130" i="126"/>
  <c r="P129" i="126"/>
  <c r="N129" i="126"/>
  <c r="M129" i="126"/>
  <c r="L129" i="126"/>
  <c r="H129" i="126"/>
  <c r="A129" i="126"/>
  <c r="P128" i="126"/>
  <c r="N128" i="126"/>
  <c r="M128" i="126"/>
  <c r="L128" i="126"/>
  <c r="H128" i="126"/>
  <c r="A128" i="126"/>
  <c r="P127" i="126"/>
  <c r="N127" i="126"/>
  <c r="M127" i="126"/>
  <c r="L127" i="126"/>
  <c r="H127" i="126"/>
  <c r="A127" i="126"/>
  <c r="P126" i="126"/>
  <c r="N126" i="126"/>
  <c r="M126" i="126"/>
  <c r="L126" i="126"/>
  <c r="H126" i="126"/>
  <c r="A126" i="126"/>
  <c r="P125" i="126"/>
  <c r="N125" i="126"/>
  <c r="M125" i="126"/>
  <c r="L125" i="126"/>
  <c r="H125" i="126"/>
  <c r="A125" i="126"/>
  <c r="P124" i="126"/>
  <c r="N124" i="126"/>
  <c r="M124" i="126"/>
  <c r="L124" i="126"/>
  <c r="H124" i="126"/>
  <c r="A124" i="126"/>
  <c r="P123" i="126"/>
  <c r="N123" i="126"/>
  <c r="M123" i="126"/>
  <c r="L123" i="126"/>
  <c r="H123" i="126"/>
  <c r="A123" i="126"/>
  <c r="P122" i="126"/>
  <c r="N122" i="126"/>
  <c r="M122" i="126"/>
  <c r="L122" i="126"/>
  <c r="H122" i="126"/>
  <c r="A122" i="126"/>
  <c r="P121" i="126"/>
  <c r="N121" i="126"/>
  <c r="M121" i="126"/>
  <c r="L121" i="126"/>
  <c r="H121" i="126"/>
  <c r="A121" i="126"/>
  <c r="P120" i="126"/>
  <c r="N120" i="126"/>
  <c r="M120" i="126"/>
  <c r="L120" i="126"/>
  <c r="H120" i="126"/>
  <c r="A120" i="126"/>
  <c r="P119" i="126"/>
  <c r="N119" i="126"/>
  <c r="M119" i="126"/>
  <c r="L119" i="126"/>
  <c r="H119" i="126"/>
  <c r="A119" i="126"/>
  <c r="P118" i="126"/>
  <c r="N118" i="126"/>
  <c r="M118" i="126"/>
  <c r="L118" i="126"/>
  <c r="H118" i="126"/>
  <c r="A118" i="126"/>
  <c r="P117" i="126"/>
  <c r="N117" i="126"/>
  <c r="M117" i="126"/>
  <c r="L117" i="126"/>
  <c r="H117" i="126"/>
  <c r="A117" i="126"/>
  <c r="P116" i="126"/>
  <c r="N116" i="126"/>
  <c r="M116" i="126"/>
  <c r="L116" i="126"/>
  <c r="H116" i="126"/>
  <c r="A116" i="126"/>
  <c r="P115" i="126"/>
  <c r="N115" i="126"/>
  <c r="M115" i="126"/>
  <c r="L115" i="126"/>
  <c r="H115" i="126"/>
  <c r="A115" i="126"/>
  <c r="P114" i="126"/>
  <c r="N114" i="126"/>
  <c r="M114" i="126"/>
  <c r="L114" i="126"/>
  <c r="H114" i="126"/>
  <c r="A114" i="126"/>
  <c r="P113" i="126"/>
  <c r="N113" i="126"/>
  <c r="M113" i="126"/>
  <c r="L113" i="126"/>
  <c r="H113" i="126"/>
  <c r="A113" i="126"/>
  <c r="P112" i="126"/>
  <c r="N112" i="126"/>
  <c r="M112" i="126"/>
  <c r="L112" i="126"/>
  <c r="H112" i="126"/>
  <c r="A112" i="126"/>
  <c r="P111" i="126"/>
  <c r="N111" i="126"/>
  <c r="M111" i="126"/>
  <c r="L111" i="126"/>
  <c r="H111" i="126"/>
  <c r="A111" i="126"/>
  <c r="P110" i="126"/>
  <c r="N110" i="126"/>
  <c r="M110" i="126"/>
  <c r="L110" i="126"/>
  <c r="H110" i="126"/>
  <c r="A110" i="126"/>
  <c r="P109" i="126"/>
  <c r="N109" i="126"/>
  <c r="M109" i="126"/>
  <c r="L109" i="126"/>
  <c r="H109" i="126"/>
  <c r="A109" i="126"/>
  <c r="P108" i="126"/>
  <c r="N108" i="126"/>
  <c r="M108" i="126"/>
  <c r="L108" i="126"/>
  <c r="H108" i="126"/>
  <c r="A108" i="126"/>
  <c r="P107" i="126"/>
  <c r="N107" i="126"/>
  <c r="M107" i="126"/>
  <c r="L107" i="126"/>
  <c r="H107" i="126"/>
  <c r="A107" i="126"/>
  <c r="P106" i="126"/>
  <c r="N106" i="126"/>
  <c r="M106" i="126"/>
  <c r="L106" i="126"/>
  <c r="H106" i="126"/>
  <c r="A106" i="126"/>
  <c r="P105" i="126"/>
  <c r="N105" i="126"/>
  <c r="M105" i="126"/>
  <c r="L105" i="126"/>
  <c r="H105" i="126"/>
  <c r="A105" i="126"/>
  <c r="P104" i="126"/>
  <c r="N104" i="126"/>
  <c r="M104" i="126"/>
  <c r="L104" i="126"/>
  <c r="H104" i="126"/>
  <c r="A104" i="126"/>
  <c r="P103" i="126"/>
  <c r="N103" i="126"/>
  <c r="M103" i="126"/>
  <c r="L103" i="126"/>
  <c r="H103" i="126"/>
  <c r="A103" i="126"/>
  <c r="P102" i="126"/>
  <c r="N102" i="126"/>
  <c r="M102" i="126"/>
  <c r="L102" i="126"/>
  <c r="H102" i="126"/>
  <c r="A102" i="126"/>
  <c r="P101" i="126"/>
  <c r="N101" i="126"/>
  <c r="M101" i="126"/>
  <c r="L101" i="126"/>
  <c r="H101" i="126"/>
  <c r="A101" i="126"/>
  <c r="P100" i="126"/>
  <c r="N100" i="126"/>
  <c r="M100" i="126"/>
  <c r="L100" i="126"/>
  <c r="H100" i="126"/>
  <c r="A100" i="126"/>
  <c r="P99" i="126"/>
  <c r="N99" i="126"/>
  <c r="M99" i="126"/>
  <c r="L99" i="126"/>
  <c r="H99" i="126"/>
  <c r="A99" i="126"/>
  <c r="P98" i="126"/>
  <c r="N98" i="126"/>
  <c r="M98" i="126"/>
  <c r="L98" i="126"/>
  <c r="H98" i="126"/>
  <c r="A98" i="126"/>
  <c r="P97" i="126"/>
  <c r="N97" i="126"/>
  <c r="M97" i="126"/>
  <c r="L97" i="126"/>
  <c r="H97" i="126"/>
  <c r="A97" i="126"/>
  <c r="P96" i="126"/>
  <c r="N96" i="126"/>
  <c r="M96" i="126"/>
  <c r="L96" i="126"/>
  <c r="H96" i="126"/>
  <c r="A96" i="126"/>
  <c r="P95" i="126"/>
  <c r="N95" i="126"/>
  <c r="M95" i="126"/>
  <c r="L95" i="126"/>
  <c r="H95" i="126"/>
  <c r="A95" i="126"/>
  <c r="P94" i="126"/>
  <c r="N94" i="126"/>
  <c r="M94" i="126"/>
  <c r="L94" i="126"/>
  <c r="H94" i="126"/>
  <c r="A94" i="126"/>
  <c r="P93" i="126"/>
  <c r="N93" i="126"/>
  <c r="M93" i="126"/>
  <c r="L93" i="126"/>
  <c r="H93" i="126"/>
  <c r="A93" i="126"/>
  <c r="P92" i="126"/>
  <c r="N92" i="126"/>
  <c r="M92" i="126"/>
  <c r="L92" i="126"/>
  <c r="H92" i="126"/>
  <c r="A92" i="126"/>
  <c r="P91" i="126"/>
  <c r="N91" i="126"/>
  <c r="M91" i="126"/>
  <c r="L91" i="126"/>
  <c r="H91" i="126"/>
  <c r="A91" i="126"/>
  <c r="P90" i="126"/>
  <c r="N90" i="126"/>
  <c r="M90" i="126"/>
  <c r="L90" i="126"/>
  <c r="H90" i="126"/>
  <c r="A90" i="126"/>
  <c r="P89" i="126"/>
  <c r="N89" i="126"/>
  <c r="M89" i="126"/>
  <c r="L89" i="126"/>
  <c r="H89" i="126"/>
  <c r="A89" i="126"/>
  <c r="P88" i="126"/>
  <c r="N88" i="126"/>
  <c r="M88" i="126"/>
  <c r="L88" i="126"/>
  <c r="H88" i="126"/>
  <c r="A88" i="126"/>
  <c r="P87" i="126"/>
  <c r="N87" i="126"/>
  <c r="M87" i="126"/>
  <c r="L87" i="126"/>
  <c r="H87" i="126"/>
  <c r="A87" i="126"/>
  <c r="P86" i="126"/>
  <c r="N86" i="126"/>
  <c r="M86" i="126"/>
  <c r="L86" i="126"/>
  <c r="H86" i="126"/>
  <c r="A86" i="126"/>
  <c r="P85" i="126"/>
  <c r="N85" i="126"/>
  <c r="M85" i="126"/>
  <c r="L85" i="126"/>
  <c r="H85" i="126"/>
  <c r="A85" i="126"/>
  <c r="P84" i="126"/>
  <c r="N84" i="126"/>
  <c r="M84" i="126"/>
  <c r="L84" i="126"/>
  <c r="H84" i="126"/>
  <c r="A84" i="126"/>
  <c r="P83" i="126"/>
  <c r="N83" i="126"/>
  <c r="M83" i="126"/>
  <c r="L83" i="126"/>
  <c r="H83" i="126"/>
  <c r="A83" i="126"/>
  <c r="P82" i="126"/>
  <c r="N82" i="126"/>
  <c r="M82" i="126"/>
  <c r="L82" i="126"/>
  <c r="H82" i="126"/>
  <c r="A82" i="126"/>
  <c r="P81" i="126"/>
  <c r="N81" i="126"/>
  <c r="M81" i="126"/>
  <c r="L81" i="126"/>
  <c r="H81" i="126"/>
  <c r="A81" i="126"/>
  <c r="P80" i="126"/>
  <c r="N80" i="126"/>
  <c r="M80" i="126"/>
  <c r="L80" i="126"/>
  <c r="H80" i="126"/>
  <c r="A80" i="126"/>
  <c r="P79" i="126"/>
  <c r="N79" i="126"/>
  <c r="M79" i="126"/>
  <c r="L79" i="126"/>
  <c r="H79" i="126"/>
  <c r="A79" i="126"/>
  <c r="P78" i="126"/>
  <c r="N78" i="126"/>
  <c r="M78" i="126"/>
  <c r="L78" i="126"/>
  <c r="H78" i="126"/>
  <c r="A78" i="126"/>
  <c r="P77" i="126"/>
  <c r="N77" i="126"/>
  <c r="M77" i="126"/>
  <c r="L77" i="126"/>
  <c r="H77" i="126"/>
  <c r="A77" i="126"/>
  <c r="P76" i="126"/>
  <c r="N76" i="126"/>
  <c r="M76" i="126"/>
  <c r="L76" i="126"/>
  <c r="H76" i="126"/>
  <c r="A76" i="126"/>
  <c r="P75" i="126"/>
  <c r="N75" i="126"/>
  <c r="M75" i="126"/>
  <c r="L75" i="126"/>
  <c r="H75" i="126"/>
  <c r="A75" i="126"/>
  <c r="P74" i="126"/>
  <c r="N74" i="126"/>
  <c r="M74" i="126"/>
  <c r="L74" i="126"/>
  <c r="H74" i="126"/>
  <c r="A74" i="126"/>
  <c r="P73" i="126"/>
  <c r="N73" i="126"/>
  <c r="M73" i="126"/>
  <c r="L73" i="126"/>
  <c r="H73" i="126"/>
  <c r="A73" i="126"/>
  <c r="P72" i="126"/>
  <c r="N72" i="126"/>
  <c r="M72" i="126"/>
  <c r="L72" i="126"/>
  <c r="H72" i="126"/>
  <c r="A72" i="126"/>
  <c r="P71" i="126"/>
  <c r="N71" i="126"/>
  <c r="M71" i="126"/>
  <c r="L71" i="126"/>
  <c r="H71" i="126"/>
  <c r="A71" i="126"/>
  <c r="P70" i="126"/>
  <c r="N70" i="126"/>
  <c r="M70" i="126"/>
  <c r="L70" i="126"/>
  <c r="H70" i="126"/>
  <c r="A70" i="126"/>
  <c r="P69" i="126"/>
  <c r="N69" i="126"/>
  <c r="M69" i="126"/>
  <c r="L69" i="126"/>
  <c r="H69" i="126"/>
  <c r="A69" i="126"/>
  <c r="P68" i="126"/>
  <c r="N68" i="126"/>
  <c r="M68" i="126"/>
  <c r="L68" i="126"/>
  <c r="H68" i="126"/>
  <c r="A68" i="126"/>
  <c r="P67" i="126"/>
  <c r="N67" i="126"/>
  <c r="M67" i="126"/>
  <c r="L67" i="126"/>
  <c r="H67" i="126"/>
  <c r="A67" i="126"/>
  <c r="P66" i="126"/>
  <c r="N66" i="126"/>
  <c r="M66" i="126"/>
  <c r="L66" i="126"/>
  <c r="H66" i="126"/>
  <c r="A66" i="126"/>
  <c r="P65" i="126"/>
  <c r="N65" i="126"/>
  <c r="M65" i="126"/>
  <c r="L65" i="126"/>
  <c r="H65" i="126"/>
  <c r="A65" i="126"/>
  <c r="P64" i="126"/>
  <c r="N64" i="126"/>
  <c r="M64" i="126"/>
  <c r="L64" i="126"/>
  <c r="H64" i="126"/>
  <c r="A64" i="126"/>
  <c r="P63" i="126"/>
  <c r="N63" i="126"/>
  <c r="M63" i="126"/>
  <c r="L63" i="126"/>
  <c r="H63" i="126"/>
  <c r="A63" i="126"/>
  <c r="P62" i="126"/>
  <c r="N62" i="126"/>
  <c r="M62" i="126"/>
  <c r="L62" i="126"/>
  <c r="H62" i="126"/>
  <c r="A62" i="126"/>
  <c r="P61" i="126"/>
  <c r="N61" i="126"/>
  <c r="M61" i="126"/>
  <c r="L61" i="126"/>
  <c r="H61" i="126"/>
  <c r="A61" i="126"/>
  <c r="P60" i="126"/>
  <c r="N60" i="126"/>
  <c r="M60" i="126"/>
  <c r="L60" i="126"/>
  <c r="H60" i="126"/>
  <c r="A60" i="126"/>
  <c r="P59" i="126"/>
  <c r="N59" i="126"/>
  <c r="M59" i="126"/>
  <c r="L59" i="126"/>
  <c r="H59" i="126"/>
  <c r="A59" i="126"/>
  <c r="P58" i="126"/>
  <c r="N58" i="126"/>
  <c r="M58" i="126"/>
  <c r="L58" i="126"/>
  <c r="H58" i="126"/>
  <c r="A58" i="126"/>
  <c r="P57" i="126"/>
  <c r="N57" i="126"/>
  <c r="M57" i="126"/>
  <c r="L57" i="126"/>
  <c r="H57" i="126"/>
  <c r="A57" i="126"/>
  <c r="P56" i="126"/>
  <c r="N56" i="126"/>
  <c r="M56" i="126"/>
  <c r="L56" i="126"/>
  <c r="H56" i="126"/>
  <c r="A56" i="126"/>
  <c r="P55" i="126"/>
  <c r="N55" i="126"/>
  <c r="M55" i="126"/>
  <c r="L55" i="126"/>
  <c r="H55" i="126"/>
  <c r="A55" i="126"/>
  <c r="P54" i="126"/>
  <c r="N54" i="126"/>
  <c r="M54" i="126"/>
  <c r="L54" i="126"/>
  <c r="H54" i="126"/>
  <c r="A54" i="126"/>
  <c r="P53" i="126"/>
  <c r="N53" i="126"/>
  <c r="M53" i="126"/>
  <c r="L53" i="126"/>
  <c r="H53" i="126"/>
  <c r="A53" i="126"/>
  <c r="P52" i="126"/>
  <c r="N52" i="126"/>
  <c r="M52" i="126"/>
  <c r="L52" i="126"/>
  <c r="H52" i="126"/>
  <c r="A52" i="126"/>
  <c r="P51" i="126"/>
  <c r="N51" i="126"/>
  <c r="M51" i="126"/>
  <c r="L51" i="126"/>
  <c r="H51" i="126"/>
  <c r="A51" i="126"/>
  <c r="P50" i="126"/>
  <c r="N50" i="126"/>
  <c r="M50" i="126"/>
  <c r="L50" i="126"/>
  <c r="H50" i="126"/>
  <c r="A50" i="126"/>
  <c r="P49" i="126"/>
  <c r="N49" i="126"/>
  <c r="M49" i="126"/>
  <c r="L49" i="126"/>
  <c r="H49" i="126"/>
  <c r="A49" i="126"/>
  <c r="P48" i="126"/>
  <c r="N48" i="126"/>
  <c r="M48" i="126"/>
  <c r="L48" i="126"/>
  <c r="H48" i="126"/>
  <c r="A48" i="126"/>
  <c r="P47" i="126"/>
  <c r="N47" i="126"/>
  <c r="M47" i="126"/>
  <c r="L47" i="126"/>
  <c r="H47" i="126"/>
  <c r="A47" i="126"/>
  <c r="P46" i="126"/>
  <c r="N46" i="126"/>
  <c r="M46" i="126"/>
  <c r="L46" i="126"/>
  <c r="H46" i="126"/>
  <c r="A46" i="126"/>
  <c r="P45" i="126"/>
  <c r="N45" i="126"/>
  <c r="M45" i="126"/>
  <c r="L45" i="126"/>
  <c r="H45" i="126"/>
  <c r="A45" i="126"/>
  <c r="P44" i="126"/>
  <c r="N44" i="126"/>
  <c r="M44" i="126"/>
  <c r="L44" i="126"/>
  <c r="H44" i="126"/>
  <c r="A44" i="126"/>
  <c r="P43" i="126"/>
  <c r="N43" i="126"/>
  <c r="M43" i="126"/>
  <c r="L43" i="126"/>
  <c r="H43" i="126"/>
  <c r="A43" i="126"/>
  <c r="P42" i="126"/>
  <c r="N42" i="126"/>
  <c r="M42" i="126"/>
  <c r="L42" i="126"/>
  <c r="H42" i="126"/>
  <c r="A42" i="126"/>
  <c r="P41" i="126"/>
  <c r="N41" i="126"/>
  <c r="M41" i="126"/>
  <c r="L41" i="126"/>
  <c r="H41" i="126"/>
  <c r="A41" i="126"/>
  <c r="P40" i="126"/>
  <c r="N40" i="126"/>
  <c r="M40" i="126"/>
  <c r="L40" i="126"/>
  <c r="H40" i="126"/>
  <c r="A40" i="126"/>
  <c r="P39" i="126"/>
  <c r="N39" i="126"/>
  <c r="M39" i="126"/>
  <c r="L39" i="126"/>
  <c r="H39" i="126"/>
  <c r="A39" i="126"/>
  <c r="P38" i="126"/>
  <c r="N38" i="126"/>
  <c r="M38" i="126"/>
  <c r="L38" i="126"/>
  <c r="H38" i="126"/>
  <c r="A38" i="126"/>
  <c r="P37" i="126"/>
  <c r="N37" i="126"/>
  <c r="M37" i="126"/>
  <c r="L37" i="126"/>
  <c r="H37" i="126"/>
  <c r="A37" i="126"/>
  <c r="P36" i="126"/>
  <c r="N36" i="126"/>
  <c r="M36" i="126"/>
  <c r="L36" i="126"/>
  <c r="H36" i="126"/>
  <c r="A36" i="126"/>
  <c r="P35" i="126"/>
  <c r="N35" i="126"/>
  <c r="M35" i="126"/>
  <c r="L35" i="126"/>
  <c r="H35" i="126"/>
  <c r="A35" i="126"/>
  <c r="P34" i="126"/>
  <c r="N34" i="126"/>
  <c r="M34" i="126"/>
  <c r="L34" i="126"/>
  <c r="H34" i="126"/>
  <c r="A34" i="126"/>
  <c r="P33" i="126"/>
  <c r="N33" i="126"/>
  <c r="M33" i="126"/>
  <c r="L33" i="126"/>
  <c r="H33" i="126"/>
  <c r="A33" i="126"/>
  <c r="P32" i="126"/>
  <c r="N32" i="126"/>
  <c r="M32" i="126"/>
  <c r="L32" i="126"/>
  <c r="H32" i="126"/>
  <c r="A32" i="126"/>
  <c r="P31" i="126"/>
  <c r="N31" i="126"/>
  <c r="M31" i="126"/>
  <c r="L31" i="126"/>
  <c r="H31" i="126"/>
  <c r="A31" i="126"/>
  <c r="P30" i="126"/>
  <c r="N30" i="126"/>
  <c r="M30" i="126"/>
  <c r="L30" i="126"/>
  <c r="H30" i="126"/>
  <c r="A30" i="126"/>
  <c r="P29" i="126"/>
  <c r="N29" i="126"/>
  <c r="M29" i="126"/>
  <c r="L29" i="126"/>
  <c r="H29" i="126"/>
  <c r="A29" i="126"/>
  <c r="P28" i="126"/>
  <c r="N28" i="126"/>
  <c r="M28" i="126"/>
  <c r="L28" i="126"/>
  <c r="H28" i="126"/>
  <c r="A28" i="126"/>
  <c r="P27" i="126"/>
  <c r="N27" i="126"/>
  <c r="M27" i="126"/>
  <c r="L27" i="126"/>
  <c r="H27" i="126"/>
  <c r="A27" i="126"/>
  <c r="P26" i="126"/>
  <c r="N26" i="126"/>
  <c r="M26" i="126"/>
  <c r="L26" i="126"/>
  <c r="H26" i="126"/>
  <c r="A26" i="126"/>
  <c r="P25" i="126"/>
  <c r="N25" i="126"/>
  <c r="M25" i="126"/>
  <c r="L25" i="126"/>
  <c r="H25" i="126"/>
  <c r="A25" i="126"/>
  <c r="P24" i="126"/>
  <c r="N24" i="126"/>
  <c r="M24" i="126"/>
  <c r="L24" i="126"/>
  <c r="H24" i="126"/>
  <c r="A24" i="126"/>
  <c r="P23" i="126"/>
  <c r="N23" i="126"/>
  <c r="M23" i="126"/>
  <c r="L23" i="126"/>
  <c r="H23" i="126"/>
  <c r="A23" i="126"/>
  <c r="P22" i="126"/>
  <c r="N22" i="126"/>
  <c r="M22" i="126"/>
  <c r="L22" i="126"/>
  <c r="H22" i="126"/>
  <c r="A22" i="126"/>
  <c r="P21" i="126"/>
  <c r="N21" i="126"/>
  <c r="M21" i="126"/>
  <c r="L21" i="126"/>
  <c r="H21" i="126"/>
  <c r="A21" i="126"/>
  <c r="P20" i="126"/>
  <c r="N20" i="126"/>
  <c r="M20" i="126"/>
  <c r="L20" i="126"/>
  <c r="H20" i="126"/>
  <c r="A20" i="126"/>
  <c r="P19" i="126"/>
  <c r="N19" i="126"/>
  <c r="M19" i="126"/>
  <c r="L19" i="126"/>
  <c r="H19" i="126"/>
  <c r="A19" i="126"/>
  <c r="P18" i="126"/>
  <c r="N18" i="126"/>
  <c r="M18" i="126"/>
  <c r="L18" i="126"/>
  <c r="H18" i="126"/>
  <c r="A18" i="126"/>
  <c r="P17" i="126"/>
  <c r="N17" i="126"/>
  <c r="M17" i="126"/>
  <c r="L17" i="126"/>
  <c r="H17" i="126"/>
  <c r="A17" i="126"/>
  <c r="P16" i="126"/>
  <c r="N16" i="126"/>
  <c r="M16" i="126"/>
  <c r="L16" i="126"/>
  <c r="H16" i="126"/>
  <c r="A16" i="126"/>
  <c r="P15" i="126"/>
  <c r="N15" i="126"/>
  <c r="M15" i="126"/>
  <c r="L15" i="126"/>
  <c r="H15" i="126"/>
  <c r="A15" i="126"/>
  <c r="P14" i="126"/>
  <c r="N14" i="126"/>
  <c r="M14" i="126"/>
  <c r="L14" i="126"/>
  <c r="H14" i="126"/>
  <c r="A14" i="126"/>
  <c r="P13" i="126"/>
  <c r="N13" i="126"/>
  <c r="M13" i="126"/>
  <c r="L13" i="126"/>
  <c r="H13" i="126"/>
  <c r="A13" i="126"/>
  <c r="P12" i="126"/>
  <c r="N12" i="126"/>
  <c r="M12" i="126"/>
  <c r="L12" i="126"/>
  <c r="H12" i="126"/>
  <c r="A12" i="126"/>
  <c r="P11" i="126"/>
  <c r="N11" i="126"/>
  <c r="M11" i="126"/>
  <c r="L11" i="126"/>
  <c r="H11" i="126"/>
  <c r="A11" i="126"/>
  <c r="P10" i="126"/>
  <c r="N10" i="126"/>
  <c r="M10" i="126"/>
  <c r="L10" i="126"/>
  <c r="H10" i="126"/>
  <c r="A10" i="126"/>
  <c r="P9" i="126"/>
  <c r="N9" i="126"/>
  <c r="M9" i="126"/>
  <c r="L9" i="126"/>
  <c r="H9" i="126"/>
  <c r="A9" i="126"/>
  <c r="P8" i="126"/>
  <c r="N8" i="126"/>
  <c r="M8" i="126"/>
  <c r="L8" i="126"/>
  <c r="H8" i="126"/>
  <c r="A8" i="126"/>
  <c r="P7" i="126"/>
  <c r="N7" i="126"/>
  <c r="M7" i="126"/>
  <c r="L7" i="126"/>
  <c r="H7" i="126"/>
  <c r="A7" i="126"/>
  <c r="P6" i="126"/>
  <c r="N6" i="126"/>
  <c r="M6" i="126"/>
  <c r="L6" i="126"/>
  <c r="H6" i="126"/>
  <c r="A6" i="126"/>
  <c r="P5" i="126"/>
  <c r="N5" i="126"/>
  <c r="M5" i="126"/>
  <c r="L5" i="126"/>
  <c r="H5" i="126"/>
  <c r="A5" i="126"/>
  <c r="P4" i="126"/>
  <c r="N4" i="126"/>
  <c r="M4" i="126"/>
  <c r="L4" i="126"/>
  <c r="H4" i="126"/>
  <c r="A4" i="126"/>
  <c r="P3" i="126"/>
  <c r="N3" i="126"/>
  <c r="M3" i="126"/>
  <c r="L3" i="126"/>
  <c r="H3" i="126"/>
  <c r="A3" i="126"/>
  <c r="P2" i="126"/>
  <c r="N2" i="126"/>
  <c r="M2" i="126"/>
  <c r="L2" i="126"/>
  <c r="H2" i="126"/>
  <c r="A2" i="126"/>
  <c r="F61" i="125"/>
  <c r="F60" i="125"/>
  <c r="B53" i="125"/>
  <c r="B54" i="125"/>
  <c r="B55" i="125"/>
  <c r="B56" i="125"/>
  <c r="B57" i="125"/>
  <c r="B58" i="125"/>
  <c r="B59" i="125"/>
  <c r="B60" i="125"/>
  <c r="C53" i="125"/>
  <c r="C54" i="125"/>
  <c r="C55" i="125"/>
  <c r="C56" i="125"/>
  <c r="C57" i="125"/>
  <c r="C58" i="125"/>
  <c r="C59" i="125"/>
  <c r="C60" i="125"/>
  <c r="F59" i="125"/>
  <c r="F58" i="125"/>
  <c r="F55" i="125"/>
  <c r="G55" i="125"/>
  <c r="F54" i="125"/>
  <c r="G54" i="125"/>
  <c r="F53" i="125"/>
  <c r="G53" i="125"/>
  <c r="C42" i="125"/>
  <c r="D42" i="125"/>
  <c r="G42" i="125"/>
  <c r="H42" i="125"/>
  <c r="C43" i="125"/>
  <c r="D43" i="125"/>
  <c r="G43" i="125"/>
  <c r="E43" i="125"/>
  <c r="H43" i="125"/>
  <c r="H49" i="125"/>
  <c r="B45" i="125"/>
  <c r="C45" i="125"/>
  <c r="D45" i="125"/>
  <c r="K44" i="125"/>
  <c r="I44" i="125"/>
  <c r="J44" i="125"/>
  <c r="F44" i="125"/>
  <c r="K43" i="125"/>
  <c r="I43" i="125"/>
  <c r="J43" i="125"/>
  <c r="F43" i="125"/>
  <c r="K42" i="125"/>
  <c r="I42" i="125"/>
  <c r="J42" i="125"/>
  <c r="F42" i="125"/>
  <c r="K41" i="125"/>
  <c r="I41" i="125"/>
  <c r="J41" i="125"/>
  <c r="F41" i="125"/>
  <c r="K40" i="125"/>
  <c r="I40" i="125"/>
  <c r="J40" i="125"/>
  <c r="F40" i="125"/>
  <c r="K39" i="125"/>
  <c r="I39" i="125"/>
  <c r="J39" i="125"/>
  <c r="F39" i="125"/>
  <c r="K38" i="125"/>
  <c r="I38" i="125"/>
  <c r="J38" i="125"/>
  <c r="F38" i="125"/>
  <c r="K37" i="125"/>
  <c r="I37" i="125"/>
  <c r="J37" i="125"/>
  <c r="F37" i="125"/>
  <c r="K36" i="125"/>
  <c r="I36" i="125"/>
  <c r="J36" i="125"/>
  <c r="F36" i="125"/>
  <c r="K35" i="125"/>
  <c r="I35" i="125"/>
  <c r="J35" i="125"/>
  <c r="F35" i="125"/>
  <c r="K34" i="125"/>
  <c r="I34" i="125"/>
  <c r="J34" i="125"/>
  <c r="F34" i="125"/>
  <c r="K33" i="125"/>
  <c r="I33" i="125"/>
  <c r="J33" i="125"/>
  <c r="F33" i="125"/>
  <c r="K32" i="125"/>
  <c r="I32" i="125"/>
  <c r="J32" i="125"/>
  <c r="F32" i="125"/>
  <c r="K31" i="125"/>
  <c r="I31" i="125"/>
  <c r="J31" i="125"/>
  <c r="F31" i="125"/>
  <c r="K30" i="125"/>
  <c r="I30" i="125"/>
  <c r="J30" i="125"/>
  <c r="F30" i="125"/>
  <c r="K29" i="125"/>
  <c r="I29" i="125"/>
  <c r="J29" i="125"/>
  <c r="F29" i="125"/>
  <c r="K28" i="125"/>
  <c r="I28" i="125"/>
  <c r="J28" i="125"/>
  <c r="F28" i="125"/>
  <c r="K27" i="125"/>
  <c r="I27" i="125"/>
  <c r="J27" i="125"/>
  <c r="F27" i="125"/>
  <c r="K26" i="125"/>
  <c r="I26" i="125"/>
  <c r="J26" i="125"/>
  <c r="F26" i="125"/>
  <c r="K25" i="125"/>
  <c r="I25" i="125"/>
  <c r="J25" i="125"/>
  <c r="F25" i="125"/>
  <c r="K24" i="125"/>
  <c r="I24" i="125"/>
  <c r="J24" i="125"/>
  <c r="F24" i="125"/>
  <c r="K23" i="125"/>
  <c r="I23" i="125"/>
  <c r="J23" i="125"/>
  <c r="F23" i="125"/>
  <c r="K22" i="125"/>
  <c r="I22" i="125"/>
  <c r="J22" i="125"/>
  <c r="F22" i="125"/>
  <c r="K21" i="125"/>
  <c r="I21" i="125"/>
  <c r="J21" i="125"/>
  <c r="F21" i="125"/>
  <c r="K20" i="125"/>
  <c r="I20" i="125"/>
  <c r="J20" i="125"/>
  <c r="F20" i="125"/>
  <c r="K19" i="125"/>
  <c r="I19" i="125"/>
  <c r="J19" i="125"/>
  <c r="F19" i="125"/>
  <c r="K18" i="125"/>
  <c r="I18" i="125"/>
  <c r="J18" i="125"/>
  <c r="F18" i="125"/>
  <c r="K17" i="125"/>
  <c r="I17" i="125"/>
  <c r="J17" i="125"/>
  <c r="F17" i="125"/>
  <c r="R14" i="125"/>
  <c r="P14" i="125"/>
  <c r="O14" i="125"/>
  <c r="M14" i="125"/>
  <c r="R13" i="125"/>
  <c r="P13" i="125"/>
  <c r="O13" i="125"/>
  <c r="M13" i="125"/>
  <c r="R12" i="125"/>
  <c r="P12" i="125"/>
  <c r="O12" i="125"/>
  <c r="M12" i="125"/>
  <c r="R11" i="125"/>
  <c r="P11" i="125"/>
  <c r="O11" i="125"/>
  <c r="M11" i="125"/>
  <c r="R10" i="125"/>
  <c r="P10" i="125"/>
  <c r="O10" i="125"/>
  <c r="M10" i="125"/>
  <c r="R9" i="125"/>
  <c r="P9" i="125"/>
  <c r="O9" i="125"/>
  <c r="M9" i="125"/>
  <c r="R8" i="125"/>
  <c r="P8" i="125"/>
  <c r="O8" i="125"/>
  <c r="M8" i="125"/>
  <c r="R7" i="125"/>
  <c r="P7" i="125"/>
  <c r="O7" i="125"/>
  <c r="M7" i="125"/>
  <c r="R6" i="125"/>
  <c r="P6" i="125"/>
  <c r="O6" i="125"/>
  <c r="M6" i="125"/>
  <c r="R5" i="125"/>
  <c r="P5" i="125"/>
  <c r="O5" i="125"/>
  <c r="M5" i="125"/>
  <c r="R4" i="125"/>
  <c r="P4" i="125"/>
  <c r="O4" i="125"/>
  <c r="M4" i="125"/>
  <c r="R3" i="125"/>
  <c r="P3" i="125"/>
  <c r="O3" i="125"/>
  <c r="M3" i="125"/>
  <c r="I272" i="124"/>
  <c r="D272" i="124"/>
  <c r="J272" i="124"/>
  <c r="F272" i="124"/>
  <c r="C272" i="124"/>
  <c r="A2" i="123"/>
  <c r="B44" i="123"/>
  <c r="Q3" i="123"/>
  <c r="Q4" i="123"/>
  <c r="Q5" i="123"/>
  <c r="Q6" i="123"/>
  <c r="Q7" i="123"/>
  <c r="Q8" i="123"/>
  <c r="Q9" i="123"/>
  <c r="Q10" i="123"/>
  <c r="Q11" i="123"/>
  <c r="Q12" i="123"/>
  <c r="Q13" i="123"/>
  <c r="Q14" i="123"/>
  <c r="C44" i="123"/>
  <c r="D44" i="123"/>
  <c r="G44" i="123"/>
  <c r="I2" i="124"/>
  <c r="D2" i="124"/>
  <c r="J2" i="124"/>
  <c r="E2" i="124"/>
  <c r="F2" i="124"/>
  <c r="K2" i="124"/>
  <c r="G2" i="124"/>
  <c r="C2" i="124"/>
  <c r="I3" i="124"/>
  <c r="D3" i="124"/>
  <c r="J3" i="124"/>
  <c r="E3" i="124"/>
  <c r="F3" i="124"/>
  <c r="K3" i="124"/>
  <c r="G3" i="124"/>
  <c r="C3" i="124"/>
  <c r="I4" i="124"/>
  <c r="D4" i="124"/>
  <c r="J4" i="124"/>
  <c r="E4" i="124"/>
  <c r="F4" i="124"/>
  <c r="K4" i="124"/>
  <c r="G4" i="124"/>
  <c r="C4" i="124"/>
  <c r="I5" i="124"/>
  <c r="D5" i="124"/>
  <c r="J5" i="124"/>
  <c r="E5" i="124"/>
  <c r="F5" i="124"/>
  <c r="K5" i="124"/>
  <c r="G5" i="124"/>
  <c r="C5" i="124"/>
  <c r="I6" i="124"/>
  <c r="D6" i="124"/>
  <c r="J6" i="124"/>
  <c r="E6" i="124"/>
  <c r="F6" i="124"/>
  <c r="K6" i="124"/>
  <c r="G6" i="124"/>
  <c r="C6" i="124"/>
  <c r="I7" i="124"/>
  <c r="D7" i="124"/>
  <c r="J7" i="124"/>
  <c r="E7" i="124"/>
  <c r="F7" i="124"/>
  <c r="K7" i="124"/>
  <c r="G7" i="124"/>
  <c r="C7" i="124"/>
  <c r="I8" i="124"/>
  <c r="D8" i="124"/>
  <c r="J8" i="124"/>
  <c r="E8" i="124"/>
  <c r="F8" i="124"/>
  <c r="K8" i="124"/>
  <c r="G8" i="124"/>
  <c r="C8" i="124"/>
  <c r="I9" i="124"/>
  <c r="D9" i="124"/>
  <c r="J9" i="124"/>
  <c r="E9" i="124"/>
  <c r="F9" i="124"/>
  <c r="K9" i="124"/>
  <c r="G9" i="124"/>
  <c r="C9" i="124"/>
  <c r="I10" i="124"/>
  <c r="D10" i="124"/>
  <c r="J10" i="124"/>
  <c r="E10" i="124"/>
  <c r="F10" i="124"/>
  <c r="K10" i="124"/>
  <c r="G10" i="124"/>
  <c r="C10" i="124"/>
  <c r="I11" i="124"/>
  <c r="D11" i="124"/>
  <c r="J11" i="124"/>
  <c r="E11" i="124"/>
  <c r="F11" i="124"/>
  <c r="K11" i="124"/>
  <c r="G11" i="124"/>
  <c r="C11" i="124"/>
  <c r="I12" i="124"/>
  <c r="D12" i="124"/>
  <c r="J12" i="124"/>
  <c r="E12" i="124"/>
  <c r="F12" i="124"/>
  <c r="K12" i="124"/>
  <c r="G12" i="124"/>
  <c r="C12" i="124"/>
  <c r="I13" i="124"/>
  <c r="D13" i="124"/>
  <c r="J13" i="124"/>
  <c r="E13" i="124"/>
  <c r="F13" i="124"/>
  <c r="K13" i="124"/>
  <c r="G13" i="124"/>
  <c r="C13" i="124"/>
  <c r="I14" i="124"/>
  <c r="D14" i="124"/>
  <c r="J14" i="124"/>
  <c r="E14" i="124"/>
  <c r="F14" i="124"/>
  <c r="K14" i="124"/>
  <c r="G14" i="124"/>
  <c r="C14" i="124"/>
  <c r="I15" i="124"/>
  <c r="D15" i="124"/>
  <c r="J15" i="124"/>
  <c r="E15" i="124"/>
  <c r="F15" i="124"/>
  <c r="K15" i="124"/>
  <c r="G15" i="124"/>
  <c r="C15" i="124"/>
  <c r="I16" i="124"/>
  <c r="D16" i="124"/>
  <c r="J16" i="124"/>
  <c r="E16" i="124"/>
  <c r="F16" i="124"/>
  <c r="K16" i="124"/>
  <c r="G16" i="124"/>
  <c r="C16" i="124"/>
  <c r="I17" i="124"/>
  <c r="D17" i="124"/>
  <c r="J17" i="124"/>
  <c r="E17" i="124"/>
  <c r="F17" i="124"/>
  <c r="K17" i="124"/>
  <c r="G17" i="124"/>
  <c r="C17" i="124"/>
  <c r="I18" i="124"/>
  <c r="D18" i="124"/>
  <c r="J18" i="124"/>
  <c r="E18" i="124"/>
  <c r="F18" i="124"/>
  <c r="K18" i="124"/>
  <c r="G18" i="124"/>
  <c r="C18" i="124"/>
  <c r="I19" i="124"/>
  <c r="D19" i="124"/>
  <c r="J19" i="124"/>
  <c r="E19" i="124"/>
  <c r="F19" i="124"/>
  <c r="K19" i="124"/>
  <c r="G19" i="124"/>
  <c r="C19" i="124"/>
  <c r="I20" i="124"/>
  <c r="D20" i="124"/>
  <c r="J20" i="124"/>
  <c r="E20" i="124"/>
  <c r="F20" i="124"/>
  <c r="K20" i="124"/>
  <c r="G20" i="124"/>
  <c r="C20" i="124"/>
  <c r="I21" i="124"/>
  <c r="D21" i="124"/>
  <c r="J21" i="124"/>
  <c r="E21" i="124"/>
  <c r="F21" i="124"/>
  <c r="K21" i="124"/>
  <c r="G21" i="124"/>
  <c r="C21" i="124"/>
  <c r="I22" i="124"/>
  <c r="D22" i="124"/>
  <c r="J22" i="124"/>
  <c r="E22" i="124"/>
  <c r="F22" i="124"/>
  <c r="K22" i="124"/>
  <c r="G22" i="124"/>
  <c r="C22" i="124"/>
  <c r="I23" i="124"/>
  <c r="D23" i="124"/>
  <c r="J23" i="124"/>
  <c r="E23" i="124"/>
  <c r="F23" i="124"/>
  <c r="K23" i="124"/>
  <c r="G23" i="124"/>
  <c r="C23" i="124"/>
  <c r="I24" i="124"/>
  <c r="D24" i="124"/>
  <c r="J24" i="124"/>
  <c r="E24" i="124"/>
  <c r="F24" i="124"/>
  <c r="K24" i="124"/>
  <c r="G24" i="124"/>
  <c r="C24" i="124"/>
  <c r="I25" i="124"/>
  <c r="D25" i="124"/>
  <c r="J25" i="124"/>
  <c r="E25" i="124"/>
  <c r="F25" i="124"/>
  <c r="K25" i="124"/>
  <c r="G25" i="124"/>
  <c r="C25" i="124"/>
  <c r="I26" i="124"/>
  <c r="D26" i="124"/>
  <c r="J26" i="124"/>
  <c r="E26" i="124"/>
  <c r="F26" i="124"/>
  <c r="K26" i="124"/>
  <c r="G26" i="124"/>
  <c r="C26" i="124"/>
  <c r="I27" i="124"/>
  <c r="D27" i="124"/>
  <c r="J27" i="124"/>
  <c r="E27" i="124"/>
  <c r="F27" i="124"/>
  <c r="K27" i="124"/>
  <c r="G27" i="124"/>
  <c r="C27" i="124"/>
  <c r="I28" i="124"/>
  <c r="D28" i="124"/>
  <c r="J28" i="124"/>
  <c r="E28" i="124"/>
  <c r="F28" i="124"/>
  <c r="K28" i="124"/>
  <c r="G28" i="124"/>
  <c r="C28" i="124"/>
  <c r="I29" i="124"/>
  <c r="D29" i="124"/>
  <c r="J29" i="124"/>
  <c r="E29" i="124"/>
  <c r="F29" i="124"/>
  <c r="K29" i="124"/>
  <c r="G29" i="124"/>
  <c r="C29" i="124"/>
  <c r="I30" i="124"/>
  <c r="D30" i="124"/>
  <c r="J30" i="124"/>
  <c r="E30" i="124"/>
  <c r="F30" i="124"/>
  <c r="K30" i="124"/>
  <c r="G30" i="124"/>
  <c r="C30" i="124"/>
  <c r="I31" i="124"/>
  <c r="D31" i="124"/>
  <c r="J31" i="124"/>
  <c r="E31" i="124"/>
  <c r="F31" i="124"/>
  <c r="K31" i="124"/>
  <c r="G31" i="124"/>
  <c r="C31" i="124"/>
  <c r="I32" i="124"/>
  <c r="D32" i="124"/>
  <c r="J32" i="124"/>
  <c r="E32" i="124"/>
  <c r="F32" i="124"/>
  <c r="K32" i="124"/>
  <c r="G32" i="124"/>
  <c r="C32" i="124"/>
  <c r="I33" i="124"/>
  <c r="D33" i="124"/>
  <c r="J33" i="124"/>
  <c r="E33" i="124"/>
  <c r="F33" i="124"/>
  <c r="K33" i="124"/>
  <c r="G33" i="124"/>
  <c r="C33" i="124"/>
  <c r="I34" i="124"/>
  <c r="D34" i="124"/>
  <c r="J34" i="124"/>
  <c r="E34" i="124"/>
  <c r="F34" i="124"/>
  <c r="K34" i="124"/>
  <c r="G34" i="124"/>
  <c r="C34" i="124"/>
  <c r="I35" i="124"/>
  <c r="D35" i="124"/>
  <c r="J35" i="124"/>
  <c r="E35" i="124"/>
  <c r="F35" i="124"/>
  <c r="K35" i="124"/>
  <c r="G35" i="124"/>
  <c r="C35" i="124"/>
  <c r="I36" i="124"/>
  <c r="D36" i="124"/>
  <c r="J36" i="124"/>
  <c r="E36" i="124"/>
  <c r="F36" i="124"/>
  <c r="K36" i="124"/>
  <c r="G36" i="124"/>
  <c r="C36" i="124"/>
  <c r="I37" i="124"/>
  <c r="D37" i="124"/>
  <c r="J37" i="124"/>
  <c r="E37" i="124"/>
  <c r="F37" i="124"/>
  <c r="K37" i="124"/>
  <c r="G37" i="124"/>
  <c r="C37" i="124"/>
  <c r="I38" i="124"/>
  <c r="D38" i="124"/>
  <c r="J38" i="124"/>
  <c r="E38" i="124"/>
  <c r="F38" i="124"/>
  <c r="K38" i="124"/>
  <c r="G38" i="124"/>
  <c r="C38" i="124"/>
  <c r="I39" i="124"/>
  <c r="D39" i="124"/>
  <c r="J39" i="124"/>
  <c r="E39" i="124"/>
  <c r="F39" i="124"/>
  <c r="K39" i="124"/>
  <c r="G39" i="124"/>
  <c r="C39" i="124"/>
  <c r="I40" i="124"/>
  <c r="D40" i="124"/>
  <c r="J40" i="124"/>
  <c r="E40" i="124"/>
  <c r="F40" i="124"/>
  <c r="K40" i="124"/>
  <c r="G40" i="124"/>
  <c r="C40" i="124"/>
  <c r="I41" i="124"/>
  <c r="D41" i="124"/>
  <c r="J41" i="124"/>
  <c r="E41" i="124"/>
  <c r="F41" i="124"/>
  <c r="K41" i="124"/>
  <c r="G41" i="124"/>
  <c r="C41" i="124"/>
  <c r="I42" i="124"/>
  <c r="D42" i="124"/>
  <c r="J42" i="124"/>
  <c r="E42" i="124"/>
  <c r="F42" i="124"/>
  <c r="K42" i="124"/>
  <c r="G42" i="124"/>
  <c r="C42" i="124"/>
  <c r="I43" i="124"/>
  <c r="D43" i="124"/>
  <c r="J43" i="124"/>
  <c r="E43" i="124"/>
  <c r="F43" i="124"/>
  <c r="K43" i="124"/>
  <c r="G43" i="124"/>
  <c r="C43" i="124"/>
  <c r="I44" i="124"/>
  <c r="D44" i="124"/>
  <c r="J44" i="124"/>
  <c r="E44" i="124"/>
  <c r="F44" i="124"/>
  <c r="K44" i="124"/>
  <c r="G44" i="124"/>
  <c r="C44" i="124"/>
  <c r="I45" i="124"/>
  <c r="D45" i="124"/>
  <c r="J45" i="124"/>
  <c r="E45" i="124"/>
  <c r="F45" i="124"/>
  <c r="K45" i="124"/>
  <c r="G45" i="124"/>
  <c r="C45" i="124"/>
  <c r="I46" i="124"/>
  <c r="D46" i="124"/>
  <c r="J46" i="124"/>
  <c r="E46" i="124"/>
  <c r="F46" i="124"/>
  <c r="K46" i="124"/>
  <c r="G46" i="124"/>
  <c r="C46" i="124"/>
  <c r="I47" i="124"/>
  <c r="D47" i="124"/>
  <c r="J47" i="124"/>
  <c r="E47" i="124"/>
  <c r="F47" i="124"/>
  <c r="K47" i="124"/>
  <c r="G47" i="124"/>
  <c r="C47" i="124"/>
  <c r="I48" i="124"/>
  <c r="D48" i="124"/>
  <c r="J48" i="124"/>
  <c r="E48" i="124"/>
  <c r="F48" i="124"/>
  <c r="K48" i="124"/>
  <c r="G48" i="124"/>
  <c r="C48" i="124"/>
  <c r="I49" i="124"/>
  <c r="D49" i="124"/>
  <c r="J49" i="124"/>
  <c r="E49" i="124"/>
  <c r="F49" i="124"/>
  <c r="K49" i="124"/>
  <c r="G49" i="124"/>
  <c r="C49" i="124"/>
  <c r="I50" i="124"/>
  <c r="D50" i="124"/>
  <c r="J50" i="124"/>
  <c r="E50" i="124"/>
  <c r="F50" i="124"/>
  <c r="K50" i="124"/>
  <c r="G50" i="124"/>
  <c r="C50" i="124"/>
  <c r="I51" i="124"/>
  <c r="D51" i="124"/>
  <c r="J51" i="124"/>
  <c r="E51" i="124"/>
  <c r="F51" i="124"/>
  <c r="K51" i="124"/>
  <c r="G51" i="124"/>
  <c r="C51" i="124"/>
  <c r="I52" i="124"/>
  <c r="D52" i="124"/>
  <c r="J52" i="124"/>
  <c r="E52" i="124"/>
  <c r="F52" i="124"/>
  <c r="K52" i="124"/>
  <c r="G52" i="124"/>
  <c r="C52" i="124"/>
  <c r="I53" i="124"/>
  <c r="D53" i="124"/>
  <c r="J53" i="124"/>
  <c r="E53" i="124"/>
  <c r="F53" i="124"/>
  <c r="K53" i="124"/>
  <c r="G53" i="124"/>
  <c r="C53" i="124"/>
  <c r="I54" i="124"/>
  <c r="D54" i="124"/>
  <c r="J54" i="124"/>
  <c r="E54" i="124"/>
  <c r="F54" i="124"/>
  <c r="K54" i="124"/>
  <c r="G54" i="124"/>
  <c r="C54" i="124"/>
  <c r="I55" i="124"/>
  <c r="D55" i="124"/>
  <c r="J55" i="124"/>
  <c r="E55" i="124"/>
  <c r="F55" i="124"/>
  <c r="K55" i="124"/>
  <c r="G55" i="124"/>
  <c r="C55" i="124"/>
  <c r="I56" i="124"/>
  <c r="D56" i="124"/>
  <c r="J56" i="124"/>
  <c r="E56" i="124"/>
  <c r="F56" i="124"/>
  <c r="K56" i="124"/>
  <c r="G56" i="124"/>
  <c r="C56" i="124"/>
  <c r="I57" i="124"/>
  <c r="D57" i="124"/>
  <c r="J57" i="124"/>
  <c r="E57" i="124"/>
  <c r="F57" i="124"/>
  <c r="K57" i="124"/>
  <c r="G57" i="124"/>
  <c r="C57" i="124"/>
  <c r="I58" i="124"/>
  <c r="D58" i="124"/>
  <c r="J58" i="124"/>
  <c r="E58" i="124"/>
  <c r="F58" i="124"/>
  <c r="K58" i="124"/>
  <c r="G58" i="124"/>
  <c r="C58" i="124"/>
  <c r="I59" i="124"/>
  <c r="D59" i="124"/>
  <c r="J59" i="124"/>
  <c r="E59" i="124"/>
  <c r="F59" i="124"/>
  <c r="K59" i="124"/>
  <c r="G59" i="124"/>
  <c r="C59" i="124"/>
  <c r="I60" i="124"/>
  <c r="D60" i="124"/>
  <c r="J60" i="124"/>
  <c r="E60" i="124"/>
  <c r="F60" i="124"/>
  <c r="K60" i="124"/>
  <c r="G60" i="124"/>
  <c r="C60" i="124"/>
  <c r="I61" i="124"/>
  <c r="D61" i="124"/>
  <c r="J61" i="124"/>
  <c r="E61" i="124"/>
  <c r="F61" i="124"/>
  <c r="K61" i="124"/>
  <c r="G61" i="124"/>
  <c r="C61" i="124"/>
  <c r="I62" i="124"/>
  <c r="D62" i="124"/>
  <c r="J62" i="124"/>
  <c r="E62" i="124"/>
  <c r="F62" i="124"/>
  <c r="K62" i="124"/>
  <c r="G62" i="124"/>
  <c r="C62" i="124"/>
  <c r="I63" i="124"/>
  <c r="D63" i="124"/>
  <c r="J63" i="124"/>
  <c r="E63" i="124"/>
  <c r="F63" i="124"/>
  <c r="K63" i="124"/>
  <c r="G63" i="124"/>
  <c r="C63" i="124"/>
  <c r="I64" i="124"/>
  <c r="D64" i="124"/>
  <c r="J64" i="124"/>
  <c r="E64" i="124"/>
  <c r="F64" i="124"/>
  <c r="K64" i="124"/>
  <c r="G64" i="124"/>
  <c r="C64" i="124"/>
  <c r="I65" i="124"/>
  <c r="D65" i="124"/>
  <c r="J65" i="124"/>
  <c r="E65" i="124"/>
  <c r="F65" i="124"/>
  <c r="K65" i="124"/>
  <c r="G65" i="124"/>
  <c r="C65" i="124"/>
  <c r="I66" i="124"/>
  <c r="D66" i="124"/>
  <c r="J66" i="124"/>
  <c r="E66" i="124"/>
  <c r="F66" i="124"/>
  <c r="K66" i="124"/>
  <c r="G66" i="124"/>
  <c r="C66" i="124"/>
  <c r="I67" i="124"/>
  <c r="D67" i="124"/>
  <c r="J67" i="124"/>
  <c r="E67" i="124"/>
  <c r="F67" i="124"/>
  <c r="K67" i="124"/>
  <c r="G67" i="124"/>
  <c r="C67" i="124"/>
  <c r="I68" i="124"/>
  <c r="D68" i="124"/>
  <c r="J68" i="124"/>
  <c r="E68" i="124"/>
  <c r="F68" i="124"/>
  <c r="K68" i="124"/>
  <c r="G68" i="124"/>
  <c r="C68" i="124"/>
  <c r="I69" i="124"/>
  <c r="D69" i="124"/>
  <c r="J69" i="124"/>
  <c r="E69" i="124"/>
  <c r="F69" i="124"/>
  <c r="K69" i="124"/>
  <c r="G69" i="124"/>
  <c r="C69" i="124"/>
  <c r="I70" i="124"/>
  <c r="D70" i="124"/>
  <c r="J70" i="124"/>
  <c r="E70" i="124"/>
  <c r="F70" i="124"/>
  <c r="K70" i="124"/>
  <c r="G70" i="124"/>
  <c r="C70" i="124"/>
  <c r="I71" i="124"/>
  <c r="D71" i="124"/>
  <c r="J71" i="124"/>
  <c r="E71" i="124"/>
  <c r="F71" i="124"/>
  <c r="K71" i="124"/>
  <c r="G71" i="124"/>
  <c r="C71" i="124"/>
  <c r="I72" i="124"/>
  <c r="D72" i="124"/>
  <c r="J72" i="124"/>
  <c r="E72" i="124"/>
  <c r="F72" i="124"/>
  <c r="K72" i="124"/>
  <c r="G72" i="124"/>
  <c r="C72" i="124"/>
  <c r="I73" i="124"/>
  <c r="D73" i="124"/>
  <c r="J73" i="124"/>
  <c r="E73" i="124"/>
  <c r="F73" i="124"/>
  <c r="K73" i="124"/>
  <c r="G73" i="124"/>
  <c r="C73" i="124"/>
  <c r="I74" i="124"/>
  <c r="D74" i="124"/>
  <c r="J74" i="124"/>
  <c r="E74" i="124"/>
  <c r="F74" i="124"/>
  <c r="K74" i="124"/>
  <c r="G74" i="124"/>
  <c r="C74" i="124"/>
  <c r="I75" i="124"/>
  <c r="D75" i="124"/>
  <c r="J75" i="124"/>
  <c r="E75" i="124"/>
  <c r="F75" i="124"/>
  <c r="K75" i="124"/>
  <c r="G75" i="124"/>
  <c r="C75" i="124"/>
  <c r="I76" i="124"/>
  <c r="D76" i="124"/>
  <c r="J76" i="124"/>
  <c r="E76" i="124"/>
  <c r="F76" i="124"/>
  <c r="K76" i="124"/>
  <c r="G76" i="124"/>
  <c r="C76" i="124"/>
  <c r="I77" i="124"/>
  <c r="D77" i="124"/>
  <c r="J77" i="124"/>
  <c r="E77" i="124"/>
  <c r="F77" i="124"/>
  <c r="K77" i="124"/>
  <c r="G77" i="124"/>
  <c r="C77" i="124"/>
  <c r="I78" i="124"/>
  <c r="D78" i="124"/>
  <c r="J78" i="124"/>
  <c r="E78" i="124"/>
  <c r="F78" i="124"/>
  <c r="K78" i="124"/>
  <c r="G78" i="124"/>
  <c r="C78" i="124"/>
  <c r="I79" i="124"/>
  <c r="D79" i="124"/>
  <c r="J79" i="124"/>
  <c r="E79" i="124"/>
  <c r="F79" i="124"/>
  <c r="K79" i="124"/>
  <c r="G79" i="124"/>
  <c r="C79" i="124"/>
  <c r="I80" i="124"/>
  <c r="D80" i="124"/>
  <c r="J80" i="124"/>
  <c r="E80" i="124"/>
  <c r="F80" i="124"/>
  <c r="K80" i="124"/>
  <c r="G80" i="124"/>
  <c r="C80" i="124"/>
  <c r="I81" i="124"/>
  <c r="D81" i="124"/>
  <c r="J81" i="124"/>
  <c r="E81" i="124"/>
  <c r="F81" i="124"/>
  <c r="K81" i="124"/>
  <c r="G81" i="124"/>
  <c r="C81" i="124"/>
  <c r="I82" i="124"/>
  <c r="D82" i="124"/>
  <c r="J82" i="124"/>
  <c r="E82" i="124"/>
  <c r="F82" i="124"/>
  <c r="K82" i="124"/>
  <c r="G82" i="124"/>
  <c r="C82" i="124"/>
  <c r="I83" i="124"/>
  <c r="D83" i="124"/>
  <c r="J83" i="124"/>
  <c r="E83" i="124"/>
  <c r="F83" i="124"/>
  <c r="K83" i="124"/>
  <c r="G83" i="124"/>
  <c r="C83" i="124"/>
  <c r="I84" i="124"/>
  <c r="D84" i="124"/>
  <c r="J84" i="124"/>
  <c r="E84" i="124"/>
  <c r="F84" i="124"/>
  <c r="K84" i="124"/>
  <c r="G84" i="124"/>
  <c r="C84" i="124"/>
  <c r="I85" i="124"/>
  <c r="D85" i="124"/>
  <c r="J85" i="124"/>
  <c r="E85" i="124"/>
  <c r="F85" i="124"/>
  <c r="K85" i="124"/>
  <c r="G85" i="124"/>
  <c r="C85" i="124"/>
  <c r="I86" i="124"/>
  <c r="D86" i="124"/>
  <c r="J86" i="124"/>
  <c r="E86" i="124"/>
  <c r="F86" i="124"/>
  <c r="K86" i="124"/>
  <c r="G86" i="124"/>
  <c r="C86" i="124"/>
  <c r="I87" i="124"/>
  <c r="D87" i="124"/>
  <c r="J87" i="124"/>
  <c r="E87" i="124"/>
  <c r="F87" i="124"/>
  <c r="K87" i="124"/>
  <c r="G87" i="124"/>
  <c r="C87" i="124"/>
  <c r="I88" i="124"/>
  <c r="D88" i="124"/>
  <c r="J88" i="124"/>
  <c r="E88" i="124"/>
  <c r="F88" i="124"/>
  <c r="K88" i="124"/>
  <c r="G88" i="124"/>
  <c r="C88" i="124"/>
  <c r="I89" i="124"/>
  <c r="D89" i="124"/>
  <c r="J89" i="124"/>
  <c r="E89" i="124"/>
  <c r="F89" i="124"/>
  <c r="K89" i="124"/>
  <c r="G89" i="124"/>
  <c r="C89" i="124"/>
  <c r="I90" i="124"/>
  <c r="D90" i="124"/>
  <c r="J90" i="124"/>
  <c r="E90" i="124"/>
  <c r="F90" i="124"/>
  <c r="K90" i="124"/>
  <c r="G90" i="124"/>
  <c r="C90" i="124"/>
  <c r="I91" i="124"/>
  <c r="D91" i="124"/>
  <c r="J91" i="124"/>
  <c r="E91" i="124"/>
  <c r="F91" i="124"/>
  <c r="K91" i="124"/>
  <c r="G91" i="124"/>
  <c r="C91" i="124"/>
  <c r="I92" i="124"/>
  <c r="D92" i="124"/>
  <c r="J92" i="124"/>
  <c r="E92" i="124"/>
  <c r="F92" i="124"/>
  <c r="K92" i="124"/>
  <c r="G92" i="124"/>
  <c r="C92" i="124"/>
  <c r="I93" i="124"/>
  <c r="D93" i="124"/>
  <c r="J93" i="124"/>
  <c r="E93" i="124"/>
  <c r="F93" i="124"/>
  <c r="K93" i="124"/>
  <c r="G93" i="124"/>
  <c r="C93" i="124"/>
  <c r="I94" i="124"/>
  <c r="D94" i="124"/>
  <c r="J94" i="124"/>
  <c r="E94" i="124"/>
  <c r="F94" i="124"/>
  <c r="K94" i="124"/>
  <c r="G94" i="124"/>
  <c r="C94" i="124"/>
  <c r="I95" i="124"/>
  <c r="D95" i="124"/>
  <c r="J95" i="124"/>
  <c r="E95" i="124"/>
  <c r="F95" i="124"/>
  <c r="K95" i="124"/>
  <c r="G95" i="124"/>
  <c r="C95" i="124"/>
  <c r="I96" i="124"/>
  <c r="D96" i="124"/>
  <c r="J96" i="124"/>
  <c r="E96" i="124"/>
  <c r="F96" i="124"/>
  <c r="K96" i="124"/>
  <c r="G96" i="124"/>
  <c r="C96" i="124"/>
  <c r="I97" i="124"/>
  <c r="D97" i="124"/>
  <c r="J97" i="124"/>
  <c r="E97" i="124"/>
  <c r="F97" i="124"/>
  <c r="K97" i="124"/>
  <c r="G97" i="124"/>
  <c r="C97" i="124"/>
  <c r="I98" i="124"/>
  <c r="D98" i="124"/>
  <c r="J98" i="124"/>
  <c r="E98" i="124"/>
  <c r="F98" i="124"/>
  <c r="K98" i="124"/>
  <c r="G98" i="124"/>
  <c r="C98" i="124"/>
  <c r="I99" i="124"/>
  <c r="D99" i="124"/>
  <c r="J99" i="124"/>
  <c r="E99" i="124"/>
  <c r="F99" i="124"/>
  <c r="K99" i="124"/>
  <c r="G99" i="124"/>
  <c r="C99" i="124"/>
  <c r="I100" i="124"/>
  <c r="D100" i="124"/>
  <c r="J100" i="124"/>
  <c r="E100" i="124"/>
  <c r="F100" i="124"/>
  <c r="K100" i="124"/>
  <c r="G100" i="124"/>
  <c r="C100" i="124"/>
  <c r="I101" i="124"/>
  <c r="D101" i="124"/>
  <c r="J101" i="124"/>
  <c r="E101" i="124"/>
  <c r="F101" i="124"/>
  <c r="K101" i="124"/>
  <c r="G101" i="124"/>
  <c r="C101" i="124"/>
  <c r="I102" i="124"/>
  <c r="D102" i="124"/>
  <c r="J102" i="124"/>
  <c r="E102" i="124"/>
  <c r="F102" i="124"/>
  <c r="K102" i="124"/>
  <c r="G102" i="124"/>
  <c r="C102" i="124"/>
  <c r="I103" i="124"/>
  <c r="D103" i="124"/>
  <c r="J103" i="124"/>
  <c r="E103" i="124"/>
  <c r="F103" i="124"/>
  <c r="K103" i="124"/>
  <c r="G103" i="124"/>
  <c r="C103" i="124"/>
  <c r="I104" i="124"/>
  <c r="D104" i="124"/>
  <c r="J104" i="124"/>
  <c r="E104" i="124"/>
  <c r="F104" i="124"/>
  <c r="K104" i="124"/>
  <c r="G104" i="124"/>
  <c r="C104" i="124"/>
  <c r="I105" i="124"/>
  <c r="D105" i="124"/>
  <c r="J105" i="124"/>
  <c r="E105" i="124"/>
  <c r="F105" i="124"/>
  <c r="K105" i="124"/>
  <c r="G105" i="124"/>
  <c r="C105" i="124"/>
  <c r="I106" i="124"/>
  <c r="D106" i="124"/>
  <c r="J106" i="124"/>
  <c r="E106" i="124"/>
  <c r="F106" i="124"/>
  <c r="K106" i="124"/>
  <c r="G106" i="124"/>
  <c r="C106" i="124"/>
  <c r="I107" i="124"/>
  <c r="D107" i="124"/>
  <c r="J107" i="124"/>
  <c r="E107" i="124"/>
  <c r="F107" i="124"/>
  <c r="K107" i="124"/>
  <c r="G107" i="124"/>
  <c r="C107" i="124"/>
  <c r="I108" i="124"/>
  <c r="D108" i="124"/>
  <c r="J108" i="124"/>
  <c r="E108" i="124"/>
  <c r="F108" i="124"/>
  <c r="K108" i="124"/>
  <c r="G108" i="124"/>
  <c r="C108" i="124"/>
  <c r="I109" i="124"/>
  <c r="D109" i="124"/>
  <c r="J109" i="124"/>
  <c r="E109" i="124"/>
  <c r="F109" i="124"/>
  <c r="K109" i="124"/>
  <c r="G109" i="124"/>
  <c r="C109" i="124"/>
  <c r="I110" i="124"/>
  <c r="D110" i="124"/>
  <c r="J110" i="124"/>
  <c r="E110" i="124"/>
  <c r="F110" i="124"/>
  <c r="K110" i="124"/>
  <c r="G110" i="124"/>
  <c r="C110" i="124"/>
  <c r="I111" i="124"/>
  <c r="D111" i="124"/>
  <c r="J111" i="124"/>
  <c r="E111" i="124"/>
  <c r="F111" i="124"/>
  <c r="K111" i="124"/>
  <c r="G111" i="124"/>
  <c r="C111" i="124"/>
  <c r="I112" i="124"/>
  <c r="D112" i="124"/>
  <c r="J112" i="124"/>
  <c r="E112" i="124"/>
  <c r="F112" i="124"/>
  <c r="K112" i="124"/>
  <c r="G112" i="124"/>
  <c r="C112" i="124"/>
  <c r="I113" i="124"/>
  <c r="D113" i="124"/>
  <c r="J113" i="124"/>
  <c r="E113" i="124"/>
  <c r="F113" i="124"/>
  <c r="K113" i="124"/>
  <c r="G113" i="124"/>
  <c r="C113" i="124"/>
  <c r="I114" i="124"/>
  <c r="D114" i="124"/>
  <c r="J114" i="124"/>
  <c r="E114" i="124"/>
  <c r="F114" i="124"/>
  <c r="K114" i="124"/>
  <c r="G114" i="124"/>
  <c r="C114" i="124"/>
  <c r="I115" i="124"/>
  <c r="D115" i="124"/>
  <c r="J115" i="124"/>
  <c r="E115" i="124"/>
  <c r="F115" i="124"/>
  <c r="K115" i="124"/>
  <c r="G115" i="124"/>
  <c r="C115" i="124"/>
  <c r="I116" i="124"/>
  <c r="D116" i="124"/>
  <c r="J116" i="124"/>
  <c r="E116" i="124"/>
  <c r="F116" i="124"/>
  <c r="K116" i="124"/>
  <c r="G116" i="124"/>
  <c r="C116" i="124"/>
  <c r="I117" i="124"/>
  <c r="D117" i="124"/>
  <c r="J117" i="124"/>
  <c r="E117" i="124"/>
  <c r="F117" i="124"/>
  <c r="K117" i="124"/>
  <c r="G117" i="124"/>
  <c r="C117" i="124"/>
  <c r="I118" i="124"/>
  <c r="D118" i="124"/>
  <c r="J118" i="124"/>
  <c r="E118" i="124"/>
  <c r="F118" i="124"/>
  <c r="K118" i="124"/>
  <c r="G118" i="124"/>
  <c r="C118" i="124"/>
  <c r="I119" i="124"/>
  <c r="D119" i="124"/>
  <c r="J119" i="124"/>
  <c r="E119" i="124"/>
  <c r="F119" i="124"/>
  <c r="K119" i="124"/>
  <c r="G119" i="124"/>
  <c r="C119" i="124"/>
  <c r="I120" i="124"/>
  <c r="D120" i="124"/>
  <c r="J120" i="124"/>
  <c r="E120" i="124"/>
  <c r="F120" i="124"/>
  <c r="K120" i="124"/>
  <c r="G120" i="124"/>
  <c r="C120" i="124"/>
  <c r="I121" i="124"/>
  <c r="D121" i="124"/>
  <c r="J121" i="124"/>
  <c r="E121" i="124"/>
  <c r="F121" i="124"/>
  <c r="K121" i="124"/>
  <c r="G121" i="124"/>
  <c r="C121" i="124"/>
  <c r="I122" i="124"/>
  <c r="D122" i="124"/>
  <c r="J122" i="124"/>
  <c r="E122" i="124"/>
  <c r="F122" i="124"/>
  <c r="K122" i="124"/>
  <c r="G122" i="124"/>
  <c r="C122" i="124"/>
  <c r="I123" i="124"/>
  <c r="D123" i="124"/>
  <c r="J123" i="124"/>
  <c r="E123" i="124"/>
  <c r="F123" i="124"/>
  <c r="K123" i="124"/>
  <c r="G123" i="124"/>
  <c r="C123" i="124"/>
  <c r="I124" i="124"/>
  <c r="D124" i="124"/>
  <c r="J124" i="124"/>
  <c r="E124" i="124"/>
  <c r="F124" i="124"/>
  <c r="K124" i="124"/>
  <c r="G124" i="124"/>
  <c r="C124" i="124"/>
  <c r="I125" i="124"/>
  <c r="D125" i="124"/>
  <c r="J125" i="124"/>
  <c r="E125" i="124"/>
  <c r="F125" i="124"/>
  <c r="K125" i="124"/>
  <c r="G125" i="124"/>
  <c r="C125" i="124"/>
  <c r="I126" i="124"/>
  <c r="D126" i="124"/>
  <c r="J126" i="124"/>
  <c r="E126" i="124"/>
  <c r="F126" i="124"/>
  <c r="K126" i="124"/>
  <c r="G126" i="124"/>
  <c r="C126" i="124"/>
  <c r="I127" i="124"/>
  <c r="D127" i="124"/>
  <c r="J127" i="124"/>
  <c r="E127" i="124"/>
  <c r="F127" i="124"/>
  <c r="K127" i="124"/>
  <c r="G127" i="124"/>
  <c r="C127" i="124"/>
  <c r="I128" i="124"/>
  <c r="D128" i="124"/>
  <c r="J128" i="124"/>
  <c r="E128" i="124"/>
  <c r="F128" i="124"/>
  <c r="K128" i="124"/>
  <c r="G128" i="124"/>
  <c r="C128" i="124"/>
  <c r="I129" i="124"/>
  <c r="D129" i="124"/>
  <c r="J129" i="124"/>
  <c r="E129" i="124"/>
  <c r="F129" i="124"/>
  <c r="K129" i="124"/>
  <c r="G129" i="124"/>
  <c r="C129" i="124"/>
  <c r="I130" i="124"/>
  <c r="D130" i="124"/>
  <c r="J130" i="124"/>
  <c r="E130" i="124"/>
  <c r="F130" i="124"/>
  <c r="K130" i="124"/>
  <c r="G130" i="124"/>
  <c r="C130" i="124"/>
  <c r="I131" i="124"/>
  <c r="D131" i="124"/>
  <c r="J131" i="124"/>
  <c r="E131" i="124"/>
  <c r="F131" i="124"/>
  <c r="K131" i="124"/>
  <c r="G131" i="124"/>
  <c r="C131" i="124"/>
  <c r="I132" i="124"/>
  <c r="D132" i="124"/>
  <c r="J132" i="124"/>
  <c r="E132" i="124"/>
  <c r="F132" i="124"/>
  <c r="K132" i="124"/>
  <c r="G132" i="124"/>
  <c r="C132" i="124"/>
  <c r="I133" i="124"/>
  <c r="D133" i="124"/>
  <c r="J133" i="124"/>
  <c r="E133" i="124"/>
  <c r="F133" i="124"/>
  <c r="K133" i="124"/>
  <c r="G133" i="124"/>
  <c r="C133" i="124"/>
  <c r="I134" i="124"/>
  <c r="D134" i="124"/>
  <c r="J134" i="124"/>
  <c r="E134" i="124"/>
  <c r="F134" i="124"/>
  <c r="K134" i="124"/>
  <c r="G134" i="124"/>
  <c r="C134" i="124"/>
  <c r="I135" i="124"/>
  <c r="D135" i="124"/>
  <c r="J135" i="124"/>
  <c r="E135" i="124"/>
  <c r="F135" i="124"/>
  <c r="K135" i="124"/>
  <c r="G135" i="124"/>
  <c r="C135" i="124"/>
  <c r="I136" i="124"/>
  <c r="D136" i="124"/>
  <c r="J136" i="124"/>
  <c r="E136" i="124"/>
  <c r="F136" i="124"/>
  <c r="K136" i="124"/>
  <c r="G136" i="124"/>
  <c r="C136" i="124"/>
  <c r="I137" i="124"/>
  <c r="D137" i="124"/>
  <c r="J137" i="124"/>
  <c r="E137" i="124"/>
  <c r="F137" i="124"/>
  <c r="K137" i="124"/>
  <c r="G137" i="124"/>
  <c r="C137" i="124"/>
  <c r="I138" i="124"/>
  <c r="D138" i="124"/>
  <c r="J138" i="124"/>
  <c r="E138" i="124"/>
  <c r="F138" i="124"/>
  <c r="K138" i="124"/>
  <c r="G138" i="124"/>
  <c r="C138" i="124"/>
  <c r="I139" i="124"/>
  <c r="D139" i="124"/>
  <c r="J139" i="124"/>
  <c r="E139" i="124"/>
  <c r="F139" i="124"/>
  <c r="K139" i="124"/>
  <c r="G139" i="124"/>
  <c r="C139" i="124"/>
  <c r="I140" i="124"/>
  <c r="D140" i="124"/>
  <c r="J140" i="124"/>
  <c r="E140" i="124"/>
  <c r="F140" i="124"/>
  <c r="K140" i="124"/>
  <c r="G140" i="124"/>
  <c r="C140" i="124"/>
  <c r="I141" i="124"/>
  <c r="D141" i="124"/>
  <c r="J141" i="124"/>
  <c r="E141" i="124"/>
  <c r="F141" i="124"/>
  <c r="K141" i="124"/>
  <c r="G141" i="124"/>
  <c r="C141" i="124"/>
  <c r="I142" i="124"/>
  <c r="D142" i="124"/>
  <c r="J142" i="124"/>
  <c r="E142" i="124"/>
  <c r="F142" i="124"/>
  <c r="K142" i="124"/>
  <c r="G142" i="124"/>
  <c r="C142" i="124"/>
  <c r="I143" i="124"/>
  <c r="D143" i="124"/>
  <c r="J143" i="124"/>
  <c r="E143" i="124"/>
  <c r="F143" i="124"/>
  <c r="K143" i="124"/>
  <c r="G143" i="124"/>
  <c r="C143" i="124"/>
  <c r="I144" i="124"/>
  <c r="D144" i="124"/>
  <c r="J144" i="124"/>
  <c r="E144" i="124"/>
  <c r="F144" i="124"/>
  <c r="K144" i="124"/>
  <c r="G144" i="124"/>
  <c r="C144" i="124"/>
  <c r="I145" i="124"/>
  <c r="D145" i="124"/>
  <c r="J145" i="124"/>
  <c r="E145" i="124"/>
  <c r="F145" i="124"/>
  <c r="K145" i="124"/>
  <c r="G145" i="124"/>
  <c r="C145" i="124"/>
  <c r="I146" i="124"/>
  <c r="D146" i="124"/>
  <c r="J146" i="124"/>
  <c r="E146" i="124"/>
  <c r="F146" i="124"/>
  <c r="K146" i="124"/>
  <c r="G146" i="124"/>
  <c r="C146" i="124"/>
  <c r="I147" i="124"/>
  <c r="D147" i="124"/>
  <c r="J147" i="124"/>
  <c r="E147" i="124"/>
  <c r="F147" i="124"/>
  <c r="K147" i="124"/>
  <c r="G147" i="124"/>
  <c r="C147" i="124"/>
  <c r="I148" i="124"/>
  <c r="D148" i="124"/>
  <c r="J148" i="124"/>
  <c r="E148" i="124"/>
  <c r="F148" i="124"/>
  <c r="K148" i="124"/>
  <c r="G148" i="124"/>
  <c r="C148" i="124"/>
  <c r="I149" i="124"/>
  <c r="D149" i="124"/>
  <c r="J149" i="124"/>
  <c r="E149" i="124"/>
  <c r="F149" i="124"/>
  <c r="K149" i="124"/>
  <c r="G149" i="124"/>
  <c r="C149" i="124"/>
  <c r="I150" i="124"/>
  <c r="D150" i="124"/>
  <c r="J150" i="124"/>
  <c r="E150" i="124"/>
  <c r="F150" i="124"/>
  <c r="K150" i="124"/>
  <c r="G150" i="124"/>
  <c r="C150" i="124"/>
  <c r="I151" i="124"/>
  <c r="D151" i="124"/>
  <c r="J151" i="124"/>
  <c r="E151" i="124"/>
  <c r="F151" i="124"/>
  <c r="K151" i="124"/>
  <c r="G151" i="124"/>
  <c r="C151" i="124"/>
  <c r="I152" i="124"/>
  <c r="D152" i="124"/>
  <c r="J152" i="124"/>
  <c r="E152" i="124"/>
  <c r="F152" i="124"/>
  <c r="K152" i="124"/>
  <c r="G152" i="124"/>
  <c r="C152" i="124"/>
  <c r="I153" i="124"/>
  <c r="D153" i="124"/>
  <c r="J153" i="124"/>
  <c r="E153" i="124"/>
  <c r="F153" i="124"/>
  <c r="K153" i="124"/>
  <c r="G153" i="124"/>
  <c r="C153" i="124"/>
  <c r="I154" i="124"/>
  <c r="D154" i="124"/>
  <c r="J154" i="124"/>
  <c r="E154" i="124"/>
  <c r="F154" i="124"/>
  <c r="K154" i="124"/>
  <c r="G154" i="124"/>
  <c r="C154" i="124"/>
  <c r="I155" i="124"/>
  <c r="D155" i="124"/>
  <c r="J155" i="124"/>
  <c r="E155" i="124"/>
  <c r="F155" i="124"/>
  <c r="K155" i="124"/>
  <c r="G155" i="124"/>
  <c r="C155" i="124"/>
  <c r="I156" i="124"/>
  <c r="D156" i="124"/>
  <c r="J156" i="124"/>
  <c r="E156" i="124"/>
  <c r="F156" i="124"/>
  <c r="K156" i="124"/>
  <c r="G156" i="124"/>
  <c r="C156" i="124"/>
  <c r="I157" i="124"/>
  <c r="D157" i="124"/>
  <c r="J157" i="124"/>
  <c r="E157" i="124"/>
  <c r="F157" i="124"/>
  <c r="K157" i="124"/>
  <c r="G157" i="124"/>
  <c r="C157" i="124"/>
  <c r="I158" i="124"/>
  <c r="D158" i="124"/>
  <c r="J158" i="124"/>
  <c r="E158" i="124"/>
  <c r="F158" i="124"/>
  <c r="K158" i="124"/>
  <c r="G158" i="124"/>
  <c r="C158" i="124"/>
  <c r="I159" i="124"/>
  <c r="D159" i="124"/>
  <c r="J159" i="124"/>
  <c r="E159" i="124"/>
  <c r="F159" i="124"/>
  <c r="K159" i="124"/>
  <c r="G159" i="124"/>
  <c r="C159" i="124"/>
  <c r="I160" i="124"/>
  <c r="D160" i="124"/>
  <c r="J160" i="124"/>
  <c r="E160" i="124"/>
  <c r="F160" i="124"/>
  <c r="K160" i="124"/>
  <c r="G160" i="124"/>
  <c r="C160" i="124"/>
  <c r="I161" i="124"/>
  <c r="D161" i="124"/>
  <c r="J161" i="124"/>
  <c r="E161" i="124"/>
  <c r="F161" i="124"/>
  <c r="K161" i="124"/>
  <c r="G161" i="124"/>
  <c r="C161" i="124"/>
  <c r="I162" i="124"/>
  <c r="D162" i="124"/>
  <c r="J162" i="124"/>
  <c r="E162" i="124"/>
  <c r="F162" i="124"/>
  <c r="K162" i="124"/>
  <c r="G162" i="124"/>
  <c r="C162" i="124"/>
  <c r="I163" i="124"/>
  <c r="D163" i="124"/>
  <c r="J163" i="124"/>
  <c r="E163" i="124"/>
  <c r="F163" i="124"/>
  <c r="K163" i="124"/>
  <c r="G163" i="124"/>
  <c r="C163" i="124"/>
  <c r="I164" i="124"/>
  <c r="D164" i="124"/>
  <c r="J164" i="124"/>
  <c r="E164" i="124"/>
  <c r="F164" i="124"/>
  <c r="K164" i="124"/>
  <c r="G164" i="124"/>
  <c r="C164" i="124"/>
  <c r="I165" i="124"/>
  <c r="D165" i="124"/>
  <c r="J165" i="124"/>
  <c r="E165" i="124"/>
  <c r="F165" i="124"/>
  <c r="K165" i="124"/>
  <c r="G165" i="124"/>
  <c r="C165" i="124"/>
  <c r="I166" i="124"/>
  <c r="D166" i="124"/>
  <c r="J166" i="124"/>
  <c r="E166" i="124"/>
  <c r="F166" i="124"/>
  <c r="K166" i="124"/>
  <c r="G166" i="124"/>
  <c r="C166" i="124"/>
  <c r="I167" i="124"/>
  <c r="D167" i="124"/>
  <c r="J167" i="124"/>
  <c r="E167" i="124"/>
  <c r="F167" i="124"/>
  <c r="K167" i="124"/>
  <c r="G167" i="124"/>
  <c r="C167" i="124"/>
  <c r="I168" i="124"/>
  <c r="D168" i="124"/>
  <c r="J168" i="124"/>
  <c r="E168" i="124"/>
  <c r="F168" i="124"/>
  <c r="K168" i="124"/>
  <c r="G168" i="124"/>
  <c r="C168" i="124"/>
  <c r="I169" i="124"/>
  <c r="D169" i="124"/>
  <c r="J169" i="124"/>
  <c r="E169" i="124"/>
  <c r="F169" i="124"/>
  <c r="K169" i="124"/>
  <c r="G169" i="124"/>
  <c r="C169" i="124"/>
  <c r="I170" i="124"/>
  <c r="D170" i="124"/>
  <c r="J170" i="124"/>
  <c r="E170" i="124"/>
  <c r="F170" i="124"/>
  <c r="K170" i="124"/>
  <c r="G170" i="124"/>
  <c r="C170" i="124"/>
  <c r="I171" i="124"/>
  <c r="D171" i="124"/>
  <c r="J171" i="124"/>
  <c r="E171" i="124"/>
  <c r="F171" i="124"/>
  <c r="K171" i="124"/>
  <c r="G171" i="124"/>
  <c r="C171" i="124"/>
  <c r="I172" i="124"/>
  <c r="D172" i="124"/>
  <c r="J172" i="124"/>
  <c r="E172" i="124"/>
  <c r="F172" i="124"/>
  <c r="K172" i="124"/>
  <c r="G172" i="124"/>
  <c r="C172" i="124"/>
  <c r="I173" i="124"/>
  <c r="D173" i="124"/>
  <c r="J173" i="124"/>
  <c r="E173" i="124"/>
  <c r="F173" i="124"/>
  <c r="K173" i="124"/>
  <c r="G173" i="124"/>
  <c r="C173" i="124"/>
  <c r="I174" i="124"/>
  <c r="D174" i="124"/>
  <c r="J174" i="124"/>
  <c r="E174" i="124"/>
  <c r="F174" i="124"/>
  <c r="K174" i="124"/>
  <c r="G174" i="124"/>
  <c r="C174" i="124"/>
  <c r="I175" i="124"/>
  <c r="D175" i="124"/>
  <c r="J175" i="124"/>
  <c r="E175" i="124"/>
  <c r="F175" i="124"/>
  <c r="K175" i="124"/>
  <c r="G175" i="124"/>
  <c r="C175" i="124"/>
  <c r="I176" i="124"/>
  <c r="D176" i="124"/>
  <c r="J176" i="124"/>
  <c r="E176" i="124"/>
  <c r="F176" i="124"/>
  <c r="K176" i="124"/>
  <c r="G176" i="124"/>
  <c r="C176" i="124"/>
  <c r="I177" i="124"/>
  <c r="D177" i="124"/>
  <c r="J177" i="124"/>
  <c r="E177" i="124"/>
  <c r="F177" i="124"/>
  <c r="K177" i="124"/>
  <c r="G177" i="124"/>
  <c r="C177" i="124"/>
  <c r="I178" i="124"/>
  <c r="D178" i="124"/>
  <c r="J178" i="124"/>
  <c r="E178" i="124"/>
  <c r="F178" i="124"/>
  <c r="K178" i="124"/>
  <c r="G178" i="124"/>
  <c r="C178" i="124"/>
  <c r="I179" i="124"/>
  <c r="D179" i="124"/>
  <c r="J179" i="124"/>
  <c r="E179" i="124"/>
  <c r="F179" i="124"/>
  <c r="K179" i="124"/>
  <c r="G179" i="124"/>
  <c r="C179" i="124"/>
  <c r="I180" i="124"/>
  <c r="D180" i="124"/>
  <c r="J180" i="124"/>
  <c r="E180" i="124"/>
  <c r="F180" i="124"/>
  <c r="K180" i="124"/>
  <c r="G180" i="124"/>
  <c r="C180" i="124"/>
  <c r="I181" i="124"/>
  <c r="D181" i="124"/>
  <c r="J181" i="124"/>
  <c r="E181" i="124"/>
  <c r="F181" i="124"/>
  <c r="K181" i="124"/>
  <c r="G181" i="124"/>
  <c r="C181" i="124"/>
  <c r="I182" i="124"/>
  <c r="D182" i="124"/>
  <c r="J182" i="124"/>
  <c r="E182" i="124"/>
  <c r="F182" i="124"/>
  <c r="K182" i="124"/>
  <c r="G182" i="124"/>
  <c r="C182" i="124"/>
  <c r="I183" i="124"/>
  <c r="D183" i="124"/>
  <c r="J183" i="124"/>
  <c r="E183" i="124"/>
  <c r="F183" i="124"/>
  <c r="K183" i="124"/>
  <c r="G183" i="124"/>
  <c r="C183" i="124"/>
  <c r="I184" i="124"/>
  <c r="D184" i="124"/>
  <c r="J184" i="124"/>
  <c r="E184" i="124"/>
  <c r="F184" i="124"/>
  <c r="K184" i="124"/>
  <c r="G184" i="124"/>
  <c r="C184" i="124"/>
  <c r="I185" i="124"/>
  <c r="D185" i="124"/>
  <c r="J185" i="124"/>
  <c r="E185" i="124"/>
  <c r="F185" i="124"/>
  <c r="K185" i="124"/>
  <c r="G185" i="124"/>
  <c r="C185" i="124"/>
  <c r="I186" i="124"/>
  <c r="D186" i="124"/>
  <c r="J186" i="124"/>
  <c r="E186" i="124"/>
  <c r="F186" i="124"/>
  <c r="K186" i="124"/>
  <c r="G186" i="124"/>
  <c r="C186" i="124"/>
  <c r="I187" i="124"/>
  <c r="D187" i="124"/>
  <c r="J187" i="124"/>
  <c r="E187" i="124"/>
  <c r="F187" i="124"/>
  <c r="K187" i="124"/>
  <c r="G187" i="124"/>
  <c r="C187" i="124"/>
  <c r="I188" i="124"/>
  <c r="D188" i="124"/>
  <c r="J188" i="124"/>
  <c r="E188" i="124"/>
  <c r="F188" i="124"/>
  <c r="K188" i="124"/>
  <c r="G188" i="124"/>
  <c r="C188" i="124"/>
  <c r="I189" i="124"/>
  <c r="D189" i="124"/>
  <c r="J189" i="124"/>
  <c r="E189" i="124"/>
  <c r="F189" i="124"/>
  <c r="K189" i="124"/>
  <c r="G189" i="124"/>
  <c r="C189" i="124"/>
  <c r="I190" i="124"/>
  <c r="D190" i="124"/>
  <c r="J190" i="124"/>
  <c r="E190" i="124"/>
  <c r="F190" i="124"/>
  <c r="K190" i="124"/>
  <c r="G190" i="124"/>
  <c r="C190" i="124"/>
  <c r="I191" i="124"/>
  <c r="D191" i="124"/>
  <c r="J191" i="124"/>
  <c r="E191" i="124"/>
  <c r="F191" i="124"/>
  <c r="K191" i="124"/>
  <c r="G191" i="124"/>
  <c r="C191" i="124"/>
  <c r="I192" i="124"/>
  <c r="D192" i="124"/>
  <c r="J192" i="124"/>
  <c r="E192" i="124"/>
  <c r="F192" i="124"/>
  <c r="K192" i="124"/>
  <c r="G192" i="124"/>
  <c r="C192" i="124"/>
  <c r="I193" i="124"/>
  <c r="D193" i="124"/>
  <c r="J193" i="124"/>
  <c r="E193" i="124"/>
  <c r="F193" i="124"/>
  <c r="K193" i="124"/>
  <c r="G193" i="124"/>
  <c r="C193" i="124"/>
  <c r="I194" i="124"/>
  <c r="D194" i="124"/>
  <c r="J194" i="124"/>
  <c r="E194" i="124"/>
  <c r="F194" i="124"/>
  <c r="K194" i="124"/>
  <c r="G194" i="124"/>
  <c r="C194" i="124"/>
  <c r="I195" i="124"/>
  <c r="D195" i="124"/>
  <c r="J195" i="124"/>
  <c r="E195" i="124"/>
  <c r="F195" i="124"/>
  <c r="K195" i="124"/>
  <c r="G195" i="124"/>
  <c r="C195" i="124"/>
  <c r="I196" i="124"/>
  <c r="D196" i="124"/>
  <c r="J196" i="124"/>
  <c r="E196" i="124"/>
  <c r="F196" i="124"/>
  <c r="K196" i="124"/>
  <c r="G196" i="124"/>
  <c r="C196" i="124"/>
  <c r="I197" i="124"/>
  <c r="D197" i="124"/>
  <c r="J197" i="124"/>
  <c r="E197" i="124"/>
  <c r="F197" i="124"/>
  <c r="K197" i="124"/>
  <c r="G197" i="124"/>
  <c r="C197" i="124"/>
  <c r="I198" i="124"/>
  <c r="D198" i="124"/>
  <c r="J198" i="124"/>
  <c r="E198" i="124"/>
  <c r="F198" i="124"/>
  <c r="K198" i="124"/>
  <c r="G198" i="124"/>
  <c r="C198" i="124"/>
  <c r="I199" i="124"/>
  <c r="D199" i="124"/>
  <c r="J199" i="124"/>
  <c r="E199" i="124"/>
  <c r="F199" i="124"/>
  <c r="K199" i="124"/>
  <c r="G199" i="124"/>
  <c r="C199" i="124"/>
  <c r="I200" i="124"/>
  <c r="D200" i="124"/>
  <c r="J200" i="124"/>
  <c r="E200" i="124"/>
  <c r="F200" i="124"/>
  <c r="K200" i="124"/>
  <c r="G200" i="124"/>
  <c r="C200" i="124"/>
  <c r="I201" i="124"/>
  <c r="D201" i="124"/>
  <c r="J201" i="124"/>
  <c r="E201" i="124"/>
  <c r="F201" i="124"/>
  <c r="K201" i="124"/>
  <c r="G201" i="124"/>
  <c r="C201" i="124"/>
  <c r="I202" i="124"/>
  <c r="D202" i="124"/>
  <c r="J202" i="124"/>
  <c r="E202" i="124"/>
  <c r="F202" i="124"/>
  <c r="K202" i="124"/>
  <c r="G202" i="124"/>
  <c r="C202" i="124"/>
  <c r="I203" i="124"/>
  <c r="D203" i="124"/>
  <c r="J203" i="124"/>
  <c r="E203" i="124"/>
  <c r="F203" i="124"/>
  <c r="K203" i="124"/>
  <c r="G203" i="124"/>
  <c r="C203" i="124"/>
  <c r="I204" i="124"/>
  <c r="D204" i="124"/>
  <c r="J204" i="124"/>
  <c r="E204" i="124"/>
  <c r="F204" i="124"/>
  <c r="K204" i="124"/>
  <c r="G204" i="124"/>
  <c r="C204" i="124"/>
  <c r="I205" i="124"/>
  <c r="D205" i="124"/>
  <c r="J205" i="124"/>
  <c r="E205" i="124"/>
  <c r="F205" i="124"/>
  <c r="K205" i="124"/>
  <c r="G205" i="124"/>
  <c r="C205" i="124"/>
  <c r="I206" i="124"/>
  <c r="D206" i="124"/>
  <c r="J206" i="124"/>
  <c r="E206" i="124"/>
  <c r="F206" i="124"/>
  <c r="K206" i="124"/>
  <c r="G206" i="124"/>
  <c r="C206" i="124"/>
  <c r="I207" i="124"/>
  <c r="D207" i="124"/>
  <c r="J207" i="124"/>
  <c r="E207" i="124"/>
  <c r="F207" i="124"/>
  <c r="K207" i="124"/>
  <c r="G207" i="124"/>
  <c r="C207" i="124"/>
  <c r="I208" i="124"/>
  <c r="D208" i="124"/>
  <c r="J208" i="124"/>
  <c r="E208" i="124"/>
  <c r="F208" i="124"/>
  <c r="K208" i="124"/>
  <c r="G208" i="124"/>
  <c r="C208" i="124"/>
  <c r="I209" i="124"/>
  <c r="D209" i="124"/>
  <c r="J209" i="124"/>
  <c r="E209" i="124"/>
  <c r="F209" i="124"/>
  <c r="K209" i="124"/>
  <c r="G209" i="124"/>
  <c r="C209" i="124"/>
  <c r="I210" i="124"/>
  <c r="D210" i="124"/>
  <c r="J210" i="124"/>
  <c r="E210" i="124"/>
  <c r="F210" i="124"/>
  <c r="K210" i="124"/>
  <c r="G210" i="124"/>
  <c r="C210" i="124"/>
  <c r="I211" i="124"/>
  <c r="D211" i="124"/>
  <c r="J211" i="124"/>
  <c r="E211" i="124"/>
  <c r="F211" i="124"/>
  <c r="K211" i="124"/>
  <c r="G211" i="124"/>
  <c r="C211" i="124"/>
  <c r="I212" i="124"/>
  <c r="D212" i="124"/>
  <c r="J212" i="124"/>
  <c r="E212" i="124"/>
  <c r="F212" i="124"/>
  <c r="K212" i="124"/>
  <c r="G212" i="124"/>
  <c r="C212" i="124"/>
  <c r="I213" i="124"/>
  <c r="D213" i="124"/>
  <c r="J213" i="124"/>
  <c r="E213" i="124"/>
  <c r="F213" i="124"/>
  <c r="K213" i="124"/>
  <c r="G213" i="124"/>
  <c r="C213" i="124"/>
  <c r="I214" i="124"/>
  <c r="D214" i="124"/>
  <c r="J214" i="124"/>
  <c r="E214" i="124"/>
  <c r="F214" i="124"/>
  <c r="K214" i="124"/>
  <c r="G214" i="124"/>
  <c r="C214" i="124"/>
  <c r="I215" i="124"/>
  <c r="D215" i="124"/>
  <c r="J215" i="124"/>
  <c r="E215" i="124"/>
  <c r="F215" i="124"/>
  <c r="K215" i="124"/>
  <c r="G215" i="124"/>
  <c r="C215" i="124"/>
  <c r="I216" i="124"/>
  <c r="D216" i="124"/>
  <c r="J216" i="124"/>
  <c r="E216" i="124"/>
  <c r="F216" i="124"/>
  <c r="K216" i="124"/>
  <c r="G216" i="124"/>
  <c r="C216" i="124"/>
  <c r="I217" i="124"/>
  <c r="D217" i="124"/>
  <c r="J217" i="124"/>
  <c r="E217" i="124"/>
  <c r="F217" i="124"/>
  <c r="K217" i="124"/>
  <c r="G217" i="124"/>
  <c r="C217" i="124"/>
  <c r="I218" i="124"/>
  <c r="D218" i="124"/>
  <c r="J218" i="124"/>
  <c r="E218" i="124"/>
  <c r="F218" i="124"/>
  <c r="K218" i="124"/>
  <c r="G218" i="124"/>
  <c r="C218" i="124"/>
  <c r="I219" i="124"/>
  <c r="D219" i="124"/>
  <c r="J219" i="124"/>
  <c r="E219" i="124"/>
  <c r="F219" i="124"/>
  <c r="K219" i="124"/>
  <c r="G219" i="124"/>
  <c r="C219" i="124"/>
  <c r="I220" i="124"/>
  <c r="D220" i="124"/>
  <c r="J220" i="124"/>
  <c r="E220" i="124"/>
  <c r="F220" i="124"/>
  <c r="K220" i="124"/>
  <c r="G220" i="124"/>
  <c r="C220" i="124"/>
  <c r="I221" i="124"/>
  <c r="D221" i="124"/>
  <c r="J221" i="124"/>
  <c r="E221" i="124"/>
  <c r="F221" i="124"/>
  <c r="K221" i="124"/>
  <c r="G221" i="124"/>
  <c r="C221" i="124"/>
  <c r="I222" i="124"/>
  <c r="D222" i="124"/>
  <c r="J222" i="124"/>
  <c r="E222" i="124"/>
  <c r="F222" i="124"/>
  <c r="K222" i="124"/>
  <c r="G222" i="124"/>
  <c r="C222" i="124"/>
  <c r="I223" i="124"/>
  <c r="D223" i="124"/>
  <c r="J223" i="124"/>
  <c r="E223" i="124"/>
  <c r="F223" i="124"/>
  <c r="K223" i="124"/>
  <c r="G223" i="124"/>
  <c r="C223" i="124"/>
  <c r="I224" i="124"/>
  <c r="D224" i="124"/>
  <c r="J224" i="124"/>
  <c r="E224" i="124"/>
  <c r="F224" i="124"/>
  <c r="K224" i="124"/>
  <c r="G224" i="124"/>
  <c r="C224" i="124"/>
  <c r="I225" i="124"/>
  <c r="D225" i="124"/>
  <c r="J225" i="124"/>
  <c r="E225" i="124"/>
  <c r="F225" i="124"/>
  <c r="K225" i="124"/>
  <c r="G225" i="124"/>
  <c r="C225" i="124"/>
  <c r="I226" i="124"/>
  <c r="D226" i="124"/>
  <c r="J226" i="124"/>
  <c r="E226" i="124"/>
  <c r="F226" i="124"/>
  <c r="K226" i="124"/>
  <c r="G226" i="124"/>
  <c r="C226" i="124"/>
  <c r="I227" i="124"/>
  <c r="D227" i="124"/>
  <c r="J227" i="124"/>
  <c r="E227" i="124"/>
  <c r="F227" i="124"/>
  <c r="K227" i="124"/>
  <c r="G227" i="124"/>
  <c r="C227" i="124"/>
  <c r="I228" i="124"/>
  <c r="D228" i="124"/>
  <c r="J228" i="124"/>
  <c r="E228" i="124"/>
  <c r="F228" i="124"/>
  <c r="K228" i="124"/>
  <c r="G228" i="124"/>
  <c r="C228" i="124"/>
  <c r="I229" i="124"/>
  <c r="D229" i="124"/>
  <c r="J229" i="124"/>
  <c r="E229" i="124"/>
  <c r="F229" i="124"/>
  <c r="K229" i="124"/>
  <c r="G229" i="124"/>
  <c r="C229" i="124"/>
  <c r="I230" i="124"/>
  <c r="D230" i="124"/>
  <c r="J230" i="124"/>
  <c r="E230" i="124"/>
  <c r="F230" i="124"/>
  <c r="K230" i="124"/>
  <c r="G230" i="124"/>
  <c r="C230" i="124"/>
  <c r="I231" i="124"/>
  <c r="D231" i="124"/>
  <c r="J231" i="124"/>
  <c r="E231" i="124"/>
  <c r="F231" i="124"/>
  <c r="K231" i="124"/>
  <c r="G231" i="124"/>
  <c r="C231" i="124"/>
  <c r="I232" i="124"/>
  <c r="D232" i="124"/>
  <c r="J232" i="124"/>
  <c r="E232" i="124"/>
  <c r="F232" i="124"/>
  <c r="K232" i="124"/>
  <c r="G232" i="124"/>
  <c r="C232" i="124"/>
  <c r="I233" i="124"/>
  <c r="D233" i="124"/>
  <c r="J233" i="124"/>
  <c r="E233" i="124"/>
  <c r="F233" i="124"/>
  <c r="K233" i="124"/>
  <c r="G233" i="124"/>
  <c r="C233" i="124"/>
  <c r="I234" i="124"/>
  <c r="D234" i="124"/>
  <c r="J234" i="124"/>
  <c r="E234" i="124"/>
  <c r="F234" i="124"/>
  <c r="K234" i="124"/>
  <c r="G234" i="124"/>
  <c r="C234" i="124"/>
  <c r="I235" i="124"/>
  <c r="D235" i="124"/>
  <c r="J235" i="124"/>
  <c r="E235" i="124"/>
  <c r="F235" i="124"/>
  <c r="K235" i="124"/>
  <c r="G235" i="124"/>
  <c r="C235" i="124"/>
  <c r="I236" i="124"/>
  <c r="D236" i="124"/>
  <c r="J236" i="124"/>
  <c r="E236" i="124"/>
  <c r="F236" i="124"/>
  <c r="K236" i="124"/>
  <c r="G236" i="124"/>
  <c r="C236" i="124"/>
  <c r="I237" i="124"/>
  <c r="D237" i="124"/>
  <c r="J237" i="124"/>
  <c r="E237" i="124"/>
  <c r="F237" i="124"/>
  <c r="K237" i="124"/>
  <c r="G237" i="124"/>
  <c r="C237" i="124"/>
  <c r="I238" i="124"/>
  <c r="D238" i="124"/>
  <c r="J238" i="124"/>
  <c r="E238" i="124"/>
  <c r="F238" i="124"/>
  <c r="K238" i="124"/>
  <c r="G238" i="124"/>
  <c r="C238" i="124"/>
  <c r="I239" i="124"/>
  <c r="D239" i="124"/>
  <c r="J239" i="124"/>
  <c r="E239" i="124"/>
  <c r="F239" i="124"/>
  <c r="K239" i="124"/>
  <c r="G239" i="124"/>
  <c r="C239" i="124"/>
  <c r="I240" i="124"/>
  <c r="D240" i="124"/>
  <c r="J240" i="124"/>
  <c r="E240" i="124"/>
  <c r="F240" i="124"/>
  <c r="K240" i="124"/>
  <c r="G240" i="124"/>
  <c r="C240" i="124"/>
  <c r="I241" i="124"/>
  <c r="D241" i="124"/>
  <c r="J241" i="124"/>
  <c r="E241" i="124"/>
  <c r="F241" i="124"/>
  <c r="K241" i="124"/>
  <c r="G241" i="124"/>
  <c r="C241" i="124"/>
  <c r="I242" i="124"/>
  <c r="D242" i="124"/>
  <c r="J242" i="124"/>
  <c r="E242" i="124"/>
  <c r="F242" i="124"/>
  <c r="K242" i="124"/>
  <c r="G242" i="124"/>
  <c r="C242" i="124"/>
  <c r="I243" i="124"/>
  <c r="D243" i="124"/>
  <c r="J243" i="124"/>
  <c r="E243" i="124"/>
  <c r="F243" i="124"/>
  <c r="K243" i="124"/>
  <c r="G243" i="124"/>
  <c r="C243" i="124"/>
  <c r="I244" i="124"/>
  <c r="D244" i="124"/>
  <c r="J244" i="124"/>
  <c r="E244" i="124"/>
  <c r="F244" i="124"/>
  <c r="K244" i="124"/>
  <c r="G244" i="124"/>
  <c r="C244" i="124"/>
  <c r="I245" i="124"/>
  <c r="D245" i="124"/>
  <c r="J245" i="124"/>
  <c r="E245" i="124"/>
  <c r="F245" i="124"/>
  <c r="K245" i="124"/>
  <c r="G245" i="124"/>
  <c r="C245" i="124"/>
  <c r="I246" i="124"/>
  <c r="D246" i="124"/>
  <c r="J246" i="124"/>
  <c r="E246" i="124"/>
  <c r="F246" i="124"/>
  <c r="K246" i="124"/>
  <c r="G246" i="124"/>
  <c r="C246" i="124"/>
  <c r="I247" i="124"/>
  <c r="D247" i="124"/>
  <c r="J247" i="124"/>
  <c r="E247" i="124"/>
  <c r="F247" i="124"/>
  <c r="K247" i="124"/>
  <c r="G247" i="124"/>
  <c r="C247" i="124"/>
  <c r="I248" i="124"/>
  <c r="D248" i="124"/>
  <c r="J248" i="124"/>
  <c r="E248" i="124"/>
  <c r="F248" i="124"/>
  <c r="K248" i="124"/>
  <c r="G248" i="124"/>
  <c r="C248" i="124"/>
  <c r="I249" i="124"/>
  <c r="D249" i="124"/>
  <c r="J249" i="124"/>
  <c r="E249" i="124"/>
  <c r="F249" i="124"/>
  <c r="K249" i="124"/>
  <c r="G249" i="124"/>
  <c r="C249" i="124"/>
  <c r="I250" i="124"/>
  <c r="D250" i="124"/>
  <c r="J250" i="124"/>
  <c r="E250" i="124"/>
  <c r="F250" i="124"/>
  <c r="K250" i="124"/>
  <c r="G250" i="124"/>
  <c r="C250" i="124"/>
  <c r="I251" i="124"/>
  <c r="D251" i="124"/>
  <c r="J251" i="124"/>
  <c r="E251" i="124"/>
  <c r="F251" i="124"/>
  <c r="K251" i="124"/>
  <c r="G251" i="124"/>
  <c r="C251" i="124"/>
  <c r="I252" i="124"/>
  <c r="D252" i="124"/>
  <c r="J252" i="124"/>
  <c r="E252" i="124"/>
  <c r="F252" i="124"/>
  <c r="K252" i="124"/>
  <c r="G252" i="124"/>
  <c r="C252" i="124"/>
  <c r="I253" i="124"/>
  <c r="D253" i="124"/>
  <c r="J253" i="124"/>
  <c r="E253" i="124"/>
  <c r="F253" i="124"/>
  <c r="K253" i="124"/>
  <c r="G253" i="124"/>
  <c r="C253" i="124"/>
  <c r="I254" i="124"/>
  <c r="D254" i="124"/>
  <c r="J254" i="124"/>
  <c r="E254" i="124"/>
  <c r="F254" i="124"/>
  <c r="K254" i="124"/>
  <c r="G254" i="124"/>
  <c r="C254" i="124"/>
  <c r="I255" i="124"/>
  <c r="D255" i="124"/>
  <c r="J255" i="124"/>
  <c r="E255" i="124"/>
  <c r="F255" i="124"/>
  <c r="K255" i="124"/>
  <c r="G255" i="124"/>
  <c r="C255" i="124"/>
  <c r="I256" i="124"/>
  <c r="D256" i="124"/>
  <c r="J256" i="124"/>
  <c r="E256" i="124"/>
  <c r="F256" i="124"/>
  <c r="K256" i="124"/>
  <c r="G256" i="124"/>
  <c r="C256" i="124"/>
  <c r="I257" i="124"/>
  <c r="D257" i="124"/>
  <c r="J257" i="124"/>
  <c r="E257" i="124"/>
  <c r="F257" i="124"/>
  <c r="K257" i="124"/>
  <c r="G257" i="124"/>
  <c r="C257" i="124"/>
  <c r="I258" i="124"/>
  <c r="D258" i="124"/>
  <c r="J258" i="124"/>
  <c r="E258" i="124"/>
  <c r="F258" i="124"/>
  <c r="K258" i="124"/>
  <c r="G258" i="124"/>
  <c r="C258" i="124"/>
  <c r="I259" i="124"/>
  <c r="D259" i="124"/>
  <c r="J259" i="124"/>
  <c r="E259" i="124"/>
  <c r="F259" i="124"/>
  <c r="K259" i="124"/>
  <c r="G259" i="124"/>
  <c r="C259" i="124"/>
  <c r="I260" i="124"/>
  <c r="D260" i="124"/>
  <c r="J260" i="124"/>
  <c r="E260" i="124"/>
  <c r="F260" i="124"/>
  <c r="K260" i="124"/>
  <c r="G260" i="124"/>
  <c r="C260" i="124"/>
  <c r="I261" i="124"/>
  <c r="D261" i="124"/>
  <c r="J261" i="124"/>
  <c r="E261" i="124"/>
  <c r="F261" i="124"/>
  <c r="K261" i="124"/>
  <c r="G261" i="124"/>
  <c r="C261" i="124"/>
  <c r="I262" i="124"/>
  <c r="D262" i="124"/>
  <c r="J262" i="124"/>
  <c r="E262" i="124"/>
  <c r="F262" i="124"/>
  <c r="K262" i="124"/>
  <c r="G262" i="124"/>
  <c r="C262" i="124"/>
  <c r="I263" i="124"/>
  <c r="D263" i="124"/>
  <c r="J263" i="124"/>
  <c r="E263" i="124"/>
  <c r="F263" i="124"/>
  <c r="K263" i="124"/>
  <c r="G263" i="124"/>
  <c r="C263" i="124"/>
  <c r="I264" i="124"/>
  <c r="D264" i="124"/>
  <c r="J264" i="124"/>
  <c r="E264" i="124"/>
  <c r="F264" i="124"/>
  <c r="K264" i="124"/>
  <c r="G264" i="124"/>
  <c r="C264" i="124"/>
  <c r="I265" i="124"/>
  <c r="D265" i="124"/>
  <c r="J265" i="124"/>
  <c r="E265" i="124"/>
  <c r="F265" i="124"/>
  <c r="K265" i="124"/>
  <c r="G265" i="124"/>
  <c r="C265" i="124"/>
  <c r="I266" i="124"/>
  <c r="D266" i="124"/>
  <c r="J266" i="124"/>
  <c r="E266" i="124"/>
  <c r="F266" i="124"/>
  <c r="K266" i="124"/>
  <c r="G266" i="124"/>
  <c r="C266" i="124"/>
  <c r="I267" i="124"/>
  <c r="D267" i="124"/>
  <c r="J267" i="124"/>
  <c r="E267" i="124"/>
  <c r="F267" i="124"/>
  <c r="K267" i="124"/>
  <c r="G267" i="124"/>
  <c r="C267" i="124"/>
  <c r="I268" i="124"/>
  <c r="D268" i="124"/>
  <c r="J268" i="124"/>
  <c r="E268" i="124"/>
  <c r="F268" i="124"/>
  <c r="K268" i="124"/>
  <c r="G268" i="124"/>
  <c r="C268" i="124"/>
  <c r="I269" i="124"/>
  <c r="D269" i="124"/>
  <c r="J269" i="124"/>
  <c r="E269" i="124"/>
  <c r="F269" i="124"/>
  <c r="K269" i="124"/>
  <c r="G269" i="124"/>
  <c r="C269" i="124"/>
  <c r="I270" i="124"/>
  <c r="D270" i="124"/>
  <c r="J270" i="124"/>
  <c r="E270" i="124"/>
  <c r="F270" i="124"/>
  <c r="K270" i="124"/>
  <c r="G270" i="124"/>
  <c r="C270" i="124"/>
  <c r="I271" i="124"/>
  <c r="D271" i="124"/>
  <c r="J271" i="124"/>
  <c r="E271" i="124"/>
  <c r="F271" i="124"/>
  <c r="K271" i="124"/>
  <c r="G271" i="124"/>
  <c r="C271" i="124"/>
  <c r="E44" i="123"/>
  <c r="H44" i="123"/>
  <c r="O272" i="124"/>
  <c r="B5" i="123"/>
  <c r="B10" i="123"/>
  <c r="F8" i="123"/>
  <c r="E31" i="123"/>
  <c r="E34" i="123"/>
  <c r="E36" i="123"/>
  <c r="E8" i="123"/>
  <c r="G8" i="123"/>
  <c r="B32" i="123"/>
  <c r="F6" i="123"/>
  <c r="E39" i="123"/>
  <c r="E41" i="123"/>
  <c r="E42" i="123"/>
  <c r="E6" i="123"/>
  <c r="G6" i="123"/>
  <c r="B37" i="123"/>
  <c r="B30" i="123"/>
  <c r="C30" i="123"/>
  <c r="D30" i="123"/>
  <c r="G30" i="123"/>
  <c r="E30" i="123"/>
  <c r="H30" i="123"/>
  <c r="O2" i="124"/>
  <c r="B31" i="123"/>
  <c r="C31" i="123"/>
  <c r="D31" i="123"/>
  <c r="G31" i="123"/>
  <c r="H31" i="123"/>
  <c r="O3" i="124"/>
  <c r="F7" i="123"/>
  <c r="E18" i="123"/>
  <c r="E21" i="123"/>
  <c r="E23" i="123"/>
  <c r="E7" i="123"/>
  <c r="G7" i="123"/>
  <c r="B19" i="123"/>
  <c r="F5" i="123"/>
  <c r="E26" i="123"/>
  <c r="E28" i="123"/>
  <c r="E29" i="123"/>
  <c r="E5" i="123"/>
  <c r="G5" i="123"/>
  <c r="B24" i="123"/>
  <c r="B17" i="123"/>
  <c r="C17" i="123"/>
  <c r="D17" i="123"/>
  <c r="G17" i="123"/>
  <c r="E17" i="123"/>
  <c r="H17" i="123"/>
  <c r="O4" i="124"/>
  <c r="B18" i="123"/>
  <c r="C18" i="123"/>
  <c r="D18" i="123"/>
  <c r="G18" i="123"/>
  <c r="H18" i="123"/>
  <c r="O5" i="124"/>
  <c r="O6" i="124"/>
  <c r="O7" i="124"/>
  <c r="O8" i="124"/>
  <c r="O9" i="124"/>
  <c r="O10" i="124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O26" i="124"/>
  <c r="O27" i="124"/>
  <c r="O28" i="124"/>
  <c r="O29" i="124"/>
  <c r="O30" i="124"/>
  <c r="O31" i="124"/>
  <c r="O32" i="124"/>
  <c r="O33" i="124"/>
  <c r="O34" i="124"/>
  <c r="O35" i="124"/>
  <c r="O36" i="124"/>
  <c r="O37" i="124"/>
  <c r="O38" i="124"/>
  <c r="O39" i="124"/>
  <c r="O40" i="124"/>
  <c r="O41" i="124"/>
  <c r="C37" i="123"/>
  <c r="D37" i="123"/>
  <c r="G37" i="123"/>
  <c r="E37" i="123"/>
  <c r="H37" i="123"/>
  <c r="O42" i="124"/>
  <c r="B38" i="123"/>
  <c r="C38" i="123"/>
  <c r="D38" i="123"/>
  <c r="G38" i="123"/>
  <c r="E38" i="123"/>
  <c r="H38" i="123"/>
  <c r="O43" i="124"/>
  <c r="B39" i="123"/>
  <c r="C39" i="123"/>
  <c r="D39" i="123"/>
  <c r="G39" i="123"/>
  <c r="H39" i="123"/>
  <c r="O44" i="124"/>
  <c r="C24" i="123"/>
  <c r="D24" i="123"/>
  <c r="G24" i="123"/>
  <c r="E24" i="123"/>
  <c r="H24" i="123"/>
  <c r="O45" i="124"/>
  <c r="B25" i="123"/>
  <c r="C25" i="123"/>
  <c r="D25" i="123"/>
  <c r="G25" i="123"/>
  <c r="E25" i="123"/>
  <c r="H25" i="123"/>
  <c r="O46" i="124"/>
  <c r="B26" i="123"/>
  <c r="C26" i="123"/>
  <c r="D26" i="123"/>
  <c r="G26" i="123"/>
  <c r="H26" i="123"/>
  <c r="O47" i="124"/>
  <c r="O48" i="124"/>
  <c r="O49" i="124"/>
  <c r="O50" i="124"/>
  <c r="C19" i="123"/>
  <c r="D19" i="123"/>
  <c r="G19" i="123"/>
  <c r="E19" i="123"/>
  <c r="H19" i="123"/>
  <c r="O51" i="124"/>
  <c r="B20" i="123"/>
  <c r="C20" i="123"/>
  <c r="D20" i="123"/>
  <c r="G20" i="123"/>
  <c r="E20" i="123"/>
  <c r="H20" i="123"/>
  <c r="O52" i="124"/>
  <c r="B21" i="123"/>
  <c r="C21" i="123"/>
  <c r="D21" i="123"/>
  <c r="G21" i="123"/>
  <c r="H21" i="123"/>
  <c r="O53" i="124"/>
  <c r="C32" i="123"/>
  <c r="D32" i="123"/>
  <c r="G32" i="123"/>
  <c r="E32" i="123"/>
  <c r="H32" i="123"/>
  <c r="O54" i="124"/>
  <c r="B33" i="123"/>
  <c r="C33" i="123"/>
  <c r="D33" i="123"/>
  <c r="G33" i="123"/>
  <c r="E33" i="123"/>
  <c r="H33" i="123"/>
  <c r="O55" i="124"/>
  <c r="B34" i="123"/>
  <c r="C34" i="123"/>
  <c r="D34" i="123"/>
  <c r="G34" i="123"/>
  <c r="H34" i="123"/>
  <c r="O56" i="124"/>
  <c r="O57" i="124"/>
  <c r="O58" i="124"/>
  <c r="O59" i="124"/>
  <c r="O60" i="124"/>
  <c r="O61" i="124"/>
  <c r="O62" i="124"/>
  <c r="O63" i="124"/>
  <c r="O64" i="124"/>
  <c r="O65" i="124"/>
  <c r="O66" i="124"/>
  <c r="O67" i="124"/>
  <c r="O68" i="124"/>
  <c r="O69" i="124"/>
  <c r="O70" i="124"/>
  <c r="O71" i="124"/>
  <c r="O72" i="124"/>
  <c r="O73" i="124"/>
  <c r="O74" i="124"/>
  <c r="O75" i="124"/>
  <c r="O76" i="124"/>
  <c r="O77" i="124"/>
  <c r="O78" i="124"/>
  <c r="O79" i="124"/>
  <c r="O80" i="124"/>
  <c r="O81" i="124"/>
  <c r="O82" i="124"/>
  <c r="O83" i="124"/>
  <c r="O84" i="124"/>
  <c r="O85" i="124"/>
  <c r="O86" i="124"/>
  <c r="O87" i="124"/>
  <c r="O88" i="124"/>
  <c r="O89" i="124"/>
  <c r="O90" i="124"/>
  <c r="O91" i="124"/>
  <c r="O92" i="124"/>
  <c r="O93" i="124"/>
  <c r="O94" i="124"/>
  <c r="O95" i="124"/>
  <c r="O96" i="124"/>
  <c r="O97" i="124"/>
  <c r="O98" i="124"/>
  <c r="O99" i="124"/>
  <c r="O100" i="124"/>
  <c r="O101" i="124"/>
  <c r="O102" i="124"/>
  <c r="O103" i="124"/>
  <c r="O104" i="124"/>
  <c r="O105" i="124"/>
  <c r="O106" i="124"/>
  <c r="O107" i="124"/>
  <c r="O108" i="124"/>
  <c r="O109" i="124"/>
  <c r="O110" i="124"/>
  <c r="O111" i="124"/>
  <c r="O112" i="124"/>
  <c r="O113" i="124"/>
  <c r="O114" i="124"/>
  <c r="O115" i="124"/>
  <c r="O116" i="124"/>
  <c r="O117" i="124"/>
  <c r="O118" i="124"/>
  <c r="O119" i="124"/>
  <c r="O120" i="124"/>
  <c r="O121" i="124"/>
  <c r="O122" i="124"/>
  <c r="O123" i="124"/>
  <c r="O124" i="124"/>
  <c r="O125" i="124"/>
  <c r="O126" i="124"/>
  <c r="O127" i="124"/>
  <c r="O128" i="124"/>
  <c r="O129" i="124"/>
  <c r="O130" i="124"/>
  <c r="O131" i="124"/>
  <c r="O132" i="124"/>
  <c r="O133" i="124"/>
  <c r="O134" i="124"/>
  <c r="O135" i="124"/>
  <c r="O136" i="124"/>
  <c r="O137" i="124"/>
  <c r="B40" i="123"/>
  <c r="C40" i="123"/>
  <c r="D40" i="123"/>
  <c r="G40" i="123"/>
  <c r="E40" i="123"/>
  <c r="H40" i="123"/>
  <c r="O138" i="124"/>
  <c r="B41" i="123"/>
  <c r="C41" i="123"/>
  <c r="D41" i="123"/>
  <c r="G41" i="123"/>
  <c r="H41" i="123"/>
  <c r="O139" i="124"/>
  <c r="E27" i="123"/>
  <c r="B27" i="123"/>
  <c r="C27" i="123"/>
  <c r="D27" i="123"/>
  <c r="G27" i="123"/>
  <c r="H27" i="123"/>
  <c r="O140" i="124"/>
  <c r="B28" i="123"/>
  <c r="C28" i="123"/>
  <c r="D28" i="123"/>
  <c r="G28" i="123"/>
  <c r="H28" i="123"/>
  <c r="O141" i="124"/>
  <c r="O142" i="124"/>
  <c r="O143" i="124"/>
  <c r="O144" i="124"/>
  <c r="O145" i="124"/>
  <c r="O146" i="124"/>
  <c r="O147" i="124"/>
  <c r="O148" i="124"/>
  <c r="O149" i="124"/>
  <c r="O150" i="124"/>
  <c r="O151" i="124"/>
  <c r="O152" i="124"/>
  <c r="O153" i="124"/>
  <c r="O154" i="124"/>
  <c r="O155" i="124"/>
  <c r="O156" i="124"/>
  <c r="O157" i="124"/>
  <c r="O158" i="124"/>
  <c r="O159" i="124"/>
  <c r="O160" i="124"/>
  <c r="O161" i="124"/>
  <c r="O162" i="124"/>
  <c r="O163" i="124"/>
  <c r="O164" i="124"/>
  <c r="O165" i="124"/>
  <c r="O166" i="124"/>
  <c r="O167" i="124"/>
  <c r="O168" i="124"/>
  <c r="O169" i="124"/>
  <c r="O170" i="124"/>
  <c r="O171" i="124"/>
  <c r="O172" i="124"/>
  <c r="O173" i="124"/>
  <c r="O174" i="124"/>
  <c r="O175" i="124"/>
  <c r="O176" i="124"/>
  <c r="O177" i="124"/>
  <c r="O178" i="124"/>
  <c r="O179" i="124"/>
  <c r="O180" i="124"/>
  <c r="O181" i="124"/>
  <c r="O182" i="124"/>
  <c r="O183" i="124"/>
  <c r="O184" i="124"/>
  <c r="O185" i="124"/>
  <c r="O186" i="124"/>
  <c r="O187" i="124"/>
  <c r="O188" i="124"/>
  <c r="O189" i="124"/>
  <c r="O190" i="124"/>
  <c r="O191" i="124"/>
  <c r="O192" i="124"/>
  <c r="O193" i="124"/>
  <c r="O194" i="124"/>
  <c r="O195" i="124"/>
  <c r="O196" i="124"/>
  <c r="O197" i="124"/>
  <c r="O198" i="124"/>
  <c r="O199" i="124"/>
  <c r="O200" i="124"/>
  <c r="O201" i="124"/>
  <c r="O202" i="124"/>
  <c r="O203" i="124"/>
  <c r="O204" i="124"/>
  <c r="O205" i="124"/>
  <c r="O206" i="124"/>
  <c r="O207" i="124"/>
  <c r="O208" i="124"/>
  <c r="O209" i="124"/>
  <c r="O210" i="124"/>
  <c r="O211" i="124"/>
  <c r="O212" i="124"/>
  <c r="O213" i="124"/>
  <c r="O214" i="124"/>
  <c r="O215" i="124"/>
  <c r="O216" i="124"/>
  <c r="O217" i="124"/>
  <c r="O218" i="124"/>
  <c r="O219" i="124"/>
  <c r="O220" i="124"/>
  <c r="O221" i="124"/>
  <c r="O222" i="124"/>
  <c r="O223" i="124"/>
  <c r="O224" i="124"/>
  <c r="O225" i="124"/>
  <c r="O226" i="124"/>
  <c r="O227" i="124"/>
  <c r="O228" i="124"/>
  <c r="O229" i="124"/>
  <c r="O230" i="124"/>
  <c r="O231" i="124"/>
  <c r="O232" i="124"/>
  <c r="O233" i="124"/>
  <c r="O234" i="124"/>
  <c r="O235" i="124"/>
  <c r="O236" i="124"/>
  <c r="O237" i="124"/>
  <c r="O238" i="124"/>
  <c r="O239" i="124"/>
  <c r="O240" i="124"/>
  <c r="O241" i="124"/>
  <c r="O242" i="124"/>
  <c r="O243" i="124"/>
  <c r="O244" i="124"/>
  <c r="O245" i="124"/>
  <c r="O246" i="124"/>
  <c r="O247" i="124"/>
  <c r="O248" i="124"/>
  <c r="O249" i="124"/>
  <c r="O250" i="124"/>
  <c r="O251" i="124"/>
  <c r="O252" i="124"/>
  <c r="O253" i="124"/>
  <c r="O254" i="124"/>
  <c r="O255" i="124"/>
  <c r="O256" i="124"/>
  <c r="O257" i="124"/>
  <c r="O258" i="124"/>
  <c r="O259" i="124"/>
  <c r="O260" i="124"/>
  <c r="O261" i="124"/>
  <c r="O262" i="124"/>
  <c r="O263" i="124"/>
  <c r="O264" i="124"/>
  <c r="O265" i="124"/>
  <c r="E35" i="123"/>
  <c r="B42" i="123"/>
  <c r="B36" i="123"/>
  <c r="B35" i="123"/>
  <c r="C35" i="123"/>
  <c r="D35" i="123"/>
  <c r="G35" i="123"/>
  <c r="H35" i="123"/>
  <c r="O266" i="124"/>
  <c r="C36" i="123"/>
  <c r="D36" i="123"/>
  <c r="G36" i="123"/>
  <c r="H36" i="123"/>
  <c r="O267" i="124"/>
  <c r="B29" i="123"/>
  <c r="B23" i="123"/>
  <c r="B22" i="123"/>
  <c r="C22" i="123"/>
  <c r="D22" i="123"/>
  <c r="G22" i="123"/>
  <c r="E22" i="123"/>
  <c r="H22" i="123"/>
  <c r="O268" i="124"/>
  <c r="C23" i="123"/>
  <c r="D23" i="123"/>
  <c r="G23" i="123"/>
  <c r="H23" i="123"/>
  <c r="O269" i="124"/>
  <c r="C29" i="123"/>
  <c r="D29" i="123"/>
  <c r="G29" i="123"/>
  <c r="H29" i="123"/>
  <c r="O270" i="124"/>
  <c r="O271" i="124"/>
  <c r="P272" i="124"/>
  <c r="N272" i="124"/>
  <c r="M272" i="124"/>
  <c r="L272" i="124"/>
  <c r="K272" i="124"/>
  <c r="H272" i="124"/>
  <c r="A272" i="124"/>
  <c r="P271" i="124"/>
  <c r="N271" i="124"/>
  <c r="M271" i="124"/>
  <c r="L271" i="124"/>
  <c r="H271" i="124"/>
  <c r="A271" i="124"/>
  <c r="P270" i="124"/>
  <c r="N270" i="124"/>
  <c r="M270" i="124"/>
  <c r="L270" i="124"/>
  <c r="H270" i="124"/>
  <c r="A270" i="124"/>
  <c r="P269" i="124"/>
  <c r="N269" i="124"/>
  <c r="M269" i="124"/>
  <c r="L269" i="124"/>
  <c r="H269" i="124"/>
  <c r="A269" i="124"/>
  <c r="P268" i="124"/>
  <c r="N268" i="124"/>
  <c r="M268" i="124"/>
  <c r="L268" i="124"/>
  <c r="H268" i="124"/>
  <c r="A268" i="124"/>
  <c r="P267" i="124"/>
  <c r="N267" i="124"/>
  <c r="M267" i="124"/>
  <c r="L267" i="124"/>
  <c r="H267" i="124"/>
  <c r="A267" i="124"/>
  <c r="P266" i="124"/>
  <c r="N266" i="124"/>
  <c r="M266" i="124"/>
  <c r="L266" i="124"/>
  <c r="H266" i="124"/>
  <c r="A266" i="124"/>
  <c r="P265" i="124"/>
  <c r="N265" i="124"/>
  <c r="M265" i="124"/>
  <c r="L265" i="124"/>
  <c r="H265" i="124"/>
  <c r="A265" i="124"/>
  <c r="P264" i="124"/>
  <c r="N264" i="124"/>
  <c r="M264" i="124"/>
  <c r="L264" i="124"/>
  <c r="H264" i="124"/>
  <c r="A264" i="124"/>
  <c r="P263" i="124"/>
  <c r="N263" i="124"/>
  <c r="M263" i="124"/>
  <c r="L263" i="124"/>
  <c r="H263" i="124"/>
  <c r="A263" i="124"/>
  <c r="P262" i="124"/>
  <c r="N262" i="124"/>
  <c r="M262" i="124"/>
  <c r="L262" i="124"/>
  <c r="H262" i="124"/>
  <c r="A262" i="124"/>
  <c r="P261" i="124"/>
  <c r="N261" i="124"/>
  <c r="M261" i="124"/>
  <c r="L261" i="124"/>
  <c r="H261" i="124"/>
  <c r="A261" i="124"/>
  <c r="P260" i="124"/>
  <c r="N260" i="124"/>
  <c r="M260" i="124"/>
  <c r="L260" i="124"/>
  <c r="H260" i="124"/>
  <c r="A260" i="124"/>
  <c r="P259" i="124"/>
  <c r="N259" i="124"/>
  <c r="M259" i="124"/>
  <c r="L259" i="124"/>
  <c r="H259" i="124"/>
  <c r="A259" i="124"/>
  <c r="P258" i="124"/>
  <c r="N258" i="124"/>
  <c r="M258" i="124"/>
  <c r="L258" i="124"/>
  <c r="H258" i="124"/>
  <c r="A258" i="124"/>
  <c r="P257" i="124"/>
  <c r="N257" i="124"/>
  <c r="M257" i="124"/>
  <c r="L257" i="124"/>
  <c r="H257" i="124"/>
  <c r="A257" i="124"/>
  <c r="P256" i="124"/>
  <c r="N256" i="124"/>
  <c r="M256" i="124"/>
  <c r="L256" i="124"/>
  <c r="H256" i="124"/>
  <c r="A256" i="124"/>
  <c r="P255" i="124"/>
  <c r="N255" i="124"/>
  <c r="M255" i="124"/>
  <c r="L255" i="124"/>
  <c r="H255" i="124"/>
  <c r="A255" i="124"/>
  <c r="P254" i="124"/>
  <c r="N254" i="124"/>
  <c r="M254" i="124"/>
  <c r="L254" i="124"/>
  <c r="H254" i="124"/>
  <c r="A254" i="124"/>
  <c r="P253" i="124"/>
  <c r="N253" i="124"/>
  <c r="M253" i="124"/>
  <c r="L253" i="124"/>
  <c r="H253" i="124"/>
  <c r="A253" i="124"/>
  <c r="P252" i="124"/>
  <c r="N252" i="124"/>
  <c r="M252" i="124"/>
  <c r="L252" i="124"/>
  <c r="H252" i="124"/>
  <c r="A252" i="124"/>
  <c r="P251" i="124"/>
  <c r="N251" i="124"/>
  <c r="M251" i="124"/>
  <c r="L251" i="124"/>
  <c r="H251" i="124"/>
  <c r="A251" i="124"/>
  <c r="P250" i="124"/>
  <c r="N250" i="124"/>
  <c r="M250" i="124"/>
  <c r="L250" i="124"/>
  <c r="H250" i="124"/>
  <c r="A250" i="124"/>
  <c r="P249" i="124"/>
  <c r="N249" i="124"/>
  <c r="M249" i="124"/>
  <c r="L249" i="124"/>
  <c r="H249" i="124"/>
  <c r="A249" i="124"/>
  <c r="P248" i="124"/>
  <c r="N248" i="124"/>
  <c r="M248" i="124"/>
  <c r="L248" i="124"/>
  <c r="H248" i="124"/>
  <c r="A248" i="124"/>
  <c r="P247" i="124"/>
  <c r="N247" i="124"/>
  <c r="M247" i="124"/>
  <c r="L247" i="124"/>
  <c r="H247" i="124"/>
  <c r="A247" i="124"/>
  <c r="P246" i="124"/>
  <c r="N246" i="124"/>
  <c r="M246" i="124"/>
  <c r="L246" i="124"/>
  <c r="H246" i="124"/>
  <c r="A246" i="124"/>
  <c r="P245" i="124"/>
  <c r="N245" i="124"/>
  <c r="M245" i="124"/>
  <c r="L245" i="124"/>
  <c r="H245" i="124"/>
  <c r="A245" i="124"/>
  <c r="P244" i="124"/>
  <c r="N244" i="124"/>
  <c r="M244" i="124"/>
  <c r="L244" i="124"/>
  <c r="H244" i="124"/>
  <c r="A244" i="124"/>
  <c r="P243" i="124"/>
  <c r="N243" i="124"/>
  <c r="M243" i="124"/>
  <c r="L243" i="124"/>
  <c r="H243" i="124"/>
  <c r="A243" i="124"/>
  <c r="P242" i="124"/>
  <c r="N242" i="124"/>
  <c r="M242" i="124"/>
  <c r="L242" i="124"/>
  <c r="H242" i="124"/>
  <c r="A242" i="124"/>
  <c r="P241" i="124"/>
  <c r="N241" i="124"/>
  <c r="M241" i="124"/>
  <c r="L241" i="124"/>
  <c r="H241" i="124"/>
  <c r="A241" i="124"/>
  <c r="P240" i="124"/>
  <c r="N240" i="124"/>
  <c r="M240" i="124"/>
  <c r="L240" i="124"/>
  <c r="H240" i="124"/>
  <c r="A240" i="124"/>
  <c r="P239" i="124"/>
  <c r="N239" i="124"/>
  <c r="M239" i="124"/>
  <c r="L239" i="124"/>
  <c r="H239" i="124"/>
  <c r="A239" i="124"/>
  <c r="P238" i="124"/>
  <c r="N238" i="124"/>
  <c r="M238" i="124"/>
  <c r="L238" i="124"/>
  <c r="H238" i="124"/>
  <c r="A238" i="124"/>
  <c r="P237" i="124"/>
  <c r="N237" i="124"/>
  <c r="M237" i="124"/>
  <c r="L237" i="124"/>
  <c r="H237" i="124"/>
  <c r="A237" i="124"/>
  <c r="P236" i="124"/>
  <c r="N236" i="124"/>
  <c r="M236" i="124"/>
  <c r="L236" i="124"/>
  <c r="H236" i="124"/>
  <c r="A236" i="124"/>
  <c r="P235" i="124"/>
  <c r="N235" i="124"/>
  <c r="M235" i="124"/>
  <c r="L235" i="124"/>
  <c r="H235" i="124"/>
  <c r="A235" i="124"/>
  <c r="P234" i="124"/>
  <c r="N234" i="124"/>
  <c r="M234" i="124"/>
  <c r="L234" i="124"/>
  <c r="H234" i="124"/>
  <c r="A234" i="124"/>
  <c r="P233" i="124"/>
  <c r="N233" i="124"/>
  <c r="M233" i="124"/>
  <c r="L233" i="124"/>
  <c r="H233" i="124"/>
  <c r="A233" i="124"/>
  <c r="P232" i="124"/>
  <c r="N232" i="124"/>
  <c r="M232" i="124"/>
  <c r="L232" i="124"/>
  <c r="H232" i="124"/>
  <c r="A232" i="124"/>
  <c r="P231" i="124"/>
  <c r="N231" i="124"/>
  <c r="M231" i="124"/>
  <c r="L231" i="124"/>
  <c r="H231" i="124"/>
  <c r="A231" i="124"/>
  <c r="P230" i="124"/>
  <c r="N230" i="124"/>
  <c r="M230" i="124"/>
  <c r="L230" i="124"/>
  <c r="H230" i="124"/>
  <c r="A230" i="124"/>
  <c r="P229" i="124"/>
  <c r="N229" i="124"/>
  <c r="M229" i="124"/>
  <c r="L229" i="124"/>
  <c r="H229" i="124"/>
  <c r="A229" i="124"/>
  <c r="P228" i="124"/>
  <c r="N228" i="124"/>
  <c r="M228" i="124"/>
  <c r="L228" i="124"/>
  <c r="H228" i="124"/>
  <c r="A228" i="124"/>
  <c r="P227" i="124"/>
  <c r="N227" i="124"/>
  <c r="M227" i="124"/>
  <c r="L227" i="124"/>
  <c r="H227" i="124"/>
  <c r="A227" i="124"/>
  <c r="P226" i="124"/>
  <c r="N226" i="124"/>
  <c r="M226" i="124"/>
  <c r="L226" i="124"/>
  <c r="H226" i="124"/>
  <c r="A226" i="124"/>
  <c r="P225" i="124"/>
  <c r="N225" i="124"/>
  <c r="M225" i="124"/>
  <c r="L225" i="124"/>
  <c r="H225" i="124"/>
  <c r="A225" i="124"/>
  <c r="P224" i="124"/>
  <c r="N224" i="124"/>
  <c r="M224" i="124"/>
  <c r="L224" i="124"/>
  <c r="H224" i="124"/>
  <c r="A224" i="124"/>
  <c r="P223" i="124"/>
  <c r="N223" i="124"/>
  <c r="M223" i="124"/>
  <c r="L223" i="124"/>
  <c r="H223" i="124"/>
  <c r="A223" i="124"/>
  <c r="P222" i="124"/>
  <c r="N222" i="124"/>
  <c r="M222" i="124"/>
  <c r="L222" i="124"/>
  <c r="H222" i="124"/>
  <c r="A222" i="124"/>
  <c r="P221" i="124"/>
  <c r="N221" i="124"/>
  <c r="M221" i="124"/>
  <c r="L221" i="124"/>
  <c r="H221" i="124"/>
  <c r="A221" i="124"/>
  <c r="P220" i="124"/>
  <c r="N220" i="124"/>
  <c r="M220" i="124"/>
  <c r="L220" i="124"/>
  <c r="H220" i="124"/>
  <c r="A220" i="124"/>
  <c r="P219" i="124"/>
  <c r="N219" i="124"/>
  <c r="M219" i="124"/>
  <c r="L219" i="124"/>
  <c r="H219" i="124"/>
  <c r="A219" i="124"/>
  <c r="P218" i="124"/>
  <c r="N218" i="124"/>
  <c r="M218" i="124"/>
  <c r="L218" i="124"/>
  <c r="H218" i="124"/>
  <c r="A218" i="124"/>
  <c r="P217" i="124"/>
  <c r="N217" i="124"/>
  <c r="M217" i="124"/>
  <c r="L217" i="124"/>
  <c r="H217" i="124"/>
  <c r="A217" i="124"/>
  <c r="P216" i="124"/>
  <c r="N216" i="124"/>
  <c r="M216" i="124"/>
  <c r="L216" i="124"/>
  <c r="H216" i="124"/>
  <c r="A216" i="124"/>
  <c r="P215" i="124"/>
  <c r="N215" i="124"/>
  <c r="M215" i="124"/>
  <c r="L215" i="124"/>
  <c r="H215" i="124"/>
  <c r="A215" i="124"/>
  <c r="P214" i="124"/>
  <c r="N214" i="124"/>
  <c r="M214" i="124"/>
  <c r="L214" i="124"/>
  <c r="H214" i="124"/>
  <c r="A214" i="124"/>
  <c r="P213" i="124"/>
  <c r="N213" i="124"/>
  <c r="M213" i="124"/>
  <c r="L213" i="124"/>
  <c r="H213" i="124"/>
  <c r="A213" i="124"/>
  <c r="P212" i="124"/>
  <c r="N212" i="124"/>
  <c r="M212" i="124"/>
  <c r="L212" i="124"/>
  <c r="H212" i="124"/>
  <c r="A212" i="124"/>
  <c r="P211" i="124"/>
  <c r="N211" i="124"/>
  <c r="M211" i="124"/>
  <c r="L211" i="124"/>
  <c r="H211" i="124"/>
  <c r="A211" i="124"/>
  <c r="P210" i="124"/>
  <c r="N210" i="124"/>
  <c r="M210" i="124"/>
  <c r="L210" i="124"/>
  <c r="H210" i="124"/>
  <c r="A210" i="124"/>
  <c r="P209" i="124"/>
  <c r="N209" i="124"/>
  <c r="M209" i="124"/>
  <c r="L209" i="124"/>
  <c r="H209" i="124"/>
  <c r="A209" i="124"/>
  <c r="P208" i="124"/>
  <c r="N208" i="124"/>
  <c r="M208" i="124"/>
  <c r="L208" i="124"/>
  <c r="H208" i="124"/>
  <c r="A208" i="124"/>
  <c r="P207" i="124"/>
  <c r="N207" i="124"/>
  <c r="M207" i="124"/>
  <c r="L207" i="124"/>
  <c r="H207" i="124"/>
  <c r="A207" i="124"/>
  <c r="P206" i="124"/>
  <c r="N206" i="124"/>
  <c r="M206" i="124"/>
  <c r="L206" i="124"/>
  <c r="H206" i="124"/>
  <c r="A206" i="124"/>
  <c r="P205" i="124"/>
  <c r="N205" i="124"/>
  <c r="M205" i="124"/>
  <c r="L205" i="124"/>
  <c r="H205" i="124"/>
  <c r="A205" i="124"/>
  <c r="P204" i="124"/>
  <c r="N204" i="124"/>
  <c r="M204" i="124"/>
  <c r="L204" i="124"/>
  <c r="H204" i="124"/>
  <c r="A204" i="124"/>
  <c r="P203" i="124"/>
  <c r="N203" i="124"/>
  <c r="M203" i="124"/>
  <c r="L203" i="124"/>
  <c r="H203" i="124"/>
  <c r="A203" i="124"/>
  <c r="P202" i="124"/>
  <c r="N202" i="124"/>
  <c r="M202" i="124"/>
  <c r="L202" i="124"/>
  <c r="H202" i="124"/>
  <c r="A202" i="124"/>
  <c r="P201" i="124"/>
  <c r="N201" i="124"/>
  <c r="M201" i="124"/>
  <c r="L201" i="124"/>
  <c r="H201" i="124"/>
  <c r="A201" i="124"/>
  <c r="P200" i="124"/>
  <c r="N200" i="124"/>
  <c r="M200" i="124"/>
  <c r="L200" i="124"/>
  <c r="H200" i="124"/>
  <c r="A200" i="124"/>
  <c r="P199" i="124"/>
  <c r="N199" i="124"/>
  <c r="M199" i="124"/>
  <c r="L199" i="124"/>
  <c r="H199" i="124"/>
  <c r="A199" i="124"/>
  <c r="P198" i="124"/>
  <c r="N198" i="124"/>
  <c r="M198" i="124"/>
  <c r="L198" i="124"/>
  <c r="H198" i="124"/>
  <c r="A198" i="124"/>
  <c r="P197" i="124"/>
  <c r="N197" i="124"/>
  <c r="M197" i="124"/>
  <c r="L197" i="124"/>
  <c r="H197" i="124"/>
  <c r="A197" i="124"/>
  <c r="P196" i="124"/>
  <c r="N196" i="124"/>
  <c r="M196" i="124"/>
  <c r="L196" i="124"/>
  <c r="H196" i="124"/>
  <c r="A196" i="124"/>
  <c r="P195" i="124"/>
  <c r="N195" i="124"/>
  <c r="M195" i="124"/>
  <c r="L195" i="124"/>
  <c r="H195" i="124"/>
  <c r="A195" i="124"/>
  <c r="P194" i="124"/>
  <c r="N194" i="124"/>
  <c r="M194" i="124"/>
  <c r="L194" i="124"/>
  <c r="H194" i="124"/>
  <c r="A194" i="124"/>
  <c r="P193" i="124"/>
  <c r="N193" i="124"/>
  <c r="M193" i="124"/>
  <c r="L193" i="124"/>
  <c r="H193" i="124"/>
  <c r="A193" i="124"/>
  <c r="P192" i="124"/>
  <c r="N192" i="124"/>
  <c r="M192" i="124"/>
  <c r="L192" i="124"/>
  <c r="H192" i="124"/>
  <c r="A192" i="124"/>
  <c r="P191" i="124"/>
  <c r="N191" i="124"/>
  <c r="M191" i="124"/>
  <c r="L191" i="124"/>
  <c r="H191" i="124"/>
  <c r="A191" i="124"/>
  <c r="P190" i="124"/>
  <c r="N190" i="124"/>
  <c r="M190" i="124"/>
  <c r="L190" i="124"/>
  <c r="H190" i="124"/>
  <c r="A190" i="124"/>
  <c r="P189" i="124"/>
  <c r="N189" i="124"/>
  <c r="M189" i="124"/>
  <c r="L189" i="124"/>
  <c r="H189" i="124"/>
  <c r="A189" i="124"/>
  <c r="P188" i="124"/>
  <c r="N188" i="124"/>
  <c r="M188" i="124"/>
  <c r="L188" i="124"/>
  <c r="H188" i="124"/>
  <c r="A188" i="124"/>
  <c r="P187" i="124"/>
  <c r="N187" i="124"/>
  <c r="M187" i="124"/>
  <c r="L187" i="124"/>
  <c r="H187" i="124"/>
  <c r="A187" i="124"/>
  <c r="P186" i="124"/>
  <c r="N186" i="124"/>
  <c r="M186" i="124"/>
  <c r="L186" i="124"/>
  <c r="H186" i="124"/>
  <c r="A186" i="124"/>
  <c r="P185" i="124"/>
  <c r="N185" i="124"/>
  <c r="M185" i="124"/>
  <c r="L185" i="124"/>
  <c r="H185" i="124"/>
  <c r="A185" i="124"/>
  <c r="P184" i="124"/>
  <c r="N184" i="124"/>
  <c r="M184" i="124"/>
  <c r="L184" i="124"/>
  <c r="H184" i="124"/>
  <c r="A184" i="124"/>
  <c r="P183" i="124"/>
  <c r="N183" i="124"/>
  <c r="M183" i="124"/>
  <c r="L183" i="124"/>
  <c r="H183" i="124"/>
  <c r="A183" i="124"/>
  <c r="P182" i="124"/>
  <c r="N182" i="124"/>
  <c r="M182" i="124"/>
  <c r="L182" i="124"/>
  <c r="H182" i="124"/>
  <c r="A182" i="124"/>
  <c r="P181" i="124"/>
  <c r="N181" i="124"/>
  <c r="M181" i="124"/>
  <c r="L181" i="124"/>
  <c r="H181" i="124"/>
  <c r="A181" i="124"/>
  <c r="P180" i="124"/>
  <c r="N180" i="124"/>
  <c r="M180" i="124"/>
  <c r="L180" i="124"/>
  <c r="H180" i="124"/>
  <c r="A180" i="124"/>
  <c r="P179" i="124"/>
  <c r="N179" i="124"/>
  <c r="M179" i="124"/>
  <c r="L179" i="124"/>
  <c r="H179" i="124"/>
  <c r="A179" i="124"/>
  <c r="P178" i="124"/>
  <c r="N178" i="124"/>
  <c r="M178" i="124"/>
  <c r="L178" i="124"/>
  <c r="H178" i="124"/>
  <c r="A178" i="124"/>
  <c r="P177" i="124"/>
  <c r="N177" i="124"/>
  <c r="M177" i="124"/>
  <c r="L177" i="124"/>
  <c r="H177" i="124"/>
  <c r="A177" i="124"/>
  <c r="P176" i="124"/>
  <c r="N176" i="124"/>
  <c r="M176" i="124"/>
  <c r="L176" i="124"/>
  <c r="H176" i="124"/>
  <c r="A176" i="124"/>
  <c r="P175" i="124"/>
  <c r="N175" i="124"/>
  <c r="M175" i="124"/>
  <c r="L175" i="124"/>
  <c r="H175" i="124"/>
  <c r="A175" i="124"/>
  <c r="P174" i="124"/>
  <c r="N174" i="124"/>
  <c r="M174" i="124"/>
  <c r="L174" i="124"/>
  <c r="H174" i="124"/>
  <c r="A174" i="124"/>
  <c r="P173" i="124"/>
  <c r="N173" i="124"/>
  <c r="M173" i="124"/>
  <c r="L173" i="124"/>
  <c r="H173" i="124"/>
  <c r="A173" i="124"/>
  <c r="P172" i="124"/>
  <c r="N172" i="124"/>
  <c r="M172" i="124"/>
  <c r="L172" i="124"/>
  <c r="H172" i="124"/>
  <c r="A172" i="124"/>
  <c r="P171" i="124"/>
  <c r="N171" i="124"/>
  <c r="M171" i="124"/>
  <c r="L171" i="124"/>
  <c r="H171" i="124"/>
  <c r="A171" i="124"/>
  <c r="P170" i="124"/>
  <c r="N170" i="124"/>
  <c r="M170" i="124"/>
  <c r="L170" i="124"/>
  <c r="H170" i="124"/>
  <c r="A170" i="124"/>
  <c r="P169" i="124"/>
  <c r="N169" i="124"/>
  <c r="M169" i="124"/>
  <c r="L169" i="124"/>
  <c r="H169" i="124"/>
  <c r="A169" i="124"/>
  <c r="P168" i="124"/>
  <c r="N168" i="124"/>
  <c r="M168" i="124"/>
  <c r="L168" i="124"/>
  <c r="H168" i="124"/>
  <c r="A168" i="124"/>
  <c r="P167" i="124"/>
  <c r="N167" i="124"/>
  <c r="M167" i="124"/>
  <c r="L167" i="124"/>
  <c r="H167" i="124"/>
  <c r="A167" i="124"/>
  <c r="P166" i="124"/>
  <c r="N166" i="124"/>
  <c r="M166" i="124"/>
  <c r="L166" i="124"/>
  <c r="H166" i="124"/>
  <c r="A166" i="124"/>
  <c r="P165" i="124"/>
  <c r="N165" i="124"/>
  <c r="M165" i="124"/>
  <c r="L165" i="124"/>
  <c r="H165" i="124"/>
  <c r="A165" i="124"/>
  <c r="P164" i="124"/>
  <c r="N164" i="124"/>
  <c r="M164" i="124"/>
  <c r="L164" i="124"/>
  <c r="H164" i="124"/>
  <c r="A164" i="124"/>
  <c r="P163" i="124"/>
  <c r="N163" i="124"/>
  <c r="M163" i="124"/>
  <c r="L163" i="124"/>
  <c r="H163" i="124"/>
  <c r="A163" i="124"/>
  <c r="P162" i="124"/>
  <c r="N162" i="124"/>
  <c r="M162" i="124"/>
  <c r="L162" i="124"/>
  <c r="H162" i="124"/>
  <c r="A162" i="124"/>
  <c r="P161" i="124"/>
  <c r="N161" i="124"/>
  <c r="M161" i="124"/>
  <c r="L161" i="124"/>
  <c r="H161" i="124"/>
  <c r="A161" i="124"/>
  <c r="P160" i="124"/>
  <c r="N160" i="124"/>
  <c r="M160" i="124"/>
  <c r="L160" i="124"/>
  <c r="H160" i="124"/>
  <c r="A160" i="124"/>
  <c r="P159" i="124"/>
  <c r="N159" i="124"/>
  <c r="M159" i="124"/>
  <c r="L159" i="124"/>
  <c r="H159" i="124"/>
  <c r="A159" i="124"/>
  <c r="P158" i="124"/>
  <c r="N158" i="124"/>
  <c r="M158" i="124"/>
  <c r="L158" i="124"/>
  <c r="H158" i="124"/>
  <c r="A158" i="124"/>
  <c r="P157" i="124"/>
  <c r="N157" i="124"/>
  <c r="M157" i="124"/>
  <c r="L157" i="124"/>
  <c r="H157" i="124"/>
  <c r="A157" i="124"/>
  <c r="P156" i="124"/>
  <c r="N156" i="124"/>
  <c r="M156" i="124"/>
  <c r="L156" i="124"/>
  <c r="H156" i="124"/>
  <c r="A156" i="124"/>
  <c r="P155" i="124"/>
  <c r="N155" i="124"/>
  <c r="M155" i="124"/>
  <c r="L155" i="124"/>
  <c r="H155" i="124"/>
  <c r="A155" i="124"/>
  <c r="P154" i="124"/>
  <c r="N154" i="124"/>
  <c r="M154" i="124"/>
  <c r="L154" i="124"/>
  <c r="H154" i="124"/>
  <c r="A154" i="124"/>
  <c r="P153" i="124"/>
  <c r="N153" i="124"/>
  <c r="M153" i="124"/>
  <c r="L153" i="124"/>
  <c r="H153" i="124"/>
  <c r="A153" i="124"/>
  <c r="P152" i="124"/>
  <c r="N152" i="124"/>
  <c r="M152" i="124"/>
  <c r="L152" i="124"/>
  <c r="H152" i="124"/>
  <c r="A152" i="124"/>
  <c r="P151" i="124"/>
  <c r="N151" i="124"/>
  <c r="M151" i="124"/>
  <c r="L151" i="124"/>
  <c r="H151" i="124"/>
  <c r="A151" i="124"/>
  <c r="P150" i="124"/>
  <c r="N150" i="124"/>
  <c r="M150" i="124"/>
  <c r="L150" i="124"/>
  <c r="H150" i="124"/>
  <c r="A150" i="124"/>
  <c r="P149" i="124"/>
  <c r="N149" i="124"/>
  <c r="M149" i="124"/>
  <c r="L149" i="124"/>
  <c r="H149" i="124"/>
  <c r="A149" i="124"/>
  <c r="P148" i="124"/>
  <c r="N148" i="124"/>
  <c r="M148" i="124"/>
  <c r="L148" i="124"/>
  <c r="H148" i="124"/>
  <c r="A148" i="124"/>
  <c r="P147" i="124"/>
  <c r="N147" i="124"/>
  <c r="M147" i="124"/>
  <c r="L147" i="124"/>
  <c r="H147" i="124"/>
  <c r="A147" i="124"/>
  <c r="P146" i="124"/>
  <c r="N146" i="124"/>
  <c r="M146" i="124"/>
  <c r="L146" i="124"/>
  <c r="H146" i="124"/>
  <c r="A146" i="124"/>
  <c r="P145" i="124"/>
  <c r="N145" i="124"/>
  <c r="M145" i="124"/>
  <c r="L145" i="124"/>
  <c r="H145" i="124"/>
  <c r="A145" i="124"/>
  <c r="P144" i="124"/>
  <c r="N144" i="124"/>
  <c r="M144" i="124"/>
  <c r="L144" i="124"/>
  <c r="H144" i="124"/>
  <c r="A144" i="124"/>
  <c r="P143" i="124"/>
  <c r="N143" i="124"/>
  <c r="M143" i="124"/>
  <c r="L143" i="124"/>
  <c r="H143" i="124"/>
  <c r="A143" i="124"/>
  <c r="P142" i="124"/>
  <c r="N142" i="124"/>
  <c r="M142" i="124"/>
  <c r="L142" i="124"/>
  <c r="H142" i="124"/>
  <c r="A142" i="124"/>
  <c r="P141" i="124"/>
  <c r="N141" i="124"/>
  <c r="M141" i="124"/>
  <c r="L141" i="124"/>
  <c r="H141" i="124"/>
  <c r="A141" i="124"/>
  <c r="P140" i="124"/>
  <c r="N140" i="124"/>
  <c r="M140" i="124"/>
  <c r="L140" i="124"/>
  <c r="H140" i="124"/>
  <c r="A140" i="124"/>
  <c r="P139" i="124"/>
  <c r="N139" i="124"/>
  <c r="M139" i="124"/>
  <c r="L139" i="124"/>
  <c r="H139" i="124"/>
  <c r="A139" i="124"/>
  <c r="P138" i="124"/>
  <c r="N138" i="124"/>
  <c r="M138" i="124"/>
  <c r="L138" i="124"/>
  <c r="H138" i="124"/>
  <c r="A138" i="124"/>
  <c r="P137" i="124"/>
  <c r="N137" i="124"/>
  <c r="M137" i="124"/>
  <c r="L137" i="124"/>
  <c r="H137" i="124"/>
  <c r="A137" i="124"/>
  <c r="P136" i="124"/>
  <c r="N136" i="124"/>
  <c r="M136" i="124"/>
  <c r="L136" i="124"/>
  <c r="H136" i="124"/>
  <c r="A136" i="124"/>
  <c r="P135" i="124"/>
  <c r="N135" i="124"/>
  <c r="M135" i="124"/>
  <c r="L135" i="124"/>
  <c r="H135" i="124"/>
  <c r="A135" i="124"/>
  <c r="P134" i="124"/>
  <c r="N134" i="124"/>
  <c r="M134" i="124"/>
  <c r="L134" i="124"/>
  <c r="H134" i="124"/>
  <c r="A134" i="124"/>
  <c r="P133" i="124"/>
  <c r="N133" i="124"/>
  <c r="M133" i="124"/>
  <c r="L133" i="124"/>
  <c r="H133" i="124"/>
  <c r="A133" i="124"/>
  <c r="P132" i="124"/>
  <c r="N132" i="124"/>
  <c r="M132" i="124"/>
  <c r="L132" i="124"/>
  <c r="H132" i="124"/>
  <c r="A132" i="124"/>
  <c r="P131" i="124"/>
  <c r="N131" i="124"/>
  <c r="M131" i="124"/>
  <c r="L131" i="124"/>
  <c r="H131" i="124"/>
  <c r="A131" i="124"/>
  <c r="P130" i="124"/>
  <c r="N130" i="124"/>
  <c r="M130" i="124"/>
  <c r="L130" i="124"/>
  <c r="H130" i="124"/>
  <c r="A130" i="124"/>
  <c r="P129" i="124"/>
  <c r="N129" i="124"/>
  <c r="M129" i="124"/>
  <c r="L129" i="124"/>
  <c r="H129" i="124"/>
  <c r="A129" i="124"/>
  <c r="P128" i="124"/>
  <c r="N128" i="124"/>
  <c r="M128" i="124"/>
  <c r="L128" i="124"/>
  <c r="H128" i="124"/>
  <c r="A128" i="124"/>
  <c r="P127" i="124"/>
  <c r="N127" i="124"/>
  <c r="M127" i="124"/>
  <c r="L127" i="124"/>
  <c r="H127" i="124"/>
  <c r="A127" i="124"/>
  <c r="P126" i="124"/>
  <c r="N126" i="124"/>
  <c r="M126" i="124"/>
  <c r="L126" i="124"/>
  <c r="H126" i="124"/>
  <c r="A126" i="124"/>
  <c r="P125" i="124"/>
  <c r="N125" i="124"/>
  <c r="M125" i="124"/>
  <c r="L125" i="124"/>
  <c r="H125" i="124"/>
  <c r="A125" i="124"/>
  <c r="P124" i="124"/>
  <c r="N124" i="124"/>
  <c r="M124" i="124"/>
  <c r="L124" i="124"/>
  <c r="H124" i="124"/>
  <c r="A124" i="124"/>
  <c r="P123" i="124"/>
  <c r="N123" i="124"/>
  <c r="M123" i="124"/>
  <c r="L123" i="124"/>
  <c r="H123" i="124"/>
  <c r="A123" i="124"/>
  <c r="P122" i="124"/>
  <c r="N122" i="124"/>
  <c r="M122" i="124"/>
  <c r="L122" i="124"/>
  <c r="H122" i="124"/>
  <c r="A122" i="124"/>
  <c r="P121" i="124"/>
  <c r="N121" i="124"/>
  <c r="M121" i="124"/>
  <c r="L121" i="124"/>
  <c r="H121" i="124"/>
  <c r="A121" i="124"/>
  <c r="P120" i="124"/>
  <c r="N120" i="124"/>
  <c r="M120" i="124"/>
  <c r="L120" i="124"/>
  <c r="H120" i="124"/>
  <c r="A120" i="124"/>
  <c r="P119" i="124"/>
  <c r="N119" i="124"/>
  <c r="M119" i="124"/>
  <c r="L119" i="124"/>
  <c r="H119" i="124"/>
  <c r="A119" i="124"/>
  <c r="P118" i="124"/>
  <c r="N118" i="124"/>
  <c r="M118" i="124"/>
  <c r="L118" i="124"/>
  <c r="H118" i="124"/>
  <c r="A118" i="124"/>
  <c r="P117" i="124"/>
  <c r="N117" i="124"/>
  <c r="M117" i="124"/>
  <c r="L117" i="124"/>
  <c r="H117" i="124"/>
  <c r="A117" i="124"/>
  <c r="P116" i="124"/>
  <c r="N116" i="124"/>
  <c r="M116" i="124"/>
  <c r="L116" i="124"/>
  <c r="H116" i="124"/>
  <c r="A116" i="124"/>
  <c r="P115" i="124"/>
  <c r="N115" i="124"/>
  <c r="M115" i="124"/>
  <c r="L115" i="124"/>
  <c r="H115" i="124"/>
  <c r="A115" i="124"/>
  <c r="P114" i="124"/>
  <c r="N114" i="124"/>
  <c r="M114" i="124"/>
  <c r="L114" i="124"/>
  <c r="H114" i="124"/>
  <c r="A114" i="124"/>
  <c r="P113" i="124"/>
  <c r="N113" i="124"/>
  <c r="M113" i="124"/>
  <c r="L113" i="124"/>
  <c r="H113" i="124"/>
  <c r="A113" i="124"/>
  <c r="P112" i="124"/>
  <c r="N112" i="124"/>
  <c r="M112" i="124"/>
  <c r="L112" i="124"/>
  <c r="H112" i="124"/>
  <c r="A112" i="124"/>
  <c r="P111" i="124"/>
  <c r="N111" i="124"/>
  <c r="M111" i="124"/>
  <c r="L111" i="124"/>
  <c r="H111" i="124"/>
  <c r="A111" i="124"/>
  <c r="P110" i="124"/>
  <c r="N110" i="124"/>
  <c r="M110" i="124"/>
  <c r="L110" i="124"/>
  <c r="H110" i="124"/>
  <c r="A110" i="124"/>
  <c r="P109" i="124"/>
  <c r="N109" i="124"/>
  <c r="M109" i="124"/>
  <c r="L109" i="124"/>
  <c r="H109" i="124"/>
  <c r="A109" i="124"/>
  <c r="P108" i="124"/>
  <c r="N108" i="124"/>
  <c r="M108" i="124"/>
  <c r="L108" i="124"/>
  <c r="H108" i="124"/>
  <c r="A108" i="124"/>
  <c r="P107" i="124"/>
  <c r="N107" i="124"/>
  <c r="M107" i="124"/>
  <c r="L107" i="124"/>
  <c r="H107" i="124"/>
  <c r="A107" i="124"/>
  <c r="P106" i="124"/>
  <c r="N106" i="124"/>
  <c r="M106" i="124"/>
  <c r="L106" i="124"/>
  <c r="H106" i="124"/>
  <c r="A106" i="124"/>
  <c r="P105" i="124"/>
  <c r="N105" i="124"/>
  <c r="M105" i="124"/>
  <c r="L105" i="124"/>
  <c r="H105" i="124"/>
  <c r="A105" i="124"/>
  <c r="P104" i="124"/>
  <c r="N104" i="124"/>
  <c r="M104" i="124"/>
  <c r="L104" i="124"/>
  <c r="H104" i="124"/>
  <c r="A104" i="124"/>
  <c r="P103" i="124"/>
  <c r="N103" i="124"/>
  <c r="M103" i="124"/>
  <c r="L103" i="124"/>
  <c r="H103" i="124"/>
  <c r="A103" i="124"/>
  <c r="P102" i="124"/>
  <c r="N102" i="124"/>
  <c r="M102" i="124"/>
  <c r="L102" i="124"/>
  <c r="H102" i="124"/>
  <c r="A102" i="124"/>
  <c r="P101" i="124"/>
  <c r="N101" i="124"/>
  <c r="M101" i="124"/>
  <c r="L101" i="124"/>
  <c r="H101" i="124"/>
  <c r="A101" i="124"/>
  <c r="P100" i="124"/>
  <c r="N100" i="124"/>
  <c r="M100" i="124"/>
  <c r="L100" i="124"/>
  <c r="H100" i="124"/>
  <c r="A100" i="124"/>
  <c r="P99" i="124"/>
  <c r="N99" i="124"/>
  <c r="M99" i="124"/>
  <c r="L99" i="124"/>
  <c r="H99" i="124"/>
  <c r="A99" i="124"/>
  <c r="P98" i="124"/>
  <c r="N98" i="124"/>
  <c r="M98" i="124"/>
  <c r="L98" i="124"/>
  <c r="H98" i="124"/>
  <c r="A98" i="124"/>
  <c r="P97" i="124"/>
  <c r="N97" i="124"/>
  <c r="M97" i="124"/>
  <c r="L97" i="124"/>
  <c r="H97" i="124"/>
  <c r="A97" i="124"/>
  <c r="P96" i="124"/>
  <c r="N96" i="124"/>
  <c r="M96" i="124"/>
  <c r="L96" i="124"/>
  <c r="H96" i="124"/>
  <c r="A96" i="124"/>
  <c r="P95" i="124"/>
  <c r="N95" i="124"/>
  <c r="M95" i="124"/>
  <c r="L95" i="124"/>
  <c r="H95" i="124"/>
  <c r="A95" i="124"/>
  <c r="P94" i="124"/>
  <c r="N94" i="124"/>
  <c r="M94" i="124"/>
  <c r="L94" i="124"/>
  <c r="H94" i="124"/>
  <c r="A94" i="124"/>
  <c r="P93" i="124"/>
  <c r="N93" i="124"/>
  <c r="M93" i="124"/>
  <c r="L93" i="124"/>
  <c r="H93" i="124"/>
  <c r="A93" i="124"/>
  <c r="P92" i="124"/>
  <c r="N92" i="124"/>
  <c r="M92" i="124"/>
  <c r="L92" i="124"/>
  <c r="H92" i="124"/>
  <c r="A92" i="124"/>
  <c r="P91" i="124"/>
  <c r="N91" i="124"/>
  <c r="M91" i="124"/>
  <c r="L91" i="124"/>
  <c r="H91" i="124"/>
  <c r="A91" i="124"/>
  <c r="P90" i="124"/>
  <c r="N90" i="124"/>
  <c r="M90" i="124"/>
  <c r="L90" i="124"/>
  <c r="H90" i="124"/>
  <c r="A90" i="124"/>
  <c r="P89" i="124"/>
  <c r="N89" i="124"/>
  <c r="M89" i="124"/>
  <c r="L89" i="124"/>
  <c r="H89" i="124"/>
  <c r="A89" i="124"/>
  <c r="P88" i="124"/>
  <c r="N88" i="124"/>
  <c r="M88" i="124"/>
  <c r="L88" i="124"/>
  <c r="H88" i="124"/>
  <c r="A88" i="124"/>
  <c r="P87" i="124"/>
  <c r="N87" i="124"/>
  <c r="M87" i="124"/>
  <c r="L87" i="124"/>
  <c r="H87" i="124"/>
  <c r="A87" i="124"/>
  <c r="P86" i="124"/>
  <c r="N86" i="124"/>
  <c r="M86" i="124"/>
  <c r="L86" i="124"/>
  <c r="H86" i="124"/>
  <c r="A86" i="124"/>
  <c r="P85" i="124"/>
  <c r="N85" i="124"/>
  <c r="M85" i="124"/>
  <c r="L85" i="124"/>
  <c r="H85" i="124"/>
  <c r="A85" i="124"/>
  <c r="P84" i="124"/>
  <c r="N84" i="124"/>
  <c r="M84" i="124"/>
  <c r="L84" i="124"/>
  <c r="H84" i="124"/>
  <c r="A84" i="124"/>
  <c r="P83" i="124"/>
  <c r="N83" i="124"/>
  <c r="M83" i="124"/>
  <c r="L83" i="124"/>
  <c r="H83" i="124"/>
  <c r="A83" i="124"/>
  <c r="P82" i="124"/>
  <c r="N82" i="124"/>
  <c r="M82" i="124"/>
  <c r="L82" i="124"/>
  <c r="H82" i="124"/>
  <c r="A82" i="124"/>
  <c r="P81" i="124"/>
  <c r="N81" i="124"/>
  <c r="M81" i="124"/>
  <c r="L81" i="124"/>
  <c r="H81" i="124"/>
  <c r="A81" i="124"/>
  <c r="P80" i="124"/>
  <c r="N80" i="124"/>
  <c r="M80" i="124"/>
  <c r="L80" i="124"/>
  <c r="H80" i="124"/>
  <c r="A80" i="124"/>
  <c r="P79" i="124"/>
  <c r="N79" i="124"/>
  <c r="M79" i="124"/>
  <c r="L79" i="124"/>
  <c r="H79" i="124"/>
  <c r="A79" i="124"/>
  <c r="P78" i="124"/>
  <c r="N78" i="124"/>
  <c r="M78" i="124"/>
  <c r="L78" i="124"/>
  <c r="H78" i="124"/>
  <c r="A78" i="124"/>
  <c r="P77" i="124"/>
  <c r="N77" i="124"/>
  <c r="M77" i="124"/>
  <c r="L77" i="124"/>
  <c r="H77" i="124"/>
  <c r="A77" i="124"/>
  <c r="P76" i="124"/>
  <c r="N76" i="124"/>
  <c r="M76" i="124"/>
  <c r="L76" i="124"/>
  <c r="H76" i="124"/>
  <c r="A76" i="124"/>
  <c r="P75" i="124"/>
  <c r="N75" i="124"/>
  <c r="M75" i="124"/>
  <c r="L75" i="124"/>
  <c r="H75" i="124"/>
  <c r="A75" i="124"/>
  <c r="P74" i="124"/>
  <c r="N74" i="124"/>
  <c r="M74" i="124"/>
  <c r="L74" i="124"/>
  <c r="H74" i="124"/>
  <c r="A74" i="124"/>
  <c r="P73" i="124"/>
  <c r="N73" i="124"/>
  <c r="M73" i="124"/>
  <c r="L73" i="124"/>
  <c r="H73" i="124"/>
  <c r="A73" i="124"/>
  <c r="P72" i="124"/>
  <c r="N72" i="124"/>
  <c r="M72" i="124"/>
  <c r="L72" i="124"/>
  <c r="H72" i="124"/>
  <c r="A72" i="124"/>
  <c r="P71" i="124"/>
  <c r="N71" i="124"/>
  <c r="M71" i="124"/>
  <c r="L71" i="124"/>
  <c r="H71" i="124"/>
  <c r="A71" i="124"/>
  <c r="P70" i="124"/>
  <c r="N70" i="124"/>
  <c r="M70" i="124"/>
  <c r="L70" i="124"/>
  <c r="H70" i="124"/>
  <c r="A70" i="124"/>
  <c r="P69" i="124"/>
  <c r="N69" i="124"/>
  <c r="M69" i="124"/>
  <c r="L69" i="124"/>
  <c r="H69" i="124"/>
  <c r="A69" i="124"/>
  <c r="P68" i="124"/>
  <c r="N68" i="124"/>
  <c r="M68" i="124"/>
  <c r="L68" i="124"/>
  <c r="H68" i="124"/>
  <c r="A68" i="124"/>
  <c r="P67" i="124"/>
  <c r="N67" i="124"/>
  <c r="M67" i="124"/>
  <c r="L67" i="124"/>
  <c r="H67" i="124"/>
  <c r="A67" i="124"/>
  <c r="P66" i="124"/>
  <c r="N66" i="124"/>
  <c r="M66" i="124"/>
  <c r="L66" i="124"/>
  <c r="H66" i="124"/>
  <c r="A66" i="124"/>
  <c r="P65" i="124"/>
  <c r="N65" i="124"/>
  <c r="M65" i="124"/>
  <c r="L65" i="124"/>
  <c r="H65" i="124"/>
  <c r="A65" i="124"/>
  <c r="P64" i="124"/>
  <c r="N64" i="124"/>
  <c r="M64" i="124"/>
  <c r="L64" i="124"/>
  <c r="H64" i="124"/>
  <c r="A64" i="124"/>
  <c r="P63" i="124"/>
  <c r="N63" i="124"/>
  <c r="M63" i="124"/>
  <c r="L63" i="124"/>
  <c r="H63" i="124"/>
  <c r="A63" i="124"/>
  <c r="P62" i="124"/>
  <c r="N62" i="124"/>
  <c r="M62" i="124"/>
  <c r="L62" i="124"/>
  <c r="H62" i="124"/>
  <c r="A62" i="124"/>
  <c r="P61" i="124"/>
  <c r="N61" i="124"/>
  <c r="M61" i="124"/>
  <c r="L61" i="124"/>
  <c r="H61" i="124"/>
  <c r="A61" i="124"/>
  <c r="P60" i="124"/>
  <c r="N60" i="124"/>
  <c r="M60" i="124"/>
  <c r="L60" i="124"/>
  <c r="H60" i="124"/>
  <c r="A60" i="124"/>
  <c r="P59" i="124"/>
  <c r="N59" i="124"/>
  <c r="M59" i="124"/>
  <c r="L59" i="124"/>
  <c r="H59" i="124"/>
  <c r="A59" i="124"/>
  <c r="P58" i="124"/>
  <c r="N58" i="124"/>
  <c r="M58" i="124"/>
  <c r="L58" i="124"/>
  <c r="H58" i="124"/>
  <c r="A58" i="124"/>
  <c r="P57" i="124"/>
  <c r="N57" i="124"/>
  <c r="M57" i="124"/>
  <c r="L57" i="124"/>
  <c r="H57" i="124"/>
  <c r="A57" i="124"/>
  <c r="P56" i="124"/>
  <c r="N56" i="124"/>
  <c r="M56" i="124"/>
  <c r="L56" i="124"/>
  <c r="H56" i="124"/>
  <c r="A56" i="124"/>
  <c r="P55" i="124"/>
  <c r="N55" i="124"/>
  <c r="M55" i="124"/>
  <c r="L55" i="124"/>
  <c r="H55" i="124"/>
  <c r="A55" i="124"/>
  <c r="P54" i="124"/>
  <c r="N54" i="124"/>
  <c r="M54" i="124"/>
  <c r="L54" i="124"/>
  <c r="H54" i="124"/>
  <c r="A54" i="124"/>
  <c r="P53" i="124"/>
  <c r="N53" i="124"/>
  <c r="M53" i="124"/>
  <c r="L53" i="124"/>
  <c r="H53" i="124"/>
  <c r="A53" i="124"/>
  <c r="P52" i="124"/>
  <c r="N52" i="124"/>
  <c r="M52" i="124"/>
  <c r="L52" i="124"/>
  <c r="H52" i="124"/>
  <c r="A52" i="124"/>
  <c r="P51" i="124"/>
  <c r="N51" i="124"/>
  <c r="M51" i="124"/>
  <c r="L51" i="124"/>
  <c r="H51" i="124"/>
  <c r="A51" i="124"/>
  <c r="P50" i="124"/>
  <c r="N50" i="124"/>
  <c r="M50" i="124"/>
  <c r="L50" i="124"/>
  <c r="H50" i="124"/>
  <c r="A50" i="124"/>
  <c r="P49" i="124"/>
  <c r="N49" i="124"/>
  <c r="M49" i="124"/>
  <c r="L49" i="124"/>
  <c r="H49" i="124"/>
  <c r="A49" i="124"/>
  <c r="P48" i="124"/>
  <c r="N48" i="124"/>
  <c r="M48" i="124"/>
  <c r="L48" i="124"/>
  <c r="H48" i="124"/>
  <c r="A48" i="124"/>
  <c r="P47" i="124"/>
  <c r="N47" i="124"/>
  <c r="M47" i="124"/>
  <c r="L47" i="124"/>
  <c r="H47" i="124"/>
  <c r="A47" i="124"/>
  <c r="P46" i="124"/>
  <c r="N46" i="124"/>
  <c r="M46" i="124"/>
  <c r="L46" i="124"/>
  <c r="H46" i="124"/>
  <c r="A46" i="124"/>
  <c r="P45" i="124"/>
  <c r="N45" i="124"/>
  <c r="M45" i="124"/>
  <c r="L45" i="124"/>
  <c r="H45" i="124"/>
  <c r="A45" i="124"/>
  <c r="P44" i="124"/>
  <c r="N44" i="124"/>
  <c r="M44" i="124"/>
  <c r="L44" i="124"/>
  <c r="H44" i="124"/>
  <c r="A44" i="124"/>
  <c r="P43" i="124"/>
  <c r="N43" i="124"/>
  <c r="M43" i="124"/>
  <c r="L43" i="124"/>
  <c r="H43" i="124"/>
  <c r="A43" i="124"/>
  <c r="P42" i="124"/>
  <c r="N42" i="124"/>
  <c r="M42" i="124"/>
  <c r="L42" i="124"/>
  <c r="H42" i="124"/>
  <c r="A42" i="124"/>
  <c r="P41" i="124"/>
  <c r="N41" i="124"/>
  <c r="M41" i="124"/>
  <c r="L41" i="124"/>
  <c r="H41" i="124"/>
  <c r="A41" i="124"/>
  <c r="P40" i="124"/>
  <c r="N40" i="124"/>
  <c r="M40" i="124"/>
  <c r="L40" i="124"/>
  <c r="H40" i="124"/>
  <c r="A40" i="124"/>
  <c r="P39" i="124"/>
  <c r="N39" i="124"/>
  <c r="M39" i="124"/>
  <c r="L39" i="124"/>
  <c r="H39" i="124"/>
  <c r="A39" i="124"/>
  <c r="P38" i="124"/>
  <c r="N38" i="124"/>
  <c r="M38" i="124"/>
  <c r="L38" i="124"/>
  <c r="H38" i="124"/>
  <c r="A38" i="124"/>
  <c r="P37" i="124"/>
  <c r="N37" i="124"/>
  <c r="M37" i="124"/>
  <c r="L37" i="124"/>
  <c r="H37" i="124"/>
  <c r="A37" i="124"/>
  <c r="P36" i="124"/>
  <c r="N36" i="124"/>
  <c r="M36" i="124"/>
  <c r="L36" i="124"/>
  <c r="H36" i="124"/>
  <c r="A36" i="124"/>
  <c r="P35" i="124"/>
  <c r="N35" i="124"/>
  <c r="M35" i="124"/>
  <c r="L35" i="124"/>
  <c r="H35" i="124"/>
  <c r="A35" i="124"/>
  <c r="P34" i="124"/>
  <c r="N34" i="124"/>
  <c r="M34" i="124"/>
  <c r="L34" i="124"/>
  <c r="H34" i="124"/>
  <c r="A34" i="124"/>
  <c r="P33" i="124"/>
  <c r="N33" i="124"/>
  <c r="M33" i="124"/>
  <c r="L33" i="124"/>
  <c r="H33" i="124"/>
  <c r="A33" i="124"/>
  <c r="P32" i="124"/>
  <c r="N32" i="124"/>
  <c r="M32" i="124"/>
  <c r="L32" i="124"/>
  <c r="H32" i="124"/>
  <c r="A32" i="124"/>
  <c r="P31" i="124"/>
  <c r="N31" i="124"/>
  <c r="M31" i="124"/>
  <c r="L31" i="124"/>
  <c r="H31" i="124"/>
  <c r="A31" i="124"/>
  <c r="P30" i="124"/>
  <c r="N30" i="124"/>
  <c r="M30" i="124"/>
  <c r="L30" i="124"/>
  <c r="H30" i="124"/>
  <c r="A30" i="124"/>
  <c r="P29" i="124"/>
  <c r="N29" i="124"/>
  <c r="M29" i="124"/>
  <c r="L29" i="124"/>
  <c r="H29" i="124"/>
  <c r="A29" i="124"/>
  <c r="P28" i="124"/>
  <c r="N28" i="124"/>
  <c r="M28" i="124"/>
  <c r="L28" i="124"/>
  <c r="H28" i="124"/>
  <c r="A28" i="124"/>
  <c r="P27" i="124"/>
  <c r="N27" i="124"/>
  <c r="M27" i="124"/>
  <c r="L27" i="124"/>
  <c r="H27" i="124"/>
  <c r="A27" i="124"/>
  <c r="P26" i="124"/>
  <c r="N26" i="124"/>
  <c r="M26" i="124"/>
  <c r="L26" i="124"/>
  <c r="H26" i="124"/>
  <c r="A26" i="124"/>
  <c r="P25" i="124"/>
  <c r="N25" i="124"/>
  <c r="M25" i="124"/>
  <c r="L25" i="124"/>
  <c r="H25" i="124"/>
  <c r="A25" i="124"/>
  <c r="P24" i="124"/>
  <c r="N24" i="124"/>
  <c r="M24" i="124"/>
  <c r="L24" i="124"/>
  <c r="H24" i="124"/>
  <c r="A24" i="124"/>
  <c r="P23" i="124"/>
  <c r="N23" i="124"/>
  <c r="M23" i="124"/>
  <c r="L23" i="124"/>
  <c r="H23" i="124"/>
  <c r="A23" i="124"/>
  <c r="P22" i="124"/>
  <c r="N22" i="124"/>
  <c r="M22" i="124"/>
  <c r="L22" i="124"/>
  <c r="H22" i="124"/>
  <c r="A22" i="124"/>
  <c r="P21" i="124"/>
  <c r="N21" i="124"/>
  <c r="M21" i="124"/>
  <c r="L21" i="124"/>
  <c r="H21" i="124"/>
  <c r="A21" i="124"/>
  <c r="P20" i="124"/>
  <c r="N20" i="124"/>
  <c r="M20" i="124"/>
  <c r="L20" i="124"/>
  <c r="H20" i="124"/>
  <c r="A20" i="124"/>
  <c r="P19" i="124"/>
  <c r="N19" i="124"/>
  <c r="M19" i="124"/>
  <c r="L19" i="124"/>
  <c r="H19" i="124"/>
  <c r="A19" i="124"/>
  <c r="P18" i="124"/>
  <c r="N18" i="124"/>
  <c r="M18" i="124"/>
  <c r="L18" i="124"/>
  <c r="H18" i="124"/>
  <c r="A18" i="124"/>
  <c r="P17" i="124"/>
  <c r="N17" i="124"/>
  <c r="M17" i="124"/>
  <c r="L17" i="124"/>
  <c r="H17" i="124"/>
  <c r="A17" i="124"/>
  <c r="P16" i="124"/>
  <c r="N16" i="124"/>
  <c r="M16" i="124"/>
  <c r="L16" i="124"/>
  <c r="H16" i="124"/>
  <c r="A16" i="124"/>
  <c r="P15" i="124"/>
  <c r="N15" i="124"/>
  <c r="M15" i="124"/>
  <c r="L15" i="124"/>
  <c r="H15" i="124"/>
  <c r="A15" i="124"/>
  <c r="P14" i="124"/>
  <c r="N14" i="124"/>
  <c r="M14" i="124"/>
  <c r="L14" i="124"/>
  <c r="H14" i="124"/>
  <c r="A14" i="124"/>
  <c r="P13" i="124"/>
  <c r="N13" i="124"/>
  <c r="M13" i="124"/>
  <c r="L13" i="124"/>
  <c r="H13" i="124"/>
  <c r="A13" i="124"/>
  <c r="P12" i="124"/>
  <c r="N12" i="124"/>
  <c r="M12" i="124"/>
  <c r="L12" i="124"/>
  <c r="H12" i="124"/>
  <c r="A12" i="124"/>
  <c r="P11" i="124"/>
  <c r="N11" i="124"/>
  <c r="M11" i="124"/>
  <c r="L11" i="124"/>
  <c r="H11" i="124"/>
  <c r="A11" i="124"/>
  <c r="P10" i="124"/>
  <c r="N10" i="124"/>
  <c r="M10" i="124"/>
  <c r="L10" i="124"/>
  <c r="H10" i="124"/>
  <c r="A10" i="124"/>
  <c r="P9" i="124"/>
  <c r="N9" i="124"/>
  <c r="M9" i="124"/>
  <c r="L9" i="124"/>
  <c r="H9" i="124"/>
  <c r="A9" i="124"/>
  <c r="P8" i="124"/>
  <c r="N8" i="124"/>
  <c r="M8" i="124"/>
  <c r="L8" i="124"/>
  <c r="H8" i="124"/>
  <c r="A8" i="124"/>
  <c r="P7" i="124"/>
  <c r="N7" i="124"/>
  <c r="M7" i="124"/>
  <c r="L7" i="124"/>
  <c r="H7" i="124"/>
  <c r="A7" i="124"/>
  <c r="P6" i="124"/>
  <c r="N6" i="124"/>
  <c r="M6" i="124"/>
  <c r="L6" i="124"/>
  <c r="H6" i="124"/>
  <c r="A6" i="124"/>
  <c r="P5" i="124"/>
  <c r="N5" i="124"/>
  <c r="M5" i="124"/>
  <c r="L5" i="124"/>
  <c r="H5" i="124"/>
  <c r="A5" i="124"/>
  <c r="P4" i="124"/>
  <c r="N4" i="124"/>
  <c r="M4" i="124"/>
  <c r="L4" i="124"/>
  <c r="H4" i="124"/>
  <c r="A4" i="124"/>
  <c r="P3" i="124"/>
  <c r="N3" i="124"/>
  <c r="M3" i="124"/>
  <c r="L3" i="124"/>
  <c r="H3" i="124"/>
  <c r="A3" i="124"/>
  <c r="P2" i="124"/>
  <c r="N2" i="124"/>
  <c r="M2" i="124"/>
  <c r="L2" i="124"/>
  <c r="H2" i="124"/>
  <c r="A2" i="124"/>
  <c r="F61" i="123"/>
  <c r="F60" i="123"/>
  <c r="B53" i="123"/>
  <c r="B54" i="123"/>
  <c r="B55" i="123"/>
  <c r="B56" i="123"/>
  <c r="B57" i="123"/>
  <c r="B58" i="123"/>
  <c r="B59" i="123"/>
  <c r="B60" i="123"/>
  <c r="C53" i="123"/>
  <c r="C54" i="123"/>
  <c r="C55" i="123"/>
  <c r="C56" i="123"/>
  <c r="C57" i="123"/>
  <c r="C58" i="123"/>
  <c r="C59" i="123"/>
  <c r="C60" i="123"/>
  <c r="F59" i="123"/>
  <c r="F58" i="123"/>
  <c r="F55" i="123"/>
  <c r="G55" i="123"/>
  <c r="F54" i="123"/>
  <c r="G54" i="123"/>
  <c r="F53" i="123"/>
  <c r="G53" i="123"/>
  <c r="C42" i="123"/>
  <c r="D42" i="123"/>
  <c r="G42" i="123"/>
  <c r="H42" i="123"/>
  <c r="C43" i="123"/>
  <c r="D43" i="123"/>
  <c r="G43" i="123"/>
  <c r="E43" i="123"/>
  <c r="H43" i="123"/>
  <c r="H49" i="123"/>
  <c r="B45" i="123"/>
  <c r="C45" i="123"/>
  <c r="D45" i="123"/>
  <c r="K44" i="123"/>
  <c r="I44" i="123"/>
  <c r="J44" i="123"/>
  <c r="F44" i="123"/>
  <c r="K43" i="123"/>
  <c r="I43" i="123"/>
  <c r="J43" i="123"/>
  <c r="F43" i="123"/>
  <c r="K42" i="123"/>
  <c r="I42" i="123"/>
  <c r="J42" i="123"/>
  <c r="F42" i="123"/>
  <c r="K41" i="123"/>
  <c r="I41" i="123"/>
  <c r="J41" i="123"/>
  <c r="F41" i="123"/>
  <c r="K40" i="123"/>
  <c r="I40" i="123"/>
  <c r="J40" i="123"/>
  <c r="F40" i="123"/>
  <c r="K39" i="123"/>
  <c r="I39" i="123"/>
  <c r="J39" i="123"/>
  <c r="F39" i="123"/>
  <c r="K38" i="123"/>
  <c r="I38" i="123"/>
  <c r="J38" i="123"/>
  <c r="F38" i="123"/>
  <c r="K37" i="123"/>
  <c r="I37" i="123"/>
  <c r="J37" i="123"/>
  <c r="F37" i="123"/>
  <c r="K36" i="123"/>
  <c r="I36" i="123"/>
  <c r="J36" i="123"/>
  <c r="F36" i="123"/>
  <c r="K35" i="123"/>
  <c r="I35" i="123"/>
  <c r="J35" i="123"/>
  <c r="F35" i="123"/>
  <c r="K34" i="123"/>
  <c r="I34" i="123"/>
  <c r="J34" i="123"/>
  <c r="F34" i="123"/>
  <c r="K33" i="123"/>
  <c r="I33" i="123"/>
  <c r="J33" i="123"/>
  <c r="F33" i="123"/>
  <c r="K32" i="123"/>
  <c r="I32" i="123"/>
  <c r="J32" i="123"/>
  <c r="F32" i="123"/>
  <c r="K31" i="123"/>
  <c r="I31" i="123"/>
  <c r="J31" i="123"/>
  <c r="F31" i="123"/>
  <c r="K30" i="123"/>
  <c r="I30" i="123"/>
  <c r="J30" i="123"/>
  <c r="F30" i="123"/>
  <c r="K29" i="123"/>
  <c r="I29" i="123"/>
  <c r="J29" i="123"/>
  <c r="F29" i="123"/>
  <c r="K28" i="123"/>
  <c r="I28" i="123"/>
  <c r="J28" i="123"/>
  <c r="F28" i="123"/>
  <c r="K27" i="123"/>
  <c r="I27" i="123"/>
  <c r="J27" i="123"/>
  <c r="F27" i="123"/>
  <c r="K26" i="123"/>
  <c r="I26" i="123"/>
  <c r="J26" i="123"/>
  <c r="F26" i="123"/>
  <c r="K25" i="123"/>
  <c r="I25" i="123"/>
  <c r="J25" i="123"/>
  <c r="F25" i="123"/>
  <c r="K24" i="123"/>
  <c r="I24" i="123"/>
  <c r="J24" i="123"/>
  <c r="F24" i="123"/>
  <c r="K23" i="123"/>
  <c r="I23" i="123"/>
  <c r="J23" i="123"/>
  <c r="F23" i="123"/>
  <c r="K22" i="123"/>
  <c r="I22" i="123"/>
  <c r="J22" i="123"/>
  <c r="F22" i="123"/>
  <c r="K21" i="123"/>
  <c r="I21" i="123"/>
  <c r="J21" i="123"/>
  <c r="F21" i="123"/>
  <c r="K20" i="123"/>
  <c r="I20" i="123"/>
  <c r="J20" i="123"/>
  <c r="F20" i="123"/>
  <c r="K19" i="123"/>
  <c r="I19" i="123"/>
  <c r="J19" i="123"/>
  <c r="F19" i="123"/>
  <c r="K18" i="123"/>
  <c r="I18" i="123"/>
  <c r="J18" i="123"/>
  <c r="F18" i="123"/>
  <c r="K17" i="123"/>
  <c r="I17" i="123"/>
  <c r="J17" i="123"/>
  <c r="F17" i="123"/>
  <c r="R14" i="123"/>
  <c r="P14" i="123"/>
  <c r="O14" i="123"/>
  <c r="M14" i="123"/>
  <c r="R13" i="123"/>
  <c r="P13" i="123"/>
  <c r="O13" i="123"/>
  <c r="M13" i="123"/>
  <c r="R12" i="123"/>
  <c r="P12" i="123"/>
  <c r="O12" i="123"/>
  <c r="M12" i="123"/>
  <c r="R11" i="123"/>
  <c r="P11" i="123"/>
  <c r="O11" i="123"/>
  <c r="M11" i="123"/>
  <c r="R10" i="123"/>
  <c r="P10" i="123"/>
  <c r="O10" i="123"/>
  <c r="M10" i="123"/>
  <c r="R9" i="123"/>
  <c r="P9" i="123"/>
  <c r="O9" i="123"/>
  <c r="M9" i="123"/>
  <c r="R8" i="123"/>
  <c r="P8" i="123"/>
  <c r="O8" i="123"/>
  <c r="M8" i="123"/>
  <c r="R7" i="123"/>
  <c r="P7" i="123"/>
  <c r="O7" i="123"/>
  <c r="M7" i="123"/>
  <c r="R6" i="123"/>
  <c r="P6" i="123"/>
  <c r="O6" i="123"/>
  <c r="M6" i="123"/>
  <c r="R5" i="123"/>
  <c r="P5" i="123"/>
  <c r="O5" i="123"/>
  <c r="M5" i="123"/>
  <c r="R4" i="123"/>
  <c r="P4" i="123"/>
  <c r="O4" i="123"/>
  <c r="M4" i="123"/>
  <c r="R3" i="123"/>
  <c r="P3" i="123"/>
  <c r="O3" i="123"/>
  <c r="M3" i="123"/>
  <c r="A49" i="121"/>
  <c r="B41" i="121"/>
  <c r="B39" i="121"/>
  <c r="B34" i="121"/>
  <c r="B36" i="121"/>
  <c r="I272" i="122"/>
  <c r="D272" i="122"/>
  <c r="J272" i="122"/>
  <c r="F272" i="122"/>
  <c r="C272" i="122"/>
  <c r="A2" i="121"/>
  <c r="B44" i="121"/>
  <c r="Q3" i="121"/>
  <c r="Q4" i="121"/>
  <c r="Q5" i="121"/>
  <c r="Q6" i="121"/>
  <c r="Q7" i="121"/>
  <c r="Q8" i="121"/>
  <c r="Q9" i="121"/>
  <c r="Q10" i="121"/>
  <c r="Q11" i="121"/>
  <c r="Q12" i="121"/>
  <c r="Q13" i="121"/>
  <c r="Q14" i="121"/>
  <c r="C44" i="121"/>
  <c r="D44" i="121"/>
  <c r="G44" i="121"/>
  <c r="I2" i="122"/>
  <c r="D2" i="122"/>
  <c r="J2" i="122"/>
  <c r="E2" i="122"/>
  <c r="F2" i="122"/>
  <c r="K2" i="122"/>
  <c r="G2" i="122"/>
  <c r="C2" i="122"/>
  <c r="I3" i="122"/>
  <c r="D3" i="122"/>
  <c r="J3" i="122"/>
  <c r="E3" i="122"/>
  <c r="F3" i="122"/>
  <c r="K3" i="122"/>
  <c r="G3" i="122"/>
  <c r="C3" i="122"/>
  <c r="I4" i="122"/>
  <c r="D4" i="122"/>
  <c r="J4" i="122"/>
  <c r="E4" i="122"/>
  <c r="F4" i="122"/>
  <c r="K4" i="122"/>
  <c r="G4" i="122"/>
  <c r="C4" i="122"/>
  <c r="I5" i="122"/>
  <c r="D5" i="122"/>
  <c r="J5" i="122"/>
  <c r="E5" i="122"/>
  <c r="F5" i="122"/>
  <c r="K5" i="122"/>
  <c r="G5" i="122"/>
  <c r="C5" i="122"/>
  <c r="I6" i="122"/>
  <c r="D6" i="122"/>
  <c r="J6" i="122"/>
  <c r="E6" i="122"/>
  <c r="F6" i="122"/>
  <c r="K6" i="122"/>
  <c r="G6" i="122"/>
  <c r="C6" i="122"/>
  <c r="I7" i="122"/>
  <c r="D7" i="122"/>
  <c r="J7" i="122"/>
  <c r="E7" i="122"/>
  <c r="F7" i="122"/>
  <c r="K7" i="122"/>
  <c r="G7" i="122"/>
  <c r="C7" i="122"/>
  <c r="I8" i="122"/>
  <c r="D8" i="122"/>
  <c r="J8" i="122"/>
  <c r="E8" i="122"/>
  <c r="F8" i="122"/>
  <c r="K8" i="122"/>
  <c r="G8" i="122"/>
  <c r="C8" i="122"/>
  <c r="I9" i="122"/>
  <c r="D9" i="122"/>
  <c r="J9" i="122"/>
  <c r="E9" i="122"/>
  <c r="F9" i="122"/>
  <c r="K9" i="122"/>
  <c r="G9" i="122"/>
  <c r="C9" i="122"/>
  <c r="I10" i="122"/>
  <c r="D10" i="122"/>
  <c r="J10" i="122"/>
  <c r="E10" i="122"/>
  <c r="F10" i="122"/>
  <c r="K10" i="122"/>
  <c r="G10" i="122"/>
  <c r="C10" i="122"/>
  <c r="I11" i="122"/>
  <c r="D11" i="122"/>
  <c r="J11" i="122"/>
  <c r="E11" i="122"/>
  <c r="F11" i="122"/>
  <c r="K11" i="122"/>
  <c r="G11" i="122"/>
  <c r="C11" i="122"/>
  <c r="I12" i="122"/>
  <c r="D12" i="122"/>
  <c r="J12" i="122"/>
  <c r="E12" i="122"/>
  <c r="F12" i="122"/>
  <c r="K12" i="122"/>
  <c r="G12" i="122"/>
  <c r="C12" i="122"/>
  <c r="I13" i="122"/>
  <c r="D13" i="122"/>
  <c r="J13" i="122"/>
  <c r="E13" i="122"/>
  <c r="F13" i="122"/>
  <c r="K13" i="122"/>
  <c r="G13" i="122"/>
  <c r="C13" i="122"/>
  <c r="I14" i="122"/>
  <c r="D14" i="122"/>
  <c r="J14" i="122"/>
  <c r="E14" i="122"/>
  <c r="F14" i="122"/>
  <c r="K14" i="122"/>
  <c r="G14" i="122"/>
  <c r="C14" i="122"/>
  <c r="I15" i="122"/>
  <c r="D15" i="122"/>
  <c r="J15" i="122"/>
  <c r="E15" i="122"/>
  <c r="F15" i="122"/>
  <c r="K15" i="122"/>
  <c r="G15" i="122"/>
  <c r="C15" i="122"/>
  <c r="I16" i="122"/>
  <c r="D16" i="122"/>
  <c r="J16" i="122"/>
  <c r="E16" i="122"/>
  <c r="F16" i="122"/>
  <c r="K16" i="122"/>
  <c r="G16" i="122"/>
  <c r="C16" i="122"/>
  <c r="I17" i="122"/>
  <c r="D17" i="122"/>
  <c r="J17" i="122"/>
  <c r="E17" i="122"/>
  <c r="F17" i="122"/>
  <c r="K17" i="122"/>
  <c r="G17" i="122"/>
  <c r="C17" i="122"/>
  <c r="I18" i="122"/>
  <c r="D18" i="122"/>
  <c r="J18" i="122"/>
  <c r="E18" i="122"/>
  <c r="F18" i="122"/>
  <c r="K18" i="122"/>
  <c r="G18" i="122"/>
  <c r="C18" i="122"/>
  <c r="I19" i="122"/>
  <c r="D19" i="122"/>
  <c r="J19" i="122"/>
  <c r="E19" i="122"/>
  <c r="F19" i="122"/>
  <c r="K19" i="122"/>
  <c r="G19" i="122"/>
  <c r="C19" i="122"/>
  <c r="I20" i="122"/>
  <c r="D20" i="122"/>
  <c r="J20" i="122"/>
  <c r="E20" i="122"/>
  <c r="F20" i="122"/>
  <c r="K20" i="122"/>
  <c r="G20" i="122"/>
  <c r="C20" i="122"/>
  <c r="I21" i="122"/>
  <c r="D21" i="122"/>
  <c r="J21" i="122"/>
  <c r="E21" i="122"/>
  <c r="F21" i="122"/>
  <c r="K21" i="122"/>
  <c r="G21" i="122"/>
  <c r="C21" i="122"/>
  <c r="I22" i="122"/>
  <c r="D22" i="122"/>
  <c r="J22" i="122"/>
  <c r="E22" i="122"/>
  <c r="F22" i="122"/>
  <c r="K22" i="122"/>
  <c r="G22" i="122"/>
  <c r="C22" i="122"/>
  <c r="I23" i="122"/>
  <c r="D23" i="122"/>
  <c r="J23" i="122"/>
  <c r="E23" i="122"/>
  <c r="F23" i="122"/>
  <c r="K23" i="122"/>
  <c r="G23" i="122"/>
  <c r="C23" i="122"/>
  <c r="I24" i="122"/>
  <c r="D24" i="122"/>
  <c r="J24" i="122"/>
  <c r="E24" i="122"/>
  <c r="F24" i="122"/>
  <c r="K24" i="122"/>
  <c r="G24" i="122"/>
  <c r="C24" i="122"/>
  <c r="I25" i="122"/>
  <c r="D25" i="122"/>
  <c r="J25" i="122"/>
  <c r="E25" i="122"/>
  <c r="F25" i="122"/>
  <c r="K25" i="122"/>
  <c r="G25" i="122"/>
  <c r="C25" i="122"/>
  <c r="I26" i="122"/>
  <c r="D26" i="122"/>
  <c r="J26" i="122"/>
  <c r="E26" i="122"/>
  <c r="F26" i="122"/>
  <c r="K26" i="122"/>
  <c r="G26" i="122"/>
  <c r="C26" i="122"/>
  <c r="I27" i="122"/>
  <c r="D27" i="122"/>
  <c r="J27" i="122"/>
  <c r="E27" i="122"/>
  <c r="F27" i="122"/>
  <c r="K27" i="122"/>
  <c r="G27" i="122"/>
  <c r="C27" i="122"/>
  <c r="I28" i="122"/>
  <c r="D28" i="122"/>
  <c r="J28" i="122"/>
  <c r="E28" i="122"/>
  <c r="F28" i="122"/>
  <c r="K28" i="122"/>
  <c r="G28" i="122"/>
  <c r="C28" i="122"/>
  <c r="I29" i="122"/>
  <c r="D29" i="122"/>
  <c r="J29" i="122"/>
  <c r="E29" i="122"/>
  <c r="F29" i="122"/>
  <c r="K29" i="122"/>
  <c r="G29" i="122"/>
  <c r="C29" i="122"/>
  <c r="I30" i="122"/>
  <c r="D30" i="122"/>
  <c r="J30" i="122"/>
  <c r="E30" i="122"/>
  <c r="F30" i="122"/>
  <c r="K30" i="122"/>
  <c r="G30" i="122"/>
  <c r="C30" i="122"/>
  <c r="I31" i="122"/>
  <c r="D31" i="122"/>
  <c r="J31" i="122"/>
  <c r="E31" i="122"/>
  <c r="F31" i="122"/>
  <c r="K31" i="122"/>
  <c r="G31" i="122"/>
  <c r="C31" i="122"/>
  <c r="I32" i="122"/>
  <c r="D32" i="122"/>
  <c r="J32" i="122"/>
  <c r="E32" i="122"/>
  <c r="F32" i="122"/>
  <c r="K32" i="122"/>
  <c r="G32" i="122"/>
  <c r="C32" i="122"/>
  <c r="I33" i="122"/>
  <c r="D33" i="122"/>
  <c r="J33" i="122"/>
  <c r="E33" i="122"/>
  <c r="F33" i="122"/>
  <c r="K33" i="122"/>
  <c r="G33" i="122"/>
  <c r="C33" i="122"/>
  <c r="I34" i="122"/>
  <c r="D34" i="122"/>
  <c r="J34" i="122"/>
  <c r="E34" i="122"/>
  <c r="F34" i="122"/>
  <c r="K34" i="122"/>
  <c r="G34" i="122"/>
  <c r="C34" i="122"/>
  <c r="I35" i="122"/>
  <c r="D35" i="122"/>
  <c r="J35" i="122"/>
  <c r="E35" i="122"/>
  <c r="F35" i="122"/>
  <c r="K35" i="122"/>
  <c r="G35" i="122"/>
  <c r="C35" i="122"/>
  <c r="I36" i="122"/>
  <c r="D36" i="122"/>
  <c r="J36" i="122"/>
  <c r="E36" i="122"/>
  <c r="F36" i="122"/>
  <c r="K36" i="122"/>
  <c r="G36" i="122"/>
  <c r="C36" i="122"/>
  <c r="I37" i="122"/>
  <c r="D37" i="122"/>
  <c r="J37" i="122"/>
  <c r="E37" i="122"/>
  <c r="F37" i="122"/>
  <c r="K37" i="122"/>
  <c r="G37" i="122"/>
  <c r="C37" i="122"/>
  <c r="I38" i="122"/>
  <c r="D38" i="122"/>
  <c r="J38" i="122"/>
  <c r="E38" i="122"/>
  <c r="F38" i="122"/>
  <c r="K38" i="122"/>
  <c r="G38" i="122"/>
  <c r="C38" i="122"/>
  <c r="I39" i="122"/>
  <c r="D39" i="122"/>
  <c r="J39" i="122"/>
  <c r="E39" i="122"/>
  <c r="F39" i="122"/>
  <c r="K39" i="122"/>
  <c r="G39" i="122"/>
  <c r="C39" i="122"/>
  <c r="I40" i="122"/>
  <c r="D40" i="122"/>
  <c r="J40" i="122"/>
  <c r="E40" i="122"/>
  <c r="F40" i="122"/>
  <c r="K40" i="122"/>
  <c r="G40" i="122"/>
  <c r="C40" i="122"/>
  <c r="I41" i="122"/>
  <c r="D41" i="122"/>
  <c r="J41" i="122"/>
  <c r="E41" i="122"/>
  <c r="F41" i="122"/>
  <c r="K41" i="122"/>
  <c r="G41" i="122"/>
  <c r="C41" i="122"/>
  <c r="I42" i="122"/>
  <c r="D42" i="122"/>
  <c r="J42" i="122"/>
  <c r="E42" i="122"/>
  <c r="F42" i="122"/>
  <c r="K42" i="122"/>
  <c r="G42" i="122"/>
  <c r="C42" i="122"/>
  <c r="I43" i="122"/>
  <c r="D43" i="122"/>
  <c r="J43" i="122"/>
  <c r="E43" i="122"/>
  <c r="F43" i="122"/>
  <c r="K43" i="122"/>
  <c r="G43" i="122"/>
  <c r="C43" i="122"/>
  <c r="I44" i="122"/>
  <c r="D44" i="122"/>
  <c r="J44" i="122"/>
  <c r="E44" i="122"/>
  <c r="F44" i="122"/>
  <c r="K44" i="122"/>
  <c r="G44" i="122"/>
  <c r="C44" i="122"/>
  <c r="I45" i="122"/>
  <c r="D45" i="122"/>
  <c r="J45" i="122"/>
  <c r="E45" i="122"/>
  <c r="F45" i="122"/>
  <c r="K45" i="122"/>
  <c r="G45" i="122"/>
  <c r="C45" i="122"/>
  <c r="I46" i="122"/>
  <c r="D46" i="122"/>
  <c r="J46" i="122"/>
  <c r="E46" i="122"/>
  <c r="F46" i="122"/>
  <c r="K46" i="122"/>
  <c r="G46" i="122"/>
  <c r="C46" i="122"/>
  <c r="I47" i="122"/>
  <c r="D47" i="122"/>
  <c r="J47" i="122"/>
  <c r="E47" i="122"/>
  <c r="F47" i="122"/>
  <c r="K47" i="122"/>
  <c r="G47" i="122"/>
  <c r="C47" i="122"/>
  <c r="I48" i="122"/>
  <c r="D48" i="122"/>
  <c r="J48" i="122"/>
  <c r="E48" i="122"/>
  <c r="F48" i="122"/>
  <c r="K48" i="122"/>
  <c r="G48" i="122"/>
  <c r="C48" i="122"/>
  <c r="I49" i="122"/>
  <c r="D49" i="122"/>
  <c r="J49" i="122"/>
  <c r="E49" i="122"/>
  <c r="F49" i="122"/>
  <c r="K49" i="122"/>
  <c r="G49" i="122"/>
  <c r="C49" i="122"/>
  <c r="I50" i="122"/>
  <c r="D50" i="122"/>
  <c r="J50" i="122"/>
  <c r="E50" i="122"/>
  <c r="F50" i="122"/>
  <c r="K50" i="122"/>
  <c r="G50" i="122"/>
  <c r="C50" i="122"/>
  <c r="I51" i="122"/>
  <c r="D51" i="122"/>
  <c r="J51" i="122"/>
  <c r="E51" i="122"/>
  <c r="F51" i="122"/>
  <c r="K51" i="122"/>
  <c r="G51" i="122"/>
  <c r="C51" i="122"/>
  <c r="I52" i="122"/>
  <c r="D52" i="122"/>
  <c r="J52" i="122"/>
  <c r="E52" i="122"/>
  <c r="F52" i="122"/>
  <c r="K52" i="122"/>
  <c r="G52" i="122"/>
  <c r="C52" i="122"/>
  <c r="I53" i="122"/>
  <c r="D53" i="122"/>
  <c r="J53" i="122"/>
  <c r="E53" i="122"/>
  <c r="F53" i="122"/>
  <c r="K53" i="122"/>
  <c r="G53" i="122"/>
  <c r="C53" i="122"/>
  <c r="I54" i="122"/>
  <c r="D54" i="122"/>
  <c r="J54" i="122"/>
  <c r="E54" i="122"/>
  <c r="F54" i="122"/>
  <c r="K54" i="122"/>
  <c r="G54" i="122"/>
  <c r="C54" i="122"/>
  <c r="I55" i="122"/>
  <c r="D55" i="122"/>
  <c r="J55" i="122"/>
  <c r="E55" i="122"/>
  <c r="F55" i="122"/>
  <c r="K55" i="122"/>
  <c r="G55" i="122"/>
  <c r="C55" i="122"/>
  <c r="I56" i="122"/>
  <c r="D56" i="122"/>
  <c r="J56" i="122"/>
  <c r="E56" i="122"/>
  <c r="F56" i="122"/>
  <c r="K56" i="122"/>
  <c r="G56" i="122"/>
  <c r="C56" i="122"/>
  <c r="I57" i="122"/>
  <c r="D57" i="122"/>
  <c r="J57" i="122"/>
  <c r="E57" i="122"/>
  <c r="F57" i="122"/>
  <c r="K57" i="122"/>
  <c r="G57" i="122"/>
  <c r="C57" i="122"/>
  <c r="I58" i="122"/>
  <c r="D58" i="122"/>
  <c r="J58" i="122"/>
  <c r="E58" i="122"/>
  <c r="F58" i="122"/>
  <c r="K58" i="122"/>
  <c r="G58" i="122"/>
  <c r="C58" i="122"/>
  <c r="I59" i="122"/>
  <c r="D59" i="122"/>
  <c r="J59" i="122"/>
  <c r="E59" i="122"/>
  <c r="F59" i="122"/>
  <c r="K59" i="122"/>
  <c r="G59" i="122"/>
  <c r="C59" i="122"/>
  <c r="I60" i="122"/>
  <c r="D60" i="122"/>
  <c r="J60" i="122"/>
  <c r="E60" i="122"/>
  <c r="F60" i="122"/>
  <c r="K60" i="122"/>
  <c r="G60" i="122"/>
  <c r="C60" i="122"/>
  <c r="I61" i="122"/>
  <c r="D61" i="122"/>
  <c r="J61" i="122"/>
  <c r="E61" i="122"/>
  <c r="F61" i="122"/>
  <c r="K61" i="122"/>
  <c r="G61" i="122"/>
  <c r="C61" i="122"/>
  <c r="I62" i="122"/>
  <c r="D62" i="122"/>
  <c r="J62" i="122"/>
  <c r="E62" i="122"/>
  <c r="F62" i="122"/>
  <c r="K62" i="122"/>
  <c r="G62" i="122"/>
  <c r="C62" i="122"/>
  <c r="I63" i="122"/>
  <c r="D63" i="122"/>
  <c r="J63" i="122"/>
  <c r="E63" i="122"/>
  <c r="F63" i="122"/>
  <c r="K63" i="122"/>
  <c r="G63" i="122"/>
  <c r="C63" i="122"/>
  <c r="I64" i="122"/>
  <c r="D64" i="122"/>
  <c r="J64" i="122"/>
  <c r="E64" i="122"/>
  <c r="F64" i="122"/>
  <c r="K64" i="122"/>
  <c r="G64" i="122"/>
  <c r="C64" i="122"/>
  <c r="I65" i="122"/>
  <c r="D65" i="122"/>
  <c r="J65" i="122"/>
  <c r="E65" i="122"/>
  <c r="F65" i="122"/>
  <c r="K65" i="122"/>
  <c r="G65" i="122"/>
  <c r="C65" i="122"/>
  <c r="I66" i="122"/>
  <c r="D66" i="122"/>
  <c r="J66" i="122"/>
  <c r="E66" i="122"/>
  <c r="F66" i="122"/>
  <c r="K66" i="122"/>
  <c r="G66" i="122"/>
  <c r="C66" i="122"/>
  <c r="I67" i="122"/>
  <c r="D67" i="122"/>
  <c r="J67" i="122"/>
  <c r="E67" i="122"/>
  <c r="F67" i="122"/>
  <c r="K67" i="122"/>
  <c r="G67" i="122"/>
  <c r="C67" i="122"/>
  <c r="I68" i="122"/>
  <c r="D68" i="122"/>
  <c r="J68" i="122"/>
  <c r="E68" i="122"/>
  <c r="F68" i="122"/>
  <c r="K68" i="122"/>
  <c r="G68" i="122"/>
  <c r="C68" i="122"/>
  <c r="I69" i="122"/>
  <c r="D69" i="122"/>
  <c r="J69" i="122"/>
  <c r="E69" i="122"/>
  <c r="F69" i="122"/>
  <c r="K69" i="122"/>
  <c r="G69" i="122"/>
  <c r="C69" i="122"/>
  <c r="I70" i="122"/>
  <c r="D70" i="122"/>
  <c r="J70" i="122"/>
  <c r="E70" i="122"/>
  <c r="F70" i="122"/>
  <c r="K70" i="122"/>
  <c r="G70" i="122"/>
  <c r="C70" i="122"/>
  <c r="I71" i="122"/>
  <c r="D71" i="122"/>
  <c r="J71" i="122"/>
  <c r="E71" i="122"/>
  <c r="F71" i="122"/>
  <c r="K71" i="122"/>
  <c r="G71" i="122"/>
  <c r="C71" i="122"/>
  <c r="I72" i="122"/>
  <c r="D72" i="122"/>
  <c r="J72" i="122"/>
  <c r="E72" i="122"/>
  <c r="F72" i="122"/>
  <c r="K72" i="122"/>
  <c r="G72" i="122"/>
  <c r="C72" i="122"/>
  <c r="I73" i="122"/>
  <c r="D73" i="122"/>
  <c r="J73" i="122"/>
  <c r="E73" i="122"/>
  <c r="F73" i="122"/>
  <c r="K73" i="122"/>
  <c r="G73" i="122"/>
  <c r="C73" i="122"/>
  <c r="I74" i="122"/>
  <c r="D74" i="122"/>
  <c r="J74" i="122"/>
  <c r="E74" i="122"/>
  <c r="F74" i="122"/>
  <c r="K74" i="122"/>
  <c r="G74" i="122"/>
  <c r="C74" i="122"/>
  <c r="I75" i="122"/>
  <c r="D75" i="122"/>
  <c r="J75" i="122"/>
  <c r="E75" i="122"/>
  <c r="F75" i="122"/>
  <c r="K75" i="122"/>
  <c r="G75" i="122"/>
  <c r="C75" i="122"/>
  <c r="I76" i="122"/>
  <c r="D76" i="122"/>
  <c r="J76" i="122"/>
  <c r="E76" i="122"/>
  <c r="F76" i="122"/>
  <c r="K76" i="122"/>
  <c r="G76" i="122"/>
  <c r="C76" i="122"/>
  <c r="I77" i="122"/>
  <c r="D77" i="122"/>
  <c r="J77" i="122"/>
  <c r="E77" i="122"/>
  <c r="F77" i="122"/>
  <c r="K77" i="122"/>
  <c r="G77" i="122"/>
  <c r="C77" i="122"/>
  <c r="I78" i="122"/>
  <c r="D78" i="122"/>
  <c r="J78" i="122"/>
  <c r="E78" i="122"/>
  <c r="F78" i="122"/>
  <c r="K78" i="122"/>
  <c r="G78" i="122"/>
  <c r="C78" i="122"/>
  <c r="I79" i="122"/>
  <c r="D79" i="122"/>
  <c r="J79" i="122"/>
  <c r="E79" i="122"/>
  <c r="F79" i="122"/>
  <c r="K79" i="122"/>
  <c r="G79" i="122"/>
  <c r="C79" i="122"/>
  <c r="I80" i="122"/>
  <c r="D80" i="122"/>
  <c r="J80" i="122"/>
  <c r="E80" i="122"/>
  <c r="F80" i="122"/>
  <c r="K80" i="122"/>
  <c r="G80" i="122"/>
  <c r="C80" i="122"/>
  <c r="I81" i="122"/>
  <c r="D81" i="122"/>
  <c r="J81" i="122"/>
  <c r="E81" i="122"/>
  <c r="F81" i="122"/>
  <c r="K81" i="122"/>
  <c r="G81" i="122"/>
  <c r="C81" i="122"/>
  <c r="I82" i="122"/>
  <c r="D82" i="122"/>
  <c r="J82" i="122"/>
  <c r="E82" i="122"/>
  <c r="F82" i="122"/>
  <c r="K82" i="122"/>
  <c r="G82" i="122"/>
  <c r="C82" i="122"/>
  <c r="I83" i="122"/>
  <c r="D83" i="122"/>
  <c r="J83" i="122"/>
  <c r="E83" i="122"/>
  <c r="F83" i="122"/>
  <c r="K83" i="122"/>
  <c r="G83" i="122"/>
  <c r="C83" i="122"/>
  <c r="I84" i="122"/>
  <c r="D84" i="122"/>
  <c r="J84" i="122"/>
  <c r="E84" i="122"/>
  <c r="F84" i="122"/>
  <c r="K84" i="122"/>
  <c r="G84" i="122"/>
  <c r="C84" i="122"/>
  <c r="I85" i="122"/>
  <c r="D85" i="122"/>
  <c r="J85" i="122"/>
  <c r="E85" i="122"/>
  <c r="F85" i="122"/>
  <c r="K85" i="122"/>
  <c r="G85" i="122"/>
  <c r="C85" i="122"/>
  <c r="I86" i="122"/>
  <c r="D86" i="122"/>
  <c r="J86" i="122"/>
  <c r="E86" i="122"/>
  <c r="F86" i="122"/>
  <c r="K86" i="122"/>
  <c r="G86" i="122"/>
  <c r="C86" i="122"/>
  <c r="I87" i="122"/>
  <c r="D87" i="122"/>
  <c r="J87" i="122"/>
  <c r="E87" i="122"/>
  <c r="F87" i="122"/>
  <c r="K87" i="122"/>
  <c r="G87" i="122"/>
  <c r="C87" i="122"/>
  <c r="I88" i="122"/>
  <c r="D88" i="122"/>
  <c r="J88" i="122"/>
  <c r="E88" i="122"/>
  <c r="F88" i="122"/>
  <c r="K88" i="122"/>
  <c r="G88" i="122"/>
  <c r="C88" i="122"/>
  <c r="I89" i="122"/>
  <c r="D89" i="122"/>
  <c r="J89" i="122"/>
  <c r="E89" i="122"/>
  <c r="F89" i="122"/>
  <c r="K89" i="122"/>
  <c r="G89" i="122"/>
  <c r="C89" i="122"/>
  <c r="I90" i="122"/>
  <c r="D90" i="122"/>
  <c r="J90" i="122"/>
  <c r="E90" i="122"/>
  <c r="F90" i="122"/>
  <c r="K90" i="122"/>
  <c r="G90" i="122"/>
  <c r="C90" i="122"/>
  <c r="I91" i="122"/>
  <c r="D91" i="122"/>
  <c r="J91" i="122"/>
  <c r="E91" i="122"/>
  <c r="F91" i="122"/>
  <c r="K91" i="122"/>
  <c r="G91" i="122"/>
  <c r="C91" i="122"/>
  <c r="I92" i="122"/>
  <c r="D92" i="122"/>
  <c r="J92" i="122"/>
  <c r="E92" i="122"/>
  <c r="F92" i="122"/>
  <c r="K92" i="122"/>
  <c r="G92" i="122"/>
  <c r="C92" i="122"/>
  <c r="I93" i="122"/>
  <c r="D93" i="122"/>
  <c r="J93" i="122"/>
  <c r="E93" i="122"/>
  <c r="F93" i="122"/>
  <c r="K93" i="122"/>
  <c r="G93" i="122"/>
  <c r="C93" i="122"/>
  <c r="I94" i="122"/>
  <c r="D94" i="122"/>
  <c r="J94" i="122"/>
  <c r="E94" i="122"/>
  <c r="F94" i="122"/>
  <c r="K94" i="122"/>
  <c r="G94" i="122"/>
  <c r="C94" i="122"/>
  <c r="I95" i="122"/>
  <c r="D95" i="122"/>
  <c r="J95" i="122"/>
  <c r="E95" i="122"/>
  <c r="F95" i="122"/>
  <c r="K95" i="122"/>
  <c r="G95" i="122"/>
  <c r="C95" i="122"/>
  <c r="I96" i="122"/>
  <c r="D96" i="122"/>
  <c r="J96" i="122"/>
  <c r="E96" i="122"/>
  <c r="F96" i="122"/>
  <c r="K96" i="122"/>
  <c r="G96" i="122"/>
  <c r="C96" i="122"/>
  <c r="I97" i="122"/>
  <c r="D97" i="122"/>
  <c r="J97" i="122"/>
  <c r="E97" i="122"/>
  <c r="F97" i="122"/>
  <c r="K97" i="122"/>
  <c r="G97" i="122"/>
  <c r="C97" i="122"/>
  <c r="I98" i="122"/>
  <c r="D98" i="122"/>
  <c r="J98" i="122"/>
  <c r="E98" i="122"/>
  <c r="F98" i="122"/>
  <c r="K98" i="122"/>
  <c r="G98" i="122"/>
  <c r="C98" i="122"/>
  <c r="I99" i="122"/>
  <c r="D99" i="122"/>
  <c r="J99" i="122"/>
  <c r="E99" i="122"/>
  <c r="F99" i="122"/>
  <c r="K99" i="122"/>
  <c r="G99" i="122"/>
  <c r="C99" i="122"/>
  <c r="I100" i="122"/>
  <c r="D100" i="122"/>
  <c r="J100" i="122"/>
  <c r="E100" i="122"/>
  <c r="F100" i="122"/>
  <c r="K100" i="122"/>
  <c r="G100" i="122"/>
  <c r="C100" i="122"/>
  <c r="I101" i="122"/>
  <c r="D101" i="122"/>
  <c r="J101" i="122"/>
  <c r="E101" i="122"/>
  <c r="F101" i="122"/>
  <c r="K101" i="122"/>
  <c r="G101" i="122"/>
  <c r="C101" i="122"/>
  <c r="I102" i="122"/>
  <c r="D102" i="122"/>
  <c r="J102" i="122"/>
  <c r="E102" i="122"/>
  <c r="F102" i="122"/>
  <c r="K102" i="122"/>
  <c r="G102" i="122"/>
  <c r="C102" i="122"/>
  <c r="I103" i="122"/>
  <c r="D103" i="122"/>
  <c r="J103" i="122"/>
  <c r="E103" i="122"/>
  <c r="F103" i="122"/>
  <c r="K103" i="122"/>
  <c r="G103" i="122"/>
  <c r="C103" i="122"/>
  <c r="I104" i="122"/>
  <c r="D104" i="122"/>
  <c r="J104" i="122"/>
  <c r="E104" i="122"/>
  <c r="F104" i="122"/>
  <c r="K104" i="122"/>
  <c r="G104" i="122"/>
  <c r="C104" i="122"/>
  <c r="I105" i="122"/>
  <c r="D105" i="122"/>
  <c r="J105" i="122"/>
  <c r="E105" i="122"/>
  <c r="F105" i="122"/>
  <c r="K105" i="122"/>
  <c r="G105" i="122"/>
  <c r="C105" i="122"/>
  <c r="I106" i="122"/>
  <c r="D106" i="122"/>
  <c r="J106" i="122"/>
  <c r="E106" i="122"/>
  <c r="F106" i="122"/>
  <c r="K106" i="122"/>
  <c r="G106" i="122"/>
  <c r="C106" i="122"/>
  <c r="I107" i="122"/>
  <c r="D107" i="122"/>
  <c r="J107" i="122"/>
  <c r="E107" i="122"/>
  <c r="F107" i="122"/>
  <c r="K107" i="122"/>
  <c r="G107" i="122"/>
  <c r="C107" i="122"/>
  <c r="I108" i="122"/>
  <c r="D108" i="122"/>
  <c r="J108" i="122"/>
  <c r="E108" i="122"/>
  <c r="F108" i="122"/>
  <c r="K108" i="122"/>
  <c r="G108" i="122"/>
  <c r="C108" i="122"/>
  <c r="I109" i="122"/>
  <c r="D109" i="122"/>
  <c r="J109" i="122"/>
  <c r="E109" i="122"/>
  <c r="F109" i="122"/>
  <c r="K109" i="122"/>
  <c r="G109" i="122"/>
  <c r="C109" i="122"/>
  <c r="I110" i="122"/>
  <c r="D110" i="122"/>
  <c r="J110" i="122"/>
  <c r="E110" i="122"/>
  <c r="F110" i="122"/>
  <c r="K110" i="122"/>
  <c r="G110" i="122"/>
  <c r="C110" i="122"/>
  <c r="I111" i="122"/>
  <c r="D111" i="122"/>
  <c r="J111" i="122"/>
  <c r="E111" i="122"/>
  <c r="F111" i="122"/>
  <c r="K111" i="122"/>
  <c r="G111" i="122"/>
  <c r="C111" i="122"/>
  <c r="I112" i="122"/>
  <c r="D112" i="122"/>
  <c r="J112" i="122"/>
  <c r="E112" i="122"/>
  <c r="F112" i="122"/>
  <c r="K112" i="122"/>
  <c r="G112" i="122"/>
  <c r="C112" i="122"/>
  <c r="I113" i="122"/>
  <c r="D113" i="122"/>
  <c r="J113" i="122"/>
  <c r="E113" i="122"/>
  <c r="F113" i="122"/>
  <c r="K113" i="122"/>
  <c r="G113" i="122"/>
  <c r="C113" i="122"/>
  <c r="I114" i="122"/>
  <c r="D114" i="122"/>
  <c r="J114" i="122"/>
  <c r="E114" i="122"/>
  <c r="F114" i="122"/>
  <c r="K114" i="122"/>
  <c r="G114" i="122"/>
  <c r="C114" i="122"/>
  <c r="I115" i="122"/>
  <c r="D115" i="122"/>
  <c r="J115" i="122"/>
  <c r="E115" i="122"/>
  <c r="F115" i="122"/>
  <c r="K115" i="122"/>
  <c r="G115" i="122"/>
  <c r="C115" i="122"/>
  <c r="I116" i="122"/>
  <c r="D116" i="122"/>
  <c r="J116" i="122"/>
  <c r="E116" i="122"/>
  <c r="F116" i="122"/>
  <c r="K116" i="122"/>
  <c r="G116" i="122"/>
  <c r="C116" i="122"/>
  <c r="I117" i="122"/>
  <c r="D117" i="122"/>
  <c r="J117" i="122"/>
  <c r="E117" i="122"/>
  <c r="F117" i="122"/>
  <c r="K117" i="122"/>
  <c r="G117" i="122"/>
  <c r="C117" i="122"/>
  <c r="I118" i="122"/>
  <c r="D118" i="122"/>
  <c r="J118" i="122"/>
  <c r="E118" i="122"/>
  <c r="F118" i="122"/>
  <c r="K118" i="122"/>
  <c r="G118" i="122"/>
  <c r="C118" i="122"/>
  <c r="I119" i="122"/>
  <c r="D119" i="122"/>
  <c r="J119" i="122"/>
  <c r="E119" i="122"/>
  <c r="F119" i="122"/>
  <c r="K119" i="122"/>
  <c r="G119" i="122"/>
  <c r="C119" i="122"/>
  <c r="I120" i="122"/>
  <c r="D120" i="122"/>
  <c r="J120" i="122"/>
  <c r="E120" i="122"/>
  <c r="F120" i="122"/>
  <c r="K120" i="122"/>
  <c r="G120" i="122"/>
  <c r="C120" i="122"/>
  <c r="I121" i="122"/>
  <c r="D121" i="122"/>
  <c r="J121" i="122"/>
  <c r="E121" i="122"/>
  <c r="F121" i="122"/>
  <c r="K121" i="122"/>
  <c r="G121" i="122"/>
  <c r="C121" i="122"/>
  <c r="I122" i="122"/>
  <c r="D122" i="122"/>
  <c r="J122" i="122"/>
  <c r="E122" i="122"/>
  <c r="F122" i="122"/>
  <c r="K122" i="122"/>
  <c r="G122" i="122"/>
  <c r="C122" i="122"/>
  <c r="I123" i="122"/>
  <c r="D123" i="122"/>
  <c r="J123" i="122"/>
  <c r="E123" i="122"/>
  <c r="F123" i="122"/>
  <c r="K123" i="122"/>
  <c r="G123" i="122"/>
  <c r="C123" i="122"/>
  <c r="I124" i="122"/>
  <c r="D124" i="122"/>
  <c r="J124" i="122"/>
  <c r="E124" i="122"/>
  <c r="F124" i="122"/>
  <c r="K124" i="122"/>
  <c r="G124" i="122"/>
  <c r="C124" i="122"/>
  <c r="I125" i="122"/>
  <c r="D125" i="122"/>
  <c r="J125" i="122"/>
  <c r="E125" i="122"/>
  <c r="F125" i="122"/>
  <c r="K125" i="122"/>
  <c r="G125" i="122"/>
  <c r="C125" i="122"/>
  <c r="I126" i="122"/>
  <c r="D126" i="122"/>
  <c r="J126" i="122"/>
  <c r="E126" i="122"/>
  <c r="F126" i="122"/>
  <c r="K126" i="122"/>
  <c r="G126" i="122"/>
  <c r="C126" i="122"/>
  <c r="I127" i="122"/>
  <c r="D127" i="122"/>
  <c r="J127" i="122"/>
  <c r="E127" i="122"/>
  <c r="F127" i="122"/>
  <c r="K127" i="122"/>
  <c r="G127" i="122"/>
  <c r="C127" i="122"/>
  <c r="I128" i="122"/>
  <c r="D128" i="122"/>
  <c r="J128" i="122"/>
  <c r="E128" i="122"/>
  <c r="F128" i="122"/>
  <c r="K128" i="122"/>
  <c r="G128" i="122"/>
  <c r="C128" i="122"/>
  <c r="I129" i="122"/>
  <c r="D129" i="122"/>
  <c r="J129" i="122"/>
  <c r="E129" i="122"/>
  <c r="F129" i="122"/>
  <c r="K129" i="122"/>
  <c r="G129" i="122"/>
  <c r="C129" i="122"/>
  <c r="I130" i="122"/>
  <c r="D130" i="122"/>
  <c r="J130" i="122"/>
  <c r="E130" i="122"/>
  <c r="F130" i="122"/>
  <c r="K130" i="122"/>
  <c r="G130" i="122"/>
  <c r="C130" i="122"/>
  <c r="I131" i="122"/>
  <c r="D131" i="122"/>
  <c r="J131" i="122"/>
  <c r="E131" i="122"/>
  <c r="F131" i="122"/>
  <c r="K131" i="122"/>
  <c r="G131" i="122"/>
  <c r="C131" i="122"/>
  <c r="I132" i="122"/>
  <c r="D132" i="122"/>
  <c r="J132" i="122"/>
  <c r="E132" i="122"/>
  <c r="F132" i="122"/>
  <c r="K132" i="122"/>
  <c r="G132" i="122"/>
  <c r="C132" i="122"/>
  <c r="I133" i="122"/>
  <c r="D133" i="122"/>
  <c r="J133" i="122"/>
  <c r="E133" i="122"/>
  <c r="F133" i="122"/>
  <c r="K133" i="122"/>
  <c r="G133" i="122"/>
  <c r="C133" i="122"/>
  <c r="I134" i="122"/>
  <c r="D134" i="122"/>
  <c r="J134" i="122"/>
  <c r="E134" i="122"/>
  <c r="F134" i="122"/>
  <c r="K134" i="122"/>
  <c r="G134" i="122"/>
  <c r="C134" i="122"/>
  <c r="I135" i="122"/>
  <c r="D135" i="122"/>
  <c r="J135" i="122"/>
  <c r="E135" i="122"/>
  <c r="F135" i="122"/>
  <c r="K135" i="122"/>
  <c r="G135" i="122"/>
  <c r="C135" i="122"/>
  <c r="I136" i="122"/>
  <c r="D136" i="122"/>
  <c r="J136" i="122"/>
  <c r="E136" i="122"/>
  <c r="F136" i="122"/>
  <c r="K136" i="122"/>
  <c r="G136" i="122"/>
  <c r="C136" i="122"/>
  <c r="I137" i="122"/>
  <c r="D137" i="122"/>
  <c r="J137" i="122"/>
  <c r="E137" i="122"/>
  <c r="F137" i="122"/>
  <c r="K137" i="122"/>
  <c r="G137" i="122"/>
  <c r="C137" i="122"/>
  <c r="I138" i="122"/>
  <c r="D138" i="122"/>
  <c r="J138" i="122"/>
  <c r="E138" i="122"/>
  <c r="F138" i="122"/>
  <c r="K138" i="122"/>
  <c r="G138" i="122"/>
  <c r="C138" i="122"/>
  <c r="I139" i="122"/>
  <c r="D139" i="122"/>
  <c r="J139" i="122"/>
  <c r="E139" i="122"/>
  <c r="F139" i="122"/>
  <c r="K139" i="122"/>
  <c r="G139" i="122"/>
  <c r="C139" i="122"/>
  <c r="I140" i="122"/>
  <c r="D140" i="122"/>
  <c r="J140" i="122"/>
  <c r="E140" i="122"/>
  <c r="F140" i="122"/>
  <c r="K140" i="122"/>
  <c r="G140" i="122"/>
  <c r="C140" i="122"/>
  <c r="I141" i="122"/>
  <c r="D141" i="122"/>
  <c r="J141" i="122"/>
  <c r="E141" i="122"/>
  <c r="F141" i="122"/>
  <c r="K141" i="122"/>
  <c r="G141" i="122"/>
  <c r="C141" i="122"/>
  <c r="I142" i="122"/>
  <c r="D142" i="122"/>
  <c r="J142" i="122"/>
  <c r="E142" i="122"/>
  <c r="F142" i="122"/>
  <c r="K142" i="122"/>
  <c r="G142" i="122"/>
  <c r="C142" i="122"/>
  <c r="I143" i="122"/>
  <c r="D143" i="122"/>
  <c r="J143" i="122"/>
  <c r="E143" i="122"/>
  <c r="F143" i="122"/>
  <c r="K143" i="122"/>
  <c r="G143" i="122"/>
  <c r="C143" i="122"/>
  <c r="I144" i="122"/>
  <c r="D144" i="122"/>
  <c r="J144" i="122"/>
  <c r="E144" i="122"/>
  <c r="F144" i="122"/>
  <c r="K144" i="122"/>
  <c r="G144" i="122"/>
  <c r="C144" i="122"/>
  <c r="I145" i="122"/>
  <c r="D145" i="122"/>
  <c r="J145" i="122"/>
  <c r="E145" i="122"/>
  <c r="F145" i="122"/>
  <c r="K145" i="122"/>
  <c r="G145" i="122"/>
  <c r="C145" i="122"/>
  <c r="I146" i="122"/>
  <c r="D146" i="122"/>
  <c r="J146" i="122"/>
  <c r="E146" i="122"/>
  <c r="F146" i="122"/>
  <c r="K146" i="122"/>
  <c r="G146" i="122"/>
  <c r="C146" i="122"/>
  <c r="I147" i="122"/>
  <c r="D147" i="122"/>
  <c r="J147" i="122"/>
  <c r="E147" i="122"/>
  <c r="F147" i="122"/>
  <c r="K147" i="122"/>
  <c r="G147" i="122"/>
  <c r="C147" i="122"/>
  <c r="I148" i="122"/>
  <c r="D148" i="122"/>
  <c r="J148" i="122"/>
  <c r="E148" i="122"/>
  <c r="F148" i="122"/>
  <c r="K148" i="122"/>
  <c r="G148" i="122"/>
  <c r="C148" i="122"/>
  <c r="I149" i="122"/>
  <c r="D149" i="122"/>
  <c r="J149" i="122"/>
  <c r="E149" i="122"/>
  <c r="F149" i="122"/>
  <c r="K149" i="122"/>
  <c r="G149" i="122"/>
  <c r="C149" i="122"/>
  <c r="I150" i="122"/>
  <c r="D150" i="122"/>
  <c r="J150" i="122"/>
  <c r="E150" i="122"/>
  <c r="F150" i="122"/>
  <c r="K150" i="122"/>
  <c r="G150" i="122"/>
  <c r="C150" i="122"/>
  <c r="I151" i="122"/>
  <c r="D151" i="122"/>
  <c r="J151" i="122"/>
  <c r="E151" i="122"/>
  <c r="F151" i="122"/>
  <c r="K151" i="122"/>
  <c r="G151" i="122"/>
  <c r="C151" i="122"/>
  <c r="I152" i="122"/>
  <c r="D152" i="122"/>
  <c r="J152" i="122"/>
  <c r="E152" i="122"/>
  <c r="F152" i="122"/>
  <c r="K152" i="122"/>
  <c r="G152" i="122"/>
  <c r="C152" i="122"/>
  <c r="I153" i="122"/>
  <c r="D153" i="122"/>
  <c r="J153" i="122"/>
  <c r="E153" i="122"/>
  <c r="F153" i="122"/>
  <c r="K153" i="122"/>
  <c r="G153" i="122"/>
  <c r="C153" i="122"/>
  <c r="I154" i="122"/>
  <c r="D154" i="122"/>
  <c r="J154" i="122"/>
  <c r="E154" i="122"/>
  <c r="F154" i="122"/>
  <c r="K154" i="122"/>
  <c r="G154" i="122"/>
  <c r="C154" i="122"/>
  <c r="I155" i="122"/>
  <c r="D155" i="122"/>
  <c r="J155" i="122"/>
  <c r="E155" i="122"/>
  <c r="F155" i="122"/>
  <c r="K155" i="122"/>
  <c r="G155" i="122"/>
  <c r="C155" i="122"/>
  <c r="I156" i="122"/>
  <c r="D156" i="122"/>
  <c r="J156" i="122"/>
  <c r="E156" i="122"/>
  <c r="F156" i="122"/>
  <c r="K156" i="122"/>
  <c r="G156" i="122"/>
  <c r="C156" i="122"/>
  <c r="I157" i="122"/>
  <c r="D157" i="122"/>
  <c r="J157" i="122"/>
  <c r="E157" i="122"/>
  <c r="F157" i="122"/>
  <c r="K157" i="122"/>
  <c r="G157" i="122"/>
  <c r="C157" i="122"/>
  <c r="I158" i="122"/>
  <c r="D158" i="122"/>
  <c r="J158" i="122"/>
  <c r="E158" i="122"/>
  <c r="F158" i="122"/>
  <c r="K158" i="122"/>
  <c r="G158" i="122"/>
  <c r="C158" i="122"/>
  <c r="I159" i="122"/>
  <c r="D159" i="122"/>
  <c r="J159" i="122"/>
  <c r="E159" i="122"/>
  <c r="F159" i="122"/>
  <c r="K159" i="122"/>
  <c r="G159" i="122"/>
  <c r="C159" i="122"/>
  <c r="I160" i="122"/>
  <c r="D160" i="122"/>
  <c r="J160" i="122"/>
  <c r="E160" i="122"/>
  <c r="F160" i="122"/>
  <c r="K160" i="122"/>
  <c r="G160" i="122"/>
  <c r="C160" i="122"/>
  <c r="I161" i="122"/>
  <c r="D161" i="122"/>
  <c r="J161" i="122"/>
  <c r="E161" i="122"/>
  <c r="F161" i="122"/>
  <c r="K161" i="122"/>
  <c r="G161" i="122"/>
  <c r="C161" i="122"/>
  <c r="I162" i="122"/>
  <c r="D162" i="122"/>
  <c r="J162" i="122"/>
  <c r="E162" i="122"/>
  <c r="F162" i="122"/>
  <c r="K162" i="122"/>
  <c r="G162" i="122"/>
  <c r="C162" i="122"/>
  <c r="I163" i="122"/>
  <c r="D163" i="122"/>
  <c r="J163" i="122"/>
  <c r="E163" i="122"/>
  <c r="F163" i="122"/>
  <c r="K163" i="122"/>
  <c r="G163" i="122"/>
  <c r="C163" i="122"/>
  <c r="I164" i="122"/>
  <c r="D164" i="122"/>
  <c r="J164" i="122"/>
  <c r="E164" i="122"/>
  <c r="F164" i="122"/>
  <c r="K164" i="122"/>
  <c r="G164" i="122"/>
  <c r="C164" i="122"/>
  <c r="I165" i="122"/>
  <c r="D165" i="122"/>
  <c r="J165" i="122"/>
  <c r="E165" i="122"/>
  <c r="F165" i="122"/>
  <c r="K165" i="122"/>
  <c r="G165" i="122"/>
  <c r="C165" i="122"/>
  <c r="I166" i="122"/>
  <c r="D166" i="122"/>
  <c r="J166" i="122"/>
  <c r="E166" i="122"/>
  <c r="F166" i="122"/>
  <c r="K166" i="122"/>
  <c r="G166" i="122"/>
  <c r="C166" i="122"/>
  <c r="I167" i="122"/>
  <c r="D167" i="122"/>
  <c r="J167" i="122"/>
  <c r="E167" i="122"/>
  <c r="F167" i="122"/>
  <c r="K167" i="122"/>
  <c r="G167" i="122"/>
  <c r="C167" i="122"/>
  <c r="I168" i="122"/>
  <c r="D168" i="122"/>
  <c r="J168" i="122"/>
  <c r="E168" i="122"/>
  <c r="F168" i="122"/>
  <c r="K168" i="122"/>
  <c r="G168" i="122"/>
  <c r="C168" i="122"/>
  <c r="I169" i="122"/>
  <c r="D169" i="122"/>
  <c r="J169" i="122"/>
  <c r="E169" i="122"/>
  <c r="F169" i="122"/>
  <c r="K169" i="122"/>
  <c r="G169" i="122"/>
  <c r="C169" i="122"/>
  <c r="I170" i="122"/>
  <c r="D170" i="122"/>
  <c r="J170" i="122"/>
  <c r="E170" i="122"/>
  <c r="F170" i="122"/>
  <c r="K170" i="122"/>
  <c r="G170" i="122"/>
  <c r="C170" i="122"/>
  <c r="I171" i="122"/>
  <c r="D171" i="122"/>
  <c r="J171" i="122"/>
  <c r="E171" i="122"/>
  <c r="F171" i="122"/>
  <c r="K171" i="122"/>
  <c r="G171" i="122"/>
  <c r="C171" i="122"/>
  <c r="I172" i="122"/>
  <c r="D172" i="122"/>
  <c r="J172" i="122"/>
  <c r="E172" i="122"/>
  <c r="F172" i="122"/>
  <c r="K172" i="122"/>
  <c r="G172" i="122"/>
  <c r="C172" i="122"/>
  <c r="I173" i="122"/>
  <c r="D173" i="122"/>
  <c r="J173" i="122"/>
  <c r="E173" i="122"/>
  <c r="F173" i="122"/>
  <c r="K173" i="122"/>
  <c r="G173" i="122"/>
  <c r="C173" i="122"/>
  <c r="I174" i="122"/>
  <c r="D174" i="122"/>
  <c r="J174" i="122"/>
  <c r="E174" i="122"/>
  <c r="F174" i="122"/>
  <c r="K174" i="122"/>
  <c r="G174" i="122"/>
  <c r="C174" i="122"/>
  <c r="I175" i="122"/>
  <c r="D175" i="122"/>
  <c r="J175" i="122"/>
  <c r="E175" i="122"/>
  <c r="F175" i="122"/>
  <c r="K175" i="122"/>
  <c r="G175" i="122"/>
  <c r="C175" i="122"/>
  <c r="I176" i="122"/>
  <c r="D176" i="122"/>
  <c r="J176" i="122"/>
  <c r="E176" i="122"/>
  <c r="F176" i="122"/>
  <c r="K176" i="122"/>
  <c r="G176" i="122"/>
  <c r="C176" i="122"/>
  <c r="I177" i="122"/>
  <c r="D177" i="122"/>
  <c r="J177" i="122"/>
  <c r="E177" i="122"/>
  <c r="F177" i="122"/>
  <c r="K177" i="122"/>
  <c r="G177" i="122"/>
  <c r="C177" i="122"/>
  <c r="I178" i="122"/>
  <c r="D178" i="122"/>
  <c r="J178" i="122"/>
  <c r="E178" i="122"/>
  <c r="F178" i="122"/>
  <c r="K178" i="122"/>
  <c r="G178" i="122"/>
  <c r="C178" i="122"/>
  <c r="I179" i="122"/>
  <c r="D179" i="122"/>
  <c r="J179" i="122"/>
  <c r="E179" i="122"/>
  <c r="F179" i="122"/>
  <c r="K179" i="122"/>
  <c r="G179" i="122"/>
  <c r="C179" i="122"/>
  <c r="I180" i="122"/>
  <c r="D180" i="122"/>
  <c r="J180" i="122"/>
  <c r="E180" i="122"/>
  <c r="F180" i="122"/>
  <c r="K180" i="122"/>
  <c r="G180" i="122"/>
  <c r="C180" i="122"/>
  <c r="I181" i="122"/>
  <c r="D181" i="122"/>
  <c r="J181" i="122"/>
  <c r="E181" i="122"/>
  <c r="F181" i="122"/>
  <c r="K181" i="122"/>
  <c r="G181" i="122"/>
  <c r="C181" i="122"/>
  <c r="I182" i="122"/>
  <c r="D182" i="122"/>
  <c r="J182" i="122"/>
  <c r="E182" i="122"/>
  <c r="F182" i="122"/>
  <c r="K182" i="122"/>
  <c r="G182" i="122"/>
  <c r="C182" i="122"/>
  <c r="I183" i="122"/>
  <c r="D183" i="122"/>
  <c r="J183" i="122"/>
  <c r="E183" i="122"/>
  <c r="F183" i="122"/>
  <c r="K183" i="122"/>
  <c r="G183" i="122"/>
  <c r="C183" i="122"/>
  <c r="I184" i="122"/>
  <c r="D184" i="122"/>
  <c r="J184" i="122"/>
  <c r="E184" i="122"/>
  <c r="F184" i="122"/>
  <c r="K184" i="122"/>
  <c r="G184" i="122"/>
  <c r="C184" i="122"/>
  <c r="I185" i="122"/>
  <c r="D185" i="122"/>
  <c r="J185" i="122"/>
  <c r="E185" i="122"/>
  <c r="F185" i="122"/>
  <c r="K185" i="122"/>
  <c r="G185" i="122"/>
  <c r="C185" i="122"/>
  <c r="I186" i="122"/>
  <c r="D186" i="122"/>
  <c r="J186" i="122"/>
  <c r="E186" i="122"/>
  <c r="F186" i="122"/>
  <c r="K186" i="122"/>
  <c r="G186" i="122"/>
  <c r="C186" i="122"/>
  <c r="I187" i="122"/>
  <c r="D187" i="122"/>
  <c r="J187" i="122"/>
  <c r="E187" i="122"/>
  <c r="F187" i="122"/>
  <c r="K187" i="122"/>
  <c r="G187" i="122"/>
  <c r="C187" i="122"/>
  <c r="I188" i="122"/>
  <c r="D188" i="122"/>
  <c r="J188" i="122"/>
  <c r="E188" i="122"/>
  <c r="F188" i="122"/>
  <c r="K188" i="122"/>
  <c r="G188" i="122"/>
  <c r="C188" i="122"/>
  <c r="I189" i="122"/>
  <c r="D189" i="122"/>
  <c r="J189" i="122"/>
  <c r="E189" i="122"/>
  <c r="F189" i="122"/>
  <c r="K189" i="122"/>
  <c r="G189" i="122"/>
  <c r="C189" i="122"/>
  <c r="I190" i="122"/>
  <c r="D190" i="122"/>
  <c r="J190" i="122"/>
  <c r="E190" i="122"/>
  <c r="F190" i="122"/>
  <c r="K190" i="122"/>
  <c r="G190" i="122"/>
  <c r="C190" i="122"/>
  <c r="I191" i="122"/>
  <c r="D191" i="122"/>
  <c r="J191" i="122"/>
  <c r="E191" i="122"/>
  <c r="F191" i="122"/>
  <c r="K191" i="122"/>
  <c r="G191" i="122"/>
  <c r="C191" i="122"/>
  <c r="I192" i="122"/>
  <c r="D192" i="122"/>
  <c r="J192" i="122"/>
  <c r="E192" i="122"/>
  <c r="F192" i="122"/>
  <c r="K192" i="122"/>
  <c r="G192" i="122"/>
  <c r="C192" i="122"/>
  <c r="I193" i="122"/>
  <c r="D193" i="122"/>
  <c r="J193" i="122"/>
  <c r="E193" i="122"/>
  <c r="F193" i="122"/>
  <c r="K193" i="122"/>
  <c r="G193" i="122"/>
  <c r="C193" i="122"/>
  <c r="I194" i="122"/>
  <c r="D194" i="122"/>
  <c r="J194" i="122"/>
  <c r="E194" i="122"/>
  <c r="F194" i="122"/>
  <c r="K194" i="122"/>
  <c r="G194" i="122"/>
  <c r="C194" i="122"/>
  <c r="I195" i="122"/>
  <c r="D195" i="122"/>
  <c r="J195" i="122"/>
  <c r="E195" i="122"/>
  <c r="F195" i="122"/>
  <c r="K195" i="122"/>
  <c r="G195" i="122"/>
  <c r="C195" i="122"/>
  <c r="I196" i="122"/>
  <c r="D196" i="122"/>
  <c r="J196" i="122"/>
  <c r="E196" i="122"/>
  <c r="F196" i="122"/>
  <c r="K196" i="122"/>
  <c r="G196" i="122"/>
  <c r="C196" i="122"/>
  <c r="I197" i="122"/>
  <c r="D197" i="122"/>
  <c r="J197" i="122"/>
  <c r="E197" i="122"/>
  <c r="F197" i="122"/>
  <c r="K197" i="122"/>
  <c r="G197" i="122"/>
  <c r="C197" i="122"/>
  <c r="I198" i="122"/>
  <c r="D198" i="122"/>
  <c r="J198" i="122"/>
  <c r="E198" i="122"/>
  <c r="F198" i="122"/>
  <c r="K198" i="122"/>
  <c r="G198" i="122"/>
  <c r="C198" i="122"/>
  <c r="I199" i="122"/>
  <c r="D199" i="122"/>
  <c r="J199" i="122"/>
  <c r="E199" i="122"/>
  <c r="F199" i="122"/>
  <c r="K199" i="122"/>
  <c r="G199" i="122"/>
  <c r="C199" i="122"/>
  <c r="I200" i="122"/>
  <c r="D200" i="122"/>
  <c r="J200" i="122"/>
  <c r="E200" i="122"/>
  <c r="F200" i="122"/>
  <c r="K200" i="122"/>
  <c r="G200" i="122"/>
  <c r="C200" i="122"/>
  <c r="I201" i="122"/>
  <c r="D201" i="122"/>
  <c r="J201" i="122"/>
  <c r="E201" i="122"/>
  <c r="F201" i="122"/>
  <c r="K201" i="122"/>
  <c r="G201" i="122"/>
  <c r="C201" i="122"/>
  <c r="I202" i="122"/>
  <c r="D202" i="122"/>
  <c r="J202" i="122"/>
  <c r="E202" i="122"/>
  <c r="F202" i="122"/>
  <c r="K202" i="122"/>
  <c r="G202" i="122"/>
  <c r="C202" i="122"/>
  <c r="I203" i="122"/>
  <c r="D203" i="122"/>
  <c r="J203" i="122"/>
  <c r="E203" i="122"/>
  <c r="F203" i="122"/>
  <c r="K203" i="122"/>
  <c r="G203" i="122"/>
  <c r="C203" i="122"/>
  <c r="I204" i="122"/>
  <c r="D204" i="122"/>
  <c r="J204" i="122"/>
  <c r="E204" i="122"/>
  <c r="F204" i="122"/>
  <c r="K204" i="122"/>
  <c r="G204" i="122"/>
  <c r="C204" i="122"/>
  <c r="I205" i="122"/>
  <c r="D205" i="122"/>
  <c r="J205" i="122"/>
  <c r="E205" i="122"/>
  <c r="F205" i="122"/>
  <c r="K205" i="122"/>
  <c r="G205" i="122"/>
  <c r="C205" i="122"/>
  <c r="I206" i="122"/>
  <c r="D206" i="122"/>
  <c r="J206" i="122"/>
  <c r="E206" i="122"/>
  <c r="F206" i="122"/>
  <c r="K206" i="122"/>
  <c r="G206" i="122"/>
  <c r="C206" i="122"/>
  <c r="I207" i="122"/>
  <c r="D207" i="122"/>
  <c r="J207" i="122"/>
  <c r="E207" i="122"/>
  <c r="F207" i="122"/>
  <c r="K207" i="122"/>
  <c r="G207" i="122"/>
  <c r="C207" i="122"/>
  <c r="I208" i="122"/>
  <c r="D208" i="122"/>
  <c r="J208" i="122"/>
  <c r="E208" i="122"/>
  <c r="F208" i="122"/>
  <c r="K208" i="122"/>
  <c r="G208" i="122"/>
  <c r="C208" i="122"/>
  <c r="I209" i="122"/>
  <c r="D209" i="122"/>
  <c r="J209" i="122"/>
  <c r="E209" i="122"/>
  <c r="F209" i="122"/>
  <c r="K209" i="122"/>
  <c r="G209" i="122"/>
  <c r="C209" i="122"/>
  <c r="I210" i="122"/>
  <c r="D210" i="122"/>
  <c r="J210" i="122"/>
  <c r="E210" i="122"/>
  <c r="F210" i="122"/>
  <c r="K210" i="122"/>
  <c r="G210" i="122"/>
  <c r="C210" i="122"/>
  <c r="I211" i="122"/>
  <c r="D211" i="122"/>
  <c r="J211" i="122"/>
  <c r="E211" i="122"/>
  <c r="F211" i="122"/>
  <c r="K211" i="122"/>
  <c r="G211" i="122"/>
  <c r="C211" i="122"/>
  <c r="I212" i="122"/>
  <c r="D212" i="122"/>
  <c r="J212" i="122"/>
  <c r="E212" i="122"/>
  <c r="F212" i="122"/>
  <c r="K212" i="122"/>
  <c r="G212" i="122"/>
  <c r="C212" i="122"/>
  <c r="I213" i="122"/>
  <c r="D213" i="122"/>
  <c r="J213" i="122"/>
  <c r="E213" i="122"/>
  <c r="F213" i="122"/>
  <c r="K213" i="122"/>
  <c r="G213" i="122"/>
  <c r="C213" i="122"/>
  <c r="I214" i="122"/>
  <c r="D214" i="122"/>
  <c r="J214" i="122"/>
  <c r="E214" i="122"/>
  <c r="F214" i="122"/>
  <c r="K214" i="122"/>
  <c r="G214" i="122"/>
  <c r="C214" i="122"/>
  <c r="I215" i="122"/>
  <c r="D215" i="122"/>
  <c r="J215" i="122"/>
  <c r="E215" i="122"/>
  <c r="F215" i="122"/>
  <c r="K215" i="122"/>
  <c r="G215" i="122"/>
  <c r="C215" i="122"/>
  <c r="I216" i="122"/>
  <c r="D216" i="122"/>
  <c r="J216" i="122"/>
  <c r="E216" i="122"/>
  <c r="F216" i="122"/>
  <c r="K216" i="122"/>
  <c r="G216" i="122"/>
  <c r="C216" i="122"/>
  <c r="I217" i="122"/>
  <c r="D217" i="122"/>
  <c r="J217" i="122"/>
  <c r="E217" i="122"/>
  <c r="F217" i="122"/>
  <c r="K217" i="122"/>
  <c r="G217" i="122"/>
  <c r="C217" i="122"/>
  <c r="I218" i="122"/>
  <c r="D218" i="122"/>
  <c r="J218" i="122"/>
  <c r="E218" i="122"/>
  <c r="F218" i="122"/>
  <c r="K218" i="122"/>
  <c r="G218" i="122"/>
  <c r="C218" i="122"/>
  <c r="I219" i="122"/>
  <c r="D219" i="122"/>
  <c r="J219" i="122"/>
  <c r="E219" i="122"/>
  <c r="F219" i="122"/>
  <c r="K219" i="122"/>
  <c r="G219" i="122"/>
  <c r="C219" i="122"/>
  <c r="I220" i="122"/>
  <c r="D220" i="122"/>
  <c r="J220" i="122"/>
  <c r="E220" i="122"/>
  <c r="F220" i="122"/>
  <c r="K220" i="122"/>
  <c r="G220" i="122"/>
  <c r="C220" i="122"/>
  <c r="I221" i="122"/>
  <c r="D221" i="122"/>
  <c r="J221" i="122"/>
  <c r="E221" i="122"/>
  <c r="F221" i="122"/>
  <c r="K221" i="122"/>
  <c r="G221" i="122"/>
  <c r="C221" i="122"/>
  <c r="I222" i="122"/>
  <c r="D222" i="122"/>
  <c r="J222" i="122"/>
  <c r="E222" i="122"/>
  <c r="F222" i="122"/>
  <c r="K222" i="122"/>
  <c r="G222" i="122"/>
  <c r="C222" i="122"/>
  <c r="I223" i="122"/>
  <c r="D223" i="122"/>
  <c r="J223" i="122"/>
  <c r="E223" i="122"/>
  <c r="F223" i="122"/>
  <c r="K223" i="122"/>
  <c r="G223" i="122"/>
  <c r="C223" i="122"/>
  <c r="I224" i="122"/>
  <c r="D224" i="122"/>
  <c r="J224" i="122"/>
  <c r="E224" i="122"/>
  <c r="F224" i="122"/>
  <c r="K224" i="122"/>
  <c r="G224" i="122"/>
  <c r="C224" i="122"/>
  <c r="I225" i="122"/>
  <c r="D225" i="122"/>
  <c r="J225" i="122"/>
  <c r="E225" i="122"/>
  <c r="F225" i="122"/>
  <c r="K225" i="122"/>
  <c r="G225" i="122"/>
  <c r="C225" i="122"/>
  <c r="I226" i="122"/>
  <c r="D226" i="122"/>
  <c r="J226" i="122"/>
  <c r="E226" i="122"/>
  <c r="F226" i="122"/>
  <c r="K226" i="122"/>
  <c r="G226" i="122"/>
  <c r="C226" i="122"/>
  <c r="I227" i="122"/>
  <c r="D227" i="122"/>
  <c r="J227" i="122"/>
  <c r="E227" i="122"/>
  <c r="F227" i="122"/>
  <c r="K227" i="122"/>
  <c r="G227" i="122"/>
  <c r="C227" i="122"/>
  <c r="I228" i="122"/>
  <c r="D228" i="122"/>
  <c r="J228" i="122"/>
  <c r="E228" i="122"/>
  <c r="F228" i="122"/>
  <c r="K228" i="122"/>
  <c r="G228" i="122"/>
  <c r="C228" i="122"/>
  <c r="I229" i="122"/>
  <c r="D229" i="122"/>
  <c r="J229" i="122"/>
  <c r="E229" i="122"/>
  <c r="F229" i="122"/>
  <c r="K229" i="122"/>
  <c r="G229" i="122"/>
  <c r="C229" i="122"/>
  <c r="I230" i="122"/>
  <c r="D230" i="122"/>
  <c r="J230" i="122"/>
  <c r="E230" i="122"/>
  <c r="F230" i="122"/>
  <c r="K230" i="122"/>
  <c r="G230" i="122"/>
  <c r="C230" i="122"/>
  <c r="I231" i="122"/>
  <c r="D231" i="122"/>
  <c r="J231" i="122"/>
  <c r="E231" i="122"/>
  <c r="F231" i="122"/>
  <c r="K231" i="122"/>
  <c r="G231" i="122"/>
  <c r="C231" i="122"/>
  <c r="I232" i="122"/>
  <c r="D232" i="122"/>
  <c r="J232" i="122"/>
  <c r="E232" i="122"/>
  <c r="F232" i="122"/>
  <c r="K232" i="122"/>
  <c r="G232" i="122"/>
  <c r="C232" i="122"/>
  <c r="I233" i="122"/>
  <c r="D233" i="122"/>
  <c r="J233" i="122"/>
  <c r="E233" i="122"/>
  <c r="F233" i="122"/>
  <c r="K233" i="122"/>
  <c r="G233" i="122"/>
  <c r="C233" i="122"/>
  <c r="I234" i="122"/>
  <c r="D234" i="122"/>
  <c r="J234" i="122"/>
  <c r="E234" i="122"/>
  <c r="F234" i="122"/>
  <c r="K234" i="122"/>
  <c r="G234" i="122"/>
  <c r="C234" i="122"/>
  <c r="I235" i="122"/>
  <c r="D235" i="122"/>
  <c r="J235" i="122"/>
  <c r="E235" i="122"/>
  <c r="F235" i="122"/>
  <c r="K235" i="122"/>
  <c r="G235" i="122"/>
  <c r="C235" i="122"/>
  <c r="I236" i="122"/>
  <c r="D236" i="122"/>
  <c r="J236" i="122"/>
  <c r="E236" i="122"/>
  <c r="F236" i="122"/>
  <c r="K236" i="122"/>
  <c r="G236" i="122"/>
  <c r="C236" i="122"/>
  <c r="I237" i="122"/>
  <c r="D237" i="122"/>
  <c r="J237" i="122"/>
  <c r="E237" i="122"/>
  <c r="F237" i="122"/>
  <c r="K237" i="122"/>
  <c r="G237" i="122"/>
  <c r="C237" i="122"/>
  <c r="I238" i="122"/>
  <c r="D238" i="122"/>
  <c r="J238" i="122"/>
  <c r="E238" i="122"/>
  <c r="F238" i="122"/>
  <c r="K238" i="122"/>
  <c r="G238" i="122"/>
  <c r="C238" i="122"/>
  <c r="I239" i="122"/>
  <c r="D239" i="122"/>
  <c r="J239" i="122"/>
  <c r="E239" i="122"/>
  <c r="F239" i="122"/>
  <c r="K239" i="122"/>
  <c r="G239" i="122"/>
  <c r="C239" i="122"/>
  <c r="I240" i="122"/>
  <c r="D240" i="122"/>
  <c r="J240" i="122"/>
  <c r="E240" i="122"/>
  <c r="F240" i="122"/>
  <c r="K240" i="122"/>
  <c r="G240" i="122"/>
  <c r="C240" i="122"/>
  <c r="I241" i="122"/>
  <c r="D241" i="122"/>
  <c r="J241" i="122"/>
  <c r="E241" i="122"/>
  <c r="F241" i="122"/>
  <c r="K241" i="122"/>
  <c r="G241" i="122"/>
  <c r="C241" i="122"/>
  <c r="I242" i="122"/>
  <c r="D242" i="122"/>
  <c r="J242" i="122"/>
  <c r="E242" i="122"/>
  <c r="F242" i="122"/>
  <c r="K242" i="122"/>
  <c r="G242" i="122"/>
  <c r="C242" i="122"/>
  <c r="I243" i="122"/>
  <c r="D243" i="122"/>
  <c r="J243" i="122"/>
  <c r="E243" i="122"/>
  <c r="F243" i="122"/>
  <c r="K243" i="122"/>
  <c r="G243" i="122"/>
  <c r="C243" i="122"/>
  <c r="I244" i="122"/>
  <c r="D244" i="122"/>
  <c r="J244" i="122"/>
  <c r="E244" i="122"/>
  <c r="F244" i="122"/>
  <c r="K244" i="122"/>
  <c r="G244" i="122"/>
  <c r="C244" i="122"/>
  <c r="I245" i="122"/>
  <c r="D245" i="122"/>
  <c r="J245" i="122"/>
  <c r="E245" i="122"/>
  <c r="F245" i="122"/>
  <c r="K245" i="122"/>
  <c r="G245" i="122"/>
  <c r="C245" i="122"/>
  <c r="I246" i="122"/>
  <c r="D246" i="122"/>
  <c r="J246" i="122"/>
  <c r="E246" i="122"/>
  <c r="F246" i="122"/>
  <c r="K246" i="122"/>
  <c r="G246" i="122"/>
  <c r="C246" i="122"/>
  <c r="I247" i="122"/>
  <c r="D247" i="122"/>
  <c r="J247" i="122"/>
  <c r="E247" i="122"/>
  <c r="F247" i="122"/>
  <c r="K247" i="122"/>
  <c r="G247" i="122"/>
  <c r="C247" i="122"/>
  <c r="I248" i="122"/>
  <c r="D248" i="122"/>
  <c r="J248" i="122"/>
  <c r="E248" i="122"/>
  <c r="F248" i="122"/>
  <c r="K248" i="122"/>
  <c r="G248" i="122"/>
  <c r="C248" i="122"/>
  <c r="I249" i="122"/>
  <c r="D249" i="122"/>
  <c r="J249" i="122"/>
  <c r="E249" i="122"/>
  <c r="F249" i="122"/>
  <c r="K249" i="122"/>
  <c r="G249" i="122"/>
  <c r="C249" i="122"/>
  <c r="I250" i="122"/>
  <c r="D250" i="122"/>
  <c r="J250" i="122"/>
  <c r="E250" i="122"/>
  <c r="F250" i="122"/>
  <c r="K250" i="122"/>
  <c r="G250" i="122"/>
  <c r="C250" i="122"/>
  <c r="I251" i="122"/>
  <c r="D251" i="122"/>
  <c r="J251" i="122"/>
  <c r="E251" i="122"/>
  <c r="F251" i="122"/>
  <c r="K251" i="122"/>
  <c r="G251" i="122"/>
  <c r="C251" i="122"/>
  <c r="I252" i="122"/>
  <c r="D252" i="122"/>
  <c r="J252" i="122"/>
  <c r="E252" i="122"/>
  <c r="F252" i="122"/>
  <c r="K252" i="122"/>
  <c r="G252" i="122"/>
  <c r="C252" i="122"/>
  <c r="I253" i="122"/>
  <c r="D253" i="122"/>
  <c r="J253" i="122"/>
  <c r="E253" i="122"/>
  <c r="F253" i="122"/>
  <c r="K253" i="122"/>
  <c r="G253" i="122"/>
  <c r="C253" i="122"/>
  <c r="I254" i="122"/>
  <c r="D254" i="122"/>
  <c r="J254" i="122"/>
  <c r="E254" i="122"/>
  <c r="F254" i="122"/>
  <c r="K254" i="122"/>
  <c r="G254" i="122"/>
  <c r="C254" i="122"/>
  <c r="I255" i="122"/>
  <c r="D255" i="122"/>
  <c r="J255" i="122"/>
  <c r="E255" i="122"/>
  <c r="F255" i="122"/>
  <c r="K255" i="122"/>
  <c r="G255" i="122"/>
  <c r="C255" i="122"/>
  <c r="I256" i="122"/>
  <c r="D256" i="122"/>
  <c r="J256" i="122"/>
  <c r="E256" i="122"/>
  <c r="F256" i="122"/>
  <c r="K256" i="122"/>
  <c r="G256" i="122"/>
  <c r="C256" i="122"/>
  <c r="I257" i="122"/>
  <c r="D257" i="122"/>
  <c r="J257" i="122"/>
  <c r="E257" i="122"/>
  <c r="F257" i="122"/>
  <c r="K257" i="122"/>
  <c r="G257" i="122"/>
  <c r="C257" i="122"/>
  <c r="I258" i="122"/>
  <c r="D258" i="122"/>
  <c r="J258" i="122"/>
  <c r="E258" i="122"/>
  <c r="F258" i="122"/>
  <c r="K258" i="122"/>
  <c r="G258" i="122"/>
  <c r="C258" i="122"/>
  <c r="I259" i="122"/>
  <c r="D259" i="122"/>
  <c r="J259" i="122"/>
  <c r="E259" i="122"/>
  <c r="F259" i="122"/>
  <c r="K259" i="122"/>
  <c r="G259" i="122"/>
  <c r="C259" i="122"/>
  <c r="I260" i="122"/>
  <c r="D260" i="122"/>
  <c r="J260" i="122"/>
  <c r="E260" i="122"/>
  <c r="F260" i="122"/>
  <c r="K260" i="122"/>
  <c r="G260" i="122"/>
  <c r="C260" i="122"/>
  <c r="I261" i="122"/>
  <c r="D261" i="122"/>
  <c r="J261" i="122"/>
  <c r="E261" i="122"/>
  <c r="F261" i="122"/>
  <c r="K261" i="122"/>
  <c r="G261" i="122"/>
  <c r="C261" i="122"/>
  <c r="I262" i="122"/>
  <c r="D262" i="122"/>
  <c r="J262" i="122"/>
  <c r="E262" i="122"/>
  <c r="F262" i="122"/>
  <c r="K262" i="122"/>
  <c r="G262" i="122"/>
  <c r="C262" i="122"/>
  <c r="I263" i="122"/>
  <c r="D263" i="122"/>
  <c r="J263" i="122"/>
  <c r="E263" i="122"/>
  <c r="F263" i="122"/>
  <c r="K263" i="122"/>
  <c r="G263" i="122"/>
  <c r="C263" i="122"/>
  <c r="I264" i="122"/>
  <c r="D264" i="122"/>
  <c r="J264" i="122"/>
  <c r="E264" i="122"/>
  <c r="F264" i="122"/>
  <c r="K264" i="122"/>
  <c r="G264" i="122"/>
  <c r="C264" i="122"/>
  <c r="I265" i="122"/>
  <c r="D265" i="122"/>
  <c r="J265" i="122"/>
  <c r="E265" i="122"/>
  <c r="F265" i="122"/>
  <c r="K265" i="122"/>
  <c r="G265" i="122"/>
  <c r="C265" i="122"/>
  <c r="I266" i="122"/>
  <c r="D266" i="122"/>
  <c r="J266" i="122"/>
  <c r="E266" i="122"/>
  <c r="F266" i="122"/>
  <c r="K266" i="122"/>
  <c r="G266" i="122"/>
  <c r="C266" i="122"/>
  <c r="I267" i="122"/>
  <c r="D267" i="122"/>
  <c r="J267" i="122"/>
  <c r="E267" i="122"/>
  <c r="F267" i="122"/>
  <c r="K267" i="122"/>
  <c r="G267" i="122"/>
  <c r="C267" i="122"/>
  <c r="I268" i="122"/>
  <c r="D268" i="122"/>
  <c r="J268" i="122"/>
  <c r="E268" i="122"/>
  <c r="F268" i="122"/>
  <c r="K268" i="122"/>
  <c r="G268" i="122"/>
  <c r="C268" i="122"/>
  <c r="I269" i="122"/>
  <c r="D269" i="122"/>
  <c r="J269" i="122"/>
  <c r="E269" i="122"/>
  <c r="F269" i="122"/>
  <c r="K269" i="122"/>
  <c r="G269" i="122"/>
  <c r="C269" i="122"/>
  <c r="I270" i="122"/>
  <c r="D270" i="122"/>
  <c r="J270" i="122"/>
  <c r="E270" i="122"/>
  <c r="F270" i="122"/>
  <c r="K270" i="122"/>
  <c r="G270" i="122"/>
  <c r="C270" i="122"/>
  <c r="I271" i="122"/>
  <c r="D271" i="122"/>
  <c r="J271" i="122"/>
  <c r="E271" i="122"/>
  <c r="F271" i="122"/>
  <c r="K271" i="122"/>
  <c r="G271" i="122"/>
  <c r="C271" i="122"/>
  <c r="E44" i="121"/>
  <c r="H44" i="121"/>
  <c r="O272" i="122"/>
  <c r="B5" i="121"/>
  <c r="B10" i="121"/>
  <c r="F8" i="121"/>
  <c r="E31" i="121"/>
  <c r="E34" i="121"/>
  <c r="E36" i="121"/>
  <c r="E8" i="121"/>
  <c r="G8" i="121"/>
  <c r="F6" i="121"/>
  <c r="E39" i="121"/>
  <c r="E41" i="121"/>
  <c r="E42" i="121"/>
  <c r="E6" i="121"/>
  <c r="G6" i="121"/>
  <c r="C30" i="121"/>
  <c r="D30" i="121"/>
  <c r="G30" i="121"/>
  <c r="E30" i="121"/>
  <c r="H30" i="121"/>
  <c r="O2" i="122"/>
  <c r="C31" i="121"/>
  <c r="D31" i="121"/>
  <c r="G31" i="121"/>
  <c r="H31" i="121"/>
  <c r="O3" i="122"/>
  <c r="F7" i="121"/>
  <c r="E18" i="121"/>
  <c r="E21" i="121"/>
  <c r="E23" i="121"/>
  <c r="E7" i="121"/>
  <c r="G7" i="121"/>
  <c r="F5" i="121"/>
  <c r="E26" i="121"/>
  <c r="E28" i="121"/>
  <c r="E29" i="121"/>
  <c r="E5" i="121"/>
  <c r="G5" i="121"/>
  <c r="C17" i="121"/>
  <c r="D17" i="121"/>
  <c r="G17" i="121"/>
  <c r="E17" i="121"/>
  <c r="H17" i="121"/>
  <c r="O4" i="122"/>
  <c r="C18" i="121"/>
  <c r="D18" i="121"/>
  <c r="G18" i="121"/>
  <c r="H18" i="121"/>
  <c r="O5" i="122"/>
  <c r="O6" i="122"/>
  <c r="O7" i="122"/>
  <c r="O8" i="122"/>
  <c r="O9" i="122"/>
  <c r="O10" i="122"/>
  <c r="O11" i="122"/>
  <c r="O12" i="122"/>
  <c r="O13" i="122"/>
  <c r="O14" i="122"/>
  <c r="O15" i="122"/>
  <c r="O16" i="122"/>
  <c r="O17" i="122"/>
  <c r="O18" i="122"/>
  <c r="O19" i="122"/>
  <c r="O20" i="122"/>
  <c r="O21" i="122"/>
  <c r="O22" i="122"/>
  <c r="O23" i="122"/>
  <c r="O24" i="122"/>
  <c r="O25" i="122"/>
  <c r="O26" i="122"/>
  <c r="O27" i="122"/>
  <c r="O28" i="122"/>
  <c r="O29" i="122"/>
  <c r="O30" i="122"/>
  <c r="O31" i="122"/>
  <c r="O32" i="122"/>
  <c r="O33" i="122"/>
  <c r="O34" i="122"/>
  <c r="O35" i="122"/>
  <c r="O36" i="122"/>
  <c r="O37" i="122"/>
  <c r="O38" i="122"/>
  <c r="O39" i="122"/>
  <c r="O40" i="122"/>
  <c r="O41" i="122"/>
  <c r="C37" i="121"/>
  <c r="D37" i="121"/>
  <c r="G37" i="121"/>
  <c r="E37" i="121"/>
  <c r="H37" i="121"/>
  <c r="O42" i="122"/>
  <c r="C38" i="121"/>
  <c r="D38" i="121"/>
  <c r="G38" i="121"/>
  <c r="E38" i="121"/>
  <c r="H38" i="121"/>
  <c r="O43" i="122"/>
  <c r="C39" i="121"/>
  <c r="D39" i="121"/>
  <c r="G39" i="121"/>
  <c r="H39" i="121"/>
  <c r="O44" i="122"/>
  <c r="C24" i="121"/>
  <c r="D24" i="121"/>
  <c r="G24" i="121"/>
  <c r="E24" i="121"/>
  <c r="H24" i="121"/>
  <c r="O45" i="122"/>
  <c r="C25" i="121"/>
  <c r="D25" i="121"/>
  <c r="G25" i="121"/>
  <c r="E25" i="121"/>
  <c r="H25" i="121"/>
  <c r="O46" i="122"/>
  <c r="C26" i="121"/>
  <c r="D26" i="121"/>
  <c r="G26" i="121"/>
  <c r="H26" i="121"/>
  <c r="O47" i="122"/>
  <c r="O48" i="122"/>
  <c r="O49" i="122"/>
  <c r="O50" i="122"/>
  <c r="C19" i="121"/>
  <c r="D19" i="121"/>
  <c r="G19" i="121"/>
  <c r="E19" i="121"/>
  <c r="H19" i="121"/>
  <c r="O51" i="122"/>
  <c r="C20" i="121"/>
  <c r="D20" i="121"/>
  <c r="G20" i="121"/>
  <c r="E20" i="121"/>
  <c r="H20" i="121"/>
  <c r="O52" i="122"/>
  <c r="C21" i="121"/>
  <c r="D21" i="121"/>
  <c r="G21" i="121"/>
  <c r="H21" i="121"/>
  <c r="O53" i="122"/>
  <c r="C32" i="121"/>
  <c r="D32" i="121"/>
  <c r="G32" i="121"/>
  <c r="E32" i="121"/>
  <c r="H32" i="121"/>
  <c r="O54" i="122"/>
  <c r="C33" i="121"/>
  <c r="D33" i="121"/>
  <c r="G33" i="121"/>
  <c r="E33" i="121"/>
  <c r="H33" i="121"/>
  <c r="O55" i="122"/>
  <c r="C34" i="121"/>
  <c r="D34" i="121"/>
  <c r="G34" i="121"/>
  <c r="H34" i="121"/>
  <c r="O56" i="122"/>
  <c r="O57" i="122"/>
  <c r="O58" i="122"/>
  <c r="O59" i="122"/>
  <c r="O60" i="122"/>
  <c r="O61" i="122"/>
  <c r="O62" i="122"/>
  <c r="O63" i="122"/>
  <c r="O64" i="122"/>
  <c r="O65" i="122"/>
  <c r="O66" i="122"/>
  <c r="O67" i="122"/>
  <c r="O68" i="122"/>
  <c r="O69" i="122"/>
  <c r="O70" i="122"/>
  <c r="O71" i="122"/>
  <c r="O72" i="122"/>
  <c r="O73" i="122"/>
  <c r="O74" i="122"/>
  <c r="O75" i="122"/>
  <c r="O76" i="122"/>
  <c r="O77" i="122"/>
  <c r="O78" i="122"/>
  <c r="O79" i="122"/>
  <c r="O80" i="122"/>
  <c r="O81" i="122"/>
  <c r="O82" i="122"/>
  <c r="O83" i="122"/>
  <c r="O84" i="122"/>
  <c r="O85" i="122"/>
  <c r="O86" i="122"/>
  <c r="O87" i="122"/>
  <c r="O88" i="122"/>
  <c r="O89" i="122"/>
  <c r="O90" i="122"/>
  <c r="O91" i="122"/>
  <c r="O92" i="122"/>
  <c r="O93" i="122"/>
  <c r="O94" i="122"/>
  <c r="O95" i="122"/>
  <c r="O96" i="122"/>
  <c r="O97" i="122"/>
  <c r="O98" i="122"/>
  <c r="O99" i="122"/>
  <c r="O100" i="122"/>
  <c r="O101" i="122"/>
  <c r="O102" i="122"/>
  <c r="O103" i="122"/>
  <c r="O104" i="122"/>
  <c r="O105" i="122"/>
  <c r="O106" i="122"/>
  <c r="O107" i="122"/>
  <c r="O108" i="122"/>
  <c r="O109" i="122"/>
  <c r="O110" i="122"/>
  <c r="O111" i="122"/>
  <c r="O112" i="122"/>
  <c r="O113" i="122"/>
  <c r="O114" i="122"/>
  <c r="O115" i="122"/>
  <c r="O116" i="122"/>
  <c r="O117" i="122"/>
  <c r="O118" i="122"/>
  <c r="O119" i="122"/>
  <c r="O120" i="122"/>
  <c r="O121" i="122"/>
  <c r="O122" i="122"/>
  <c r="O123" i="122"/>
  <c r="O124" i="122"/>
  <c r="O125" i="122"/>
  <c r="O126" i="122"/>
  <c r="O127" i="122"/>
  <c r="O128" i="122"/>
  <c r="O129" i="122"/>
  <c r="O130" i="122"/>
  <c r="O131" i="122"/>
  <c r="O132" i="122"/>
  <c r="O133" i="122"/>
  <c r="O134" i="122"/>
  <c r="O135" i="122"/>
  <c r="O136" i="122"/>
  <c r="O137" i="122"/>
  <c r="C40" i="121"/>
  <c r="D40" i="121"/>
  <c r="G40" i="121"/>
  <c r="E40" i="121"/>
  <c r="H40" i="121"/>
  <c r="O138" i="122"/>
  <c r="C41" i="121"/>
  <c r="D41" i="121"/>
  <c r="G41" i="121"/>
  <c r="H41" i="121"/>
  <c r="O139" i="122"/>
  <c r="E27" i="121"/>
  <c r="C27" i="121"/>
  <c r="D27" i="121"/>
  <c r="G27" i="121"/>
  <c r="H27" i="121"/>
  <c r="O140" i="122"/>
  <c r="C28" i="121"/>
  <c r="D28" i="121"/>
  <c r="G28" i="121"/>
  <c r="H28" i="121"/>
  <c r="O141" i="122"/>
  <c r="O142" i="122"/>
  <c r="O143" i="122"/>
  <c r="O144" i="122"/>
  <c r="O145" i="122"/>
  <c r="O146" i="122"/>
  <c r="O147" i="122"/>
  <c r="O148" i="122"/>
  <c r="O149" i="122"/>
  <c r="O150" i="122"/>
  <c r="O151" i="122"/>
  <c r="O152" i="122"/>
  <c r="O153" i="122"/>
  <c r="O154" i="122"/>
  <c r="O155" i="122"/>
  <c r="O156" i="122"/>
  <c r="O157" i="122"/>
  <c r="O158" i="122"/>
  <c r="O159" i="122"/>
  <c r="O160" i="122"/>
  <c r="O161" i="122"/>
  <c r="O162" i="122"/>
  <c r="O163" i="122"/>
  <c r="O164" i="122"/>
  <c r="O165" i="122"/>
  <c r="O166" i="122"/>
  <c r="O167" i="122"/>
  <c r="O168" i="122"/>
  <c r="O169" i="122"/>
  <c r="O170" i="122"/>
  <c r="O171" i="122"/>
  <c r="O172" i="122"/>
  <c r="O173" i="122"/>
  <c r="O174" i="122"/>
  <c r="O175" i="122"/>
  <c r="O176" i="122"/>
  <c r="O177" i="122"/>
  <c r="O178" i="122"/>
  <c r="O179" i="122"/>
  <c r="O180" i="122"/>
  <c r="O181" i="122"/>
  <c r="O182" i="122"/>
  <c r="O183" i="122"/>
  <c r="O184" i="122"/>
  <c r="O185" i="122"/>
  <c r="O186" i="122"/>
  <c r="O187" i="122"/>
  <c r="O188" i="122"/>
  <c r="O189" i="122"/>
  <c r="O190" i="122"/>
  <c r="O191" i="122"/>
  <c r="O192" i="122"/>
  <c r="O193" i="122"/>
  <c r="O194" i="122"/>
  <c r="O195" i="122"/>
  <c r="O196" i="122"/>
  <c r="O197" i="122"/>
  <c r="O198" i="122"/>
  <c r="O199" i="122"/>
  <c r="O200" i="122"/>
  <c r="O201" i="122"/>
  <c r="O202" i="122"/>
  <c r="O203" i="122"/>
  <c r="O204" i="122"/>
  <c r="O205" i="122"/>
  <c r="O206" i="122"/>
  <c r="O207" i="122"/>
  <c r="O208" i="122"/>
  <c r="O209" i="122"/>
  <c r="O210" i="122"/>
  <c r="O211" i="122"/>
  <c r="O212" i="122"/>
  <c r="O213" i="122"/>
  <c r="O214" i="122"/>
  <c r="O215" i="122"/>
  <c r="O216" i="122"/>
  <c r="O217" i="122"/>
  <c r="O218" i="122"/>
  <c r="O219" i="122"/>
  <c r="O220" i="122"/>
  <c r="O221" i="122"/>
  <c r="O222" i="122"/>
  <c r="O223" i="122"/>
  <c r="O224" i="122"/>
  <c r="O225" i="122"/>
  <c r="O226" i="122"/>
  <c r="O227" i="122"/>
  <c r="O228" i="122"/>
  <c r="O229" i="122"/>
  <c r="O230" i="122"/>
  <c r="O231" i="122"/>
  <c r="O232" i="122"/>
  <c r="O233" i="122"/>
  <c r="O234" i="122"/>
  <c r="O235" i="122"/>
  <c r="O236" i="122"/>
  <c r="O237" i="122"/>
  <c r="O238" i="122"/>
  <c r="O239" i="122"/>
  <c r="O240" i="122"/>
  <c r="O241" i="122"/>
  <c r="O242" i="122"/>
  <c r="O243" i="122"/>
  <c r="O244" i="122"/>
  <c r="O245" i="122"/>
  <c r="O246" i="122"/>
  <c r="O247" i="122"/>
  <c r="O248" i="122"/>
  <c r="O249" i="122"/>
  <c r="O250" i="122"/>
  <c r="O251" i="122"/>
  <c r="O252" i="122"/>
  <c r="O253" i="122"/>
  <c r="O254" i="122"/>
  <c r="O255" i="122"/>
  <c r="O256" i="122"/>
  <c r="O257" i="122"/>
  <c r="O258" i="122"/>
  <c r="O259" i="122"/>
  <c r="O260" i="122"/>
  <c r="O261" i="122"/>
  <c r="O262" i="122"/>
  <c r="O263" i="122"/>
  <c r="O264" i="122"/>
  <c r="O265" i="122"/>
  <c r="E35" i="121"/>
  <c r="B42" i="121"/>
  <c r="C35" i="121"/>
  <c r="D35" i="121"/>
  <c r="G35" i="121"/>
  <c r="H35" i="121"/>
  <c r="O266" i="122"/>
  <c r="C36" i="121"/>
  <c r="D36" i="121"/>
  <c r="G36" i="121"/>
  <c r="H36" i="121"/>
  <c r="O267" i="122"/>
  <c r="C22" i="121"/>
  <c r="D22" i="121"/>
  <c r="G22" i="121"/>
  <c r="E22" i="121"/>
  <c r="H22" i="121"/>
  <c r="O268" i="122"/>
  <c r="C23" i="121"/>
  <c r="D23" i="121"/>
  <c r="G23" i="121"/>
  <c r="H23" i="121"/>
  <c r="O269" i="122"/>
  <c r="C29" i="121"/>
  <c r="D29" i="121"/>
  <c r="G29" i="121"/>
  <c r="H29" i="121"/>
  <c r="O270" i="122"/>
  <c r="O271" i="122"/>
  <c r="P272" i="122"/>
  <c r="N272" i="122"/>
  <c r="M272" i="122"/>
  <c r="L272" i="122"/>
  <c r="K272" i="122"/>
  <c r="H272" i="122"/>
  <c r="A272" i="122"/>
  <c r="P271" i="122"/>
  <c r="N271" i="122"/>
  <c r="M271" i="122"/>
  <c r="L271" i="122"/>
  <c r="H271" i="122"/>
  <c r="A271" i="122"/>
  <c r="P270" i="122"/>
  <c r="N270" i="122"/>
  <c r="M270" i="122"/>
  <c r="L270" i="122"/>
  <c r="H270" i="122"/>
  <c r="A270" i="122"/>
  <c r="P269" i="122"/>
  <c r="N269" i="122"/>
  <c r="M269" i="122"/>
  <c r="L269" i="122"/>
  <c r="H269" i="122"/>
  <c r="A269" i="122"/>
  <c r="P268" i="122"/>
  <c r="N268" i="122"/>
  <c r="M268" i="122"/>
  <c r="L268" i="122"/>
  <c r="H268" i="122"/>
  <c r="A268" i="122"/>
  <c r="P267" i="122"/>
  <c r="N267" i="122"/>
  <c r="M267" i="122"/>
  <c r="L267" i="122"/>
  <c r="H267" i="122"/>
  <c r="A267" i="122"/>
  <c r="P266" i="122"/>
  <c r="N266" i="122"/>
  <c r="M266" i="122"/>
  <c r="L266" i="122"/>
  <c r="H266" i="122"/>
  <c r="A266" i="122"/>
  <c r="P265" i="122"/>
  <c r="N265" i="122"/>
  <c r="M265" i="122"/>
  <c r="L265" i="122"/>
  <c r="H265" i="122"/>
  <c r="A265" i="122"/>
  <c r="P264" i="122"/>
  <c r="N264" i="122"/>
  <c r="M264" i="122"/>
  <c r="L264" i="122"/>
  <c r="H264" i="122"/>
  <c r="A264" i="122"/>
  <c r="P263" i="122"/>
  <c r="N263" i="122"/>
  <c r="M263" i="122"/>
  <c r="L263" i="122"/>
  <c r="H263" i="122"/>
  <c r="A263" i="122"/>
  <c r="P262" i="122"/>
  <c r="N262" i="122"/>
  <c r="M262" i="122"/>
  <c r="L262" i="122"/>
  <c r="H262" i="122"/>
  <c r="A262" i="122"/>
  <c r="P261" i="122"/>
  <c r="N261" i="122"/>
  <c r="M261" i="122"/>
  <c r="L261" i="122"/>
  <c r="H261" i="122"/>
  <c r="A261" i="122"/>
  <c r="P260" i="122"/>
  <c r="N260" i="122"/>
  <c r="M260" i="122"/>
  <c r="L260" i="122"/>
  <c r="H260" i="122"/>
  <c r="A260" i="122"/>
  <c r="P259" i="122"/>
  <c r="N259" i="122"/>
  <c r="M259" i="122"/>
  <c r="L259" i="122"/>
  <c r="H259" i="122"/>
  <c r="A259" i="122"/>
  <c r="P258" i="122"/>
  <c r="N258" i="122"/>
  <c r="M258" i="122"/>
  <c r="L258" i="122"/>
  <c r="H258" i="122"/>
  <c r="A258" i="122"/>
  <c r="P257" i="122"/>
  <c r="N257" i="122"/>
  <c r="M257" i="122"/>
  <c r="L257" i="122"/>
  <c r="H257" i="122"/>
  <c r="A257" i="122"/>
  <c r="P256" i="122"/>
  <c r="N256" i="122"/>
  <c r="M256" i="122"/>
  <c r="L256" i="122"/>
  <c r="H256" i="122"/>
  <c r="A256" i="122"/>
  <c r="P255" i="122"/>
  <c r="N255" i="122"/>
  <c r="M255" i="122"/>
  <c r="L255" i="122"/>
  <c r="H255" i="122"/>
  <c r="A255" i="122"/>
  <c r="P254" i="122"/>
  <c r="N254" i="122"/>
  <c r="M254" i="122"/>
  <c r="L254" i="122"/>
  <c r="H254" i="122"/>
  <c r="A254" i="122"/>
  <c r="P253" i="122"/>
  <c r="N253" i="122"/>
  <c r="M253" i="122"/>
  <c r="L253" i="122"/>
  <c r="H253" i="122"/>
  <c r="A253" i="122"/>
  <c r="P252" i="122"/>
  <c r="N252" i="122"/>
  <c r="M252" i="122"/>
  <c r="L252" i="122"/>
  <c r="H252" i="122"/>
  <c r="A252" i="122"/>
  <c r="P251" i="122"/>
  <c r="N251" i="122"/>
  <c r="M251" i="122"/>
  <c r="L251" i="122"/>
  <c r="H251" i="122"/>
  <c r="A251" i="122"/>
  <c r="P250" i="122"/>
  <c r="N250" i="122"/>
  <c r="M250" i="122"/>
  <c r="L250" i="122"/>
  <c r="H250" i="122"/>
  <c r="A250" i="122"/>
  <c r="P249" i="122"/>
  <c r="N249" i="122"/>
  <c r="M249" i="122"/>
  <c r="L249" i="122"/>
  <c r="H249" i="122"/>
  <c r="A249" i="122"/>
  <c r="P248" i="122"/>
  <c r="N248" i="122"/>
  <c r="M248" i="122"/>
  <c r="L248" i="122"/>
  <c r="H248" i="122"/>
  <c r="A248" i="122"/>
  <c r="P247" i="122"/>
  <c r="N247" i="122"/>
  <c r="M247" i="122"/>
  <c r="L247" i="122"/>
  <c r="H247" i="122"/>
  <c r="A247" i="122"/>
  <c r="P246" i="122"/>
  <c r="N246" i="122"/>
  <c r="M246" i="122"/>
  <c r="L246" i="122"/>
  <c r="H246" i="122"/>
  <c r="A246" i="122"/>
  <c r="P245" i="122"/>
  <c r="N245" i="122"/>
  <c r="M245" i="122"/>
  <c r="L245" i="122"/>
  <c r="H245" i="122"/>
  <c r="A245" i="122"/>
  <c r="P244" i="122"/>
  <c r="N244" i="122"/>
  <c r="M244" i="122"/>
  <c r="L244" i="122"/>
  <c r="H244" i="122"/>
  <c r="A244" i="122"/>
  <c r="P243" i="122"/>
  <c r="N243" i="122"/>
  <c r="M243" i="122"/>
  <c r="L243" i="122"/>
  <c r="H243" i="122"/>
  <c r="A243" i="122"/>
  <c r="P242" i="122"/>
  <c r="N242" i="122"/>
  <c r="M242" i="122"/>
  <c r="L242" i="122"/>
  <c r="H242" i="122"/>
  <c r="A242" i="122"/>
  <c r="P241" i="122"/>
  <c r="N241" i="122"/>
  <c r="M241" i="122"/>
  <c r="L241" i="122"/>
  <c r="H241" i="122"/>
  <c r="A241" i="122"/>
  <c r="P240" i="122"/>
  <c r="N240" i="122"/>
  <c r="M240" i="122"/>
  <c r="L240" i="122"/>
  <c r="H240" i="122"/>
  <c r="A240" i="122"/>
  <c r="P239" i="122"/>
  <c r="N239" i="122"/>
  <c r="M239" i="122"/>
  <c r="L239" i="122"/>
  <c r="H239" i="122"/>
  <c r="A239" i="122"/>
  <c r="P238" i="122"/>
  <c r="N238" i="122"/>
  <c r="M238" i="122"/>
  <c r="L238" i="122"/>
  <c r="H238" i="122"/>
  <c r="A238" i="122"/>
  <c r="P237" i="122"/>
  <c r="N237" i="122"/>
  <c r="M237" i="122"/>
  <c r="L237" i="122"/>
  <c r="H237" i="122"/>
  <c r="A237" i="122"/>
  <c r="P236" i="122"/>
  <c r="N236" i="122"/>
  <c r="M236" i="122"/>
  <c r="L236" i="122"/>
  <c r="H236" i="122"/>
  <c r="A236" i="122"/>
  <c r="P235" i="122"/>
  <c r="N235" i="122"/>
  <c r="M235" i="122"/>
  <c r="L235" i="122"/>
  <c r="H235" i="122"/>
  <c r="A235" i="122"/>
  <c r="P234" i="122"/>
  <c r="N234" i="122"/>
  <c r="M234" i="122"/>
  <c r="L234" i="122"/>
  <c r="H234" i="122"/>
  <c r="A234" i="122"/>
  <c r="P233" i="122"/>
  <c r="N233" i="122"/>
  <c r="M233" i="122"/>
  <c r="L233" i="122"/>
  <c r="H233" i="122"/>
  <c r="A233" i="122"/>
  <c r="P232" i="122"/>
  <c r="N232" i="122"/>
  <c r="M232" i="122"/>
  <c r="L232" i="122"/>
  <c r="H232" i="122"/>
  <c r="A232" i="122"/>
  <c r="P231" i="122"/>
  <c r="N231" i="122"/>
  <c r="M231" i="122"/>
  <c r="L231" i="122"/>
  <c r="H231" i="122"/>
  <c r="A231" i="122"/>
  <c r="P230" i="122"/>
  <c r="N230" i="122"/>
  <c r="M230" i="122"/>
  <c r="L230" i="122"/>
  <c r="H230" i="122"/>
  <c r="A230" i="122"/>
  <c r="P229" i="122"/>
  <c r="N229" i="122"/>
  <c r="M229" i="122"/>
  <c r="L229" i="122"/>
  <c r="H229" i="122"/>
  <c r="A229" i="122"/>
  <c r="P228" i="122"/>
  <c r="N228" i="122"/>
  <c r="M228" i="122"/>
  <c r="L228" i="122"/>
  <c r="H228" i="122"/>
  <c r="A228" i="122"/>
  <c r="P227" i="122"/>
  <c r="N227" i="122"/>
  <c r="M227" i="122"/>
  <c r="L227" i="122"/>
  <c r="H227" i="122"/>
  <c r="A227" i="122"/>
  <c r="P226" i="122"/>
  <c r="N226" i="122"/>
  <c r="M226" i="122"/>
  <c r="L226" i="122"/>
  <c r="H226" i="122"/>
  <c r="A226" i="122"/>
  <c r="P225" i="122"/>
  <c r="N225" i="122"/>
  <c r="M225" i="122"/>
  <c r="L225" i="122"/>
  <c r="H225" i="122"/>
  <c r="A225" i="122"/>
  <c r="P224" i="122"/>
  <c r="N224" i="122"/>
  <c r="M224" i="122"/>
  <c r="L224" i="122"/>
  <c r="H224" i="122"/>
  <c r="A224" i="122"/>
  <c r="P223" i="122"/>
  <c r="N223" i="122"/>
  <c r="M223" i="122"/>
  <c r="L223" i="122"/>
  <c r="H223" i="122"/>
  <c r="A223" i="122"/>
  <c r="P222" i="122"/>
  <c r="N222" i="122"/>
  <c r="M222" i="122"/>
  <c r="L222" i="122"/>
  <c r="H222" i="122"/>
  <c r="A222" i="122"/>
  <c r="P221" i="122"/>
  <c r="N221" i="122"/>
  <c r="M221" i="122"/>
  <c r="L221" i="122"/>
  <c r="H221" i="122"/>
  <c r="A221" i="122"/>
  <c r="P220" i="122"/>
  <c r="N220" i="122"/>
  <c r="M220" i="122"/>
  <c r="L220" i="122"/>
  <c r="H220" i="122"/>
  <c r="A220" i="122"/>
  <c r="P219" i="122"/>
  <c r="N219" i="122"/>
  <c r="M219" i="122"/>
  <c r="L219" i="122"/>
  <c r="H219" i="122"/>
  <c r="A219" i="122"/>
  <c r="P218" i="122"/>
  <c r="N218" i="122"/>
  <c r="M218" i="122"/>
  <c r="L218" i="122"/>
  <c r="H218" i="122"/>
  <c r="A218" i="122"/>
  <c r="P217" i="122"/>
  <c r="N217" i="122"/>
  <c r="M217" i="122"/>
  <c r="L217" i="122"/>
  <c r="H217" i="122"/>
  <c r="A217" i="122"/>
  <c r="P216" i="122"/>
  <c r="N216" i="122"/>
  <c r="M216" i="122"/>
  <c r="L216" i="122"/>
  <c r="H216" i="122"/>
  <c r="A216" i="122"/>
  <c r="P215" i="122"/>
  <c r="N215" i="122"/>
  <c r="M215" i="122"/>
  <c r="L215" i="122"/>
  <c r="H215" i="122"/>
  <c r="A215" i="122"/>
  <c r="P214" i="122"/>
  <c r="N214" i="122"/>
  <c r="M214" i="122"/>
  <c r="L214" i="122"/>
  <c r="H214" i="122"/>
  <c r="A214" i="122"/>
  <c r="P213" i="122"/>
  <c r="N213" i="122"/>
  <c r="M213" i="122"/>
  <c r="L213" i="122"/>
  <c r="H213" i="122"/>
  <c r="A213" i="122"/>
  <c r="P212" i="122"/>
  <c r="N212" i="122"/>
  <c r="M212" i="122"/>
  <c r="L212" i="122"/>
  <c r="H212" i="122"/>
  <c r="A212" i="122"/>
  <c r="P211" i="122"/>
  <c r="N211" i="122"/>
  <c r="M211" i="122"/>
  <c r="L211" i="122"/>
  <c r="H211" i="122"/>
  <c r="A211" i="122"/>
  <c r="P210" i="122"/>
  <c r="N210" i="122"/>
  <c r="M210" i="122"/>
  <c r="L210" i="122"/>
  <c r="H210" i="122"/>
  <c r="A210" i="122"/>
  <c r="P209" i="122"/>
  <c r="N209" i="122"/>
  <c r="M209" i="122"/>
  <c r="L209" i="122"/>
  <c r="H209" i="122"/>
  <c r="A209" i="122"/>
  <c r="P208" i="122"/>
  <c r="N208" i="122"/>
  <c r="M208" i="122"/>
  <c r="L208" i="122"/>
  <c r="H208" i="122"/>
  <c r="A208" i="122"/>
  <c r="P207" i="122"/>
  <c r="N207" i="122"/>
  <c r="M207" i="122"/>
  <c r="L207" i="122"/>
  <c r="H207" i="122"/>
  <c r="A207" i="122"/>
  <c r="P206" i="122"/>
  <c r="N206" i="122"/>
  <c r="M206" i="122"/>
  <c r="L206" i="122"/>
  <c r="H206" i="122"/>
  <c r="A206" i="122"/>
  <c r="P205" i="122"/>
  <c r="N205" i="122"/>
  <c r="M205" i="122"/>
  <c r="L205" i="122"/>
  <c r="H205" i="122"/>
  <c r="A205" i="122"/>
  <c r="P204" i="122"/>
  <c r="N204" i="122"/>
  <c r="M204" i="122"/>
  <c r="L204" i="122"/>
  <c r="H204" i="122"/>
  <c r="A204" i="122"/>
  <c r="P203" i="122"/>
  <c r="N203" i="122"/>
  <c r="M203" i="122"/>
  <c r="L203" i="122"/>
  <c r="H203" i="122"/>
  <c r="A203" i="122"/>
  <c r="P202" i="122"/>
  <c r="N202" i="122"/>
  <c r="M202" i="122"/>
  <c r="L202" i="122"/>
  <c r="H202" i="122"/>
  <c r="A202" i="122"/>
  <c r="P201" i="122"/>
  <c r="N201" i="122"/>
  <c r="M201" i="122"/>
  <c r="L201" i="122"/>
  <c r="H201" i="122"/>
  <c r="A201" i="122"/>
  <c r="P200" i="122"/>
  <c r="N200" i="122"/>
  <c r="M200" i="122"/>
  <c r="L200" i="122"/>
  <c r="H200" i="122"/>
  <c r="A200" i="122"/>
  <c r="P199" i="122"/>
  <c r="N199" i="122"/>
  <c r="M199" i="122"/>
  <c r="L199" i="122"/>
  <c r="H199" i="122"/>
  <c r="A199" i="122"/>
  <c r="P198" i="122"/>
  <c r="N198" i="122"/>
  <c r="M198" i="122"/>
  <c r="L198" i="122"/>
  <c r="H198" i="122"/>
  <c r="A198" i="122"/>
  <c r="P197" i="122"/>
  <c r="N197" i="122"/>
  <c r="M197" i="122"/>
  <c r="L197" i="122"/>
  <c r="H197" i="122"/>
  <c r="A197" i="122"/>
  <c r="P196" i="122"/>
  <c r="N196" i="122"/>
  <c r="M196" i="122"/>
  <c r="L196" i="122"/>
  <c r="H196" i="122"/>
  <c r="A196" i="122"/>
  <c r="P195" i="122"/>
  <c r="N195" i="122"/>
  <c r="M195" i="122"/>
  <c r="L195" i="122"/>
  <c r="H195" i="122"/>
  <c r="A195" i="122"/>
  <c r="P194" i="122"/>
  <c r="N194" i="122"/>
  <c r="M194" i="122"/>
  <c r="L194" i="122"/>
  <c r="H194" i="122"/>
  <c r="A194" i="122"/>
  <c r="P193" i="122"/>
  <c r="N193" i="122"/>
  <c r="M193" i="122"/>
  <c r="L193" i="122"/>
  <c r="H193" i="122"/>
  <c r="A193" i="122"/>
  <c r="P192" i="122"/>
  <c r="N192" i="122"/>
  <c r="M192" i="122"/>
  <c r="L192" i="122"/>
  <c r="H192" i="122"/>
  <c r="A192" i="122"/>
  <c r="P191" i="122"/>
  <c r="N191" i="122"/>
  <c r="M191" i="122"/>
  <c r="L191" i="122"/>
  <c r="H191" i="122"/>
  <c r="A191" i="122"/>
  <c r="P190" i="122"/>
  <c r="N190" i="122"/>
  <c r="M190" i="122"/>
  <c r="L190" i="122"/>
  <c r="H190" i="122"/>
  <c r="A190" i="122"/>
  <c r="P189" i="122"/>
  <c r="N189" i="122"/>
  <c r="M189" i="122"/>
  <c r="L189" i="122"/>
  <c r="H189" i="122"/>
  <c r="A189" i="122"/>
  <c r="P188" i="122"/>
  <c r="N188" i="122"/>
  <c r="M188" i="122"/>
  <c r="L188" i="122"/>
  <c r="H188" i="122"/>
  <c r="A188" i="122"/>
  <c r="P187" i="122"/>
  <c r="N187" i="122"/>
  <c r="M187" i="122"/>
  <c r="L187" i="122"/>
  <c r="H187" i="122"/>
  <c r="A187" i="122"/>
  <c r="P186" i="122"/>
  <c r="N186" i="122"/>
  <c r="M186" i="122"/>
  <c r="L186" i="122"/>
  <c r="H186" i="122"/>
  <c r="A186" i="122"/>
  <c r="P185" i="122"/>
  <c r="N185" i="122"/>
  <c r="M185" i="122"/>
  <c r="L185" i="122"/>
  <c r="H185" i="122"/>
  <c r="A185" i="122"/>
  <c r="P184" i="122"/>
  <c r="N184" i="122"/>
  <c r="M184" i="122"/>
  <c r="L184" i="122"/>
  <c r="H184" i="122"/>
  <c r="A184" i="122"/>
  <c r="P183" i="122"/>
  <c r="N183" i="122"/>
  <c r="M183" i="122"/>
  <c r="L183" i="122"/>
  <c r="H183" i="122"/>
  <c r="A183" i="122"/>
  <c r="P182" i="122"/>
  <c r="N182" i="122"/>
  <c r="M182" i="122"/>
  <c r="L182" i="122"/>
  <c r="H182" i="122"/>
  <c r="A182" i="122"/>
  <c r="P181" i="122"/>
  <c r="N181" i="122"/>
  <c r="M181" i="122"/>
  <c r="L181" i="122"/>
  <c r="H181" i="122"/>
  <c r="A181" i="122"/>
  <c r="P180" i="122"/>
  <c r="N180" i="122"/>
  <c r="M180" i="122"/>
  <c r="L180" i="122"/>
  <c r="H180" i="122"/>
  <c r="A180" i="122"/>
  <c r="P179" i="122"/>
  <c r="N179" i="122"/>
  <c r="M179" i="122"/>
  <c r="L179" i="122"/>
  <c r="H179" i="122"/>
  <c r="A179" i="122"/>
  <c r="P178" i="122"/>
  <c r="N178" i="122"/>
  <c r="M178" i="122"/>
  <c r="L178" i="122"/>
  <c r="H178" i="122"/>
  <c r="A178" i="122"/>
  <c r="P177" i="122"/>
  <c r="N177" i="122"/>
  <c r="M177" i="122"/>
  <c r="L177" i="122"/>
  <c r="H177" i="122"/>
  <c r="A177" i="122"/>
  <c r="P176" i="122"/>
  <c r="N176" i="122"/>
  <c r="M176" i="122"/>
  <c r="L176" i="122"/>
  <c r="H176" i="122"/>
  <c r="A176" i="122"/>
  <c r="P175" i="122"/>
  <c r="N175" i="122"/>
  <c r="M175" i="122"/>
  <c r="L175" i="122"/>
  <c r="H175" i="122"/>
  <c r="A175" i="122"/>
  <c r="P174" i="122"/>
  <c r="N174" i="122"/>
  <c r="M174" i="122"/>
  <c r="L174" i="122"/>
  <c r="H174" i="122"/>
  <c r="A174" i="122"/>
  <c r="P173" i="122"/>
  <c r="N173" i="122"/>
  <c r="M173" i="122"/>
  <c r="L173" i="122"/>
  <c r="H173" i="122"/>
  <c r="A173" i="122"/>
  <c r="P172" i="122"/>
  <c r="N172" i="122"/>
  <c r="M172" i="122"/>
  <c r="L172" i="122"/>
  <c r="H172" i="122"/>
  <c r="A172" i="122"/>
  <c r="P171" i="122"/>
  <c r="N171" i="122"/>
  <c r="M171" i="122"/>
  <c r="L171" i="122"/>
  <c r="H171" i="122"/>
  <c r="A171" i="122"/>
  <c r="P170" i="122"/>
  <c r="N170" i="122"/>
  <c r="M170" i="122"/>
  <c r="L170" i="122"/>
  <c r="H170" i="122"/>
  <c r="A170" i="122"/>
  <c r="P169" i="122"/>
  <c r="N169" i="122"/>
  <c r="M169" i="122"/>
  <c r="L169" i="122"/>
  <c r="H169" i="122"/>
  <c r="A169" i="122"/>
  <c r="P168" i="122"/>
  <c r="N168" i="122"/>
  <c r="M168" i="122"/>
  <c r="L168" i="122"/>
  <c r="H168" i="122"/>
  <c r="A168" i="122"/>
  <c r="P167" i="122"/>
  <c r="N167" i="122"/>
  <c r="M167" i="122"/>
  <c r="L167" i="122"/>
  <c r="H167" i="122"/>
  <c r="A167" i="122"/>
  <c r="P166" i="122"/>
  <c r="N166" i="122"/>
  <c r="M166" i="122"/>
  <c r="L166" i="122"/>
  <c r="H166" i="122"/>
  <c r="A166" i="122"/>
  <c r="P165" i="122"/>
  <c r="N165" i="122"/>
  <c r="M165" i="122"/>
  <c r="L165" i="122"/>
  <c r="H165" i="122"/>
  <c r="A165" i="122"/>
  <c r="P164" i="122"/>
  <c r="N164" i="122"/>
  <c r="M164" i="122"/>
  <c r="L164" i="122"/>
  <c r="H164" i="122"/>
  <c r="A164" i="122"/>
  <c r="P163" i="122"/>
  <c r="N163" i="122"/>
  <c r="M163" i="122"/>
  <c r="L163" i="122"/>
  <c r="H163" i="122"/>
  <c r="A163" i="122"/>
  <c r="P162" i="122"/>
  <c r="N162" i="122"/>
  <c r="M162" i="122"/>
  <c r="L162" i="122"/>
  <c r="H162" i="122"/>
  <c r="A162" i="122"/>
  <c r="P161" i="122"/>
  <c r="N161" i="122"/>
  <c r="M161" i="122"/>
  <c r="L161" i="122"/>
  <c r="H161" i="122"/>
  <c r="A161" i="122"/>
  <c r="P160" i="122"/>
  <c r="N160" i="122"/>
  <c r="M160" i="122"/>
  <c r="L160" i="122"/>
  <c r="H160" i="122"/>
  <c r="A160" i="122"/>
  <c r="P159" i="122"/>
  <c r="N159" i="122"/>
  <c r="M159" i="122"/>
  <c r="L159" i="122"/>
  <c r="H159" i="122"/>
  <c r="A159" i="122"/>
  <c r="P158" i="122"/>
  <c r="N158" i="122"/>
  <c r="M158" i="122"/>
  <c r="L158" i="122"/>
  <c r="H158" i="122"/>
  <c r="A158" i="122"/>
  <c r="P157" i="122"/>
  <c r="N157" i="122"/>
  <c r="M157" i="122"/>
  <c r="L157" i="122"/>
  <c r="H157" i="122"/>
  <c r="A157" i="122"/>
  <c r="P156" i="122"/>
  <c r="N156" i="122"/>
  <c r="M156" i="122"/>
  <c r="L156" i="122"/>
  <c r="H156" i="122"/>
  <c r="A156" i="122"/>
  <c r="P155" i="122"/>
  <c r="N155" i="122"/>
  <c r="M155" i="122"/>
  <c r="L155" i="122"/>
  <c r="H155" i="122"/>
  <c r="A155" i="122"/>
  <c r="P154" i="122"/>
  <c r="N154" i="122"/>
  <c r="M154" i="122"/>
  <c r="L154" i="122"/>
  <c r="H154" i="122"/>
  <c r="A154" i="122"/>
  <c r="P153" i="122"/>
  <c r="N153" i="122"/>
  <c r="M153" i="122"/>
  <c r="L153" i="122"/>
  <c r="H153" i="122"/>
  <c r="A153" i="122"/>
  <c r="P152" i="122"/>
  <c r="N152" i="122"/>
  <c r="M152" i="122"/>
  <c r="L152" i="122"/>
  <c r="H152" i="122"/>
  <c r="A152" i="122"/>
  <c r="P151" i="122"/>
  <c r="N151" i="122"/>
  <c r="M151" i="122"/>
  <c r="L151" i="122"/>
  <c r="H151" i="122"/>
  <c r="A151" i="122"/>
  <c r="P150" i="122"/>
  <c r="N150" i="122"/>
  <c r="M150" i="122"/>
  <c r="L150" i="122"/>
  <c r="H150" i="122"/>
  <c r="A150" i="122"/>
  <c r="P149" i="122"/>
  <c r="N149" i="122"/>
  <c r="M149" i="122"/>
  <c r="L149" i="122"/>
  <c r="H149" i="122"/>
  <c r="A149" i="122"/>
  <c r="P148" i="122"/>
  <c r="N148" i="122"/>
  <c r="M148" i="122"/>
  <c r="L148" i="122"/>
  <c r="H148" i="122"/>
  <c r="A148" i="122"/>
  <c r="P147" i="122"/>
  <c r="N147" i="122"/>
  <c r="M147" i="122"/>
  <c r="L147" i="122"/>
  <c r="H147" i="122"/>
  <c r="A147" i="122"/>
  <c r="P146" i="122"/>
  <c r="N146" i="122"/>
  <c r="M146" i="122"/>
  <c r="L146" i="122"/>
  <c r="H146" i="122"/>
  <c r="A146" i="122"/>
  <c r="P145" i="122"/>
  <c r="N145" i="122"/>
  <c r="M145" i="122"/>
  <c r="L145" i="122"/>
  <c r="H145" i="122"/>
  <c r="A145" i="122"/>
  <c r="P144" i="122"/>
  <c r="N144" i="122"/>
  <c r="M144" i="122"/>
  <c r="L144" i="122"/>
  <c r="H144" i="122"/>
  <c r="A144" i="122"/>
  <c r="P143" i="122"/>
  <c r="N143" i="122"/>
  <c r="M143" i="122"/>
  <c r="L143" i="122"/>
  <c r="H143" i="122"/>
  <c r="A143" i="122"/>
  <c r="P142" i="122"/>
  <c r="N142" i="122"/>
  <c r="M142" i="122"/>
  <c r="L142" i="122"/>
  <c r="H142" i="122"/>
  <c r="A142" i="122"/>
  <c r="P141" i="122"/>
  <c r="N141" i="122"/>
  <c r="M141" i="122"/>
  <c r="L141" i="122"/>
  <c r="H141" i="122"/>
  <c r="A141" i="122"/>
  <c r="P140" i="122"/>
  <c r="N140" i="122"/>
  <c r="M140" i="122"/>
  <c r="L140" i="122"/>
  <c r="H140" i="122"/>
  <c r="A140" i="122"/>
  <c r="P139" i="122"/>
  <c r="N139" i="122"/>
  <c r="M139" i="122"/>
  <c r="L139" i="122"/>
  <c r="H139" i="122"/>
  <c r="A139" i="122"/>
  <c r="P138" i="122"/>
  <c r="N138" i="122"/>
  <c r="M138" i="122"/>
  <c r="L138" i="122"/>
  <c r="H138" i="122"/>
  <c r="A138" i="122"/>
  <c r="P137" i="122"/>
  <c r="N137" i="122"/>
  <c r="M137" i="122"/>
  <c r="L137" i="122"/>
  <c r="H137" i="122"/>
  <c r="A137" i="122"/>
  <c r="P136" i="122"/>
  <c r="N136" i="122"/>
  <c r="M136" i="122"/>
  <c r="L136" i="122"/>
  <c r="H136" i="122"/>
  <c r="A136" i="122"/>
  <c r="P135" i="122"/>
  <c r="N135" i="122"/>
  <c r="M135" i="122"/>
  <c r="L135" i="122"/>
  <c r="H135" i="122"/>
  <c r="A135" i="122"/>
  <c r="P134" i="122"/>
  <c r="N134" i="122"/>
  <c r="M134" i="122"/>
  <c r="L134" i="122"/>
  <c r="H134" i="122"/>
  <c r="A134" i="122"/>
  <c r="P133" i="122"/>
  <c r="N133" i="122"/>
  <c r="M133" i="122"/>
  <c r="L133" i="122"/>
  <c r="H133" i="122"/>
  <c r="A133" i="122"/>
  <c r="P132" i="122"/>
  <c r="N132" i="122"/>
  <c r="M132" i="122"/>
  <c r="L132" i="122"/>
  <c r="H132" i="122"/>
  <c r="A132" i="122"/>
  <c r="P131" i="122"/>
  <c r="N131" i="122"/>
  <c r="M131" i="122"/>
  <c r="L131" i="122"/>
  <c r="H131" i="122"/>
  <c r="A131" i="122"/>
  <c r="P130" i="122"/>
  <c r="N130" i="122"/>
  <c r="M130" i="122"/>
  <c r="L130" i="122"/>
  <c r="H130" i="122"/>
  <c r="A130" i="122"/>
  <c r="P129" i="122"/>
  <c r="N129" i="122"/>
  <c r="M129" i="122"/>
  <c r="L129" i="122"/>
  <c r="H129" i="122"/>
  <c r="A129" i="122"/>
  <c r="P128" i="122"/>
  <c r="N128" i="122"/>
  <c r="M128" i="122"/>
  <c r="L128" i="122"/>
  <c r="H128" i="122"/>
  <c r="A128" i="122"/>
  <c r="P127" i="122"/>
  <c r="N127" i="122"/>
  <c r="M127" i="122"/>
  <c r="L127" i="122"/>
  <c r="H127" i="122"/>
  <c r="A127" i="122"/>
  <c r="P126" i="122"/>
  <c r="N126" i="122"/>
  <c r="M126" i="122"/>
  <c r="L126" i="122"/>
  <c r="H126" i="122"/>
  <c r="A126" i="122"/>
  <c r="P125" i="122"/>
  <c r="N125" i="122"/>
  <c r="M125" i="122"/>
  <c r="L125" i="122"/>
  <c r="H125" i="122"/>
  <c r="A125" i="122"/>
  <c r="P124" i="122"/>
  <c r="N124" i="122"/>
  <c r="M124" i="122"/>
  <c r="L124" i="122"/>
  <c r="H124" i="122"/>
  <c r="A124" i="122"/>
  <c r="P123" i="122"/>
  <c r="N123" i="122"/>
  <c r="M123" i="122"/>
  <c r="L123" i="122"/>
  <c r="H123" i="122"/>
  <c r="A123" i="122"/>
  <c r="P122" i="122"/>
  <c r="N122" i="122"/>
  <c r="M122" i="122"/>
  <c r="L122" i="122"/>
  <c r="H122" i="122"/>
  <c r="A122" i="122"/>
  <c r="P121" i="122"/>
  <c r="N121" i="122"/>
  <c r="M121" i="122"/>
  <c r="L121" i="122"/>
  <c r="H121" i="122"/>
  <c r="A121" i="122"/>
  <c r="P120" i="122"/>
  <c r="N120" i="122"/>
  <c r="M120" i="122"/>
  <c r="L120" i="122"/>
  <c r="H120" i="122"/>
  <c r="A120" i="122"/>
  <c r="P119" i="122"/>
  <c r="N119" i="122"/>
  <c r="M119" i="122"/>
  <c r="L119" i="122"/>
  <c r="H119" i="122"/>
  <c r="A119" i="122"/>
  <c r="P118" i="122"/>
  <c r="N118" i="122"/>
  <c r="M118" i="122"/>
  <c r="L118" i="122"/>
  <c r="H118" i="122"/>
  <c r="A118" i="122"/>
  <c r="P117" i="122"/>
  <c r="N117" i="122"/>
  <c r="M117" i="122"/>
  <c r="L117" i="122"/>
  <c r="H117" i="122"/>
  <c r="A117" i="122"/>
  <c r="P116" i="122"/>
  <c r="N116" i="122"/>
  <c r="M116" i="122"/>
  <c r="L116" i="122"/>
  <c r="H116" i="122"/>
  <c r="A116" i="122"/>
  <c r="P115" i="122"/>
  <c r="N115" i="122"/>
  <c r="M115" i="122"/>
  <c r="L115" i="122"/>
  <c r="H115" i="122"/>
  <c r="A115" i="122"/>
  <c r="P114" i="122"/>
  <c r="N114" i="122"/>
  <c r="M114" i="122"/>
  <c r="L114" i="122"/>
  <c r="H114" i="122"/>
  <c r="A114" i="122"/>
  <c r="P113" i="122"/>
  <c r="N113" i="122"/>
  <c r="M113" i="122"/>
  <c r="L113" i="122"/>
  <c r="H113" i="122"/>
  <c r="A113" i="122"/>
  <c r="P112" i="122"/>
  <c r="N112" i="122"/>
  <c r="M112" i="122"/>
  <c r="L112" i="122"/>
  <c r="H112" i="122"/>
  <c r="A112" i="122"/>
  <c r="P111" i="122"/>
  <c r="N111" i="122"/>
  <c r="M111" i="122"/>
  <c r="L111" i="122"/>
  <c r="H111" i="122"/>
  <c r="A111" i="122"/>
  <c r="P110" i="122"/>
  <c r="N110" i="122"/>
  <c r="M110" i="122"/>
  <c r="L110" i="122"/>
  <c r="H110" i="122"/>
  <c r="A110" i="122"/>
  <c r="P109" i="122"/>
  <c r="N109" i="122"/>
  <c r="M109" i="122"/>
  <c r="L109" i="122"/>
  <c r="H109" i="122"/>
  <c r="A109" i="122"/>
  <c r="P108" i="122"/>
  <c r="N108" i="122"/>
  <c r="M108" i="122"/>
  <c r="L108" i="122"/>
  <c r="H108" i="122"/>
  <c r="A108" i="122"/>
  <c r="P107" i="122"/>
  <c r="N107" i="122"/>
  <c r="M107" i="122"/>
  <c r="L107" i="122"/>
  <c r="H107" i="122"/>
  <c r="A107" i="122"/>
  <c r="P106" i="122"/>
  <c r="N106" i="122"/>
  <c r="M106" i="122"/>
  <c r="L106" i="122"/>
  <c r="H106" i="122"/>
  <c r="A106" i="122"/>
  <c r="P105" i="122"/>
  <c r="N105" i="122"/>
  <c r="M105" i="122"/>
  <c r="L105" i="122"/>
  <c r="H105" i="122"/>
  <c r="A105" i="122"/>
  <c r="P104" i="122"/>
  <c r="N104" i="122"/>
  <c r="M104" i="122"/>
  <c r="L104" i="122"/>
  <c r="H104" i="122"/>
  <c r="A104" i="122"/>
  <c r="P103" i="122"/>
  <c r="N103" i="122"/>
  <c r="M103" i="122"/>
  <c r="L103" i="122"/>
  <c r="H103" i="122"/>
  <c r="A103" i="122"/>
  <c r="P102" i="122"/>
  <c r="N102" i="122"/>
  <c r="M102" i="122"/>
  <c r="L102" i="122"/>
  <c r="H102" i="122"/>
  <c r="A102" i="122"/>
  <c r="P101" i="122"/>
  <c r="N101" i="122"/>
  <c r="M101" i="122"/>
  <c r="L101" i="122"/>
  <c r="H101" i="122"/>
  <c r="A101" i="122"/>
  <c r="P100" i="122"/>
  <c r="N100" i="122"/>
  <c r="M100" i="122"/>
  <c r="L100" i="122"/>
  <c r="H100" i="122"/>
  <c r="A100" i="122"/>
  <c r="P99" i="122"/>
  <c r="N99" i="122"/>
  <c r="M99" i="122"/>
  <c r="L99" i="122"/>
  <c r="H99" i="122"/>
  <c r="A99" i="122"/>
  <c r="P98" i="122"/>
  <c r="N98" i="122"/>
  <c r="M98" i="122"/>
  <c r="L98" i="122"/>
  <c r="H98" i="122"/>
  <c r="A98" i="122"/>
  <c r="P97" i="122"/>
  <c r="N97" i="122"/>
  <c r="M97" i="122"/>
  <c r="L97" i="122"/>
  <c r="H97" i="122"/>
  <c r="A97" i="122"/>
  <c r="P96" i="122"/>
  <c r="N96" i="122"/>
  <c r="M96" i="122"/>
  <c r="L96" i="122"/>
  <c r="H96" i="122"/>
  <c r="A96" i="122"/>
  <c r="P95" i="122"/>
  <c r="N95" i="122"/>
  <c r="M95" i="122"/>
  <c r="L95" i="122"/>
  <c r="H95" i="122"/>
  <c r="A95" i="122"/>
  <c r="P94" i="122"/>
  <c r="N94" i="122"/>
  <c r="M94" i="122"/>
  <c r="L94" i="122"/>
  <c r="H94" i="122"/>
  <c r="A94" i="122"/>
  <c r="P93" i="122"/>
  <c r="N93" i="122"/>
  <c r="M93" i="122"/>
  <c r="L93" i="122"/>
  <c r="H93" i="122"/>
  <c r="A93" i="122"/>
  <c r="P92" i="122"/>
  <c r="N92" i="122"/>
  <c r="M92" i="122"/>
  <c r="L92" i="122"/>
  <c r="H92" i="122"/>
  <c r="A92" i="122"/>
  <c r="P91" i="122"/>
  <c r="N91" i="122"/>
  <c r="M91" i="122"/>
  <c r="L91" i="122"/>
  <c r="H91" i="122"/>
  <c r="A91" i="122"/>
  <c r="P90" i="122"/>
  <c r="N90" i="122"/>
  <c r="M90" i="122"/>
  <c r="L90" i="122"/>
  <c r="H90" i="122"/>
  <c r="A90" i="122"/>
  <c r="P89" i="122"/>
  <c r="N89" i="122"/>
  <c r="M89" i="122"/>
  <c r="L89" i="122"/>
  <c r="H89" i="122"/>
  <c r="A89" i="122"/>
  <c r="P88" i="122"/>
  <c r="N88" i="122"/>
  <c r="M88" i="122"/>
  <c r="L88" i="122"/>
  <c r="H88" i="122"/>
  <c r="A88" i="122"/>
  <c r="P87" i="122"/>
  <c r="N87" i="122"/>
  <c r="M87" i="122"/>
  <c r="L87" i="122"/>
  <c r="H87" i="122"/>
  <c r="A87" i="122"/>
  <c r="P86" i="122"/>
  <c r="N86" i="122"/>
  <c r="M86" i="122"/>
  <c r="L86" i="122"/>
  <c r="H86" i="122"/>
  <c r="A86" i="122"/>
  <c r="P85" i="122"/>
  <c r="N85" i="122"/>
  <c r="M85" i="122"/>
  <c r="L85" i="122"/>
  <c r="H85" i="122"/>
  <c r="A85" i="122"/>
  <c r="P84" i="122"/>
  <c r="N84" i="122"/>
  <c r="M84" i="122"/>
  <c r="L84" i="122"/>
  <c r="H84" i="122"/>
  <c r="A84" i="122"/>
  <c r="P83" i="122"/>
  <c r="N83" i="122"/>
  <c r="M83" i="122"/>
  <c r="L83" i="122"/>
  <c r="H83" i="122"/>
  <c r="A83" i="122"/>
  <c r="P82" i="122"/>
  <c r="N82" i="122"/>
  <c r="M82" i="122"/>
  <c r="L82" i="122"/>
  <c r="H82" i="122"/>
  <c r="A82" i="122"/>
  <c r="P81" i="122"/>
  <c r="N81" i="122"/>
  <c r="M81" i="122"/>
  <c r="L81" i="122"/>
  <c r="H81" i="122"/>
  <c r="A81" i="122"/>
  <c r="P80" i="122"/>
  <c r="N80" i="122"/>
  <c r="M80" i="122"/>
  <c r="L80" i="122"/>
  <c r="H80" i="122"/>
  <c r="A80" i="122"/>
  <c r="P79" i="122"/>
  <c r="N79" i="122"/>
  <c r="M79" i="122"/>
  <c r="L79" i="122"/>
  <c r="H79" i="122"/>
  <c r="A79" i="122"/>
  <c r="P78" i="122"/>
  <c r="N78" i="122"/>
  <c r="M78" i="122"/>
  <c r="L78" i="122"/>
  <c r="H78" i="122"/>
  <c r="A78" i="122"/>
  <c r="P77" i="122"/>
  <c r="N77" i="122"/>
  <c r="M77" i="122"/>
  <c r="L77" i="122"/>
  <c r="H77" i="122"/>
  <c r="A77" i="122"/>
  <c r="P76" i="122"/>
  <c r="N76" i="122"/>
  <c r="M76" i="122"/>
  <c r="L76" i="122"/>
  <c r="H76" i="122"/>
  <c r="A76" i="122"/>
  <c r="P75" i="122"/>
  <c r="N75" i="122"/>
  <c r="M75" i="122"/>
  <c r="L75" i="122"/>
  <c r="H75" i="122"/>
  <c r="A75" i="122"/>
  <c r="P74" i="122"/>
  <c r="N74" i="122"/>
  <c r="M74" i="122"/>
  <c r="L74" i="122"/>
  <c r="H74" i="122"/>
  <c r="A74" i="122"/>
  <c r="P73" i="122"/>
  <c r="N73" i="122"/>
  <c r="M73" i="122"/>
  <c r="L73" i="122"/>
  <c r="H73" i="122"/>
  <c r="A73" i="122"/>
  <c r="P72" i="122"/>
  <c r="N72" i="122"/>
  <c r="M72" i="122"/>
  <c r="L72" i="122"/>
  <c r="H72" i="122"/>
  <c r="A72" i="122"/>
  <c r="P71" i="122"/>
  <c r="N71" i="122"/>
  <c r="M71" i="122"/>
  <c r="L71" i="122"/>
  <c r="H71" i="122"/>
  <c r="A71" i="122"/>
  <c r="P70" i="122"/>
  <c r="N70" i="122"/>
  <c r="M70" i="122"/>
  <c r="L70" i="122"/>
  <c r="H70" i="122"/>
  <c r="A70" i="122"/>
  <c r="P69" i="122"/>
  <c r="N69" i="122"/>
  <c r="M69" i="122"/>
  <c r="L69" i="122"/>
  <c r="H69" i="122"/>
  <c r="A69" i="122"/>
  <c r="P68" i="122"/>
  <c r="N68" i="122"/>
  <c r="M68" i="122"/>
  <c r="L68" i="122"/>
  <c r="H68" i="122"/>
  <c r="A68" i="122"/>
  <c r="P67" i="122"/>
  <c r="N67" i="122"/>
  <c r="M67" i="122"/>
  <c r="L67" i="122"/>
  <c r="H67" i="122"/>
  <c r="A67" i="122"/>
  <c r="P66" i="122"/>
  <c r="N66" i="122"/>
  <c r="M66" i="122"/>
  <c r="L66" i="122"/>
  <c r="H66" i="122"/>
  <c r="A66" i="122"/>
  <c r="P65" i="122"/>
  <c r="N65" i="122"/>
  <c r="M65" i="122"/>
  <c r="L65" i="122"/>
  <c r="H65" i="122"/>
  <c r="A65" i="122"/>
  <c r="P64" i="122"/>
  <c r="N64" i="122"/>
  <c r="M64" i="122"/>
  <c r="L64" i="122"/>
  <c r="H64" i="122"/>
  <c r="A64" i="122"/>
  <c r="P63" i="122"/>
  <c r="N63" i="122"/>
  <c r="M63" i="122"/>
  <c r="L63" i="122"/>
  <c r="H63" i="122"/>
  <c r="A63" i="122"/>
  <c r="P62" i="122"/>
  <c r="N62" i="122"/>
  <c r="M62" i="122"/>
  <c r="L62" i="122"/>
  <c r="H62" i="122"/>
  <c r="A62" i="122"/>
  <c r="P61" i="122"/>
  <c r="N61" i="122"/>
  <c r="M61" i="122"/>
  <c r="L61" i="122"/>
  <c r="H61" i="122"/>
  <c r="A61" i="122"/>
  <c r="P60" i="122"/>
  <c r="N60" i="122"/>
  <c r="M60" i="122"/>
  <c r="L60" i="122"/>
  <c r="H60" i="122"/>
  <c r="A60" i="122"/>
  <c r="P59" i="122"/>
  <c r="N59" i="122"/>
  <c r="M59" i="122"/>
  <c r="L59" i="122"/>
  <c r="H59" i="122"/>
  <c r="A59" i="122"/>
  <c r="P58" i="122"/>
  <c r="N58" i="122"/>
  <c r="M58" i="122"/>
  <c r="L58" i="122"/>
  <c r="H58" i="122"/>
  <c r="A58" i="122"/>
  <c r="P57" i="122"/>
  <c r="N57" i="122"/>
  <c r="M57" i="122"/>
  <c r="L57" i="122"/>
  <c r="H57" i="122"/>
  <c r="A57" i="122"/>
  <c r="P56" i="122"/>
  <c r="N56" i="122"/>
  <c r="M56" i="122"/>
  <c r="L56" i="122"/>
  <c r="H56" i="122"/>
  <c r="A56" i="122"/>
  <c r="P55" i="122"/>
  <c r="N55" i="122"/>
  <c r="M55" i="122"/>
  <c r="L55" i="122"/>
  <c r="H55" i="122"/>
  <c r="A55" i="122"/>
  <c r="P54" i="122"/>
  <c r="N54" i="122"/>
  <c r="M54" i="122"/>
  <c r="L54" i="122"/>
  <c r="H54" i="122"/>
  <c r="A54" i="122"/>
  <c r="P53" i="122"/>
  <c r="N53" i="122"/>
  <c r="M53" i="122"/>
  <c r="L53" i="122"/>
  <c r="H53" i="122"/>
  <c r="A53" i="122"/>
  <c r="P52" i="122"/>
  <c r="N52" i="122"/>
  <c r="M52" i="122"/>
  <c r="L52" i="122"/>
  <c r="H52" i="122"/>
  <c r="A52" i="122"/>
  <c r="P51" i="122"/>
  <c r="N51" i="122"/>
  <c r="M51" i="122"/>
  <c r="L51" i="122"/>
  <c r="H51" i="122"/>
  <c r="A51" i="122"/>
  <c r="P50" i="122"/>
  <c r="N50" i="122"/>
  <c r="M50" i="122"/>
  <c r="L50" i="122"/>
  <c r="H50" i="122"/>
  <c r="A50" i="122"/>
  <c r="P49" i="122"/>
  <c r="N49" i="122"/>
  <c r="M49" i="122"/>
  <c r="L49" i="122"/>
  <c r="H49" i="122"/>
  <c r="A49" i="122"/>
  <c r="P48" i="122"/>
  <c r="N48" i="122"/>
  <c r="M48" i="122"/>
  <c r="L48" i="122"/>
  <c r="H48" i="122"/>
  <c r="A48" i="122"/>
  <c r="P47" i="122"/>
  <c r="N47" i="122"/>
  <c r="M47" i="122"/>
  <c r="L47" i="122"/>
  <c r="H47" i="122"/>
  <c r="A47" i="122"/>
  <c r="P46" i="122"/>
  <c r="N46" i="122"/>
  <c r="M46" i="122"/>
  <c r="L46" i="122"/>
  <c r="H46" i="122"/>
  <c r="A46" i="122"/>
  <c r="P45" i="122"/>
  <c r="N45" i="122"/>
  <c r="M45" i="122"/>
  <c r="L45" i="122"/>
  <c r="H45" i="122"/>
  <c r="A45" i="122"/>
  <c r="P44" i="122"/>
  <c r="N44" i="122"/>
  <c r="M44" i="122"/>
  <c r="L44" i="122"/>
  <c r="H44" i="122"/>
  <c r="A44" i="122"/>
  <c r="P43" i="122"/>
  <c r="N43" i="122"/>
  <c r="M43" i="122"/>
  <c r="L43" i="122"/>
  <c r="H43" i="122"/>
  <c r="A43" i="122"/>
  <c r="P42" i="122"/>
  <c r="N42" i="122"/>
  <c r="M42" i="122"/>
  <c r="L42" i="122"/>
  <c r="H42" i="122"/>
  <c r="A42" i="122"/>
  <c r="P41" i="122"/>
  <c r="N41" i="122"/>
  <c r="M41" i="122"/>
  <c r="L41" i="122"/>
  <c r="H41" i="122"/>
  <c r="A41" i="122"/>
  <c r="P40" i="122"/>
  <c r="N40" i="122"/>
  <c r="M40" i="122"/>
  <c r="L40" i="122"/>
  <c r="H40" i="122"/>
  <c r="A40" i="122"/>
  <c r="P39" i="122"/>
  <c r="N39" i="122"/>
  <c r="M39" i="122"/>
  <c r="L39" i="122"/>
  <c r="H39" i="122"/>
  <c r="A39" i="122"/>
  <c r="P38" i="122"/>
  <c r="N38" i="122"/>
  <c r="M38" i="122"/>
  <c r="L38" i="122"/>
  <c r="H38" i="122"/>
  <c r="A38" i="122"/>
  <c r="P37" i="122"/>
  <c r="N37" i="122"/>
  <c r="M37" i="122"/>
  <c r="L37" i="122"/>
  <c r="H37" i="122"/>
  <c r="A37" i="122"/>
  <c r="P36" i="122"/>
  <c r="N36" i="122"/>
  <c r="M36" i="122"/>
  <c r="L36" i="122"/>
  <c r="H36" i="122"/>
  <c r="A36" i="122"/>
  <c r="P35" i="122"/>
  <c r="N35" i="122"/>
  <c r="M35" i="122"/>
  <c r="L35" i="122"/>
  <c r="H35" i="122"/>
  <c r="A35" i="122"/>
  <c r="P34" i="122"/>
  <c r="N34" i="122"/>
  <c r="M34" i="122"/>
  <c r="L34" i="122"/>
  <c r="H34" i="122"/>
  <c r="A34" i="122"/>
  <c r="P33" i="122"/>
  <c r="N33" i="122"/>
  <c r="M33" i="122"/>
  <c r="L33" i="122"/>
  <c r="H33" i="122"/>
  <c r="A33" i="122"/>
  <c r="P32" i="122"/>
  <c r="N32" i="122"/>
  <c r="M32" i="122"/>
  <c r="L32" i="122"/>
  <c r="H32" i="122"/>
  <c r="A32" i="122"/>
  <c r="P31" i="122"/>
  <c r="N31" i="122"/>
  <c r="M31" i="122"/>
  <c r="L31" i="122"/>
  <c r="H31" i="122"/>
  <c r="A31" i="122"/>
  <c r="P30" i="122"/>
  <c r="N30" i="122"/>
  <c r="M30" i="122"/>
  <c r="L30" i="122"/>
  <c r="H30" i="122"/>
  <c r="A30" i="122"/>
  <c r="P29" i="122"/>
  <c r="N29" i="122"/>
  <c r="M29" i="122"/>
  <c r="L29" i="122"/>
  <c r="H29" i="122"/>
  <c r="A29" i="122"/>
  <c r="P28" i="122"/>
  <c r="N28" i="122"/>
  <c r="M28" i="122"/>
  <c r="L28" i="122"/>
  <c r="H28" i="122"/>
  <c r="A28" i="122"/>
  <c r="P27" i="122"/>
  <c r="N27" i="122"/>
  <c r="M27" i="122"/>
  <c r="L27" i="122"/>
  <c r="H27" i="122"/>
  <c r="A27" i="122"/>
  <c r="P26" i="122"/>
  <c r="N26" i="122"/>
  <c r="M26" i="122"/>
  <c r="L26" i="122"/>
  <c r="H26" i="122"/>
  <c r="A26" i="122"/>
  <c r="P25" i="122"/>
  <c r="N25" i="122"/>
  <c r="M25" i="122"/>
  <c r="L25" i="122"/>
  <c r="H25" i="122"/>
  <c r="A25" i="122"/>
  <c r="P24" i="122"/>
  <c r="N24" i="122"/>
  <c r="M24" i="122"/>
  <c r="L24" i="122"/>
  <c r="H24" i="122"/>
  <c r="A24" i="122"/>
  <c r="P23" i="122"/>
  <c r="N23" i="122"/>
  <c r="M23" i="122"/>
  <c r="L23" i="122"/>
  <c r="H23" i="122"/>
  <c r="A23" i="122"/>
  <c r="P22" i="122"/>
  <c r="N22" i="122"/>
  <c r="M22" i="122"/>
  <c r="L22" i="122"/>
  <c r="H22" i="122"/>
  <c r="A22" i="122"/>
  <c r="P21" i="122"/>
  <c r="N21" i="122"/>
  <c r="M21" i="122"/>
  <c r="L21" i="122"/>
  <c r="H21" i="122"/>
  <c r="A21" i="122"/>
  <c r="P20" i="122"/>
  <c r="N20" i="122"/>
  <c r="M20" i="122"/>
  <c r="L20" i="122"/>
  <c r="H20" i="122"/>
  <c r="A20" i="122"/>
  <c r="P19" i="122"/>
  <c r="N19" i="122"/>
  <c r="M19" i="122"/>
  <c r="L19" i="122"/>
  <c r="H19" i="122"/>
  <c r="A19" i="122"/>
  <c r="P18" i="122"/>
  <c r="N18" i="122"/>
  <c r="M18" i="122"/>
  <c r="L18" i="122"/>
  <c r="H18" i="122"/>
  <c r="A18" i="122"/>
  <c r="P17" i="122"/>
  <c r="N17" i="122"/>
  <c r="M17" i="122"/>
  <c r="L17" i="122"/>
  <c r="H17" i="122"/>
  <c r="A17" i="122"/>
  <c r="P16" i="122"/>
  <c r="N16" i="122"/>
  <c r="M16" i="122"/>
  <c r="L16" i="122"/>
  <c r="H16" i="122"/>
  <c r="A16" i="122"/>
  <c r="P15" i="122"/>
  <c r="N15" i="122"/>
  <c r="M15" i="122"/>
  <c r="L15" i="122"/>
  <c r="H15" i="122"/>
  <c r="A15" i="122"/>
  <c r="P14" i="122"/>
  <c r="N14" i="122"/>
  <c r="M14" i="122"/>
  <c r="L14" i="122"/>
  <c r="H14" i="122"/>
  <c r="A14" i="122"/>
  <c r="P13" i="122"/>
  <c r="N13" i="122"/>
  <c r="M13" i="122"/>
  <c r="L13" i="122"/>
  <c r="H13" i="122"/>
  <c r="A13" i="122"/>
  <c r="P12" i="122"/>
  <c r="N12" i="122"/>
  <c r="M12" i="122"/>
  <c r="L12" i="122"/>
  <c r="H12" i="122"/>
  <c r="A12" i="122"/>
  <c r="P11" i="122"/>
  <c r="N11" i="122"/>
  <c r="M11" i="122"/>
  <c r="L11" i="122"/>
  <c r="H11" i="122"/>
  <c r="A11" i="122"/>
  <c r="P10" i="122"/>
  <c r="N10" i="122"/>
  <c r="M10" i="122"/>
  <c r="L10" i="122"/>
  <c r="H10" i="122"/>
  <c r="A10" i="122"/>
  <c r="P9" i="122"/>
  <c r="N9" i="122"/>
  <c r="M9" i="122"/>
  <c r="L9" i="122"/>
  <c r="H9" i="122"/>
  <c r="A9" i="122"/>
  <c r="P8" i="122"/>
  <c r="N8" i="122"/>
  <c r="M8" i="122"/>
  <c r="L8" i="122"/>
  <c r="H8" i="122"/>
  <c r="A8" i="122"/>
  <c r="P7" i="122"/>
  <c r="N7" i="122"/>
  <c r="M7" i="122"/>
  <c r="L7" i="122"/>
  <c r="H7" i="122"/>
  <c r="A7" i="122"/>
  <c r="P6" i="122"/>
  <c r="N6" i="122"/>
  <c r="M6" i="122"/>
  <c r="L6" i="122"/>
  <c r="H6" i="122"/>
  <c r="A6" i="122"/>
  <c r="P5" i="122"/>
  <c r="N5" i="122"/>
  <c r="M5" i="122"/>
  <c r="L5" i="122"/>
  <c r="H5" i="122"/>
  <c r="A5" i="122"/>
  <c r="P4" i="122"/>
  <c r="N4" i="122"/>
  <c r="M4" i="122"/>
  <c r="L4" i="122"/>
  <c r="H4" i="122"/>
  <c r="A4" i="122"/>
  <c r="P3" i="122"/>
  <c r="N3" i="122"/>
  <c r="M3" i="122"/>
  <c r="L3" i="122"/>
  <c r="H3" i="122"/>
  <c r="A3" i="122"/>
  <c r="P2" i="122"/>
  <c r="N2" i="122"/>
  <c r="M2" i="122"/>
  <c r="L2" i="122"/>
  <c r="H2" i="122"/>
  <c r="A2" i="122"/>
  <c r="F61" i="121"/>
  <c r="F60" i="121"/>
  <c r="B53" i="121"/>
  <c r="B54" i="121"/>
  <c r="B55" i="121"/>
  <c r="B56" i="121"/>
  <c r="B57" i="121"/>
  <c r="B58" i="121"/>
  <c r="B59" i="121"/>
  <c r="B60" i="121"/>
  <c r="C53" i="121"/>
  <c r="C54" i="121"/>
  <c r="C55" i="121"/>
  <c r="C56" i="121"/>
  <c r="C57" i="121"/>
  <c r="C58" i="121"/>
  <c r="C59" i="121"/>
  <c r="C60" i="121"/>
  <c r="F59" i="121"/>
  <c r="F58" i="121"/>
  <c r="F55" i="121"/>
  <c r="G55" i="121"/>
  <c r="F54" i="121"/>
  <c r="G54" i="121"/>
  <c r="F53" i="121"/>
  <c r="G53" i="121"/>
  <c r="C42" i="121"/>
  <c r="D42" i="121"/>
  <c r="G42" i="121"/>
  <c r="H42" i="121"/>
  <c r="C43" i="121"/>
  <c r="D43" i="121"/>
  <c r="G43" i="121"/>
  <c r="E43" i="121"/>
  <c r="H43" i="121"/>
  <c r="H49" i="121"/>
  <c r="B45" i="121"/>
  <c r="C45" i="121"/>
  <c r="D45" i="121"/>
  <c r="K44" i="121"/>
  <c r="I44" i="121"/>
  <c r="J44" i="121"/>
  <c r="F44" i="121"/>
  <c r="K43" i="121"/>
  <c r="I43" i="121"/>
  <c r="J43" i="121"/>
  <c r="F43" i="121"/>
  <c r="K42" i="121"/>
  <c r="I42" i="121"/>
  <c r="J42" i="121"/>
  <c r="F42" i="121"/>
  <c r="K41" i="121"/>
  <c r="I41" i="121"/>
  <c r="J41" i="121"/>
  <c r="F41" i="121"/>
  <c r="K40" i="121"/>
  <c r="I40" i="121"/>
  <c r="J40" i="121"/>
  <c r="F40" i="121"/>
  <c r="K39" i="121"/>
  <c r="I39" i="121"/>
  <c r="J39" i="121"/>
  <c r="F39" i="121"/>
  <c r="K38" i="121"/>
  <c r="I38" i="121"/>
  <c r="J38" i="121"/>
  <c r="F38" i="121"/>
  <c r="K37" i="121"/>
  <c r="I37" i="121"/>
  <c r="J37" i="121"/>
  <c r="F37" i="121"/>
  <c r="K36" i="121"/>
  <c r="I36" i="121"/>
  <c r="J36" i="121"/>
  <c r="F36" i="121"/>
  <c r="K35" i="121"/>
  <c r="I35" i="121"/>
  <c r="J35" i="121"/>
  <c r="F35" i="121"/>
  <c r="K34" i="121"/>
  <c r="I34" i="121"/>
  <c r="J34" i="121"/>
  <c r="F34" i="121"/>
  <c r="K33" i="121"/>
  <c r="I33" i="121"/>
  <c r="J33" i="121"/>
  <c r="F33" i="121"/>
  <c r="K32" i="121"/>
  <c r="I32" i="121"/>
  <c r="J32" i="121"/>
  <c r="F32" i="121"/>
  <c r="K31" i="121"/>
  <c r="I31" i="121"/>
  <c r="J31" i="121"/>
  <c r="F31" i="121"/>
  <c r="K30" i="121"/>
  <c r="I30" i="121"/>
  <c r="J30" i="121"/>
  <c r="F30" i="121"/>
  <c r="K29" i="121"/>
  <c r="I29" i="121"/>
  <c r="J29" i="121"/>
  <c r="F29" i="121"/>
  <c r="K28" i="121"/>
  <c r="I28" i="121"/>
  <c r="J28" i="121"/>
  <c r="F28" i="121"/>
  <c r="K27" i="121"/>
  <c r="I27" i="121"/>
  <c r="J27" i="121"/>
  <c r="F27" i="121"/>
  <c r="K26" i="121"/>
  <c r="I26" i="121"/>
  <c r="J26" i="121"/>
  <c r="F26" i="121"/>
  <c r="K25" i="121"/>
  <c r="I25" i="121"/>
  <c r="J25" i="121"/>
  <c r="F25" i="121"/>
  <c r="K24" i="121"/>
  <c r="I24" i="121"/>
  <c r="J24" i="121"/>
  <c r="F24" i="121"/>
  <c r="K23" i="121"/>
  <c r="I23" i="121"/>
  <c r="J23" i="121"/>
  <c r="F23" i="121"/>
  <c r="K22" i="121"/>
  <c r="I22" i="121"/>
  <c r="J22" i="121"/>
  <c r="F22" i="121"/>
  <c r="K21" i="121"/>
  <c r="I21" i="121"/>
  <c r="J21" i="121"/>
  <c r="F21" i="121"/>
  <c r="K20" i="121"/>
  <c r="I20" i="121"/>
  <c r="J20" i="121"/>
  <c r="F20" i="121"/>
  <c r="K19" i="121"/>
  <c r="I19" i="121"/>
  <c r="J19" i="121"/>
  <c r="F19" i="121"/>
  <c r="K18" i="121"/>
  <c r="I18" i="121"/>
  <c r="J18" i="121"/>
  <c r="F18" i="121"/>
  <c r="K17" i="121"/>
  <c r="I17" i="121"/>
  <c r="J17" i="121"/>
  <c r="F17" i="121"/>
  <c r="R14" i="121"/>
  <c r="P14" i="121"/>
  <c r="O14" i="121"/>
  <c r="M14" i="121"/>
  <c r="R13" i="121"/>
  <c r="P13" i="121"/>
  <c r="O13" i="121"/>
  <c r="M13" i="121"/>
  <c r="R12" i="121"/>
  <c r="P12" i="121"/>
  <c r="O12" i="121"/>
  <c r="M12" i="121"/>
  <c r="R11" i="121"/>
  <c r="P11" i="121"/>
  <c r="O11" i="121"/>
  <c r="M11" i="121"/>
  <c r="R10" i="121"/>
  <c r="P10" i="121"/>
  <c r="O10" i="121"/>
  <c r="M10" i="121"/>
  <c r="R9" i="121"/>
  <c r="P9" i="121"/>
  <c r="O9" i="121"/>
  <c r="M9" i="121"/>
  <c r="R8" i="121"/>
  <c r="P8" i="121"/>
  <c r="O8" i="121"/>
  <c r="M8" i="121"/>
  <c r="R7" i="121"/>
  <c r="P7" i="121"/>
  <c r="O7" i="121"/>
  <c r="M7" i="121"/>
  <c r="R6" i="121"/>
  <c r="P6" i="121"/>
  <c r="O6" i="121"/>
  <c r="M6" i="121"/>
  <c r="R5" i="121"/>
  <c r="P5" i="121"/>
  <c r="O5" i="121"/>
  <c r="M5" i="121"/>
  <c r="R4" i="121"/>
  <c r="P4" i="121"/>
  <c r="O4" i="121"/>
  <c r="M4" i="121"/>
  <c r="R3" i="121"/>
  <c r="P3" i="121"/>
  <c r="O3" i="121"/>
  <c r="M3" i="121"/>
  <c r="I272" i="120"/>
  <c r="D272" i="120"/>
  <c r="J272" i="120"/>
  <c r="F272" i="120"/>
  <c r="C272" i="120"/>
  <c r="A2" i="119"/>
  <c r="A49" i="119"/>
  <c r="B44" i="119"/>
  <c r="Q3" i="119"/>
  <c r="Q4" i="119"/>
  <c r="Q5" i="119"/>
  <c r="Q6" i="119"/>
  <c r="Q7" i="119"/>
  <c r="Q8" i="119"/>
  <c r="Q9" i="119"/>
  <c r="Q10" i="119"/>
  <c r="Q11" i="119"/>
  <c r="Q12" i="119"/>
  <c r="Q13" i="119"/>
  <c r="Q14" i="119"/>
  <c r="C44" i="119"/>
  <c r="D44" i="119"/>
  <c r="G44" i="119"/>
  <c r="I2" i="120"/>
  <c r="D2" i="120"/>
  <c r="J2" i="120"/>
  <c r="E2" i="120"/>
  <c r="F2" i="120"/>
  <c r="K2" i="120"/>
  <c r="G2" i="120"/>
  <c r="C2" i="120"/>
  <c r="I3" i="120"/>
  <c r="D3" i="120"/>
  <c r="J3" i="120"/>
  <c r="E3" i="120"/>
  <c r="F3" i="120"/>
  <c r="K3" i="120"/>
  <c r="G3" i="120"/>
  <c r="C3" i="120"/>
  <c r="I4" i="120"/>
  <c r="D4" i="120"/>
  <c r="J4" i="120"/>
  <c r="E4" i="120"/>
  <c r="F4" i="120"/>
  <c r="K4" i="120"/>
  <c r="G4" i="120"/>
  <c r="C4" i="120"/>
  <c r="I5" i="120"/>
  <c r="D5" i="120"/>
  <c r="J5" i="120"/>
  <c r="E5" i="120"/>
  <c r="F5" i="120"/>
  <c r="K5" i="120"/>
  <c r="G5" i="120"/>
  <c r="C5" i="120"/>
  <c r="I6" i="120"/>
  <c r="D6" i="120"/>
  <c r="J6" i="120"/>
  <c r="E6" i="120"/>
  <c r="F6" i="120"/>
  <c r="K6" i="120"/>
  <c r="G6" i="120"/>
  <c r="C6" i="120"/>
  <c r="I7" i="120"/>
  <c r="D7" i="120"/>
  <c r="J7" i="120"/>
  <c r="E7" i="120"/>
  <c r="F7" i="120"/>
  <c r="K7" i="120"/>
  <c r="G7" i="120"/>
  <c r="C7" i="120"/>
  <c r="I8" i="120"/>
  <c r="D8" i="120"/>
  <c r="J8" i="120"/>
  <c r="E8" i="120"/>
  <c r="F8" i="120"/>
  <c r="K8" i="120"/>
  <c r="G8" i="120"/>
  <c r="C8" i="120"/>
  <c r="I9" i="120"/>
  <c r="D9" i="120"/>
  <c r="J9" i="120"/>
  <c r="E9" i="120"/>
  <c r="F9" i="120"/>
  <c r="K9" i="120"/>
  <c r="G9" i="120"/>
  <c r="C9" i="120"/>
  <c r="I10" i="120"/>
  <c r="D10" i="120"/>
  <c r="J10" i="120"/>
  <c r="E10" i="120"/>
  <c r="F10" i="120"/>
  <c r="K10" i="120"/>
  <c r="G10" i="120"/>
  <c r="C10" i="120"/>
  <c r="I11" i="120"/>
  <c r="D11" i="120"/>
  <c r="J11" i="120"/>
  <c r="E11" i="120"/>
  <c r="F11" i="120"/>
  <c r="K11" i="120"/>
  <c r="G11" i="120"/>
  <c r="C11" i="120"/>
  <c r="I12" i="120"/>
  <c r="D12" i="120"/>
  <c r="J12" i="120"/>
  <c r="E12" i="120"/>
  <c r="F12" i="120"/>
  <c r="K12" i="120"/>
  <c r="G12" i="120"/>
  <c r="C12" i="120"/>
  <c r="I13" i="120"/>
  <c r="D13" i="120"/>
  <c r="J13" i="120"/>
  <c r="E13" i="120"/>
  <c r="F13" i="120"/>
  <c r="K13" i="120"/>
  <c r="G13" i="120"/>
  <c r="C13" i="120"/>
  <c r="I14" i="120"/>
  <c r="D14" i="120"/>
  <c r="J14" i="120"/>
  <c r="E14" i="120"/>
  <c r="F14" i="120"/>
  <c r="K14" i="120"/>
  <c r="G14" i="120"/>
  <c r="C14" i="120"/>
  <c r="I15" i="120"/>
  <c r="D15" i="120"/>
  <c r="J15" i="120"/>
  <c r="E15" i="120"/>
  <c r="F15" i="120"/>
  <c r="K15" i="120"/>
  <c r="G15" i="120"/>
  <c r="C15" i="120"/>
  <c r="I16" i="120"/>
  <c r="D16" i="120"/>
  <c r="J16" i="120"/>
  <c r="E16" i="120"/>
  <c r="F16" i="120"/>
  <c r="K16" i="120"/>
  <c r="G16" i="120"/>
  <c r="C16" i="120"/>
  <c r="I17" i="120"/>
  <c r="D17" i="120"/>
  <c r="J17" i="120"/>
  <c r="E17" i="120"/>
  <c r="F17" i="120"/>
  <c r="K17" i="120"/>
  <c r="G17" i="120"/>
  <c r="C17" i="120"/>
  <c r="I18" i="120"/>
  <c r="D18" i="120"/>
  <c r="J18" i="120"/>
  <c r="E18" i="120"/>
  <c r="F18" i="120"/>
  <c r="K18" i="120"/>
  <c r="G18" i="120"/>
  <c r="C18" i="120"/>
  <c r="I19" i="120"/>
  <c r="D19" i="120"/>
  <c r="J19" i="120"/>
  <c r="E19" i="120"/>
  <c r="F19" i="120"/>
  <c r="K19" i="120"/>
  <c r="G19" i="120"/>
  <c r="C19" i="120"/>
  <c r="I20" i="120"/>
  <c r="D20" i="120"/>
  <c r="J20" i="120"/>
  <c r="E20" i="120"/>
  <c r="F20" i="120"/>
  <c r="K20" i="120"/>
  <c r="G20" i="120"/>
  <c r="C20" i="120"/>
  <c r="I21" i="120"/>
  <c r="D21" i="120"/>
  <c r="J21" i="120"/>
  <c r="E21" i="120"/>
  <c r="F21" i="120"/>
  <c r="K21" i="120"/>
  <c r="G21" i="120"/>
  <c r="C21" i="120"/>
  <c r="I22" i="120"/>
  <c r="D22" i="120"/>
  <c r="J22" i="120"/>
  <c r="E22" i="120"/>
  <c r="F22" i="120"/>
  <c r="K22" i="120"/>
  <c r="G22" i="120"/>
  <c r="C22" i="120"/>
  <c r="I23" i="120"/>
  <c r="D23" i="120"/>
  <c r="J23" i="120"/>
  <c r="E23" i="120"/>
  <c r="F23" i="120"/>
  <c r="K23" i="120"/>
  <c r="G23" i="120"/>
  <c r="C23" i="120"/>
  <c r="I24" i="120"/>
  <c r="D24" i="120"/>
  <c r="J24" i="120"/>
  <c r="E24" i="120"/>
  <c r="F24" i="120"/>
  <c r="K24" i="120"/>
  <c r="G24" i="120"/>
  <c r="C24" i="120"/>
  <c r="I25" i="120"/>
  <c r="D25" i="120"/>
  <c r="J25" i="120"/>
  <c r="E25" i="120"/>
  <c r="F25" i="120"/>
  <c r="K25" i="120"/>
  <c r="G25" i="120"/>
  <c r="C25" i="120"/>
  <c r="I26" i="120"/>
  <c r="D26" i="120"/>
  <c r="J26" i="120"/>
  <c r="E26" i="120"/>
  <c r="F26" i="120"/>
  <c r="K26" i="120"/>
  <c r="G26" i="120"/>
  <c r="C26" i="120"/>
  <c r="I27" i="120"/>
  <c r="D27" i="120"/>
  <c r="J27" i="120"/>
  <c r="E27" i="120"/>
  <c r="F27" i="120"/>
  <c r="K27" i="120"/>
  <c r="G27" i="120"/>
  <c r="C27" i="120"/>
  <c r="I28" i="120"/>
  <c r="D28" i="120"/>
  <c r="J28" i="120"/>
  <c r="E28" i="120"/>
  <c r="F28" i="120"/>
  <c r="K28" i="120"/>
  <c r="G28" i="120"/>
  <c r="C28" i="120"/>
  <c r="I29" i="120"/>
  <c r="D29" i="120"/>
  <c r="J29" i="120"/>
  <c r="E29" i="120"/>
  <c r="F29" i="120"/>
  <c r="K29" i="120"/>
  <c r="G29" i="120"/>
  <c r="C29" i="120"/>
  <c r="I30" i="120"/>
  <c r="D30" i="120"/>
  <c r="J30" i="120"/>
  <c r="E30" i="120"/>
  <c r="F30" i="120"/>
  <c r="K30" i="120"/>
  <c r="G30" i="120"/>
  <c r="C30" i="120"/>
  <c r="I31" i="120"/>
  <c r="D31" i="120"/>
  <c r="J31" i="120"/>
  <c r="E31" i="120"/>
  <c r="F31" i="120"/>
  <c r="K31" i="120"/>
  <c r="G31" i="120"/>
  <c r="C31" i="120"/>
  <c r="I32" i="120"/>
  <c r="D32" i="120"/>
  <c r="J32" i="120"/>
  <c r="E32" i="120"/>
  <c r="F32" i="120"/>
  <c r="K32" i="120"/>
  <c r="G32" i="120"/>
  <c r="C32" i="120"/>
  <c r="I33" i="120"/>
  <c r="D33" i="120"/>
  <c r="J33" i="120"/>
  <c r="E33" i="120"/>
  <c r="F33" i="120"/>
  <c r="K33" i="120"/>
  <c r="G33" i="120"/>
  <c r="C33" i="120"/>
  <c r="I34" i="120"/>
  <c r="D34" i="120"/>
  <c r="J34" i="120"/>
  <c r="E34" i="120"/>
  <c r="F34" i="120"/>
  <c r="K34" i="120"/>
  <c r="G34" i="120"/>
  <c r="C34" i="120"/>
  <c r="I35" i="120"/>
  <c r="D35" i="120"/>
  <c r="J35" i="120"/>
  <c r="E35" i="120"/>
  <c r="F35" i="120"/>
  <c r="K35" i="120"/>
  <c r="G35" i="120"/>
  <c r="C35" i="120"/>
  <c r="I36" i="120"/>
  <c r="D36" i="120"/>
  <c r="J36" i="120"/>
  <c r="E36" i="120"/>
  <c r="F36" i="120"/>
  <c r="K36" i="120"/>
  <c r="G36" i="120"/>
  <c r="C36" i="120"/>
  <c r="I37" i="120"/>
  <c r="D37" i="120"/>
  <c r="J37" i="120"/>
  <c r="E37" i="120"/>
  <c r="F37" i="120"/>
  <c r="K37" i="120"/>
  <c r="G37" i="120"/>
  <c r="C37" i="120"/>
  <c r="I38" i="120"/>
  <c r="D38" i="120"/>
  <c r="J38" i="120"/>
  <c r="E38" i="120"/>
  <c r="F38" i="120"/>
  <c r="K38" i="120"/>
  <c r="G38" i="120"/>
  <c r="C38" i="120"/>
  <c r="I39" i="120"/>
  <c r="D39" i="120"/>
  <c r="J39" i="120"/>
  <c r="E39" i="120"/>
  <c r="F39" i="120"/>
  <c r="K39" i="120"/>
  <c r="G39" i="120"/>
  <c r="C39" i="120"/>
  <c r="I40" i="120"/>
  <c r="D40" i="120"/>
  <c r="J40" i="120"/>
  <c r="E40" i="120"/>
  <c r="F40" i="120"/>
  <c r="K40" i="120"/>
  <c r="G40" i="120"/>
  <c r="C40" i="120"/>
  <c r="I41" i="120"/>
  <c r="D41" i="120"/>
  <c r="J41" i="120"/>
  <c r="E41" i="120"/>
  <c r="F41" i="120"/>
  <c r="K41" i="120"/>
  <c r="G41" i="120"/>
  <c r="C41" i="120"/>
  <c r="I42" i="120"/>
  <c r="D42" i="120"/>
  <c r="J42" i="120"/>
  <c r="E42" i="120"/>
  <c r="F42" i="120"/>
  <c r="K42" i="120"/>
  <c r="G42" i="120"/>
  <c r="C42" i="120"/>
  <c r="I43" i="120"/>
  <c r="D43" i="120"/>
  <c r="J43" i="120"/>
  <c r="E43" i="120"/>
  <c r="F43" i="120"/>
  <c r="K43" i="120"/>
  <c r="G43" i="120"/>
  <c r="C43" i="120"/>
  <c r="I44" i="120"/>
  <c r="D44" i="120"/>
  <c r="J44" i="120"/>
  <c r="E44" i="120"/>
  <c r="F44" i="120"/>
  <c r="K44" i="120"/>
  <c r="G44" i="120"/>
  <c r="C44" i="120"/>
  <c r="I45" i="120"/>
  <c r="D45" i="120"/>
  <c r="J45" i="120"/>
  <c r="E45" i="120"/>
  <c r="F45" i="120"/>
  <c r="K45" i="120"/>
  <c r="G45" i="120"/>
  <c r="C45" i="120"/>
  <c r="I46" i="120"/>
  <c r="D46" i="120"/>
  <c r="J46" i="120"/>
  <c r="E46" i="120"/>
  <c r="F46" i="120"/>
  <c r="K46" i="120"/>
  <c r="G46" i="120"/>
  <c r="C46" i="120"/>
  <c r="I47" i="120"/>
  <c r="D47" i="120"/>
  <c r="J47" i="120"/>
  <c r="E47" i="120"/>
  <c r="F47" i="120"/>
  <c r="K47" i="120"/>
  <c r="G47" i="120"/>
  <c r="C47" i="120"/>
  <c r="I48" i="120"/>
  <c r="D48" i="120"/>
  <c r="J48" i="120"/>
  <c r="E48" i="120"/>
  <c r="F48" i="120"/>
  <c r="K48" i="120"/>
  <c r="G48" i="120"/>
  <c r="C48" i="120"/>
  <c r="I49" i="120"/>
  <c r="D49" i="120"/>
  <c r="J49" i="120"/>
  <c r="E49" i="120"/>
  <c r="F49" i="120"/>
  <c r="K49" i="120"/>
  <c r="G49" i="120"/>
  <c r="C49" i="120"/>
  <c r="I50" i="120"/>
  <c r="D50" i="120"/>
  <c r="J50" i="120"/>
  <c r="E50" i="120"/>
  <c r="F50" i="120"/>
  <c r="K50" i="120"/>
  <c r="G50" i="120"/>
  <c r="C50" i="120"/>
  <c r="I51" i="120"/>
  <c r="D51" i="120"/>
  <c r="J51" i="120"/>
  <c r="E51" i="120"/>
  <c r="F51" i="120"/>
  <c r="K51" i="120"/>
  <c r="G51" i="120"/>
  <c r="C51" i="120"/>
  <c r="I52" i="120"/>
  <c r="D52" i="120"/>
  <c r="J52" i="120"/>
  <c r="E52" i="120"/>
  <c r="F52" i="120"/>
  <c r="K52" i="120"/>
  <c r="G52" i="120"/>
  <c r="C52" i="120"/>
  <c r="I53" i="120"/>
  <c r="D53" i="120"/>
  <c r="J53" i="120"/>
  <c r="E53" i="120"/>
  <c r="F53" i="120"/>
  <c r="K53" i="120"/>
  <c r="G53" i="120"/>
  <c r="C53" i="120"/>
  <c r="I54" i="120"/>
  <c r="D54" i="120"/>
  <c r="J54" i="120"/>
  <c r="E54" i="120"/>
  <c r="F54" i="120"/>
  <c r="K54" i="120"/>
  <c r="G54" i="120"/>
  <c r="C54" i="120"/>
  <c r="I55" i="120"/>
  <c r="D55" i="120"/>
  <c r="J55" i="120"/>
  <c r="E55" i="120"/>
  <c r="F55" i="120"/>
  <c r="K55" i="120"/>
  <c r="G55" i="120"/>
  <c r="C55" i="120"/>
  <c r="I56" i="120"/>
  <c r="D56" i="120"/>
  <c r="J56" i="120"/>
  <c r="E56" i="120"/>
  <c r="F56" i="120"/>
  <c r="K56" i="120"/>
  <c r="G56" i="120"/>
  <c r="C56" i="120"/>
  <c r="I57" i="120"/>
  <c r="D57" i="120"/>
  <c r="J57" i="120"/>
  <c r="E57" i="120"/>
  <c r="F57" i="120"/>
  <c r="K57" i="120"/>
  <c r="G57" i="120"/>
  <c r="C57" i="120"/>
  <c r="I58" i="120"/>
  <c r="D58" i="120"/>
  <c r="J58" i="120"/>
  <c r="E58" i="120"/>
  <c r="F58" i="120"/>
  <c r="K58" i="120"/>
  <c r="G58" i="120"/>
  <c r="C58" i="120"/>
  <c r="I59" i="120"/>
  <c r="D59" i="120"/>
  <c r="J59" i="120"/>
  <c r="E59" i="120"/>
  <c r="F59" i="120"/>
  <c r="K59" i="120"/>
  <c r="G59" i="120"/>
  <c r="C59" i="120"/>
  <c r="I60" i="120"/>
  <c r="D60" i="120"/>
  <c r="J60" i="120"/>
  <c r="E60" i="120"/>
  <c r="F60" i="120"/>
  <c r="K60" i="120"/>
  <c r="G60" i="120"/>
  <c r="C60" i="120"/>
  <c r="I61" i="120"/>
  <c r="D61" i="120"/>
  <c r="J61" i="120"/>
  <c r="E61" i="120"/>
  <c r="F61" i="120"/>
  <c r="K61" i="120"/>
  <c r="G61" i="120"/>
  <c r="C61" i="120"/>
  <c r="I62" i="120"/>
  <c r="D62" i="120"/>
  <c r="J62" i="120"/>
  <c r="E62" i="120"/>
  <c r="F62" i="120"/>
  <c r="K62" i="120"/>
  <c r="G62" i="120"/>
  <c r="C62" i="120"/>
  <c r="I63" i="120"/>
  <c r="D63" i="120"/>
  <c r="J63" i="120"/>
  <c r="E63" i="120"/>
  <c r="F63" i="120"/>
  <c r="K63" i="120"/>
  <c r="G63" i="120"/>
  <c r="C63" i="120"/>
  <c r="I64" i="120"/>
  <c r="D64" i="120"/>
  <c r="J64" i="120"/>
  <c r="E64" i="120"/>
  <c r="F64" i="120"/>
  <c r="K64" i="120"/>
  <c r="G64" i="120"/>
  <c r="C64" i="120"/>
  <c r="I65" i="120"/>
  <c r="D65" i="120"/>
  <c r="J65" i="120"/>
  <c r="E65" i="120"/>
  <c r="F65" i="120"/>
  <c r="K65" i="120"/>
  <c r="G65" i="120"/>
  <c r="C65" i="120"/>
  <c r="I66" i="120"/>
  <c r="D66" i="120"/>
  <c r="J66" i="120"/>
  <c r="E66" i="120"/>
  <c r="F66" i="120"/>
  <c r="K66" i="120"/>
  <c r="G66" i="120"/>
  <c r="C66" i="120"/>
  <c r="I67" i="120"/>
  <c r="D67" i="120"/>
  <c r="J67" i="120"/>
  <c r="E67" i="120"/>
  <c r="F67" i="120"/>
  <c r="K67" i="120"/>
  <c r="G67" i="120"/>
  <c r="C67" i="120"/>
  <c r="I68" i="120"/>
  <c r="D68" i="120"/>
  <c r="J68" i="120"/>
  <c r="E68" i="120"/>
  <c r="F68" i="120"/>
  <c r="K68" i="120"/>
  <c r="G68" i="120"/>
  <c r="C68" i="120"/>
  <c r="I69" i="120"/>
  <c r="D69" i="120"/>
  <c r="J69" i="120"/>
  <c r="E69" i="120"/>
  <c r="F69" i="120"/>
  <c r="K69" i="120"/>
  <c r="G69" i="120"/>
  <c r="C69" i="120"/>
  <c r="I70" i="120"/>
  <c r="D70" i="120"/>
  <c r="J70" i="120"/>
  <c r="E70" i="120"/>
  <c r="F70" i="120"/>
  <c r="K70" i="120"/>
  <c r="G70" i="120"/>
  <c r="C70" i="120"/>
  <c r="I71" i="120"/>
  <c r="D71" i="120"/>
  <c r="J71" i="120"/>
  <c r="E71" i="120"/>
  <c r="F71" i="120"/>
  <c r="K71" i="120"/>
  <c r="G71" i="120"/>
  <c r="C71" i="120"/>
  <c r="I72" i="120"/>
  <c r="D72" i="120"/>
  <c r="J72" i="120"/>
  <c r="E72" i="120"/>
  <c r="F72" i="120"/>
  <c r="K72" i="120"/>
  <c r="G72" i="120"/>
  <c r="C72" i="120"/>
  <c r="I73" i="120"/>
  <c r="D73" i="120"/>
  <c r="J73" i="120"/>
  <c r="E73" i="120"/>
  <c r="F73" i="120"/>
  <c r="K73" i="120"/>
  <c r="G73" i="120"/>
  <c r="C73" i="120"/>
  <c r="I74" i="120"/>
  <c r="D74" i="120"/>
  <c r="J74" i="120"/>
  <c r="E74" i="120"/>
  <c r="F74" i="120"/>
  <c r="K74" i="120"/>
  <c r="G74" i="120"/>
  <c r="C74" i="120"/>
  <c r="I75" i="120"/>
  <c r="D75" i="120"/>
  <c r="J75" i="120"/>
  <c r="E75" i="120"/>
  <c r="F75" i="120"/>
  <c r="K75" i="120"/>
  <c r="G75" i="120"/>
  <c r="C75" i="120"/>
  <c r="I76" i="120"/>
  <c r="D76" i="120"/>
  <c r="J76" i="120"/>
  <c r="E76" i="120"/>
  <c r="F76" i="120"/>
  <c r="K76" i="120"/>
  <c r="G76" i="120"/>
  <c r="C76" i="120"/>
  <c r="I77" i="120"/>
  <c r="D77" i="120"/>
  <c r="J77" i="120"/>
  <c r="E77" i="120"/>
  <c r="F77" i="120"/>
  <c r="K77" i="120"/>
  <c r="G77" i="120"/>
  <c r="C77" i="120"/>
  <c r="I78" i="120"/>
  <c r="D78" i="120"/>
  <c r="J78" i="120"/>
  <c r="E78" i="120"/>
  <c r="F78" i="120"/>
  <c r="K78" i="120"/>
  <c r="G78" i="120"/>
  <c r="C78" i="120"/>
  <c r="I79" i="120"/>
  <c r="D79" i="120"/>
  <c r="J79" i="120"/>
  <c r="E79" i="120"/>
  <c r="F79" i="120"/>
  <c r="K79" i="120"/>
  <c r="G79" i="120"/>
  <c r="C79" i="120"/>
  <c r="I80" i="120"/>
  <c r="D80" i="120"/>
  <c r="J80" i="120"/>
  <c r="E80" i="120"/>
  <c r="F80" i="120"/>
  <c r="K80" i="120"/>
  <c r="G80" i="120"/>
  <c r="C80" i="120"/>
  <c r="I81" i="120"/>
  <c r="D81" i="120"/>
  <c r="J81" i="120"/>
  <c r="E81" i="120"/>
  <c r="F81" i="120"/>
  <c r="K81" i="120"/>
  <c r="G81" i="120"/>
  <c r="C81" i="120"/>
  <c r="I82" i="120"/>
  <c r="D82" i="120"/>
  <c r="J82" i="120"/>
  <c r="E82" i="120"/>
  <c r="F82" i="120"/>
  <c r="K82" i="120"/>
  <c r="G82" i="120"/>
  <c r="C82" i="120"/>
  <c r="I83" i="120"/>
  <c r="D83" i="120"/>
  <c r="J83" i="120"/>
  <c r="E83" i="120"/>
  <c r="F83" i="120"/>
  <c r="K83" i="120"/>
  <c r="G83" i="120"/>
  <c r="C83" i="120"/>
  <c r="I84" i="120"/>
  <c r="D84" i="120"/>
  <c r="J84" i="120"/>
  <c r="E84" i="120"/>
  <c r="F84" i="120"/>
  <c r="K84" i="120"/>
  <c r="G84" i="120"/>
  <c r="C84" i="120"/>
  <c r="I85" i="120"/>
  <c r="D85" i="120"/>
  <c r="J85" i="120"/>
  <c r="E85" i="120"/>
  <c r="F85" i="120"/>
  <c r="K85" i="120"/>
  <c r="G85" i="120"/>
  <c r="C85" i="120"/>
  <c r="I86" i="120"/>
  <c r="D86" i="120"/>
  <c r="J86" i="120"/>
  <c r="E86" i="120"/>
  <c r="F86" i="120"/>
  <c r="K86" i="120"/>
  <c r="G86" i="120"/>
  <c r="C86" i="120"/>
  <c r="I87" i="120"/>
  <c r="D87" i="120"/>
  <c r="J87" i="120"/>
  <c r="E87" i="120"/>
  <c r="F87" i="120"/>
  <c r="K87" i="120"/>
  <c r="G87" i="120"/>
  <c r="C87" i="120"/>
  <c r="I88" i="120"/>
  <c r="D88" i="120"/>
  <c r="J88" i="120"/>
  <c r="E88" i="120"/>
  <c r="F88" i="120"/>
  <c r="K88" i="120"/>
  <c r="G88" i="120"/>
  <c r="C88" i="120"/>
  <c r="I89" i="120"/>
  <c r="D89" i="120"/>
  <c r="J89" i="120"/>
  <c r="E89" i="120"/>
  <c r="F89" i="120"/>
  <c r="K89" i="120"/>
  <c r="G89" i="120"/>
  <c r="C89" i="120"/>
  <c r="I90" i="120"/>
  <c r="D90" i="120"/>
  <c r="J90" i="120"/>
  <c r="E90" i="120"/>
  <c r="F90" i="120"/>
  <c r="K90" i="120"/>
  <c r="G90" i="120"/>
  <c r="C90" i="120"/>
  <c r="I91" i="120"/>
  <c r="D91" i="120"/>
  <c r="J91" i="120"/>
  <c r="E91" i="120"/>
  <c r="F91" i="120"/>
  <c r="K91" i="120"/>
  <c r="G91" i="120"/>
  <c r="C91" i="120"/>
  <c r="I92" i="120"/>
  <c r="D92" i="120"/>
  <c r="J92" i="120"/>
  <c r="E92" i="120"/>
  <c r="F92" i="120"/>
  <c r="K92" i="120"/>
  <c r="G92" i="120"/>
  <c r="C92" i="120"/>
  <c r="I93" i="120"/>
  <c r="D93" i="120"/>
  <c r="J93" i="120"/>
  <c r="E93" i="120"/>
  <c r="F93" i="120"/>
  <c r="K93" i="120"/>
  <c r="G93" i="120"/>
  <c r="C93" i="120"/>
  <c r="I94" i="120"/>
  <c r="D94" i="120"/>
  <c r="J94" i="120"/>
  <c r="E94" i="120"/>
  <c r="F94" i="120"/>
  <c r="K94" i="120"/>
  <c r="G94" i="120"/>
  <c r="C94" i="120"/>
  <c r="I95" i="120"/>
  <c r="D95" i="120"/>
  <c r="J95" i="120"/>
  <c r="E95" i="120"/>
  <c r="F95" i="120"/>
  <c r="K95" i="120"/>
  <c r="G95" i="120"/>
  <c r="C95" i="120"/>
  <c r="I96" i="120"/>
  <c r="D96" i="120"/>
  <c r="J96" i="120"/>
  <c r="E96" i="120"/>
  <c r="F96" i="120"/>
  <c r="K96" i="120"/>
  <c r="G96" i="120"/>
  <c r="C96" i="120"/>
  <c r="I97" i="120"/>
  <c r="D97" i="120"/>
  <c r="J97" i="120"/>
  <c r="E97" i="120"/>
  <c r="F97" i="120"/>
  <c r="K97" i="120"/>
  <c r="G97" i="120"/>
  <c r="C97" i="120"/>
  <c r="I98" i="120"/>
  <c r="D98" i="120"/>
  <c r="J98" i="120"/>
  <c r="E98" i="120"/>
  <c r="F98" i="120"/>
  <c r="K98" i="120"/>
  <c r="G98" i="120"/>
  <c r="C98" i="120"/>
  <c r="I99" i="120"/>
  <c r="D99" i="120"/>
  <c r="J99" i="120"/>
  <c r="E99" i="120"/>
  <c r="F99" i="120"/>
  <c r="K99" i="120"/>
  <c r="G99" i="120"/>
  <c r="C99" i="120"/>
  <c r="I100" i="120"/>
  <c r="D100" i="120"/>
  <c r="J100" i="120"/>
  <c r="E100" i="120"/>
  <c r="F100" i="120"/>
  <c r="K100" i="120"/>
  <c r="G100" i="120"/>
  <c r="C100" i="120"/>
  <c r="I101" i="120"/>
  <c r="D101" i="120"/>
  <c r="J101" i="120"/>
  <c r="E101" i="120"/>
  <c r="F101" i="120"/>
  <c r="K101" i="120"/>
  <c r="G101" i="120"/>
  <c r="C101" i="120"/>
  <c r="I102" i="120"/>
  <c r="D102" i="120"/>
  <c r="J102" i="120"/>
  <c r="E102" i="120"/>
  <c r="F102" i="120"/>
  <c r="K102" i="120"/>
  <c r="G102" i="120"/>
  <c r="C102" i="120"/>
  <c r="I103" i="120"/>
  <c r="D103" i="120"/>
  <c r="J103" i="120"/>
  <c r="E103" i="120"/>
  <c r="F103" i="120"/>
  <c r="K103" i="120"/>
  <c r="G103" i="120"/>
  <c r="C103" i="120"/>
  <c r="I104" i="120"/>
  <c r="D104" i="120"/>
  <c r="J104" i="120"/>
  <c r="E104" i="120"/>
  <c r="F104" i="120"/>
  <c r="K104" i="120"/>
  <c r="G104" i="120"/>
  <c r="C104" i="120"/>
  <c r="I105" i="120"/>
  <c r="D105" i="120"/>
  <c r="J105" i="120"/>
  <c r="E105" i="120"/>
  <c r="F105" i="120"/>
  <c r="K105" i="120"/>
  <c r="G105" i="120"/>
  <c r="C105" i="120"/>
  <c r="I106" i="120"/>
  <c r="D106" i="120"/>
  <c r="J106" i="120"/>
  <c r="E106" i="120"/>
  <c r="F106" i="120"/>
  <c r="K106" i="120"/>
  <c r="G106" i="120"/>
  <c r="C106" i="120"/>
  <c r="I107" i="120"/>
  <c r="D107" i="120"/>
  <c r="J107" i="120"/>
  <c r="E107" i="120"/>
  <c r="F107" i="120"/>
  <c r="K107" i="120"/>
  <c r="G107" i="120"/>
  <c r="C107" i="120"/>
  <c r="I108" i="120"/>
  <c r="D108" i="120"/>
  <c r="J108" i="120"/>
  <c r="E108" i="120"/>
  <c r="F108" i="120"/>
  <c r="K108" i="120"/>
  <c r="G108" i="120"/>
  <c r="C108" i="120"/>
  <c r="I109" i="120"/>
  <c r="D109" i="120"/>
  <c r="J109" i="120"/>
  <c r="E109" i="120"/>
  <c r="F109" i="120"/>
  <c r="K109" i="120"/>
  <c r="G109" i="120"/>
  <c r="C109" i="120"/>
  <c r="I110" i="120"/>
  <c r="D110" i="120"/>
  <c r="J110" i="120"/>
  <c r="E110" i="120"/>
  <c r="F110" i="120"/>
  <c r="K110" i="120"/>
  <c r="G110" i="120"/>
  <c r="C110" i="120"/>
  <c r="I111" i="120"/>
  <c r="D111" i="120"/>
  <c r="J111" i="120"/>
  <c r="E111" i="120"/>
  <c r="F111" i="120"/>
  <c r="K111" i="120"/>
  <c r="G111" i="120"/>
  <c r="C111" i="120"/>
  <c r="I112" i="120"/>
  <c r="D112" i="120"/>
  <c r="J112" i="120"/>
  <c r="E112" i="120"/>
  <c r="F112" i="120"/>
  <c r="K112" i="120"/>
  <c r="G112" i="120"/>
  <c r="C112" i="120"/>
  <c r="I113" i="120"/>
  <c r="D113" i="120"/>
  <c r="J113" i="120"/>
  <c r="E113" i="120"/>
  <c r="F113" i="120"/>
  <c r="K113" i="120"/>
  <c r="G113" i="120"/>
  <c r="C113" i="120"/>
  <c r="I114" i="120"/>
  <c r="D114" i="120"/>
  <c r="J114" i="120"/>
  <c r="E114" i="120"/>
  <c r="F114" i="120"/>
  <c r="K114" i="120"/>
  <c r="G114" i="120"/>
  <c r="C114" i="120"/>
  <c r="I115" i="120"/>
  <c r="D115" i="120"/>
  <c r="J115" i="120"/>
  <c r="E115" i="120"/>
  <c r="F115" i="120"/>
  <c r="K115" i="120"/>
  <c r="G115" i="120"/>
  <c r="C115" i="120"/>
  <c r="I116" i="120"/>
  <c r="D116" i="120"/>
  <c r="J116" i="120"/>
  <c r="E116" i="120"/>
  <c r="F116" i="120"/>
  <c r="K116" i="120"/>
  <c r="G116" i="120"/>
  <c r="C116" i="120"/>
  <c r="I117" i="120"/>
  <c r="D117" i="120"/>
  <c r="J117" i="120"/>
  <c r="E117" i="120"/>
  <c r="F117" i="120"/>
  <c r="K117" i="120"/>
  <c r="G117" i="120"/>
  <c r="C117" i="120"/>
  <c r="I118" i="120"/>
  <c r="D118" i="120"/>
  <c r="J118" i="120"/>
  <c r="E118" i="120"/>
  <c r="F118" i="120"/>
  <c r="K118" i="120"/>
  <c r="G118" i="120"/>
  <c r="C118" i="120"/>
  <c r="I119" i="120"/>
  <c r="D119" i="120"/>
  <c r="J119" i="120"/>
  <c r="E119" i="120"/>
  <c r="F119" i="120"/>
  <c r="K119" i="120"/>
  <c r="G119" i="120"/>
  <c r="C119" i="120"/>
  <c r="I120" i="120"/>
  <c r="D120" i="120"/>
  <c r="J120" i="120"/>
  <c r="E120" i="120"/>
  <c r="F120" i="120"/>
  <c r="K120" i="120"/>
  <c r="G120" i="120"/>
  <c r="C120" i="120"/>
  <c r="I121" i="120"/>
  <c r="D121" i="120"/>
  <c r="J121" i="120"/>
  <c r="E121" i="120"/>
  <c r="F121" i="120"/>
  <c r="K121" i="120"/>
  <c r="G121" i="120"/>
  <c r="C121" i="120"/>
  <c r="I122" i="120"/>
  <c r="D122" i="120"/>
  <c r="J122" i="120"/>
  <c r="E122" i="120"/>
  <c r="F122" i="120"/>
  <c r="K122" i="120"/>
  <c r="G122" i="120"/>
  <c r="C122" i="120"/>
  <c r="I123" i="120"/>
  <c r="D123" i="120"/>
  <c r="J123" i="120"/>
  <c r="E123" i="120"/>
  <c r="F123" i="120"/>
  <c r="K123" i="120"/>
  <c r="G123" i="120"/>
  <c r="C123" i="120"/>
  <c r="I124" i="120"/>
  <c r="D124" i="120"/>
  <c r="J124" i="120"/>
  <c r="E124" i="120"/>
  <c r="F124" i="120"/>
  <c r="K124" i="120"/>
  <c r="G124" i="120"/>
  <c r="C124" i="120"/>
  <c r="I125" i="120"/>
  <c r="D125" i="120"/>
  <c r="J125" i="120"/>
  <c r="E125" i="120"/>
  <c r="F125" i="120"/>
  <c r="K125" i="120"/>
  <c r="G125" i="120"/>
  <c r="C125" i="120"/>
  <c r="I126" i="120"/>
  <c r="D126" i="120"/>
  <c r="J126" i="120"/>
  <c r="E126" i="120"/>
  <c r="F126" i="120"/>
  <c r="K126" i="120"/>
  <c r="G126" i="120"/>
  <c r="C126" i="120"/>
  <c r="I127" i="120"/>
  <c r="D127" i="120"/>
  <c r="J127" i="120"/>
  <c r="E127" i="120"/>
  <c r="F127" i="120"/>
  <c r="K127" i="120"/>
  <c r="G127" i="120"/>
  <c r="C127" i="120"/>
  <c r="I128" i="120"/>
  <c r="D128" i="120"/>
  <c r="J128" i="120"/>
  <c r="E128" i="120"/>
  <c r="F128" i="120"/>
  <c r="K128" i="120"/>
  <c r="G128" i="120"/>
  <c r="C128" i="120"/>
  <c r="I129" i="120"/>
  <c r="D129" i="120"/>
  <c r="J129" i="120"/>
  <c r="E129" i="120"/>
  <c r="F129" i="120"/>
  <c r="K129" i="120"/>
  <c r="G129" i="120"/>
  <c r="C129" i="120"/>
  <c r="I130" i="120"/>
  <c r="D130" i="120"/>
  <c r="J130" i="120"/>
  <c r="E130" i="120"/>
  <c r="F130" i="120"/>
  <c r="K130" i="120"/>
  <c r="G130" i="120"/>
  <c r="C130" i="120"/>
  <c r="I131" i="120"/>
  <c r="D131" i="120"/>
  <c r="J131" i="120"/>
  <c r="E131" i="120"/>
  <c r="F131" i="120"/>
  <c r="K131" i="120"/>
  <c r="G131" i="120"/>
  <c r="C131" i="120"/>
  <c r="I132" i="120"/>
  <c r="D132" i="120"/>
  <c r="J132" i="120"/>
  <c r="E132" i="120"/>
  <c r="F132" i="120"/>
  <c r="K132" i="120"/>
  <c r="G132" i="120"/>
  <c r="C132" i="120"/>
  <c r="I133" i="120"/>
  <c r="D133" i="120"/>
  <c r="J133" i="120"/>
  <c r="E133" i="120"/>
  <c r="F133" i="120"/>
  <c r="K133" i="120"/>
  <c r="G133" i="120"/>
  <c r="C133" i="120"/>
  <c r="I134" i="120"/>
  <c r="D134" i="120"/>
  <c r="J134" i="120"/>
  <c r="E134" i="120"/>
  <c r="F134" i="120"/>
  <c r="K134" i="120"/>
  <c r="G134" i="120"/>
  <c r="C134" i="120"/>
  <c r="I135" i="120"/>
  <c r="D135" i="120"/>
  <c r="J135" i="120"/>
  <c r="E135" i="120"/>
  <c r="F135" i="120"/>
  <c r="K135" i="120"/>
  <c r="G135" i="120"/>
  <c r="C135" i="120"/>
  <c r="I136" i="120"/>
  <c r="D136" i="120"/>
  <c r="J136" i="120"/>
  <c r="E136" i="120"/>
  <c r="F136" i="120"/>
  <c r="K136" i="120"/>
  <c r="G136" i="120"/>
  <c r="C136" i="120"/>
  <c r="I137" i="120"/>
  <c r="D137" i="120"/>
  <c r="J137" i="120"/>
  <c r="E137" i="120"/>
  <c r="F137" i="120"/>
  <c r="K137" i="120"/>
  <c r="G137" i="120"/>
  <c r="C137" i="120"/>
  <c r="I138" i="120"/>
  <c r="D138" i="120"/>
  <c r="J138" i="120"/>
  <c r="E138" i="120"/>
  <c r="F138" i="120"/>
  <c r="K138" i="120"/>
  <c r="G138" i="120"/>
  <c r="C138" i="120"/>
  <c r="I139" i="120"/>
  <c r="D139" i="120"/>
  <c r="J139" i="120"/>
  <c r="E139" i="120"/>
  <c r="F139" i="120"/>
  <c r="K139" i="120"/>
  <c r="G139" i="120"/>
  <c r="C139" i="120"/>
  <c r="I140" i="120"/>
  <c r="D140" i="120"/>
  <c r="J140" i="120"/>
  <c r="E140" i="120"/>
  <c r="F140" i="120"/>
  <c r="K140" i="120"/>
  <c r="G140" i="120"/>
  <c r="C140" i="120"/>
  <c r="I141" i="120"/>
  <c r="D141" i="120"/>
  <c r="J141" i="120"/>
  <c r="E141" i="120"/>
  <c r="F141" i="120"/>
  <c r="K141" i="120"/>
  <c r="G141" i="120"/>
  <c r="C141" i="120"/>
  <c r="I142" i="120"/>
  <c r="D142" i="120"/>
  <c r="J142" i="120"/>
  <c r="E142" i="120"/>
  <c r="F142" i="120"/>
  <c r="K142" i="120"/>
  <c r="G142" i="120"/>
  <c r="C142" i="120"/>
  <c r="I143" i="120"/>
  <c r="D143" i="120"/>
  <c r="J143" i="120"/>
  <c r="E143" i="120"/>
  <c r="F143" i="120"/>
  <c r="K143" i="120"/>
  <c r="G143" i="120"/>
  <c r="C143" i="120"/>
  <c r="I144" i="120"/>
  <c r="D144" i="120"/>
  <c r="J144" i="120"/>
  <c r="E144" i="120"/>
  <c r="F144" i="120"/>
  <c r="K144" i="120"/>
  <c r="G144" i="120"/>
  <c r="C144" i="120"/>
  <c r="I145" i="120"/>
  <c r="D145" i="120"/>
  <c r="J145" i="120"/>
  <c r="E145" i="120"/>
  <c r="F145" i="120"/>
  <c r="K145" i="120"/>
  <c r="G145" i="120"/>
  <c r="C145" i="120"/>
  <c r="I146" i="120"/>
  <c r="D146" i="120"/>
  <c r="J146" i="120"/>
  <c r="E146" i="120"/>
  <c r="F146" i="120"/>
  <c r="K146" i="120"/>
  <c r="G146" i="120"/>
  <c r="C146" i="120"/>
  <c r="I147" i="120"/>
  <c r="D147" i="120"/>
  <c r="J147" i="120"/>
  <c r="E147" i="120"/>
  <c r="F147" i="120"/>
  <c r="K147" i="120"/>
  <c r="G147" i="120"/>
  <c r="C147" i="120"/>
  <c r="I148" i="120"/>
  <c r="D148" i="120"/>
  <c r="J148" i="120"/>
  <c r="E148" i="120"/>
  <c r="F148" i="120"/>
  <c r="K148" i="120"/>
  <c r="G148" i="120"/>
  <c r="C148" i="120"/>
  <c r="I149" i="120"/>
  <c r="D149" i="120"/>
  <c r="J149" i="120"/>
  <c r="E149" i="120"/>
  <c r="F149" i="120"/>
  <c r="K149" i="120"/>
  <c r="G149" i="120"/>
  <c r="C149" i="120"/>
  <c r="I150" i="120"/>
  <c r="D150" i="120"/>
  <c r="J150" i="120"/>
  <c r="E150" i="120"/>
  <c r="F150" i="120"/>
  <c r="K150" i="120"/>
  <c r="G150" i="120"/>
  <c r="C150" i="120"/>
  <c r="I151" i="120"/>
  <c r="D151" i="120"/>
  <c r="J151" i="120"/>
  <c r="E151" i="120"/>
  <c r="F151" i="120"/>
  <c r="K151" i="120"/>
  <c r="G151" i="120"/>
  <c r="C151" i="120"/>
  <c r="I152" i="120"/>
  <c r="D152" i="120"/>
  <c r="J152" i="120"/>
  <c r="E152" i="120"/>
  <c r="F152" i="120"/>
  <c r="K152" i="120"/>
  <c r="G152" i="120"/>
  <c r="C152" i="120"/>
  <c r="I153" i="120"/>
  <c r="D153" i="120"/>
  <c r="J153" i="120"/>
  <c r="E153" i="120"/>
  <c r="F153" i="120"/>
  <c r="K153" i="120"/>
  <c r="G153" i="120"/>
  <c r="C153" i="120"/>
  <c r="I154" i="120"/>
  <c r="D154" i="120"/>
  <c r="J154" i="120"/>
  <c r="E154" i="120"/>
  <c r="F154" i="120"/>
  <c r="K154" i="120"/>
  <c r="G154" i="120"/>
  <c r="C154" i="120"/>
  <c r="I155" i="120"/>
  <c r="D155" i="120"/>
  <c r="J155" i="120"/>
  <c r="E155" i="120"/>
  <c r="F155" i="120"/>
  <c r="K155" i="120"/>
  <c r="G155" i="120"/>
  <c r="C155" i="120"/>
  <c r="I156" i="120"/>
  <c r="D156" i="120"/>
  <c r="J156" i="120"/>
  <c r="E156" i="120"/>
  <c r="F156" i="120"/>
  <c r="K156" i="120"/>
  <c r="G156" i="120"/>
  <c r="C156" i="120"/>
  <c r="I157" i="120"/>
  <c r="D157" i="120"/>
  <c r="J157" i="120"/>
  <c r="E157" i="120"/>
  <c r="F157" i="120"/>
  <c r="K157" i="120"/>
  <c r="G157" i="120"/>
  <c r="C157" i="120"/>
  <c r="I158" i="120"/>
  <c r="D158" i="120"/>
  <c r="J158" i="120"/>
  <c r="E158" i="120"/>
  <c r="F158" i="120"/>
  <c r="K158" i="120"/>
  <c r="G158" i="120"/>
  <c r="C158" i="120"/>
  <c r="I159" i="120"/>
  <c r="D159" i="120"/>
  <c r="J159" i="120"/>
  <c r="E159" i="120"/>
  <c r="F159" i="120"/>
  <c r="K159" i="120"/>
  <c r="G159" i="120"/>
  <c r="C159" i="120"/>
  <c r="I160" i="120"/>
  <c r="D160" i="120"/>
  <c r="J160" i="120"/>
  <c r="E160" i="120"/>
  <c r="F160" i="120"/>
  <c r="K160" i="120"/>
  <c r="G160" i="120"/>
  <c r="C160" i="120"/>
  <c r="I161" i="120"/>
  <c r="D161" i="120"/>
  <c r="J161" i="120"/>
  <c r="E161" i="120"/>
  <c r="F161" i="120"/>
  <c r="K161" i="120"/>
  <c r="G161" i="120"/>
  <c r="C161" i="120"/>
  <c r="I162" i="120"/>
  <c r="D162" i="120"/>
  <c r="J162" i="120"/>
  <c r="E162" i="120"/>
  <c r="F162" i="120"/>
  <c r="K162" i="120"/>
  <c r="G162" i="120"/>
  <c r="C162" i="120"/>
  <c r="I163" i="120"/>
  <c r="D163" i="120"/>
  <c r="J163" i="120"/>
  <c r="E163" i="120"/>
  <c r="F163" i="120"/>
  <c r="K163" i="120"/>
  <c r="G163" i="120"/>
  <c r="C163" i="120"/>
  <c r="I164" i="120"/>
  <c r="D164" i="120"/>
  <c r="J164" i="120"/>
  <c r="E164" i="120"/>
  <c r="F164" i="120"/>
  <c r="K164" i="120"/>
  <c r="G164" i="120"/>
  <c r="C164" i="120"/>
  <c r="I165" i="120"/>
  <c r="D165" i="120"/>
  <c r="J165" i="120"/>
  <c r="E165" i="120"/>
  <c r="F165" i="120"/>
  <c r="K165" i="120"/>
  <c r="G165" i="120"/>
  <c r="C165" i="120"/>
  <c r="I166" i="120"/>
  <c r="D166" i="120"/>
  <c r="J166" i="120"/>
  <c r="E166" i="120"/>
  <c r="F166" i="120"/>
  <c r="K166" i="120"/>
  <c r="G166" i="120"/>
  <c r="C166" i="120"/>
  <c r="I167" i="120"/>
  <c r="D167" i="120"/>
  <c r="J167" i="120"/>
  <c r="E167" i="120"/>
  <c r="F167" i="120"/>
  <c r="K167" i="120"/>
  <c r="G167" i="120"/>
  <c r="C167" i="120"/>
  <c r="I168" i="120"/>
  <c r="D168" i="120"/>
  <c r="J168" i="120"/>
  <c r="E168" i="120"/>
  <c r="F168" i="120"/>
  <c r="K168" i="120"/>
  <c r="G168" i="120"/>
  <c r="C168" i="120"/>
  <c r="I169" i="120"/>
  <c r="D169" i="120"/>
  <c r="J169" i="120"/>
  <c r="E169" i="120"/>
  <c r="F169" i="120"/>
  <c r="K169" i="120"/>
  <c r="G169" i="120"/>
  <c r="C169" i="120"/>
  <c r="I170" i="120"/>
  <c r="D170" i="120"/>
  <c r="J170" i="120"/>
  <c r="E170" i="120"/>
  <c r="F170" i="120"/>
  <c r="K170" i="120"/>
  <c r="G170" i="120"/>
  <c r="C170" i="120"/>
  <c r="I171" i="120"/>
  <c r="D171" i="120"/>
  <c r="J171" i="120"/>
  <c r="E171" i="120"/>
  <c r="F171" i="120"/>
  <c r="K171" i="120"/>
  <c r="G171" i="120"/>
  <c r="C171" i="120"/>
  <c r="I172" i="120"/>
  <c r="D172" i="120"/>
  <c r="J172" i="120"/>
  <c r="E172" i="120"/>
  <c r="F172" i="120"/>
  <c r="K172" i="120"/>
  <c r="G172" i="120"/>
  <c r="C172" i="120"/>
  <c r="I173" i="120"/>
  <c r="D173" i="120"/>
  <c r="J173" i="120"/>
  <c r="E173" i="120"/>
  <c r="F173" i="120"/>
  <c r="K173" i="120"/>
  <c r="G173" i="120"/>
  <c r="C173" i="120"/>
  <c r="I174" i="120"/>
  <c r="D174" i="120"/>
  <c r="J174" i="120"/>
  <c r="E174" i="120"/>
  <c r="F174" i="120"/>
  <c r="K174" i="120"/>
  <c r="G174" i="120"/>
  <c r="C174" i="120"/>
  <c r="I175" i="120"/>
  <c r="D175" i="120"/>
  <c r="J175" i="120"/>
  <c r="E175" i="120"/>
  <c r="F175" i="120"/>
  <c r="K175" i="120"/>
  <c r="G175" i="120"/>
  <c r="C175" i="120"/>
  <c r="I176" i="120"/>
  <c r="D176" i="120"/>
  <c r="J176" i="120"/>
  <c r="E176" i="120"/>
  <c r="F176" i="120"/>
  <c r="K176" i="120"/>
  <c r="G176" i="120"/>
  <c r="C176" i="120"/>
  <c r="I177" i="120"/>
  <c r="D177" i="120"/>
  <c r="J177" i="120"/>
  <c r="E177" i="120"/>
  <c r="F177" i="120"/>
  <c r="K177" i="120"/>
  <c r="G177" i="120"/>
  <c r="C177" i="120"/>
  <c r="I178" i="120"/>
  <c r="D178" i="120"/>
  <c r="J178" i="120"/>
  <c r="E178" i="120"/>
  <c r="F178" i="120"/>
  <c r="K178" i="120"/>
  <c r="G178" i="120"/>
  <c r="C178" i="120"/>
  <c r="I179" i="120"/>
  <c r="D179" i="120"/>
  <c r="J179" i="120"/>
  <c r="E179" i="120"/>
  <c r="F179" i="120"/>
  <c r="K179" i="120"/>
  <c r="G179" i="120"/>
  <c r="C179" i="120"/>
  <c r="I180" i="120"/>
  <c r="D180" i="120"/>
  <c r="J180" i="120"/>
  <c r="E180" i="120"/>
  <c r="F180" i="120"/>
  <c r="K180" i="120"/>
  <c r="G180" i="120"/>
  <c r="C180" i="120"/>
  <c r="I181" i="120"/>
  <c r="D181" i="120"/>
  <c r="J181" i="120"/>
  <c r="E181" i="120"/>
  <c r="F181" i="120"/>
  <c r="K181" i="120"/>
  <c r="G181" i="120"/>
  <c r="C181" i="120"/>
  <c r="I182" i="120"/>
  <c r="D182" i="120"/>
  <c r="J182" i="120"/>
  <c r="E182" i="120"/>
  <c r="F182" i="120"/>
  <c r="K182" i="120"/>
  <c r="G182" i="120"/>
  <c r="C182" i="120"/>
  <c r="I183" i="120"/>
  <c r="D183" i="120"/>
  <c r="J183" i="120"/>
  <c r="E183" i="120"/>
  <c r="F183" i="120"/>
  <c r="K183" i="120"/>
  <c r="G183" i="120"/>
  <c r="C183" i="120"/>
  <c r="I184" i="120"/>
  <c r="D184" i="120"/>
  <c r="J184" i="120"/>
  <c r="E184" i="120"/>
  <c r="F184" i="120"/>
  <c r="K184" i="120"/>
  <c r="G184" i="120"/>
  <c r="C184" i="120"/>
  <c r="I185" i="120"/>
  <c r="D185" i="120"/>
  <c r="J185" i="120"/>
  <c r="E185" i="120"/>
  <c r="F185" i="120"/>
  <c r="K185" i="120"/>
  <c r="G185" i="120"/>
  <c r="C185" i="120"/>
  <c r="I186" i="120"/>
  <c r="D186" i="120"/>
  <c r="J186" i="120"/>
  <c r="E186" i="120"/>
  <c r="F186" i="120"/>
  <c r="K186" i="120"/>
  <c r="G186" i="120"/>
  <c r="C186" i="120"/>
  <c r="I187" i="120"/>
  <c r="D187" i="120"/>
  <c r="J187" i="120"/>
  <c r="E187" i="120"/>
  <c r="F187" i="120"/>
  <c r="K187" i="120"/>
  <c r="G187" i="120"/>
  <c r="C187" i="120"/>
  <c r="I188" i="120"/>
  <c r="D188" i="120"/>
  <c r="J188" i="120"/>
  <c r="E188" i="120"/>
  <c r="F188" i="120"/>
  <c r="K188" i="120"/>
  <c r="G188" i="120"/>
  <c r="C188" i="120"/>
  <c r="I189" i="120"/>
  <c r="D189" i="120"/>
  <c r="J189" i="120"/>
  <c r="E189" i="120"/>
  <c r="F189" i="120"/>
  <c r="K189" i="120"/>
  <c r="G189" i="120"/>
  <c r="C189" i="120"/>
  <c r="I190" i="120"/>
  <c r="D190" i="120"/>
  <c r="J190" i="120"/>
  <c r="E190" i="120"/>
  <c r="F190" i="120"/>
  <c r="K190" i="120"/>
  <c r="G190" i="120"/>
  <c r="C190" i="120"/>
  <c r="I191" i="120"/>
  <c r="D191" i="120"/>
  <c r="J191" i="120"/>
  <c r="E191" i="120"/>
  <c r="F191" i="120"/>
  <c r="K191" i="120"/>
  <c r="G191" i="120"/>
  <c r="C191" i="120"/>
  <c r="I192" i="120"/>
  <c r="D192" i="120"/>
  <c r="J192" i="120"/>
  <c r="E192" i="120"/>
  <c r="F192" i="120"/>
  <c r="K192" i="120"/>
  <c r="G192" i="120"/>
  <c r="C192" i="120"/>
  <c r="I193" i="120"/>
  <c r="D193" i="120"/>
  <c r="J193" i="120"/>
  <c r="E193" i="120"/>
  <c r="F193" i="120"/>
  <c r="K193" i="120"/>
  <c r="G193" i="120"/>
  <c r="C193" i="120"/>
  <c r="I194" i="120"/>
  <c r="D194" i="120"/>
  <c r="J194" i="120"/>
  <c r="E194" i="120"/>
  <c r="F194" i="120"/>
  <c r="K194" i="120"/>
  <c r="G194" i="120"/>
  <c r="C194" i="120"/>
  <c r="I195" i="120"/>
  <c r="D195" i="120"/>
  <c r="J195" i="120"/>
  <c r="E195" i="120"/>
  <c r="F195" i="120"/>
  <c r="K195" i="120"/>
  <c r="G195" i="120"/>
  <c r="C195" i="120"/>
  <c r="I196" i="120"/>
  <c r="D196" i="120"/>
  <c r="J196" i="120"/>
  <c r="E196" i="120"/>
  <c r="F196" i="120"/>
  <c r="K196" i="120"/>
  <c r="G196" i="120"/>
  <c r="C196" i="120"/>
  <c r="I197" i="120"/>
  <c r="D197" i="120"/>
  <c r="J197" i="120"/>
  <c r="E197" i="120"/>
  <c r="F197" i="120"/>
  <c r="K197" i="120"/>
  <c r="G197" i="120"/>
  <c r="C197" i="120"/>
  <c r="I198" i="120"/>
  <c r="D198" i="120"/>
  <c r="J198" i="120"/>
  <c r="E198" i="120"/>
  <c r="F198" i="120"/>
  <c r="K198" i="120"/>
  <c r="G198" i="120"/>
  <c r="C198" i="120"/>
  <c r="I199" i="120"/>
  <c r="D199" i="120"/>
  <c r="J199" i="120"/>
  <c r="E199" i="120"/>
  <c r="F199" i="120"/>
  <c r="K199" i="120"/>
  <c r="G199" i="120"/>
  <c r="C199" i="120"/>
  <c r="I200" i="120"/>
  <c r="D200" i="120"/>
  <c r="J200" i="120"/>
  <c r="E200" i="120"/>
  <c r="F200" i="120"/>
  <c r="K200" i="120"/>
  <c r="G200" i="120"/>
  <c r="C200" i="120"/>
  <c r="I201" i="120"/>
  <c r="D201" i="120"/>
  <c r="J201" i="120"/>
  <c r="E201" i="120"/>
  <c r="F201" i="120"/>
  <c r="K201" i="120"/>
  <c r="G201" i="120"/>
  <c r="C201" i="120"/>
  <c r="I202" i="120"/>
  <c r="D202" i="120"/>
  <c r="J202" i="120"/>
  <c r="E202" i="120"/>
  <c r="F202" i="120"/>
  <c r="K202" i="120"/>
  <c r="G202" i="120"/>
  <c r="C202" i="120"/>
  <c r="I203" i="120"/>
  <c r="D203" i="120"/>
  <c r="J203" i="120"/>
  <c r="E203" i="120"/>
  <c r="F203" i="120"/>
  <c r="K203" i="120"/>
  <c r="G203" i="120"/>
  <c r="C203" i="120"/>
  <c r="I204" i="120"/>
  <c r="D204" i="120"/>
  <c r="J204" i="120"/>
  <c r="E204" i="120"/>
  <c r="F204" i="120"/>
  <c r="K204" i="120"/>
  <c r="G204" i="120"/>
  <c r="C204" i="120"/>
  <c r="I205" i="120"/>
  <c r="D205" i="120"/>
  <c r="J205" i="120"/>
  <c r="E205" i="120"/>
  <c r="F205" i="120"/>
  <c r="K205" i="120"/>
  <c r="G205" i="120"/>
  <c r="C205" i="120"/>
  <c r="I206" i="120"/>
  <c r="D206" i="120"/>
  <c r="J206" i="120"/>
  <c r="E206" i="120"/>
  <c r="F206" i="120"/>
  <c r="K206" i="120"/>
  <c r="G206" i="120"/>
  <c r="C206" i="120"/>
  <c r="I207" i="120"/>
  <c r="D207" i="120"/>
  <c r="J207" i="120"/>
  <c r="E207" i="120"/>
  <c r="F207" i="120"/>
  <c r="K207" i="120"/>
  <c r="G207" i="120"/>
  <c r="C207" i="120"/>
  <c r="I208" i="120"/>
  <c r="D208" i="120"/>
  <c r="J208" i="120"/>
  <c r="E208" i="120"/>
  <c r="F208" i="120"/>
  <c r="K208" i="120"/>
  <c r="G208" i="120"/>
  <c r="C208" i="120"/>
  <c r="I209" i="120"/>
  <c r="D209" i="120"/>
  <c r="J209" i="120"/>
  <c r="E209" i="120"/>
  <c r="F209" i="120"/>
  <c r="K209" i="120"/>
  <c r="G209" i="120"/>
  <c r="C209" i="120"/>
  <c r="I210" i="120"/>
  <c r="D210" i="120"/>
  <c r="J210" i="120"/>
  <c r="E210" i="120"/>
  <c r="F210" i="120"/>
  <c r="K210" i="120"/>
  <c r="G210" i="120"/>
  <c r="C210" i="120"/>
  <c r="I211" i="120"/>
  <c r="D211" i="120"/>
  <c r="J211" i="120"/>
  <c r="E211" i="120"/>
  <c r="F211" i="120"/>
  <c r="K211" i="120"/>
  <c r="G211" i="120"/>
  <c r="C211" i="120"/>
  <c r="I212" i="120"/>
  <c r="D212" i="120"/>
  <c r="J212" i="120"/>
  <c r="E212" i="120"/>
  <c r="F212" i="120"/>
  <c r="K212" i="120"/>
  <c r="G212" i="120"/>
  <c r="C212" i="120"/>
  <c r="I213" i="120"/>
  <c r="D213" i="120"/>
  <c r="J213" i="120"/>
  <c r="E213" i="120"/>
  <c r="F213" i="120"/>
  <c r="K213" i="120"/>
  <c r="G213" i="120"/>
  <c r="C213" i="120"/>
  <c r="I214" i="120"/>
  <c r="D214" i="120"/>
  <c r="J214" i="120"/>
  <c r="E214" i="120"/>
  <c r="F214" i="120"/>
  <c r="K214" i="120"/>
  <c r="G214" i="120"/>
  <c r="C214" i="120"/>
  <c r="I215" i="120"/>
  <c r="D215" i="120"/>
  <c r="J215" i="120"/>
  <c r="E215" i="120"/>
  <c r="F215" i="120"/>
  <c r="K215" i="120"/>
  <c r="G215" i="120"/>
  <c r="C215" i="120"/>
  <c r="I216" i="120"/>
  <c r="D216" i="120"/>
  <c r="J216" i="120"/>
  <c r="E216" i="120"/>
  <c r="F216" i="120"/>
  <c r="K216" i="120"/>
  <c r="G216" i="120"/>
  <c r="C216" i="120"/>
  <c r="I217" i="120"/>
  <c r="D217" i="120"/>
  <c r="J217" i="120"/>
  <c r="E217" i="120"/>
  <c r="F217" i="120"/>
  <c r="K217" i="120"/>
  <c r="G217" i="120"/>
  <c r="C217" i="120"/>
  <c r="I218" i="120"/>
  <c r="D218" i="120"/>
  <c r="J218" i="120"/>
  <c r="E218" i="120"/>
  <c r="F218" i="120"/>
  <c r="K218" i="120"/>
  <c r="G218" i="120"/>
  <c r="C218" i="120"/>
  <c r="I219" i="120"/>
  <c r="D219" i="120"/>
  <c r="J219" i="120"/>
  <c r="E219" i="120"/>
  <c r="F219" i="120"/>
  <c r="K219" i="120"/>
  <c r="G219" i="120"/>
  <c r="C219" i="120"/>
  <c r="I220" i="120"/>
  <c r="D220" i="120"/>
  <c r="J220" i="120"/>
  <c r="E220" i="120"/>
  <c r="F220" i="120"/>
  <c r="K220" i="120"/>
  <c r="G220" i="120"/>
  <c r="C220" i="120"/>
  <c r="I221" i="120"/>
  <c r="D221" i="120"/>
  <c r="J221" i="120"/>
  <c r="E221" i="120"/>
  <c r="F221" i="120"/>
  <c r="K221" i="120"/>
  <c r="G221" i="120"/>
  <c r="C221" i="120"/>
  <c r="I222" i="120"/>
  <c r="D222" i="120"/>
  <c r="J222" i="120"/>
  <c r="E222" i="120"/>
  <c r="F222" i="120"/>
  <c r="K222" i="120"/>
  <c r="G222" i="120"/>
  <c r="C222" i="120"/>
  <c r="I223" i="120"/>
  <c r="D223" i="120"/>
  <c r="J223" i="120"/>
  <c r="E223" i="120"/>
  <c r="F223" i="120"/>
  <c r="K223" i="120"/>
  <c r="G223" i="120"/>
  <c r="C223" i="120"/>
  <c r="I224" i="120"/>
  <c r="D224" i="120"/>
  <c r="J224" i="120"/>
  <c r="E224" i="120"/>
  <c r="F224" i="120"/>
  <c r="K224" i="120"/>
  <c r="G224" i="120"/>
  <c r="C224" i="120"/>
  <c r="I225" i="120"/>
  <c r="D225" i="120"/>
  <c r="J225" i="120"/>
  <c r="E225" i="120"/>
  <c r="F225" i="120"/>
  <c r="K225" i="120"/>
  <c r="G225" i="120"/>
  <c r="C225" i="120"/>
  <c r="I226" i="120"/>
  <c r="D226" i="120"/>
  <c r="J226" i="120"/>
  <c r="E226" i="120"/>
  <c r="F226" i="120"/>
  <c r="K226" i="120"/>
  <c r="G226" i="120"/>
  <c r="C226" i="120"/>
  <c r="I227" i="120"/>
  <c r="D227" i="120"/>
  <c r="J227" i="120"/>
  <c r="E227" i="120"/>
  <c r="F227" i="120"/>
  <c r="K227" i="120"/>
  <c r="G227" i="120"/>
  <c r="C227" i="120"/>
  <c r="I228" i="120"/>
  <c r="D228" i="120"/>
  <c r="J228" i="120"/>
  <c r="E228" i="120"/>
  <c r="F228" i="120"/>
  <c r="K228" i="120"/>
  <c r="G228" i="120"/>
  <c r="C228" i="120"/>
  <c r="I229" i="120"/>
  <c r="D229" i="120"/>
  <c r="J229" i="120"/>
  <c r="E229" i="120"/>
  <c r="F229" i="120"/>
  <c r="K229" i="120"/>
  <c r="G229" i="120"/>
  <c r="C229" i="120"/>
  <c r="I230" i="120"/>
  <c r="D230" i="120"/>
  <c r="J230" i="120"/>
  <c r="E230" i="120"/>
  <c r="F230" i="120"/>
  <c r="K230" i="120"/>
  <c r="G230" i="120"/>
  <c r="C230" i="120"/>
  <c r="I231" i="120"/>
  <c r="D231" i="120"/>
  <c r="J231" i="120"/>
  <c r="E231" i="120"/>
  <c r="F231" i="120"/>
  <c r="K231" i="120"/>
  <c r="G231" i="120"/>
  <c r="C231" i="120"/>
  <c r="I232" i="120"/>
  <c r="D232" i="120"/>
  <c r="J232" i="120"/>
  <c r="E232" i="120"/>
  <c r="F232" i="120"/>
  <c r="K232" i="120"/>
  <c r="G232" i="120"/>
  <c r="C232" i="120"/>
  <c r="I233" i="120"/>
  <c r="D233" i="120"/>
  <c r="J233" i="120"/>
  <c r="E233" i="120"/>
  <c r="F233" i="120"/>
  <c r="K233" i="120"/>
  <c r="G233" i="120"/>
  <c r="C233" i="120"/>
  <c r="I234" i="120"/>
  <c r="D234" i="120"/>
  <c r="J234" i="120"/>
  <c r="E234" i="120"/>
  <c r="F234" i="120"/>
  <c r="K234" i="120"/>
  <c r="G234" i="120"/>
  <c r="C234" i="120"/>
  <c r="I235" i="120"/>
  <c r="D235" i="120"/>
  <c r="J235" i="120"/>
  <c r="E235" i="120"/>
  <c r="F235" i="120"/>
  <c r="K235" i="120"/>
  <c r="G235" i="120"/>
  <c r="C235" i="120"/>
  <c r="I236" i="120"/>
  <c r="D236" i="120"/>
  <c r="J236" i="120"/>
  <c r="E236" i="120"/>
  <c r="F236" i="120"/>
  <c r="K236" i="120"/>
  <c r="G236" i="120"/>
  <c r="C236" i="120"/>
  <c r="I237" i="120"/>
  <c r="D237" i="120"/>
  <c r="J237" i="120"/>
  <c r="E237" i="120"/>
  <c r="F237" i="120"/>
  <c r="K237" i="120"/>
  <c r="G237" i="120"/>
  <c r="C237" i="120"/>
  <c r="I238" i="120"/>
  <c r="D238" i="120"/>
  <c r="J238" i="120"/>
  <c r="E238" i="120"/>
  <c r="F238" i="120"/>
  <c r="K238" i="120"/>
  <c r="G238" i="120"/>
  <c r="C238" i="120"/>
  <c r="I239" i="120"/>
  <c r="D239" i="120"/>
  <c r="J239" i="120"/>
  <c r="E239" i="120"/>
  <c r="F239" i="120"/>
  <c r="K239" i="120"/>
  <c r="G239" i="120"/>
  <c r="C239" i="120"/>
  <c r="I240" i="120"/>
  <c r="D240" i="120"/>
  <c r="J240" i="120"/>
  <c r="E240" i="120"/>
  <c r="F240" i="120"/>
  <c r="K240" i="120"/>
  <c r="G240" i="120"/>
  <c r="C240" i="120"/>
  <c r="I241" i="120"/>
  <c r="D241" i="120"/>
  <c r="J241" i="120"/>
  <c r="E241" i="120"/>
  <c r="F241" i="120"/>
  <c r="K241" i="120"/>
  <c r="G241" i="120"/>
  <c r="C241" i="120"/>
  <c r="I242" i="120"/>
  <c r="D242" i="120"/>
  <c r="J242" i="120"/>
  <c r="E242" i="120"/>
  <c r="F242" i="120"/>
  <c r="K242" i="120"/>
  <c r="G242" i="120"/>
  <c r="C242" i="120"/>
  <c r="I243" i="120"/>
  <c r="D243" i="120"/>
  <c r="J243" i="120"/>
  <c r="E243" i="120"/>
  <c r="F243" i="120"/>
  <c r="K243" i="120"/>
  <c r="G243" i="120"/>
  <c r="C243" i="120"/>
  <c r="I244" i="120"/>
  <c r="D244" i="120"/>
  <c r="J244" i="120"/>
  <c r="E244" i="120"/>
  <c r="F244" i="120"/>
  <c r="K244" i="120"/>
  <c r="G244" i="120"/>
  <c r="C244" i="120"/>
  <c r="I245" i="120"/>
  <c r="D245" i="120"/>
  <c r="J245" i="120"/>
  <c r="E245" i="120"/>
  <c r="F245" i="120"/>
  <c r="K245" i="120"/>
  <c r="G245" i="120"/>
  <c r="C245" i="120"/>
  <c r="I246" i="120"/>
  <c r="D246" i="120"/>
  <c r="J246" i="120"/>
  <c r="E246" i="120"/>
  <c r="F246" i="120"/>
  <c r="K246" i="120"/>
  <c r="G246" i="120"/>
  <c r="C246" i="120"/>
  <c r="I247" i="120"/>
  <c r="D247" i="120"/>
  <c r="J247" i="120"/>
  <c r="E247" i="120"/>
  <c r="F247" i="120"/>
  <c r="K247" i="120"/>
  <c r="G247" i="120"/>
  <c r="C247" i="120"/>
  <c r="I248" i="120"/>
  <c r="D248" i="120"/>
  <c r="J248" i="120"/>
  <c r="E248" i="120"/>
  <c r="F248" i="120"/>
  <c r="K248" i="120"/>
  <c r="G248" i="120"/>
  <c r="C248" i="120"/>
  <c r="I249" i="120"/>
  <c r="D249" i="120"/>
  <c r="J249" i="120"/>
  <c r="E249" i="120"/>
  <c r="F249" i="120"/>
  <c r="K249" i="120"/>
  <c r="G249" i="120"/>
  <c r="C249" i="120"/>
  <c r="I250" i="120"/>
  <c r="D250" i="120"/>
  <c r="J250" i="120"/>
  <c r="E250" i="120"/>
  <c r="F250" i="120"/>
  <c r="K250" i="120"/>
  <c r="G250" i="120"/>
  <c r="C250" i="120"/>
  <c r="I251" i="120"/>
  <c r="D251" i="120"/>
  <c r="J251" i="120"/>
  <c r="E251" i="120"/>
  <c r="F251" i="120"/>
  <c r="K251" i="120"/>
  <c r="G251" i="120"/>
  <c r="C251" i="120"/>
  <c r="I252" i="120"/>
  <c r="D252" i="120"/>
  <c r="J252" i="120"/>
  <c r="E252" i="120"/>
  <c r="F252" i="120"/>
  <c r="K252" i="120"/>
  <c r="G252" i="120"/>
  <c r="C252" i="120"/>
  <c r="I253" i="120"/>
  <c r="D253" i="120"/>
  <c r="J253" i="120"/>
  <c r="E253" i="120"/>
  <c r="F253" i="120"/>
  <c r="K253" i="120"/>
  <c r="G253" i="120"/>
  <c r="C253" i="120"/>
  <c r="I254" i="120"/>
  <c r="D254" i="120"/>
  <c r="J254" i="120"/>
  <c r="E254" i="120"/>
  <c r="F254" i="120"/>
  <c r="K254" i="120"/>
  <c r="G254" i="120"/>
  <c r="C254" i="120"/>
  <c r="I255" i="120"/>
  <c r="D255" i="120"/>
  <c r="J255" i="120"/>
  <c r="E255" i="120"/>
  <c r="F255" i="120"/>
  <c r="K255" i="120"/>
  <c r="G255" i="120"/>
  <c r="C255" i="120"/>
  <c r="I256" i="120"/>
  <c r="D256" i="120"/>
  <c r="J256" i="120"/>
  <c r="E256" i="120"/>
  <c r="F256" i="120"/>
  <c r="K256" i="120"/>
  <c r="G256" i="120"/>
  <c r="C256" i="120"/>
  <c r="I257" i="120"/>
  <c r="D257" i="120"/>
  <c r="J257" i="120"/>
  <c r="E257" i="120"/>
  <c r="F257" i="120"/>
  <c r="K257" i="120"/>
  <c r="G257" i="120"/>
  <c r="C257" i="120"/>
  <c r="I258" i="120"/>
  <c r="D258" i="120"/>
  <c r="J258" i="120"/>
  <c r="E258" i="120"/>
  <c r="F258" i="120"/>
  <c r="K258" i="120"/>
  <c r="G258" i="120"/>
  <c r="C258" i="120"/>
  <c r="I259" i="120"/>
  <c r="D259" i="120"/>
  <c r="J259" i="120"/>
  <c r="E259" i="120"/>
  <c r="F259" i="120"/>
  <c r="K259" i="120"/>
  <c r="G259" i="120"/>
  <c r="C259" i="120"/>
  <c r="I260" i="120"/>
  <c r="D260" i="120"/>
  <c r="J260" i="120"/>
  <c r="E260" i="120"/>
  <c r="F260" i="120"/>
  <c r="K260" i="120"/>
  <c r="G260" i="120"/>
  <c r="C260" i="120"/>
  <c r="I261" i="120"/>
  <c r="D261" i="120"/>
  <c r="J261" i="120"/>
  <c r="E261" i="120"/>
  <c r="F261" i="120"/>
  <c r="K261" i="120"/>
  <c r="G261" i="120"/>
  <c r="C261" i="120"/>
  <c r="I262" i="120"/>
  <c r="D262" i="120"/>
  <c r="J262" i="120"/>
  <c r="E262" i="120"/>
  <c r="F262" i="120"/>
  <c r="K262" i="120"/>
  <c r="G262" i="120"/>
  <c r="C262" i="120"/>
  <c r="I263" i="120"/>
  <c r="D263" i="120"/>
  <c r="J263" i="120"/>
  <c r="E263" i="120"/>
  <c r="F263" i="120"/>
  <c r="K263" i="120"/>
  <c r="G263" i="120"/>
  <c r="C263" i="120"/>
  <c r="I264" i="120"/>
  <c r="D264" i="120"/>
  <c r="J264" i="120"/>
  <c r="E264" i="120"/>
  <c r="F264" i="120"/>
  <c r="K264" i="120"/>
  <c r="G264" i="120"/>
  <c r="C264" i="120"/>
  <c r="I265" i="120"/>
  <c r="D265" i="120"/>
  <c r="J265" i="120"/>
  <c r="E265" i="120"/>
  <c r="F265" i="120"/>
  <c r="K265" i="120"/>
  <c r="G265" i="120"/>
  <c r="C265" i="120"/>
  <c r="I266" i="120"/>
  <c r="D266" i="120"/>
  <c r="J266" i="120"/>
  <c r="E266" i="120"/>
  <c r="F266" i="120"/>
  <c r="K266" i="120"/>
  <c r="G266" i="120"/>
  <c r="C266" i="120"/>
  <c r="I267" i="120"/>
  <c r="D267" i="120"/>
  <c r="J267" i="120"/>
  <c r="E267" i="120"/>
  <c r="F267" i="120"/>
  <c r="K267" i="120"/>
  <c r="G267" i="120"/>
  <c r="C267" i="120"/>
  <c r="I268" i="120"/>
  <c r="D268" i="120"/>
  <c r="J268" i="120"/>
  <c r="E268" i="120"/>
  <c r="F268" i="120"/>
  <c r="K268" i="120"/>
  <c r="G268" i="120"/>
  <c r="C268" i="120"/>
  <c r="I269" i="120"/>
  <c r="D269" i="120"/>
  <c r="J269" i="120"/>
  <c r="E269" i="120"/>
  <c r="F269" i="120"/>
  <c r="K269" i="120"/>
  <c r="G269" i="120"/>
  <c r="C269" i="120"/>
  <c r="I270" i="120"/>
  <c r="D270" i="120"/>
  <c r="J270" i="120"/>
  <c r="E270" i="120"/>
  <c r="F270" i="120"/>
  <c r="K270" i="120"/>
  <c r="G270" i="120"/>
  <c r="C270" i="120"/>
  <c r="I271" i="120"/>
  <c r="D271" i="120"/>
  <c r="J271" i="120"/>
  <c r="E271" i="120"/>
  <c r="F271" i="120"/>
  <c r="K271" i="120"/>
  <c r="G271" i="120"/>
  <c r="C271" i="120"/>
  <c r="E44" i="119"/>
  <c r="H44" i="119"/>
  <c r="O272" i="120"/>
  <c r="B5" i="119"/>
  <c r="B10" i="119"/>
  <c r="F8" i="119"/>
  <c r="E31" i="119"/>
  <c r="E34" i="119"/>
  <c r="E36" i="119"/>
  <c r="E8" i="119"/>
  <c r="G8" i="119"/>
  <c r="B32" i="119"/>
  <c r="F6" i="119"/>
  <c r="E39" i="119"/>
  <c r="E41" i="119"/>
  <c r="E42" i="119"/>
  <c r="E6" i="119"/>
  <c r="G6" i="119"/>
  <c r="B37" i="119"/>
  <c r="B30" i="119"/>
  <c r="C30" i="119"/>
  <c r="D30" i="119"/>
  <c r="G30" i="119"/>
  <c r="E30" i="119"/>
  <c r="H30" i="119"/>
  <c r="O2" i="120"/>
  <c r="B31" i="119"/>
  <c r="C31" i="119"/>
  <c r="D31" i="119"/>
  <c r="G31" i="119"/>
  <c r="H31" i="119"/>
  <c r="O3" i="120"/>
  <c r="F7" i="119"/>
  <c r="E18" i="119"/>
  <c r="E21" i="119"/>
  <c r="E23" i="119"/>
  <c r="E7" i="119"/>
  <c r="G7" i="119"/>
  <c r="B19" i="119"/>
  <c r="F5" i="119"/>
  <c r="E26" i="119"/>
  <c r="E28" i="119"/>
  <c r="E29" i="119"/>
  <c r="E5" i="119"/>
  <c r="G5" i="119"/>
  <c r="B24" i="119"/>
  <c r="B17" i="119"/>
  <c r="C17" i="119"/>
  <c r="D17" i="119"/>
  <c r="G17" i="119"/>
  <c r="E17" i="119"/>
  <c r="H17" i="119"/>
  <c r="O4" i="120"/>
  <c r="B18" i="119"/>
  <c r="C18" i="119"/>
  <c r="D18" i="119"/>
  <c r="G18" i="119"/>
  <c r="H18" i="119"/>
  <c r="O5" i="120"/>
  <c r="O6" i="120"/>
  <c r="O7" i="120"/>
  <c r="O8" i="120"/>
  <c r="O9" i="120"/>
  <c r="O10" i="120"/>
  <c r="O11" i="120"/>
  <c r="O12" i="120"/>
  <c r="O13" i="120"/>
  <c r="O14" i="120"/>
  <c r="O15" i="120"/>
  <c r="O16" i="120"/>
  <c r="O17" i="120"/>
  <c r="O18" i="120"/>
  <c r="O19" i="120"/>
  <c r="O20" i="120"/>
  <c r="O21" i="120"/>
  <c r="O22" i="120"/>
  <c r="O23" i="120"/>
  <c r="O24" i="120"/>
  <c r="O25" i="120"/>
  <c r="O26" i="120"/>
  <c r="O27" i="120"/>
  <c r="O28" i="120"/>
  <c r="O29" i="120"/>
  <c r="O30" i="120"/>
  <c r="O31" i="120"/>
  <c r="O32" i="120"/>
  <c r="O33" i="120"/>
  <c r="O34" i="120"/>
  <c r="O35" i="120"/>
  <c r="O36" i="120"/>
  <c r="O37" i="120"/>
  <c r="O38" i="120"/>
  <c r="O39" i="120"/>
  <c r="O40" i="120"/>
  <c r="O41" i="120"/>
  <c r="C37" i="119"/>
  <c r="D37" i="119"/>
  <c r="G37" i="119"/>
  <c r="E37" i="119"/>
  <c r="H37" i="119"/>
  <c r="O42" i="120"/>
  <c r="B38" i="119"/>
  <c r="C38" i="119"/>
  <c r="D38" i="119"/>
  <c r="G38" i="119"/>
  <c r="E38" i="119"/>
  <c r="H38" i="119"/>
  <c r="O43" i="120"/>
  <c r="B39" i="119"/>
  <c r="C39" i="119"/>
  <c r="D39" i="119"/>
  <c r="G39" i="119"/>
  <c r="H39" i="119"/>
  <c r="O44" i="120"/>
  <c r="C24" i="119"/>
  <c r="D24" i="119"/>
  <c r="G24" i="119"/>
  <c r="E24" i="119"/>
  <c r="H24" i="119"/>
  <c r="O45" i="120"/>
  <c r="B25" i="119"/>
  <c r="C25" i="119"/>
  <c r="D25" i="119"/>
  <c r="G25" i="119"/>
  <c r="E25" i="119"/>
  <c r="H25" i="119"/>
  <c r="O46" i="120"/>
  <c r="B26" i="119"/>
  <c r="C26" i="119"/>
  <c r="D26" i="119"/>
  <c r="G26" i="119"/>
  <c r="H26" i="119"/>
  <c r="O47" i="120"/>
  <c r="O48" i="120"/>
  <c r="O49" i="120"/>
  <c r="O50" i="120"/>
  <c r="C19" i="119"/>
  <c r="D19" i="119"/>
  <c r="G19" i="119"/>
  <c r="E19" i="119"/>
  <c r="H19" i="119"/>
  <c r="O51" i="120"/>
  <c r="B20" i="119"/>
  <c r="C20" i="119"/>
  <c r="D20" i="119"/>
  <c r="G20" i="119"/>
  <c r="E20" i="119"/>
  <c r="H20" i="119"/>
  <c r="O52" i="120"/>
  <c r="B21" i="119"/>
  <c r="C21" i="119"/>
  <c r="D21" i="119"/>
  <c r="G21" i="119"/>
  <c r="H21" i="119"/>
  <c r="O53" i="120"/>
  <c r="C32" i="119"/>
  <c r="D32" i="119"/>
  <c r="G32" i="119"/>
  <c r="E32" i="119"/>
  <c r="H32" i="119"/>
  <c r="O54" i="120"/>
  <c r="B33" i="119"/>
  <c r="C33" i="119"/>
  <c r="D33" i="119"/>
  <c r="G33" i="119"/>
  <c r="E33" i="119"/>
  <c r="H33" i="119"/>
  <c r="O55" i="120"/>
  <c r="B34" i="119"/>
  <c r="C34" i="119"/>
  <c r="D34" i="119"/>
  <c r="G34" i="119"/>
  <c r="H34" i="119"/>
  <c r="O56" i="120"/>
  <c r="O57" i="120"/>
  <c r="O58" i="120"/>
  <c r="O59" i="120"/>
  <c r="O60" i="120"/>
  <c r="O61" i="120"/>
  <c r="O62" i="120"/>
  <c r="O63" i="120"/>
  <c r="O64" i="120"/>
  <c r="O65" i="120"/>
  <c r="O66" i="120"/>
  <c r="O67" i="120"/>
  <c r="O68" i="120"/>
  <c r="O69" i="120"/>
  <c r="O70" i="120"/>
  <c r="O71" i="120"/>
  <c r="O72" i="120"/>
  <c r="O73" i="120"/>
  <c r="O74" i="120"/>
  <c r="O75" i="120"/>
  <c r="O76" i="120"/>
  <c r="O77" i="120"/>
  <c r="O78" i="120"/>
  <c r="O79" i="120"/>
  <c r="O80" i="120"/>
  <c r="O81" i="120"/>
  <c r="O82" i="120"/>
  <c r="O83" i="120"/>
  <c r="O84" i="120"/>
  <c r="O85" i="120"/>
  <c r="O86" i="120"/>
  <c r="O87" i="120"/>
  <c r="O88" i="120"/>
  <c r="O89" i="120"/>
  <c r="O90" i="120"/>
  <c r="O91" i="120"/>
  <c r="O92" i="120"/>
  <c r="O93" i="120"/>
  <c r="O94" i="120"/>
  <c r="O95" i="120"/>
  <c r="O96" i="120"/>
  <c r="O97" i="120"/>
  <c r="O98" i="120"/>
  <c r="O99" i="120"/>
  <c r="O100" i="120"/>
  <c r="O101" i="120"/>
  <c r="O102" i="120"/>
  <c r="O103" i="120"/>
  <c r="O104" i="120"/>
  <c r="O105" i="120"/>
  <c r="O106" i="120"/>
  <c r="O107" i="120"/>
  <c r="O108" i="120"/>
  <c r="O109" i="120"/>
  <c r="O110" i="120"/>
  <c r="O111" i="120"/>
  <c r="O112" i="120"/>
  <c r="O113" i="120"/>
  <c r="O114" i="120"/>
  <c r="O115" i="120"/>
  <c r="O116" i="120"/>
  <c r="O117" i="120"/>
  <c r="O118" i="120"/>
  <c r="O119" i="120"/>
  <c r="O120" i="120"/>
  <c r="O121" i="120"/>
  <c r="O122" i="120"/>
  <c r="O123" i="120"/>
  <c r="O124" i="120"/>
  <c r="O125" i="120"/>
  <c r="O126" i="120"/>
  <c r="O127" i="120"/>
  <c r="O128" i="120"/>
  <c r="O129" i="120"/>
  <c r="O130" i="120"/>
  <c r="O131" i="120"/>
  <c r="O132" i="120"/>
  <c r="O133" i="120"/>
  <c r="O134" i="120"/>
  <c r="O135" i="120"/>
  <c r="O136" i="120"/>
  <c r="O137" i="120"/>
  <c r="B40" i="119"/>
  <c r="C40" i="119"/>
  <c r="D40" i="119"/>
  <c r="G40" i="119"/>
  <c r="E40" i="119"/>
  <c r="H40" i="119"/>
  <c r="O138" i="120"/>
  <c r="B41" i="119"/>
  <c r="C41" i="119"/>
  <c r="D41" i="119"/>
  <c r="G41" i="119"/>
  <c r="H41" i="119"/>
  <c r="O139" i="120"/>
  <c r="E27" i="119"/>
  <c r="B27" i="119"/>
  <c r="C27" i="119"/>
  <c r="D27" i="119"/>
  <c r="G27" i="119"/>
  <c r="H27" i="119"/>
  <c r="O140" i="120"/>
  <c r="B28" i="119"/>
  <c r="C28" i="119"/>
  <c r="D28" i="119"/>
  <c r="G28" i="119"/>
  <c r="H28" i="119"/>
  <c r="O141" i="120"/>
  <c r="O142" i="120"/>
  <c r="O143" i="120"/>
  <c r="O144" i="120"/>
  <c r="O145" i="120"/>
  <c r="O146" i="120"/>
  <c r="O147" i="120"/>
  <c r="O148" i="120"/>
  <c r="O149" i="120"/>
  <c r="O150" i="120"/>
  <c r="O151" i="120"/>
  <c r="O152" i="120"/>
  <c r="O153" i="120"/>
  <c r="O154" i="120"/>
  <c r="O155" i="120"/>
  <c r="O156" i="120"/>
  <c r="O157" i="120"/>
  <c r="O158" i="120"/>
  <c r="O159" i="120"/>
  <c r="O160" i="120"/>
  <c r="O161" i="120"/>
  <c r="O162" i="120"/>
  <c r="O163" i="120"/>
  <c r="O164" i="120"/>
  <c r="O165" i="120"/>
  <c r="O166" i="120"/>
  <c r="O167" i="120"/>
  <c r="O168" i="120"/>
  <c r="O169" i="120"/>
  <c r="O170" i="120"/>
  <c r="O171" i="120"/>
  <c r="O172" i="120"/>
  <c r="O173" i="120"/>
  <c r="O174" i="120"/>
  <c r="O175" i="120"/>
  <c r="O176" i="120"/>
  <c r="O177" i="120"/>
  <c r="O178" i="120"/>
  <c r="O179" i="120"/>
  <c r="O180" i="120"/>
  <c r="O181" i="120"/>
  <c r="O182" i="120"/>
  <c r="O183" i="120"/>
  <c r="O184" i="120"/>
  <c r="O185" i="120"/>
  <c r="O186" i="120"/>
  <c r="O187" i="120"/>
  <c r="O188" i="120"/>
  <c r="O189" i="120"/>
  <c r="O190" i="120"/>
  <c r="O191" i="120"/>
  <c r="O192" i="120"/>
  <c r="O193" i="120"/>
  <c r="O194" i="120"/>
  <c r="O195" i="120"/>
  <c r="O196" i="120"/>
  <c r="O197" i="120"/>
  <c r="O198" i="120"/>
  <c r="O199" i="120"/>
  <c r="O200" i="120"/>
  <c r="O201" i="120"/>
  <c r="O202" i="120"/>
  <c r="O203" i="120"/>
  <c r="O204" i="120"/>
  <c r="O205" i="120"/>
  <c r="O206" i="120"/>
  <c r="O207" i="120"/>
  <c r="O208" i="120"/>
  <c r="O209" i="120"/>
  <c r="O210" i="120"/>
  <c r="O211" i="120"/>
  <c r="O212" i="120"/>
  <c r="O213" i="120"/>
  <c r="O214" i="120"/>
  <c r="O215" i="120"/>
  <c r="O216" i="120"/>
  <c r="O217" i="120"/>
  <c r="O218" i="120"/>
  <c r="O219" i="120"/>
  <c r="O220" i="120"/>
  <c r="O221" i="120"/>
  <c r="O222" i="120"/>
  <c r="O223" i="120"/>
  <c r="O224" i="120"/>
  <c r="O225" i="120"/>
  <c r="O226" i="120"/>
  <c r="O227" i="120"/>
  <c r="O228" i="120"/>
  <c r="O229" i="120"/>
  <c r="O230" i="120"/>
  <c r="O231" i="120"/>
  <c r="O232" i="120"/>
  <c r="O233" i="120"/>
  <c r="O234" i="120"/>
  <c r="O235" i="120"/>
  <c r="O236" i="120"/>
  <c r="O237" i="120"/>
  <c r="O238" i="120"/>
  <c r="O239" i="120"/>
  <c r="O240" i="120"/>
  <c r="O241" i="120"/>
  <c r="O242" i="120"/>
  <c r="O243" i="120"/>
  <c r="O244" i="120"/>
  <c r="O245" i="120"/>
  <c r="O246" i="120"/>
  <c r="O247" i="120"/>
  <c r="O248" i="120"/>
  <c r="O249" i="120"/>
  <c r="O250" i="120"/>
  <c r="O251" i="120"/>
  <c r="O252" i="120"/>
  <c r="O253" i="120"/>
  <c r="O254" i="120"/>
  <c r="O255" i="120"/>
  <c r="O256" i="120"/>
  <c r="O257" i="120"/>
  <c r="O258" i="120"/>
  <c r="O259" i="120"/>
  <c r="O260" i="120"/>
  <c r="O261" i="120"/>
  <c r="O262" i="120"/>
  <c r="O263" i="120"/>
  <c r="O264" i="120"/>
  <c r="O265" i="120"/>
  <c r="E35" i="119"/>
  <c r="B42" i="119"/>
  <c r="B36" i="119"/>
  <c r="B35" i="119"/>
  <c r="C35" i="119"/>
  <c r="D35" i="119"/>
  <c r="G35" i="119"/>
  <c r="H35" i="119"/>
  <c r="O266" i="120"/>
  <c r="C36" i="119"/>
  <c r="D36" i="119"/>
  <c r="G36" i="119"/>
  <c r="H36" i="119"/>
  <c r="O267" i="120"/>
  <c r="B29" i="119"/>
  <c r="B23" i="119"/>
  <c r="B22" i="119"/>
  <c r="C22" i="119"/>
  <c r="D22" i="119"/>
  <c r="G22" i="119"/>
  <c r="E22" i="119"/>
  <c r="H22" i="119"/>
  <c r="O268" i="120"/>
  <c r="C23" i="119"/>
  <c r="D23" i="119"/>
  <c r="G23" i="119"/>
  <c r="H23" i="119"/>
  <c r="O269" i="120"/>
  <c r="C29" i="119"/>
  <c r="D29" i="119"/>
  <c r="G29" i="119"/>
  <c r="H29" i="119"/>
  <c r="O270" i="120"/>
  <c r="O271" i="120"/>
  <c r="P272" i="120"/>
  <c r="N272" i="120"/>
  <c r="M272" i="120"/>
  <c r="L272" i="120"/>
  <c r="K272" i="120"/>
  <c r="H272" i="120"/>
  <c r="A272" i="120"/>
  <c r="P271" i="120"/>
  <c r="N271" i="120"/>
  <c r="M271" i="120"/>
  <c r="L271" i="120"/>
  <c r="H271" i="120"/>
  <c r="A271" i="120"/>
  <c r="P270" i="120"/>
  <c r="N270" i="120"/>
  <c r="M270" i="120"/>
  <c r="L270" i="120"/>
  <c r="H270" i="120"/>
  <c r="A270" i="120"/>
  <c r="P269" i="120"/>
  <c r="N269" i="120"/>
  <c r="M269" i="120"/>
  <c r="L269" i="120"/>
  <c r="H269" i="120"/>
  <c r="A269" i="120"/>
  <c r="P268" i="120"/>
  <c r="N268" i="120"/>
  <c r="M268" i="120"/>
  <c r="L268" i="120"/>
  <c r="H268" i="120"/>
  <c r="A268" i="120"/>
  <c r="P267" i="120"/>
  <c r="N267" i="120"/>
  <c r="M267" i="120"/>
  <c r="L267" i="120"/>
  <c r="H267" i="120"/>
  <c r="A267" i="120"/>
  <c r="P266" i="120"/>
  <c r="N266" i="120"/>
  <c r="M266" i="120"/>
  <c r="L266" i="120"/>
  <c r="H266" i="120"/>
  <c r="A266" i="120"/>
  <c r="P265" i="120"/>
  <c r="N265" i="120"/>
  <c r="M265" i="120"/>
  <c r="L265" i="120"/>
  <c r="H265" i="120"/>
  <c r="A265" i="120"/>
  <c r="P264" i="120"/>
  <c r="N264" i="120"/>
  <c r="M264" i="120"/>
  <c r="L264" i="120"/>
  <c r="H264" i="120"/>
  <c r="A264" i="120"/>
  <c r="P263" i="120"/>
  <c r="N263" i="120"/>
  <c r="M263" i="120"/>
  <c r="L263" i="120"/>
  <c r="H263" i="120"/>
  <c r="A263" i="120"/>
  <c r="P262" i="120"/>
  <c r="N262" i="120"/>
  <c r="M262" i="120"/>
  <c r="L262" i="120"/>
  <c r="H262" i="120"/>
  <c r="A262" i="120"/>
  <c r="P261" i="120"/>
  <c r="N261" i="120"/>
  <c r="M261" i="120"/>
  <c r="L261" i="120"/>
  <c r="H261" i="120"/>
  <c r="A261" i="120"/>
  <c r="P260" i="120"/>
  <c r="N260" i="120"/>
  <c r="M260" i="120"/>
  <c r="L260" i="120"/>
  <c r="H260" i="120"/>
  <c r="A260" i="120"/>
  <c r="P259" i="120"/>
  <c r="N259" i="120"/>
  <c r="M259" i="120"/>
  <c r="L259" i="120"/>
  <c r="H259" i="120"/>
  <c r="A259" i="120"/>
  <c r="P258" i="120"/>
  <c r="N258" i="120"/>
  <c r="M258" i="120"/>
  <c r="L258" i="120"/>
  <c r="H258" i="120"/>
  <c r="A258" i="120"/>
  <c r="P257" i="120"/>
  <c r="N257" i="120"/>
  <c r="M257" i="120"/>
  <c r="L257" i="120"/>
  <c r="H257" i="120"/>
  <c r="A257" i="120"/>
  <c r="P256" i="120"/>
  <c r="N256" i="120"/>
  <c r="M256" i="120"/>
  <c r="L256" i="120"/>
  <c r="H256" i="120"/>
  <c r="A256" i="120"/>
  <c r="P255" i="120"/>
  <c r="N255" i="120"/>
  <c r="M255" i="120"/>
  <c r="L255" i="120"/>
  <c r="H255" i="120"/>
  <c r="A255" i="120"/>
  <c r="P254" i="120"/>
  <c r="N254" i="120"/>
  <c r="M254" i="120"/>
  <c r="L254" i="120"/>
  <c r="H254" i="120"/>
  <c r="A254" i="120"/>
  <c r="P253" i="120"/>
  <c r="N253" i="120"/>
  <c r="M253" i="120"/>
  <c r="L253" i="120"/>
  <c r="H253" i="120"/>
  <c r="A253" i="120"/>
  <c r="P252" i="120"/>
  <c r="N252" i="120"/>
  <c r="M252" i="120"/>
  <c r="L252" i="120"/>
  <c r="H252" i="120"/>
  <c r="A252" i="120"/>
  <c r="P251" i="120"/>
  <c r="N251" i="120"/>
  <c r="M251" i="120"/>
  <c r="L251" i="120"/>
  <c r="H251" i="120"/>
  <c r="A251" i="120"/>
  <c r="P250" i="120"/>
  <c r="N250" i="120"/>
  <c r="M250" i="120"/>
  <c r="L250" i="120"/>
  <c r="H250" i="120"/>
  <c r="A250" i="120"/>
  <c r="P249" i="120"/>
  <c r="N249" i="120"/>
  <c r="M249" i="120"/>
  <c r="L249" i="120"/>
  <c r="H249" i="120"/>
  <c r="A249" i="120"/>
  <c r="P248" i="120"/>
  <c r="N248" i="120"/>
  <c r="M248" i="120"/>
  <c r="L248" i="120"/>
  <c r="H248" i="120"/>
  <c r="A248" i="120"/>
  <c r="P247" i="120"/>
  <c r="N247" i="120"/>
  <c r="M247" i="120"/>
  <c r="L247" i="120"/>
  <c r="H247" i="120"/>
  <c r="A247" i="120"/>
  <c r="P246" i="120"/>
  <c r="N246" i="120"/>
  <c r="M246" i="120"/>
  <c r="L246" i="120"/>
  <c r="H246" i="120"/>
  <c r="A246" i="120"/>
  <c r="P245" i="120"/>
  <c r="N245" i="120"/>
  <c r="M245" i="120"/>
  <c r="L245" i="120"/>
  <c r="H245" i="120"/>
  <c r="A245" i="120"/>
  <c r="P244" i="120"/>
  <c r="N244" i="120"/>
  <c r="M244" i="120"/>
  <c r="L244" i="120"/>
  <c r="H244" i="120"/>
  <c r="A244" i="120"/>
  <c r="P243" i="120"/>
  <c r="N243" i="120"/>
  <c r="M243" i="120"/>
  <c r="L243" i="120"/>
  <c r="H243" i="120"/>
  <c r="A243" i="120"/>
  <c r="P242" i="120"/>
  <c r="N242" i="120"/>
  <c r="M242" i="120"/>
  <c r="L242" i="120"/>
  <c r="H242" i="120"/>
  <c r="A242" i="120"/>
  <c r="P241" i="120"/>
  <c r="N241" i="120"/>
  <c r="M241" i="120"/>
  <c r="L241" i="120"/>
  <c r="H241" i="120"/>
  <c r="A241" i="120"/>
  <c r="P240" i="120"/>
  <c r="N240" i="120"/>
  <c r="M240" i="120"/>
  <c r="L240" i="120"/>
  <c r="H240" i="120"/>
  <c r="A240" i="120"/>
  <c r="P239" i="120"/>
  <c r="N239" i="120"/>
  <c r="M239" i="120"/>
  <c r="L239" i="120"/>
  <c r="H239" i="120"/>
  <c r="A239" i="120"/>
  <c r="P238" i="120"/>
  <c r="N238" i="120"/>
  <c r="M238" i="120"/>
  <c r="L238" i="120"/>
  <c r="H238" i="120"/>
  <c r="A238" i="120"/>
  <c r="P237" i="120"/>
  <c r="N237" i="120"/>
  <c r="M237" i="120"/>
  <c r="L237" i="120"/>
  <c r="H237" i="120"/>
  <c r="A237" i="120"/>
  <c r="P236" i="120"/>
  <c r="N236" i="120"/>
  <c r="M236" i="120"/>
  <c r="L236" i="120"/>
  <c r="H236" i="120"/>
  <c r="A236" i="120"/>
  <c r="P235" i="120"/>
  <c r="N235" i="120"/>
  <c r="M235" i="120"/>
  <c r="L235" i="120"/>
  <c r="H235" i="120"/>
  <c r="A235" i="120"/>
  <c r="P234" i="120"/>
  <c r="N234" i="120"/>
  <c r="M234" i="120"/>
  <c r="L234" i="120"/>
  <c r="H234" i="120"/>
  <c r="A234" i="120"/>
  <c r="P233" i="120"/>
  <c r="N233" i="120"/>
  <c r="M233" i="120"/>
  <c r="L233" i="120"/>
  <c r="H233" i="120"/>
  <c r="A233" i="120"/>
  <c r="P232" i="120"/>
  <c r="N232" i="120"/>
  <c r="M232" i="120"/>
  <c r="L232" i="120"/>
  <c r="H232" i="120"/>
  <c r="A232" i="120"/>
  <c r="P231" i="120"/>
  <c r="N231" i="120"/>
  <c r="M231" i="120"/>
  <c r="L231" i="120"/>
  <c r="H231" i="120"/>
  <c r="A231" i="120"/>
  <c r="P230" i="120"/>
  <c r="N230" i="120"/>
  <c r="M230" i="120"/>
  <c r="L230" i="120"/>
  <c r="H230" i="120"/>
  <c r="A230" i="120"/>
  <c r="P229" i="120"/>
  <c r="N229" i="120"/>
  <c r="M229" i="120"/>
  <c r="L229" i="120"/>
  <c r="H229" i="120"/>
  <c r="A229" i="120"/>
  <c r="P228" i="120"/>
  <c r="N228" i="120"/>
  <c r="M228" i="120"/>
  <c r="L228" i="120"/>
  <c r="H228" i="120"/>
  <c r="A228" i="120"/>
  <c r="P227" i="120"/>
  <c r="N227" i="120"/>
  <c r="M227" i="120"/>
  <c r="L227" i="120"/>
  <c r="H227" i="120"/>
  <c r="A227" i="120"/>
  <c r="P226" i="120"/>
  <c r="N226" i="120"/>
  <c r="M226" i="120"/>
  <c r="L226" i="120"/>
  <c r="H226" i="120"/>
  <c r="A226" i="120"/>
  <c r="P225" i="120"/>
  <c r="N225" i="120"/>
  <c r="M225" i="120"/>
  <c r="L225" i="120"/>
  <c r="H225" i="120"/>
  <c r="A225" i="120"/>
  <c r="P224" i="120"/>
  <c r="N224" i="120"/>
  <c r="M224" i="120"/>
  <c r="L224" i="120"/>
  <c r="H224" i="120"/>
  <c r="A224" i="120"/>
  <c r="P223" i="120"/>
  <c r="N223" i="120"/>
  <c r="M223" i="120"/>
  <c r="L223" i="120"/>
  <c r="H223" i="120"/>
  <c r="A223" i="120"/>
  <c r="P222" i="120"/>
  <c r="N222" i="120"/>
  <c r="M222" i="120"/>
  <c r="L222" i="120"/>
  <c r="H222" i="120"/>
  <c r="A222" i="120"/>
  <c r="P221" i="120"/>
  <c r="N221" i="120"/>
  <c r="M221" i="120"/>
  <c r="L221" i="120"/>
  <c r="H221" i="120"/>
  <c r="A221" i="120"/>
  <c r="P220" i="120"/>
  <c r="N220" i="120"/>
  <c r="M220" i="120"/>
  <c r="L220" i="120"/>
  <c r="H220" i="120"/>
  <c r="A220" i="120"/>
  <c r="P219" i="120"/>
  <c r="N219" i="120"/>
  <c r="M219" i="120"/>
  <c r="L219" i="120"/>
  <c r="H219" i="120"/>
  <c r="A219" i="120"/>
  <c r="P218" i="120"/>
  <c r="N218" i="120"/>
  <c r="M218" i="120"/>
  <c r="L218" i="120"/>
  <c r="H218" i="120"/>
  <c r="A218" i="120"/>
  <c r="P217" i="120"/>
  <c r="N217" i="120"/>
  <c r="M217" i="120"/>
  <c r="L217" i="120"/>
  <c r="H217" i="120"/>
  <c r="A217" i="120"/>
  <c r="P216" i="120"/>
  <c r="N216" i="120"/>
  <c r="M216" i="120"/>
  <c r="L216" i="120"/>
  <c r="H216" i="120"/>
  <c r="A216" i="120"/>
  <c r="P215" i="120"/>
  <c r="N215" i="120"/>
  <c r="M215" i="120"/>
  <c r="L215" i="120"/>
  <c r="H215" i="120"/>
  <c r="A215" i="120"/>
  <c r="P214" i="120"/>
  <c r="N214" i="120"/>
  <c r="M214" i="120"/>
  <c r="L214" i="120"/>
  <c r="H214" i="120"/>
  <c r="A214" i="120"/>
  <c r="P213" i="120"/>
  <c r="N213" i="120"/>
  <c r="M213" i="120"/>
  <c r="L213" i="120"/>
  <c r="H213" i="120"/>
  <c r="A213" i="120"/>
  <c r="P212" i="120"/>
  <c r="N212" i="120"/>
  <c r="M212" i="120"/>
  <c r="L212" i="120"/>
  <c r="H212" i="120"/>
  <c r="A212" i="120"/>
  <c r="P211" i="120"/>
  <c r="N211" i="120"/>
  <c r="M211" i="120"/>
  <c r="L211" i="120"/>
  <c r="H211" i="120"/>
  <c r="A211" i="120"/>
  <c r="P210" i="120"/>
  <c r="N210" i="120"/>
  <c r="M210" i="120"/>
  <c r="L210" i="120"/>
  <c r="H210" i="120"/>
  <c r="A210" i="120"/>
  <c r="P209" i="120"/>
  <c r="N209" i="120"/>
  <c r="M209" i="120"/>
  <c r="L209" i="120"/>
  <c r="H209" i="120"/>
  <c r="A209" i="120"/>
  <c r="P208" i="120"/>
  <c r="N208" i="120"/>
  <c r="M208" i="120"/>
  <c r="L208" i="120"/>
  <c r="H208" i="120"/>
  <c r="A208" i="120"/>
  <c r="P207" i="120"/>
  <c r="N207" i="120"/>
  <c r="M207" i="120"/>
  <c r="L207" i="120"/>
  <c r="H207" i="120"/>
  <c r="A207" i="120"/>
  <c r="P206" i="120"/>
  <c r="N206" i="120"/>
  <c r="M206" i="120"/>
  <c r="L206" i="120"/>
  <c r="H206" i="120"/>
  <c r="A206" i="120"/>
  <c r="P205" i="120"/>
  <c r="N205" i="120"/>
  <c r="M205" i="120"/>
  <c r="L205" i="120"/>
  <c r="H205" i="120"/>
  <c r="A205" i="120"/>
  <c r="P204" i="120"/>
  <c r="N204" i="120"/>
  <c r="M204" i="120"/>
  <c r="L204" i="120"/>
  <c r="H204" i="120"/>
  <c r="A204" i="120"/>
  <c r="P203" i="120"/>
  <c r="N203" i="120"/>
  <c r="M203" i="120"/>
  <c r="L203" i="120"/>
  <c r="H203" i="120"/>
  <c r="A203" i="120"/>
  <c r="P202" i="120"/>
  <c r="N202" i="120"/>
  <c r="M202" i="120"/>
  <c r="L202" i="120"/>
  <c r="H202" i="120"/>
  <c r="A202" i="120"/>
  <c r="P201" i="120"/>
  <c r="N201" i="120"/>
  <c r="M201" i="120"/>
  <c r="L201" i="120"/>
  <c r="H201" i="120"/>
  <c r="A201" i="120"/>
  <c r="P200" i="120"/>
  <c r="N200" i="120"/>
  <c r="M200" i="120"/>
  <c r="L200" i="120"/>
  <c r="H200" i="120"/>
  <c r="A200" i="120"/>
  <c r="P199" i="120"/>
  <c r="N199" i="120"/>
  <c r="M199" i="120"/>
  <c r="L199" i="120"/>
  <c r="H199" i="120"/>
  <c r="A199" i="120"/>
  <c r="P198" i="120"/>
  <c r="N198" i="120"/>
  <c r="M198" i="120"/>
  <c r="L198" i="120"/>
  <c r="H198" i="120"/>
  <c r="A198" i="120"/>
  <c r="P197" i="120"/>
  <c r="N197" i="120"/>
  <c r="M197" i="120"/>
  <c r="L197" i="120"/>
  <c r="H197" i="120"/>
  <c r="A197" i="120"/>
  <c r="P196" i="120"/>
  <c r="N196" i="120"/>
  <c r="M196" i="120"/>
  <c r="L196" i="120"/>
  <c r="H196" i="120"/>
  <c r="A196" i="120"/>
  <c r="P195" i="120"/>
  <c r="N195" i="120"/>
  <c r="M195" i="120"/>
  <c r="L195" i="120"/>
  <c r="H195" i="120"/>
  <c r="A195" i="120"/>
  <c r="P194" i="120"/>
  <c r="N194" i="120"/>
  <c r="M194" i="120"/>
  <c r="L194" i="120"/>
  <c r="H194" i="120"/>
  <c r="A194" i="120"/>
  <c r="P193" i="120"/>
  <c r="N193" i="120"/>
  <c r="M193" i="120"/>
  <c r="L193" i="120"/>
  <c r="H193" i="120"/>
  <c r="A193" i="120"/>
  <c r="P192" i="120"/>
  <c r="N192" i="120"/>
  <c r="M192" i="120"/>
  <c r="L192" i="120"/>
  <c r="H192" i="120"/>
  <c r="A192" i="120"/>
  <c r="P191" i="120"/>
  <c r="N191" i="120"/>
  <c r="M191" i="120"/>
  <c r="L191" i="120"/>
  <c r="H191" i="120"/>
  <c r="A191" i="120"/>
  <c r="P190" i="120"/>
  <c r="N190" i="120"/>
  <c r="M190" i="120"/>
  <c r="L190" i="120"/>
  <c r="H190" i="120"/>
  <c r="A190" i="120"/>
  <c r="P189" i="120"/>
  <c r="N189" i="120"/>
  <c r="M189" i="120"/>
  <c r="L189" i="120"/>
  <c r="H189" i="120"/>
  <c r="A189" i="120"/>
  <c r="P188" i="120"/>
  <c r="N188" i="120"/>
  <c r="M188" i="120"/>
  <c r="L188" i="120"/>
  <c r="H188" i="120"/>
  <c r="A188" i="120"/>
  <c r="P187" i="120"/>
  <c r="N187" i="120"/>
  <c r="M187" i="120"/>
  <c r="L187" i="120"/>
  <c r="H187" i="120"/>
  <c r="A187" i="120"/>
  <c r="P186" i="120"/>
  <c r="N186" i="120"/>
  <c r="M186" i="120"/>
  <c r="L186" i="120"/>
  <c r="H186" i="120"/>
  <c r="A186" i="120"/>
  <c r="P185" i="120"/>
  <c r="N185" i="120"/>
  <c r="M185" i="120"/>
  <c r="L185" i="120"/>
  <c r="H185" i="120"/>
  <c r="A185" i="120"/>
  <c r="P184" i="120"/>
  <c r="N184" i="120"/>
  <c r="M184" i="120"/>
  <c r="L184" i="120"/>
  <c r="H184" i="120"/>
  <c r="A184" i="120"/>
  <c r="P183" i="120"/>
  <c r="N183" i="120"/>
  <c r="M183" i="120"/>
  <c r="L183" i="120"/>
  <c r="H183" i="120"/>
  <c r="A183" i="120"/>
  <c r="P182" i="120"/>
  <c r="N182" i="120"/>
  <c r="M182" i="120"/>
  <c r="L182" i="120"/>
  <c r="H182" i="120"/>
  <c r="A182" i="120"/>
  <c r="P181" i="120"/>
  <c r="N181" i="120"/>
  <c r="M181" i="120"/>
  <c r="L181" i="120"/>
  <c r="H181" i="120"/>
  <c r="A181" i="120"/>
  <c r="P180" i="120"/>
  <c r="N180" i="120"/>
  <c r="M180" i="120"/>
  <c r="L180" i="120"/>
  <c r="H180" i="120"/>
  <c r="A180" i="120"/>
  <c r="P179" i="120"/>
  <c r="N179" i="120"/>
  <c r="M179" i="120"/>
  <c r="L179" i="120"/>
  <c r="H179" i="120"/>
  <c r="A179" i="120"/>
  <c r="P178" i="120"/>
  <c r="N178" i="120"/>
  <c r="M178" i="120"/>
  <c r="L178" i="120"/>
  <c r="H178" i="120"/>
  <c r="A178" i="120"/>
  <c r="P177" i="120"/>
  <c r="N177" i="120"/>
  <c r="M177" i="120"/>
  <c r="L177" i="120"/>
  <c r="H177" i="120"/>
  <c r="A177" i="120"/>
  <c r="P176" i="120"/>
  <c r="N176" i="120"/>
  <c r="M176" i="120"/>
  <c r="L176" i="120"/>
  <c r="H176" i="120"/>
  <c r="A176" i="120"/>
  <c r="P175" i="120"/>
  <c r="N175" i="120"/>
  <c r="M175" i="120"/>
  <c r="L175" i="120"/>
  <c r="H175" i="120"/>
  <c r="A175" i="120"/>
  <c r="P174" i="120"/>
  <c r="N174" i="120"/>
  <c r="M174" i="120"/>
  <c r="L174" i="120"/>
  <c r="H174" i="120"/>
  <c r="A174" i="120"/>
  <c r="P173" i="120"/>
  <c r="N173" i="120"/>
  <c r="M173" i="120"/>
  <c r="L173" i="120"/>
  <c r="H173" i="120"/>
  <c r="A173" i="120"/>
  <c r="P172" i="120"/>
  <c r="N172" i="120"/>
  <c r="M172" i="120"/>
  <c r="L172" i="120"/>
  <c r="H172" i="120"/>
  <c r="A172" i="120"/>
  <c r="P171" i="120"/>
  <c r="N171" i="120"/>
  <c r="M171" i="120"/>
  <c r="L171" i="120"/>
  <c r="H171" i="120"/>
  <c r="A171" i="120"/>
  <c r="P170" i="120"/>
  <c r="N170" i="120"/>
  <c r="M170" i="120"/>
  <c r="L170" i="120"/>
  <c r="H170" i="120"/>
  <c r="A170" i="120"/>
  <c r="P169" i="120"/>
  <c r="N169" i="120"/>
  <c r="M169" i="120"/>
  <c r="L169" i="120"/>
  <c r="H169" i="120"/>
  <c r="A169" i="120"/>
  <c r="P168" i="120"/>
  <c r="N168" i="120"/>
  <c r="M168" i="120"/>
  <c r="L168" i="120"/>
  <c r="H168" i="120"/>
  <c r="A168" i="120"/>
  <c r="P167" i="120"/>
  <c r="N167" i="120"/>
  <c r="M167" i="120"/>
  <c r="L167" i="120"/>
  <c r="H167" i="120"/>
  <c r="A167" i="120"/>
  <c r="P166" i="120"/>
  <c r="N166" i="120"/>
  <c r="M166" i="120"/>
  <c r="L166" i="120"/>
  <c r="H166" i="120"/>
  <c r="A166" i="120"/>
  <c r="P165" i="120"/>
  <c r="N165" i="120"/>
  <c r="M165" i="120"/>
  <c r="L165" i="120"/>
  <c r="H165" i="120"/>
  <c r="A165" i="120"/>
  <c r="P164" i="120"/>
  <c r="N164" i="120"/>
  <c r="M164" i="120"/>
  <c r="L164" i="120"/>
  <c r="H164" i="120"/>
  <c r="A164" i="120"/>
  <c r="P163" i="120"/>
  <c r="N163" i="120"/>
  <c r="M163" i="120"/>
  <c r="L163" i="120"/>
  <c r="H163" i="120"/>
  <c r="A163" i="120"/>
  <c r="P162" i="120"/>
  <c r="N162" i="120"/>
  <c r="M162" i="120"/>
  <c r="L162" i="120"/>
  <c r="H162" i="120"/>
  <c r="A162" i="120"/>
  <c r="P161" i="120"/>
  <c r="N161" i="120"/>
  <c r="M161" i="120"/>
  <c r="L161" i="120"/>
  <c r="H161" i="120"/>
  <c r="A161" i="120"/>
  <c r="P160" i="120"/>
  <c r="N160" i="120"/>
  <c r="M160" i="120"/>
  <c r="L160" i="120"/>
  <c r="H160" i="120"/>
  <c r="A160" i="120"/>
  <c r="P159" i="120"/>
  <c r="N159" i="120"/>
  <c r="M159" i="120"/>
  <c r="L159" i="120"/>
  <c r="H159" i="120"/>
  <c r="A159" i="120"/>
  <c r="P158" i="120"/>
  <c r="N158" i="120"/>
  <c r="M158" i="120"/>
  <c r="L158" i="120"/>
  <c r="H158" i="120"/>
  <c r="A158" i="120"/>
  <c r="P157" i="120"/>
  <c r="N157" i="120"/>
  <c r="M157" i="120"/>
  <c r="L157" i="120"/>
  <c r="H157" i="120"/>
  <c r="A157" i="120"/>
  <c r="P156" i="120"/>
  <c r="N156" i="120"/>
  <c r="M156" i="120"/>
  <c r="L156" i="120"/>
  <c r="H156" i="120"/>
  <c r="A156" i="120"/>
  <c r="P155" i="120"/>
  <c r="N155" i="120"/>
  <c r="M155" i="120"/>
  <c r="L155" i="120"/>
  <c r="H155" i="120"/>
  <c r="A155" i="120"/>
  <c r="P154" i="120"/>
  <c r="N154" i="120"/>
  <c r="M154" i="120"/>
  <c r="L154" i="120"/>
  <c r="H154" i="120"/>
  <c r="A154" i="120"/>
  <c r="P153" i="120"/>
  <c r="N153" i="120"/>
  <c r="M153" i="120"/>
  <c r="L153" i="120"/>
  <c r="H153" i="120"/>
  <c r="A153" i="120"/>
  <c r="P152" i="120"/>
  <c r="N152" i="120"/>
  <c r="M152" i="120"/>
  <c r="L152" i="120"/>
  <c r="H152" i="120"/>
  <c r="A152" i="120"/>
  <c r="P151" i="120"/>
  <c r="N151" i="120"/>
  <c r="M151" i="120"/>
  <c r="L151" i="120"/>
  <c r="H151" i="120"/>
  <c r="A151" i="120"/>
  <c r="P150" i="120"/>
  <c r="N150" i="120"/>
  <c r="M150" i="120"/>
  <c r="L150" i="120"/>
  <c r="H150" i="120"/>
  <c r="A150" i="120"/>
  <c r="P149" i="120"/>
  <c r="N149" i="120"/>
  <c r="M149" i="120"/>
  <c r="L149" i="120"/>
  <c r="H149" i="120"/>
  <c r="A149" i="120"/>
  <c r="P148" i="120"/>
  <c r="N148" i="120"/>
  <c r="M148" i="120"/>
  <c r="L148" i="120"/>
  <c r="H148" i="120"/>
  <c r="A148" i="120"/>
  <c r="P147" i="120"/>
  <c r="N147" i="120"/>
  <c r="M147" i="120"/>
  <c r="L147" i="120"/>
  <c r="H147" i="120"/>
  <c r="A147" i="120"/>
  <c r="P146" i="120"/>
  <c r="N146" i="120"/>
  <c r="M146" i="120"/>
  <c r="L146" i="120"/>
  <c r="H146" i="120"/>
  <c r="A146" i="120"/>
  <c r="P145" i="120"/>
  <c r="N145" i="120"/>
  <c r="M145" i="120"/>
  <c r="L145" i="120"/>
  <c r="H145" i="120"/>
  <c r="A145" i="120"/>
  <c r="P144" i="120"/>
  <c r="N144" i="120"/>
  <c r="M144" i="120"/>
  <c r="L144" i="120"/>
  <c r="H144" i="120"/>
  <c r="A144" i="120"/>
  <c r="P143" i="120"/>
  <c r="N143" i="120"/>
  <c r="M143" i="120"/>
  <c r="L143" i="120"/>
  <c r="H143" i="120"/>
  <c r="A143" i="120"/>
  <c r="P142" i="120"/>
  <c r="N142" i="120"/>
  <c r="M142" i="120"/>
  <c r="L142" i="120"/>
  <c r="H142" i="120"/>
  <c r="A142" i="120"/>
  <c r="P141" i="120"/>
  <c r="N141" i="120"/>
  <c r="M141" i="120"/>
  <c r="L141" i="120"/>
  <c r="H141" i="120"/>
  <c r="A141" i="120"/>
  <c r="P140" i="120"/>
  <c r="N140" i="120"/>
  <c r="M140" i="120"/>
  <c r="L140" i="120"/>
  <c r="H140" i="120"/>
  <c r="A140" i="120"/>
  <c r="P139" i="120"/>
  <c r="N139" i="120"/>
  <c r="M139" i="120"/>
  <c r="L139" i="120"/>
  <c r="H139" i="120"/>
  <c r="A139" i="120"/>
  <c r="P138" i="120"/>
  <c r="N138" i="120"/>
  <c r="M138" i="120"/>
  <c r="L138" i="120"/>
  <c r="H138" i="120"/>
  <c r="A138" i="120"/>
  <c r="P137" i="120"/>
  <c r="N137" i="120"/>
  <c r="M137" i="120"/>
  <c r="L137" i="120"/>
  <c r="H137" i="120"/>
  <c r="A137" i="120"/>
  <c r="P136" i="120"/>
  <c r="N136" i="120"/>
  <c r="M136" i="120"/>
  <c r="L136" i="120"/>
  <c r="H136" i="120"/>
  <c r="A136" i="120"/>
  <c r="P135" i="120"/>
  <c r="N135" i="120"/>
  <c r="M135" i="120"/>
  <c r="L135" i="120"/>
  <c r="H135" i="120"/>
  <c r="A135" i="120"/>
  <c r="P134" i="120"/>
  <c r="N134" i="120"/>
  <c r="M134" i="120"/>
  <c r="L134" i="120"/>
  <c r="H134" i="120"/>
  <c r="A134" i="120"/>
  <c r="P133" i="120"/>
  <c r="N133" i="120"/>
  <c r="M133" i="120"/>
  <c r="L133" i="120"/>
  <c r="H133" i="120"/>
  <c r="A133" i="120"/>
  <c r="P132" i="120"/>
  <c r="N132" i="120"/>
  <c r="M132" i="120"/>
  <c r="L132" i="120"/>
  <c r="H132" i="120"/>
  <c r="A132" i="120"/>
  <c r="P131" i="120"/>
  <c r="N131" i="120"/>
  <c r="M131" i="120"/>
  <c r="L131" i="120"/>
  <c r="H131" i="120"/>
  <c r="A131" i="120"/>
  <c r="P130" i="120"/>
  <c r="N130" i="120"/>
  <c r="M130" i="120"/>
  <c r="L130" i="120"/>
  <c r="H130" i="120"/>
  <c r="A130" i="120"/>
  <c r="P129" i="120"/>
  <c r="N129" i="120"/>
  <c r="M129" i="120"/>
  <c r="L129" i="120"/>
  <c r="H129" i="120"/>
  <c r="A129" i="120"/>
  <c r="P128" i="120"/>
  <c r="N128" i="120"/>
  <c r="M128" i="120"/>
  <c r="L128" i="120"/>
  <c r="H128" i="120"/>
  <c r="A128" i="120"/>
  <c r="P127" i="120"/>
  <c r="N127" i="120"/>
  <c r="M127" i="120"/>
  <c r="L127" i="120"/>
  <c r="H127" i="120"/>
  <c r="A127" i="120"/>
  <c r="P126" i="120"/>
  <c r="N126" i="120"/>
  <c r="M126" i="120"/>
  <c r="L126" i="120"/>
  <c r="H126" i="120"/>
  <c r="A126" i="120"/>
  <c r="P125" i="120"/>
  <c r="N125" i="120"/>
  <c r="M125" i="120"/>
  <c r="L125" i="120"/>
  <c r="H125" i="120"/>
  <c r="A125" i="120"/>
  <c r="P124" i="120"/>
  <c r="N124" i="120"/>
  <c r="M124" i="120"/>
  <c r="L124" i="120"/>
  <c r="H124" i="120"/>
  <c r="A124" i="120"/>
  <c r="P123" i="120"/>
  <c r="N123" i="120"/>
  <c r="M123" i="120"/>
  <c r="L123" i="120"/>
  <c r="H123" i="120"/>
  <c r="A123" i="120"/>
  <c r="P122" i="120"/>
  <c r="N122" i="120"/>
  <c r="M122" i="120"/>
  <c r="L122" i="120"/>
  <c r="H122" i="120"/>
  <c r="A122" i="120"/>
  <c r="P121" i="120"/>
  <c r="N121" i="120"/>
  <c r="M121" i="120"/>
  <c r="L121" i="120"/>
  <c r="H121" i="120"/>
  <c r="A121" i="120"/>
  <c r="P120" i="120"/>
  <c r="N120" i="120"/>
  <c r="M120" i="120"/>
  <c r="L120" i="120"/>
  <c r="H120" i="120"/>
  <c r="A120" i="120"/>
  <c r="P119" i="120"/>
  <c r="N119" i="120"/>
  <c r="M119" i="120"/>
  <c r="L119" i="120"/>
  <c r="H119" i="120"/>
  <c r="A119" i="120"/>
  <c r="P118" i="120"/>
  <c r="N118" i="120"/>
  <c r="M118" i="120"/>
  <c r="L118" i="120"/>
  <c r="H118" i="120"/>
  <c r="A118" i="120"/>
  <c r="P117" i="120"/>
  <c r="N117" i="120"/>
  <c r="M117" i="120"/>
  <c r="L117" i="120"/>
  <c r="H117" i="120"/>
  <c r="A117" i="120"/>
  <c r="P116" i="120"/>
  <c r="N116" i="120"/>
  <c r="M116" i="120"/>
  <c r="L116" i="120"/>
  <c r="H116" i="120"/>
  <c r="A116" i="120"/>
  <c r="P115" i="120"/>
  <c r="N115" i="120"/>
  <c r="M115" i="120"/>
  <c r="L115" i="120"/>
  <c r="H115" i="120"/>
  <c r="A115" i="120"/>
  <c r="P114" i="120"/>
  <c r="N114" i="120"/>
  <c r="M114" i="120"/>
  <c r="L114" i="120"/>
  <c r="H114" i="120"/>
  <c r="A114" i="120"/>
  <c r="P113" i="120"/>
  <c r="N113" i="120"/>
  <c r="M113" i="120"/>
  <c r="L113" i="120"/>
  <c r="H113" i="120"/>
  <c r="A113" i="120"/>
  <c r="P112" i="120"/>
  <c r="N112" i="120"/>
  <c r="M112" i="120"/>
  <c r="L112" i="120"/>
  <c r="H112" i="120"/>
  <c r="A112" i="120"/>
  <c r="P111" i="120"/>
  <c r="N111" i="120"/>
  <c r="M111" i="120"/>
  <c r="L111" i="120"/>
  <c r="H111" i="120"/>
  <c r="A111" i="120"/>
  <c r="P110" i="120"/>
  <c r="N110" i="120"/>
  <c r="M110" i="120"/>
  <c r="L110" i="120"/>
  <c r="H110" i="120"/>
  <c r="A110" i="120"/>
  <c r="P109" i="120"/>
  <c r="N109" i="120"/>
  <c r="M109" i="120"/>
  <c r="L109" i="120"/>
  <c r="H109" i="120"/>
  <c r="A109" i="120"/>
  <c r="P108" i="120"/>
  <c r="N108" i="120"/>
  <c r="M108" i="120"/>
  <c r="L108" i="120"/>
  <c r="H108" i="120"/>
  <c r="A108" i="120"/>
  <c r="P107" i="120"/>
  <c r="N107" i="120"/>
  <c r="M107" i="120"/>
  <c r="L107" i="120"/>
  <c r="H107" i="120"/>
  <c r="A107" i="120"/>
  <c r="P106" i="120"/>
  <c r="N106" i="120"/>
  <c r="M106" i="120"/>
  <c r="L106" i="120"/>
  <c r="H106" i="120"/>
  <c r="A106" i="120"/>
  <c r="P105" i="120"/>
  <c r="N105" i="120"/>
  <c r="M105" i="120"/>
  <c r="L105" i="120"/>
  <c r="H105" i="120"/>
  <c r="A105" i="120"/>
  <c r="P104" i="120"/>
  <c r="N104" i="120"/>
  <c r="M104" i="120"/>
  <c r="L104" i="120"/>
  <c r="H104" i="120"/>
  <c r="A104" i="120"/>
  <c r="P103" i="120"/>
  <c r="N103" i="120"/>
  <c r="M103" i="120"/>
  <c r="L103" i="120"/>
  <c r="H103" i="120"/>
  <c r="A103" i="120"/>
  <c r="P102" i="120"/>
  <c r="N102" i="120"/>
  <c r="M102" i="120"/>
  <c r="L102" i="120"/>
  <c r="H102" i="120"/>
  <c r="A102" i="120"/>
  <c r="P101" i="120"/>
  <c r="N101" i="120"/>
  <c r="M101" i="120"/>
  <c r="L101" i="120"/>
  <c r="H101" i="120"/>
  <c r="A101" i="120"/>
  <c r="P100" i="120"/>
  <c r="N100" i="120"/>
  <c r="M100" i="120"/>
  <c r="L100" i="120"/>
  <c r="H100" i="120"/>
  <c r="A100" i="120"/>
  <c r="P99" i="120"/>
  <c r="N99" i="120"/>
  <c r="M99" i="120"/>
  <c r="L99" i="120"/>
  <c r="H99" i="120"/>
  <c r="A99" i="120"/>
  <c r="P98" i="120"/>
  <c r="N98" i="120"/>
  <c r="M98" i="120"/>
  <c r="L98" i="120"/>
  <c r="H98" i="120"/>
  <c r="A98" i="120"/>
  <c r="P97" i="120"/>
  <c r="N97" i="120"/>
  <c r="M97" i="120"/>
  <c r="L97" i="120"/>
  <c r="H97" i="120"/>
  <c r="A97" i="120"/>
  <c r="P96" i="120"/>
  <c r="N96" i="120"/>
  <c r="M96" i="120"/>
  <c r="L96" i="120"/>
  <c r="H96" i="120"/>
  <c r="A96" i="120"/>
  <c r="P95" i="120"/>
  <c r="N95" i="120"/>
  <c r="M95" i="120"/>
  <c r="L95" i="120"/>
  <c r="H95" i="120"/>
  <c r="A95" i="120"/>
  <c r="P94" i="120"/>
  <c r="N94" i="120"/>
  <c r="M94" i="120"/>
  <c r="L94" i="120"/>
  <c r="H94" i="120"/>
  <c r="A94" i="120"/>
  <c r="P93" i="120"/>
  <c r="N93" i="120"/>
  <c r="M93" i="120"/>
  <c r="L93" i="120"/>
  <c r="H93" i="120"/>
  <c r="A93" i="120"/>
  <c r="P92" i="120"/>
  <c r="N92" i="120"/>
  <c r="M92" i="120"/>
  <c r="L92" i="120"/>
  <c r="H92" i="120"/>
  <c r="A92" i="120"/>
  <c r="P91" i="120"/>
  <c r="N91" i="120"/>
  <c r="M91" i="120"/>
  <c r="L91" i="120"/>
  <c r="H91" i="120"/>
  <c r="A91" i="120"/>
  <c r="P90" i="120"/>
  <c r="N90" i="120"/>
  <c r="M90" i="120"/>
  <c r="L90" i="120"/>
  <c r="H90" i="120"/>
  <c r="A90" i="120"/>
  <c r="P89" i="120"/>
  <c r="N89" i="120"/>
  <c r="M89" i="120"/>
  <c r="L89" i="120"/>
  <c r="H89" i="120"/>
  <c r="A89" i="120"/>
  <c r="P88" i="120"/>
  <c r="N88" i="120"/>
  <c r="M88" i="120"/>
  <c r="L88" i="120"/>
  <c r="H88" i="120"/>
  <c r="A88" i="120"/>
  <c r="P87" i="120"/>
  <c r="N87" i="120"/>
  <c r="M87" i="120"/>
  <c r="L87" i="120"/>
  <c r="H87" i="120"/>
  <c r="A87" i="120"/>
  <c r="P86" i="120"/>
  <c r="N86" i="120"/>
  <c r="M86" i="120"/>
  <c r="L86" i="120"/>
  <c r="H86" i="120"/>
  <c r="A86" i="120"/>
  <c r="P85" i="120"/>
  <c r="N85" i="120"/>
  <c r="M85" i="120"/>
  <c r="L85" i="120"/>
  <c r="H85" i="120"/>
  <c r="A85" i="120"/>
  <c r="P84" i="120"/>
  <c r="N84" i="120"/>
  <c r="M84" i="120"/>
  <c r="L84" i="120"/>
  <c r="H84" i="120"/>
  <c r="A84" i="120"/>
  <c r="P83" i="120"/>
  <c r="N83" i="120"/>
  <c r="M83" i="120"/>
  <c r="L83" i="120"/>
  <c r="H83" i="120"/>
  <c r="A83" i="120"/>
  <c r="P82" i="120"/>
  <c r="N82" i="120"/>
  <c r="M82" i="120"/>
  <c r="L82" i="120"/>
  <c r="H82" i="120"/>
  <c r="A82" i="120"/>
  <c r="P81" i="120"/>
  <c r="N81" i="120"/>
  <c r="M81" i="120"/>
  <c r="L81" i="120"/>
  <c r="H81" i="120"/>
  <c r="A81" i="120"/>
  <c r="P80" i="120"/>
  <c r="N80" i="120"/>
  <c r="M80" i="120"/>
  <c r="L80" i="120"/>
  <c r="H80" i="120"/>
  <c r="A80" i="120"/>
  <c r="P79" i="120"/>
  <c r="N79" i="120"/>
  <c r="M79" i="120"/>
  <c r="L79" i="120"/>
  <c r="H79" i="120"/>
  <c r="A79" i="120"/>
  <c r="P78" i="120"/>
  <c r="N78" i="120"/>
  <c r="M78" i="120"/>
  <c r="L78" i="120"/>
  <c r="H78" i="120"/>
  <c r="A78" i="120"/>
  <c r="P77" i="120"/>
  <c r="N77" i="120"/>
  <c r="M77" i="120"/>
  <c r="L77" i="120"/>
  <c r="H77" i="120"/>
  <c r="A77" i="120"/>
  <c r="P76" i="120"/>
  <c r="N76" i="120"/>
  <c r="M76" i="120"/>
  <c r="L76" i="120"/>
  <c r="H76" i="120"/>
  <c r="A76" i="120"/>
  <c r="P75" i="120"/>
  <c r="N75" i="120"/>
  <c r="M75" i="120"/>
  <c r="L75" i="120"/>
  <c r="H75" i="120"/>
  <c r="A75" i="120"/>
  <c r="P74" i="120"/>
  <c r="N74" i="120"/>
  <c r="M74" i="120"/>
  <c r="L74" i="120"/>
  <c r="H74" i="120"/>
  <c r="A74" i="120"/>
  <c r="P73" i="120"/>
  <c r="N73" i="120"/>
  <c r="M73" i="120"/>
  <c r="L73" i="120"/>
  <c r="H73" i="120"/>
  <c r="A73" i="120"/>
  <c r="P72" i="120"/>
  <c r="N72" i="120"/>
  <c r="M72" i="120"/>
  <c r="L72" i="120"/>
  <c r="H72" i="120"/>
  <c r="A72" i="120"/>
  <c r="P71" i="120"/>
  <c r="N71" i="120"/>
  <c r="M71" i="120"/>
  <c r="L71" i="120"/>
  <c r="H71" i="120"/>
  <c r="A71" i="120"/>
  <c r="P70" i="120"/>
  <c r="N70" i="120"/>
  <c r="M70" i="120"/>
  <c r="L70" i="120"/>
  <c r="H70" i="120"/>
  <c r="A70" i="120"/>
  <c r="P69" i="120"/>
  <c r="N69" i="120"/>
  <c r="M69" i="120"/>
  <c r="L69" i="120"/>
  <c r="H69" i="120"/>
  <c r="A69" i="120"/>
  <c r="P68" i="120"/>
  <c r="N68" i="120"/>
  <c r="M68" i="120"/>
  <c r="L68" i="120"/>
  <c r="H68" i="120"/>
  <c r="A68" i="120"/>
  <c r="P67" i="120"/>
  <c r="N67" i="120"/>
  <c r="M67" i="120"/>
  <c r="L67" i="120"/>
  <c r="H67" i="120"/>
  <c r="A67" i="120"/>
  <c r="P66" i="120"/>
  <c r="N66" i="120"/>
  <c r="M66" i="120"/>
  <c r="L66" i="120"/>
  <c r="H66" i="120"/>
  <c r="A66" i="120"/>
  <c r="P65" i="120"/>
  <c r="N65" i="120"/>
  <c r="M65" i="120"/>
  <c r="L65" i="120"/>
  <c r="H65" i="120"/>
  <c r="A65" i="120"/>
  <c r="P64" i="120"/>
  <c r="N64" i="120"/>
  <c r="M64" i="120"/>
  <c r="L64" i="120"/>
  <c r="H64" i="120"/>
  <c r="A64" i="120"/>
  <c r="P63" i="120"/>
  <c r="N63" i="120"/>
  <c r="M63" i="120"/>
  <c r="L63" i="120"/>
  <c r="H63" i="120"/>
  <c r="A63" i="120"/>
  <c r="P62" i="120"/>
  <c r="N62" i="120"/>
  <c r="M62" i="120"/>
  <c r="L62" i="120"/>
  <c r="H62" i="120"/>
  <c r="A62" i="120"/>
  <c r="P61" i="120"/>
  <c r="N61" i="120"/>
  <c r="M61" i="120"/>
  <c r="L61" i="120"/>
  <c r="H61" i="120"/>
  <c r="A61" i="120"/>
  <c r="P60" i="120"/>
  <c r="N60" i="120"/>
  <c r="M60" i="120"/>
  <c r="L60" i="120"/>
  <c r="H60" i="120"/>
  <c r="A60" i="120"/>
  <c r="P59" i="120"/>
  <c r="N59" i="120"/>
  <c r="M59" i="120"/>
  <c r="L59" i="120"/>
  <c r="H59" i="120"/>
  <c r="A59" i="120"/>
  <c r="P58" i="120"/>
  <c r="N58" i="120"/>
  <c r="M58" i="120"/>
  <c r="L58" i="120"/>
  <c r="H58" i="120"/>
  <c r="A58" i="120"/>
  <c r="P57" i="120"/>
  <c r="N57" i="120"/>
  <c r="M57" i="120"/>
  <c r="L57" i="120"/>
  <c r="H57" i="120"/>
  <c r="A57" i="120"/>
  <c r="P56" i="120"/>
  <c r="N56" i="120"/>
  <c r="M56" i="120"/>
  <c r="L56" i="120"/>
  <c r="H56" i="120"/>
  <c r="A56" i="120"/>
  <c r="P55" i="120"/>
  <c r="N55" i="120"/>
  <c r="M55" i="120"/>
  <c r="L55" i="120"/>
  <c r="H55" i="120"/>
  <c r="A55" i="120"/>
  <c r="P54" i="120"/>
  <c r="N54" i="120"/>
  <c r="M54" i="120"/>
  <c r="L54" i="120"/>
  <c r="H54" i="120"/>
  <c r="A54" i="120"/>
  <c r="P53" i="120"/>
  <c r="N53" i="120"/>
  <c r="M53" i="120"/>
  <c r="L53" i="120"/>
  <c r="H53" i="120"/>
  <c r="A53" i="120"/>
  <c r="P52" i="120"/>
  <c r="N52" i="120"/>
  <c r="M52" i="120"/>
  <c r="L52" i="120"/>
  <c r="H52" i="120"/>
  <c r="A52" i="120"/>
  <c r="P51" i="120"/>
  <c r="N51" i="120"/>
  <c r="M51" i="120"/>
  <c r="L51" i="120"/>
  <c r="H51" i="120"/>
  <c r="A51" i="120"/>
  <c r="P50" i="120"/>
  <c r="N50" i="120"/>
  <c r="M50" i="120"/>
  <c r="L50" i="120"/>
  <c r="H50" i="120"/>
  <c r="A50" i="120"/>
  <c r="P49" i="120"/>
  <c r="N49" i="120"/>
  <c r="M49" i="120"/>
  <c r="L49" i="120"/>
  <c r="H49" i="120"/>
  <c r="A49" i="120"/>
  <c r="P48" i="120"/>
  <c r="N48" i="120"/>
  <c r="M48" i="120"/>
  <c r="L48" i="120"/>
  <c r="H48" i="120"/>
  <c r="A48" i="120"/>
  <c r="P47" i="120"/>
  <c r="N47" i="120"/>
  <c r="M47" i="120"/>
  <c r="L47" i="120"/>
  <c r="H47" i="120"/>
  <c r="A47" i="120"/>
  <c r="P46" i="120"/>
  <c r="N46" i="120"/>
  <c r="M46" i="120"/>
  <c r="L46" i="120"/>
  <c r="H46" i="120"/>
  <c r="A46" i="120"/>
  <c r="P45" i="120"/>
  <c r="N45" i="120"/>
  <c r="M45" i="120"/>
  <c r="L45" i="120"/>
  <c r="H45" i="120"/>
  <c r="A45" i="120"/>
  <c r="P44" i="120"/>
  <c r="N44" i="120"/>
  <c r="M44" i="120"/>
  <c r="L44" i="120"/>
  <c r="H44" i="120"/>
  <c r="A44" i="120"/>
  <c r="P43" i="120"/>
  <c r="N43" i="120"/>
  <c r="M43" i="120"/>
  <c r="L43" i="120"/>
  <c r="H43" i="120"/>
  <c r="A43" i="120"/>
  <c r="P42" i="120"/>
  <c r="N42" i="120"/>
  <c r="M42" i="120"/>
  <c r="L42" i="120"/>
  <c r="H42" i="120"/>
  <c r="A42" i="120"/>
  <c r="P41" i="120"/>
  <c r="N41" i="120"/>
  <c r="M41" i="120"/>
  <c r="L41" i="120"/>
  <c r="H41" i="120"/>
  <c r="A41" i="120"/>
  <c r="P40" i="120"/>
  <c r="N40" i="120"/>
  <c r="M40" i="120"/>
  <c r="L40" i="120"/>
  <c r="H40" i="120"/>
  <c r="A40" i="120"/>
  <c r="P39" i="120"/>
  <c r="N39" i="120"/>
  <c r="M39" i="120"/>
  <c r="L39" i="120"/>
  <c r="H39" i="120"/>
  <c r="A39" i="120"/>
  <c r="P38" i="120"/>
  <c r="N38" i="120"/>
  <c r="M38" i="120"/>
  <c r="L38" i="120"/>
  <c r="H38" i="120"/>
  <c r="A38" i="120"/>
  <c r="P37" i="120"/>
  <c r="N37" i="120"/>
  <c r="M37" i="120"/>
  <c r="L37" i="120"/>
  <c r="H37" i="120"/>
  <c r="A37" i="120"/>
  <c r="P36" i="120"/>
  <c r="N36" i="120"/>
  <c r="M36" i="120"/>
  <c r="L36" i="120"/>
  <c r="H36" i="120"/>
  <c r="A36" i="120"/>
  <c r="P35" i="120"/>
  <c r="N35" i="120"/>
  <c r="M35" i="120"/>
  <c r="L35" i="120"/>
  <c r="H35" i="120"/>
  <c r="A35" i="120"/>
  <c r="P34" i="120"/>
  <c r="N34" i="120"/>
  <c r="M34" i="120"/>
  <c r="L34" i="120"/>
  <c r="H34" i="120"/>
  <c r="A34" i="120"/>
  <c r="P33" i="120"/>
  <c r="N33" i="120"/>
  <c r="M33" i="120"/>
  <c r="L33" i="120"/>
  <c r="H33" i="120"/>
  <c r="A33" i="120"/>
  <c r="P32" i="120"/>
  <c r="N32" i="120"/>
  <c r="M32" i="120"/>
  <c r="L32" i="120"/>
  <c r="H32" i="120"/>
  <c r="A32" i="120"/>
  <c r="P31" i="120"/>
  <c r="N31" i="120"/>
  <c r="M31" i="120"/>
  <c r="L31" i="120"/>
  <c r="H31" i="120"/>
  <c r="A31" i="120"/>
  <c r="P30" i="120"/>
  <c r="N30" i="120"/>
  <c r="M30" i="120"/>
  <c r="L30" i="120"/>
  <c r="H30" i="120"/>
  <c r="A30" i="120"/>
  <c r="P29" i="120"/>
  <c r="N29" i="120"/>
  <c r="M29" i="120"/>
  <c r="L29" i="120"/>
  <c r="H29" i="120"/>
  <c r="A29" i="120"/>
  <c r="P28" i="120"/>
  <c r="N28" i="120"/>
  <c r="M28" i="120"/>
  <c r="L28" i="120"/>
  <c r="H28" i="120"/>
  <c r="A28" i="120"/>
  <c r="P27" i="120"/>
  <c r="N27" i="120"/>
  <c r="M27" i="120"/>
  <c r="L27" i="120"/>
  <c r="H27" i="120"/>
  <c r="A27" i="120"/>
  <c r="P26" i="120"/>
  <c r="N26" i="120"/>
  <c r="M26" i="120"/>
  <c r="L26" i="120"/>
  <c r="H26" i="120"/>
  <c r="A26" i="120"/>
  <c r="P25" i="120"/>
  <c r="N25" i="120"/>
  <c r="M25" i="120"/>
  <c r="L25" i="120"/>
  <c r="H25" i="120"/>
  <c r="A25" i="120"/>
  <c r="P24" i="120"/>
  <c r="N24" i="120"/>
  <c r="M24" i="120"/>
  <c r="L24" i="120"/>
  <c r="H24" i="120"/>
  <c r="A24" i="120"/>
  <c r="P23" i="120"/>
  <c r="N23" i="120"/>
  <c r="M23" i="120"/>
  <c r="L23" i="120"/>
  <c r="H23" i="120"/>
  <c r="A23" i="120"/>
  <c r="P22" i="120"/>
  <c r="N22" i="120"/>
  <c r="M22" i="120"/>
  <c r="L22" i="120"/>
  <c r="H22" i="120"/>
  <c r="A22" i="120"/>
  <c r="P21" i="120"/>
  <c r="N21" i="120"/>
  <c r="M21" i="120"/>
  <c r="L21" i="120"/>
  <c r="H21" i="120"/>
  <c r="A21" i="120"/>
  <c r="P20" i="120"/>
  <c r="N20" i="120"/>
  <c r="M20" i="120"/>
  <c r="L20" i="120"/>
  <c r="H20" i="120"/>
  <c r="A20" i="120"/>
  <c r="P19" i="120"/>
  <c r="N19" i="120"/>
  <c r="M19" i="120"/>
  <c r="L19" i="120"/>
  <c r="H19" i="120"/>
  <c r="A19" i="120"/>
  <c r="P18" i="120"/>
  <c r="N18" i="120"/>
  <c r="M18" i="120"/>
  <c r="L18" i="120"/>
  <c r="H18" i="120"/>
  <c r="A18" i="120"/>
  <c r="P17" i="120"/>
  <c r="N17" i="120"/>
  <c r="M17" i="120"/>
  <c r="L17" i="120"/>
  <c r="H17" i="120"/>
  <c r="A17" i="120"/>
  <c r="P16" i="120"/>
  <c r="N16" i="120"/>
  <c r="M16" i="120"/>
  <c r="L16" i="120"/>
  <c r="H16" i="120"/>
  <c r="A16" i="120"/>
  <c r="P15" i="120"/>
  <c r="N15" i="120"/>
  <c r="M15" i="120"/>
  <c r="L15" i="120"/>
  <c r="H15" i="120"/>
  <c r="A15" i="120"/>
  <c r="P14" i="120"/>
  <c r="N14" i="120"/>
  <c r="M14" i="120"/>
  <c r="L14" i="120"/>
  <c r="H14" i="120"/>
  <c r="A14" i="120"/>
  <c r="P13" i="120"/>
  <c r="N13" i="120"/>
  <c r="M13" i="120"/>
  <c r="L13" i="120"/>
  <c r="H13" i="120"/>
  <c r="A13" i="120"/>
  <c r="P12" i="120"/>
  <c r="N12" i="120"/>
  <c r="M12" i="120"/>
  <c r="L12" i="120"/>
  <c r="H12" i="120"/>
  <c r="A12" i="120"/>
  <c r="P11" i="120"/>
  <c r="N11" i="120"/>
  <c r="M11" i="120"/>
  <c r="L11" i="120"/>
  <c r="H11" i="120"/>
  <c r="A11" i="120"/>
  <c r="P10" i="120"/>
  <c r="N10" i="120"/>
  <c r="M10" i="120"/>
  <c r="L10" i="120"/>
  <c r="H10" i="120"/>
  <c r="A10" i="120"/>
  <c r="P9" i="120"/>
  <c r="N9" i="120"/>
  <c r="M9" i="120"/>
  <c r="L9" i="120"/>
  <c r="H9" i="120"/>
  <c r="A9" i="120"/>
  <c r="P8" i="120"/>
  <c r="N8" i="120"/>
  <c r="M8" i="120"/>
  <c r="L8" i="120"/>
  <c r="H8" i="120"/>
  <c r="A8" i="120"/>
  <c r="P7" i="120"/>
  <c r="N7" i="120"/>
  <c r="M7" i="120"/>
  <c r="L7" i="120"/>
  <c r="H7" i="120"/>
  <c r="A7" i="120"/>
  <c r="P6" i="120"/>
  <c r="N6" i="120"/>
  <c r="M6" i="120"/>
  <c r="L6" i="120"/>
  <c r="H6" i="120"/>
  <c r="A6" i="120"/>
  <c r="P5" i="120"/>
  <c r="N5" i="120"/>
  <c r="M5" i="120"/>
  <c r="L5" i="120"/>
  <c r="H5" i="120"/>
  <c r="A5" i="120"/>
  <c r="P4" i="120"/>
  <c r="N4" i="120"/>
  <c r="M4" i="120"/>
  <c r="L4" i="120"/>
  <c r="H4" i="120"/>
  <c r="A4" i="120"/>
  <c r="P3" i="120"/>
  <c r="N3" i="120"/>
  <c r="M3" i="120"/>
  <c r="L3" i="120"/>
  <c r="H3" i="120"/>
  <c r="A3" i="120"/>
  <c r="P2" i="120"/>
  <c r="N2" i="120"/>
  <c r="M2" i="120"/>
  <c r="L2" i="120"/>
  <c r="H2" i="120"/>
  <c r="A2" i="120"/>
  <c r="F61" i="119"/>
  <c r="F60" i="119"/>
  <c r="B53" i="119"/>
  <c r="B54" i="119"/>
  <c r="B55" i="119"/>
  <c r="B56" i="119"/>
  <c r="B57" i="119"/>
  <c r="B58" i="119"/>
  <c r="B59" i="119"/>
  <c r="B60" i="119"/>
  <c r="C53" i="119"/>
  <c r="C54" i="119"/>
  <c r="C55" i="119"/>
  <c r="C56" i="119"/>
  <c r="C57" i="119"/>
  <c r="C58" i="119"/>
  <c r="C59" i="119"/>
  <c r="C60" i="119"/>
  <c r="F59" i="119"/>
  <c r="F58" i="119"/>
  <c r="F55" i="119"/>
  <c r="G55" i="119"/>
  <c r="F54" i="119"/>
  <c r="G54" i="119"/>
  <c r="F53" i="119"/>
  <c r="G53" i="119"/>
  <c r="C42" i="119"/>
  <c r="D42" i="119"/>
  <c r="G42" i="119"/>
  <c r="H42" i="119"/>
  <c r="C43" i="119"/>
  <c r="D43" i="119"/>
  <c r="G43" i="119"/>
  <c r="E43" i="119"/>
  <c r="H43" i="119"/>
  <c r="H49" i="119"/>
  <c r="B45" i="119"/>
  <c r="C45" i="119"/>
  <c r="D45" i="119"/>
  <c r="K44" i="119"/>
  <c r="I44" i="119"/>
  <c r="J44" i="119"/>
  <c r="F44" i="119"/>
  <c r="K43" i="119"/>
  <c r="I43" i="119"/>
  <c r="J43" i="119"/>
  <c r="F43" i="119"/>
  <c r="K42" i="119"/>
  <c r="I42" i="119"/>
  <c r="J42" i="119"/>
  <c r="F42" i="119"/>
  <c r="K41" i="119"/>
  <c r="I41" i="119"/>
  <c r="J41" i="119"/>
  <c r="F41" i="119"/>
  <c r="K40" i="119"/>
  <c r="I40" i="119"/>
  <c r="J40" i="119"/>
  <c r="F40" i="119"/>
  <c r="K39" i="119"/>
  <c r="I39" i="119"/>
  <c r="J39" i="119"/>
  <c r="F39" i="119"/>
  <c r="K38" i="119"/>
  <c r="I38" i="119"/>
  <c r="J38" i="119"/>
  <c r="F38" i="119"/>
  <c r="K37" i="119"/>
  <c r="I37" i="119"/>
  <c r="J37" i="119"/>
  <c r="F37" i="119"/>
  <c r="K36" i="119"/>
  <c r="I36" i="119"/>
  <c r="J36" i="119"/>
  <c r="F36" i="119"/>
  <c r="K35" i="119"/>
  <c r="I35" i="119"/>
  <c r="J35" i="119"/>
  <c r="F35" i="119"/>
  <c r="K34" i="119"/>
  <c r="I34" i="119"/>
  <c r="J34" i="119"/>
  <c r="F34" i="119"/>
  <c r="K33" i="119"/>
  <c r="I33" i="119"/>
  <c r="J33" i="119"/>
  <c r="F33" i="119"/>
  <c r="K32" i="119"/>
  <c r="I32" i="119"/>
  <c r="J32" i="119"/>
  <c r="F32" i="119"/>
  <c r="K31" i="119"/>
  <c r="I31" i="119"/>
  <c r="J31" i="119"/>
  <c r="F31" i="119"/>
  <c r="K30" i="119"/>
  <c r="I30" i="119"/>
  <c r="J30" i="119"/>
  <c r="F30" i="119"/>
  <c r="K29" i="119"/>
  <c r="I29" i="119"/>
  <c r="J29" i="119"/>
  <c r="F29" i="119"/>
  <c r="K28" i="119"/>
  <c r="I28" i="119"/>
  <c r="J28" i="119"/>
  <c r="F28" i="119"/>
  <c r="K27" i="119"/>
  <c r="I27" i="119"/>
  <c r="J27" i="119"/>
  <c r="F27" i="119"/>
  <c r="K26" i="119"/>
  <c r="I26" i="119"/>
  <c r="J26" i="119"/>
  <c r="F26" i="119"/>
  <c r="K25" i="119"/>
  <c r="I25" i="119"/>
  <c r="J25" i="119"/>
  <c r="F25" i="119"/>
  <c r="K24" i="119"/>
  <c r="I24" i="119"/>
  <c r="J24" i="119"/>
  <c r="F24" i="119"/>
  <c r="K23" i="119"/>
  <c r="I23" i="119"/>
  <c r="J23" i="119"/>
  <c r="F23" i="119"/>
  <c r="K22" i="119"/>
  <c r="I22" i="119"/>
  <c r="J22" i="119"/>
  <c r="F22" i="119"/>
  <c r="K21" i="119"/>
  <c r="I21" i="119"/>
  <c r="J21" i="119"/>
  <c r="F21" i="119"/>
  <c r="K20" i="119"/>
  <c r="I20" i="119"/>
  <c r="J20" i="119"/>
  <c r="F20" i="119"/>
  <c r="K19" i="119"/>
  <c r="I19" i="119"/>
  <c r="J19" i="119"/>
  <c r="F19" i="119"/>
  <c r="K18" i="119"/>
  <c r="I18" i="119"/>
  <c r="J18" i="119"/>
  <c r="F18" i="119"/>
  <c r="K17" i="119"/>
  <c r="I17" i="119"/>
  <c r="J17" i="119"/>
  <c r="F17" i="119"/>
  <c r="R14" i="119"/>
  <c r="P14" i="119"/>
  <c r="O14" i="119"/>
  <c r="M14" i="119"/>
  <c r="R13" i="119"/>
  <c r="P13" i="119"/>
  <c r="O13" i="119"/>
  <c r="M13" i="119"/>
  <c r="R12" i="119"/>
  <c r="P12" i="119"/>
  <c r="O12" i="119"/>
  <c r="M12" i="119"/>
  <c r="R11" i="119"/>
  <c r="P11" i="119"/>
  <c r="O11" i="119"/>
  <c r="M11" i="119"/>
  <c r="R10" i="119"/>
  <c r="P10" i="119"/>
  <c r="O10" i="119"/>
  <c r="M10" i="119"/>
  <c r="R9" i="119"/>
  <c r="P9" i="119"/>
  <c r="O9" i="119"/>
  <c r="M9" i="119"/>
  <c r="R8" i="119"/>
  <c r="P8" i="119"/>
  <c r="O8" i="119"/>
  <c r="M8" i="119"/>
  <c r="R7" i="119"/>
  <c r="P7" i="119"/>
  <c r="O7" i="119"/>
  <c r="M7" i="119"/>
  <c r="R6" i="119"/>
  <c r="P6" i="119"/>
  <c r="O6" i="119"/>
  <c r="M6" i="119"/>
  <c r="R5" i="119"/>
  <c r="P5" i="119"/>
  <c r="O5" i="119"/>
  <c r="M5" i="119"/>
  <c r="R4" i="119"/>
  <c r="P4" i="119"/>
  <c r="O4" i="119"/>
  <c r="M4" i="119"/>
  <c r="R3" i="119"/>
  <c r="P3" i="119"/>
  <c r="O3" i="119"/>
  <c r="M3" i="119"/>
  <c r="A49" i="106"/>
  <c r="B44" i="106"/>
  <c r="F8" i="106"/>
  <c r="B10" i="106"/>
  <c r="F7" i="106"/>
  <c r="F6" i="106"/>
  <c r="F5" i="106"/>
  <c r="G5" i="106"/>
  <c r="B29" i="106"/>
  <c r="B28" i="106"/>
  <c r="B27" i="106"/>
  <c r="B26" i="106"/>
  <c r="B25" i="106"/>
  <c r="B24" i="106"/>
  <c r="G7" i="106"/>
  <c r="B21" i="106"/>
  <c r="B23" i="106"/>
  <c r="B22" i="106"/>
  <c r="B20" i="106"/>
  <c r="B19" i="106"/>
  <c r="B17" i="106"/>
  <c r="B18" i="106"/>
  <c r="E6" i="106"/>
  <c r="E5" i="106"/>
  <c r="G6" i="106"/>
  <c r="B39" i="106"/>
  <c r="B41" i="106"/>
  <c r="B42" i="106"/>
  <c r="G8" i="106"/>
  <c r="B34" i="106"/>
  <c r="B36" i="106"/>
  <c r="B35" i="106"/>
  <c r="G3" i="82"/>
  <c r="G4" i="82"/>
  <c r="G5" i="82"/>
  <c r="G6" i="82"/>
  <c r="G7" i="82"/>
  <c r="G8" i="82"/>
  <c r="G9" i="82"/>
  <c r="G10" i="82"/>
  <c r="G11" i="82"/>
  <c r="G12" i="82"/>
  <c r="G13" i="82"/>
  <c r="G14" i="82"/>
  <c r="G15" i="82"/>
  <c r="G16" i="82"/>
  <c r="G17" i="82"/>
  <c r="G18" i="82"/>
  <c r="G19" i="82"/>
  <c r="G20" i="82"/>
  <c r="G21" i="82"/>
  <c r="G22" i="82"/>
  <c r="G23" i="82"/>
  <c r="G24" i="82"/>
  <c r="G25" i="82"/>
  <c r="G26" i="82"/>
  <c r="G27" i="82"/>
  <c r="G28" i="82"/>
  <c r="G29" i="82"/>
  <c r="G30" i="82"/>
  <c r="G31" i="82"/>
  <c r="G32" i="82"/>
  <c r="G33" i="82"/>
  <c r="G34" i="82"/>
  <c r="G35" i="82"/>
  <c r="G36" i="82"/>
  <c r="G37" i="82"/>
  <c r="G38" i="82"/>
  <c r="G39" i="82"/>
  <c r="G40" i="82"/>
  <c r="G41" i="82"/>
  <c r="G42" i="82"/>
  <c r="G43" i="82"/>
  <c r="G44" i="82"/>
  <c r="G45" i="82"/>
  <c r="G46" i="82"/>
  <c r="G47" i="82"/>
  <c r="G48" i="82"/>
  <c r="G49" i="82"/>
  <c r="G50" i="82"/>
  <c r="G51" i="82"/>
  <c r="G52" i="82"/>
  <c r="G53" i="82"/>
  <c r="G54" i="82"/>
  <c r="G55" i="82"/>
  <c r="G56" i="82"/>
  <c r="G57" i="82"/>
  <c r="G58" i="82"/>
  <c r="G59" i="82"/>
  <c r="G60" i="82"/>
  <c r="G61" i="82"/>
  <c r="G62" i="82"/>
  <c r="G63" i="82"/>
  <c r="G64" i="82"/>
  <c r="G65" i="82"/>
  <c r="G66" i="82"/>
  <c r="G67" i="82"/>
  <c r="G68" i="82"/>
  <c r="G69" i="82"/>
  <c r="G70" i="82"/>
  <c r="G71" i="82"/>
  <c r="G72" i="82"/>
  <c r="G73" i="82"/>
  <c r="G74" i="82"/>
  <c r="G75" i="82"/>
  <c r="G76" i="82"/>
  <c r="G77" i="82"/>
  <c r="G78" i="82"/>
  <c r="G79" i="82"/>
  <c r="G80" i="82"/>
  <c r="G81" i="82"/>
  <c r="G82" i="82"/>
  <c r="G83" i="82"/>
  <c r="G84" i="82"/>
  <c r="G85" i="82"/>
  <c r="G86" i="82"/>
  <c r="G87" i="82"/>
  <c r="G88" i="82"/>
  <c r="G89" i="82"/>
  <c r="G90" i="82"/>
  <c r="G91" i="82"/>
  <c r="G92" i="82"/>
  <c r="G93" i="82"/>
  <c r="G94" i="82"/>
  <c r="G95" i="82"/>
  <c r="G96" i="82"/>
  <c r="G97" i="82"/>
  <c r="G98" i="82"/>
  <c r="G99" i="82"/>
  <c r="G100" i="82"/>
  <c r="G101" i="82"/>
  <c r="G102" i="82"/>
  <c r="G103" i="82"/>
  <c r="G104" i="82"/>
  <c r="G105" i="82"/>
  <c r="G106" i="82"/>
  <c r="G107" i="82"/>
  <c r="G108" i="82"/>
  <c r="G109" i="82"/>
  <c r="G110" i="82"/>
  <c r="G111" i="82"/>
  <c r="G112" i="82"/>
  <c r="G113" i="82"/>
  <c r="G114" i="82"/>
  <c r="G115" i="82"/>
  <c r="G116" i="82"/>
  <c r="G117" i="82"/>
  <c r="G118" i="82"/>
  <c r="G119" i="82"/>
  <c r="G120" i="82"/>
  <c r="G121" i="82"/>
  <c r="G122" i="82"/>
  <c r="G123" i="82"/>
  <c r="G124" i="82"/>
  <c r="G125" i="82"/>
  <c r="G126" i="82"/>
  <c r="G127" i="82"/>
  <c r="G128" i="82"/>
  <c r="G129" i="82"/>
  <c r="G130" i="82"/>
  <c r="G131" i="82"/>
  <c r="G132" i="82"/>
  <c r="G133" i="82"/>
  <c r="G134" i="82"/>
  <c r="G135" i="82"/>
  <c r="G136" i="82"/>
  <c r="G137" i="82"/>
  <c r="G138" i="82"/>
  <c r="G139" i="82"/>
  <c r="G140" i="82"/>
  <c r="G141" i="82"/>
  <c r="G142" i="82"/>
  <c r="G143" i="82"/>
  <c r="G144" i="82"/>
  <c r="G145" i="82"/>
  <c r="G146" i="82"/>
  <c r="G147" i="82"/>
  <c r="G148" i="82"/>
  <c r="G149" i="82"/>
  <c r="G150" i="82"/>
  <c r="G151" i="82"/>
  <c r="G152" i="82"/>
  <c r="G153" i="82"/>
  <c r="G154" i="82"/>
  <c r="G155" i="82"/>
  <c r="G156" i="82"/>
  <c r="G157" i="82"/>
  <c r="G158" i="82"/>
  <c r="G159" i="82"/>
  <c r="G160" i="82"/>
  <c r="G161" i="82"/>
  <c r="G162" i="82"/>
  <c r="G163" i="82"/>
  <c r="G164" i="82"/>
  <c r="G165" i="82"/>
  <c r="G166" i="82"/>
  <c r="G167" i="82"/>
  <c r="G168" i="82"/>
  <c r="G169" i="82"/>
  <c r="G170" i="82"/>
  <c r="G171" i="82"/>
  <c r="G172" i="82"/>
  <c r="G173" i="82"/>
  <c r="G174" i="82"/>
  <c r="G175" i="82"/>
  <c r="G176" i="82"/>
  <c r="G177" i="82"/>
  <c r="G178" i="82"/>
  <c r="G179" i="82"/>
  <c r="G180" i="82"/>
  <c r="G181" i="82"/>
  <c r="G182" i="82"/>
  <c r="G183" i="82"/>
  <c r="G184" i="82"/>
  <c r="G185" i="82"/>
  <c r="G186" i="82"/>
  <c r="G187" i="82"/>
  <c r="G188" i="82"/>
  <c r="G189" i="82"/>
  <c r="G190" i="82"/>
  <c r="G191" i="82"/>
  <c r="G192" i="82"/>
  <c r="G193" i="82"/>
  <c r="G194" i="82"/>
  <c r="G195" i="82"/>
  <c r="G196" i="82"/>
  <c r="G197" i="82"/>
  <c r="G198" i="82"/>
  <c r="G199" i="82"/>
  <c r="G200" i="82"/>
  <c r="G201" i="82"/>
  <c r="G202" i="82"/>
  <c r="G203" i="82"/>
  <c r="G204" i="82"/>
  <c r="G205" i="82"/>
  <c r="G206" i="82"/>
  <c r="G207" i="82"/>
  <c r="G208" i="82"/>
  <c r="G209" i="82"/>
  <c r="G210" i="82"/>
  <c r="G211" i="82"/>
  <c r="G212" i="82"/>
  <c r="G213" i="82"/>
  <c r="G214" i="82"/>
  <c r="G215" i="82"/>
  <c r="G216" i="82"/>
  <c r="G217" i="82"/>
  <c r="G218" i="82"/>
  <c r="G219" i="82"/>
  <c r="G220" i="82"/>
  <c r="G221" i="82"/>
  <c r="G222" i="82"/>
  <c r="G223" i="82"/>
  <c r="G224" i="82"/>
  <c r="G225" i="82"/>
  <c r="G226" i="82"/>
  <c r="G227" i="82"/>
  <c r="G228" i="82"/>
  <c r="G229" i="82"/>
  <c r="G230" i="82"/>
  <c r="G231" i="82"/>
  <c r="G232" i="82"/>
  <c r="G233" i="82"/>
  <c r="G234" i="82"/>
  <c r="G235" i="82"/>
  <c r="G236" i="82"/>
  <c r="G237" i="82"/>
  <c r="G238" i="82"/>
  <c r="G239" i="82"/>
  <c r="G240" i="82"/>
  <c r="G241" i="82"/>
  <c r="G242" i="82"/>
  <c r="G243" i="82"/>
  <c r="G244" i="82"/>
  <c r="G245" i="82"/>
  <c r="G246" i="82"/>
  <c r="G247" i="82"/>
  <c r="G248" i="82"/>
  <c r="G249" i="82"/>
  <c r="G250" i="82"/>
  <c r="G251" i="82"/>
  <c r="G252" i="82"/>
  <c r="G253" i="82"/>
  <c r="G254" i="82"/>
  <c r="G255" i="82"/>
  <c r="G256" i="82"/>
  <c r="G257" i="82"/>
  <c r="G258" i="82"/>
  <c r="G259" i="82"/>
  <c r="G260" i="82"/>
  <c r="G261" i="82"/>
  <c r="G262" i="82"/>
  <c r="G263" i="82"/>
  <c r="G264" i="82"/>
  <c r="G265" i="82"/>
  <c r="G266" i="82"/>
  <c r="G267" i="82"/>
  <c r="G268" i="82"/>
  <c r="G269" i="82"/>
  <c r="G270" i="82"/>
  <c r="G271" i="82"/>
  <c r="G2" i="82"/>
  <c r="A2" i="106"/>
  <c r="I2" i="82"/>
  <c r="D2" i="82"/>
  <c r="J2" i="82"/>
  <c r="E2" i="82"/>
  <c r="K2" i="82"/>
  <c r="F2" i="82"/>
  <c r="C2" i="82"/>
  <c r="I3" i="82"/>
  <c r="D3" i="82"/>
  <c r="J3" i="82"/>
  <c r="E3" i="82"/>
  <c r="K3" i="82"/>
  <c r="F3" i="82"/>
  <c r="C3" i="82"/>
  <c r="I4" i="82"/>
  <c r="D4" i="82"/>
  <c r="J4" i="82"/>
  <c r="E4" i="82"/>
  <c r="K4" i="82"/>
  <c r="F4" i="82"/>
  <c r="C4" i="82"/>
  <c r="I5" i="82"/>
  <c r="D5" i="82"/>
  <c r="J5" i="82"/>
  <c r="E5" i="82"/>
  <c r="K5" i="82"/>
  <c r="F5" i="82"/>
  <c r="C5" i="82"/>
  <c r="I6" i="82"/>
  <c r="D6" i="82"/>
  <c r="J6" i="82"/>
  <c r="E6" i="82"/>
  <c r="K6" i="82"/>
  <c r="F6" i="82"/>
  <c r="C6" i="82"/>
  <c r="I7" i="82"/>
  <c r="D7" i="82"/>
  <c r="J7" i="82"/>
  <c r="E7" i="82"/>
  <c r="K7" i="82"/>
  <c r="F7" i="82"/>
  <c r="C7" i="82"/>
  <c r="I8" i="82"/>
  <c r="D8" i="82"/>
  <c r="J8" i="82"/>
  <c r="E8" i="82"/>
  <c r="K8" i="82"/>
  <c r="F8" i="82"/>
  <c r="C8" i="82"/>
  <c r="I9" i="82"/>
  <c r="D9" i="82"/>
  <c r="J9" i="82"/>
  <c r="E9" i="82"/>
  <c r="K9" i="82"/>
  <c r="F9" i="82"/>
  <c r="C9" i="82"/>
  <c r="I10" i="82"/>
  <c r="D10" i="82"/>
  <c r="J10" i="82"/>
  <c r="E10" i="82"/>
  <c r="K10" i="82"/>
  <c r="F10" i="82"/>
  <c r="C10" i="82"/>
  <c r="I11" i="82"/>
  <c r="D11" i="82"/>
  <c r="J11" i="82"/>
  <c r="E11" i="82"/>
  <c r="K11" i="82"/>
  <c r="F11" i="82"/>
  <c r="C11" i="82"/>
  <c r="I12" i="82"/>
  <c r="D12" i="82"/>
  <c r="J12" i="82"/>
  <c r="E12" i="82"/>
  <c r="K12" i="82"/>
  <c r="F12" i="82"/>
  <c r="C12" i="82"/>
  <c r="I13" i="82"/>
  <c r="D13" i="82"/>
  <c r="J13" i="82"/>
  <c r="E13" i="82"/>
  <c r="K13" i="82"/>
  <c r="F13" i="82"/>
  <c r="C13" i="82"/>
  <c r="I14" i="82"/>
  <c r="D14" i="82"/>
  <c r="J14" i="82"/>
  <c r="E14" i="82"/>
  <c r="K14" i="82"/>
  <c r="F14" i="82"/>
  <c r="C14" i="82"/>
  <c r="I15" i="82"/>
  <c r="D15" i="82"/>
  <c r="J15" i="82"/>
  <c r="E15" i="82"/>
  <c r="K15" i="82"/>
  <c r="F15" i="82"/>
  <c r="C15" i="82"/>
  <c r="I16" i="82"/>
  <c r="D16" i="82"/>
  <c r="J16" i="82"/>
  <c r="E16" i="82"/>
  <c r="K16" i="82"/>
  <c r="F16" i="82"/>
  <c r="C16" i="82"/>
  <c r="I17" i="82"/>
  <c r="D17" i="82"/>
  <c r="J17" i="82"/>
  <c r="E17" i="82"/>
  <c r="K17" i="82"/>
  <c r="F17" i="82"/>
  <c r="C17" i="82"/>
  <c r="I18" i="82"/>
  <c r="D18" i="82"/>
  <c r="J18" i="82"/>
  <c r="E18" i="82"/>
  <c r="K18" i="82"/>
  <c r="F18" i="82"/>
  <c r="C18" i="82"/>
  <c r="I19" i="82"/>
  <c r="D19" i="82"/>
  <c r="J19" i="82"/>
  <c r="E19" i="82"/>
  <c r="K19" i="82"/>
  <c r="F19" i="82"/>
  <c r="C19" i="82"/>
  <c r="I20" i="82"/>
  <c r="D20" i="82"/>
  <c r="J20" i="82"/>
  <c r="E20" i="82"/>
  <c r="K20" i="82"/>
  <c r="F20" i="82"/>
  <c r="C20" i="82"/>
  <c r="I21" i="82"/>
  <c r="D21" i="82"/>
  <c r="J21" i="82"/>
  <c r="E21" i="82"/>
  <c r="K21" i="82"/>
  <c r="F21" i="82"/>
  <c r="C21" i="82"/>
  <c r="I22" i="82"/>
  <c r="D22" i="82"/>
  <c r="J22" i="82"/>
  <c r="E22" i="82"/>
  <c r="K22" i="82"/>
  <c r="F22" i="82"/>
  <c r="C22" i="82"/>
  <c r="I23" i="82"/>
  <c r="D23" i="82"/>
  <c r="J23" i="82"/>
  <c r="E23" i="82"/>
  <c r="K23" i="82"/>
  <c r="F23" i="82"/>
  <c r="C23" i="82"/>
  <c r="I24" i="82"/>
  <c r="D24" i="82"/>
  <c r="J24" i="82"/>
  <c r="E24" i="82"/>
  <c r="K24" i="82"/>
  <c r="F24" i="82"/>
  <c r="C24" i="82"/>
  <c r="I25" i="82"/>
  <c r="D25" i="82"/>
  <c r="J25" i="82"/>
  <c r="E25" i="82"/>
  <c r="K25" i="82"/>
  <c r="F25" i="82"/>
  <c r="C25" i="82"/>
  <c r="I26" i="82"/>
  <c r="D26" i="82"/>
  <c r="J26" i="82"/>
  <c r="E26" i="82"/>
  <c r="K26" i="82"/>
  <c r="F26" i="82"/>
  <c r="C26" i="82"/>
  <c r="I27" i="82"/>
  <c r="D27" i="82"/>
  <c r="J27" i="82"/>
  <c r="E27" i="82"/>
  <c r="K27" i="82"/>
  <c r="F27" i="82"/>
  <c r="C27" i="82"/>
  <c r="I28" i="82"/>
  <c r="D28" i="82"/>
  <c r="J28" i="82"/>
  <c r="E28" i="82"/>
  <c r="K28" i="82"/>
  <c r="F28" i="82"/>
  <c r="C28" i="82"/>
  <c r="I29" i="82"/>
  <c r="D29" i="82"/>
  <c r="J29" i="82"/>
  <c r="E29" i="82"/>
  <c r="K29" i="82"/>
  <c r="F29" i="82"/>
  <c r="C29" i="82"/>
  <c r="I30" i="82"/>
  <c r="D30" i="82"/>
  <c r="J30" i="82"/>
  <c r="E30" i="82"/>
  <c r="K30" i="82"/>
  <c r="F30" i="82"/>
  <c r="C30" i="82"/>
  <c r="I31" i="82"/>
  <c r="D31" i="82"/>
  <c r="J31" i="82"/>
  <c r="E31" i="82"/>
  <c r="K31" i="82"/>
  <c r="F31" i="82"/>
  <c r="C31" i="82"/>
  <c r="I32" i="82"/>
  <c r="D32" i="82"/>
  <c r="J32" i="82"/>
  <c r="E32" i="82"/>
  <c r="K32" i="82"/>
  <c r="F32" i="82"/>
  <c r="C32" i="82"/>
  <c r="I33" i="82"/>
  <c r="D33" i="82"/>
  <c r="J33" i="82"/>
  <c r="E33" i="82"/>
  <c r="K33" i="82"/>
  <c r="F33" i="82"/>
  <c r="C33" i="82"/>
  <c r="I34" i="82"/>
  <c r="D34" i="82"/>
  <c r="J34" i="82"/>
  <c r="E34" i="82"/>
  <c r="K34" i="82"/>
  <c r="F34" i="82"/>
  <c r="C34" i="82"/>
  <c r="I35" i="82"/>
  <c r="D35" i="82"/>
  <c r="J35" i="82"/>
  <c r="E35" i="82"/>
  <c r="K35" i="82"/>
  <c r="F35" i="82"/>
  <c r="C35" i="82"/>
  <c r="I36" i="82"/>
  <c r="D36" i="82"/>
  <c r="J36" i="82"/>
  <c r="E36" i="82"/>
  <c r="K36" i="82"/>
  <c r="F36" i="82"/>
  <c r="C36" i="82"/>
  <c r="I37" i="82"/>
  <c r="D37" i="82"/>
  <c r="J37" i="82"/>
  <c r="E37" i="82"/>
  <c r="K37" i="82"/>
  <c r="F37" i="82"/>
  <c r="C37" i="82"/>
  <c r="I38" i="82"/>
  <c r="D38" i="82"/>
  <c r="J38" i="82"/>
  <c r="E38" i="82"/>
  <c r="K38" i="82"/>
  <c r="F38" i="82"/>
  <c r="C38" i="82"/>
  <c r="I39" i="82"/>
  <c r="D39" i="82"/>
  <c r="J39" i="82"/>
  <c r="E39" i="82"/>
  <c r="K39" i="82"/>
  <c r="F39" i="82"/>
  <c r="C39" i="82"/>
  <c r="I40" i="82"/>
  <c r="D40" i="82"/>
  <c r="J40" i="82"/>
  <c r="E40" i="82"/>
  <c r="K40" i="82"/>
  <c r="F40" i="82"/>
  <c r="C40" i="82"/>
  <c r="I41" i="82"/>
  <c r="D41" i="82"/>
  <c r="J41" i="82"/>
  <c r="E41" i="82"/>
  <c r="K41" i="82"/>
  <c r="F41" i="82"/>
  <c r="C41" i="82"/>
  <c r="I42" i="82"/>
  <c r="D42" i="82"/>
  <c r="J42" i="82"/>
  <c r="E42" i="82"/>
  <c r="K42" i="82"/>
  <c r="F42" i="82"/>
  <c r="C42" i="82"/>
  <c r="I43" i="82"/>
  <c r="D43" i="82"/>
  <c r="J43" i="82"/>
  <c r="E43" i="82"/>
  <c r="K43" i="82"/>
  <c r="F43" i="82"/>
  <c r="C43" i="82"/>
  <c r="I44" i="82"/>
  <c r="D44" i="82"/>
  <c r="J44" i="82"/>
  <c r="E44" i="82"/>
  <c r="K44" i="82"/>
  <c r="F44" i="82"/>
  <c r="C44" i="82"/>
  <c r="I45" i="82"/>
  <c r="D45" i="82"/>
  <c r="J45" i="82"/>
  <c r="E45" i="82"/>
  <c r="K45" i="82"/>
  <c r="F45" i="82"/>
  <c r="C45" i="82"/>
  <c r="I46" i="82"/>
  <c r="D46" i="82"/>
  <c r="J46" i="82"/>
  <c r="E46" i="82"/>
  <c r="K46" i="82"/>
  <c r="F46" i="82"/>
  <c r="C46" i="82"/>
  <c r="I47" i="82"/>
  <c r="D47" i="82"/>
  <c r="J47" i="82"/>
  <c r="E47" i="82"/>
  <c r="K47" i="82"/>
  <c r="F47" i="82"/>
  <c r="C47" i="82"/>
  <c r="I48" i="82"/>
  <c r="D48" i="82"/>
  <c r="J48" i="82"/>
  <c r="E48" i="82"/>
  <c r="K48" i="82"/>
  <c r="F48" i="82"/>
  <c r="C48" i="82"/>
  <c r="I49" i="82"/>
  <c r="D49" i="82"/>
  <c r="J49" i="82"/>
  <c r="E49" i="82"/>
  <c r="K49" i="82"/>
  <c r="F49" i="82"/>
  <c r="C49" i="82"/>
  <c r="I50" i="82"/>
  <c r="D50" i="82"/>
  <c r="J50" i="82"/>
  <c r="E50" i="82"/>
  <c r="K50" i="82"/>
  <c r="F50" i="82"/>
  <c r="C50" i="82"/>
  <c r="I51" i="82"/>
  <c r="D51" i="82"/>
  <c r="J51" i="82"/>
  <c r="E51" i="82"/>
  <c r="K51" i="82"/>
  <c r="F51" i="82"/>
  <c r="C51" i="82"/>
  <c r="I52" i="82"/>
  <c r="D52" i="82"/>
  <c r="J52" i="82"/>
  <c r="E52" i="82"/>
  <c r="K52" i="82"/>
  <c r="F52" i="82"/>
  <c r="C52" i="82"/>
  <c r="I53" i="82"/>
  <c r="D53" i="82"/>
  <c r="J53" i="82"/>
  <c r="E53" i="82"/>
  <c r="K53" i="82"/>
  <c r="F53" i="82"/>
  <c r="C53" i="82"/>
  <c r="I54" i="82"/>
  <c r="D54" i="82"/>
  <c r="J54" i="82"/>
  <c r="E54" i="82"/>
  <c r="K54" i="82"/>
  <c r="F54" i="82"/>
  <c r="C54" i="82"/>
  <c r="I55" i="82"/>
  <c r="D55" i="82"/>
  <c r="J55" i="82"/>
  <c r="E55" i="82"/>
  <c r="K55" i="82"/>
  <c r="F55" i="82"/>
  <c r="C55" i="82"/>
  <c r="I56" i="82"/>
  <c r="D56" i="82"/>
  <c r="J56" i="82"/>
  <c r="E56" i="82"/>
  <c r="K56" i="82"/>
  <c r="F56" i="82"/>
  <c r="C56" i="82"/>
  <c r="I57" i="82"/>
  <c r="D57" i="82"/>
  <c r="J57" i="82"/>
  <c r="E57" i="82"/>
  <c r="K57" i="82"/>
  <c r="F57" i="82"/>
  <c r="C57" i="82"/>
  <c r="I58" i="82"/>
  <c r="D58" i="82"/>
  <c r="J58" i="82"/>
  <c r="E58" i="82"/>
  <c r="K58" i="82"/>
  <c r="F58" i="82"/>
  <c r="C58" i="82"/>
  <c r="I59" i="82"/>
  <c r="D59" i="82"/>
  <c r="J59" i="82"/>
  <c r="E59" i="82"/>
  <c r="K59" i="82"/>
  <c r="F59" i="82"/>
  <c r="C59" i="82"/>
  <c r="I60" i="82"/>
  <c r="D60" i="82"/>
  <c r="J60" i="82"/>
  <c r="E60" i="82"/>
  <c r="K60" i="82"/>
  <c r="F60" i="82"/>
  <c r="C60" i="82"/>
  <c r="I61" i="82"/>
  <c r="D61" i="82"/>
  <c r="J61" i="82"/>
  <c r="E61" i="82"/>
  <c r="K61" i="82"/>
  <c r="F61" i="82"/>
  <c r="C61" i="82"/>
  <c r="I62" i="82"/>
  <c r="D62" i="82"/>
  <c r="J62" i="82"/>
  <c r="E62" i="82"/>
  <c r="K62" i="82"/>
  <c r="F62" i="82"/>
  <c r="C62" i="82"/>
  <c r="I63" i="82"/>
  <c r="D63" i="82"/>
  <c r="J63" i="82"/>
  <c r="E63" i="82"/>
  <c r="K63" i="82"/>
  <c r="F63" i="82"/>
  <c r="C63" i="82"/>
  <c r="I64" i="82"/>
  <c r="D64" i="82"/>
  <c r="J64" i="82"/>
  <c r="E64" i="82"/>
  <c r="K64" i="82"/>
  <c r="F64" i="82"/>
  <c r="C64" i="82"/>
  <c r="I65" i="82"/>
  <c r="D65" i="82"/>
  <c r="J65" i="82"/>
  <c r="E65" i="82"/>
  <c r="K65" i="82"/>
  <c r="F65" i="82"/>
  <c r="C65" i="82"/>
  <c r="I66" i="82"/>
  <c r="D66" i="82"/>
  <c r="J66" i="82"/>
  <c r="E66" i="82"/>
  <c r="K66" i="82"/>
  <c r="F66" i="82"/>
  <c r="C66" i="82"/>
  <c r="I67" i="82"/>
  <c r="D67" i="82"/>
  <c r="J67" i="82"/>
  <c r="E67" i="82"/>
  <c r="K67" i="82"/>
  <c r="F67" i="82"/>
  <c r="C67" i="82"/>
  <c r="I68" i="82"/>
  <c r="D68" i="82"/>
  <c r="J68" i="82"/>
  <c r="E68" i="82"/>
  <c r="K68" i="82"/>
  <c r="F68" i="82"/>
  <c r="C68" i="82"/>
  <c r="I69" i="82"/>
  <c r="D69" i="82"/>
  <c r="J69" i="82"/>
  <c r="E69" i="82"/>
  <c r="K69" i="82"/>
  <c r="F69" i="82"/>
  <c r="C69" i="82"/>
  <c r="I70" i="82"/>
  <c r="D70" i="82"/>
  <c r="J70" i="82"/>
  <c r="E70" i="82"/>
  <c r="K70" i="82"/>
  <c r="F70" i="82"/>
  <c r="C70" i="82"/>
  <c r="I71" i="82"/>
  <c r="D71" i="82"/>
  <c r="J71" i="82"/>
  <c r="E71" i="82"/>
  <c r="K71" i="82"/>
  <c r="F71" i="82"/>
  <c r="C71" i="82"/>
  <c r="I72" i="82"/>
  <c r="D72" i="82"/>
  <c r="J72" i="82"/>
  <c r="E72" i="82"/>
  <c r="K72" i="82"/>
  <c r="F72" i="82"/>
  <c r="C72" i="82"/>
  <c r="I73" i="82"/>
  <c r="D73" i="82"/>
  <c r="J73" i="82"/>
  <c r="E73" i="82"/>
  <c r="K73" i="82"/>
  <c r="F73" i="82"/>
  <c r="C73" i="82"/>
  <c r="I74" i="82"/>
  <c r="D74" i="82"/>
  <c r="J74" i="82"/>
  <c r="E74" i="82"/>
  <c r="K74" i="82"/>
  <c r="F74" i="82"/>
  <c r="C74" i="82"/>
  <c r="I75" i="82"/>
  <c r="D75" i="82"/>
  <c r="J75" i="82"/>
  <c r="E75" i="82"/>
  <c r="K75" i="82"/>
  <c r="F75" i="82"/>
  <c r="C75" i="82"/>
  <c r="I76" i="82"/>
  <c r="D76" i="82"/>
  <c r="J76" i="82"/>
  <c r="E76" i="82"/>
  <c r="K76" i="82"/>
  <c r="F76" i="82"/>
  <c r="C76" i="82"/>
  <c r="I77" i="82"/>
  <c r="D77" i="82"/>
  <c r="J77" i="82"/>
  <c r="E77" i="82"/>
  <c r="K77" i="82"/>
  <c r="F77" i="82"/>
  <c r="C77" i="82"/>
  <c r="I78" i="82"/>
  <c r="D78" i="82"/>
  <c r="J78" i="82"/>
  <c r="E78" i="82"/>
  <c r="K78" i="82"/>
  <c r="F78" i="82"/>
  <c r="C78" i="82"/>
  <c r="I79" i="82"/>
  <c r="D79" i="82"/>
  <c r="J79" i="82"/>
  <c r="E79" i="82"/>
  <c r="K79" i="82"/>
  <c r="F79" i="82"/>
  <c r="C79" i="82"/>
  <c r="I80" i="82"/>
  <c r="D80" i="82"/>
  <c r="J80" i="82"/>
  <c r="E80" i="82"/>
  <c r="K80" i="82"/>
  <c r="F80" i="82"/>
  <c r="C80" i="82"/>
  <c r="I81" i="82"/>
  <c r="D81" i="82"/>
  <c r="J81" i="82"/>
  <c r="E81" i="82"/>
  <c r="K81" i="82"/>
  <c r="F81" i="82"/>
  <c r="C81" i="82"/>
  <c r="I82" i="82"/>
  <c r="D82" i="82"/>
  <c r="J82" i="82"/>
  <c r="E82" i="82"/>
  <c r="K82" i="82"/>
  <c r="F82" i="82"/>
  <c r="C82" i="82"/>
  <c r="I83" i="82"/>
  <c r="D83" i="82"/>
  <c r="J83" i="82"/>
  <c r="E83" i="82"/>
  <c r="K83" i="82"/>
  <c r="F83" i="82"/>
  <c r="C83" i="82"/>
  <c r="I84" i="82"/>
  <c r="D84" i="82"/>
  <c r="J84" i="82"/>
  <c r="E84" i="82"/>
  <c r="K84" i="82"/>
  <c r="F84" i="82"/>
  <c r="C84" i="82"/>
  <c r="I85" i="82"/>
  <c r="D85" i="82"/>
  <c r="J85" i="82"/>
  <c r="E85" i="82"/>
  <c r="K85" i="82"/>
  <c r="F85" i="82"/>
  <c r="C85" i="82"/>
  <c r="I86" i="82"/>
  <c r="D86" i="82"/>
  <c r="J86" i="82"/>
  <c r="E86" i="82"/>
  <c r="K86" i="82"/>
  <c r="F86" i="82"/>
  <c r="C86" i="82"/>
  <c r="I87" i="82"/>
  <c r="D87" i="82"/>
  <c r="J87" i="82"/>
  <c r="E87" i="82"/>
  <c r="K87" i="82"/>
  <c r="F87" i="82"/>
  <c r="C87" i="82"/>
  <c r="I88" i="82"/>
  <c r="D88" i="82"/>
  <c r="J88" i="82"/>
  <c r="E88" i="82"/>
  <c r="K88" i="82"/>
  <c r="F88" i="82"/>
  <c r="C88" i="82"/>
  <c r="I89" i="82"/>
  <c r="D89" i="82"/>
  <c r="J89" i="82"/>
  <c r="E89" i="82"/>
  <c r="K89" i="82"/>
  <c r="F89" i="82"/>
  <c r="C89" i="82"/>
  <c r="I90" i="82"/>
  <c r="D90" i="82"/>
  <c r="J90" i="82"/>
  <c r="E90" i="82"/>
  <c r="K90" i="82"/>
  <c r="F90" i="82"/>
  <c r="C90" i="82"/>
  <c r="I91" i="82"/>
  <c r="D91" i="82"/>
  <c r="J91" i="82"/>
  <c r="E91" i="82"/>
  <c r="K91" i="82"/>
  <c r="F91" i="82"/>
  <c r="C91" i="82"/>
  <c r="I92" i="82"/>
  <c r="D92" i="82"/>
  <c r="J92" i="82"/>
  <c r="E92" i="82"/>
  <c r="K92" i="82"/>
  <c r="F92" i="82"/>
  <c r="C92" i="82"/>
  <c r="I93" i="82"/>
  <c r="D93" i="82"/>
  <c r="J93" i="82"/>
  <c r="E93" i="82"/>
  <c r="K93" i="82"/>
  <c r="F93" i="82"/>
  <c r="C93" i="82"/>
  <c r="I94" i="82"/>
  <c r="D94" i="82"/>
  <c r="J94" i="82"/>
  <c r="E94" i="82"/>
  <c r="K94" i="82"/>
  <c r="F94" i="82"/>
  <c r="C94" i="82"/>
  <c r="I95" i="82"/>
  <c r="D95" i="82"/>
  <c r="J95" i="82"/>
  <c r="E95" i="82"/>
  <c r="K95" i="82"/>
  <c r="F95" i="82"/>
  <c r="C95" i="82"/>
  <c r="I96" i="82"/>
  <c r="D96" i="82"/>
  <c r="J96" i="82"/>
  <c r="E96" i="82"/>
  <c r="K96" i="82"/>
  <c r="F96" i="82"/>
  <c r="C96" i="82"/>
  <c r="I97" i="82"/>
  <c r="D97" i="82"/>
  <c r="J97" i="82"/>
  <c r="E97" i="82"/>
  <c r="K97" i="82"/>
  <c r="F97" i="82"/>
  <c r="C97" i="82"/>
  <c r="I98" i="82"/>
  <c r="D98" i="82"/>
  <c r="J98" i="82"/>
  <c r="E98" i="82"/>
  <c r="K98" i="82"/>
  <c r="F98" i="82"/>
  <c r="C98" i="82"/>
  <c r="I99" i="82"/>
  <c r="D99" i="82"/>
  <c r="J99" i="82"/>
  <c r="E99" i="82"/>
  <c r="K99" i="82"/>
  <c r="F99" i="82"/>
  <c r="C99" i="82"/>
  <c r="I100" i="82"/>
  <c r="D100" i="82"/>
  <c r="J100" i="82"/>
  <c r="E100" i="82"/>
  <c r="K100" i="82"/>
  <c r="F100" i="82"/>
  <c r="C100" i="82"/>
  <c r="I101" i="82"/>
  <c r="D101" i="82"/>
  <c r="J101" i="82"/>
  <c r="E101" i="82"/>
  <c r="K101" i="82"/>
  <c r="F101" i="82"/>
  <c r="C101" i="82"/>
  <c r="I102" i="82"/>
  <c r="D102" i="82"/>
  <c r="J102" i="82"/>
  <c r="E102" i="82"/>
  <c r="K102" i="82"/>
  <c r="F102" i="82"/>
  <c r="C102" i="82"/>
  <c r="I103" i="82"/>
  <c r="D103" i="82"/>
  <c r="J103" i="82"/>
  <c r="E103" i="82"/>
  <c r="K103" i="82"/>
  <c r="F103" i="82"/>
  <c r="C103" i="82"/>
  <c r="I104" i="82"/>
  <c r="D104" i="82"/>
  <c r="J104" i="82"/>
  <c r="E104" i="82"/>
  <c r="K104" i="82"/>
  <c r="F104" i="82"/>
  <c r="C104" i="82"/>
  <c r="I105" i="82"/>
  <c r="D105" i="82"/>
  <c r="J105" i="82"/>
  <c r="E105" i="82"/>
  <c r="K105" i="82"/>
  <c r="F105" i="82"/>
  <c r="C105" i="82"/>
  <c r="I106" i="82"/>
  <c r="D106" i="82"/>
  <c r="J106" i="82"/>
  <c r="E106" i="82"/>
  <c r="K106" i="82"/>
  <c r="F106" i="82"/>
  <c r="C106" i="82"/>
  <c r="I107" i="82"/>
  <c r="D107" i="82"/>
  <c r="J107" i="82"/>
  <c r="E107" i="82"/>
  <c r="K107" i="82"/>
  <c r="F107" i="82"/>
  <c r="C107" i="82"/>
  <c r="I108" i="82"/>
  <c r="D108" i="82"/>
  <c r="J108" i="82"/>
  <c r="E108" i="82"/>
  <c r="K108" i="82"/>
  <c r="F108" i="82"/>
  <c r="C108" i="82"/>
  <c r="I109" i="82"/>
  <c r="D109" i="82"/>
  <c r="J109" i="82"/>
  <c r="E109" i="82"/>
  <c r="K109" i="82"/>
  <c r="F109" i="82"/>
  <c r="C109" i="82"/>
  <c r="I110" i="82"/>
  <c r="D110" i="82"/>
  <c r="J110" i="82"/>
  <c r="E110" i="82"/>
  <c r="K110" i="82"/>
  <c r="F110" i="82"/>
  <c r="C110" i="82"/>
  <c r="I111" i="82"/>
  <c r="D111" i="82"/>
  <c r="J111" i="82"/>
  <c r="E111" i="82"/>
  <c r="K111" i="82"/>
  <c r="F111" i="82"/>
  <c r="C111" i="82"/>
  <c r="I112" i="82"/>
  <c r="D112" i="82"/>
  <c r="J112" i="82"/>
  <c r="E112" i="82"/>
  <c r="K112" i="82"/>
  <c r="F112" i="82"/>
  <c r="C112" i="82"/>
  <c r="I113" i="82"/>
  <c r="D113" i="82"/>
  <c r="J113" i="82"/>
  <c r="E113" i="82"/>
  <c r="K113" i="82"/>
  <c r="F113" i="82"/>
  <c r="C113" i="82"/>
  <c r="I114" i="82"/>
  <c r="D114" i="82"/>
  <c r="J114" i="82"/>
  <c r="E114" i="82"/>
  <c r="K114" i="82"/>
  <c r="F114" i="82"/>
  <c r="C114" i="82"/>
  <c r="I115" i="82"/>
  <c r="D115" i="82"/>
  <c r="J115" i="82"/>
  <c r="E115" i="82"/>
  <c r="K115" i="82"/>
  <c r="F115" i="82"/>
  <c r="C115" i="82"/>
  <c r="I116" i="82"/>
  <c r="D116" i="82"/>
  <c r="J116" i="82"/>
  <c r="E116" i="82"/>
  <c r="K116" i="82"/>
  <c r="F116" i="82"/>
  <c r="C116" i="82"/>
  <c r="I117" i="82"/>
  <c r="D117" i="82"/>
  <c r="J117" i="82"/>
  <c r="E117" i="82"/>
  <c r="K117" i="82"/>
  <c r="F117" i="82"/>
  <c r="C117" i="82"/>
  <c r="I118" i="82"/>
  <c r="D118" i="82"/>
  <c r="J118" i="82"/>
  <c r="E118" i="82"/>
  <c r="K118" i="82"/>
  <c r="F118" i="82"/>
  <c r="C118" i="82"/>
  <c r="I119" i="82"/>
  <c r="D119" i="82"/>
  <c r="J119" i="82"/>
  <c r="E119" i="82"/>
  <c r="K119" i="82"/>
  <c r="F119" i="82"/>
  <c r="C119" i="82"/>
  <c r="I120" i="82"/>
  <c r="D120" i="82"/>
  <c r="J120" i="82"/>
  <c r="E120" i="82"/>
  <c r="K120" i="82"/>
  <c r="F120" i="82"/>
  <c r="C120" i="82"/>
  <c r="I121" i="82"/>
  <c r="D121" i="82"/>
  <c r="J121" i="82"/>
  <c r="E121" i="82"/>
  <c r="K121" i="82"/>
  <c r="F121" i="82"/>
  <c r="C121" i="82"/>
  <c r="I122" i="82"/>
  <c r="D122" i="82"/>
  <c r="J122" i="82"/>
  <c r="E122" i="82"/>
  <c r="K122" i="82"/>
  <c r="F122" i="82"/>
  <c r="C122" i="82"/>
  <c r="I123" i="82"/>
  <c r="D123" i="82"/>
  <c r="J123" i="82"/>
  <c r="E123" i="82"/>
  <c r="K123" i="82"/>
  <c r="F123" i="82"/>
  <c r="C123" i="82"/>
  <c r="I124" i="82"/>
  <c r="D124" i="82"/>
  <c r="J124" i="82"/>
  <c r="E124" i="82"/>
  <c r="K124" i="82"/>
  <c r="F124" i="82"/>
  <c r="C124" i="82"/>
  <c r="I125" i="82"/>
  <c r="D125" i="82"/>
  <c r="J125" i="82"/>
  <c r="E125" i="82"/>
  <c r="K125" i="82"/>
  <c r="F125" i="82"/>
  <c r="C125" i="82"/>
  <c r="I126" i="82"/>
  <c r="D126" i="82"/>
  <c r="J126" i="82"/>
  <c r="E126" i="82"/>
  <c r="K126" i="82"/>
  <c r="F126" i="82"/>
  <c r="C126" i="82"/>
  <c r="I127" i="82"/>
  <c r="D127" i="82"/>
  <c r="J127" i="82"/>
  <c r="E127" i="82"/>
  <c r="K127" i="82"/>
  <c r="F127" i="82"/>
  <c r="C127" i="82"/>
  <c r="I128" i="82"/>
  <c r="D128" i="82"/>
  <c r="J128" i="82"/>
  <c r="E128" i="82"/>
  <c r="K128" i="82"/>
  <c r="F128" i="82"/>
  <c r="C128" i="82"/>
  <c r="I129" i="82"/>
  <c r="D129" i="82"/>
  <c r="J129" i="82"/>
  <c r="E129" i="82"/>
  <c r="K129" i="82"/>
  <c r="F129" i="82"/>
  <c r="C129" i="82"/>
  <c r="I130" i="82"/>
  <c r="D130" i="82"/>
  <c r="J130" i="82"/>
  <c r="E130" i="82"/>
  <c r="K130" i="82"/>
  <c r="F130" i="82"/>
  <c r="C130" i="82"/>
  <c r="I131" i="82"/>
  <c r="D131" i="82"/>
  <c r="J131" i="82"/>
  <c r="E131" i="82"/>
  <c r="K131" i="82"/>
  <c r="F131" i="82"/>
  <c r="C131" i="82"/>
  <c r="I132" i="82"/>
  <c r="D132" i="82"/>
  <c r="J132" i="82"/>
  <c r="E132" i="82"/>
  <c r="K132" i="82"/>
  <c r="F132" i="82"/>
  <c r="C132" i="82"/>
  <c r="I133" i="82"/>
  <c r="D133" i="82"/>
  <c r="J133" i="82"/>
  <c r="E133" i="82"/>
  <c r="K133" i="82"/>
  <c r="F133" i="82"/>
  <c r="C133" i="82"/>
  <c r="I134" i="82"/>
  <c r="D134" i="82"/>
  <c r="J134" i="82"/>
  <c r="E134" i="82"/>
  <c r="K134" i="82"/>
  <c r="F134" i="82"/>
  <c r="C134" i="82"/>
  <c r="I135" i="82"/>
  <c r="D135" i="82"/>
  <c r="J135" i="82"/>
  <c r="E135" i="82"/>
  <c r="K135" i="82"/>
  <c r="F135" i="82"/>
  <c r="C135" i="82"/>
  <c r="I136" i="82"/>
  <c r="D136" i="82"/>
  <c r="J136" i="82"/>
  <c r="E136" i="82"/>
  <c r="K136" i="82"/>
  <c r="F136" i="82"/>
  <c r="C136" i="82"/>
  <c r="I137" i="82"/>
  <c r="D137" i="82"/>
  <c r="J137" i="82"/>
  <c r="E137" i="82"/>
  <c r="K137" i="82"/>
  <c r="F137" i="82"/>
  <c r="C137" i="82"/>
  <c r="I138" i="82"/>
  <c r="D138" i="82"/>
  <c r="J138" i="82"/>
  <c r="E138" i="82"/>
  <c r="K138" i="82"/>
  <c r="F138" i="82"/>
  <c r="C138" i="82"/>
  <c r="I139" i="82"/>
  <c r="D139" i="82"/>
  <c r="J139" i="82"/>
  <c r="E139" i="82"/>
  <c r="K139" i="82"/>
  <c r="F139" i="82"/>
  <c r="C139" i="82"/>
  <c r="I140" i="82"/>
  <c r="D140" i="82"/>
  <c r="J140" i="82"/>
  <c r="E140" i="82"/>
  <c r="K140" i="82"/>
  <c r="F140" i="82"/>
  <c r="C140" i="82"/>
  <c r="I141" i="82"/>
  <c r="D141" i="82"/>
  <c r="J141" i="82"/>
  <c r="E141" i="82"/>
  <c r="K141" i="82"/>
  <c r="F141" i="82"/>
  <c r="C141" i="82"/>
  <c r="I142" i="82"/>
  <c r="D142" i="82"/>
  <c r="J142" i="82"/>
  <c r="E142" i="82"/>
  <c r="K142" i="82"/>
  <c r="F142" i="82"/>
  <c r="C142" i="82"/>
  <c r="I143" i="82"/>
  <c r="D143" i="82"/>
  <c r="J143" i="82"/>
  <c r="E143" i="82"/>
  <c r="K143" i="82"/>
  <c r="F143" i="82"/>
  <c r="C143" i="82"/>
  <c r="I144" i="82"/>
  <c r="D144" i="82"/>
  <c r="J144" i="82"/>
  <c r="E144" i="82"/>
  <c r="K144" i="82"/>
  <c r="F144" i="82"/>
  <c r="C144" i="82"/>
  <c r="I145" i="82"/>
  <c r="D145" i="82"/>
  <c r="J145" i="82"/>
  <c r="E145" i="82"/>
  <c r="K145" i="82"/>
  <c r="F145" i="82"/>
  <c r="C145" i="82"/>
  <c r="I146" i="82"/>
  <c r="D146" i="82"/>
  <c r="J146" i="82"/>
  <c r="E146" i="82"/>
  <c r="K146" i="82"/>
  <c r="F146" i="82"/>
  <c r="C146" i="82"/>
  <c r="I147" i="82"/>
  <c r="D147" i="82"/>
  <c r="J147" i="82"/>
  <c r="E147" i="82"/>
  <c r="K147" i="82"/>
  <c r="F147" i="82"/>
  <c r="C147" i="82"/>
  <c r="I148" i="82"/>
  <c r="D148" i="82"/>
  <c r="J148" i="82"/>
  <c r="E148" i="82"/>
  <c r="K148" i="82"/>
  <c r="F148" i="82"/>
  <c r="C148" i="82"/>
  <c r="I149" i="82"/>
  <c r="D149" i="82"/>
  <c r="J149" i="82"/>
  <c r="E149" i="82"/>
  <c r="K149" i="82"/>
  <c r="F149" i="82"/>
  <c r="C149" i="82"/>
  <c r="I150" i="82"/>
  <c r="D150" i="82"/>
  <c r="J150" i="82"/>
  <c r="E150" i="82"/>
  <c r="K150" i="82"/>
  <c r="F150" i="82"/>
  <c r="C150" i="82"/>
  <c r="I151" i="82"/>
  <c r="D151" i="82"/>
  <c r="J151" i="82"/>
  <c r="E151" i="82"/>
  <c r="K151" i="82"/>
  <c r="F151" i="82"/>
  <c r="C151" i="82"/>
  <c r="I152" i="82"/>
  <c r="D152" i="82"/>
  <c r="J152" i="82"/>
  <c r="E152" i="82"/>
  <c r="K152" i="82"/>
  <c r="F152" i="82"/>
  <c r="C152" i="82"/>
  <c r="I153" i="82"/>
  <c r="D153" i="82"/>
  <c r="J153" i="82"/>
  <c r="E153" i="82"/>
  <c r="K153" i="82"/>
  <c r="F153" i="82"/>
  <c r="C153" i="82"/>
  <c r="I154" i="82"/>
  <c r="D154" i="82"/>
  <c r="J154" i="82"/>
  <c r="E154" i="82"/>
  <c r="K154" i="82"/>
  <c r="F154" i="82"/>
  <c r="C154" i="82"/>
  <c r="I155" i="82"/>
  <c r="D155" i="82"/>
  <c r="J155" i="82"/>
  <c r="E155" i="82"/>
  <c r="K155" i="82"/>
  <c r="F155" i="82"/>
  <c r="C155" i="82"/>
  <c r="I156" i="82"/>
  <c r="D156" i="82"/>
  <c r="J156" i="82"/>
  <c r="E156" i="82"/>
  <c r="K156" i="82"/>
  <c r="F156" i="82"/>
  <c r="C156" i="82"/>
  <c r="I157" i="82"/>
  <c r="D157" i="82"/>
  <c r="J157" i="82"/>
  <c r="E157" i="82"/>
  <c r="K157" i="82"/>
  <c r="F157" i="82"/>
  <c r="C157" i="82"/>
  <c r="I158" i="82"/>
  <c r="D158" i="82"/>
  <c r="J158" i="82"/>
  <c r="E158" i="82"/>
  <c r="K158" i="82"/>
  <c r="F158" i="82"/>
  <c r="C158" i="82"/>
  <c r="I159" i="82"/>
  <c r="D159" i="82"/>
  <c r="J159" i="82"/>
  <c r="E159" i="82"/>
  <c r="K159" i="82"/>
  <c r="F159" i="82"/>
  <c r="C159" i="82"/>
  <c r="I160" i="82"/>
  <c r="D160" i="82"/>
  <c r="J160" i="82"/>
  <c r="E160" i="82"/>
  <c r="K160" i="82"/>
  <c r="F160" i="82"/>
  <c r="C160" i="82"/>
  <c r="I161" i="82"/>
  <c r="D161" i="82"/>
  <c r="J161" i="82"/>
  <c r="E161" i="82"/>
  <c r="K161" i="82"/>
  <c r="F161" i="82"/>
  <c r="C161" i="82"/>
  <c r="I162" i="82"/>
  <c r="D162" i="82"/>
  <c r="J162" i="82"/>
  <c r="E162" i="82"/>
  <c r="K162" i="82"/>
  <c r="F162" i="82"/>
  <c r="C162" i="82"/>
  <c r="I163" i="82"/>
  <c r="D163" i="82"/>
  <c r="J163" i="82"/>
  <c r="E163" i="82"/>
  <c r="K163" i="82"/>
  <c r="F163" i="82"/>
  <c r="C163" i="82"/>
  <c r="I164" i="82"/>
  <c r="D164" i="82"/>
  <c r="J164" i="82"/>
  <c r="E164" i="82"/>
  <c r="K164" i="82"/>
  <c r="F164" i="82"/>
  <c r="C164" i="82"/>
  <c r="I165" i="82"/>
  <c r="D165" i="82"/>
  <c r="J165" i="82"/>
  <c r="E165" i="82"/>
  <c r="K165" i="82"/>
  <c r="F165" i="82"/>
  <c r="C165" i="82"/>
  <c r="I166" i="82"/>
  <c r="D166" i="82"/>
  <c r="J166" i="82"/>
  <c r="E166" i="82"/>
  <c r="K166" i="82"/>
  <c r="F166" i="82"/>
  <c r="C166" i="82"/>
  <c r="I167" i="82"/>
  <c r="D167" i="82"/>
  <c r="J167" i="82"/>
  <c r="E167" i="82"/>
  <c r="K167" i="82"/>
  <c r="F167" i="82"/>
  <c r="C167" i="82"/>
  <c r="I168" i="82"/>
  <c r="D168" i="82"/>
  <c r="J168" i="82"/>
  <c r="E168" i="82"/>
  <c r="K168" i="82"/>
  <c r="F168" i="82"/>
  <c r="C168" i="82"/>
  <c r="I169" i="82"/>
  <c r="D169" i="82"/>
  <c r="J169" i="82"/>
  <c r="E169" i="82"/>
  <c r="K169" i="82"/>
  <c r="F169" i="82"/>
  <c r="C169" i="82"/>
  <c r="I170" i="82"/>
  <c r="D170" i="82"/>
  <c r="J170" i="82"/>
  <c r="E170" i="82"/>
  <c r="K170" i="82"/>
  <c r="F170" i="82"/>
  <c r="C170" i="82"/>
  <c r="I171" i="82"/>
  <c r="D171" i="82"/>
  <c r="J171" i="82"/>
  <c r="E171" i="82"/>
  <c r="K171" i="82"/>
  <c r="F171" i="82"/>
  <c r="C171" i="82"/>
  <c r="I172" i="82"/>
  <c r="D172" i="82"/>
  <c r="J172" i="82"/>
  <c r="E172" i="82"/>
  <c r="K172" i="82"/>
  <c r="F172" i="82"/>
  <c r="C172" i="82"/>
  <c r="I173" i="82"/>
  <c r="D173" i="82"/>
  <c r="J173" i="82"/>
  <c r="E173" i="82"/>
  <c r="K173" i="82"/>
  <c r="F173" i="82"/>
  <c r="C173" i="82"/>
  <c r="I174" i="82"/>
  <c r="D174" i="82"/>
  <c r="J174" i="82"/>
  <c r="E174" i="82"/>
  <c r="K174" i="82"/>
  <c r="F174" i="82"/>
  <c r="C174" i="82"/>
  <c r="I175" i="82"/>
  <c r="D175" i="82"/>
  <c r="J175" i="82"/>
  <c r="E175" i="82"/>
  <c r="K175" i="82"/>
  <c r="F175" i="82"/>
  <c r="C175" i="82"/>
  <c r="I176" i="82"/>
  <c r="D176" i="82"/>
  <c r="J176" i="82"/>
  <c r="E176" i="82"/>
  <c r="K176" i="82"/>
  <c r="F176" i="82"/>
  <c r="C176" i="82"/>
  <c r="I177" i="82"/>
  <c r="D177" i="82"/>
  <c r="J177" i="82"/>
  <c r="E177" i="82"/>
  <c r="K177" i="82"/>
  <c r="F177" i="82"/>
  <c r="C177" i="82"/>
  <c r="I178" i="82"/>
  <c r="D178" i="82"/>
  <c r="J178" i="82"/>
  <c r="E178" i="82"/>
  <c r="K178" i="82"/>
  <c r="F178" i="82"/>
  <c r="C178" i="82"/>
  <c r="I179" i="82"/>
  <c r="D179" i="82"/>
  <c r="J179" i="82"/>
  <c r="E179" i="82"/>
  <c r="K179" i="82"/>
  <c r="F179" i="82"/>
  <c r="C179" i="82"/>
  <c r="I180" i="82"/>
  <c r="D180" i="82"/>
  <c r="J180" i="82"/>
  <c r="E180" i="82"/>
  <c r="K180" i="82"/>
  <c r="F180" i="82"/>
  <c r="C180" i="82"/>
  <c r="I181" i="82"/>
  <c r="D181" i="82"/>
  <c r="J181" i="82"/>
  <c r="E181" i="82"/>
  <c r="K181" i="82"/>
  <c r="F181" i="82"/>
  <c r="C181" i="82"/>
  <c r="I182" i="82"/>
  <c r="D182" i="82"/>
  <c r="J182" i="82"/>
  <c r="E182" i="82"/>
  <c r="K182" i="82"/>
  <c r="F182" i="82"/>
  <c r="C182" i="82"/>
  <c r="I183" i="82"/>
  <c r="D183" i="82"/>
  <c r="J183" i="82"/>
  <c r="E183" i="82"/>
  <c r="K183" i="82"/>
  <c r="F183" i="82"/>
  <c r="C183" i="82"/>
  <c r="I184" i="82"/>
  <c r="D184" i="82"/>
  <c r="J184" i="82"/>
  <c r="E184" i="82"/>
  <c r="K184" i="82"/>
  <c r="F184" i="82"/>
  <c r="C184" i="82"/>
  <c r="I185" i="82"/>
  <c r="D185" i="82"/>
  <c r="J185" i="82"/>
  <c r="E185" i="82"/>
  <c r="K185" i="82"/>
  <c r="F185" i="82"/>
  <c r="C185" i="82"/>
  <c r="I186" i="82"/>
  <c r="D186" i="82"/>
  <c r="J186" i="82"/>
  <c r="E186" i="82"/>
  <c r="K186" i="82"/>
  <c r="F186" i="82"/>
  <c r="C186" i="82"/>
  <c r="I187" i="82"/>
  <c r="D187" i="82"/>
  <c r="J187" i="82"/>
  <c r="E187" i="82"/>
  <c r="K187" i="82"/>
  <c r="F187" i="82"/>
  <c r="C187" i="82"/>
  <c r="I188" i="82"/>
  <c r="D188" i="82"/>
  <c r="J188" i="82"/>
  <c r="E188" i="82"/>
  <c r="K188" i="82"/>
  <c r="F188" i="82"/>
  <c r="C188" i="82"/>
  <c r="I189" i="82"/>
  <c r="D189" i="82"/>
  <c r="J189" i="82"/>
  <c r="E189" i="82"/>
  <c r="K189" i="82"/>
  <c r="F189" i="82"/>
  <c r="C189" i="82"/>
  <c r="I190" i="82"/>
  <c r="D190" i="82"/>
  <c r="J190" i="82"/>
  <c r="E190" i="82"/>
  <c r="K190" i="82"/>
  <c r="F190" i="82"/>
  <c r="C190" i="82"/>
  <c r="I191" i="82"/>
  <c r="D191" i="82"/>
  <c r="J191" i="82"/>
  <c r="E191" i="82"/>
  <c r="K191" i="82"/>
  <c r="F191" i="82"/>
  <c r="C191" i="82"/>
  <c r="I192" i="82"/>
  <c r="D192" i="82"/>
  <c r="J192" i="82"/>
  <c r="E192" i="82"/>
  <c r="K192" i="82"/>
  <c r="F192" i="82"/>
  <c r="C192" i="82"/>
  <c r="I193" i="82"/>
  <c r="D193" i="82"/>
  <c r="J193" i="82"/>
  <c r="E193" i="82"/>
  <c r="K193" i="82"/>
  <c r="F193" i="82"/>
  <c r="C193" i="82"/>
  <c r="I194" i="82"/>
  <c r="D194" i="82"/>
  <c r="J194" i="82"/>
  <c r="E194" i="82"/>
  <c r="K194" i="82"/>
  <c r="F194" i="82"/>
  <c r="C194" i="82"/>
  <c r="I195" i="82"/>
  <c r="D195" i="82"/>
  <c r="J195" i="82"/>
  <c r="E195" i="82"/>
  <c r="K195" i="82"/>
  <c r="F195" i="82"/>
  <c r="C195" i="82"/>
  <c r="I196" i="82"/>
  <c r="D196" i="82"/>
  <c r="J196" i="82"/>
  <c r="E196" i="82"/>
  <c r="K196" i="82"/>
  <c r="F196" i="82"/>
  <c r="C196" i="82"/>
  <c r="I197" i="82"/>
  <c r="D197" i="82"/>
  <c r="J197" i="82"/>
  <c r="E197" i="82"/>
  <c r="K197" i="82"/>
  <c r="F197" i="82"/>
  <c r="C197" i="82"/>
  <c r="I198" i="82"/>
  <c r="D198" i="82"/>
  <c r="J198" i="82"/>
  <c r="E198" i="82"/>
  <c r="K198" i="82"/>
  <c r="F198" i="82"/>
  <c r="C198" i="82"/>
  <c r="I199" i="82"/>
  <c r="D199" i="82"/>
  <c r="J199" i="82"/>
  <c r="E199" i="82"/>
  <c r="K199" i="82"/>
  <c r="F199" i="82"/>
  <c r="C199" i="82"/>
  <c r="I200" i="82"/>
  <c r="D200" i="82"/>
  <c r="J200" i="82"/>
  <c r="E200" i="82"/>
  <c r="K200" i="82"/>
  <c r="F200" i="82"/>
  <c r="C200" i="82"/>
  <c r="I201" i="82"/>
  <c r="D201" i="82"/>
  <c r="J201" i="82"/>
  <c r="E201" i="82"/>
  <c r="K201" i="82"/>
  <c r="F201" i="82"/>
  <c r="C201" i="82"/>
  <c r="I202" i="82"/>
  <c r="D202" i="82"/>
  <c r="J202" i="82"/>
  <c r="E202" i="82"/>
  <c r="K202" i="82"/>
  <c r="F202" i="82"/>
  <c r="C202" i="82"/>
  <c r="I203" i="82"/>
  <c r="D203" i="82"/>
  <c r="J203" i="82"/>
  <c r="E203" i="82"/>
  <c r="K203" i="82"/>
  <c r="F203" i="82"/>
  <c r="C203" i="82"/>
  <c r="I204" i="82"/>
  <c r="D204" i="82"/>
  <c r="J204" i="82"/>
  <c r="E204" i="82"/>
  <c r="K204" i="82"/>
  <c r="F204" i="82"/>
  <c r="C204" i="82"/>
  <c r="I205" i="82"/>
  <c r="D205" i="82"/>
  <c r="J205" i="82"/>
  <c r="E205" i="82"/>
  <c r="K205" i="82"/>
  <c r="F205" i="82"/>
  <c r="C205" i="82"/>
  <c r="I206" i="82"/>
  <c r="D206" i="82"/>
  <c r="J206" i="82"/>
  <c r="E206" i="82"/>
  <c r="K206" i="82"/>
  <c r="F206" i="82"/>
  <c r="C206" i="82"/>
  <c r="I207" i="82"/>
  <c r="D207" i="82"/>
  <c r="J207" i="82"/>
  <c r="E207" i="82"/>
  <c r="K207" i="82"/>
  <c r="F207" i="82"/>
  <c r="C207" i="82"/>
  <c r="I208" i="82"/>
  <c r="D208" i="82"/>
  <c r="J208" i="82"/>
  <c r="E208" i="82"/>
  <c r="K208" i="82"/>
  <c r="F208" i="82"/>
  <c r="C208" i="82"/>
  <c r="I209" i="82"/>
  <c r="D209" i="82"/>
  <c r="J209" i="82"/>
  <c r="E209" i="82"/>
  <c r="K209" i="82"/>
  <c r="F209" i="82"/>
  <c r="C209" i="82"/>
  <c r="I210" i="82"/>
  <c r="D210" i="82"/>
  <c r="J210" i="82"/>
  <c r="E210" i="82"/>
  <c r="K210" i="82"/>
  <c r="F210" i="82"/>
  <c r="C210" i="82"/>
  <c r="I211" i="82"/>
  <c r="D211" i="82"/>
  <c r="J211" i="82"/>
  <c r="E211" i="82"/>
  <c r="K211" i="82"/>
  <c r="F211" i="82"/>
  <c r="C211" i="82"/>
  <c r="I212" i="82"/>
  <c r="D212" i="82"/>
  <c r="J212" i="82"/>
  <c r="E212" i="82"/>
  <c r="K212" i="82"/>
  <c r="F212" i="82"/>
  <c r="C212" i="82"/>
  <c r="I213" i="82"/>
  <c r="D213" i="82"/>
  <c r="J213" i="82"/>
  <c r="E213" i="82"/>
  <c r="K213" i="82"/>
  <c r="F213" i="82"/>
  <c r="C213" i="82"/>
  <c r="I214" i="82"/>
  <c r="D214" i="82"/>
  <c r="J214" i="82"/>
  <c r="E214" i="82"/>
  <c r="K214" i="82"/>
  <c r="F214" i="82"/>
  <c r="C214" i="82"/>
  <c r="I215" i="82"/>
  <c r="D215" i="82"/>
  <c r="J215" i="82"/>
  <c r="E215" i="82"/>
  <c r="K215" i="82"/>
  <c r="F215" i="82"/>
  <c r="C215" i="82"/>
  <c r="I216" i="82"/>
  <c r="D216" i="82"/>
  <c r="J216" i="82"/>
  <c r="E216" i="82"/>
  <c r="K216" i="82"/>
  <c r="F216" i="82"/>
  <c r="C216" i="82"/>
  <c r="I217" i="82"/>
  <c r="D217" i="82"/>
  <c r="J217" i="82"/>
  <c r="E217" i="82"/>
  <c r="K217" i="82"/>
  <c r="F217" i="82"/>
  <c r="C217" i="82"/>
  <c r="I218" i="82"/>
  <c r="D218" i="82"/>
  <c r="J218" i="82"/>
  <c r="E218" i="82"/>
  <c r="K218" i="82"/>
  <c r="F218" i="82"/>
  <c r="C218" i="82"/>
  <c r="I219" i="82"/>
  <c r="D219" i="82"/>
  <c r="J219" i="82"/>
  <c r="E219" i="82"/>
  <c r="K219" i="82"/>
  <c r="F219" i="82"/>
  <c r="C219" i="82"/>
  <c r="I220" i="82"/>
  <c r="D220" i="82"/>
  <c r="J220" i="82"/>
  <c r="E220" i="82"/>
  <c r="K220" i="82"/>
  <c r="F220" i="82"/>
  <c r="C220" i="82"/>
  <c r="I221" i="82"/>
  <c r="D221" i="82"/>
  <c r="J221" i="82"/>
  <c r="E221" i="82"/>
  <c r="K221" i="82"/>
  <c r="F221" i="82"/>
  <c r="C221" i="82"/>
  <c r="I222" i="82"/>
  <c r="D222" i="82"/>
  <c r="J222" i="82"/>
  <c r="E222" i="82"/>
  <c r="K222" i="82"/>
  <c r="F222" i="82"/>
  <c r="C222" i="82"/>
  <c r="I223" i="82"/>
  <c r="D223" i="82"/>
  <c r="J223" i="82"/>
  <c r="E223" i="82"/>
  <c r="K223" i="82"/>
  <c r="F223" i="82"/>
  <c r="C223" i="82"/>
  <c r="I224" i="82"/>
  <c r="D224" i="82"/>
  <c r="J224" i="82"/>
  <c r="E224" i="82"/>
  <c r="K224" i="82"/>
  <c r="F224" i="82"/>
  <c r="C224" i="82"/>
  <c r="I225" i="82"/>
  <c r="D225" i="82"/>
  <c r="J225" i="82"/>
  <c r="E225" i="82"/>
  <c r="K225" i="82"/>
  <c r="F225" i="82"/>
  <c r="C225" i="82"/>
  <c r="I226" i="82"/>
  <c r="D226" i="82"/>
  <c r="J226" i="82"/>
  <c r="E226" i="82"/>
  <c r="K226" i="82"/>
  <c r="F226" i="82"/>
  <c r="C226" i="82"/>
  <c r="I227" i="82"/>
  <c r="D227" i="82"/>
  <c r="J227" i="82"/>
  <c r="E227" i="82"/>
  <c r="K227" i="82"/>
  <c r="F227" i="82"/>
  <c r="C227" i="82"/>
  <c r="I228" i="82"/>
  <c r="D228" i="82"/>
  <c r="J228" i="82"/>
  <c r="E228" i="82"/>
  <c r="K228" i="82"/>
  <c r="F228" i="82"/>
  <c r="C228" i="82"/>
  <c r="I229" i="82"/>
  <c r="D229" i="82"/>
  <c r="J229" i="82"/>
  <c r="E229" i="82"/>
  <c r="K229" i="82"/>
  <c r="F229" i="82"/>
  <c r="C229" i="82"/>
  <c r="I230" i="82"/>
  <c r="D230" i="82"/>
  <c r="J230" i="82"/>
  <c r="E230" i="82"/>
  <c r="K230" i="82"/>
  <c r="F230" i="82"/>
  <c r="C230" i="82"/>
  <c r="I231" i="82"/>
  <c r="D231" i="82"/>
  <c r="J231" i="82"/>
  <c r="E231" i="82"/>
  <c r="K231" i="82"/>
  <c r="F231" i="82"/>
  <c r="C231" i="82"/>
  <c r="I232" i="82"/>
  <c r="D232" i="82"/>
  <c r="J232" i="82"/>
  <c r="E232" i="82"/>
  <c r="K232" i="82"/>
  <c r="F232" i="82"/>
  <c r="C232" i="82"/>
  <c r="I233" i="82"/>
  <c r="D233" i="82"/>
  <c r="J233" i="82"/>
  <c r="E233" i="82"/>
  <c r="K233" i="82"/>
  <c r="F233" i="82"/>
  <c r="C233" i="82"/>
  <c r="I234" i="82"/>
  <c r="D234" i="82"/>
  <c r="J234" i="82"/>
  <c r="E234" i="82"/>
  <c r="K234" i="82"/>
  <c r="F234" i="82"/>
  <c r="C234" i="82"/>
  <c r="I235" i="82"/>
  <c r="D235" i="82"/>
  <c r="J235" i="82"/>
  <c r="E235" i="82"/>
  <c r="K235" i="82"/>
  <c r="F235" i="82"/>
  <c r="C235" i="82"/>
  <c r="I236" i="82"/>
  <c r="D236" i="82"/>
  <c r="J236" i="82"/>
  <c r="E236" i="82"/>
  <c r="K236" i="82"/>
  <c r="F236" i="82"/>
  <c r="C236" i="82"/>
  <c r="I237" i="82"/>
  <c r="D237" i="82"/>
  <c r="J237" i="82"/>
  <c r="E237" i="82"/>
  <c r="K237" i="82"/>
  <c r="F237" i="82"/>
  <c r="C237" i="82"/>
  <c r="I238" i="82"/>
  <c r="D238" i="82"/>
  <c r="J238" i="82"/>
  <c r="E238" i="82"/>
  <c r="K238" i="82"/>
  <c r="F238" i="82"/>
  <c r="C238" i="82"/>
  <c r="I239" i="82"/>
  <c r="D239" i="82"/>
  <c r="J239" i="82"/>
  <c r="E239" i="82"/>
  <c r="K239" i="82"/>
  <c r="F239" i="82"/>
  <c r="C239" i="82"/>
  <c r="I240" i="82"/>
  <c r="D240" i="82"/>
  <c r="J240" i="82"/>
  <c r="E240" i="82"/>
  <c r="K240" i="82"/>
  <c r="F240" i="82"/>
  <c r="C240" i="82"/>
  <c r="I241" i="82"/>
  <c r="D241" i="82"/>
  <c r="J241" i="82"/>
  <c r="E241" i="82"/>
  <c r="K241" i="82"/>
  <c r="F241" i="82"/>
  <c r="C241" i="82"/>
  <c r="I242" i="82"/>
  <c r="D242" i="82"/>
  <c r="J242" i="82"/>
  <c r="E242" i="82"/>
  <c r="K242" i="82"/>
  <c r="F242" i="82"/>
  <c r="C242" i="82"/>
  <c r="I243" i="82"/>
  <c r="D243" i="82"/>
  <c r="J243" i="82"/>
  <c r="E243" i="82"/>
  <c r="K243" i="82"/>
  <c r="F243" i="82"/>
  <c r="C243" i="82"/>
  <c r="I244" i="82"/>
  <c r="D244" i="82"/>
  <c r="J244" i="82"/>
  <c r="E244" i="82"/>
  <c r="K244" i="82"/>
  <c r="F244" i="82"/>
  <c r="C244" i="82"/>
  <c r="I245" i="82"/>
  <c r="D245" i="82"/>
  <c r="J245" i="82"/>
  <c r="E245" i="82"/>
  <c r="K245" i="82"/>
  <c r="F245" i="82"/>
  <c r="C245" i="82"/>
  <c r="I246" i="82"/>
  <c r="D246" i="82"/>
  <c r="J246" i="82"/>
  <c r="E246" i="82"/>
  <c r="K246" i="82"/>
  <c r="F246" i="82"/>
  <c r="C246" i="82"/>
  <c r="I247" i="82"/>
  <c r="D247" i="82"/>
  <c r="J247" i="82"/>
  <c r="E247" i="82"/>
  <c r="K247" i="82"/>
  <c r="F247" i="82"/>
  <c r="C247" i="82"/>
  <c r="I248" i="82"/>
  <c r="D248" i="82"/>
  <c r="J248" i="82"/>
  <c r="E248" i="82"/>
  <c r="K248" i="82"/>
  <c r="F248" i="82"/>
  <c r="C248" i="82"/>
  <c r="I249" i="82"/>
  <c r="D249" i="82"/>
  <c r="J249" i="82"/>
  <c r="E249" i="82"/>
  <c r="K249" i="82"/>
  <c r="F249" i="82"/>
  <c r="C249" i="82"/>
  <c r="I250" i="82"/>
  <c r="D250" i="82"/>
  <c r="J250" i="82"/>
  <c r="E250" i="82"/>
  <c r="K250" i="82"/>
  <c r="F250" i="82"/>
  <c r="C250" i="82"/>
  <c r="I251" i="82"/>
  <c r="D251" i="82"/>
  <c r="J251" i="82"/>
  <c r="E251" i="82"/>
  <c r="K251" i="82"/>
  <c r="F251" i="82"/>
  <c r="C251" i="82"/>
  <c r="I252" i="82"/>
  <c r="D252" i="82"/>
  <c r="J252" i="82"/>
  <c r="E252" i="82"/>
  <c r="K252" i="82"/>
  <c r="F252" i="82"/>
  <c r="C252" i="82"/>
  <c r="I253" i="82"/>
  <c r="D253" i="82"/>
  <c r="J253" i="82"/>
  <c r="E253" i="82"/>
  <c r="K253" i="82"/>
  <c r="F253" i="82"/>
  <c r="C253" i="82"/>
  <c r="I254" i="82"/>
  <c r="D254" i="82"/>
  <c r="J254" i="82"/>
  <c r="E254" i="82"/>
  <c r="K254" i="82"/>
  <c r="F254" i="82"/>
  <c r="C254" i="82"/>
  <c r="I255" i="82"/>
  <c r="D255" i="82"/>
  <c r="J255" i="82"/>
  <c r="E255" i="82"/>
  <c r="K255" i="82"/>
  <c r="F255" i="82"/>
  <c r="C255" i="82"/>
  <c r="I256" i="82"/>
  <c r="D256" i="82"/>
  <c r="J256" i="82"/>
  <c r="E256" i="82"/>
  <c r="K256" i="82"/>
  <c r="F256" i="82"/>
  <c r="C256" i="82"/>
  <c r="I257" i="82"/>
  <c r="D257" i="82"/>
  <c r="J257" i="82"/>
  <c r="E257" i="82"/>
  <c r="K257" i="82"/>
  <c r="F257" i="82"/>
  <c r="C257" i="82"/>
  <c r="I258" i="82"/>
  <c r="D258" i="82"/>
  <c r="J258" i="82"/>
  <c r="E258" i="82"/>
  <c r="K258" i="82"/>
  <c r="F258" i="82"/>
  <c r="C258" i="82"/>
  <c r="I259" i="82"/>
  <c r="D259" i="82"/>
  <c r="J259" i="82"/>
  <c r="E259" i="82"/>
  <c r="K259" i="82"/>
  <c r="F259" i="82"/>
  <c r="C259" i="82"/>
  <c r="I260" i="82"/>
  <c r="D260" i="82"/>
  <c r="J260" i="82"/>
  <c r="E260" i="82"/>
  <c r="K260" i="82"/>
  <c r="F260" i="82"/>
  <c r="C260" i="82"/>
  <c r="I261" i="82"/>
  <c r="D261" i="82"/>
  <c r="J261" i="82"/>
  <c r="E261" i="82"/>
  <c r="K261" i="82"/>
  <c r="F261" i="82"/>
  <c r="C261" i="82"/>
  <c r="I262" i="82"/>
  <c r="D262" i="82"/>
  <c r="J262" i="82"/>
  <c r="E262" i="82"/>
  <c r="K262" i="82"/>
  <c r="F262" i="82"/>
  <c r="C262" i="82"/>
  <c r="I263" i="82"/>
  <c r="D263" i="82"/>
  <c r="J263" i="82"/>
  <c r="E263" i="82"/>
  <c r="K263" i="82"/>
  <c r="F263" i="82"/>
  <c r="C263" i="82"/>
  <c r="I264" i="82"/>
  <c r="D264" i="82"/>
  <c r="J264" i="82"/>
  <c r="E264" i="82"/>
  <c r="K264" i="82"/>
  <c r="F264" i="82"/>
  <c r="C264" i="82"/>
  <c r="I265" i="82"/>
  <c r="D265" i="82"/>
  <c r="J265" i="82"/>
  <c r="E265" i="82"/>
  <c r="K265" i="82"/>
  <c r="F265" i="82"/>
  <c r="C265" i="82"/>
  <c r="I266" i="82"/>
  <c r="D266" i="82"/>
  <c r="J266" i="82"/>
  <c r="E266" i="82"/>
  <c r="K266" i="82"/>
  <c r="F266" i="82"/>
  <c r="C266" i="82"/>
  <c r="I267" i="82"/>
  <c r="D267" i="82"/>
  <c r="J267" i="82"/>
  <c r="E267" i="82"/>
  <c r="K267" i="82"/>
  <c r="F267" i="82"/>
  <c r="C267" i="82"/>
  <c r="I268" i="82"/>
  <c r="D268" i="82"/>
  <c r="J268" i="82"/>
  <c r="E268" i="82"/>
  <c r="K268" i="82"/>
  <c r="F268" i="82"/>
  <c r="C268" i="82"/>
  <c r="I269" i="82"/>
  <c r="D269" i="82"/>
  <c r="J269" i="82"/>
  <c r="E269" i="82"/>
  <c r="K269" i="82"/>
  <c r="F269" i="82"/>
  <c r="C269" i="82"/>
  <c r="I270" i="82"/>
  <c r="D270" i="82"/>
  <c r="J270" i="82"/>
  <c r="E270" i="82"/>
  <c r="K270" i="82"/>
  <c r="F270" i="82"/>
  <c r="C270" i="82"/>
  <c r="I271" i="82"/>
  <c r="D271" i="82"/>
  <c r="J271" i="82"/>
  <c r="E271" i="82"/>
  <c r="K271" i="82"/>
  <c r="F271" i="82"/>
  <c r="C271" i="82"/>
  <c r="I272" i="82"/>
  <c r="D272" i="82"/>
  <c r="J272" i="82"/>
  <c r="F272" i="82"/>
  <c r="C272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E18" i="106"/>
  <c r="E21" i="106"/>
  <c r="E23" i="106"/>
  <c r="E7" i="106"/>
  <c r="E26" i="106"/>
  <c r="E28" i="106"/>
  <c r="E29" i="106"/>
  <c r="C17" i="106"/>
  <c r="D17" i="106"/>
  <c r="G17" i="106"/>
  <c r="E17" i="106"/>
  <c r="H17" i="106"/>
  <c r="E31" i="106"/>
  <c r="E34" i="106"/>
  <c r="E36" i="106"/>
  <c r="E8" i="106"/>
  <c r="B32" i="106"/>
  <c r="E39" i="106"/>
  <c r="E41" i="106"/>
  <c r="E42" i="106"/>
  <c r="B37" i="106"/>
  <c r="B30" i="106"/>
  <c r="C30" i="106"/>
  <c r="D30" i="106"/>
  <c r="G30" i="106"/>
  <c r="E30" i="106"/>
  <c r="H30" i="106"/>
  <c r="O2" i="82"/>
  <c r="C18" i="106"/>
  <c r="D18" i="106"/>
  <c r="G18" i="106"/>
  <c r="H18" i="106"/>
  <c r="B31" i="106"/>
  <c r="C31" i="106"/>
  <c r="D31" i="106"/>
  <c r="G31" i="106"/>
  <c r="H31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C24" i="106"/>
  <c r="D24" i="106"/>
  <c r="G24" i="106"/>
  <c r="E24" i="106"/>
  <c r="H24" i="106"/>
  <c r="C37" i="106"/>
  <c r="D37" i="106"/>
  <c r="G37" i="106"/>
  <c r="E37" i="106"/>
  <c r="H37" i="106"/>
  <c r="O42" i="82"/>
  <c r="C25" i="106"/>
  <c r="D25" i="106"/>
  <c r="G25" i="106"/>
  <c r="E25" i="106"/>
  <c r="H25" i="106"/>
  <c r="B38" i="106"/>
  <c r="C38" i="106"/>
  <c r="D38" i="106"/>
  <c r="G38" i="106"/>
  <c r="E38" i="106"/>
  <c r="H38" i="106"/>
  <c r="O43" i="82"/>
  <c r="C26" i="106"/>
  <c r="D26" i="106"/>
  <c r="G26" i="106"/>
  <c r="H26" i="106"/>
  <c r="C39" i="106"/>
  <c r="D39" i="106"/>
  <c r="G39" i="106"/>
  <c r="H39" i="106"/>
  <c r="O44" i="82"/>
  <c r="O45" i="82"/>
  <c r="O46" i="82"/>
  <c r="O47" i="82"/>
  <c r="O48" i="82"/>
  <c r="O49" i="82"/>
  <c r="O50" i="82"/>
  <c r="C19" i="106"/>
  <c r="D19" i="106"/>
  <c r="G19" i="106"/>
  <c r="E19" i="106"/>
  <c r="H19" i="106"/>
  <c r="O51" i="82"/>
  <c r="C20" i="106"/>
  <c r="D20" i="106"/>
  <c r="G20" i="106"/>
  <c r="E20" i="106"/>
  <c r="H20" i="106"/>
  <c r="O52" i="82"/>
  <c r="C21" i="106"/>
  <c r="D21" i="106"/>
  <c r="G21" i="106"/>
  <c r="H21" i="106"/>
  <c r="O53" i="82"/>
  <c r="C32" i="106"/>
  <c r="D32" i="106"/>
  <c r="G32" i="106"/>
  <c r="E32" i="106"/>
  <c r="H32" i="106"/>
  <c r="O54" i="82"/>
  <c r="B33" i="106"/>
  <c r="C33" i="106"/>
  <c r="D33" i="106"/>
  <c r="G33" i="106"/>
  <c r="E33" i="106"/>
  <c r="H33" i="106"/>
  <c r="O55" i="82"/>
  <c r="C34" i="106"/>
  <c r="D34" i="106"/>
  <c r="G34" i="106"/>
  <c r="H34" i="106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C27" i="106"/>
  <c r="D27" i="106"/>
  <c r="G27" i="106"/>
  <c r="H27" i="106"/>
  <c r="B40" i="106"/>
  <c r="C40" i="106"/>
  <c r="D40" i="106"/>
  <c r="G40" i="106"/>
  <c r="E40" i="106"/>
  <c r="H40" i="106"/>
  <c r="O138" i="82"/>
  <c r="C28" i="106"/>
  <c r="D28" i="106"/>
  <c r="G28" i="106"/>
  <c r="H28" i="106"/>
  <c r="C41" i="106"/>
  <c r="D41" i="106"/>
  <c r="G41" i="106"/>
  <c r="H41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C22" i="106"/>
  <c r="D22" i="106"/>
  <c r="G22" i="106"/>
  <c r="E22" i="106"/>
  <c r="H22" i="106"/>
  <c r="C35" i="106"/>
  <c r="D35" i="106"/>
  <c r="G35" i="106"/>
  <c r="E35" i="106"/>
  <c r="H35" i="106"/>
  <c r="O266" i="82"/>
  <c r="C23" i="106"/>
  <c r="D23" i="106"/>
  <c r="G23" i="106"/>
  <c r="H23" i="106"/>
  <c r="C36" i="106"/>
  <c r="D36" i="106"/>
  <c r="G36" i="106"/>
  <c r="H36" i="106"/>
  <c r="O267" i="82"/>
  <c r="O268" i="82"/>
  <c r="O269" i="82"/>
  <c r="C42" i="106"/>
  <c r="D42" i="106"/>
  <c r="G42" i="106"/>
  <c r="H42" i="106"/>
  <c r="C29" i="106"/>
  <c r="D29" i="106"/>
  <c r="G29" i="106"/>
  <c r="H29" i="106"/>
  <c r="O270" i="82"/>
  <c r="O271" i="82"/>
  <c r="C44" i="106"/>
  <c r="D44" i="106"/>
  <c r="G44" i="106"/>
  <c r="E44" i="106"/>
  <c r="H44" i="106"/>
  <c r="O272" i="82"/>
  <c r="P2" i="82"/>
  <c r="P4" i="82"/>
  <c r="P8" i="82"/>
  <c r="P10" i="82"/>
  <c r="P3" i="82"/>
  <c r="P5" i="82"/>
  <c r="P6" i="82"/>
  <c r="P7" i="82"/>
  <c r="P9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K17" i="106"/>
  <c r="K18" i="106"/>
  <c r="K19" i="106"/>
  <c r="K20" i="106"/>
  <c r="K21" i="106"/>
  <c r="K22" i="106"/>
  <c r="K23" i="106"/>
  <c r="K24" i="106"/>
  <c r="K25" i="106"/>
  <c r="K26" i="106"/>
  <c r="K27" i="106"/>
  <c r="K28" i="106"/>
  <c r="K29" i="106"/>
  <c r="K30" i="106"/>
  <c r="K31" i="106"/>
  <c r="K32" i="106"/>
  <c r="K33" i="106"/>
  <c r="K34" i="106"/>
  <c r="K35" i="106"/>
  <c r="K36" i="106"/>
  <c r="K37" i="106"/>
  <c r="K38" i="106"/>
  <c r="K39" i="106"/>
  <c r="K40" i="106"/>
  <c r="K41" i="106"/>
  <c r="K42" i="106"/>
  <c r="K43" i="106"/>
  <c r="K44" i="106"/>
  <c r="A272" i="82"/>
  <c r="K272" i="82"/>
  <c r="H272" i="82"/>
  <c r="L272" i="82"/>
  <c r="M272" i="82"/>
  <c r="N272" i="82"/>
  <c r="C43" i="106"/>
  <c r="D43" i="106"/>
  <c r="G43" i="106"/>
  <c r="E43" i="106"/>
  <c r="H43" i="106"/>
  <c r="H49" i="106"/>
  <c r="B45" i="106"/>
  <c r="O3" i="106"/>
  <c r="O4" i="106"/>
  <c r="O5" i="106"/>
  <c r="O6" i="106"/>
  <c r="O7" i="106"/>
  <c r="O8" i="106"/>
  <c r="O9" i="106"/>
  <c r="O10" i="106"/>
  <c r="O11" i="106"/>
  <c r="O12" i="106"/>
  <c r="O13" i="106"/>
  <c r="O14" i="106"/>
  <c r="I42" i="106"/>
  <c r="J42" i="106"/>
  <c r="F42" i="106"/>
  <c r="I41" i="106"/>
  <c r="J41" i="106"/>
  <c r="F41" i="106"/>
  <c r="I40" i="106"/>
  <c r="J40" i="106"/>
  <c r="F40" i="106"/>
  <c r="I39" i="106"/>
  <c r="J39" i="106"/>
  <c r="F39" i="106"/>
  <c r="I38" i="106"/>
  <c r="J38" i="106"/>
  <c r="F38" i="106"/>
  <c r="I37" i="106"/>
  <c r="J37" i="106"/>
  <c r="F37" i="106"/>
  <c r="I36" i="106"/>
  <c r="J36" i="106"/>
  <c r="F36" i="106"/>
  <c r="I35" i="106"/>
  <c r="J35" i="106"/>
  <c r="F35" i="106"/>
  <c r="I34" i="106"/>
  <c r="J34" i="106"/>
  <c r="F34" i="106"/>
  <c r="I33" i="106"/>
  <c r="J33" i="106"/>
  <c r="F33" i="106"/>
  <c r="I32" i="106"/>
  <c r="J32" i="106"/>
  <c r="F32" i="106"/>
  <c r="I31" i="106"/>
  <c r="J31" i="106"/>
  <c r="F31" i="106"/>
  <c r="I30" i="106"/>
  <c r="J30" i="106"/>
  <c r="F30" i="106"/>
  <c r="F54" i="106"/>
  <c r="G54" i="106"/>
  <c r="F55" i="106"/>
  <c r="G55" i="106"/>
  <c r="F53" i="106"/>
  <c r="G53" i="106"/>
  <c r="F61" i="106"/>
  <c r="F59" i="106"/>
  <c r="F60" i="106"/>
  <c r="F58" i="106"/>
  <c r="F28" i="106"/>
  <c r="B5" i="106"/>
  <c r="F17" i="106"/>
  <c r="I17" i="106"/>
  <c r="J17" i="106"/>
  <c r="F18" i="106"/>
  <c r="I18" i="106"/>
  <c r="J18" i="106"/>
  <c r="F19" i="106"/>
  <c r="I19" i="106"/>
  <c r="J19" i="106"/>
  <c r="F20" i="106"/>
  <c r="I20" i="106"/>
  <c r="J20" i="106"/>
  <c r="F21" i="106"/>
  <c r="I21" i="106"/>
  <c r="J21" i="106"/>
  <c r="F22" i="106"/>
  <c r="I22" i="106"/>
  <c r="J22" i="106"/>
  <c r="F23" i="106"/>
  <c r="I23" i="106"/>
  <c r="J23" i="106"/>
  <c r="F24" i="106"/>
  <c r="I24" i="106"/>
  <c r="J24" i="106"/>
  <c r="F25" i="106"/>
  <c r="I25" i="106"/>
  <c r="J25" i="106"/>
  <c r="F26" i="106"/>
  <c r="I26" i="106"/>
  <c r="J26" i="106"/>
  <c r="I29" i="106"/>
  <c r="J29" i="106"/>
  <c r="F29" i="106"/>
  <c r="I28" i="106"/>
  <c r="J28" i="106"/>
  <c r="I27" i="106"/>
  <c r="J27" i="106"/>
  <c r="F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P4" i="106"/>
  <c r="P5" i="106"/>
  <c r="P6" i="106"/>
  <c r="P7" i="106"/>
  <c r="P8" i="106"/>
  <c r="P9" i="106"/>
  <c r="P10" i="106"/>
  <c r="P11" i="106"/>
  <c r="P12" i="106"/>
  <c r="P13" i="106"/>
  <c r="P14" i="106"/>
  <c r="A266" i="82"/>
  <c r="H266" i="82"/>
  <c r="L266" i="82"/>
  <c r="M266" i="82"/>
  <c r="N266" i="82"/>
  <c r="A267" i="82"/>
  <c r="H267" i="82"/>
  <c r="L267" i="82"/>
  <c r="M267" i="82"/>
  <c r="N267" i="82"/>
  <c r="A268" i="82"/>
  <c r="H268" i="82"/>
  <c r="L268" i="82"/>
  <c r="M268" i="82"/>
  <c r="N268" i="82"/>
  <c r="A269" i="82"/>
  <c r="H269" i="82"/>
  <c r="L269" i="82"/>
  <c r="M269" i="82"/>
  <c r="N269" i="82"/>
  <c r="A270" i="82"/>
  <c r="H270" i="82"/>
  <c r="L270" i="82"/>
  <c r="M270" i="82"/>
  <c r="N270" i="82"/>
  <c r="A271" i="82"/>
  <c r="H271" i="82"/>
  <c r="L271" i="82"/>
  <c r="M271" i="82"/>
  <c r="N271" i="82"/>
  <c r="M13" i="106"/>
  <c r="R13" i="106"/>
  <c r="M14" i="106"/>
  <c r="R14" i="106"/>
  <c r="A256" i="82"/>
  <c r="A257" i="82"/>
  <c r="A258" i="82"/>
  <c r="A259" i="82"/>
  <c r="A260" i="82"/>
  <c r="A261" i="82"/>
  <c r="A262" i="82"/>
  <c r="A263" i="82"/>
  <c r="A264" i="82"/>
  <c r="A265" i="82"/>
  <c r="H256" i="82"/>
  <c r="L256" i="82"/>
  <c r="M256" i="82"/>
  <c r="N256" i="82"/>
  <c r="R3" i="106"/>
  <c r="R4" i="106"/>
  <c r="R5" i="106"/>
  <c r="R6" i="106"/>
  <c r="R7" i="106"/>
  <c r="R8" i="106"/>
  <c r="R9" i="106"/>
  <c r="R10" i="106"/>
  <c r="R11" i="106"/>
  <c r="R12" i="106"/>
  <c r="H257" i="82"/>
  <c r="L257" i="82"/>
  <c r="M257" i="82"/>
  <c r="N257" i="82"/>
  <c r="H258" i="82"/>
  <c r="L258" i="82"/>
  <c r="M258" i="82"/>
  <c r="N258" i="82"/>
  <c r="H259" i="82"/>
  <c r="L259" i="82"/>
  <c r="M259" i="82"/>
  <c r="N259" i="82"/>
  <c r="H260" i="82"/>
  <c r="L260" i="82"/>
  <c r="M260" i="82"/>
  <c r="N260" i="82"/>
  <c r="H261" i="82"/>
  <c r="L261" i="82"/>
  <c r="M261" i="82"/>
  <c r="N26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B53" i="106"/>
  <c r="B54" i="106"/>
  <c r="B55" i="106"/>
  <c r="B56" i="106"/>
  <c r="B57" i="106"/>
  <c r="B58" i="106"/>
  <c r="B59" i="106"/>
  <c r="B60" i="106"/>
  <c r="C53" i="106"/>
  <c r="C54" i="106"/>
  <c r="C55" i="106"/>
  <c r="C56" i="106"/>
  <c r="C57" i="106"/>
  <c r="C58" i="106"/>
  <c r="C59" i="106"/>
  <c r="C60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M3" i="106"/>
  <c r="I43" i="106"/>
  <c r="J43" i="106"/>
  <c r="I44" i="106"/>
  <c r="J44" i="106"/>
  <c r="F43" i="106"/>
  <c r="F44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45" i="106"/>
  <c r="D45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<sst xmlns="http://schemas.openxmlformats.org/spreadsheetml/2006/main" count="927" uniqueCount="245">
  <si>
    <t>character_id</t>
  </si>
  <si>
    <t>character_id</t>
    <phoneticPr fontId="14"/>
  </si>
  <si>
    <t>weight</t>
    <phoneticPr fontId="14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</si>
  <si>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</si>
  <si>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</si>
  <si>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</si>
  <si>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</si>
  <si>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</si>
  <si>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</si>
  <si>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</si>
  <si>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4"/>
  </si>
  <si>
    <t>bonus_table_no</t>
    <phoneticPr fontId="14"/>
  </si>
  <si>
    <t>weight</t>
    <phoneticPr fontId="14"/>
  </si>
  <si>
    <t>gift_id</t>
    <phoneticPr fontId="14"/>
  </si>
  <si>
    <t>gift_id</t>
    <phoneticPr fontId="14"/>
  </si>
  <si>
    <t>gift_type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</si>
  <si>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</si>
  <si>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</si>
  <si>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</si>
  <si>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</si>
  <si>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</si>
  <si>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</si>
  <si>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gift_id</t>
    <phoneticPr fontId="14"/>
  </si>
  <si>
    <t>gift_value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</si>
  <si>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</si>
  <si>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</si>
  <si>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</si>
  <si>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</si>
  <si>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</si>
  <si>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</si>
  <si>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gift_type</t>
    <phoneticPr fontId="14"/>
  </si>
  <si>
    <t>備考</t>
    <rPh sb="0" eb="2">
      <t>ビコウ</t>
    </rPh>
    <phoneticPr fontId="14"/>
  </si>
  <si>
    <t>character_id</t>
    <phoneticPr fontId="14"/>
  </si>
  <si>
    <t>name</t>
    <phoneticPr fontId="14"/>
  </si>
  <si>
    <t>drop_label</t>
    <phoneticPr fontId="14"/>
  </si>
  <si>
    <t>rare</t>
    <phoneticPr fontId="14"/>
  </si>
  <si>
    <t>character_type_id</t>
    <phoneticPr fontId="14"/>
  </si>
  <si>
    <t>character_tribe_id</t>
    <phoneticPr fontId="14"/>
  </si>
  <si>
    <t>unit_level</t>
    <phoneticPr fontId="14"/>
  </si>
  <si>
    <t>weight</t>
    <phoneticPr fontId="14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</si>
  <si>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</si>
  <si>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</si>
  <si>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</si>
  <si>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</si>
  <si>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</si>
  <si>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</si>
  <si>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</si>
  <si>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</si>
  <si>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gacha_bonus_tables</t>
    <phoneticPr fontId="47"/>
  </si>
  <si>
    <t>gifts_tmp_</t>
    <phoneticPr fontId="14"/>
  </si>
  <si>
    <t>gifts_i18n_</t>
    <phoneticPr fontId="14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</si>
  <si>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4"/>
  </si>
  <si>
    <t>出力flg</t>
    <rPh sb="0" eb="2">
      <t>シュツリョク</t>
    </rPh>
    <phoneticPr fontId="47"/>
  </si>
  <si>
    <t>color</t>
    <phoneticPr fontId="14"/>
  </si>
  <si>
    <t>skip</t>
    <phoneticPr fontId="14"/>
  </si>
  <si>
    <t>レアリティ別確率</t>
    <rPh sb="5" eb="6">
      <t>ベツ</t>
    </rPh>
    <rPh sb="6" eb="8">
      <t>カクリツ</t>
    </rPh>
    <phoneticPr fontId="14"/>
  </si>
  <si>
    <t>ラベル別確率</t>
    <rPh sb="3" eb="4">
      <t>ベツ</t>
    </rPh>
    <rPh sb="4" eb="6">
      <t>カクリツ</t>
    </rPh>
    <phoneticPr fontId="14"/>
  </si>
  <si>
    <t>SSS</t>
    <phoneticPr fontId="14"/>
  </si>
  <si>
    <t>SS</t>
    <phoneticPr fontId="14"/>
  </si>
  <si>
    <t>hogehoge</t>
    <phoneticPr fontId="14"/>
  </si>
  <si>
    <t>ラベル*レアリティ標準確率</t>
    <rPh sb="9" eb="11">
      <t>ヒョウジュン</t>
    </rPh>
    <rPh sb="11" eb="13">
      <t>カクリツ</t>
    </rPh>
    <phoneticPr fontId="14"/>
  </si>
  <si>
    <t>性別</t>
    <rPh sb="0" eb="2">
      <t>セイベツ</t>
    </rPh>
    <phoneticPr fontId="14"/>
  </si>
  <si>
    <t>合計</t>
    <rPh sb="0" eb="2">
      <t>ゴウケイ</t>
    </rPh>
    <phoneticPr fontId="14"/>
  </si>
  <si>
    <t>グループ</t>
    <phoneticPr fontId="14"/>
  </si>
  <si>
    <t>ピックアップ確率</t>
    <rPh sb="6" eb="8">
      <t>カクリツ</t>
    </rPh>
    <phoneticPr fontId="14"/>
  </si>
  <si>
    <t>残り確率</t>
    <rPh sb="0" eb="1">
      <t>ノコ</t>
    </rPh>
    <rPh sb="2" eb="4">
      <t>カクリツ</t>
    </rPh>
    <phoneticPr fontId="14"/>
  </si>
  <si>
    <t>確率</t>
    <rPh sb="0" eb="2">
      <t>カクリツ</t>
    </rPh>
    <phoneticPr fontId="14"/>
  </si>
  <si>
    <t>所属グループ</t>
    <rPh sb="0" eb="2">
      <t>ショゾク</t>
    </rPh>
    <phoneticPr fontId="14"/>
  </si>
  <si>
    <t>名前</t>
    <rPh sb="0" eb="2">
      <t>ナマエ</t>
    </rPh>
    <phoneticPr fontId="14"/>
  </si>
  <si>
    <t>レアリティ</t>
    <phoneticPr fontId="14"/>
  </si>
  <si>
    <t>ラベル</t>
    <phoneticPr fontId="14"/>
  </si>
  <si>
    <t>R3</t>
    <phoneticPr fontId="14"/>
  </si>
  <si>
    <t>R4</t>
    <phoneticPr fontId="14"/>
  </si>
  <si>
    <t>R5</t>
    <phoneticPr fontId="14"/>
  </si>
  <si>
    <t>個別確率</t>
    <rPh sb="0" eb="4">
      <t>コベツカクリツ</t>
    </rPh>
    <phoneticPr fontId="14"/>
  </si>
  <si>
    <t>該当数(ピックアップ除く)</t>
    <rPh sb="0" eb="2">
      <t>ガイトウ</t>
    </rPh>
    <rPh sb="2" eb="3">
      <t>スウ</t>
    </rPh>
    <rPh sb="10" eb="11">
      <t>ノゾ</t>
    </rPh>
    <phoneticPr fontId="14"/>
  </si>
  <si>
    <t>個別weight</t>
    <rPh sb="0" eb="2">
      <t>コベツ</t>
    </rPh>
    <phoneticPr fontId="14"/>
  </si>
  <si>
    <t>グループweight</t>
    <phoneticPr fontId="14"/>
  </si>
  <si>
    <t>端数</t>
    <rPh sb="0" eb="2">
      <t>ハスウ</t>
    </rPh>
    <phoneticPr fontId="14"/>
  </si>
  <si>
    <t>確率</t>
    <rPh sb="0" eb="2">
      <t>カクリツ</t>
    </rPh>
    <phoneticPr fontId="14"/>
  </si>
  <si>
    <t>--検算用--</t>
    <rPh sb="3" eb="6">
      <t>ケンザンヨウ</t>
    </rPh>
    <phoneticPr fontId="14"/>
  </si>
  <si>
    <t>端数逆数</t>
    <rPh sb="0" eb="2">
      <t>ハスウ</t>
    </rPh>
    <rPh sb="2" eb="4">
      <t>ギャクスウ</t>
    </rPh>
    <phoneticPr fontId="14"/>
  </si>
  <si>
    <t>テーブルを増やしたい場合</t>
    <rPh sb="5" eb="6">
      <t>フ</t>
    </rPh>
    <rPh sb="10" eb="12">
      <t>バアイ</t>
    </rPh>
    <phoneticPr fontId="14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</si>
  <si>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4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</si>
  <si>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4"/>
  </si>
  <si>
    <t>３．outputシートで２で作ったtablesを指定する</t>
    <rPh sb="14" eb="15">
      <t>ツク</t>
    </rPh>
    <rPh sb="24" eb="26">
      <t>シテイ</t>
    </rPh>
    <phoneticPr fontId="14"/>
  </si>
  <si>
    <t>テーブルid</t>
    <phoneticPr fontId="14"/>
  </si>
  <si>
    <t>→ピックアップの確率は右のほうにいます</t>
    <rPh sb="8" eb="10">
      <t>カクリツ</t>
    </rPh>
    <rPh sb="11" eb="12">
      <t>ミギ</t>
    </rPh>
    <phoneticPr fontId="14"/>
  </si>
  <si>
    <t>table_no</t>
    <phoneticPr fontId="14"/>
  </si>
  <si>
    <t>skill_level</t>
  </si>
  <si>
    <t>level</t>
  </si>
  <si>
    <t>hp_plus</t>
    <phoneticPr fontId="47"/>
  </si>
  <si>
    <t>attack_plus</t>
    <phoneticPr fontId="47"/>
  </si>
  <si>
    <t>heal_plus</t>
    <phoneticPr fontId="47"/>
  </si>
  <si>
    <t>defense_plus</t>
    <phoneticPr fontId="47"/>
  </si>
  <si>
    <t>level</t>
    <phoneticPr fontId="47"/>
  </si>
  <si>
    <t>skill_level</t>
    <phoneticPr fontId="47"/>
  </si>
  <si>
    <t>bug</t>
    <phoneticPr fontId="47"/>
  </si>
  <si>
    <t>ja</t>
    <phoneticPr fontId="14"/>
  </si>
  <si>
    <t>drop_label2</t>
    <phoneticPr fontId="14"/>
  </si>
  <si>
    <t>Premium</t>
    <phoneticPr fontId="14"/>
  </si>
  <si>
    <t>Premium3</t>
    <phoneticPr fontId="14"/>
  </si>
  <si>
    <t>Premium4</t>
    <phoneticPr fontId="14"/>
  </si>
  <si>
    <t>Premium5</t>
    <phoneticPr fontId="14"/>
  </si>
  <si>
    <t>グループ確率</t>
    <rPh sb="4" eb="6">
      <t>カクリツ</t>
    </rPh>
    <phoneticPr fontId="14"/>
  </si>
  <si>
    <t>レア度別確率</t>
    <rPh sb="2" eb="4">
      <t>ドベツ</t>
    </rPh>
    <rPh sb="4" eb="6">
      <t>カクリツ</t>
    </rPh>
    <phoneticPr fontId="14"/>
  </si>
  <si>
    <t>ラベル別確率</t>
    <rPh sb="3" eb="4">
      <t>ベツ</t>
    </rPh>
    <rPh sb="4" eb="6">
      <t>カクリツ</t>
    </rPh>
    <phoneticPr fontId="14"/>
  </si>
  <si>
    <t>color2</t>
    <phoneticPr fontId="14"/>
  </si>
  <si>
    <t>Premium3</t>
  </si>
  <si>
    <t>Premium4</t>
  </si>
  <si>
    <t>Premium5</t>
  </si>
  <si>
    <t>PremiumSS4</t>
    <phoneticPr fontId="14"/>
  </si>
  <si>
    <t>PremiumSS5</t>
    <phoneticPr fontId="14"/>
  </si>
  <si>
    <t>PremiumSSS5</t>
    <phoneticPr fontId="14"/>
  </si>
  <si>
    <t>PremiumSS4</t>
    <phoneticPr fontId="14"/>
  </si>
  <si>
    <t>PremiumSSS4</t>
    <phoneticPr fontId="14"/>
  </si>
  <si>
    <t>PremiumSS5</t>
    <phoneticPr fontId="14"/>
  </si>
  <si>
    <t>PremiumSSS5</t>
    <phoneticPr fontId="14"/>
  </si>
  <si>
    <t>gacha_select_tables_</t>
    <phoneticPr fontId="14"/>
  </si>
  <si>
    <t>ラベル確率で考えましょう</t>
    <rPh sb="6" eb="7">
      <t>カンガエマショウ</t>
    </rPh>
    <phoneticPr fontId="47"/>
  </si>
  <si>
    <t>ラベル</t>
    <phoneticPr fontId="47"/>
  </si>
  <si>
    <t>レアリティ</t>
    <phoneticPr fontId="47"/>
  </si>
  <si>
    <t>{W}</t>
    <phoneticPr fontId="47"/>
  </si>
  <si>
    <t>{N,S}</t>
    <phoneticPr fontId="47"/>
  </si>
  <si>
    <t>{N,S}R3less</t>
    <phoneticPr fontId="47"/>
  </si>
  <si>
    <t>{N,S}R6release</t>
    <phoneticPr fontId="47"/>
  </si>
  <si>
    <t>{SS}</t>
    <phoneticPr fontId="47"/>
  </si>
  <si>
    <t>{SS}R6only</t>
    <phoneticPr fontId="47"/>
  </si>
  <si>
    <t>小計</t>
    <rPh sb="0" eb="2">
      <t>ショウケイ</t>
    </rPh>
    <phoneticPr fontId="47"/>
  </si>
  <si>
    <t>A</t>
    <phoneticPr fontId="47"/>
  </si>
  <si>
    <t>C</t>
    <phoneticPr fontId="47"/>
  </si>
  <si>
    <t>H</t>
    <phoneticPr fontId="47"/>
  </si>
  <si>
    <t>B</t>
    <phoneticPr fontId="47"/>
  </si>
  <si>
    <t>D</t>
    <phoneticPr fontId="47"/>
  </si>
  <si>
    <t>F</t>
    <phoneticPr fontId="47"/>
  </si>
  <si>
    <t>I</t>
    <phoneticPr fontId="47"/>
  </si>
  <si>
    <t>K</t>
    <phoneticPr fontId="47"/>
  </si>
  <si>
    <t>E</t>
    <phoneticPr fontId="47"/>
  </si>
  <si>
    <t>G</t>
    <phoneticPr fontId="47"/>
  </si>
  <si>
    <t>J</t>
    <phoneticPr fontId="47"/>
  </si>
  <si>
    <t>L</t>
    <phoneticPr fontId="47"/>
  </si>
  <si>
    <t>M</t>
    <phoneticPr fontId="47"/>
  </si>
  <si>
    <t>→</t>
    <phoneticPr fontId="47"/>
  </si>
  <si>
    <t>1-SS率</t>
    <rPh sb="4" eb="5">
      <t>リツ</t>
    </rPh>
    <phoneticPr fontId="47"/>
  </si>
  <si>
    <t>SS率</t>
    <rPh sb="2" eb="3">
      <t>リツ</t>
    </rPh>
    <phoneticPr fontId="47"/>
  </si>
  <si>
    <t>考え方を変える</t>
    <rPh sb="0" eb="1">
      <t>カンガエカタ</t>
    </rPh>
    <rPh sb="4" eb="5">
      <t>カエル</t>
    </rPh>
    <phoneticPr fontId="47"/>
  </si>
  <si>
    <t>SS4%は確定事項</t>
    <rPh sb="5" eb="7">
      <t>カクテイ</t>
    </rPh>
    <rPh sb="7" eb="9">
      <t>ジコウ</t>
    </rPh>
    <phoneticPr fontId="47"/>
  </si>
  <si>
    <t>当たりは分配</t>
    <rPh sb="0" eb="1">
      <t>アタリ</t>
    </rPh>
    <rPh sb="4" eb="6">
      <t>ブンパイ</t>
    </rPh>
    <phoneticPr fontId="47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</si>
  <si>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7"/>
  </si>
  <si>
    <t>=</t>
    <phoneticPr fontId="47"/>
  </si>
  <si>
    <t>X*{SS R5only}</t>
    <phoneticPr fontId="47"/>
  </si>
  <si>
    <t>K</t>
    <phoneticPr fontId="47"/>
  </si>
  <si>
    <t>=</t>
    <phoneticPr fontId="47"/>
  </si>
  <si>
    <t>X*{SS}*(R3率+R4率)</t>
    <rPh sb="10" eb="11">
      <t>リツ</t>
    </rPh>
    <rPh sb="14" eb="15">
      <t>リツ</t>
    </rPh>
    <phoneticPr fontId="47"/>
  </si>
  <si>
    <t>L</t>
    <phoneticPr fontId="47"/>
  </si>
  <si>
    <t>X*{SS}*R5率</t>
    <rPh sb="9" eb="10">
      <t>リツ</t>
    </rPh>
    <phoneticPr fontId="47"/>
  </si>
  <si>
    <t>X*{R6release}*R3率</t>
    <rPh sb="16" eb="17">
      <t>リツ</t>
    </rPh>
    <phoneticPr fontId="47"/>
  </si>
  <si>
    <t>X*{R6release}*R4率</t>
    <rPh sb="16" eb="17">
      <t>リツ</t>
    </rPh>
    <phoneticPr fontId="47"/>
  </si>
  <si>
    <t>J</t>
    <phoneticPr fontId="47"/>
  </si>
  <si>
    <t>X*{R6release}*R5率</t>
    <rPh sb="16" eb="17">
      <t>リツ</t>
    </rPh>
    <phoneticPr fontId="47"/>
  </si>
  <si>
    <t>ハズレで確率を整える</t>
    <rPh sb="4" eb="6">
      <t>カクリツ</t>
    </rPh>
    <rPh sb="7" eb="8">
      <t>トトノエル</t>
    </rPh>
    <phoneticPr fontId="47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</si>
  <si>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7"/>
  </si>
  <si>
    <t>A + C</t>
    <phoneticPr fontId="47"/>
  </si>
  <si>
    <t>=</t>
    <phoneticPr fontId="47"/>
  </si>
  <si>
    <t>50%-H</t>
    <phoneticPr fontId="47"/>
  </si>
  <si>
    <t>①</t>
    <phoneticPr fontId="47"/>
  </si>
  <si>
    <t>B + D + F</t>
    <phoneticPr fontId="47"/>
  </si>
  <si>
    <t>45%-I-K</t>
    <phoneticPr fontId="47"/>
  </si>
  <si>
    <t>②</t>
    <phoneticPr fontId="47"/>
  </si>
  <si>
    <t>E+G</t>
    <phoneticPr fontId="47"/>
  </si>
  <si>
    <t>5%-J-L-M</t>
    <phoneticPr fontId="47"/>
  </si>
  <si>
    <t>③</t>
    <phoneticPr fontId="47"/>
  </si>
  <si>
    <t>A+B</t>
    <phoneticPr fontId="47"/>
  </si>
  <si>
    <t>Y*{W}</t>
    <phoneticPr fontId="47"/>
  </si>
  <si>
    <t>④</t>
    <phoneticPr fontId="47"/>
  </si>
  <si>
    <t>C+D+E</t>
    <phoneticPr fontId="47"/>
  </si>
  <si>
    <t>Y*{N,S}</t>
    <phoneticPr fontId="47"/>
  </si>
  <si>
    <t>⑤</t>
    <phoneticPr fontId="47"/>
  </si>
  <si>
    <t>F+G</t>
    <phoneticPr fontId="47"/>
  </si>
  <si>
    <t>Y*{N,S R3less}</t>
    <phoneticPr fontId="47"/>
  </si>
  <si>
    <t>⑥</t>
    <phoneticPr fontId="47"/>
  </si>
  <si>
    <t>A+B+C+D+E+F+G</t>
    <phoneticPr fontId="47"/>
  </si>
  <si>
    <t>⑦</t>
    <phoneticPr fontId="47"/>
  </si>
  <si>
    <t>←これは4,5,6で作れるのでダメだわ</t>
    <rPh sb="10" eb="11">
      <t>ツクレル</t>
    </rPh>
    <phoneticPr fontId="47"/>
  </si>
  <si>
    <t>E*R3率/R5率</t>
    <rPh sb="4" eb="5">
      <t>リツ</t>
    </rPh>
    <rPh sb="8" eb="9">
      <t>リツ</t>
    </rPh>
    <phoneticPr fontId="47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</si>
  <si>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7"/>
  </si>
  <si>
    <t>E*R4率/R5率</t>
    <rPh sb="4" eb="5">
      <t>リツ</t>
    </rPh>
    <rPh sb="8" eb="9">
      <t>リツ</t>
    </rPh>
    <phoneticPr fontId="47"/>
  </si>
  <si>
    <t>∴</t>
    <phoneticPr fontId="47"/>
  </si>
  <si>
    <t>E</t>
    <phoneticPr fontId="47"/>
  </si>
  <si>
    <t>Y*{N,S}*R5率</t>
    <rPh sb="10" eb="11">
      <t>リツ</t>
    </rPh>
    <phoneticPr fontId="47"/>
  </si>
  <si>
    <t>Y*{N,S}*R4率</t>
    <rPh sb="10" eb="11">
      <t>リツ</t>
    </rPh>
    <phoneticPr fontId="47"/>
  </si>
  <si>
    <t>Y*{N,S}*R3率</t>
    <rPh sb="10" eb="11">
      <t>リツ</t>
    </rPh>
    <phoneticPr fontId="47"/>
  </si>
  <si>
    <t>50%-H-C</t>
    <phoneticPr fontId="47"/>
  </si>
  <si>
    <t>Y*{W}-A</t>
    <phoneticPr fontId="47"/>
  </si>
  <si>
    <t>5%-J-L-M-E</t>
    <phoneticPr fontId="47"/>
  </si>
  <si>
    <t>Y*{N,S R3less} - G</t>
    <phoneticPr fontId="47"/>
  </si>
  <si>
    <t>R6境界前後</t>
    <rPh sb="2" eb="4">
      <t>キョウカイ</t>
    </rPh>
    <rPh sb="4" eb="6">
      <t>ゼンゴ</t>
    </rPh>
    <phoneticPr fontId="14"/>
  </si>
  <si>
    <t>R6事後開放N,S</t>
    <rPh sb="2" eb="6">
      <t>ジゴカイホウ</t>
    </rPh>
    <phoneticPr fontId="14"/>
  </si>
  <si>
    <t>PremiumW3</t>
    <phoneticPr fontId="14"/>
  </si>
  <si>
    <t>PremiumW4</t>
    <phoneticPr fontId="14"/>
  </si>
  <si>
    <t>ラベル確率</t>
    <rPh sb="3" eb="5">
      <t>カクリツ</t>
    </rPh>
    <phoneticPr fontId="14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</si>
  <si>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</si>
  <si>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</si>
  <si>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</si>
  <si>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</si>
  <si>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</si>
  <si>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4"/>
  </si>
  <si>
    <t>PremiumSS5R5only</t>
  </si>
  <si>
    <t>計算用中間データ</t>
    <rPh sb="0" eb="3">
      <t>ケイサンヨウ</t>
    </rPh>
    <rPh sb="3" eb="5">
      <t>チュウカン</t>
    </rPh>
    <phoneticPr fontId="14"/>
  </si>
  <si>
    <t>対象数</t>
    <rPh sb="0" eb="3">
      <t>タイショウスウ</t>
    </rPh>
    <phoneticPr fontId="14"/>
  </si>
  <si>
    <t>PremiumW</t>
    <phoneticPr fontId="14"/>
  </si>
  <si>
    <t>PremiumN</t>
    <phoneticPr fontId="14"/>
  </si>
  <si>
    <t>PremiumS</t>
    <phoneticPr fontId="14"/>
  </si>
  <si>
    <t>PremiumSS</t>
    <phoneticPr fontId="14"/>
  </si>
  <si>
    <t>weight</t>
    <phoneticPr fontId="14"/>
  </si>
  <si>
    <t>残り確率</t>
    <rPh sb="0" eb="1">
      <t>ノコリ</t>
    </rPh>
    <rPh sb="2" eb="4">
      <t>カクリツ</t>
    </rPh>
    <phoneticPr fontId="14"/>
  </si>
  <si>
    <t>一体確率</t>
    <rPh sb="0" eb="2">
      <t>イッタイ</t>
    </rPh>
    <rPh sb="2" eb="4">
      <t>カクリツ</t>
    </rPh>
    <phoneticPr fontId="14"/>
  </si>
  <si>
    <t>PremiumW3color</t>
    <phoneticPr fontId="14"/>
  </si>
  <si>
    <t>PremiumW4color</t>
    <phoneticPr fontId="14"/>
  </si>
  <si>
    <t>Premium3color</t>
    <phoneticPr fontId="14"/>
  </si>
  <si>
    <t>Premium4color</t>
    <phoneticPr fontId="14"/>
  </si>
  <si>
    <t>Premium5color</t>
    <phoneticPr fontId="14"/>
  </si>
  <si>
    <t>Premium4R3lesscolor</t>
    <phoneticPr fontId="14"/>
  </si>
  <si>
    <t>Premium5R3lesscolor</t>
    <phoneticPr fontId="14"/>
  </si>
  <si>
    <t>Premium3R6releasecolor</t>
    <phoneticPr fontId="14"/>
  </si>
  <si>
    <t>Premium4R6releasecolor</t>
    <phoneticPr fontId="14"/>
  </si>
  <si>
    <t>Premium5R6releasecolor</t>
    <phoneticPr fontId="14"/>
  </si>
  <si>
    <t>PremiumSS4color</t>
    <phoneticPr fontId="14"/>
  </si>
  <si>
    <t>PremiumSS5color</t>
    <phoneticPr fontId="14"/>
  </si>
  <si>
    <t>PremiumSS5R5onlycolor</t>
    <phoneticPr fontId="14"/>
  </si>
  <si>
    <t>Xcolor</t>
    <phoneticPr fontId="14"/>
  </si>
  <si>
    <t>Y</t>
    <phoneticPr fontId="14"/>
  </si>
  <si>
    <t>Ycolor</t>
    <phoneticPr fontId="14"/>
  </si>
  <si>
    <t>X</t>
    <phoneticPr fontId="14"/>
  </si>
  <si>
    <t>weight合計</t>
    <rPh sb="6" eb="8">
      <t>ゴウケイ</t>
    </rPh>
    <phoneticPr fontId="14"/>
  </si>
  <si>
    <t>max Weight</t>
    <phoneticPr fontId="14"/>
  </si>
  <si>
    <t>検証確率</t>
    <rPh sb="0" eb="2">
      <t>ケンショウ</t>
    </rPh>
    <rPh sb="2" eb="4">
      <t>カクリツ</t>
    </rPh>
    <phoneticPr fontId="14"/>
  </si>
  <si>
    <t>old</t>
    <phoneticPr fontId="14"/>
  </si>
  <si>
    <t>gacha_settle_tables_</t>
    <phoneticPr fontId="14"/>
  </si>
  <si>
    <t>tables_325101</t>
    <phoneticPr fontId="14"/>
  </si>
  <si>
    <t>tables_325103</t>
    <phoneticPr fontId="14"/>
  </si>
  <si>
    <t>tables_settle_325103</t>
    <phoneticPr fontId="14"/>
  </si>
  <si>
    <t>tables_325104</t>
    <phoneticPr fontId="14"/>
  </si>
  <si>
    <t>tables_325105</t>
    <phoneticPr fontId="14"/>
  </si>
  <si>
    <t>tables_325100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</si>
</sst>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  <numFmt numFmtId="183" formatCode="0.00000000000000%"/>
    <numFmt numFmtId="184" formatCode="#,##0_ "/>
  </numFmts>
  <fonts count="5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3" fillId="0" borderId="0"/>
    <xf numFmtId="0" fontId="17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2" fillId="0" borderId="0"/>
    <xf numFmtId="0" fontId="24" fillId="5" borderId="2" applyNumberFormat="0" applyAlignment="0" applyProtection="0"/>
    <xf numFmtId="0" fontId="25" fillId="6" borderId="0" applyNumberFormat="0" applyBorder="0" applyAlignment="0" applyProtection="0"/>
    <xf numFmtId="0" fontId="26" fillId="7" borderId="3" applyNumberFormat="0" applyAlignment="0" applyProtection="0"/>
    <xf numFmtId="0" fontId="27" fillId="0" borderId="0" applyNumberFormat="0" applyFill="0" applyBorder="0" applyAlignment="0" applyProtection="0"/>
    <xf numFmtId="0" fontId="28" fillId="8" borderId="0" applyNumberFormat="0" applyBorder="0" applyAlignment="0" applyProtection="0"/>
    <xf numFmtId="0" fontId="29" fillId="9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7" borderId="0" applyNumberFormat="0" applyBorder="0" applyAlignment="0" applyProtection="0"/>
    <xf numFmtId="0" fontId="34" fillId="6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5" borderId="0" applyNumberFormat="0" applyBorder="0" applyAlignment="0" applyProtection="0"/>
    <xf numFmtId="0" fontId="34" fillId="7" borderId="0" applyNumberFormat="0" applyBorder="0" applyAlignment="0" applyProtection="0"/>
    <xf numFmtId="0" fontId="34" fillId="12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3" borderId="0" applyNumberFormat="0" applyBorder="0" applyAlignment="0" applyProtection="0"/>
    <xf numFmtId="0" fontId="34" fillId="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4" borderId="0" applyNumberFormat="0" applyBorder="0" applyAlignment="0" applyProtection="0"/>
    <xf numFmtId="0" fontId="35" fillId="6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6" fillId="17" borderId="0" applyNumberFormat="0" applyBorder="0" applyAlignment="0" applyProtection="0"/>
    <xf numFmtId="0" fontId="25" fillId="6" borderId="0" applyNumberFormat="0" applyBorder="0" applyAlignment="0" applyProtection="0"/>
    <xf numFmtId="0" fontId="37" fillId="0" borderId="8" applyNumberFormat="0" applyFill="0" applyAlignment="0" applyProtection="0"/>
    <xf numFmtId="0" fontId="38" fillId="7" borderId="9" applyNumberFormat="0" applyAlignment="0" applyProtection="0"/>
    <xf numFmtId="0" fontId="38" fillId="18" borderId="9" applyNumberFormat="0" applyAlignment="0" applyProtection="0"/>
    <xf numFmtId="0" fontId="26" fillId="6" borderId="3" applyNumberFormat="0" applyAlignment="0" applyProtection="0"/>
    <xf numFmtId="0" fontId="39" fillId="0" borderId="10" applyNumberFormat="0" applyFill="0" applyAlignment="0" applyProtection="0"/>
    <xf numFmtId="0" fontId="40" fillId="18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2" fillId="0" borderId="0" applyFont="0" applyFill="0" applyBorder="0" applyAlignment="0" applyProtection="0">
      <alignment vertical="center"/>
    </xf>
    <xf numFmtId="0" fontId="43" fillId="19" borderId="0" applyNumberFormat="0" applyBorder="0" applyAlignment="0" applyProtection="0"/>
    <xf numFmtId="0" fontId="44" fillId="20" borderId="0" applyNumberFormat="0" applyBorder="0" applyAlignment="0" applyProtection="0"/>
    <xf numFmtId="0" fontId="12" fillId="0" borderId="0"/>
    <xf numFmtId="0" fontId="45" fillId="20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0"/>
    <xf numFmtId="0" fontId="48" fillId="0" borderId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" fillId="0" borderId="0"/>
  </cellStyleXfs>
  <cellXfs count="88">
    <xf numFmtId="0" fontId="0" fillId="0" borderId="0" xfId="0"/>
    <xf numFmtId="0" fontId="19" fillId="0" borderId="0" xfId="2" applyFont="1" applyAlignment="1">
      <alignment vertical="center"/>
    </xf>
    <xf numFmtId="0" fontId="19" fillId="0" borderId="1" xfId="2" applyFont="1" applyBorder="1" applyAlignment="1">
      <alignment vertical="center"/>
    </xf>
    <xf numFmtId="0" fontId="19" fillId="3" borderId="1" xfId="2" applyFont="1" applyFill="1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0" fontId="19" fillId="4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horizontal="right" vertical="center"/>
    </xf>
    <xf numFmtId="0" fontId="19" fillId="3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vertical="center"/>
    </xf>
    <xf numFmtId="0" fontId="19" fillId="0" borderId="13" xfId="2" applyFont="1" applyBorder="1" applyAlignment="1">
      <alignment vertical="center"/>
    </xf>
    <xf numFmtId="0" fontId="18" fillId="4" borderId="12" xfId="0" applyFont="1" applyFill="1" applyBorder="1" applyAlignment="1">
      <alignment horizontal="right" vertical="center"/>
    </xf>
    <xf numFmtId="0" fontId="18" fillId="4" borderId="14" xfId="0" applyFont="1" applyFill="1" applyBorder="1" applyAlignment="1">
      <alignment horizontal="right" vertical="center"/>
    </xf>
    <xf numFmtId="0" fontId="19" fillId="0" borderId="15" xfId="2" applyFont="1" applyBorder="1" applyAlignment="1">
      <alignment vertical="center"/>
    </xf>
    <xf numFmtId="0" fontId="19" fillId="2" borderId="1" xfId="2" applyFont="1" applyFill="1" applyBorder="1" applyAlignment="1">
      <alignment horizontal="left" vertical="center"/>
    </xf>
    <xf numFmtId="0" fontId="46" fillId="21" borderId="1" xfId="0" applyFont="1" applyFill="1" applyBorder="1" applyAlignment="1">
      <alignment horizontal="left" vertical="center"/>
    </xf>
    <xf numFmtId="0" fontId="19" fillId="2" borderId="1" xfId="2" applyFont="1" applyFill="1" applyBorder="1" applyAlignment="1">
      <alignment horizontal="center" vertical="center"/>
    </xf>
    <xf numFmtId="0" fontId="21" fillId="22" borderId="1" xfId="2978" applyFont="1" applyFill="1" applyBorder="1"/>
    <xf numFmtId="0" fontId="7" fillId="22" borderId="1" xfId="2978" applyFill="1" applyBorder="1"/>
    <xf numFmtId="0" fontId="7" fillId="0" borderId="0" xfId="2978"/>
    <xf numFmtId="0" fontId="7" fillId="0" borderId="1" xfId="2978" applyBorder="1"/>
    <xf numFmtId="0" fontId="7" fillId="2" borderId="1" xfId="2978" applyFill="1" applyBorder="1"/>
    <xf numFmtId="0" fontId="11" fillId="2" borderId="1" xfId="19" applyFont="1" applyFill="1" applyBorder="1"/>
    <xf numFmtId="0" fontId="12" fillId="2" borderId="1" xfId="19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6" fillId="0" borderId="1" xfId="2978" applyFont="1" applyBorder="1"/>
    <xf numFmtId="0" fontId="21" fillId="22" borderId="1" xfId="0" applyFont="1" applyFill="1" applyBorder="1"/>
    <xf numFmtId="0" fontId="46" fillId="23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0" xfId="0" applyFill="1"/>
    <xf numFmtId="0" fontId="4" fillId="0" borderId="1" xfId="3036" applyFont="1" applyBorder="1"/>
    <xf numFmtId="0" fontId="3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28" borderId="0" xfId="0" applyFill="1"/>
    <xf numFmtId="0" fontId="0" fillId="2" borderId="0" xfId="0" applyFill="1"/>
    <xf numFmtId="0" fontId="46" fillId="30" borderId="1" xfId="0" applyFont="1" applyFill="1" applyBorder="1" applyAlignment="1">
      <alignment horizontal="left" vertical="center"/>
    </xf>
    <xf numFmtId="0" fontId="19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0" fontId="0" fillId="0" borderId="16" xfId="0" applyFill="1" applyBorder="1"/>
    <xf numFmtId="10" fontId="0" fillId="0" borderId="1" xfId="0" applyNumberFormat="1" applyFill="1" applyBorder="1"/>
    <xf numFmtId="0" fontId="0" fillId="0" borderId="0" xfId="0" applyFill="1"/>
    <xf numFmtId="0" fontId="18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0" fontId="0" fillId="0" borderId="0" xfId="0" applyFill="1" applyBorder="1"/>
    <xf numFmtId="177" fontId="0" fillId="3" borderId="1" xfId="0" applyNumberFormat="1" applyFill="1" applyBorder="1"/>
    <xf numFmtId="182" fontId="0" fillId="0" borderId="0" xfId="0" applyNumberFormat="1"/>
    <xf numFmtId="177" fontId="0" fillId="0" borderId="1" xfId="0" applyNumberFormat="1" applyFill="1" applyBorder="1"/>
    <xf numFmtId="178" fontId="0" fillId="0" borderId="0" xfId="3575" applyNumberFormat="1" applyFont="1"/>
    <xf numFmtId="178" fontId="0" fillId="0" borderId="0" xfId="0" applyNumberFormat="1"/>
    <xf numFmtId="183" fontId="0" fillId="0" borderId="1" xfId="0" applyNumberFormat="1" applyFill="1" applyBorder="1"/>
    <xf numFmtId="180" fontId="0" fillId="28" borderId="1" xfId="0" applyNumberFormat="1" applyFill="1" applyBorder="1"/>
    <xf numFmtId="177" fontId="0" fillId="28" borderId="1" xfId="0" applyNumberFormat="1" applyFont="1" applyFill="1" applyBorder="1"/>
    <xf numFmtId="181" fontId="0" fillId="28" borderId="1" xfId="0" applyNumberFormat="1" applyFont="1" applyFill="1" applyBorder="1"/>
    <xf numFmtId="184" fontId="0" fillId="0" borderId="0" xfId="0" applyNumberFormat="1"/>
    <xf numFmtId="177" fontId="0" fillId="0" borderId="0" xfId="3575" applyNumberFormat="1" applyFont="1"/>
    <xf numFmtId="178" fontId="0" fillId="0" borderId="1" xfId="0" applyNumberFormat="1" applyBorder="1"/>
    <xf numFmtId="0" fontId="1" fillId="0" borderId="1" xfId="3036" applyFont="1" applyBorder="1"/>
    <xf numFmtId="0" fontId="1" fillId="4" borderId="1" xfId="2978" applyFont="1" applyFill="1" applyBorder="1"/>
    <xf numFmtId="0" fontId="1" fillId="0" borderId="1" xfId="2978" applyFont="1" applyBorder="1"/>
    <xf numFmtId="0" fontId="1" fillId="2" borderId="1" xfId="19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attack</v>
          </cell>
          <cell r="L871" t="str">
            <v>攻撃タイプ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attack</v>
          </cell>
          <cell r="L872" t="str">
            <v>攻撃タイプ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1040</v>
          </cell>
          <cell r="B881" t="str">
            <v>ja</v>
          </cell>
          <cell r="C881" t="str">
            <v>UsagiKun</v>
          </cell>
          <cell r="D881" t="str">
            <v>各属性相性良3・黄・R458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5</v>
          </cell>
          <cell r="J881" t="str">
            <v>DropWizSSS</v>
          </cell>
          <cell r="K881" t="str">
            <v>attack</v>
          </cell>
          <cell r="L881" t="str">
            <v>攻撃タイプ</v>
          </cell>
          <cell r="M881" t="str">
            <v>unknown</v>
          </cell>
        </row>
        <row r="889">
          <cell r="F88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5" customWidth="1"/>
    <col min="2" max="16384" width="13" style="65"/>
  </cols>
  <sheetData>
    <row r="1" spans="1:13" x14ac:dyDescent="0.15">
      <c r="A1" s="65" t="s">
        <v>119</v>
      </c>
      <c r="B1" s="65" t="s">
        <v>120</v>
      </c>
    </row>
    <row r="2" spans="1:13" x14ac:dyDescent="0.15">
      <c r="A2" s="65" t="s">
        <v>121</v>
      </c>
      <c r="B2" s="65" t="s">
        <v>122</v>
      </c>
      <c r="C2" s="65" t="s">
        <v>123</v>
      </c>
      <c r="D2" s="65" t="s">
        <v>124</v>
      </c>
      <c r="E2" s="65" t="s">
        <v>125</v>
      </c>
      <c r="F2" s="65" t="s">
        <v>126</v>
      </c>
      <c r="G2" s="65" t="s">
        <v>127</v>
      </c>
      <c r="H2" s="65" t="s">
        <v>128</v>
      </c>
    </row>
    <row r="3" spans="1:13" x14ac:dyDescent="0.15">
      <c r="A3" s="65">
        <v>3</v>
      </c>
      <c r="B3" s="66" t="s">
        <v>129</v>
      </c>
      <c r="C3" s="66" t="s">
        <v>130</v>
      </c>
      <c r="D3" s="65">
        <v>0</v>
      </c>
      <c r="E3" s="66" t="s">
        <v>131</v>
      </c>
      <c r="F3" s="65">
        <v>0</v>
      </c>
      <c r="G3" s="65">
        <v>0</v>
      </c>
      <c r="H3" s="67">
        <v>0.5</v>
      </c>
    </row>
    <row r="4" spans="1:13" x14ac:dyDescent="0.15">
      <c r="A4" s="65">
        <v>4</v>
      </c>
      <c r="B4" s="66" t="s">
        <v>132</v>
      </c>
      <c r="C4" s="66" t="s">
        <v>133</v>
      </c>
      <c r="D4" s="66" t="s">
        <v>134</v>
      </c>
      <c r="E4" s="66" t="s">
        <v>135</v>
      </c>
      <c r="F4" s="66" t="s">
        <v>136</v>
      </c>
      <c r="G4" s="65">
        <v>0</v>
      </c>
      <c r="H4" s="67">
        <v>0.45</v>
      </c>
    </row>
    <row r="5" spans="1:13" x14ac:dyDescent="0.15">
      <c r="A5" s="65">
        <v>5</v>
      </c>
      <c r="B5" s="68">
        <v>0</v>
      </c>
      <c r="C5" s="66" t="s">
        <v>137</v>
      </c>
      <c r="D5" s="66" t="s">
        <v>138</v>
      </c>
      <c r="E5" s="66" t="s">
        <v>139</v>
      </c>
      <c r="F5" s="66" t="s">
        <v>140</v>
      </c>
      <c r="G5" s="66" t="s">
        <v>141</v>
      </c>
      <c r="H5" s="67">
        <v>0.05</v>
      </c>
    </row>
    <row r="6" spans="1:13" x14ac:dyDescent="0.15">
      <c r="B6" s="67" t="s">
        <v>142</v>
      </c>
      <c r="C6" s="67" t="s">
        <v>142</v>
      </c>
      <c r="D6" s="67" t="s">
        <v>143</v>
      </c>
      <c r="E6" s="67" t="s">
        <v>142</v>
      </c>
      <c r="F6" s="67" t="s">
        <v>142</v>
      </c>
      <c r="G6" s="69" t="s">
        <v>144</v>
      </c>
      <c r="H6" s="67">
        <v>1</v>
      </c>
    </row>
    <row r="7" spans="1:13" x14ac:dyDescent="0.15">
      <c r="B7" s="67"/>
      <c r="C7" s="67"/>
      <c r="D7" s="67"/>
      <c r="E7" s="67"/>
      <c r="F7" s="67"/>
      <c r="G7" s="69"/>
      <c r="H7" s="67"/>
    </row>
    <row r="8" spans="1:13" x14ac:dyDescent="0.15">
      <c r="A8" s="65" t="s">
        <v>145</v>
      </c>
      <c r="B8" s="67"/>
      <c r="C8" s="67"/>
      <c r="D8" s="67"/>
      <c r="E8" s="67"/>
      <c r="F8" s="67"/>
      <c r="G8" s="69"/>
      <c r="H8" s="67"/>
    </row>
    <row r="9" spans="1:13" x14ac:dyDescent="0.15">
      <c r="A9" s="65" t="s">
        <v>146</v>
      </c>
      <c r="B9" s="67"/>
      <c r="C9" s="67"/>
      <c r="D9" s="67"/>
      <c r="E9" s="67"/>
      <c r="F9" s="67"/>
      <c r="G9" s="69"/>
      <c r="H9" s="67"/>
    </row>
    <row r="10" spans="1:13" x14ac:dyDescent="0.15">
      <c r="A10" s="65" t="s">
        <v>147</v>
      </c>
      <c r="B10" s="67"/>
      <c r="C10" s="67"/>
      <c r="D10" s="67"/>
      <c r="E10" s="67"/>
      <c r="F10" s="67"/>
      <c r="G10" s="69"/>
      <c r="H10" s="67"/>
    </row>
    <row r="11" spans="1:13" x14ac:dyDescent="0.15">
      <c r="A11" s="65" t="s">
        <v>148</v>
      </c>
      <c r="B11" s="67"/>
      <c r="C11" s="67"/>
      <c r="D11" s="67"/>
      <c r="E11" s="67"/>
      <c r="F11" s="67"/>
      <c r="G11" s="69"/>
      <c r="H11" s="67"/>
    </row>
    <row r="12" spans="1:13" x14ac:dyDescent="0.15">
      <c r="A12" s="65" t="s">
        <v>141</v>
      </c>
      <c r="B12" s="67" t="s">
        <v>149</v>
      </c>
      <c r="C12" s="67" t="s">
        <v>150</v>
      </c>
      <c r="D12" s="67"/>
      <c r="E12" s="67"/>
      <c r="F12" s="67"/>
      <c r="G12" s="69"/>
      <c r="H12" s="67"/>
    </row>
    <row r="13" spans="1:13" x14ac:dyDescent="0.15">
      <c r="A13" s="65" t="s">
        <v>151</v>
      </c>
      <c r="B13" s="65" t="s">
        <v>152</v>
      </c>
      <c r="C13" s="65" t="s">
        <v>153</v>
      </c>
    </row>
    <row r="14" spans="1:13" x14ac:dyDescent="0.15">
      <c r="A14" s="65" t="s">
        <v>154</v>
      </c>
      <c r="B14" s="65" t="s">
        <v>149</v>
      </c>
      <c r="C14" s="68" t="s">
        <v>155</v>
      </c>
      <c r="E14" s="68"/>
      <c r="F14" s="68"/>
      <c r="M14" s="67"/>
    </row>
    <row r="15" spans="1:13" x14ac:dyDescent="0.15">
      <c r="A15" s="65" t="s">
        <v>131</v>
      </c>
      <c r="B15" s="67" t="s">
        <v>149</v>
      </c>
      <c r="C15" s="67" t="s">
        <v>156</v>
      </c>
      <c r="H15" s="70"/>
      <c r="M15" s="67"/>
    </row>
    <row r="16" spans="1:13" x14ac:dyDescent="0.15">
      <c r="A16" s="65" t="s">
        <v>135</v>
      </c>
      <c r="B16" s="67" t="s">
        <v>149</v>
      </c>
      <c r="C16" s="67" t="s">
        <v>157</v>
      </c>
      <c r="M16" s="67"/>
    </row>
    <row r="17" spans="1:13" x14ac:dyDescent="0.15">
      <c r="A17" s="65" t="s">
        <v>158</v>
      </c>
      <c r="B17" s="67" t="s">
        <v>149</v>
      </c>
      <c r="C17" s="67" t="s">
        <v>159</v>
      </c>
      <c r="M17" s="67"/>
    </row>
    <row r="18" spans="1:13" x14ac:dyDescent="0.15">
      <c r="B18" s="67"/>
      <c r="C18" s="67"/>
    </row>
    <row r="19" spans="1:13" x14ac:dyDescent="0.15">
      <c r="A19" s="65" t="s">
        <v>160</v>
      </c>
    </row>
    <row r="20" spans="1:13" x14ac:dyDescent="0.15">
      <c r="A20" s="65" t="s">
        <v>161</v>
      </c>
      <c r="B20" s="67"/>
      <c r="C20" s="67"/>
    </row>
    <row r="21" spans="1:13" x14ac:dyDescent="0.15">
      <c r="A21" s="65" t="s">
        <v>162</v>
      </c>
      <c r="B21" s="67" t="s">
        <v>163</v>
      </c>
      <c r="C21" s="67" t="s">
        <v>164</v>
      </c>
      <c r="D21" s="65" t="s">
        <v>165</v>
      </c>
    </row>
    <row r="22" spans="1:13" x14ac:dyDescent="0.15">
      <c r="A22" s="65" t="s">
        <v>166</v>
      </c>
      <c r="B22" s="67" t="s">
        <v>149</v>
      </c>
      <c r="C22" s="67" t="s">
        <v>167</v>
      </c>
      <c r="D22" s="65" t="s">
        <v>168</v>
      </c>
    </row>
    <row r="23" spans="1:13" x14ac:dyDescent="0.15">
      <c r="A23" s="65" t="s">
        <v>169</v>
      </c>
      <c r="B23" s="67" t="s">
        <v>149</v>
      </c>
      <c r="C23" s="65" t="s">
        <v>170</v>
      </c>
      <c r="D23" s="65" t="s">
        <v>171</v>
      </c>
    </row>
    <row r="24" spans="1:13" x14ac:dyDescent="0.15">
      <c r="A24" s="65" t="s">
        <v>172</v>
      </c>
      <c r="B24" s="67" t="s">
        <v>149</v>
      </c>
      <c r="C24" s="67" t="s">
        <v>173</v>
      </c>
      <c r="D24" s="65" t="s">
        <v>174</v>
      </c>
    </row>
    <row r="25" spans="1:13" x14ac:dyDescent="0.15">
      <c r="A25" s="65" t="s">
        <v>175</v>
      </c>
      <c r="B25" s="67" t="s">
        <v>149</v>
      </c>
      <c r="C25" s="67" t="s">
        <v>176</v>
      </c>
      <c r="D25" s="65" t="s">
        <v>177</v>
      </c>
    </row>
    <row r="26" spans="1:13" x14ac:dyDescent="0.15">
      <c r="A26" s="65" t="s">
        <v>178</v>
      </c>
      <c r="B26" s="67" t="s">
        <v>149</v>
      </c>
      <c r="C26" s="67" t="s">
        <v>179</v>
      </c>
      <c r="D26" s="65" t="s">
        <v>180</v>
      </c>
    </row>
    <row r="27" spans="1:13" x14ac:dyDescent="0.15">
      <c r="A27" s="65" t="s">
        <v>181</v>
      </c>
      <c r="B27" s="67" t="s">
        <v>149</v>
      </c>
      <c r="C27" s="67" t="s">
        <v>143</v>
      </c>
      <c r="D27" s="65" t="s">
        <v>182</v>
      </c>
      <c r="E27" s="65" t="s">
        <v>183</v>
      </c>
    </row>
    <row r="28" spans="1:13" x14ac:dyDescent="0.15">
      <c r="A28" s="65" t="s">
        <v>130</v>
      </c>
      <c r="B28" s="67" t="s">
        <v>149</v>
      </c>
      <c r="C28" s="67" t="s">
        <v>184</v>
      </c>
      <c r="E28" s="65" t="s">
        <v>185</v>
      </c>
    </row>
    <row r="29" spans="1:13" x14ac:dyDescent="0.15">
      <c r="A29" s="65" t="s">
        <v>133</v>
      </c>
      <c r="B29" s="67" t="s">
        <v>149</v>
      </c>
      <c r="C29" s="67" t="s">
        <v>186</v>
      </c>
    </row>
    <row r="30" spans="1:13" x14ac:dyDescent="0.15">
      <c r="B30" s="67"/>
    </row>
    <row r="31" spans="1:13" x14ac:dyDescent="0.15">
      <c r="A31" s="65" t="s">
        <v>187</v>
      </c>
    </row>
    <row r="32" spans="1:13" x14ac:dyDescent="0.15">
      <c r="A32" s="65" t="s">
        <v>188</v>
      </c>
      <c r="B32" s="67" t="s">
        <v>149</v>
      </c>
      <c r="C32" s="67" t="s">
        <v>189</v>
      </c>
    </row>
    <row r="33" spans="1:3" x14ac:dyDescent="0.15">
      <c r="A33" s="65" t="s">
        <v>133</v>
      </c>
      <c r="B33" s="67" t="s">
        <v>149</v>
      </c>
      <c r="C33" s="67" t="s">
        <v>190</v>
      </c>
    </row>
    <row r="34" spans="1:3" x14ac:dyDescent="0.15">
      <c r="A34" s="65" t="s">
        <v>130</v>
      </c>
      <c r="B34" s="67" t="s">
        <v>149</v>
      </c>
      <c r="C34" s="67" t="s">
        <v>191</v>
      </c>
    </row>
    <row r="35" spans="1:3" x14ac:dyDescent="0.15">
      <c r="A35" s="65" t="s">
        <v>129</v>
      </c>
      <c r="B35" s="67" t="s">
        <v>149</v>
      </c>
      <c r="C35" s="67" t="s">
        <v>192</v>
      </c>
    </row>
    <row r="36" spans="1:3" x14ac:dyDescent="0.15">
      <c r="A36" s="65" t="s">
        <v>132</v>
      </c>
      <c r="B36" s="67" t="s">
        <v>149</v>
      </c>
      <c r="C36" s="67" t="s">
        <v>193</v>
      </c>
    </row>
    <row r="37" spans="1:3" x14ac:dyDescent="0.15">
      <c r="A37" s="65" t="s">
        <v>138</v>
      </c>
      <c r="B37" s="67" t="s">
        <v>149</v>
      </c>
      <c r="C37" s="67" t="s">
        <v>194</v>
      </c>
    </row>
    <row r="38" spans="1:3" x14ac:dyDescent="0.15">
      <c r="A38" s="65" t="s">
        <v>134</v>
      </c>
      <c r="B38" s="67" t="s">
        <v>149</v>
      </c>
      <c r="C38" s="67" t="s">
        <v>195</v>
      </c>
    </row>
  </sheetData>
  <phoneticPr fontId="14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15" sqref="E1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4" t="s">
        <v>237</v>
      </c>
      <c r="B2" s="86" t="s">
        <v>118</v>
      </c>
      <c r="C2" s="85" t="str">
        <f t="shared" ref="C2:C7" si="0">RIGHT(F2,6)</f>
        <v>325101</v>
      </c>
      <c r="D2" s="19" t="s">
        <v>46</v>
      </c>
      <c r="E2" s="17" t="str">
        <f t="shared" ref="E2:E7" si="1">B2&amp;C2&amp;D2</f>
        <v>gacha_select_tables_325101.tmp</v>
      </c>
      <c r="F2" s="85" t="s">
        <v>239</v>
      </c>
      <c r="G2" s="87" t="s">
        <v>88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4" t="s">
        <v>237</v>
      </c>
      <c r="B3" s="86" t="s">
        <v>118</v>
      </c>
      <c r="C3" s="85" t="str">
        <f t="shared" si="0"/>
        <v>325103</v>
      </c>
      <c r="D3" s="19" t="s">
        <v>46</v>
      </c>
      <c r="E3" s="17" t="str">
        <f t="shared" si="1"/>
        <v>gacha_select_tables_325103.tmp</v>
      </c>
      <c r="F3" s="85" t="s">
        <v>240</v>
      </c>
      <c r="G3" s="87" t="s">
        <v>88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4" t="s">
        <v>237</v>
      </c>
      <c r="B4" s="86" t="s">
        <v>238</v>
      </c>
      <c r="C4" s="85" t="str">
        <f t="shared" si="0"/>
        <v>325103</v>
      </c>
      <c r="D4" s="19" t="s">
        <v>46</v>
      </c>
      <c r="E4" s="17" t="str">
        <f t="shared" si="1"/>
        <v>gacha_settle_tables_325103.tmp</v>
      </c>
      <c r="F4" s="85" t="s">
        <v>241</v>
      </c>
      <c r="G4" s="87" t="s">
        <v>88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4" t="s">
        <v>237</v>
      </c>
      <c r="B5" s="86" t="s">
        <v>118</v>
      </c>
      <c r="C5" s="85" t="str">
        <f t="shared" si="0"/>
        <v>325104</v>
      </c>
      <c r="D5" s="19" t="s">
        <v>46</v>
      </c>
      <c r="E5" s="17" t="str">
        <f t="shared" si="1"/>
        <v>gacha_select_tables_325104.tmp</v>
      </c>
      <c r="F5" s="85" t="s">
        <v>242</v>
      </c>
      <c r="G5" s="87" t="s">
        <v>88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4" t="s">
        <v>237</v>
      </c>
      <c r="B6" s="86" t="s">
        <v>118</v>
      </c>
      <c r="C6" s="85" t="str">
        <f t="shared" si="0"/>
        <v>325105</v>
      </c>
      <c r="D6" s="19" t="s">
        <v>46</v>
      </c>
      <c r="E6" s="17" t="str">
        <f t="shared" si="1"/>
        <v>gacha_select_tables_325105.tmp</v>
      </c>
      <c r="F6" s="85" t="s">
        <v>243</v>
      </c>
      <c r="G6" s="87" t="s">
        <v>88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4" t="s">
        <v>237</v>
      </c>
      <c r="B7" s="86" t="s">
        <v>118</v>
      </c>
      <c r="C7" s="85" t="str">
        <f t="shared" si="0"/>
        <v>325100</v>
      </c>
      <c r="D7" s="19" t="s">
        <v>46</v>
      </c>
      <c r="E7" s="17" t="str">
        <f t="shared" si="1"/>
        <v>gacha_select_tables_325100.tmp</v>
      </c>
      <c r="F7" s="85" t="s">
        <v>244</v>
      </c>
      <c r="G7" s="87" t="s">
        <v>88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32" t="s">
        <v>54</v>
      </c>
      <c r="B8" s="27" t="s">
        <v>51</v>
      </c>
      <c r="C8" s="33" t="s">
        <v>59</v>
      </c>
      <c r="D8" s="19" t="s">
        <v>47</v>
      </c>
      <c r="E8" s="17" t="str">
        <f t="shared" ref="E8:E10" si="2">B8&amp;C8&amp;D8</f>
        <v>gacha_bonus_tables_hogehoge.tmp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32" t="s">
        <v>54</v>
      </c>
      <c r="B9" s="19" t="s">
        <v>49</v>
      </c>
      <c r="C9" s="33" t="s">
        <v>59</v>
      </c>
      <c r="D9" s="19" t="s">
        <v>47</v>
      </c>
      <c r="E9" s="17" t="str">
        <f t="shared" si="2"/>
        <v>gifts_tmp_hogehoge.tmp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2" t="s">
        <v>7</v>
      </c>
      <c r="P9" s="52" t="s">
        <v>9</v>
      </c>
      <c r="Q9" s="52" t="s">
        <v>6</v>
      </c>
      <c r="R9" s="52" t="s">
        <v>89</v>
      </c>
      <c r="S9" s="52" t="s">
        <v>8</v>
      </c>
      <c r="T9" s="52" t="s">
        <v>90</v>
      </c>
      <c r="U9" s="52" t="s">
        <v>5</v>
      </c>
    </row>
    <row r="10" spans="1:21" x14ac:dyDescent="0.15">
      <c r="A10" s="32" t="s">
        <v>54</v>
      </c>
      <c r="B10" s="19" t="s">
        <v>50</v>
      </c>
      <c r="C10" s="33" t="s">
        <v>59</v>
      </c>
      <c r="D10" s="19" t="s">
        <v>47</v>
      </c>
      <c r="E10" s="17" t="str">
        <f t="shared" si="2"/>
        <v>gifts_i18n_hogehoge.tmp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61"/>
  <sheetViews>
    <sheetView workbookViewId="0">
      <selection activeCell="C266" sqref="C26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325101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4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VLOOKUP(L3,tables_325101!B:C,2,FALSE)</f>
        <v>#N/A</v>
      </c>
      <c r="R3" s="63">
        <f t="shared" ref="R3:R14" si="0">N3*A$49</f>
        <v>15000</v>
      </c>
    </row>
    <row r="4" spans="1:18" x14ac:dyDescent="0.15">
      <c r="A4" s="36" t="s">
        <v>55</v>
      </c>
      <c r="B4" s="36"/>
      <c r="D4" t="s">
        <v>208</v>
      </c>
      <c r="E4" t="s">
        <v>209</v>
      </c>
      <c r="F4" t="s">
        <v>215</v>
      </c>
      <c r="G4" t="s">
        <v>216</v>
      </c>
      <c r="L4" s="6"/>
      <c r="M4" s="39" t="e">
        <f>VLOOKUP(L4,[1]characters!$A:$C,3,FALSE)</f>
        <v>#N/A</v>
      </c>
      <c r="N4" s="64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VLOOKUP(L4,tables_325101!B:C,2,FALSE)</f>
        <v>#N/A</v>
      </c>
      <c r="R4" s="63">
        <f t="shared" si="0"/>
        <v>30000</v>
      </c>
    </row>
    <row r="5" spans="1:18" x14ac:dyDescent="0.15">
      <c r="A5" s="34" t="s">
        <v>71</v>
      </c>
      <c r="B5" s="35">
        <f>1-B6-B7</f>
        <v>0.5</v>
      </c>
      <c r="D5" t="s">
        <v>233</v>
      </c>
      <c r="E5">
        <f>E26+E28+E29</f>
        <v>25</v>
      </c>
      <c r="F5" s="56">
        <f>B11*0.4</f>
        <v>1.2E-2</v>
      </c>
      <c r="G5" s="73">
        <f>F5/E5</f>
        <v>4.8000000000000001E-4</v>
      </c>
      <c r="L5" s="6"/>
      <c r="M5" s="39" t="e">
        <f>VLOOKUP(L5,[1]characters!$A:$C,3,FALSE)</f>
        <v>#N/A</v>
      </c>
      <c r="N5" s="64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VLOOKUP(L5,tables_325101!B:C,2,FALSE)</f>
        <v>#N/A</v>
      </c>
      <c r="R5" s="63">
        <f t="shared" si="0"/>
        <v>30000</v>
      </c>
    </row>
    <row r="6" spans="1:18" x14ac:dyDescent="0.15">
      <c r="A6" s="34" t="s">
        <v>72</v>
      </c>
      <c r="B6" s="35">
        <v>0.45</v>
      </c>
      <c r="D6" t="s">
        <v>230</v>
      </c>
      <c r="E6">
        <f>E39+E41+E42</f>
        <v>9</v>
      </c>
      <c r="F6" s="56">
        <f>B11*0.6</f>
        <v>1.7999999999999999E-2</v>
      </c>
      <c r="G6" s="73">
        <f>F6/E6</f>
        <v>2E-3</v>
      </c>
      <c r="L6" s="34"/>
      <c r="M6" s="39" t="e">
        <f>VLOOKUP(L6,[1]characters!$A:$C,3,FALSE)</f>
        <v>#N/A</v>
      </c>
      <c r="N6" s="64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VLOOKUP(L6,tables_325101!B:C,2,FALSE)</f>
        <v>#N/A</v>
      </c>
      <c r="R6" s="63">
        <f t="shared" si="0"/>
        <v>15000</v>
      </c>
    </row>
    <row r="7" spans="1:18" x14ac:dyDescent="0.15">
      <c r="A7" s="34" t="s">
        <v>73</v>
      </c>
      <c r="B7" s="35">
        <v>0.05</v>
      </c>
      <c r="D7" t="s">
        <v>231</v>
      </c>
      <c r="E7">
        <f>E18+E21+E23</f>
        <v>56</v>
      </c>
      <c r="F7" s="76">
        <f>B10*0.4</f>
        <v>0.38640000000000002</v>
      </c>
      <c r="G7" s="73">
        <f t="shared" ref="G7:G8" si="1">F7/E7</f>
        <v>6.9000000000000008E-3</v>
      </c>
      <c r="L7" s="34"/>
      <c r="M7" s="39" t="e">
        <f>VLOOKUP(L7,[1]characters!$A:$C,3,FALSE)</f>
        <v>#N/A</v>
      </c>
      <c r="N7" s="64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VLOOKUP(L7,tables_325101!B:C,2,FALSE)</f>
        <v>#N/A</v>
      </c>
      <c r="R7" s="63">
        <f t="shared" si="0"/>
        <v>30000</v>
      </c>
    </row>
    <row r="8" spans="1:18" x14ac:dyDescent="0.15">
      <c r="D8" t="s">
        <v>232</v>
      </c>
      <c r="E8">
        <f>E31+E34+E36</f>
        <v>18</v>
      </c>
      <c r="F8" s="75">
        <f>B10*0.6</f>
        <v>0.5796</v>
      </c>
      <c r="G8" s="73">
        <f t="shared" si="1"/>
        <v>3.2199999999999999E-2</v>
      </c>
      <c r="L8" s="34"/>
      <c r="M8" s="39" t="e">
        <f>VLOOKUP(L8,[1]characters!$A:$C,3,FALSE)</f>
        <v>#N/A</v>
      </c>
      <c r="N8" s="64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VLOOKUP(L8,tables_325101!B:C,2,FALSE)</f>
        <v>#N/A</v>
      </c>
      <c r="R8" s="63">
        <f t="shared" si="0"/>
        <v>30000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4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VLOOKUP(L9,tables_325101!B:C,2,FALSE)</f>
        <v>#N/A</v>
      </c>
      <c r="R9" s="63">
        <f t="shared" si="0"/>
        <v>15000</v>
      </c>
    </row>
    <row r="10" spans="1:18" x14ac:dyDescent="0.15">
      <c r="A10" s="34" t="s">
        <v>100</v>
      </c>
      <c r="B10" s="83">
        <f>1-B11-B12</f>
        <v>0.96599999999999997</v>
      </c>
      <c r="L10" s="34"/>
      <c r="M10" s="39" t="e">
        <f>VLOOKUP(L10,[1]characters!$A:$C,3,FALSE)</f>
        <v>#N/A</v>
      </c>
      <c r="N10" s="64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VLOOKUP(L10,tables_325101!B:C,2,FALSE)</f>
        <v>#N/A</v>
      </c>
      <c r="R10" s="63">
        <f t="shared" si="0"/>
        <v>30000</v>
      </c>
    </row>
    <row r="11" spans="1:18" x14ac:dyDescent="0.15">
      <c r="A11" s="34" t="s">
        <v>58</v>
      </c>
      <c r="B11" s="83">
        <v>0.03</v>
      </c>
      <c r="L11" s="34"/>
      <c r="M11" s="39" t="e">
        <f>VLOOKUP(L11,[1]characters!$A:$C,3,FALSE)</f>
        <v>#N/A</v>
      </c>
      <c r="N11" s="64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VLOOKUP(L11,tables_325101!B:C,2,FALSE)</f>
        <v>#N/A</v>
      </c>
      <c r="R11" s="63">
        <f t="shared" si="0"/>
        <v>30000</v>
      </c>
    </row>
    <row r="12" spans="1:18" x14ac:dyDescent="0.15">
      <c r="A12" s="34" t="s">
        <v>57</v>
      </c>
      <c r="B12" s="83">
        <v>4.0000000000000001E-3</v>
      </c>
      <c r="L12" s="34"/>
      <c r="M12" s="39" t="e">
        <f>VLOOKUP(L12,[1]characters!$A:$C,3,FALSE)</f>
        <v>#N/A</v>
      </c>
      <c r="N12" s="64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VLOOKUP(L12,tables_325101!B:C,2,FALSE)</f>
        <v>#N/A</v>
      </c>
      <c r="R12" s="63">
        <f t="shared" si="0"/>
        <v>15000</v>
      </c>
    </row>
    <row r="13" spans="1:18" x14ac:dyDescent="0.15">
      <c r="L13" s="34"/>
      <c r="M13" s="39" t="e">
        <f>VLOOKUP(L13,[1]characters!$A:$C,3,FALSE)</f>
        <v>#N/A</v>
      </c>
      <c r="N13" s="64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VLOOKUP(L13,tables_325101!B:C,2,FALSE)</f>
        <v>#N/A</v>
      </c>
      <c r="R13" s="63">
        <f t="shared" si="0"/>
        <v>30000</v>
      </c>
    </row>
    <row r="14" spans="1:18" x14ac:dyDescent="0.15">
      <c r="L14" s="34"/>
      <c r="M14" s="39" t="e">
        <f>VLOOKUP(L14,[1]characters!$A:$C,3,FALSE)</f>
        <v>#N/A</v>
      </c>
      <c r="N14" s="64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VLOOKUP(L14,tables_325101!B:C,2,FALSE)</f>
        <v>#N/A</v>
      </c>
      <c r="R14" s="63">
        <f t="shared" si="0"/>
        <v>30000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236</v>
      </c>
      <c r="L16" s="58"/>
      <c r="M16" s="58"/>
      <c r="N16" s="58"/>
      <c r="O16" s="58"/>
      <c r="P16" s="58"/>
      <c r="Q16" s="58"/>
      <c r="R16" s="59"/>
    </row>
    <row r="17" spans="1:18" x14ac:dyDescent="0.15">
      <c r="A17" s="34" t="s">
        <v>198</v>
      </c>
      <c r="B17" s="78">
        <f>B$5*0.4-B19-B24</f>
        <v>6.1280000000000001E-2</v>
      </c>
      <c r="C17" s="50">
        <f t="shared" ref="C17:C44" si="2">SUMIF(Q:Q,A17,N:N)</f>
        <v>0</v>
      </c>
      <c r="D17" s="72">
        <f t="shared" ref="D17:D26" si="3">B17-C17</f>
        <v>6.1280000000000001E-2</v>
      </c>
      <c r="E17">
        <f>COUNTIF(tables_325101!C:C,input_325101!A17)-COUNTIF(Q:Q,A17)</f>
        <v>15</v>
      </c>
      <c r="F17" s="45">
        <f t="shared" ref="F17:F26" si="4">IFERROR(D17/E17,0)</f>
        <v>4.0853333333333332E-3</v>
      </c>
      <c r="G17">
        <f t="shared" ref="G17:G44" si="5">A$49*D17</f>
        <v>183840</v>
      </c>
      <c r="H17">
        <f t="shared" ref="H17:H26" si="6">IFERROR(ROUND(G17/E17,5),0)</f>
        <v>12256</v>
      </c>
      <c r="I17">
        <f t="shared" ref="I17:I26" si="7">MOD(H17,1)</f>
        <v>0</v>
      </c>
      <c r="J17">
        <f t="shared" ref="J17:J26" si="8">IFERROR(1/I17,1)</f>
        <v>1</v>
      </c>
      <c r="K17" s="82">
        <f ca="1">SUMIF(tables_325101!C:C,input_325101!A17,tables_325101!P:P)</f>
        <v>6.1279999999999973E-2</v>
      </c>
      <c r="L17" s="58"/>
      <c r="M17" s="58"/>
      <c r="N17" s="58"/>
      <c r="O17" s="58"/>
      <c r="P17" s="58"/>
      <c r="Q17" s="58"/>
      <c r="R17" s="71"/>
    </row>
    <row r="18" spans="1:18" x14ac:dyDescent="0.15">
      <c r="A18" s="34" t="s">
        <v>199</v>
      </c>
      <c r="B18" s="44">
        <f>G7*COUNTIF(tables_325101!C:C,input_325101!A18)-B17</f>
        <v>4.2220000000000008E-2</v>
      </c>
      <c r="C18" s="50">
        <f t="shared" si="2"/>
        <v>0</v>
      </c>
      <c r="D18" s="72">
        <f t="shared" si="3"/>
        <v>4.2220000000000008E-2</v>
      </c>
      <c r="E18">
        <f>COUNTIF(tables_325101!C:C,input_325101!A18)-COUNTIF(Q:Q,A18)</f>
        <v>15</v>
      </c>
      <c r="F18" s="45">
        <f t="shared" si="4"/>
        <v>2.8146666666666671E-3</v>
      </c>
      <c r="G18">
        <f t="shared" si="5"/>
        <v>126660.00000000003</v>
      </c>
      <c r="H18">
        <f t="shared" si="6"/>
        <v>8444</v>
      </c>
      <c r="I18">
        <f t="shared" si="7"/>
        <v>0</v>
      </c>
      <c r="J18">
        <f t="shared" si="8"/>
        <v>1</v>
      </c>
      <c r="K18" s="82">
        <f ca="1">SUMIF(tables_325101!C:C,input_325101!A18,tables_325101!P:P)</f>
        <v>4.2220000000000001E-2</v>
      </c>
      <c r="L18" s="58"/>
      <c r="M18" s="58"/>
      <c r="N18" s="58"/>
      <c r="O18" s="58"/>
      <c r="P18" s="58"/>
      <c r="Q18" s="58"/>
      <c r="R18" s="71"/>
    </row>
    <row r="19" spans="1:18" x14ac:dyDescent="0.15">
      <c r="A19" s="34" t="s">
        <v>101</v>
      </c>
      <c r="B19" s="44">
        <f>G$7*COUNTIF(tables_325101!C:C,input_325101!A19)*B5</f>
        <v>0.13800000000000001</v>
      </c>
      <c r="C19" s="50">
        <f t="shared" si="2"/>
        <v>0</v>
      </c>
      <c r="D19" s="72">
        <f t="shared" si="3"/>
        <v>0.13800000000000001</v>
      </c>
      <c r="E19">
        <f>COUNTIF(tables_325101!C:C,input_325101!A19)-COUNTIF(Q:Q,A19)</f>
        <v>40</v>
      </c>
      <c r="F19" s="45">
        <f t="shared" si="4"/>
        <v>3.4500000000000004E-3</v>
      </c>
      <c r="G19">
        <f t="shared" si="5"/>
        <v>414000.00000000006</v>
      </c>
      <c r="H19">
        <f t="shared" si="6"/>
        <v>10350</v>
      </c>
      <c r="I19">
        <f t="shared" si="7"/>
        <v>0</v>
      </c>
      <c r="J19">
        <f t="shared" si="8"/>
        <v>1</v>
      </c>
      <c r="K19" s="82">
        <f ca="1">SUMIF(tables_325101!C:C,input_325101!A19,tables_325101!P:P)</f>
        <v>0.13799999999999996</v>
      </c>
      <c r="L19" s="58"/>
      <c r="M19" s="58"/>
      <c r="N19" s="60"/>
      <c r="O19" s="58"/>
      <c r="P19" s="58"/>
      <c r="Q19" s="58"/>
      <c r="R19" s="61"/>
    </row>
    <row r="20" spans="1:18" x14ac:dyDescent="0.15">
      <c r="A20" s="34" t="s">
        <v>102</v>
      </c>
      <c r="B20" s="44">
        <f>G$7*COUNTIF(tables_325101!C:C,input_325101!A20)*B6</f>
        <v>0.12420000000000002</v>
      </c>
      <c r="C20" s="50">
        <f t="shared" si="2"/>
        <v>0</v>
      </c>
      <c r="D20" s="72">
        <f t="shared" si="3"/>
        <v>0.12420000000000002</v>
      </c>
      <c r="E20">
        <f>COUNTIF(tables_325101!C:C,input_325101!A20)-COUNTIF(Q:Q,A20)</f>
        <v>40</v>
      </c>
      <c r="F20" s="45">
        <f t="shared" si="4"/>
        <v>3.1050000000000006E-3</v>
      </c>
      <c r="G20">
        <f t="shared" si="5"/>
        <v>372600.00000000006</v>
      </c>
      <c r="H20">
        <f t="shared" si="6"/>
        <v>9315</v>
      </c>
      <c r="I20">
        <f t="shared" si="7"/>
        <v>0</v>
      </c>
      <c r="J20">
        <f t="shared" si="8"/>
        <v>1</v>
      </c>
      <c r="K20" s="82">
        <f ca="1">SUMIF(tables_325101!C:C,input_325101!A20,tables_325101!P:P)</f>
        <v>0.12419999999999991</v>
      </c>
      <c r="L20" s="58"/>
      <c r="M20" s="58"/>
      <c r="N20" s="60"/>
      <c r="O20" s="58"/>
      <c r="P20" s="58"/>
      <c r="Q20" s="58"/>
      <c r="R20" s="61"/>
    </row>
    <row r="21" spans="1:18" x14ac:dyDescent="0.15">
      <c r="A21" s="34" t="s">
        <v>103</v>
      </c>
      <c r="B21" s="44">
        <f>G$7*COUNTIF(tables_325101!C:C,input_325101!A21)*B7</f>
        <v>1.3800000000000002E-2</v>
      </c>
      <c r="C21" s="50">
        <f t="shared" si="2"/>
        <v>0</v>
      </c>
      <c r="D21" s="72">
        <f t="shared" si="3"/>
        <v>1.3800000000000002E-2</v>
      </c>
      <c r="E21">
        <f>COUNTIF(tables_325101!C:C,input_325101!A21)-COUNTIF(Q:Q,A21)</f>
        <v>40</v>
      </c>
      <c r="F21" s="45">
        <f t="shared" si="4"/>
        <v>3.4500000000000004E-4</v>
      </c>
      <c r="G21">
        <f t="shared" si="5"/>
        <v>41400.000000000007</v>
      </c>
      <c r="H21">
        <f t="shared" si="6"/>
        <v>1035</v>
      </c>
      <c r="I21">
        <f t="shared" si="7"/>
        <v>0</v>
      </c>
      <c r="J21">
        <f t="shared" si="8"/>
        <v>1</v>
      </c>
      <c r="K21" s="82">
        <f ca="1">SUMIF(tables_325101!C:C,input_325101!A21,tables_325101!P:P)</f>
        <v>1.3799999999999995E-2</v>
      </c>
      <c r="L21" s="58"/>
      <c r="M21" s="58"/>
      <c r="N21" s="60"/>
      <c r="O21" s="58"/>
      <c r="P21" s="58"/>
      <c r="Q21" s="58"/>
      <c r="R21" s="61"/>
    </row>
    <row r="22" spans="1:18" x14ac:dyDescent="0.15">
      <c r="A22" s="34" t="s">
        <v>204</v>
      </c>
      <c r="B22" s="79">
        <f>G7*COUNTIF(tables_325101!C:C,input_325101!A22)-B23</f>
        <v>2.2119999999999978E-3</v>
      </c>
      <c r="C22" s="50">
        <f t="shared" si="2"/>
        <v>0</v>
      </c>
      <c r="D22" s="72">
        <f t="shared" si="3"/>
        <v>2.2119999999999978E-3</v>
      </c>
      <c r="E22">
        <f>COUNTIF(tables_325101!C:C,input_325101!A22)-COUNTIF(Q:Q,A22)</f>
        <v>1</v>
      </c>
      <c r="F22" s="45">
        <f t="shared" si="4"/>
        <v>2.2119999999999978E-3</v>
      </c>
      <c r="G22">
        <f t="shared" si="5"/>
        <v>6635.9999999999936</v>
      </c>
      <c r="H22">
        <f t="shared" si="6"/>
        <v>6636</v>
      </c>
      <c r="I22">
        <f t="shared" si="7"/>
        <v>0</v>
      </c>
      <c r="J22">
        <f t="shared" si="8"/>
        <v>1</v>
      </c>
      <c r="K22" s="82">
        <f ca="1">SUMIF(tables_325101!C:C,input_325101!A22,tables_325101!P:P)</f>
        <v>2.212E-3</v>
      </c>
      <c r="L22" s="58"/>
      <c r="M22" s="58"/>
      <c r="N22" s="60"/>
      <c r="O22" s="58"/>
      <c r="P22" s="58"/>
      <c r="Q22" s="58"/>
      <c r="R22" s="61"/>
    </row>
    <row r="23" spans="1:18" x14ac:dyDescent="0.15">
      <c r="A23" s="34" t="s">
        <v>205</v>
      </c>
      <c r="B23" s="80">
        <f>B7*0.4-B26-B28-B29-B21</f>
        <v>4.6880000000000029E-3</v>
      </c>
      <c r="C23" s="50">
        <f t="shared" si="2"/>
        <v>0</v>
      </c>
      <c r="D23" s="72">
        <f t="shared" si="3"/>
        <v>4.6880000000000029E-3</v>
      </c>
      <c r="E23">
        <f>COUNTIF(tables_325101!C:C,input_325101!A23)-COUNTIF(Q:Q,A23)</f>
        <v>1</v>
      </c>
      <c r="F23" s="45">
        <f t="shared" si="4"/>
        <v>4.6880000000000029E-3</v>
      </c>
      <c r="G23">
        <f t="shared" si="5"/>
        <v>14064.000000000009</v>
      </c>
      <c r="H23">
        <f t="shared" si="6"/>
        <v>14064</v>
      </c>
      <c r="I23">
        <f t="shared" si="7"/>
        <v>0</v>
      </c>
      <c r="J23">
        <f t="shared" si="8"/>
        <v>1</v>
      </c>
      <c r="K23" s="82">
        <f ca="1">SUMIF(tables_325101!C:C,input_325101!A23,tables_325101!P:P)</f>
        <v>4.6880000000000003E-3</v>
      </c>
      <c r="L23" s="58"/>
      <c r="M23" s="58"/>
      <c r="N23" s="60"/>
      <c r="O23" s="58"/>
      <c r="P23" s="58"/>
      <c r="Q23" s="58"/>
      <c r="R23" s="61"/>
    </row>
    <row r="24" spans="1:18" x14ac:dyDescent="0.15">
      <c r="A24" s="34" t="s">
        <v>201</v>
      </c>
      <c r="B24" s="44">
        <f>G$5*COUNTIF(tables_325101!C:C,input_325101!A24)*B5</f>
        <v>7.2000000000000005E-4</v>
      </c>
      <c r="C24" s="50">
        <f t="shared" si="2"/>
        <v>0</v>
      </c>
      <c r="D24" s="72">
        <f t="shared" si="3"/>
        <v>7.2000000000000005E-4</v>
      </c>
      <c r="E24">
        <f>COUNTIF(tables_325101!C:C,input_325101!A24)-COUNTIF(Q:Q,A24)</f>
        <v>3</v>
      </c>
      <c r="F24" s="45">
        <f t="shared" si="4"/>
        <v>2.4000000000000001E-4</v>
      </c>
      <c r="G24">
        <f t="shared" si="5"/>
        <v>2160</v>
      </c>
      <c r="H24">
        <f t="shared" si="6"/>
        <v>720</v>
      </c>
      <c r="I24">
        <f t="shared" si="7"/>
        <v>0</v>
      </c>
      <c r="J24">
        <f t="shared" si="8"/>
        <v>1</v>
      </c>
      <c r="K24" s="82">
        <f ca="1">SUMIF(tables_325101!C:C,input_325101!A24,tables_325101!P:P)</f>
        <v>7.2000000000000005E-4</v>
      </c>
      <c r="L24" s="58"/>
      <c r="M24" s="58"/>
      <c r="N24" s="60"/>
      <c r="O24" s="58"/>
      <c r="P24" s="58"/>
      <c r="Q24" s="58"/>
      <c r="R24" s="61"/>
    </row>
    <row r="25" spans="1:18" x14ac:dyDescent="0.15">
      <c r="A25" s="34" t="s">
        <v>202</v>
      </c>
      <c r="B25" s="44">
        <f>G$5*COUNTIF(tables_325101!C:C,input_325101!A25)*B6</f>
        <v>6.4800000000000003E-4</v>
      </c>
      <c r="C25" s="50">
        <f t="shared" si="2"/>
        <v>0</v>
      </c>
      <c r="D25" s="72">
        <f t="shared" si="3"/>
        <v>6.4800000000000003E-4</v>
      </c>
      <c r="E25">
        <f>COUNTIF(tables_325101!C:C,input_325101!A25)-COUNTIF(Q:Q,A25)</f>
        <v>3</v>
      </c>
      <c r="F25" s="45">
        <f t="shared" si="4"/>
        <v>2.1600000000000002E-4</v>
      </c>
      <c r="G25">
        <f t="shared" si="5"/>
        <v>1944</v>
      </c>
      <c r="H25">
        <f t="shared" si="6"/>
        <v>648</v>
      </c>
      <c r="I25">
        <f t="shared" si="7"/>
        <v>0</v>
      </c>
      <c r="J25">
        <f t="shared" si="8"/>
        <v>1</v>
      </c>
      <c r="K25" s="82">
        <f ca="1">SUMIF(tables_325101!C:C,input_325101!A25,tables_325101!P:P)</f>
        <v>6.4799999999999992E-4</v>
      </c>
      <c r="L25" s="58"/>
      <c r="M25" s="58"/>
      <c r="N25" s="60"/>
      <c r="O25" s="58"/>
      <c r="P25" s="58"/>
      <c r="Q25" s="58"/>
      <c r="R25" s="61"/>
    </row>
    <row r="26" spans="1:18" x14ac:dyDescent="0.15">
      <c r="A26" s="34" t="s">
        <v>203</v>
      </c>
      <c r="B26" s="44">
        <f>G$5*COUNTIF(tables_325101!C:C,input_325101!A26)*B7</f>
        <v>7.2000000000000002E-5</v>
      </c>
      <c r="C26" s="50">
        <f t="shared" si="2"/>
        <v>0</v>
      </c>
      <c r="D26" s="72">
        <f t="shared" si="3"/>
        <v>7.2000000000000002E-5</v>
      </c>
      <c r="E26">
        <f>COUNTIF(tables_325101!C:C,input_325101!A26)-COUNTIF(Q:Q,A26)</f>
        <v>3</v>
      </c>
      <c r="F26" s="45">
        <f t="shared" si="4"/>
        <v>2.4000000000000001E-5</v>
      </c>
      <c r="G26">
        <f t="shared" si="5"/>
        <v>216</v>
      </c>
      <c r="H26">
        <f t="shared" si="6"/>
        <v>72</v>
      </c>
      <c r="I26">
        <f t="shared" si="7"/>
        <v>0</v>
      </c>
      <c r="J26">
        <f t="shared" si="8"/>
        <v>1</v>
      </c>
      <c r="K26" s="82">
        <f ca="1">SUMIF(tables_325101!C:C,input_325101!A26,tables_325101!P:P)</f>
        <v>7.2000000000000002E-5</v>
      </c>
      <c r="L26" s="58"/>
      <c r="M26" s="58"/>
      <c r="N26" s="60"/>
      <c r="O26" s="58"/>
      <c r="P26" s="58"/>
      <c r="Q26" s="58"/>
      <c r="R26" s="61"/>
    </row>
    <row r="27" spans="1:18" x14ac:dyDescent="0.15">
      <c r="A27" s="34" t="s">
        <v>111</v>
      </c>
      <c r="B27" s="44">
        <f>G$5*E27*(B6+B5)</f>
        <v>9.1199999999999996E-3</v>
      </c>
      <c r="C27" s="50">
        <f t="shared" si="2"/>
        <v>0</v>
      </c>
      <c r="D27" s="72">
        <f t="shared" ref="D27:D39" si="9">B27-C27</f>
        <v>9.1199999999999996E-3</v>
      </c>
      <c r="E27">
        <f>COUNTIF(tables_325101!C:C,input_325101!A27)-COUNTIF(Q:Q,A27)</f>
        <v>20</v>
      </c>
      <c r="F27" s="45">
        <f t="shared" ref="F27:F39" si="10">IFERROR(D27/E27,0)</f>
        <v>4.5599999999999997E-4</v>
      </c>
      <c r="G27">
        <f t="shared" si="5"/>
        <v>27360</v>
      </c>
      <c r="H27">
        <f t="shared" ref="H27:H39" si="11">IFERROR(ROUND(G27/E27,5),0)</f>
        <v>1368</v>
      </c>
      <c r="I27">
        <f t="shared" ref="I27:I39" si="12">MOD(H27,1)</f>
        <v>0</v>
      </c>
      <c r="J27">
        <f t="shared" ref="J27:J39" si="13">IFERROR(1/I27,1)</f>
        <v>1</v>
      </c>
      <c r="K27" s="82">
        <f ca="1">SUMIF(tables_325101!C:C,input_325101!A27,tables_325101!P:P)</f>
        <v>9.1199999999999979E-3</v>
      </c>
      <c r="L27" s="58"/>
      <c r="M27" s="58"/>
      <c r="N27" s="60"/>
      <c r="O27" s="58"/>
      <c r="P27" s="58"/>
      <c r="Q27" s="58"/>
      <c r="R27" s="61"/>
    </row>
    <row r="28" spans="1:18" x14ac:dyDescent="0.15">
      <c r="A28" s="34" t="s">
        <v>112</v>
      </c>
      <c r="B28" s="44">
        <f>G$5*B7*E28</f>
        <v>4.8000000000000001E-4</v>
      </c>
      <c r="C28" s="50">
        <f t="shared" si="2"/>
        <v>0</v>
      </c>
      <c r="D28" s="72">
        <f t="shared" si="9"/>
        <v>4.8000000000000001E-4</v>
      </c>
      <c r="E28">
        <f>COUNTIF(tables_325101!C:C,input_325101!A28)-COUNTIF(Q:Q,A28)</f>
        <v>20</v>
      </c>
      <c r="F28" s="45">
        <f>IFERROR(D28/E28,0)</f>
        <v>2.4000000000000001E-5</v>
      </c>
      <c r="G28">
        <f t="shared" si="5"/>
        <v>1440</v>
      </c>
      <c r="H28">
        <f t="shared" si="11"/>
        <v>72</v>
      </c>
      <c r="I28">
        <f t="shared" si="12"/>
        <v>0</v>
      </c>
      <c r="J28">
        <f t="shared" si="13"/>
        <v>1</v>
      </c>
      <c r="K28" s="82">
        <f ca="1">SUMIF(tables_325101!C:C,input_325101!A28,tables_325101!P:P)</f>
        <v>4.7999999999999985E-4</v>
      </c>
      <c r="L28" s="58"/>
      <c r="M28" s="58"/>
      <c r="N28" s="60"/>
      <c r="O28" s="58"/>
      <c r="P28" s="58"/>
      <c r="Q28" s="58"/>
      <c r="R28" s="61"/>
    </row>
    <row r="29" spans="1:18" x14ac:dyDescent="0.15">
      <c r="A29" s="34" t="s">
        <v>207</v>
      </c>
      <c r="B29" s="44">
        <f>G5*COUNTIF(tables_325101!C:C,input_325101!A29)</f>
        <v>9.6000000000000002E-4</v>
      </c>
      <c r="C29" s="50">
        <f t="shared" si="2"/>
        <v>0</v>
      </c>
      <c r="D29" s="72">
        <f t="shared" si="9"/>
        <v>9.6000000000000002E-4</v>
      </c>
      <c r="E29">
        <f>COUNTIF(tables_325101!C:C,input_325101!A29)-COUNTIF(Q:Q,A29)</f>
        <v>2</v>
      </c>
      <c r="F29" s="45">
        <f t="shared" si="10"/>
        <v>4.8000000000000001E-4</v>
      </c>
      <c r="G29">
        <f t="shared" si="5"/>
        <v>2880</v>
      </c>
      <c r="H29">
        <f t="shared" si="11"/>
        <v>1440</v>
      </c>
      <c r="I29">
        <f t="shared" si="12"/>
        <v>0</v>
      </c>
      <c r="J29">
        <f t="shared" si="13"/>
        <v>1</v>
      </c>
      <c r="K29" s="82">
        <f ca="1">SUMIF(tables_325101!C:C,input_325101!A29,tables_325101!P:P)</f>
        <v>9.6000000000000002E-4</v>
      </c>
      <c r="L29" s="58"/>
      <c r="M29" s="58"/>
      <c r="N29" s="60"/>
      <c r="O29" s="58"/>
      <c r="P29" s="58"/>
      <c r="Q29" s="58"/>
      <c r="R29" s="61"/>
    </row>
    <row r="30" spans="1:18" x14ac:dyDescent="0.15">
      <c r="A30" s="34" t="s">
        <v>217</v>
      </c>
      <c r="B30" s="77">
        <f>B5*0.6-B32-B37</f>
        <v>0.10580000000000001</v>
      </c>
      <c r="C30" s="50">
        <f t="shared" si="2"/>
        <v>0</v>
      </c>
      <c r="D30" s="72">
        <f t="shared" si="9"/>
        <v>0.10580000000000001</v>
      </c>
      <c r="E30">
        <f>COUNTIF(tables_325101!C:C,input_325101!A30)-COUNTIF(Q:Q,A30)</f>
        <v>5</v>
      </c>
      <c r="F30" s="45">
        <f t="shared" si="10"/>
        <v>2.1160000000000002E-2</v>
      </c>
      <c r="G30">
        <f t="shared" ref="G30:G42" si="14">A$49*D30</f>
        <v>317400</v>
      </c>
      <c r="H30">
        <f t="shared" si="11"/>
        <v>63480</v>
      </c>
      <c r="I30">
        <f t="shared" si="12"/>
        <v>0</v>
      </c>
      <c r="J30">
        <f t="shared" si="13"/>
        <v>1</v>
      </c>
      <c r="K30" s="82">
        <f ca="1">SUMIF(tables_325101!C:C,input_325101!A30,tables_325101!P:P)</f>
        <v>0.10580000000000001</v>
      </c>
      <c r="L30" s="58"/>
      <c r="M30" s="58"/>
      <c r="N30" s="58"/>
      <c r="O30" s="58"/>
      <c r="P30" s="58"/>
      <c r="Q30" s="58"/>
      <c r="R30" s="71"/>
    </row>
    <row r="31" spans="1:18" x14ac:dyDescent="0.15">
      <c r="A31" s="34" t="s">
        <v>218</v>
      </c>
      <c r="B31" s="74">
        <f>G8*COUNTIF(tables_325101!C:C,input_325101!A31)-B30</f>
        <v>5.5199999999999999E-2</v>
      </c>
      <c r="C31" s="50">
        <f t="shared" si="2"/>
        <v>0</v>
      </c>
      <c r="D31" s="72">
        <f t="shared" si="9"/>
        <v>5.5199999999999999E-2</v>
      </c>
      <c r="E31">
        <f>COUNTIF(tables_325101!C:C,input_325101!A31)-COUNTIF(Q:Q,A31)</f>
        <v>5</v>
      </c>
      <c r="F31" s="45">
        <f t="shared" si="10"/>
        <v>1.1039999999999999E-2</v>
      </c>
      <c r="G31">
        <f t="shared" si="14"/>
        <v>165600</v>
      </c>
      <c r="H31">
        <f t="shared" si="11"/>
        <v>33120</v>
      </c>
      <c r="I31">
        <f t="shared" si="12"/>
        <v>0</v>
      </c>
      <c r="J31">
        <f t="shared" si="13"/>
        <v>1</v>
      </c>
      <c r="K31" s="82">
        <f ca="1">SUMIF(tables_325101!C:C,input_325101!A31,tables_325101!P:P)</f>
        <v>5.5199999999999999E-2</v>
      </c>
      <c r="L31" s="58"/>
      <c r="M31" s="58"/>
      <c r="N31" s="58"/>
      <c r="O31" s="58"/>
      <c r="P31" s="58"/>
      <c r="Q31" s="58"/>
      <c r="R31" s="71"/>
    </row>
    <row r="32" spans="1:18" x14ac:dyDescent="0.15">
      <c r="A32" s="34" t="s">
        <v>219</v>
      </c>
      <c r="B32" s="74">
        <f>G$8*COUNTIF(tables_325101!C:C,input_325101!A32)*B5</f>
        <v>0.19319999999999998</v>
      </c>
      <c r="C32" s="50">
        <f t="shared" si="2"/>
        <v>0</v>
      </c>
      <c r="D32" s="72">
        <f t="shared" si="9"/>
        <v>0.19319999999999998</v>
      </c>
      <c r="E32">
        <f>COUNTIF(tables_325101!C:C,input_325101!A32)-COUNTIF(Q:Q,A32)</f>
        <v>12</v>
      </c>
      <c r="F32" s="45">
        <f t="shared" si="10"/>
        <v>1.61E-2</v>
      </c>
      <c r="G32">
        <f t="shared" si="14"/>
        <v>579600</v>
      </c>
      <c r="H32">
        <f t="shared" si="11"/>
        <v>48300</v>
      </c>
      <c r="I32">
        <f t="shared" si="12"/>
        <v>0</v>
      </c>
      <c r="J32">
        <f t="shared" si="13"/>
        <v>1</v>
      </c>
      <c r="K32" s="82">
        <f ca="1">SUMIF(tables_325101!C:C,input_325101!A32,tables_325101!P:P)</f>
        <v>0.19320000000000001</v>
      </c>
      <c r="L32" s="58"/>
      <c r="M32" s="58"/>
      <c r="N32" s="60"/>
      <c r="O32" s="58"/>
      <c r="P32" s="58"/>
      <c r="Q32" s="58"/>
      <c r="R32" s="61"/>
    </row>
    <row r="33" spans="1:18" x14ac:dyDescent="0.15">
      <c r="A33" s="34" t="s">
        <v>220</v>
      </c>
      <c r="B33" s="74">
        <f>G$8*COUNTIF(tables_325101!C:C,input_325101!A33)*B6</f>
        <v>0.17387999999999998</v>
      </c>
      <c r="C33" s="50">
        <f t="shared" si="2"/>
        <v>0</v>
      </c>
      <c r="D33" s="72">
        <f t="shared" si="9"/>
        <v>0.17387999999999998</v>
      </c>
      <c r="E33">
        <f>COUNTIF(tables_325101!C:C,input_325101!A33)-COUNTIF(Q:Q,A33)</f>
        <v>12</v>
      </c>
      <c r="F33" s="45">
        <f t="shared" si="10"/>
        <v>1.4489999999999998E-2</v>
      </c>
      <c r="G33">
        <f t="shared" si="14"/>
        <v>521639.99999999994</v>
      </c>
      <c r="H33">
        <f t="shared" si="11"/>
        <v>43470</v>
      </c>
      <c r="I33">
        <f t="shared" si="12"/>
        <v>0</v>
      </c>
      <c r="J33">
        <f t="shared" si="13"/>
        <v>1</v>
      </c>
      <c r="K33" s="82">
        <f ca="1">SUMIF(tables_325101!C:C,input_325101!A33,tables_325101!P:P)</f>
        <v>0.17388000000000001</v>
      </c>
      <c r="L33" s="58"/>
      <c r="M33" s="58"/>
      <c r="N33" s="60"/>
      <c r="O33" s="58"/>
      <c r="P33" s="58"/>
      <c r="Q33" s="58"/>
      <c r="R33" s="61"/>
    </row>
    <row r="34" spans="1:18" x14ac:dyDescent="0.15">
      <c r="A34" s="34" t="s">
        <v>221</v>
      </c>
      <c r="B34" s="74">
        <f>G$8*COUNTIF(tables_325101!C:C,input_325101!A34)*B7</f>
        <v>1.932E-2</v>
      </c>
      <c r="C34" s="50">
        <f t="shared" si="2"/>
        <v>0</v>
      </c>
      <c r="D34" s="72">
        <f t="shared" si="9"/>
        <v>1.932E-2</v>
      </c>
      <c r="E34">
        <f>COUNTIF(tables_325101!C:C,input_325101!A34)-COUNTIF(Q:Q,A34)</f>
        <v>12</v>
      </c>
      <c r="F34" s="45">
        <f t="shared" si="10"/>
        <v>1.6100000000000001E-3</v>
      </c>
      <c r="G34">
        <f t="shared" si="14"/>
        <v>57960</v>
      </c>
      <c r="H34">
        <f t="shared" si="11"/>
        <v>4830</v>
      </c>
      <c r="I34">
        <f t="shared" si="12"/>
        <v>0</v>
      </c>
      <c r="J34">
        <f t="shared" si="13"/>
        <v>1</v>
      </c>
      <c r="K34" s="82">
        <f ca="1">SUMIF(tables_325101!C:C,input_325101!A34,tables_325101!P:P)</f>
        <v>1.932E-2</v>
      </c>
      <c r="L34" s="58"/>
      <c r="M34" s="58"/>
      <c r="N34" s="60"/>
      <c r="O34" s="58"/>
      <c r="P34" s="58"/>
      <c r="Q34" s="58"/>
      <c r="R34" s="61"/>
    </row>
    <row r="35" spans="1:18" x14ac:dyDescent="0.15">
      <c r="A35" s="34" t="s">
        <v>222</v>
      </c>
      <c r="B35" s="79">
        <f>G8*E35-B36</f>
        <v>2.2419999999999999E-2</v>
      </c>
      <c r="C35" s="50">
        <f t="shared" si="2"/>
        <v>0</v>
      </c>
      <c r="D35" s="72">
        <f t="shared" si="9"/>
        <v>2.2419999999999999E-2</v>
      </c>
      <c r="E35">
        <f>COUNTIF(tables_325101!C:C,input_325101!A35)-COUNTIF(Q:Q,A35)</f>
        <v>1</v>
      </c>
      <c r="F35" s="45">
        <f t="shared" si="10"/>
        <v>2.2419999999999999E-2</v>
      </c>
      <c r="G35">
        <f t="shared" si="14"/>
        <v>67260</v>
      </c>
      <c r="H35">
        <f t="shared" si="11"/>
        <v>67260</v>
      </c>
      <c r="I35">
        <f t="shared" si="12"/>
        <v>0</v>
      </c>
      <c r="J35">
        <f t="shared" si="13"/>
        <v>1</v>
      </c>
      <c r="K35" s="82">
        <f ca="1">SUMIF(tables_325101!C:C,input_325101!A35,tables_325101!P:P)</f>
        <v>2.2419999999999999E-2</v>
      </c>
      <c r="L35" s="58"/>
      <c r="M35" s="58"/>
      <c r="N35" s="60"/>
      <c r="O35" s="58"/>
      <c r="P35" s="58"/>
      <c r="Q35" s="58"/>
      <c r="R35" s="61"/>
    </row>
    <row r="36" spans="1:18" x14ac:dyDescent="0.15">
      <c r="A36" s="34" t="s">
        <v>223</v>
      </c>
      <c r="B36" s="80">
        <f>B7*0.6-B39-B41-B42-B34</f>
        <v>9.7800000000000005E-3</v>
      </c>
      <c r="C36" s="50">
        <f t="shared" si="2"/>
        <v>0</v>
      </c>
      <c r="D36" s="72">
        <f t="shared" si="9"/>
        <v>9.7800000000000005E-3</v>
      </c>
      <c r="E36">
        <f>COUNTIF(tables_325101!C:C,input_325101!A36)-COUNTIF(Q:Q,A36)</f>
        <v>1</v>
      </c>
      <c r="F36" s="45">
        <f t="shared" si="10"/>
        <v>9.7800000000000005E-3</v>
      </c>
      <c r="G36">
        <f t="shared" si="14"/>
        <v>29340</v>
      </c>
      <c r="H36">
        <f t="shared" si="11"/>
        <v>29340</v>
      </c>
      <c r="I36">
        <f t="shared" si="12"/>
        <v>0</v>
      </c>
      <c r="J36">
        <f t="shared" si="13"/>
        <v>1</v>
      </c>
      <c r="K36" s="82">
        <f ca="1">SUMIF(tables_325101!C:C,input_325101!A36,tables_325101!P:P)</f>
        <v>9.7800000000000005E-3</v>
      </c>
      <c r="L36" s="58"/>
      <c r="M36" s="58"/>
      <c r="N36" s="60"/>
      <c r="O36" s="58"/>
      <c r="P36" s="58"/>
      <c r="Q36" s="58"/>
      <c r="R36" s="61"/>
    </row>
    <row r="37" spans="1:18" x14ac:dyDescent="0.15">
      <c r="A37" s="34" t="s">
        <v>224</v>
      </c>
      <c r="B37" s="44">
        <f>G$6*COUNTIF(tables_325101!C:C,input_325101!A37)*B5</f>
        <v>1E-3</v>
      </c>
      <c r="C37" s="50">
        <f t="shared" si="2"/>
        <v>0</v>
      </c>
      <c r="D37" s="72">
        <f t="shared" si="9"/>
        <v>1E-3</v>
      </c>
      <c r="E37">
        <f>COUNTIF(tables_325101!C:C,input_325101!A37)-COUNTIF(Q:Q,A37)</f>
        <v>1</v>
      </c>
      <c r="F37" s="45">
        <f t="shared" si="10"/>
        <v>1E-3</v>
      </c>
      <c r="G37">
        <f t="shared" si="14"/>
        <v>3000</v>
      </c>
      <c r="H37">
        <f t="shared" si="11"/>
        <v>3000</v>
      </c>
      <c r="I37">
        <f t="shared" si="12"/>
        <v>0</v>
      </c>
      <c r="J37">
        <f t="shared" si="13"/>
        <v>1</v>
      </c>
      <c r="K37" s="82">
        <f ca="1">SUMIF(tables_325101!C:C,input_325101!A37,tables_325101!P:P)</f>
        <v>1E-3</v>
      </c>
      <c r="L37" s="58"/>
      <c r="M37" s="58"/>
      <c r="N37" s="60"/>
      <c r="O37" s="58"/>
      <c r="P37" s="58"/>
      <c r="Q37" s="58"/>
      <c r="R37" s="61"/>
    </row>
    <row r="38" spans="1:18" x14ac:dyDescent="0.15">
      <c r="A38" s="34" t="s">
        <v>225</v>
      </c>
      <c r="B38" s="44">
        <f>G$6*COUNTIF(tables_325101!C:C,input_325101!A38)*B6</f>
        <v>9.0000000000000008E-4</v>
      </c>
      <c r="C38" s="50">
        <f t="shared" si="2"/>
        <v>0</v>
      </c>
      <c r="D38" s="72">
        <f t="shared" si="9"/>
        <v>9.0000000000000008E-4</v>
      </c>
      <c r="E38">
        <f>COUNTIF(tables_325101!C:C,input_325101!A38)-COUNTIF(Q:Q,A38)</f>
        <v>1</v>
      </c>
      <c r="F38" s="45">
        <f t="shared" si="10"/>
        <v>9.0000000000000008E-4</v>
      </c>
      <c r="G38">
        <f t="shared" si="14"/>
        <v>2700.0000000000005</v>
      </c>
      <c r="H38">
        <f t="shared" si="11"/>
        <v>2700</v>
      </c>
      <c r="I38">
        <f t="shared" si="12"/>
        <v>0</v>
      </c>
      <c r="J38">
        <f t="shared" si="13"/>
        <v>1</v>
      </c>
      <c r="K38" s="82">
        <f ca="1">SUMIF(tables_325101!C:C,input_325101!A38,tables_325101!P:P)</f>
        <v>8.9999999999999998E-4</v>
      </c>
      <c r="L38" s="58"/>
      <c r="M38" s="58"/>
      <c r="N38" s="60"/>
      <c r="O38" s="58"/>
      <c r="P38" s="58"/>
      <c r="Q38" s="58"/>
      <c r="R38" s="61"/>
    </row>
    <row r="39" spans="1:18" x14ac:dyDescent="0.15">
      <c r="A39" s="34" t="s">
        <v>226</v>
      </c>
      <c r="B39" s="44">
        <f>G$6*COUNTIF(tables_325101!C:C,input_325101!A39)*B7</f>
        <v>1E-4</v>
      </c>
      <c r="C39" s="50">
        <f t="shared" si="2"/>
        <v>0</v>
      </c>
      <c r="D39" s="72">
        <f t="shared" si="9"/>
        <v>1E-4</v>
      </c>
      <c r="E39">
        <f>COUNTIF(tables_325101!C:C,input_325101!A39)-COUNTIF(Q:Q,A39)</f>
        <v>1</v>
      </c>
      <c r="F39" s="45">
        <f t="shared" si="10"/>
        <v>1E-4</v>
      </c>
      <c r="G39">
        <f t="shared" si="14"/>
        <v>300</v>
      </c>
      <c r="H39">
        <f t="shared" si="11"/>
        <v>300</v>
      </c>
      <c r="I39">
        <f t="shared" si="12"/>
        <v>0</v>
      </c>
      <c r="J39">
        <f t="shared" si="13"/>
        <v>1</v>
      </c>
      <c r="K39" s="82">
        <f ca="1">SUMIF(tables_325101!C:C,input_325101!A39,tables_325101!P:P)</f>
        <v>1E-4</v>
      </c>
      <c r="L39" s="58"/>
      <c r="M39" s="58"/>
      <c r="N39" s="60"/>
      <c r="O39" s="58"/>
      <c r="P39" s="58"/>
      <c r="Q39" s="58"/>
      <c r="R39" s="61"/>
    </row>
    <row r="40" spans="1:18" x14ac:dyDescent="0.15">
      <c r="A40" s="34" t="s">
        <v>227</v>
      </c>
      <c r="B40" s="44">
        <f>G$6*COUNTIF(tables_325101!C:C,input_325101!A40)*(B6+B5)</f>
        <v>1.52E-2</v>
      </c>
      <c r="C40" s="50">
        <f t="shared" si="2"/>
        <v>0</v>
      </c>
      <c r="D40" s="72">
        <f t="shared" ref="D40:D42" si="15">B40-C40</f>
        <v>1.52E-2</v>
      </c>
      <c r="E40">
        <f>COUNTIF(tables_325101!C:C,input_325101!A40)-COUNTIF(Q:Q,A40)</f>
        <v>8</v>
      </c>
      <c r="F40" s="45">
        <f t="shared" ref="F40" si="16">IFERROR(D40/E40,0)</f>
        <v>1.9E-3</v>
      </c>
      <c r="G40">
        <f t="shared" si="14"/>
        <v>45600</v>
      </c>
      <c r="H40">
        <f t="shared" ref="H40:H42" si="17">IFERROR(ROUND(G40/E40,5),0)</f>
        <v>5700</v>
      </c>
      <c r="I40">
        <f t="shared" ref="I40:I42" si="18">MOD(H40,1)</f>
        <v>0</v>
      </c>
      <c r="J40">
        <f t="shared" ref="J40:J42" si="19">IFERROR(1/I40,1)</f>
        <v>1</v>
      </c>
      <c r="K40" s="82">
        <f ca="1">SUMIF(tables_325101!C:C,input_325101!A40,tables_325101!P:P)</f>
        <v>1.5200000000000002E-2</v>
      </c>
      <c r="L40" s="58"/>
      <c r="M40" s="58"/>
      <c r="N40" s="60"/>
      <c r="O40" s="58"/>
      <c r="P40" s="58"/>
      <c r="Q40" s="58"/>
      <c r="R40" s="61"/>
    </row>
    <row r="41" spans="1:18" x14ac:dyDescent="0.15">
      <c r="A41" s="34" t="s">
        <v>228</v>
      </c>
      <c r="B41" s="44">
        <f>G$6*COUNTIF(tables_325101!C:C,input_325101!A41)*B7</f>
        <v>8.0000000000000004E-4</v>
      </c>
      <c r="C41" s="50">
        <f t="shared" si="2"/>
        <v>0</v>
      </c>
      <c r="D41" s="72">
        <f t="shared" si="15"/>
        <v>8.0000000000000004E-4</v>
      </c>
      <c r="E41">
        <f>COUNTIF(tables_325101!C:C,input_325101!A41)-COUNTIF(Q:Q,A41)</f>
        <v>8</v>
      </c>
      <c r="F41" s="45">
        <f>IFERROR(D41/E41,0)</f>
        <v>1E-4</v>
      </c>
      <c r="G41">
        <f t="shared" si="14"/>
        <v>2400</v>
      </c>
      <c r="H41">
        <f t="shared" si="17"/>
        <v>300</v>
      </c>
      <c r="I41">
        <f t="shared" si="18"/>
        <v>0</v>
      </c>
      <c r="J41">
        <f t="shared" si="19"/>
        <v>1</v>
      </c>
      <c r="K41" s="82">
        <f ca="1">SUMIF(tables_325101!C:C,input_325101!A41,tables_325101!P:P)</f>
        <v>8.0000000000000015E-4</v>
      </c>
      <c r="L41" s="58"/>
      <c r="M41" s="58"/>
      <c r="N41" s="60"/>
      <c r="O41" s="58"/>
      <c r="P41" s="58"/>
      <c r="Q41" s="58"/>
      <c r="R41" s="61"/>
    </row>
    <row r="42" spans="1:18" x14ac:dyDescent="0.15">
      <c r="A42" s="34" t="s">
        <v>229</v>
      </c>
      <c r="B42" s="44">
        <f>G6*COUNTIF(tables_325101!C:C,input_325101!A42)</f>
        <v>0</v>
      </c>
      <c r="C42" s="50">
        <f t="shared" si="2"/>
        <v>0</v>
      </c>
      <c r="D42" s="72">
        <f t="shared" si="15"/>
        <v>0</v>
      </c>
      <c r="E42">
        <f>COUNTIF(tables_325101!C:C,input_325101!A42)-COUNTIF(Q:Q,A42)</f>
        <v>0</v>
      </c>
      <c r="F42" s="45">
        <f t="shared" ref="F42" si="20">IFERROR(D42/E42,0)</f>
        <v>0</v>
      </c>
      <c r="G42">
        <f t="shared" si="14"/>
        <v>0</v>
      </c>
      <c r="H42">
        <f t="shared" si="17"/>
        <v>0</v>
      </c>
      <c r="I42">
        <f t="shared" si="18"/>
        <v>0</v>
      </c>
      <c r="J42">
        <f t="shared" si="19"/>
        <v>1</v>
      </c>
      <c r="K42" s="82">
        <f>SUMIF(tables_325101!C:C,input_325101!A42,tables_325101!P:P)</f>
        <v>0</v>
      </c>
      <c r="L42" s="58"/>
      <c r="M42" s="58"/>
      <c r="N42" s="60"/>
      <c r="O42" s="58"/>
      <c r="P42" s="58"/>
      <c r="Q42" s="58"/>
      <c r="R42" s="61"/>
    </row>
    <row r="43" spans="1:18" x14ac:dyDescent="0.15">
      <c r="A43" s="34" t="s">
        <v>206</v>
      </c>
      <c r="B43" s="57">
        <v>0</v>
      </c>
      <c r="C43" s="50">
        <f t="shared" si="2"/>
        <v>0</v>
      </c>
      <c r="D43" s="72">
        <f t="shared" ref="D43:D44" si="21">B43-C43</f>
        <v>0</v>
      </c>
      <c r="E43">
        <f>COUNTIF(tables_325101!C:C,input_325101!A43)-COUNTIF(Q:Q,A43)</f>
        <v>0</v>
      </c>
      <c r="F43" s="45">
        <f t="shared" ref="F43:F44" si="22">IFERROR(D43/E43,0)</f>
        <v>0</v>
      </c>
      <c r="G43">
        <f t="shared" si="5"/>
        <v>0</v>
      </c>
      <c r="H43">
        <f t="shared" ref="H43:H44" si="23">IFERROR(ROUND(G43/E43,5),0)</f>
        <v>0</v>
      </c>
      <c r="I43">
        <f t="shared" ref="I43:I44" si="24">MOD(H43,1)</f>
        <v>0</v>
      </c>
      <c r="J43">
        <f t="shared" ref="J43:J44" si="25">IFERROR(1/I43,1)</f>
        <v>1</v>
      </c>
      <c r="K43" s="82">
        <f>SUMIF(tables_325101!C:C,input_325101!A43,tables_325101!P:P)</f>
        <v>0</v>
      </c>
      <c r="L43" s="58"/>
      <c r="M43" s="58"/>
      <c r="N43" s="60"/>
      <c r="O43" s="58"/>
      <c r="P43" s="58"/>
      <c r="Q43" s="58"/>
      <c r="R43" s="61"/>
    </row>
    <row r="44" spans="1:18" x14ac:dyDescent="0.15">
      <c r="A44" s="34" t="s">
        <v>113</v>
      </c>
      <c r="B44" s="57">
        <f>B12</f>
        <v>4.0000000000000001E-3</v>
      </c>
      <c r="C44" s="50">
        <f t="shared" si="2"/>
        <v>0</v>
      </c>
      <c r="D44" s="72">
        <f t="shared" si="21"/>
        <v>4.0000000000000001E-3</v>
      </c>
      <c r="E44">
        <f>COUNTIF(tables_325101!C:C,input_325101!A44)-COUNTIF(Q:Q,A44)</f>
        <v>1</v>
      </c>
      <c r="F44" s="45">
        <f t="shared" si="22"/>
        <v>4.0000000000000001E-3</v>
      </c>
      <c r="G44">
        <f t="shared" si="5"/>
        <v>12000</v>
      </c>
      <c r="H44">
        <f t="shared" si="23"/>
        <v>12000</v>
      </c>
      <c r="I44">
        <f t="shared" si="24"/>
        <v>0</v>
      </c>
      <c r="J44">
        <f t="shared" si="25"/>
        <v>1</v>
      </c>
      <c r="K44" s="82">
        <f ca="1">SUMIF(tables_325101!C:C,input_325101!A44,tables_325101!P:P)</f>
        <v>4.0000000000000001E-3</v>
      </c>
      <c r="L44" s="58"/>
      <c r="M44" s="58"/>
      <c r="N44" s="60"/>
      <c r="O44" s="58"/>
      <c r="P44" s="58"/>
      <c r="Q44" s="58"/>
      <c r="R44" s="61"/>
    </row>
    <row r="45" spans="1:18" x14ac:dyDescent="0.15">
      <c r="A45" s="41" t="s">
        <v>62</v>
      </c>
      <c r="B45" s="42">
        <f>SUM(B17:B44)</f>
        <v>1</v>
      </c>
      <c r="C45" s="43">
        <f>SUM(C19:C44)</f>
        <v>0</v>
      </c>
      <c r="D45" s="44">
        <f t="shared" ref="D45" si="26">B45-C45</f>
        <v>1</v>
      </c>
      <c r="L45" s="58"/>
      <c r="M45" s="58"/>
      <c r="N45" s="58"/>
      <c r="O45" s="58"/>
      <c r="P45" s="58"/>
      <c r="Q45" s="58"/>
      <c r="R45" s="61"/>
    </row>
    <row r="48" spans="1:18" x14ac:dyDescent="0.15">
      <c r="A48" t="s">
        <v>234</v>
      </c>
      <c r="H48" t="s">
        <v>235</v>
      </c>
    </row>
    <row r="49" spans="1:8" x14ac:dyDescent="0.15">
      <c r="A49" s="31">
        <f>100000*15*2</f>
        <v>3000000</v>
      </c>
      <c r="H49" s="81">
        <f>MAX(H17:H44)</f>
        <v>67260</v>
      </c>
    </row>
    <row r="51" spans="1:8" x14ac:dyDescent="0.15">
      <c r="A51" s="49" t="s">
        <v>80</v>
      </c>
    </row>
    <row r="52" spans="1:8" x14ac:dyDescent="0.15">
      <c r="A52" s="34" t="s">
        <v>63</v>
      </c>
      <c r="B52" t="s">
        <v>77</v>
      </c>
      <c r="C52" t="s">
        <v>104</v>
      </c>
      <c r="E52" t="s">
        <v>105</v>
      </c>
      <c r="F52" t="s">
        <v>214</v>
      </c>
      <c r="G52" t="s">
        <v>66</v>
      </c>
    </row>
    <row r="53" spans="1:8" x14ac:dyDescent="0.15">
      <c r="A53" s="34" t="s">
        <v>108</v>
      </c>
      <c r="B53">
        <f ca="1">SUMIF(tables_325101!C:C,input_325101!A53,tables_325101!O:O)</f>
        <v>414000</v>
      </c>
      <c r="C53" s="55">
        <f t="shared" ref="C53:C59" ca="1" si="27">B53/B$60</f>
        <v>0.47651933701657456</v>
      </c>
      <c r="E53">
        <v>3</v>
      </c>
      <c r="F53">
        <f ca="1">SUMIF(tables_325101!J:J,input_325101!E53,tables_325101!O:O)</f>
        <v>1500000</v>
      </c>
      <c r="G53">
        <f ca="1">F53/A49</f>
        <v>0.5</v>
      </c>
    </row>
    <row r="54" spans="1:8" x14ac:dyDescent="0.15">
      <c r="A54" s="34" t="s">
        <v>109</v>
      </c>
      <c r="B54">
        <f ca="1">SUMIF(tables_325101!C:C,input_325101!A54,tables_325101!O:O)</f>
        <v>372600</v>
      </c>
      <c r="C54" s="55">
        <f t="shared" ca="1" si="27"/>
        <v>0.42886740331491713</v>
      </c>
      <c r="E54">
        <v>4</v>
      </c>
      <c r="F54">
        <f ca="1">SUMIF(tables_325101!J:J,input_325101!E54,tables_325101!O:O)</f>
        <v>1338000</v>
      </c>
      <c r="G54">
        <f ca="1">F54/A49</f>
        <v>0.44600000000000001</v>
      </c>
    </row>
    <row r="55" spans="1:8" x14ac:dyDescent="0.15">
      <c r="A55" s="34" t="s">
        <v>114</v>
      </c>
      <c r="B55">
        <f ca="1">SUMIF(tables_325101!C:C,input_325101!A55,tables_325101!O:O)</f>
        <v>27360</v>
      </c>
      <c r="C55" s="55">
        <f t="shared" ca="1" si="27"/>
        <v>3.1491712707182318E-2</v>
      </c>
      <c r="E55">
        <v>5</v>
      </c>
      <c r="F55">
        <f ca="1">SUMIF(tables_325101!J:J,input_325101!E55,tables_325101!O:O)</f>
        <v>162000</v>
      </c>
      <c r="G55">
        <f ca="1">F55/A49</f>
        <v>5.3999999999999999E-2</v>
      </c>
    </row>
    <row r="56" spans="1:8" x14ac:dyDescent="0.15">
      <c r="A56" s="34" t="s">
        <v>115</v>
      </c>
      <c r="B56">
        <f>SUMIF(tables_325101!C:C,input_325101!A56,tables_325101!O:O)</f>
        <v>0</v>
      </c>
      <c r="C56" s="55">
        <f t="shared" ca="1" si="27"/>
        <v>0</v>
      </c>
      <c r="F56" s="56"/>
    </row>
    <row r="57" spans="1:8" x14ac:dyDescent="0.15">
      <c r="A57" s="34" t="s">
        <v>110</v>
      </c>
      <c r="B57">
        <f ca="1">SUMIF(tables_325101!C:C,input_325101!A57,tables_325101!O:O)</f>
        <v>41400</v>
      </c>
      <c r="C57" s="55">
        <f t="shared" ca="1" si="27"/>
        <v>4.7651933701657462E-2</v>
      </c>
      <c r="E57" t="s">
        <v>106</v>
      </c>
      <c r="F57" s="56"/>
    </row>
    <row r="58" spans="1:8" x14ac:dyDescent="0.15">
      <c r="A58" s="34" t="s">
        <v>116</v>
      </c>
      <c r="B58">
        <f ca="1">SUMIF(tables_325101!C:C,input_325101!A58,tables_325101!O:O)</f>
        <v>1440</v>
      </c>
      <c r="C58" s="55">
        <f t="shared" ca="1" si="27"/>
        <v>1.6574585635359116E-3</v>
      </c>
      <c r="E58" t="s">
        <v>210</v>
      </c>
      <c r="F58" s="56">
        <f ca="1">SUMIF(tables_325101!I:I,input_325101!E58,tables_325101!P:P)</f>
        <v>0.26449999999999996</v>
      </c>
    </row>
    <row r="59" spans="1:8" x14ac:dyDescent="0.15">
      <c r="A59" s="34" t="s">
        <v>117</v>
      </c>
      <c r="B59">
        <f ca="1">SUMIF(tables_325101!C:C,input_325101!A59,tables_325101!O:O)</f>
        <v>12000</v>
      </c>
      <c r="C59" s="55">
        <f t="shared" ca="1" si="27"/>
        <v>1.3812154696132596E-2</v>
      </c>
      <c r="E59" t="s">
        <v>211</v>
      </c>
      <c r="F59" s="56">
        <f ca="1">SUMIF(tables_325101!I:I,input_325101!E59,tables_325101!P:P)</f>
        <v>0.2214600000000001</v>
      </c>
    </row>
    <row r="60" spans="1:8" x14ac:dyDescent="0.15">
      <c r="A60" s="41" t="s">
        <v>62</v>
      </c>
      <c r="B60">
        <f ca="1">SUM(B53:B59)</f>
        <v>868800</v>
      </c>
      <c r="C60" s="56">
        <f ca="1">SUM(C53:C59)</f>
        <v>1</v>
      </c>
      <c r="E60" t="s">
        <v>212</v>
      </c>
      <c r="F60" s="56">
        <f ca="1">SUMIF(tables_325101!I:I,input_325101!E60,tables_325101!P:P)</f>
        <v>0.48348000000000041</v>
      </c>
    </row>
    <row r="61" spans="1:8" x14ac:dyDescent="0.15">
      <c r="E61" t="s">
        <v>213</v>
      </c>
      <c r="F61" s="56">
        <f ca="1">SUMIF(tables_325101!I:I,input_325101!E61,tables_325101!P:P)</f>
        <v>2.6560000000000004E-2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2"/>
  <sheetViews>
    <sheetView showGridLines="0" zoomScale="75" zoomScaleNormal="75" zoomScalePageLayoutView="75" workbookViewId="0">
      <pane ySplit="1" topLeftCell="A250" activePane="bottomLeft" state="frozen"/>
      <selection activeCell="C266" sqref="C266"/>
      <selection pane="bottomLeft" activeCell="C266" sqref="C26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99</v>
      </c>
      <c r="E1" s="3" t="s">
        <v>196</v>
      </c>
      <c r="F1" s="3" t="s">
        <v>197</v>
      </c>
      <c r="G1" s="3" t="s">
        <v>107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input_325101!A$2</f>
        <v>325101</v>
      </c>
      <c r="B2" s="6">
        <v>126</v>
      </c>
      <c r="C2" s="7" t="str">
        <f t="shared" ref="C2:C65" si="0">D2&amp;J2&amp;E2&amp;F2&amp;G2</f>
        <v>PremiumW3color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IFERROR(VLOOKUP(B2,input_325101!L:R,7,FALSE),ROUNDDOWN(VLOOKUP(tables_325101!C2,input_325101!A:H,8,FALSE),0))</f>
        <v>63480</v>
      </c>
      <c r="P2" s="48">
        <f ca="1">O2/SUM(O:O)</f>
        <v>2.1160000000000002E-2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input_325101!A$2</f>
        <v>325101</v>
      </c>
      <c r="B3" s="6">
        <v>127</v>
      </c>
      <c r="C3" s="7" t="str">
        <f t="shared" si="0"/>
        <v>PremiumW4color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IFERROR(VLOOKUP(B3,input_325101!L:R,7,FALSE),ROUNDDOWN(VLOOKUP(tables_325101!C3,input_325101!A:H,8,FALSE),0))</f>
        <v>33120</v>
      </c>
      <c r="P3" s="48">
        <f ca="1">O3/SUM(O:O)</f>
        <v>1.1039999999999999E-2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input_325101!A$2</f>
        <v>325101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IFERROR(VLOOKUP(B4,input_325101!L:R,7,FALSE),ROUNDDOWN(VLOOKUP(tables_325101!C4,input_325101!A:H,8,FALSE),0))</f>
        <v>12256</v>
      </c>
      <c r="P4" s="48">
        <f ca="1">O4/SUM(O:O)</f>
        <v>4.0853333333333332E-3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input_325101!A$2</f>
        <v>325101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IFERROR(VLOOKUP(B5,input_325101!L:R,7,FALSE),ROUNDDOWN(VLOOKUP(tables_325101!C5,input_325101!A:H,8,FALSE),0))</f>
        <v>8444</v>
      </c>
      <c r="P5" s="48">
        <f ca="1">O5/SUM(O:O)</f>
        <v>2.8146666666666667E-3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input_325101!A$2</f>
        <v>325101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IFERROR(VLOOKUP(B6,input_325101!L:R,7,FALSE),ROUNDDOWN(VLOOKUP(tables_325101!C6,input_325101!A:H,8,FALSE),0))</f>
        <v>12256</v>
      </c>
      <c r="P6" s="48">
        <f ca="1">O6/SUM(O:O)</f>
        <v>4.0853333333333332E-3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input_325101!A$2</f>
        <v>325101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IFERROR(VLOOKUP(B7,input_325101!L:R,7,FALSE),ROUNDDOWN(VLOOKUP(tables_325101!C7,input_325101!A:H,8,FALSE),0))</f>
        <v>8444</v>
      </c>
      <c r="P7" s="48">
        <f ca="1">O7/SUM(O:O)</f>
        <v>2.8146666666666667E-3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input_325101!A$2</f>
        <v>325101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IFERROR(VLOOKUP(B8,input_325101!L:R,7,FALSE),ROUNDDOWN(VLOOKUP(tables_325101!C8,input_325101!A:H,8,FALSE),0))</f>
        <v>12256</v>
      </c>
      <c r="P8" s="48">
        <f ca="1">O8/SUM(O:O)</f>
        <v>4.0853333333333332E-3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input_325101!A$2</f>
        <v>325101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IFERROR(VLOOKUP(B9,input_325101!L:R,7,FALSE),ROUNDDOWN(VLOOKUP(tables_325101!C9,input_325101!A:H,8,FALSE),0))</f>
        <v>8444</v>
      </c>
      <c r="P9" s="48">
        <f ca="1">O9/SUM(O:O)</f>
        <v>2.8146666666666667E-3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input_325101!A$2</f>
        <v>325101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IFERROR(VLOOKUP(B10,input_325101!L:R,7,FALSE),ROUNDDOWN(VLOOKUP(tables_325101!C10,input_325101!A:H,8,FALSE),0))</f>
        <v>63480</v>
      </c>
      <c r="P10" s="48">
        <f ca="1">O10/SUM(O:O)</f>
        <v>2.1160000000000002E-2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input_325101!A$2</f>
        <v>325101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IFERROR(VLOOKUP(B11,input_325101!L:R,7,FALSE),ROUNDDOWN(VLOOKUP(tables_325101!C11,input_325101!A:H,8,FALSE),0))</f>
        <v>33120</v>
      </c>
      <c r="P11" s="48">
        <f ca="1">O11/SUM(O:O)</f>
        <v>1.1039999999999999E-2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input_325101!A$2</f>
        <v>325101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IFERROR(VLOOKUP(B12,input_325101!L:R,7,FALSE),ROUNDDOWN(VLOOKUP(tables_325101!C12,input_325101!A:H,8,FALSE),0))</f>
        <v>12256</v>
      </c>
      <c r="P12" s="48">
        <f ca="1">O12/SUM(O:O)</f>
        <v>4.0853333333333332E-3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input_325101!A$2</f>
        <v>325101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IFERROR(VLOOKUP(B13,input_325101!L:R,7,FALSE),ROUNDDOWN(VLOOKUP(tables_325101!C13,input_325101!A:H,8,FALSE),0))</f>
        <v>8444</v>
      </c>
      <c r="P13" s="48">
        <f ca="1">O13/SUM(O:O)</f>
        <v>2.8146666666666667E-3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input_325101!A$2</f>
        <v>325101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IFERROR(VLOOKUP(B14,input_325101!L:R,7,FALSE),ROUNDDOWN(VLOOKUP(tables_325101!C14,input_325101!A:H,8,FALSE),0))</f>
        <v>12256</v>
      </c>
      <c r="P14" s="48">
        <f ca="1">O14/SUM(O:O)</f>
        <v>4.0853333333333332E-3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input_325101!A$2</f>
        <v>325101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IFERROR(VLOOKUP(B15,input_325101!L:R,7,FALSE),ROUNDDOWN(VLOOKUP(tables_325101!C15,input_325101!A:H,8,FALSE),0))</f>
        <v>8444</v>
      </c>
      <c r="P15" s="48">
        <f ca="1">O15/SUM(O:O)</f>
        <v>2.8146666666666667E-3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input_325101!A$2</f>
        <v>325101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IFERROR(VLOOKUP(B16,input_325101!L:R,7,FALSE),ROUNDDOWN(VLOOKUP(tables_325101!C16,input_325101!A:H,8,FALSE),0))</f>
        <v>12256</v>
      </c>
      <c r="P16" s="48">
        <f ca="1">O16/SUM(O:O)</f>
        <v>4.0853333333333332E-3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input_325101!A$2</f>
        <v>325101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IFERROR(VLOOKUP(B17,input_325101!L:R,7,FALSE),ROUNDDOWN(VLOOKUP(tables_325101!C17,input_325101!A:H,8,FALSE),0))</f>
        <v>8444</v>
      </c>
      <c r="P17" s="48">
        <f ca="1">O17/SUM(O:O)</f>
        <v>2.8146666666666667E-3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input_325101!A$2</f>
        <v>325101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IFERROR(VLOOKUP(B18,input_325101!L:R,7,FALSE),ROUNDDOWN(VLOOKUP(tables_325101!C18,input_325101!A:H,8,FALSE),0))</f>
        <v>63480</v>
      </c>
      <c r="P18" s="48">
        <f ca="1">O18/SUM(O:O)</f>
        <v>2.1160000000000002E-2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input_325101!A$2</f>
        <v>325101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IFERROR(VLOOKUP(B19,input_325101!L:R,7,FALSE),ROUNDDOWN(VLOOKUP(tables_325101!C19,input_325101!A:H,8,FALSE),0))</f>
        <v>33120</v>
      </c>
      <c r="P19" s="48">
        <f ca="1">O19/SUM(O:O)</f>
        <v>1.1039999999999999E-2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input_325101!A$2</f>
        <v>325101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IFERROR(VLOOKUP(B20,input_325101!L:R,7,FALSE),ROUNDDOWN(VLOOKUP(tables_325101!C20,input_325101!A:H,8,FALSE),0))</f>
        <v>12256</v>
      </c>
      <c r="P20" s="48">
        <f ca="1">O20/SUM(O:O)</f>
        <v>4.0853333333333332E-3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input_325101!A$2</f>
        <v>325101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IFERROR(VLOOKUP(B21,input_325101!L:R,7,FALSE),ROUNDDOWN(VLOOKUP(tables_325101!C21,input_325101!A:H,8,FALSE),0))</f>
        <v>8444</v>
      </c>
      <c r="P21" s="48">
        <f ca="1">O21/SUM(O:O)</f>
        <v>2.8146666666666667E-3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input_325101!A$2</f>
        <v>325101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IFERROR(VLOOKUP(B22,input_325101!L:R,7,FALSE),ROUNDDOWN(VLOOKUP(tables_325101!C22,input_325101!A:H,8,FALSE),0))</f>
        <v>12256</v>
      </c>
      <c r="P22" s="48">
        <f ca="1">O22/SUM(O:O)</f>
        <v>4.0853333333333332E-3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input_325101!A$2</f>
        <v>325101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IFERROR(VLOOKUP(B23,input_325101!L:R,7,FALSE),ROUNDDOWN(VLOOKUP(tables_325101!C23,input_325101!A:H,8,FALSE),0))</f>
        <v>8444</v>
      </c>
      <c r="P23" s="48">
        <f ca="1">O23/SUM(O:O)</f>
        <v>2.8146666666666667E-3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input_325101!A$2</f>
        <v>325101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IFERROR(VLOOKUP(B24,input_325101!L:R,7,FALSE),ROUNDDOWN(VLOOKUP(tables_325101!C24,input_325101!A:H,8,FALSE),0))</f>
        <v>12256</v>
      </c>
      <c r="P24" s="48">
        <f ca="1">O24/SUM(O:O)</f>
        <v>4.0853333333333332E-3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input_325101!A$2</f>
        <v>325101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IFERROR(VLOOKUP(B25,input_325101!L:R,7,FALSE),ROUNDDOWN(VLOOKUP(tables_325101!C25,input_325101!A:H,8,FALSE),0))</f>
        <v>8444</v>
      </c>
      <c r="P25" s="48">
        <f ca="1">O25/SUM(O:O)</f>
        <v>2.8146666666666667E-3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input_325101!A$2</f>
        <v>325101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IFERROR(VLOOKUP(B26,input_325101!L:R,7,FALSE),ROUNDDOWN(VLOOKUP(tables_325101!C26,input_325101!A:H,8,FALSE),0))</f>
        <v>63480</v>
      </c>
      <c r="P26" s="48">
        <f ca="1">O26/SUM(O:O)</f>
        <v>2.1160000000000002E-2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input_325101!A$2</f>
        <v>325101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IFERROR(VLOOKUP(B27,input_325101!L:R,7,FALSE),ROUNDDOWN(VLOOKUP(tables_325101!C27,input_325101!A:H,8,FALSE),0))</f>
        <v>33120</v>
      </c>
      <c r="P27" s="48">
        <f ca="1">O27/SUM(O:O)</f>
        <v>1.1039999999999999E-2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input_325101!A$2</f>
        <v>325101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IFERROR(VLOOKUP(B28,input_325101!L:R,7,FALSE),ROUNDDOWN(VLOOKUP(tables_325101!C28,input_325101!A:H,8,FALSE),0))</f>
        <v>12256</v>
      </c>
      <c r="P28" s="48">
        <f ca="1">O28/SUM(O:O)</f>
        <v>4.0853333333333332E-3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input_325101!A$2</f>
        <v>325101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IFERROR(VLOOKUP(B29,input_325101!L:R,7,FALSE),ROUNDDOWN(VLOOKUP(tables_325101!C29,input_325101!A:H,8,FALSE),0))</f>
        <v>8444</v>
      </c>
      <c r="P29" s="48">
        <f ca="1">O29/SUM(O:O)</f>
        <v>2.8146666666666667E-3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input_325101!A$2</f>
        <v>325101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IFERROR(VLOOKUP(B30,input_325101!L:R,7,FALSE),ROUNDDOWN(VLOOKUP(tables_325101!C30,input_325101!A:H,8,FALSE),0))</f>
        <v>12256</v>
      </c>
      <c r="P30" s="48">
        <f ca="1">O30/SUM(O:O)</f>
        <v>4.0853333333333332E-3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input_325101!A$2</f>
        <v>325101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IFERROR(VLOOKUP(B31,input_325101!L:R,7,FALSE),ROUNDDOWN(VLOOKUP(tables_325101!C31,input_325101!A:H,8,FALSE),0))</f>
        <v>8444</v>
      </c>
      <c r="P31" s="48">
        <f ca="1">O31/SUM(O:O)</f>
        <v>2.8146666666666667E-3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input_325101!A$2</f>
        <v>325101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IFERROR(VLOOKUP(B32,input_325101!L:R,7,FALSE),ROUNDDOWN(VLOOKUP(tables_325101!C32,input_325101!A:H,8,FALSE),0))</f>
        <v>12256</v>
      </c>
      <c r="P32" s="48">
        <f ca="1">O32/SUM(O:O)</f>
        <v>4.0853333333333332E-3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input_325101!A$2</f>
        <v>325101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IFERROR(VLOOKUP(B33,input_325101!L:R,7,FALSE),ROUNDDOWN(VLOOKUP(tables_325101!C33,input_325101!A:H,8,FALSE),0))</f>
        <v>8444</v>
      </c>
      <c r="P33" s="48">
        <f ca="1">O33/SUM(O:O)</f>
        <v>2.8146666666666667E-3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input_325101!A$2</f>
        <v>325101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IFERROR(VLOOKUP(B34,input_325101!L:R,7,FALSE),ROUNDDOWN(VLOOKUP(tables_325101!C34,input_325101!A:H,8,FALSE),0))</f>
        <v>63480</v>
      </c>
      <c r="P34" s="48">
        <f ca="1">O34/SUM(O:O)</f>
        <v>2.1160000000000002E-2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input_325101!A$2</f>
        <v>325101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IFERROR(VLOOKUP(B35,input_325101!L:R,7,FALSE),ROUNDDOWN(VLOOKUP(tables_325101!C35,input_325101!A:H,8,FALSE),0))</f>
        <v>33120</v>
      </c>
      <c r="P35" s="48">
        <f ca="1">O35/SUM(O:O)</f>
        <v>1.1039999999999999E-2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input_325101!A$2</f>
        <v>325101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IFERROR(VLOOKUP(B36,input_325101!L:R,7,FALSE),ROUNDDOWN(VLOOKUP(tables_325101!C36,input_325101!A:H,8,FALSE),0))</f>
        <v>12256</v>
      </c>
      <c r="P36" s="48">
        <f ca="1">O36/SUM(O:O)</f>
        <v>4.0853333333333332E-3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input_325101!A$2</f>
        <v>325101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IFERROR(VLOOKUP(B37,input_325101!L:R,7,FALSE),ROUNDDOWN(VLOOKUP(tables_325101!C37,input_325101!A:H,8,FALSE),0))</f>
        <v>8444</v>
      </c>
      <c r="P37" s="48">
        <f ca="1">O37/SUM(O:O)</f>
        <v>2.8146666666666667E-3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input_325101!A$2</f>
        <v>325101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IFERROR(VLOOKUP(B38,input_325101!L:R,7,FALSE),ROUNDDOWN(VLOOKUP(tables_325101!C38,input_325101!A:H,8,FALSE),0))</f>
        <v>12256</v>
      </c>
      <c r="P38" s="48">
        <f ca="1">O38/SUM(O:O)</f>
        <v>4.0853333333333332E-3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input_325101!A$2</f>
        <v>325101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IFERROR(VLOOKUP(B39,input_325101!L:R,7,FALSE),ROUNDDOWN(VLOOKUP(tables_325101!C39,input_325101!A:H,8,FALSE),0))</f>
        <v>8444</v>
      </c>
      <c r="P39" s="48">
        <f ca="1">O39/SUM(O:O)</f>
        <v>2.8146666666666667E-3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input_325101!A$2</f>
        <v>325101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IFERROR(VLOOKUP(B40,input_325101!L:R,7,FALSE),ROUNDDOWN(VLOOKUP(tables_325101!C40,input_325101!A:H,8,FALSE),0))</f>
        <v>12256</v>
      </c>
      <c r="P40" s="48">
        <f ca="1">O40/SUM(O:O)</f>
        <v>4.0853333333333332E-3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input_325101!A$2</f>
        <v>325101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IFERROR(VLOOKUP(B41,input_325101!L:R,7,FALSE),ROUNDDOWN(VLOOKUP(tables_325101!C41,input_325101!A:H,8,FALSE),0))</f>
        <v>8444</v>
      </c>
      <c r="P41" s="48">
        <f ca="1">O41/SUM(O:O)</f>
        <v>2.8146666666666667E-3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input_325101!A$2</f>
        <v>325101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IFERROR(VLOOKUP(B42,input_325101!L:R,7,FALSE),ROUNDDOWN(VLOOKUP(tables_325101!C42,input_325101!A:H,8,FALSE),0))</f>
        <v>3000</v>
      </c>
      <c r="P42" s="48">
        <f ca="1">O42/SUM(O:O)</f>
        <v>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input_325101!A$2</f>
        <v>325101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IFERROR(VLOOKUP(B43,input_325101!L:R,7,FALSE),ROUNDDOWN(VLOOKUP(tables_325101!C43,input_325101!A:H,8,FALSE),0))</f>
        <v>2700</v>
      </c>
      <c r="P43" s="48">
        <f ca="1">O43/SUM(O:O)</f>
        <v>8.9999999999999998E-4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input_325101!A$2</f>
        <v>325101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IFERROR(VLOOKUP(B44,input_325101!L:R,7,FALSE),ROUNDDOWN(VLOOKUP(tables_325101!C44,input_325101!A:H,8,FALSE),0))</f>
        <v>300</v>
      </c>
      <c r="P44" s="48">
        <f ca="1">O44/SUM(O:O)</f>
        <v>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input_325101!A$2</f>
        <v>325101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IFERROR(VLOOKUP(B45,input_325101!L:R,7,FALSE),ROUNDDOWN(VLOOKUP(tables_325101!C45,input_325101!A:H,8,FALSE),0))</f>
        <v>720</v>
      </c>
      <c r="P45" s="48">
        <f ca="1">O45/SUM(O:O)</f>
        <v>2.4000000000000001E-4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input_325101!A$2</f>
        <v>325101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IFERROR(VLOOKUP(B46,input_325101!L:R,7,FALSE),ROUNDDOWN(VLOOKUP(tables_325101!C46,input_325101!A:H,8,FALSE),0))</f>
        <v>648</v>
      </c>
      <c r="P46" s="48">
        <f ca="1">O46/SUM(O:O)</f>
        <v>2.1599999999999999E-4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input_325101!A$2</f>
        <v>325101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IFERROR(VLOOKUP(B47,input_325101!L:R,7,FALSE),ROUNDDOWN(VLOOKUP(tables_325101!C47,input_325101!A:H,8,FALSE),0))</f>
        <v>72</v>
      </c>
      <c r="P47" s="48">
        <f ca="1">O47/SUM(O:O)</f>
        <v>2.4000000000000001E-5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input_325101!A$2</f>
        <v>325101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IFERROR(VLOOKUP(B48,input_325101!L:R,7,FALSE),ROUNDDOWN(VLOOKUP(tables_325101!C48,input_325101!A:H,8,FALSE),0))</f>
        <v>720</v>
      </c>
      <c r="P48" s="48">
        <f ca="1">O48/SUM(O:O)</f>
        <v>2.4000000000000001E-4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input_325101!A$2</f>
        <v>325101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IFERROR(VLOOKUP(B49,input_325101!L:R,7,FALSE),ROUNDDOWN(VLOOKUP(tables_325101!C49,input_325101!A:H,8,FALSE),0))</f>
        <v>648</v>
      </c>
      <c r="P49" s="48">
        <f ca="1">O49/SUM(O:O)</f>
        <v>2.1599999999999999E-4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input_325101!A$2</f>
        <v>325101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IFERROR(VLOOKUP(B50,input_325101!L:R,7,FALSE),ROUNDDOWN(VLOOKUP(tables_325101!C50,input_325101!A:H,8,FALSE),0))</f>
        <v>72</v>
      </c>
      <c r="P50" s="48">
        <f ca="1">O50/SUM(O:O)</f>
        <v>2.4000000000000001E-5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input_325101!A$2</f>
        <v>325101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IFERROR(VLOOKUP(B51,input_325101!L:R,7,FALSE),ROUNDDOWN(VLOOKUP(tables_325101!C51,input_325101!A:H,8,FALSE),0))</f>
        <v>10350</v>
      </c>
      <c r="P51" s="48">
        <f ca="1">O51/SUM(O:O)</f>
        <v>3.4499999999999999E-3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input_325101!A$2</f>
        <v>325101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IFERROR(VLOOKUP(B52,input_325101!L:R,7,FALSE),ROUNDDOWN(VLOOKUP(tables_325101!C52,input_325101!A:H,8,FALSE),0))</f>
        <v>9315</v>
      </c>
      <c r="P52" s="48">
        <f ca="1">O52/SUM(O:O)</f>
        <v>3.1050000000000001E-3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input_325101!A$2</f>
        <v>325101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IFERROR(VLOOKUP(B53,input_325101!L:R,7,FALSE),ROUNDDOWN(VLOOKUP(tables_325101!C53,input_325101!A:H,8,FALSE),0))</f>
        <v>1035</v>
      </c>
      <c r="P53" s="48">
        <f ca="1">O53/SUM(O:O)</f>
        <v>3.4499999999999998E-4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input_325101!A$2</f>
        <v>325101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IFERROR(VLOOKUP(B54,input_325101!L:R,7,FALSE),ROUNDDOWN(VLOOKUP(tables_325101!C54,input_325101!A:H,8,FALSE),0))</f>
        <v>48300</v>
      </c>
      <c r="P54" s="48">
        <f ca="1">O54/SUM(O:O)</f>
        <v>1.61E-2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input_325101!A$2</f>
        <v>325101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IFERROR(VLOOKUP(B55,input_325101!L:R,7,FALSE),ROUNDDOWN(VLOOKUP(tables_325101!C55,input_325101!A:H,8,FALSE),0))</f>
        <v>43470</v>
      </c>
      <c r="P55" s="48">
        <f ca="1">O55/SUM(O:O)</f>
        <v>1.4489999999999999E-2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input_325101!A$2</f>
        <v>325101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IFERROR(VLOOKUP(B56,input_325101!L:R,7,FALSE),ROUNDDOWN(VLOOKUP(tables_325101!C56,input_325101!A:H,8,FALSE),0))</f>
        <v>4830</v>
      </c>
      <c r="P56" s="48">
        <f ca="1">O56/SUM(O:O)</f>
        <v>1.6100000000000001E-3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input_325101!A$2</f>
        <v>325101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IFERROR(VLOOKUP(B57,input_325101!L:R,7,FALSE),ROUNDDOWN(VLOOKUP(tables_325101!C57,input_325101!A:H,8,FALSE),0))</f>
        <v>10350</v>
      </c>
      <c r="P57" s="48">
        <f ca="1">O57/SUM(O:O)</f>
        <v>3.4499999999999999E-3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input_325101!A$2</f>
        <v>325101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IFERROR(VLOOKUP(B58,input_325101!L:R,7,FALSE),ROUNDDOWN(VLOOKUP(tables_325101!C58,input_325101!A:H,8,FALSE),0))</f>
        <v>9315</v>
      </c>
      <c r="P58" s="48">
        <f ca="1">O58/SUM(O:O)</f>
        <v>3.1050000000000001E-3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input_325101!A$2</f>
        <v>325101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IFERROR(VLOOKUP(B59,input_325101!L:R,7,FALSE),ROUNDDOWN(VLOOKUP(tables_325101!C59,input_325101!A:H,8,FALSE),0))</f>
        <v>1035</v>
      </c>
      <c r="P59" s="48">
        <f ca="1">O59/SUM(O:O)</f>
        <v>3.4499999999999998E-4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input_325101!A$2</f>
        <v>325101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IFERROR(VLOOKUP(B60,input_325101!L:R,7,FALSE),ROUNDDOWN(VLOOKUP(tables_325101!C60,input_325101!A:H,8,FALSE),0))</f>
        <v>10350</v>
      </c>
      <c r="P60" s="48">
        <f ca="1">O60/SUM(O:O)</f>
        <v>3.4499999999999999E-3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input_325101!A$2</f>
        <v>325101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IFERROR(VLOOKUP(B61,input_325101!L:R,7,FALSE),ROUNDDOWN(VLOOKUP(tables_325101!C61,input_325101!A:H,8,FALSE),0))</f>
        <v>9315</v>
      </c>
      <c r="P61" s="48">
        <f ca="1">O61/SUM(O:O)</f>
        <v>3.1050000000000001E-3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input_325101!A$2</f>
        <v>325101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IFERROR(VLOOKUP(B62,input_325101!L:R,7,FALSE),ROUNDDOWN(VLOOKUP(tables_325101!C62,input_325101!A:H,8,FALSE),0))</f>
        <v>1035</v>
      </c>
      <c r="P62" s="48">
        <f ca="1">O62/SUM(O:O)</f>
        <v>3.4499999999999998E-4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input_325101!A$2</f>
        <v>325101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IFERROR(VLOOKUP(B63,input_325101!L:R,7,FALSE),ROUNDDOWN(VLOOKUP(tables_325101!C63,input_325101!A:H,8,FALSE),0))</f>
        <v>10350</v>
      </c>
      <c r="P63" s="48">
        <f ca="1">O63/SUM(O:O)</f>
        <v>3.4499999999999999E-3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input_325101!A$2</f>
        <v>325101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IFERROR(VLOOKUP(B64,input_325101!L:R,7,FALSE),ROUNDDOWN(VLOOKUP(tables_325101!C64,input_325101!A:H,8,FALSE),0))</f>
        <v>9315</v>
      </c>
      <c r="P64" s="48">
        <f ca="1">O64/SUM(O:O)</f>
        <v>3.1050000000000001E-3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input_325101!A$2</f>
        <v>325101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IFERROR(VLOOKUP(B65,input_325101!L:R,7,FALSE),ROUNDDOWN(VLOOKUP(tables_325101!C65,input_325101!A:H,8,FALSE),0))</f>
        <v>1035</v>
      </c>
      <c r="P65" s="48">
        <f ca="1">O65/SUM(O:O)</f>
        <v>3.4499999999999998E-4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input_325101!A$2</f>
        <v>325101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IFERROR(VLOOKUP(B66,input_325101!L:R,7,FALSE),ROUNDDOWN(VLOOKUP(tables_325101!C66,input_325101!A:H,8,FALSE),0))</f>
        <v>48300</v>
      </c>
      <c r="P66" s="48">
        <f ca="1">O66/SUM(O:O)</f>
        <v>1.61E-2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input_325101!A$2</f>
        <v>325101</v>
      </c>
      <c r="B67" s="6">
        <v>191</v>
      </c>
      <c r="C67" s="7" t="str">
        <f t="shared" si="3"/>
        <v>Premium4color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IFERROR(VLOOKUP(B67,input_325101!L:R,7,FALSE),ROUNDDOWN(VLOOKUP(tables_325101!C67,input_325101!A:H,8,FALSE),0))</f>
        <v>43470</v>
      </c>
      <c r="P67" s="48">
        <f ca="1">O67/SUM(O:O)</f>
        <v>1.4489999999999999E-2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input_325101!A$2</f>
        <v>325101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IFERROR(VLOOKUP(B68,input_325101!L:R,7,FALSE),ROUNDDOWN(VLOOKUP(tables_325101!C68,input_325101!A:H,8,FALSE),0))</f>
        <v>4830</v>
      </c>
      <c r="P68" s="48">
        <f ca="1">O68/SUM(O:O)</f>
        <v>1.6100000000000001E-3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input_325101!A$2</f>
        <v>325101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IFERROR(VLOOKUP(B69,input_325101!L:R,7,FALSE),ROUNDDOWN(VLOOKUP(tables_325101!C69,input_325101!A:H,8,FALSE),0))</f>
        <v>10350</v>
      </c>
      <c r="P69" s="48">
        <f ca="1">O69/SUM(O:O)</f>
        <v>3.4499999999999999E-3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input_325101!A$2</f>
        <v>325101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IFERROR(VLOOKUP(B70,input_325101!L:R,7,FALSE),ROUNDDOWN(VLOOKUP(tables_325101!C70,input_325101!A:H,8,FALSE),0))</f>
        <v>9315</v>
      </c>
      <c r="P70" s="48">
        <f ca="1">O70/SUM(O:O)</f>
        <v>3.1050000000000001E-3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input_325101!A$2</f>
        <v>325101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IFERROR(VLOOKUP(B71,input_325101!L:R,7,FALSE),ROUNDDOWN(VLOOKUP(tables_325101!C71,input_325101!A:H,8,FALSE),0))</f>
        <v>1035</v>
      </c>
      <c r="P71" s="48">
        <f ca="1">O71/SUM(O:O)</f>
        <v>3.4499999999999998E-4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input_325101!A$2</f>
        <v>325101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IFERROR(VLOOKUP(B72,input_325101!L:R,7,FALSE),ROUNDDOWN(VLOOKUP(tables_325101!C72,input_325101!A:H,8,FALSE),0))</f>
        <v>10350</v>
      </c>
      <c r="P72" s="48">
        <f ca="1">O72/SUM(O:O)</f>
        <v>3.4499999999999999E-3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input_325101!A$2</f>
        <v>325101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IFERROR(VLOOKUP(B73,input_325101!L:R,7,FALSE),ROUNDDOWN(VLOOKUP(tables_325101!C73,input_325101!A:H,8,FALSE),0))</f>
        <v>9315</v>
      </c>
      <c r="P73" s="48">
        <f ca="1">O73/SUM(O:O)</f>
        <v>3.1050000000000001E-3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input_325101!A$2</f>
        <v>325101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IFERROR(VLOOKUP(B74,input_325101!L:R,7,FALSE),ROUNDDOWN(VLOOKUP(tables_325101!C74,input_325101!A:H,8,FALSE),0))</f>
        <v>1035</v>
      </c>
      <c r="P74" s="48">
        <f ca="1">O74/SUM(O:O)</f>
        <v>3.4499999999999998E-4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input_325101!A$2</f>
        <v>325101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IFERROR(VLOOKUP(B75,input_325101!L:R,7,FALSE),ROUNDDOWN(VLOOKUP(tables_325101!C75,input_325101!A:H,8,FALSE),0))</f>
        <v>10350</v>
      </c>
      <c r="P75" s="48">
        <f ca="1">O75/SUM(O:O)</f>
        <v>3.4499999999999999E-3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input_325101!A$2</f>
        <v>325101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IFERROR(VLOOKUP(B76,input_325101!L:R,7,FALSE),ROUNDDOWN(VLOOKUP(tables_325101!C76,input_325101!A:H,8,FALSE),0))</f>
        <v>9315</v>
      </c>
      <c r="P76" s="48">
        <f ca="1">O76/SUM(O:O)</f>
        <v>3.1050000000000001E-3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input_325101!A$2</f>
        <v>325101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IFERROR(VLOOKUP(B77,input_325101!L:R,7,FALSE),ROUNDDOWN(VLOOKUP(tables_325101!C77,input_325101!A:H,8,FALSE),0))</f>
        <v>1035</v>
      </c>
      <c r="P77" s="48">
        <f ca="1">O77/SUM(O:O)</f>
        <v>3.4499999999999998E-4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input_325101!A$2</f>
        <v>325101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IFERROR(VLOOKUP(B78,input_325101!L:R,7,FALSE),ROUNDDOWN(VLOOKUP(tables_325101!C78,input_325101!A:H,8,FALSE),0))</f>
        <v>48300</v>
      </c>
      <c r="P78" s="48">
        <f ca="1">O78/SUM(O:O)</f>
        <v>1.61E-2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input_325101!A$2</f>
        <v>325101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IFERROR(VLOOKUP(B79,input_325101!L:R,7,FALSE),ROUNDDOWN(VLOOKUP(tables_325101!C79,input_325101!A:H,8,FALSE),0))</f>
        <v>43470</v>
      </c>
      <c r="P79" s="48">
        <f ca="1">O79/SUM(O:O)</f>
        <v>1.4489999999999999E-2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input_325101!A$2</f>
        <v>325101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IFERROR(VLOOKUP(B80,input_325101!L:R,7,FALSE),ROUNDDOWN(VLOOKUP(tables_325101!C80,input_325101!A:H,8,FALSE),0))</f>
        <v>4830</v>
      </c>
      <c r="P80" s="48">
        <f ca="1">O80/SUM(O:O)</f>
        <v>1.6100000000000001E-3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input_325101!A$2</f>
        <v>325101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IFERROR(VLOOKUP(B81,input_325101!L:R,7,FALSE),ROUNDDOWN(VLOOKUP(tables_325101!C81,input_325101!A:H,8,FALSE),0))</f>
        <v>10350</v>
      </c>
      <c r="P81" s="48">
        <f ca="1">O81/SUM(O:O)</f>
        <v>3.4499999999999999E-3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input_325101!A$2</f>
        <v>325101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IFERROR(VLOOKUP(B82,input_325101!L:R,7,FALSE),ROUNDDOWN(VLOOKUP(tables_325101!C82,input_325101!A:H,8,FALSE),0))</f>
        <v>9315</v>
      </c>
      <c r="P82" s="48">
        <f ca="1">O82/SUM(O:O)</f>
        <v>3.1050000000000001E-3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input_325101!A$2</f>
        <v>325101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IFERROR(VLOOKUP(B83,input_325101!L:R,7,FALSE),ROUNDDOWN(VLOOKUP(tables_325101!C83,input_325101!A:H,8,FALSE),0))</f>
        <v>1035</v>
      </c>
      <c r="P83" s="48">
        <f ca="1">O83/SUM(O:O)</f>
        <v>3.4499999999999998E-4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input_325101!A$2</f>
        <v>325101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IFERROR(VLOOKUP(B84,input_325101!L:R,7,FALSE),ROUNDDOWN(VLOOKUP(tables_325101!C84,input_325101!A:H,8,FALSE),0))</f>
        <v>10350</v>
      </c>
      <c r="P84" s="48">
        <f ca="1">O84/SUM(O:O)</f>
        <v>3.4499999999999999E-3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input_325101!A$2</f>
        <v>325101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IFERROR(VLOOKUP(B85,input_325101!L:R,7,FALSE),ROUNDDOWN(VLOOKUP(tables_325101!C85,input_325101!A:H,8,FALSE),0))</f>
        <v>9315</v>
      </c>
      <c r="P85" s="48">
        <f ca="1">O85/SUM(O:O)</f>
        <v>3.1050000000000001E-3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input_325101!A$2</f>
        <v>325101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IFERROR(VLOOKUP(B86,input_325101!L:R,7,FALSE),ROUNDDOWN(VLOOKUP(tables_325101!C86,input_325101!A:H,8,FALSE),0))</f>
        <v>1035</v>
      </c>
      <c r="P86" s="48">
        <f ca="1">O86/SUM(O:O)</f>
        <v>3.4499999999999998E-4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input_325101!A$2</f>
        <v>325101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IFERROR(VLOOKUP(B87,input_325101!L:R,7,FALSE),ROUNDDOWN(VLOOKUP(tables_325101!C87,input_325101!A:H,8,FALSE),0))</f>
        <v>10350</v>
      </c>
      <c r="P87" s="48">
        <f ca="1">O87/SUM(O:O)</f>
        <v>3.4499999999999999E-3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input_325101!A$2</f>
        <v>325101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IFERROR(VLOOKUP(B88,input_325101!L:R,7,FALSE),ROUNDDOWN(VLOOKUP(tables_325101!C88,input_325101!A:H,8,FALSE),0))</f>
        <v>9315</v>
      </c>
      <c r="P88" s="48">
        <f ca="1">O88/SUM(O:O)</f>
        <v>3.1050000000000001E-3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input_325101!A$2</f>
        <v>325101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IFERROR(VLOOKUP(B89,input_325101!L:R,7,FALSE),ROUNDDOWN(VLOOKUP(tables_325101!C89,input_325101!A:H,8,FALSE),0))</f>
        <v>1035</v>
      </c>
      <c r="P89" s="48">
        <f ca="1">O89/SUM(O:O)</f>
        <v>3.4499999999999998E-4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input_325101!A$2</f>
        <v>325101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IFERROR(VLOOKUP(B90,input_325101!L:R,7,FALSE),ROUNDDOWN(VLOOKUP(tables_325101!C90,input_325101!A:H,8,FALSE),0))</f>
        <v>48300</v>
      </c>
      <c r="P90" s="48">
        <f ca="1">O90/SUM(O:O)</f>
        <v>1.61E-2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input_325101!A$2</f>
        <v>325101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IFERROR(VLOOKUP(B91,input_325101!L:R,7,FALSE),ROUNDDOWN(VLOOKUP(tables_325101!C91,input_325101!A:H,8,FALSE),0))</f>
        <v>43470</v>
      </c>
      <c r="P91" s="48">
        <f ca="1">O91/SUM(O:O)</f>
        <v>1.4489999999999999E-2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input_325101!A$2</f>
        <v>325101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IFERROR(VLOOKUP(B92,input_325101!L:R,7,FALSE),ROUNDDOWN(VLOOKUP(tables_325101!C92,input_325101!A:H,8,FALSE),0))</f>
        <v>4830</v>
      </c>
      <c r="P92" s="48">
        <f ca="1">O92/SUM(O:O)</f>
        <v>1.6100000000000001E-3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input_325101!A$2</f>
        <v>325101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IFERROR(VLOOKUP(B93,input_325101!L:R,7,FALSE),ROUNDDOWN(VLOOKUP(tables_325101!C93,input_325101!A:H,8,FALSE),0))</f>
        <v>10350</v>
      </c>
      <c r="P93" s="48">
        <f ca="1">O93/SUM(O:O)</f>
        <v>3.4499999999999999E-3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input_325101!A$2</f>
        <v>325101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IFERROR(VLOOKUP(B94,input_325101!L:R,7,FALSE),ROUNDDOWN(VLOOKUP(tables_325101!C94,input_325101!A:H,8,FALSE),0))</f>
        <v>9315</v>
      </c>
      <c r="P94" s="48">
        <f ca="1">O94/SUM(O:O)</f>
        <v>3.1050000000000001E-3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input_325101!A$2</f>
        <v>325101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IFERROR(VLOOKUP(B95,input_325101!L:R,7,FALSE),ROUNDDOWN(VLOOKUP(tables_325101!C95,input_325101!A:H,8,FALSE),0))</f>
        <v>1035</v>
      </c>
      <c r="P95" s="48">
        <f ca="1">O95/SUM(O:O)</f>
        <v>3.4499999999999998E-4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input_325101!A$2</f>
        <v>325101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IFERROR(VLOOKUP(B96,input_325101!L:R,7,FALSE),ROUNDDOWN(VLOOKUP(tables_325101!C96,input_325101!A:H,8,FALSE),0))</f>
        <v>10350</v>
      </c>
      <c r="P96" s="48">
        <f ca="1">O96/SUM(O:O)</f>
        <v>3.4499999999999999E-3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input_325101!A$2</f>
        <v>325101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IFERROR(VLOOKUP(B97,input_325101!L:R,7,FALSE),ROUNDDOWN(VLOOKUP(tables_325101!C97,input_325101!A:H,8,FALSE),0))</f>
        <v>9315</v>
      </c>
      <c r="P97" s="48">
        <f ca="1">O97/SUM(O:O)</f>
        <v>3.1050000000000001E-3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input_325101!A$2</f>
        <v>325101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IFERROR(VLOOKUP(B98,input_325101!L:R,7,FALSE),ROUNDDOWN(VLOOKUP(tables_325101!C98,input_325101!A:H,8,FALSE),0))</f>
        <v>1035</v>
      </c>
      <c r="P98" s="48">
        <f ca="1">O98/SUM(O:O)</f>
        <v>3.4499999999999998E-4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input_325101!A$2</f>
        <v>325101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IFERROR(VLOOKUP(B99,input_325101!L:R,7,FALSE),ROUNDDOWN(VLOOKUP(tables_325101!C99,input_325101!A:H,8,FALSE),0))</f>
        <v>10350</v>
      </c>
      <c r="P99" s="48">
        <f ca="1">O99/SUM(O:O)</f>
        <v>3.4499999999999999E-3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input_325101!A$2</f>
        <v>325101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IFERROR(VLOOKUP(B100,input_325101!L:R,7,FALSE),ROUNDDOWN(VLOOKUP(tables_325101!C100,input_325101!A:H,8,FALSE),0))</f>
        <v>9315</v>
      </c>
      <c r="P100" s="48">
        <f ca="1">O100/SUM(O:O)</f>
        <v>3.1050000000000001E-3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input_325101!A$2</f>
        <v>325101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IFERROR(VLOOKUP(B101,input_325101!L:R,7,FALSE),ROUNDDOWN(VLOOKUP(tables_325101!C101,input_325101!A:H,8,FALSE),0))</f>
        <v>1035</v>
      </c>
      <c r="P101" s="48">
        <f ca="1">O101/SUM(O:O)</f>
        <v>3.4499999999999998E-4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input_325101!A$2</f>
        <v>325101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IFERROR(VLOOKUP(B102,input_325101!L:R,7,FALSE),ROUNDDOWN(VLOOKUP(tables_325101!C102,input_325101!A:H,8,FALSE),0))</f>
        <v>48300</v>
      </c>
      <c r="P102" s="48">
        <f ca="1">O102/SUM(O:O)</f>
        <v>1.61E-2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input_325101!A$2</f>
        <v>325101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IFERROR(VLOOKUP(B103,input_325101!L:R,7,FALSE),ROUNDDOWN(VLOOKUP(tables_325101!C103,input_325101!A:H,8,FALSE),0))</f>
        <v>43470</v>
      </c>
      <c r="P103" s="48">
        <f ca="1">O103/SUM(O:O)</f>
        <v>1.4489999999999999E-2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input_325101!A$2</f>
        <v>325101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IFERROR(VLOOKUP(B104,input_325101!L:R,7,FALSE),ROUNDDOWN(VLOOKUP(tables_325101!C104,input_325101!A:H,8,FALSE),0))</f>
        <v>4830</v>
      </c>
      <c r="P104" s="48">
        <f ca="1">O104/SUM(O:O)</f>
        <v>1.6100000000000001E-3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input_325101!A$2</f>
        <v>325101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IFERROR(VLOOKUP(B105,input_325101!L:R,7,FALSE),ROUNDDOWN(VLOOKUP(tables_325101!C105,input_325101!A:H,8,FALSE),0))</f>
        <v>10350</v>
      </c>
      <c r="P105" s="48">
        <f ca="1">O105/SUM(O:O)</f>
        <v>3.4499999999999999E-3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input_325101!A$2</f>
        <v>325101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IFERROR(VLOOKUP(B106,input_325101!L:R,7,FALSE),ROUNDDOWN(VLOOKUP(tables_325101!C106,input_325101!A:H,8,FALSE),0))</f>
        <v>9315</v>
      </c>
      <c r="P106" s="48">
        <f ca="1">O106/SUM(O:O)</f>
        <v>3.1050000000000001E-3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input_325101!A$2</f>
        <v>325101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IFERROR(VLOOKUP(B107,input_325101!L:R,7,FALSE),ROUNDDOWN(VLOOKUP(tables_325101!C107,input_325101!A:H,8,FALSE),0))</f>
        <v>1035</v>
      </c>
      <c r="P107" s="48">
        <f ca="1">O107/SUM(O:O)</f>
        <v>3.4499999999999998E-4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input_325101!A$2</f>
        <v>325101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IFERROR(VLOOKUP(B108,input_325101!L:R,7,FALSE),ROUNDDOWN(VLOOKUP(tables_325101!C108,input_325101!A:H,8,FALSE),0))</f>
        <v>10350</v>
      </c>
      <c r="P108" s="48">
        <f ca="1">O108/SUM(O:O)</f>
        <v>3.4499999999999999E-3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input_325101!A$2</f>
        <v>325101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IFERROR(VLOOKUP(B109,input_325101!L:R,7,FALSE),ROUNDDOWN(VLOOKUP(tables_325101!C109,input_325101!A:H,8,FALSE),0))</f>
        <v>9315</v>
      </c>
      <c r="P109" s="48">
        <f ca="1">O109/SUM(O:O)</f>
        <v>3.1050000000000001E-3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input_325101!A$2</f>
        <v>325101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IFERROR(VLOOKUP(B110,input_325101!L:R,7,FALSE),ROUNDDOWN(VLOOKUP(tables_325101!C110,input_325101!A:H,8,FALSE),0))</f>
        <v>1035</v>
      </c>
      <c r="P110" s="48">
        <f ca="1">O110/SUM(O:O)</f>
        <v>3.4499999999999998E-4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input_325101!A$2</f>
        <v>325101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IFERROR(VLOOKUP(B111,input_325101!L:R,7,FALSE),ROUNDDOWN(VLOOKUP(tables_325101!C111,input_325101!A:H,8,FALSE),0))</f>
        <v>720</v>
      </c>
      <c r="P111" s="48">
        <f ca="1">O111/SUM(O:O)</f>
        <v>2.4000000000000001E-4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input_325101!A$2</f>
        <v>325101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IFERROR(VLOOKUP(B112,input_325101!L:R,7,FALSE),ROUNDDOWN(VLOOKUP(tables_325101!C112,input_325101!A:H,8,FALSE),0))</f>
        <v>648</v>
      </c>
      <c r="P112" s="48">
        <f ca="1">O112/SUM(O:O)</f>
        <v>2.1599999999999999E-4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input_325101!A$2</f>
        <v>325101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IFERROR(VLOOKUP(B113,input_325101!L:R,7,FALSE),ROUNDDOWN(VLOOKUP(tables_325101!C113,input_325101!A:H,8,FALSE),0))</f>
        <v>72</v>
      </c>
      <c r="P113" s="48">
        <f ca="1">O113/SUM(O:O)</f>
        <v>2.4000000000000001E-5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input_325101!A$2</f>
        <v>325101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IFERROR(VLOOKUP(B114,input_325101!L:R,7,FALSE),ROUNDDOWN(VLOOKUP(tables_325101!C114,input_325101!A:H,8,FALSE),0))</f>
        <v>48300</v>
      </c>
      <c r="P114" s="48">
        <f ca="1">O114/SUM(O:O)</f>
        <v>1.61E-2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input_325101!A$2</f>
        <v>325101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IFERROR(VLOOKUP(B115,input_325101!L:R,7,FALSE),ROUNDDOWN(VLOOKUP(tables_325101!C115,input_325101!A:H,8,FALSE),0))</f>
        <v>43470</v>
      </c>
      <c r="P115" s="48">
        <f ca="1">O115/SUM(O:O)</f>
        <v>1.4489999999999999E-2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input_325101!A$2</f>
        <v>325101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IFERROR(VLOOKUP(B116,input_325101!L:R,7,FALSE),ROUNDDOWN(VLOOKUP(tables_325101!C116,input_325101!A:H,8,FALSE),0))</f>
        <v>4830</v>
      </c>
      <c r="P116" s="48">
        <f ca="1">O116/SUM(O:O)</f>
        <v>1.6100000000000001E-3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input_325101!A$2</f>
        <v>325101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IFERROR(VLOOKUP(B117,input_325101!L:R,7,FALSE),ROUNDDOWN(VLOOKUP(tables_325101!C117,input_325101!A:H,8,FALSE),0))</f>
        <v>10350</v>
      </c>
      <c r="P117" s="48">
        <f ca="1">O117/SUM(O:O)</f>
        <v>3.4499999999999999E-3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input_325101!A$2</f>
        <v>325101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IFERROR(VLOOKUP(B118,input_325101!L:R,7,FALSE),ROUNDDOWN(VLOOKUP(tables_325101!C118,input_325101!A:H,8,FALSE),0))</f>
        <v>9315</v>
      </c>
      <c r="P118" s="48">
        <f ca="1">O118/SUM(O:O)</f>
        <v>3.1050000000000001E-3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input_325101!A$2</f>
        <v>325101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IFERROR(VLOOKUP(B119,input_325101!L:R,7,FALSE),ROUNDDOWN(VLOOKUP(tables_325101!C119,input_325101!A:H,8,FALSE),0))</f>
        <v>1035</v>
      </c>
      <c r="P119" s="48">
        <f ca="1">O119/SUM(O:O)</f>
        <v>3.4499999999999998E-4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input_325101!A$2</f>
        <v>325101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IFERROR(VLOOKUP(B120,input_325101!L:R,7,FALSE),ROUNDDOWN(VLOOKUP(tables_325101!C120,input_325101!A:H,8,FALSE),0))</f>
        <v>10350</v>
      </c>
      <c r="P120" s="48">
        <f ca="1">O120/SUM(O:O)</f>
        <v>3.4499999999999999E-3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input_325101!A$2</f>
        <v>325101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IFERROR(VLOOKUP(B121,input_325101!L:R,7,FALSE),ROUNDDOWN(VLOOKUP(tables_325101!C121,input_325101!A:H,8,FALSE),0))</f>
        <v>9315</v>
      </c>
      <c r="P121" s="48">
        <f ca="1">O121/SUM(O:O)</f>
        <v>3.1050000000000001E-3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input_325101!A$2</f>
        <v>325101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IFERROR(VLOOKUP(B122,input_325101!L:R,7,FALSE),ROUNDDOWN(VLOOKUP(tables_325101!C122,input_325101!A:H,8,FALSE),0))</f>
        <v>1035</v>
      </c>
      <c r="P122" s="48">
        <f ca="1">O122/SUM(O:O)</f>
        <v>3.4499999999999998E-4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input_325101!A$2</f>
        <v>325101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IFERROR(VLOOKUP(B123,input_325101!L:R,7,FALSE),ROUNDDOWN(VLOOKUP(tables_325101!C123,input_325101!A:H,8,FALSE),0))</f>
        <v>10350</v>
      </c>
      <c r="P123" s="48">
        <f ca="1">O123/SUM(O:O)</f>
        <v>3.4499999999999999E-3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input_325101!A$2</f>
        <v>325101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IFERROR(VLOOKUP(B124,input_325101!L:R,7,FALSE),ROUNDDOWN(VLOOKUP(tables_325101!C124,input_325101!A:H,8,FALSE),0))</f>
        <v>9315</v>
      </c>
      <c r="P124" s="48">
        <f ca="1">O124/SUM(O:O)</f>
        <v>3.1050000000000001E-3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input_325101!A$2</f>
        <v>325101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IFERROR(VLOOKUP(B125,input_325101!L:R,7,FALSE),ROUNDDOWN(VLOOKUP(tables_325101!C125,input_325101!A:H,8,FALSE),0))</f>
        <v>1035</v>
      </c>
      <c r="P125" s="48">
        <f ca="1">O125/SUM(O:O)</f>
        <v>3.4499999999999998E-4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input_325101!A$2</f>
        <v>325101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IFERROR(VLOOKUP(B126,input_325101!L:R,7,FALSE),ROUNDDOWN(VLOOKUP(tables_325101!C126,input_325101!A:H,8,FALSE),0))</f>
        <v>48300</v>
      </c>
      <c r="P126" s="48">
        <f ca="1">O126/SUM(O:O)</f>
        <v>1.61E-2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input_325101!A$2</f>
        <v>325101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IFERROR(VLOOKUP(B127,input_325101!L:R,7,FALSE),ROUNDDOWN(VLOOKUP(tables_325101!C127,input_325101!A:H,8,FALSE),0))</f>
        <v>43470</v>
      </c>
      <c r="P127" s="48">
        <f ca="1">O127/SUM(O:O)</f>
        <v>1.4489999999999999E-2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input_325101!A$2</f>
        <v>325101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IFERROR(VLOOKUP(B128,input_325101!L:R,7,FALSE),ROUNDDOWN(VLOOKUP(tables_325101!C128,input_325101!A:H,8,FALSE),0))</f>
        <v>4830</v>
      </c>
      <c r="P128" s="48">
        <f ca="1">O128/SUM(O:O)</f>
        <v>1.6100000000000001E-3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input_325101!A$2</f>
        <v>325101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IFERROR(VLOOKUP(B129,input_325101!L:R,7,FALSE),ROUNDDOWN(VLOOKUP(tables_325101!C129,input_325101!A:H,8,FALSE),0))</f>
        <v>10350</v>
      </c>
      <c r="P129" s="48">
        <f ca="1">O129/SUM(O:O)</f>
        <v>3.4499999999999999E-3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input_325101!A$2</f>
        <v>325101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IFERROR(VLOOKUP(B130,input_325101!L:R,7,FALSE),ROUNDDOWN(VLOOKUP(tables_325101!C130,input_325101!A:H,8,FALSE),0))</f>
        <v>9315</v>
      </c>
      <c r="P130" s="48">
        <f ca="1">O130/SUM(O:O)</f>
        <v>3.1050000000000001E-3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input_325101!A$2</f>
        <v>325101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IFERROR(VLOOKUP(B131,input_325101!L:R,7,FALSE),ROUNDDOWN(VLOOKUP(tables_325101!C131,input_325101!A:H,8,FALSE),0))</f>
        <v>1035</v>
      </c>
      <c r="P131" s="48">
        <f ca="1">O131/SUM(O:O)</f>
        <v>3.4499999999999998E-4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input_325101!A$2</f>
        <v>325101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IFERROR(VLOOKUP(B132,input_325101!L:R,7,FALSE),ROUNDDOWN(VLOOKUP(tables_325101!C132,input_325101!A:H,8,FALSE),0))</f>
        <v>10350</v>
      </c>
      <c r="P132" s="48">
        <f ca="1">O132/SUM(O:O)</f>
        <v>3.4499999999999999E-3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input_325101!A$2</f>
        <v>325101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IFERROR(VLOOKUP(B133,input_325101!L:R,7,FALSE),ROUNDDOWN(VLOOKUP(tables_325101!C133,input_325101!A:H,8,FALSE),0))</f>
        <v>9315</v>
      </c>
      <c r="P133" s="48">
        <f ca="1">O133/SUM(O:O)</f>
        <v>3.1050000000000001E-3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input_325101!A$2</f>
        <v>325101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IFERROR(VLOOKUP(B134,input_325101!L:R,7,FALSE),ROUNDDOWN(VLOOKUP(tables_325101!C134,input_325101!A:H,8,FALSE),0))</f>
        <v>1035</v>
      </c>
      <c r="P134" s="48">
        <f ca="1">O134/SUM(O:O)</f>
        <v>3.4499999999999998E-4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input_325101!A$2</f>
        <v>325101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IFERROR(VLOOKUP(B135,input_325101!L:R,7,FALSE),ROUNDDOWN(VLOOKUP(tables_325101!C135,input_325101!A:H,8,FALSE),0))</f>
        <v>10350</v>
      </c>
      <c r="P135" s="48">
        <f ca="1">O135/SUM(O:O)</f>
        <v>3.4499999999999999E-3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input_325101!A$2</f>
        <v>325101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IFERROR(VLOOKUP(B136,input_325101!L:R,7,FALSE),ROUNDDOWN(VLOOKUP(tables_325101!C136,input_325101!A:H,8,FALSE),0))</f>
        <v>9315</v>
      </c>
      <c r="P136" s="48">
        <f ca="1">O136/SUM(O:O)</f>
        <v>3.1050000000000001E-3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input_325101!A$2</f>
        <v>325101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IFERROR(VLOOKUP(B137,input_325101!L:R,7,FALSE),ROUNDDOWN(VLOOKUP(tables_325101!C137,input_325101!A:H,8,FALSE),0))</f>
        <v>1035</v>
      </c>
      <c r="P137" s="48">
        <f ca="1">O137/SUM(O:O)</f>
        <v>3.4499999999999998E-4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input_325101!A$2</f>
        <v>325101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IFERROR(VLOOKUP(B138,input_325101!L:R,7,FALSE),ROUNDDOWN(VLOOKUP(tables_325101!C138,input_325101!A:H,8,FALSE),0))</f>
        <v>5700</v>
      </c>
      <c r="P138" s="48">
        <f ca="1">O138/SUM(O:O)</f>
        <v>1.9E-3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input_325101!A$2</f>
        <v>325101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IFERROR(VLOOKUP(B139,input_325101!L:R,7,FALSE),ROUNDDOWN(VLOOKUP(tables_325101!C139,input_325101!A:H,8,FALSE),0))</f>
        <v>300</v>
      </c>
      <c r="P139" s="48">
        <f ca="1">O139/SUM(O:O)</f>
        <v>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input_325101!A$2</f>
        <v>325101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IFERROR(VLOOKUP(B140,input_325101!L:R,7,FALSE),ROUNDDOWN(VLOOKUP(tables_325101!C140,input_325101!A:H,8,FALSE),0))</f>
        <v>1368</v>
      </c>
      <c r="P140" s="48">
        <f ca="1">O140/SUM(O:O)</f>
        <v>4.5600000000000003E-4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input_325101!A$2</f>
        <v>325101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IFERROR(VLOOKUP(B141,input_325101!L:R,7,FALSE),ROUNDDOWN(VLOOKUP(tables_325101!C141,input_325101!A:H,8,FALSE),0))</f>
        <v>72</v>
      </c>
      <c r="P141" s="48">
        <f ca="1">O141/SUM(O:O)</f>
        <v>2.4000000000000001E-5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input_325101!A$2</f>
        <v>325101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IFERROR(VLOOKUP(B142,input_325101!L:R,7,FALSE),ROUNDDOWN(VLOOKUP(tables_325101!C142,input_325101!A:H,8,FALSE),0))</f>
        <v>1368</v>
      </c>
      <c r="P142" s="48">
        <f ca="1">O142/SUM(O:O)</f>
        <v>4.5600000000000003E-4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input_325101!A$2</f>
        <v>325101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IFERROR(VLOOKUP(B143,input_325101!L:R,7,FALSE),ROUNDDOWN(VLOOKUP(tables_325101!C143,input_325101!A:H,8,FALSE),0))</f>
        <v>72</v>
      </c>
      <c r="P143" s="48">
        <f ca="1">O143/SUM(O:O)</f>
        <v>2.4000000000000001E-5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input_325101!A$2</f>
        <v>325101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IFERROR(VLOOKUP(B144,input_325101!L:R,7,FALSE),ROUNDDOWN(VLOOKUP(tables_325101!C144,input_325101!A:H,8,FALSE),0))</f>
        <v>1368</v>
      </c>
      <c r="P144" s="48">
        <f ca="1">O144/SUM(O:O)</f>
        <v>4.5600000000000003E-4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input_325101!A$2</f>
        <v>325101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IFERROR(VLOOKUP(B145,input_325101!L:R,7,FALSE),ROUNDDOWN(VLOOKUP(tables_325101!C145,input_325101!A:H,8,FALSE),0))</f>
        <v>72</v>
      </c>
      <c r="P145" s="48">
        <f ca="1">O145/SUM(O:O)</f>
        <v>2.4000000000000001E-5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input_325101!A$2</f>
        <v>325101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IFERROR(VLOOKUP(B146,input_325101!L:R,7,FALSE),ROUNDDOWN(VLOOKUP(tables_325101!C146,input_325101!A:H,8,FALSE),0))</f>
        <v>48300</v>
      </c>
      <c r="P146" s="48">
        <f ca="1">O146/SUM(O:O)</f>
        <v>1.61E-2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input_325101!A$2</f>
        <v>325101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IFERROR(VLOOKUP(B147,input_325101!L:R,7,FALSE),ROUNDDOWN(VLOOKUP(tables_325101!C147,input_325101!A:H,8,FALSE),0))</f>
        <v>43470</v>
      </c>
      <c r="P147" s="48">
        <f ca="1">O147/SUM(O:O)</f>
        <v>1.4489999999999999E-2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input_325101!A$2</f>
        <v>325101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IFERROR(VLOOKUP(B148,input_325101!L:R,7,FALSE),ROUNDDOWN(VLOOKUP(tables_325101!C148,input_325101!A:H,8,FALSE),0))</f>
        <v>4830</v>
      </c>
      <c r="P148" s="48">
        <f ca="1">O148/SUM(O:O)</f>
        <v>1.6100000000000001E-3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input_325101!A$2</f>
        <v>325101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IFERROR(VLOOKUP(B149,input_325101!L:R,7,FALSE),ROUNDDOWN(VLOOKUP(tables_325101!C149,input_325101!A:H,8,FALSE),0))</f>
        <v>1368</v>
      </c>
      <c r="P149" s="48">
        <f ca="1">O149/SUM(O:O)</f>
        <v>4.5600000000000003E-4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input_325101!A$2</f>
        <v>325101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IFERROR(VLOOKUP(B150,input_325101!L:R,7,FALSE),ROUNDDOWN(VLOOKUP(tables_325101!C150,input_325101!A:H,8,FALSE),0))</f>
        <v>72</v>
      </c>
      <c r="P150" s="48">
        <f ca="1">O150/SUM(O:O)</f>
        <v>2.4000000000000001E-5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input_325101!A$2</f>
        <v>325101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IFERROR(VLOOKUP(B151,input_325101!L:R,7,FALSE),ROUNDDOWN(VLOOKUP(tables_325101!C151,input_325101!A:H,8,FALSE),0))</f>
        <v>1368</v>
      </c>
      <c r="P151" s="48">
        <f ca="1">O151/SUM(O:O)</f>
        <v>4.5600000000000003E-4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input_325101!A$2</f>
        <v>325101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IFERROR(VLOOKUP(B152,input_325101!L:R,7,FALSE),ROUNDDOWN(VLOOKUP(tables_325101!C152,input_325101!A:H,8,FALSE),0))</f>
        <v>72</v>
      </c>
      <c r="P152" s="48">
        <f ca="1">O152/SUM(O:O)</f>
        <v>2.4000000000000001E-5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input_325101!A$2</f>
        <v>325101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IFERROR(VLOOKUP(B153,input_325101!L:R,7,FALSE),ROUNDDOWN(VLOOKUP(tables_325101!C153,input_325101!A:H,8,FALSE),0))</f>
        <v>10350</v>
      </c>
      <c r="P153" s="48">
        <f ca="1">O153/SUM(O:O)</f>
        <v>3.4499999999999999E-3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input_325101!A$2</f>
        <v>325101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IFERROR(VLOOKUP(B154,input_325101!L:R,7,FALSE),ROUNDDOWN(VLOOKUP(tables_325101!C154,input_325101!A:H,8,FALSE),0))</f>
        <v>9315</v>
      </c>
      <c r="P154" s="48">
        <f ca="1">O154/SUM(O:O)</f>
        <v>3.1050000000000001E-3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input_325101!A$2</f>
        <v>325101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IFERROR(VLOOKUP(B155,input_325101!L:R,7,FALSE),ROUNDDOWN(VLOOKUP(tables_325101!C155,input_325101!A:H,8,FALSE),0))</f>
        <v>1035</v>
      </c>
      <c r="P155" s="48">
        <f ca="1">O155/SUM(O:O)</f>
        <v>3.4499999999999998E-4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input_325101!A$2</f>
        <v>325101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IFERROR(VLOOKUP(B156,input_325101!L:R,7,FALSE),ROUNDDOWN(VLOOKUP(tables_325101!C156,input_325101!A:H,8,FALSE),0))</f>
        <v>5700</v>
      </c>
      <c r="P156" s="48">
        <f ca="1">O156/SUM(O:O)</f>
        <v>1.9E-3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input_325101!A$2</f>
        <v>325101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IFERROR(VLOOKUP(B157,input_325101!L:R,7,FALSE),ROUNDDOWN(VLOOKUP(tables_325101!C157,input_325101!A:H,8,FALSE),0))</f>
        <v>300</v>
      </c>
      <c r="P157" s="48">
        <f ca="1">O157/SUM(O:O)</f>
        <v>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input_325101!A$2</f>
        <v>325101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IFERROR(VLOOKUP(B158,input_325101!L:R,7,FALSE),ROUNDDOWN(VLOOKUP(tables_325101!C158,input_325101!A:H,8,FALSE),0))</f>
        <v>10350</v>
      </c>
      <c r="P158" s="48">
        <f ca="1">O158/SUM(O:O)</f>
        <v>3.4499999999999999E-3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input_325101!A$2</f>
        <v>325101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IFERROR(VLOOKUP(B159,input_325101!L:R,7,FALSE),ROUNDDOWN(VLOOKUP(tables_325101!C159,input_325101!A:H,8,FALSE),0))</f>
        <v>9315</v>
      </c>
      <c r="P159" s="48">
        <f ca="1">O159/SUM(O:O)</f>
        <v>3.1050000000000001E-3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input_325101!A$2</f>
        <v>325101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IFERROR(VLOOKUP(B160,input_325101!L:R,7,FALSE),ROUNDDOWN(VLOOKUP(tables_325101!C160,input_325101!A:H,8,FALSE),0))</f>
        <v>1035</v>
      </c>
      <c r="P160" s="48">
        <f ca="1">O160/SUM(O:O)</f>
        <v>3.4499999999999998E-4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input_325101!A$2</f>
        <v>325101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IFERROR(VLOOKUP(B161,input_325101!L:R,7,FALSE),ROUNDDOWN(VLOOKUP(tables_325101!C161,input_325101!A:H,8,FALSE),0))</f>
        <v>10350</v>
      </c>
      <c r="P161" s="48">
        <f ca="1">O161/SUM(O:O)</f>
        <v>3.4499999999999999E-3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input_325101!A$2</f>
        <v>325101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IFERROR(VLOOKUP(B162,input_325101!L:R,7,FALSE),ROUNDDOWN(VLOOKUP(tables_325101!C162,input_325101!A:H,8,FALSE),0))</f>
        <v>9315</v>
      </c>
      <c r="P162" s="48">
        <f ca="1">O162/SUM(O:O)</f>
        <v>3.1050000000000001E-3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input_325101!A$2</f>
        <v>325101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IFERROR(VLOOKUP(B163,input_325101!L:R,7,FALSE),ROUNDDOWN(VLOOKUP(tables_325101!C163,input_325101!A:H,8,FALSE),0))</f>
        <v>1035</v>
      </c>
      <c r="P163" s="48">
        <f ca="1">O163/SUM(O:O)</f>
        <v>3.4499999999999998E-4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input_325101!A$2</f>
        <v>325101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IFERROR(VLOOKUP(B164,input_325101!L:R,7,FALSE),ROUNDDOWN(VLOOKUP(tables_325101!C164,input_325101!A:H,8,FALSE),0))</f>
        <v>1368</v>
      </c>
      <c r="P164" s="48">
        <f ca="1">O164/SUM(O:O)</f>
        <v>4.5600000000000003E-4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input_325101!A$2</f>
        <v>325101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IFERROR(VLOOKUP(B165,input_325101!L:R,7,FALSE),ROUNDDOWN(VLOOKUP(tables_325101!C165,input_325101!A:H,8,FALSE),0))</f>
        <v>72</v>
      </c>
      <c r="P165" s="48">
        <f ca="1">O165/SUM(O:O)</f>
        <v>2.4000000000000001E-5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input_325101!A$2</f>
        <v>325101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IFERROR(VLOOKUP(B166,input_325101!L:R,7,FALSE),ROUNDDOWN(VLOOKUP(tables_325101!C166,input_325101!A:H,8,FALSE),0))</f>
        <v>48300</v>
      </c>
      <c r="P166" s="48">
        <f ca="1">O166/SUM(O:O)</f>
        <v>1.61E-2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input_325101!A$2</f>
        <v>325101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IFERROR(VLOOKUP(B167,input_325101!L:R,7,FALSE),ROUNDDOWN(VLOOKUP(tables_325101!C167,input_325101!A:H,8,FALSE),0))</f>
        <v>43470</v>
      </c>
      <c r="P167" s="48">
        <f ca="1">O167/SUM(O:O)</f>
        <v>1.4489999999999999E-2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input_325101!A$2</f>
        <v>325101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IFERROR(VLOOKUP(B168,input_325101!L:R,7,FALSE),ROUNDDOWN(VLOOKUP(tables_325101!C168,input_325101!A:H,8,FALSE),0))</f>
        <v>4830</v>
      </c>
      <c r="P168" s="48">
        <f ca="1">O168/SUM(O:O)</f>
        <v>1.6100000000000001E-3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input_325101!A$2</f>
        <v>325101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IFERROR(VLOOKUP(B169,input_325101!L:R,7,FALSE),ROUNDDOWN(VLOOKUP(tables_325101!C169,input_325101!A:H,8,FALSE),0))</f>
        <v>1368</v>
      </c>
      <c r="P169" s="48">
        <f ca="1">O169/SUM(O:O)</f>
        <v>4.5600000000000003E-4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input_325101!A$2</f>
        <v>325101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IFERROR(VLOOKUP(B170,input_325101!L:R,7,FALSE),ROUNDDOWN(VLOOKUP(tables_325101!C170,input_325101!A:H,8,FALSE),0))</f>
        <v>72</v>
      </c>
      <c r="P170" s="48">
        <f ca="1">O170/SUM(O:O)</f>
        <v>2.4000000000000001E-5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input_325101!A$2</f>
        <v>325101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IFERROR(VLOOKUP(B171,input_325101!L:R,7,FALSE),ROUNDDOWN(VLOOKUP(tables_325101!C171,input_325101!A:H,8,FALSE),0))</f>
        <v>10350</v>
      </c>
      <c r="P171" s="48">
        <f ca="1">O171/SUM(O:O)</f>
        <v>3.4499999999999999E-3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input_325101!A$2</f>
        <v>325101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IFERROR(VLOOKUP(B172,input_325101!L:R,7,FALSE),ROUNDDOWN(VLOOKUP(tables_325101!C172,input_325101!A:H,8,FALSE),0))</f>
        <v>9315</v>
      </c>
      <c r="P172" s="48">
        <f ca="1">O172/SUM(O:O)</f>
        <v>3.1050000000000001E-3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input_325101!A$2</f>
        <v>325101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IFERROR(VLOOKUP(B173,input_325101!L:R,7,FALSE),ROUNDDOWN(VLOOKUP(tables_325101!C173,input_325101!A:H,8,FALSE),0))</f>
        <v>1035</v>
      </c>
      <c r="P173" s="48">
        <f ca="1">O173/SUM(O:O)</f>
        <v>3.4499999999999998E-4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input_325101!A$2</f>
        <v>325101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IFERROR(VLOOKUP(B174,input_325101!L:R,7,FALSE),ROUNDDOWN(VLOOKUP(tables_325101!C174,input_325101!A:H,8,FALSE),0))</f>
        <v>1368</v>
      </c>
      <c r="P174" s="48">
        <f ca="1">O174/SUM(O:O)</f>
        <v>4.5600000000000003E-4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input_325101!A$2</f>
        <v>325101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IFERROR(VLOOKUP(B175,input_325101!L:R,7,FALSE),ROUNDDOWN(VLOOKUP(tables_325101!C175,input_325101!A:H,8,FALSE),0))</f>
        <v>72</v>
      </c>
      <c r="P175" s="48">
        <f ca="1">O175/SUM(O:O)</f>
        <v>2.4000000000000001E-5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input_325101!A$2</f>
        <v>325101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IFERROR(VLOOKUP(B176,input_325101!L:R,7,FALSE),ROUNDDOWN(VLOOKUP(tables_325101!C176,input_325101!A:H,8,FALSE),0))</f>
        <v>5700</v>
      </c>
      <c r="P176" s="48">
        <f ca="1">O176/SUM(O:O)</f>
        <v>1.9E-3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input_325101!A$2</f>
        <v>325101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IFERROR(VLOOKUP(B177,input_325101!L:R,7,FALSE),ROUNDDOWN(VLOOKUP(tables_325101!C177,input_325101!A:H,8,FALSE),0))</f>
        <v>300</v>
      </c>
      <c r="P177" s="48">
        <f ca="1">O177/SUM(O:O)</f>
        <v>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input_325101!A$2</f>
        <v>325101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IFERROR(VLOOKUP(B178,input_325101!L:R,7,FALSE),ROUNDDOWN(VLOOKUP(tables_325101!C178,input_325101!A:H,8,FALSE),0))</f>
        <v>10350</v>
      </c>
      <c r="P178" s="48">
        <f ca="1">O178/SUM(O:O)</f>
        <v>3.4499999999999999E-3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input_325101!A$2</f>
        <v>325101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IFERROR(VLOOKUP(B179,input_325101!L:R,7,FALSE),ROUNDDOWN(VLOOKUP(tables_325101!C179,input_325101!A:H,8,FALSE),0))</f>
        <v>9315</v>
      </c>
      <c r="P179" s="48">
        <f ca="1">O179/SUM(O:O)</f>
        <v>3.1050000000000001E-3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input_325101!A$2</f>
        <v>325101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IFERROR(VLOOKUP(B180,input_325101!L:R,7,FALSE),ROUNDDOWN(VLOOKUP(tables_325101!C180,input_325101!A:H,8,FALSE),0))</f>
        <v>1035</v>
      </c>
      <c r="P180" s="48">
        <f ca="1">O180/SUM(O:O)</f>
        <v>3.4499999999999998E-4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input_325101!A$2</f>
        <v>325101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IFERROR(VLOOKUP(B181,input_325101!L:R,7,FALSE),ROUNDDOWN(VLOOKUP(tables_325101!C181,input_325101!A:H,8,FALSE),0))</f>
        <v>10350</v>
      </c>
      <c r="P181" s="48">
        <f ca="1">O181/SUM(O:O)</f>
        <v>3.4499999999999999E-3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input_325101!A$2</f>
        <v>325101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IFERROR(VLOOKUP(B182,input_325101!L:R,7,FALSE),ROUNDDOWN(VLOOKUP(tables_325101!C182,input_325101!A:H,8,FALSE),0))</f>
        <v>9315</v>
      </c>
      <c r="P182" s="48">
        <f ca="1">O182/SUM(O:O)</f>
        <v>3.1050000000000001E-3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input_325101!A$2</f>
        <v>325101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IFERROR(VLOOKUP(B183,input_325101!L:R,7,FALSE),ROUNDDOWN(VLOOKUP(tables_325101!C183,input_325101!A:H,8,FALSE),0))</f>
        <v>1035</v>
      </c>
      <c r="P183" s="48">
        <f ca="1">O183/SUM(O:O)</f>
        <v>3.4499999999999998E-4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input_325101!A$2</f>
        <v>325101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IFERROR(VLOOKUP(B184,input_325101!L:R,7,FALSE),ROUNDDOWN(VLOOKUP(tables_325101!C184,input_325101!A:H,8,FALSE),0))</f>
        <v>1368</v>
      </c>
      <c r="P184" s="48">
        <f ca="1">O184/SUM(O:O)</f>
        <v>4.5600000000000003E-4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input_325101!A$2</f>
        <v>325101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IFERROR(VLOOKUP(B185,input_325101!L:R,7,FALSE),ROUNDDOWN(VLOOKUP(tables_325101!C185,input_325101!A:H,8,FALSE),0))</f>
        <v>72</v>
      </c>
      <c r="P185" s="48">
        <f ca="1">O185/SUM(O:O)</f>
        <v>2.4000000000000001E-5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input_325101!A$2</f>
        <v>325101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IFERROR(VLOOKUP(B186,input_325101!L:R,7,FALSE),ROUNDDOWN(VLOOKUP(tables_325101!C186,input_325101!A:H,8,FALSE),0))</f>
        <v>48300</v>
      </c>
      <c r="P186" s="48">
        <f ca="1">O186/SUM(O:O)</f>
        <v>1.61E-2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input_325101!A$2</f>
        <v>325101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IFERROR(VLOOKUP(B187,input_325101!L:R,7,FALSE),ROUNDDOWN(VLOOKUP(tables_325101!C187,input_325101!A:H,8,FALSE),0))</f>
        <v>43470</v>
      </c>
      <c r="P187" s="48">
        <f ca="1">O187/SUM(O:O)</f>
        <v>1.4489999999999999E-2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input_325101!A$2</f>
        <v>325101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IFERROR(VLOOKUP(B188,input_325101!L:R,7,FALSE),ROUNDDOWN(VLOOKUP(tables_325101!C188,input_325101!A:H,8,FALSE),0))</f>
        <v>4830</v>
      </c>
      <c r="P188" s="48">
        <f ca="1">O188/SUM(O:O)</f>
        <v>1.6100000000000001E-3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input_325101!A$2</f>
        <v>325101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IFERROR(VLOOKUP(B189,input_325101!L:R,7,FALSE),ROUNDDOWN(VLOOKUP(tables_325101!C189,input_325101!A:H,8,FALSE),0))</f>
        <v>1368</v>
      </c>
      <c r="P189" s="48">
        <f ca="1">O189/SUM(O:O)</f>
        <v>4.5600000000000003E-4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input_325101!A$2</f>
        <v>325101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IFERROR(VLOOKUP(B190,input_325101!L:R,7,FALSE),ROUNDDOWN(VLOOKUP(tables_325101!C190,input_325101!A:H,8,FALSE),0))</f>
        <v>72</v>
      </c>
      <c r="P190" s="48">
        <f ca="1">O190/SUM(O:O)</f>
        <v>2.4000000000000001E-5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input_325101!A$2</f>
        <v>325101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IFERROR(VLOOKUP(B191,input_325101!L:R,7,FALSE),ROUNDDOWN(VLOOKUP(tables_325101!C191,input_325101!A:H,8,FALSE),0))</f>
        <v>1368</v>
      </c>
      <c r="P191" s="48">
        <f ca="1">O191/SUM(O:O)</f>
        <v>4.5600000000000003E-4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input_325101!A$2</f>
        <v>325101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IFERROR(VLOOKUP(B192,input_325101!L:R,7,FALSE),ROUNDDOWN(VLOOKUP(tables_325101!C192,input_325101!A:H,8,FALSE),0))</f>
        <v>72</v>
      </c>
      <c r="P192" s="48">
        <f ca="1">O192/SUM(O:O)</f>
        <v>2.4000000000000001E-5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input_325101!A$2</f>
        <v>325101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IFERROR(VLOOKUP(B193,input_325101!L:R,7,FALSE),ROUNDDOWN(VLOOKUP(tables_325101!C193,input_325101!A:H,8,FALSE),0))</f>
        <v>10350</v>
      </c>
      <c r="P193" s="48">
        <f ca="1">O193/SUM(O:O)</f>
        <v>3.4499999999999999E-3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input_325101!A$2</f>
        <v>325101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IFERROR(VLOOKUP(B194,input_325101!L:R,7,FALSE),ROUNDDOWN(VLOOKUP(tables_325101!C194,input_325101!A:H,8,FALSE),0))</f>
        <v>9315</v>
      </c>
      <c r="P194" s="48">
        <f ca="1">O194/SUM(O:O)</f>
        <v>3.1050000000000001E-3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input_325101!A$2</f>
        <v>325101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IFERROR(VLOOKUP(B195,input_325101!L:R,7,FALSE),ROUNDDOWN(VLOOKUP(tables_325101!C195,input_325101!A:H,8,FALSE),0))</f>
        <v>1035</v>
      </c>
      <c r="P195" s="48">
        <f ca="1">O195/SUM(O:O)</f>
        <v>3.4499999999999998E-4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input_325101!A$2</f>
        <v>325101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IFERROR(VLOOKUP(B196,input_325101!L:R,7,FALSE),ROUNDDOWN(VLOOKUP(tables_325101!C196,input_325101!A:H,8,FALSE),0))</f>
        <v>5700</v>
      </c>
      <c r="P196" s="48">
        <f ca="1">O196/SUM(O:O)</f>
        <v>1.9E-3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input_325101!A$2</f>
        <v>325101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IFERROR(VLOOKUP(B197,input_325101!L:R,7,FALSE),ROUNDDOWN(VLOOKUP(tables_325101!C197,input_325101!A:H,8,FALSE),0))</f>
        <v>300</v>
      </c>
      <c r="P197" s="48">
        <f ca="1">O197/SUM(O:O)</f>
        <v>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input_325101!A$2</f>
        <v>325101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IFERROR(VLOOKUP(B198,input_325101!L:R,7,FALSE),ROUNDDOWN(VLOOKUP(tables_325101!C198,input_325101!A:H,8,FALSE),0))</f>
        <v>10350</v>
      </c>
      <c r="P198" s="48">
        <f ca="1">O198/SUM(O:O)</f>
        <v>3.4499999999999999E-3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input_325101!A$2</f>
        <v>325101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IFERROR(VLOOKUP(B199,input_325101!L:R,7,FALSE),ROUNDDOWN(VLOOKUP(tables_325101!C199,input_325101!A:H,8,FALSE),0))</f>
        <v>9315</v>
      </c>
      <c r="P199" s="48">
        <f ca="1">O199/SUM(O:O)</f>
        <v>3.1050000000000001E-3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input_325101!A$2</f>
        <v>325101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IFERROR(VLOOKUP(B200,input_325101!L:R,7,FALSE),ROUNDDOWN(VLOOKUP(tables_325101!C200,input_325101!A:H,8,FALSE),0))</f>
        <v>1035</v>
      </c>
      <c r="P200" s="48">
        <f ca="1">O200/SUM(O:O)</f>
        <v>3.4499999999999998E-4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input_325101!A$2</f>
        <v>325101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IFERROR(VLOOKUP(B201,input_325101!L:R,7,FALSE),ROUNDDOWN(VLOOKUP(tables_325101!C201,input_325101!A:H,8,FALSE),0))</f>
        <v>1368</v>
      </c>
      <c r="P201" s="48">
        <f ca="1">O201/SUM(O:O)</f>
        <v>4.5600000000000003E-4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input_325101!A$2</f>
        <v>325101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IFERROR(VLOOKUP(B202,input_325101!L:R,7,FALSE),ROUNDDOWN(VLOOKUP(tables_325101!C202,input_325101!A:H,8,FALSE),0))</f>
        <v>72</v>
      </c>
      <c r="P202" s="48">
        <f ca="1">O202/SUM(O:O)</f>
        <v>2.4000000000000001E-5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input_325101!A$2</f>
        <v>325101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IFERROR(VLOOKUP(B203,input_325101!L:R,7,FALSE),ROUNDDOWN(VLOOKUP(tables_325101!C203,input_325101!A:H,8,FALSE),0))</f>
        <v>10350</v>
      </c>
      <c r="P203" s="48">
        <f ca="1">O203/SUM(O:O)</f>
        <v>3.4499999999999999E-3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input_325101!A$2</f>
        <v>325101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IFERROR(VLOOKUP(B204,input_325101!L:R,7,FALSE),ROUNDDOWN(VLOOKUP(tables_325101!C204,input_325101!A:H,8,FALSE),0))</f>
        <v>9315</v>
      </c>
      <c r="P204" s="48">
        <f ca="1">O204/SUM(O:O)</f>
        <v>3.1050000000000001E-3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input_325101!A$2</f>
        <v>325101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IFERROR(VLOOKUP(B205,input_325101!L:R,7,FALSE),ROUNDDOWN(VLOOKUP(tables_325101!C205,input_325101!A:H,8,FALSE),0))</f>
        <v>1035</v>
      </c>
      <c r="P205" s="48">
        <f ca="1">O205/SUM(O:O)</f>
        <v>3.4499999999999998E-4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input_325101!A$2</f>
        <v>325101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IFERROR(VLOOKUP(B206,input_325101!L:R,7,FALSE),ROUNDDOWN(VLOOKUP(tables_325101!C206,input_325101!A:H,8,FALSE),0))</f>
        <v>5700</v>
      </c>
      <c r="P206" s="48">
        <f ca="1">O206/SUM(O:O)</f>
        <v>1.9E-3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input_325101!A$2</f>
        <v>325101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IFERROR(VLOOKUP(B207,input_325101!L:R,7,FALSE),ROUNDDOWN(VLOOKUP(tables_325101!C207,input_325101!A:H,8,FALSE),0))</f>
        <v>300</v>
      </c>
      <c r="P207" s="48">
        <f ca="1">O207/SUM(O:O)</f>
        <v>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input_325101!A$2</f>
        <v>325101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IFERROR(VLOOKUP(B208,input_325101!L:R,7,FALSE),ROUNDDOWN(VLOOKUP(tables_325101!C208,input_325101!A:H,8,FALSE),0))</f>
        <v>1368</v>
      </c>
      <c r="P208" s="48">
        <f ca="1">O208/SUM(O:O)</f>
        <v>4.5600000000000003E-4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input_325101!A$2</f>
        <v>325101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IFERROR(VLOOKUP(B209,input_325101!L:R,7,FALSE),ROUNDDOWN(VLOOKUP(tables_325101!C209,input_325101!A:H,8,FALSE),0))</f>
        <v>72</v>
      </c>
      <c r="P209" s="48">
        <f ca="1">O209/SUM(O:O)</f>
        <v>2.4000000000000001E-5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input_325101!A$2</f>
        <v>325101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IFERROR(VLOOKUP(B210,input_325101!L:R,7,FALSE),ROUNDDOWN(VLOOKUP(tables_325101!C210,input_325101!A:H,8,FALSE),0))</f>
        <v>10350</v>
      </c>
      <c r="P210" s="48">
        <f ca="1">O210/SUM(O:O)</f>
        <v>3.4499999999999999E-3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input_325101!A$2</f>
        <v>325101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IFERROR(VLOOKUP(B211,input_325101!L:R,7,FALSE),ROUNDDOWN(VLOOKUP(tables_325101!C211,input_325101!A:H,8,FALSE),0))</f>
        <v>9315</v>
      </c>
      <c r="P211" s="48">
        <f ca="1">O211/SUM(O:O)</f>
        <v>3.1050000000000001E-3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input_325101!A$2</f>
        <v>325101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IFERROR(VLOOKUP(B212,input_325101!L:R,7,FALSE),ROUNDDOWN(VLOOKUP(tables_325101!C212,input_325101!A:H,8,FALSE),0))</f>
        <v>1035</v>
      </c>
      <c r="P212" s="48">
        <f ca="1">O212/SUM(O:O)</f>
        <v>3.4499999999999998E-4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input_325101!A$2</f>
        <v>325101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IFERROR(VLOOKUP(B213,input_325101!L:R,7,FALSE),ROUNDDOWN(VLOOKUP(tables_325101!C213,input_325101!A:H,8,FALSE),0))</f>
        <v>1368</v>
      </c>
      <c r="P213" s="48">
        <f ca="1">O213/SUM(O:O)</f>
        <v>4.5600000000000003E-4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input_325101!A$2</f>
        <v>325101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IFERROR(VLOOKUP(B214,input_325101!L:R,7,FALSE),ROUNDDOWN(VLOOKUP(tables_325101!C214,input_325101!A:H,8,FALSE),0))</f>
        <v>72</v>
      </c>
      <c r="P214" s="48">
        <f ca="1">O214/SUM(O:O)</f>
        <v>2.4000000000000001E-5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input_325101!A$2</f>
        <v>325101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>color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IFERROR(VLOOKUP(B215,input_325101!L:R,7,FALSE),ROUNDDOWN(VLOOKUP(tables_325101!C215,input_325101!A:H,8,FALSE),0))</f>
        <v>5700</v>
      </c>
      <c r="P215" s="48">
        <f ca="1">O215/SUM(O:O)</f>
        <v>1.9E-3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input_325101!A$2</f>
        <v>325101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>color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IFERROR(VLOOKUP(B216,input_325101!L:R,7,FALSE),ROUNDDOWN(VLOOKUP(tables_325101!C216,input_325101!A:H,8,FALSE),0))</f>
        <v>300</v>
      </c>
      <c r="P216" s="48">
        <f ca="1">O216/SUM(O:O)</f>
        <v>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input_325101!A$2</f>
        <v>325101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IFERROR(VLOOKUP(B217,input_325101!L:R,7,FALSE),ROUNDDOWN(VLOOKUP(tables_325101!C217,input_325101!A:H,8,FALSE),0))</f>
        <v>10350</v>
      </c>
      <c r="P217" s="48">
        <f ca="1">O217/SUM(O:O)</f>
        <v>3.4499999999999999E-3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input_325101!A$2</f>
        <v>325101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IFERROR(VLOOKUP(B218,input_325101!L:R,7,FALSE),ROUNDDOWN(VLOOKUP(tables_325101!C218,input_325101!A:H,8,FALSE),0))</f>
        <v>9315</v>
      </c>
      <c r="P218" s="48">
        <f ca="1">O218/SUM(O:O)</f>
        <v>3.1050000000000001E-3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input_325101!A$2</f>
        <v>325101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IFERROR(VLOOKUP(B219,input_325101!L:R,7,FALSE),ROUNDDOWN(VLOOKUP(tables_325101!C219,input_325101!A:H,8,FALSE),0))</f>
        <v>1035</v>
      </c>
      <c r="P219" s="48">
        <f ca="1">O219/SUM(O:O)</f>
        <v>3.4499999999999998E-4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input_325101!A$2</f>
        <v>325101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IFERROR(VLOOKUP(B220,input_325101!L:R,7,FALSE),ROUNDDOWN(VLOOKUP(tables_325101!C220,input_325101!A:H,8,FALSE),0))</f>
        <v>10350</v>
      </c>
      <c r="P220" s="48">
        <f ca="1">O220/SUM(O:O)</f>
        <v>3.4499999999999999E-3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input_325101!A$2</f>
        <v>325101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IFERROR(VLOOKUP(B221,input_325101!L:R,7,FALSE),ROUNDDOWN(VLOOKUP(tables_325101!C221,input_325101!A:H,8,FALSE),0))</f>
        <v>9315</v>
      </c>
      <c r="P221" s="48">
        <f ca="1">O221/SUM(O:O)</f>
        <v>3.1050000000000001E-3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input_325101!A$2</f>
        <v>325101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IFERROR(VLOOKUP(B222,input_325101!L:R,7,FALSE),ROUNDDOWN(VLOOKUP(tables_325101!C222,input_325101!A:H,8,FALSE),0))</f>
        <v>1035</v>
      </c>
      <c r="P222" s="48">
        <f ca="1">O222/SUM(O:O)</f>
        <v>3.4499999999999998E-4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input_325101!A$2</f>
        <v>325101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IFERROR(VLOOKUP(B223,input_325101!L:R,7,FALSE),ROUNDDOWN(VLOOKUP(tables_325101!C223,input_325101!A:H,8,FALSE),0))</f>
        <v>1368</v>
      </c>
      <c r="P223" s="48">
        <f ca="1">O223/SUM(O:O)</f>
        <v>4.5600000000000003E-4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input_325101!A$2</f>
        <v>325101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IFERROR(VLOOKUP(B224,input_325101!L:R,7,FALSE),ROUNDDOWN(VLOOKUP(tables_325101!C224,input_325101!A:H,8,FALSE),0))</f>
        <v>72</v>
      </c>
      <c r="P224" s="48">
        <f ca="1">O224/SUM(O:O)</f>
        <v>2.4000000000000001E-5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input_325101!A$2</f>
        <v>325101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>color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IFERROR(VLOOKUP(B225,input_325101!L:R,7,FALSE),ROUNDDOWN(VLOOKUP(tables_325101!C225,input_325101!A:H,8,FALSE),0))</f>
        <v>48300</v>
      </c>
      <c r="P225" s="48">
        <f ca="1">O225/SUM(O:O)</f>
        <v>1.61E-2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input_325101!A$2</f>
        <v>325101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>color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IFERROR(VLOOKUP(B226,input_325101!L:R,7,FALSE),ROUNDDOWN(VLOOKUP(tables_325101!C226,input_325101!A:H,8,FALSE),0))</f>
        <v>43470</v>
      </c>
      <c r="P226" s="48">
        <f ca="1">O226/SUM(O:O)</f>
        <v>1.4489999999999999E-2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input_325101!A$2</f>
        <v>325101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>color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IFERROR(VLOOKUP(B227,input_325101!L:R,7,FALSE),ROUNDDOWN(VLOOKUP(tables_325101!C227,input_325101!A:H,8,FALSE),0))</f>
        <v>4830</v>
      </c>
      <c r="P227" s="48">
        <f ca="1">O227/SUM(O:O)</f>
        <v>1.6100000000000001E-3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input_325101!A$2</f>
        <v>325101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IFERROR(VLOOKUP(B228,input_325101!L:R,7,FALSE),ROUNDDOWN(VLOOKUP(tables_325101!C228,input_325101!A:H,8,FALSE),0))</f>
        <v>10350</v>
      </c>
      <c r="P228" s="48">
        <f ca="1">O228/SUM(O:O)</f>
        <v>3.4499999999999999E-3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input_325101!A$2</f>
        <v>325101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IFERROR(VLOOKUP(B229,input_325101!L:R,7,FALSE),ROUNDDOWN(VLOOKUP(tables_325101!C229,input_325101!A:H,8,FALSE),0))</f>
        <v>9315</v>
      </c>
      <c r="P229" s="48">
        <f ca="1">O229/SUM(O:O)</f>
        <v>3.1050000000000001E-3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input_325101!A$2</f>
        <v>325101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IFERROR(VLOOKUP(B230,input_325101!L:R,7,FALSE),ROUNDDOWN(VLOOKUP(tables_325101!C230,input_325101!A:H,8,FALSE),0))</f>
        <v>1035</v>
      </c>
      <c r="P230" s="48">
        <f ca="1">O230/SUM(O:O)</f>
        <v>3.4499999999999998E-4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input_325101!A$2</f>
        <v>325101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IFERROR(VLOOKUP(B231,input_325101!L:R,7,FALSE),ROUNDDOWN(VLOOKUP(tables_325101!C231,input_325101!A:H,8,FALSE),0))</f>
        <v>1368</v>
      </c>
      <c r="P231" s="48">
        <f ca="1">O231/SUM(O:O)</f>
        <v>4.5600000000000003E-4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input_325101!A$2</f>
        <v>325101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IFERROR(VLOOKUP(B232,input_325101!L:R,7,FALSE),ROUNDDOWN(VLOOKUP(tables_325101!C232,input_325101!A:H,8,FALSE),0))</f>
        <v>72</v>
      </c>
      <c r="P232" s="48">
        <f ca="1">O232/SUM(O:O)</f>
        <v>2.4000000000000001E-5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input_325101!A$2</f>
        <v>325101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IFERROR(VLOOKUP(B233,input_325101!L:R,7,FALSE),ROUNDDOWN(VLOOKUP(tables_325101!C233,input_325101!A:H,8,FALSE),0))</f>
        <v>10350</v>
      </c>
      <c r="P233" s="48">
        <f ca="1">O233/SUM(O:O)</f>
        <v>3.4499999999999999E-3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input_325101!A$2</f>
        <v>325101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IFERROR(VLOOKUP(B234,input_325101!L:R,7,FALSE),ROUNDDOWN(VLOOKUP(tables_325101!C234,input_325101!A:H,8,FALSE),0))</f>
        <v>9315</v>
      </c>
      <c r="P234" s="48">
        <f ca="1">O234/SUM(O:O)</f>
        <v>3.1050000000000001E-3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input_325101!A$2</f>
        <v>325101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IFERROR(VLOOKUP(B235,input_325101!L:R,7,FALSE),ROUNDDOWN(VLOOKUP(tables_325101!C235,input_325101!A:H,8,FALSE),0))</f>
        <v>1035</v>
      </c>
      <c r="P235" s="48">
        <f ca="1">O235/SUM(O:O)</f>
        <v>3.4499999999999998E-4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input_325101!A$2</f>
        <v>325101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>color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IFERROR(VLOOKUP(B236,input_325101!L:R,7,FALSE),ROUNDDOWN(VLOOKUP(tables_325101!C236,input_325101!A:H,8,FALSE),0))</f>
        <v>5700</v>
      </c>
      <c r="P236" s="48">
        <f ca="1">O236/SUM(O:O)</f>
        <v>1.9E-3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input_325101!A$2</f>
        <v>325101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>color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IFERROR(VLOOKUP(B237,input_325101!L:R,7,FALSE),ROUNDDOWN(VLOOKUP(tables_325101!C237,input_325101!A:H,8,FALSE),0))</f>
        <v>300</v>
      </c>
      <c r="P237" s="48">
        <f ca="1">O237/SUM(O:O)</f>
        <v>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input_325101!A$2</f>
        <v>325101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IFERROR(VLOOKUP(B238,input_325101!L:R,7,FALSE),ROUNDDOWN(VLOOKUP(tables_325101!C238,input_325101!A:H,8,FALSE),0))</f>
        <v>1368</v>
      </c>
      <c r="P238" s="48">
        <f ca="1">O238/SUM(O:O)</f>
        <v>4.5600000000000003E-4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input_325101!A$2</f>
        <v>325101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IFERROR(VLOOKUP(B239,input_325101!L:R,7,FALSE),ROUNDDOWN(VLOOKUP(tables_325101!C239,input_325101!A:H,8,FALSE),0))</f>
        <v>72</v>
      </c>
      <c r="P239" s="48">
        <f ca="1">O239/SUM(O:O)</f>
        <v>2.4000000000000001E-5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input_325101!A$2</f>
        <v>325101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IFERROR(VLOOKUP(B240,input_325101!L:R,7,FALSE),ROUNDDOWN(VLOOKUP(tables_325101!C240,input_325101!A:H,8,FALSE),0))</f>
        <v>10350</v>
      </c>
      <c r="P240" s="48">
        <f ca="1">O240/SUM(O:O)</f>
        <v>3.4499999999999999E-3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input_325101!A$2</f>
        <v>325101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IFERROR(VLOOKUP(B241,input_325101!L:R,7,FALSE),ROUNDDOWN(VLOOKUP(tables_325101!C241,input_325101!A:H,8,FALSE),0))</f>
        <v>9315</v>
      </c>
      <c r="P241" s="48">
        <f ca="1">O241/SUM(O:O)</f>
        <v>3.1050000000000001E-3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input_325101!A$2</f>
        <v>325101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IFERROR(VLOOKUP(B242,input_325101!L:R,7,FALSE),ROUNDDOWN(VLOOKUP(tables_325101!C242,input_325101!A:H,8,FALSE),0))</f>
        <v>1035</v>
      </c>
      <c r="P242" s="48">
        <f ca="1">O242/SUM(O:O)</f>
        <v>3.4499999999999998E-4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input_325101!A$2</f>
        <v>325101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IFERROR(VLOOKUP(B243,input_325101!L:R,7,FALSE),ROUNDDOWN(VLOOKUP(tables_325101!C243,input_325101!A:H,8,FALSE),0))</f>
        <v>10350</v>
      </c>
      <c r="P243" s="48">
        <f ca="1">O243/SUM(O:O)</f>
        <v>3.4499999999999999E-3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input_325101!A$2</f>
        <v>325101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IFERROR(VLOOKUP(B244,input_325101!L:R,7,FALSE),ROUNDDOWN(VLOOKUP(tables_325101!C244,input_325101!A:H,8,FALSE),0))</f>
        <v>9315</v>
      </c>
      <c r="P244" s="48">
        <f ca="1">O244/SUM(O:O)</f>
        <v>3.1050000000000001E-3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input_325101!A$2</f>
        <v>325101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IFERROR(VLOOKUP(B245,input_325101!L:R,7,FALSE),ROUNDDOWN(VLOOKUP(tables_325101!C245,input_325101!A:H,8,FALSE),0))</f>
        <v>1035</v>
      </c>
      <c r="P245" s="48">
        <f ca="1">O245/SUM(O:O)</f>
        <v>3.4499999999999998E-4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input_325101!A$2</f>
        <v>325101</v>
      </c>
      <c r="B246" s="62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>color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IFERROR(VLOOKUP(B246,input_325101!L:R,7,FALSE),ROUNDDOWN(VLOOKUP(tables_325101!C246,input_325101!A:H,8,FALSE),0))</f>
        <v>48300</v>
      </c>
      <c r="P246" s="48">
        <f ca="1">O246/SUM(O:O)</f>
        <v>1.61E-2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input_325101!A$2</f>
        <v>325101</v>
      </c>
      <c r="B247" s="62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>color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IFERROR(VLOOKUP(B247,input_325101!L:R,7,FALSE),ROUNDDOWN(VLOOKUP(tables_325101!C247,input_325101!A:H,8,FALSE),0))</f>
        <v>43470</v>
      </c>
      <c r="P247" s="48">
        <f ca="1">O247/SUM(O:O)</f>
        <v>1.4489999999999999E-2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input_325101!A$2</f>
        <v>325101</v>
      </c>
      <c r="B248" s="62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>color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IFERROR(VLOOKUP(B248,input_325101!L:R,7,FALSE),ROUNDDOWN(VLOOKUP(tables_325101!C248,input_325101!A:H,8,FALSE),0))</f>
        <v>4830</v>
      </c>
      <c r="P248" s="48">
        <f ca="1">O248/SUM(O:O)</f>
        <v>1.6100000000000001E-3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input_325101!A$2</f>
        <v>325101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IFERROR(VLOOKUP(B249,input_325101!L:R,7,FALSE),ROUNDDOWN(VLOOKUP(tables_325101!C249,input_325101!A:H,8,FALSE),0))</f>
        <v>10350</v>
      </c>
      <c r="P249" s="48">
        <f ca="1">O249/SUM(O:O)</f>
        <v>3.4499999999999999E-3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input_325101!A$2</f>
        <v>325101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IFERROR(VLOOKUP(B250,input_325101!L:R,7,FALSE),ROUNDDOWN(VLOOKUP(tables_325101!C250,input_325101!A:H,8,FALSE),0))</f>
        <v>9315</v>
      </c>
      <c r="P250" s="48">
        <f ca="1">O250/SUM(O:O)</f>
        <v>3.1050000000000001E-3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input_325101!A$2</f>
        <v>325101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IFERROR(VLOOKUP(B251,input_325101!L:R,7,FALSE),ROUNDDOWN(VLOOKUP(tables_325101!C251,input_325101!A:H,8,FALSE),0))</f>
        <v>1035</v>
      </c>
      <c r="P251" s="48">
        <f ca="1">O251/SUM(O:O)</f>
        <v>3.4499999999999998E-4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input_325101!A$2</f>
        <v>325101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IFERROR(VLOOKUP(B252,input_325101!L:R,7,FALSE),ROUNDDOWN(VLOOKUP(tables_325101!C252,input_325101!A:H,8,FALSE),0))</f>
        <v>1368</v>
      </c>
      <c r="P252" s="48">
        <f ca="1">O252/SUM(O:O)</f>
        <v>4.5600000000000003E-4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input_325101!A$2</f>
        <v>325101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IFERROR(VLOOKUP(B253,input_325101!L:R,7,FALSE),ROUNDDOWN(VLOOKUP(tables_325101!C253,input_325101!A:H,8,FALSE),0))</f>
        <v>72</v>
      </c>
      <c r="P253" s="48">
        <f ca="1">O253/SUM(O:O)</f>
        <v>2.4000000000000001E-5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input_325101!A$2</f>
        <v>325101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IFERROR(VLOOKUP(B254,input_325101!L:R,7,FALSE),ROUNDDOWN(VLOOKUP(tables_325101!C254,input_325101!A:H,8,FALSE),0))</f>
        <v>1368</v>
      </c>
      <c r="P254" s="48">
        <f ca="1">O254/SUM(O:O)</f>
        <v>4.5600000000000003E-4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input_325101!A$2</f>
        <v>325101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IFERROR(VLOOKUP(B255,input_325101!L:R,7,FALSE),ROUNDDOWN(VLOOKUP(tables_325101!C255,input_325101!A:H,8,FALSE),0))</f>
        <v>72</v>
      </c>
      <c r="P255" s="48">
        <f ca="1">O255/SUM(O:O)</f>
        <v>2.4000000000000001E-5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input_325101!A$2</f>
        <v>325101</v>
      </c>
      <c r="B256" s="62">
        <v>770</v>
      </c>
      <c r="C256" s="7" t="str">
        <f t="shared" si="9"/>
        <v>PremiumSS4color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1"/>
        <v>color</v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IFERROR(VLOOKUP(B256,input_325101!L:R,7,FALSE),ROUNDDOWN(VLOOKUP(tables_325101!C256,input_325101!A:H,8,FALSE),0))</f>
        <v>5700</v>
      </c>
      <c r="P256" s="48">
        <f ca="1">O256/SUM(O:O)</f>
        <v>1.9E-3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input_325101!A$2</f>
        <v>325101</v>
      </c>
      <c r="B257" s="62">
        <v>771</v>
      </c>
      <c r="C257" s="7" t="str">
        <f t="shared" si="9"/>
        <v>PremiumSS5color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1"/>
        <v>color</v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IFERROR(VLOOKUP(B257,input_325101!L:R,7,FALSE),ROUNDDOWN(VLOOKUP(tables_325101!C257,input_325101!A:H,8,FALSE),0))</f>
        <v>300</v>
      </c>
      <c r="P257" s="48">
        <f ca="1">O257/SUM(O:O)</f>
        <v>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input_325101!A$2</f>
        <v>325101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1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IFERROR(VLOOKUP(B258,input_325101!L:R,7,FALSE),ROUNDDOWN(VLOOKUP(tables_325101!C258,input_325101!A:H,8,FALSE),0))</f>
        <v>1368</v>
      </c>
      <c r="P258" s="48">
        <f ca="1">O258/SUM(O:O)</f>
        <v>4.5600000000000003E-4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input_325101!A$2</f>
        <v>325101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4">IF(K259="red","color","")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IFERROR(VLOOKUP(B259,input_325101!L:R,7,FALSE),ROUNDDOWN(VLOOKUP(tables_325101!C259,input_325101!A:H,8,FALSE),0))</f>
        <v>72</v>
      </c>
      <c r="P259" s="48">
        <f ca="1">O259/SUM(O:O)</f>
        <v>2.4000000000000001E-5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input_325101!A$2</f>
        <v>325101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IFERROR(VLOOKUP(B260,input_325101!L:R,7,FALSE),ROUNDDOWN(VLOOKUP(tables_325101!C260,input_325101!A:H,8,FALSE),0))</f>
        <v>10350</v>
      </c>
      <c r="P260" s="48">
        <f ca="1">O260/SUM(O:O)</f>
        <v>3.4499999999999999E-3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input_325101!A$2</f>
        <v>325101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IFERROR(VLOOKUP(B261,input_325101!L:R,7,FALSE),ROUNDDOWN(VLOOKUP(tables_325101!C261,input_325101!A:H,8,FALSE),0))</f>
        <v>9315</v>
      </c>
      <c r="P261" s="48">
        <f ca="1">O261/SUM(O:O)</f>
        <v>3.1050000000000001E-3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input_325101!A$2</f>
        <v>325101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IFERROR(VLOOKUP(B262,input_325101!L:R,7,FALSE),ROUNDDOWN(VLOOKUP(tables_325101!C262,input_325101!A:H,8,FALSE),0))</f>
        <v>1035</v>
      </c>
      <c r="P262" s="48">
        <f ca="1">O262/SUM(O:O)</f>
        <v>3.4499999999999998E-4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input_325101!A$2</f>
        <v>325101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IFERROR(VLOOKUP(B263,input_325101!L:R,7,FALSE),ROUNDDOWN(VLOOKUP(tables_325101!C263,input_325101!A:H,8,FALSE),0))</f>
        <v>10350</v>
      </c>
      <c r="P263" s="48">
        <f ca="1">O263/SUM(O:O)</f>
        <v>3.4499999999999999E-3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input_325101!A$2</f>
        <v>325101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IFERROR(VLOOKUP(B264,input_325101!L:R,7,FALSE),ROUNDDOWN(VLOOKUP(tables_325101!C264,input_325101!A:H,8,FALSE),0))</f>
        <v>9315</v>
      </c>
      <c r="P264" s="48">
        <f ca="1">O264/SUM(O:O)</f>
        <v>3.1050000000000001E-3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input_325101!A$2</f>
        <v>325101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IFERROR(VLOOKUP(B265,input_325101!L:R,7,FALSE),ROUNDDOWN(VLOOKUP(tables_325101!C265,input_325101!A:H,8,FALSE),0))</f>
        <v>1035</v>
      </c>
      <c r="P265" s="48">
        <f ca="1">O265/SUM(O:O)</f>
        <v>3.4499999999999998E-4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input_325101!A$2</f>
        <v>325101</v>
      </c>
      <c r="B266" s="62">
        <v>728</v>
      </c>
      <c r="C266" s="7" t="str">
        <f t="shared" si="12"/>
        <v>Premium4R3lesscolor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4"/>
        <v>color</v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IFERROR(VLOOKUP(B266,input_325101!L:R,7,FALSE),ROUNDDOWN(VLOOKUP(tables_325101!C266,input_325101!A:H,8,FALSE),0))</f>
        <v>67260</v>
      </c>
      <c r="P266" s="48">
        <f ca="1">O266/SUM(O:O)</f>
        <v>2.2419999999999999E-2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input_325101!A$2</f>
        <v>325101</v>
      </c>
      <c r="B267" s="62">
        <v>729</v>
      </c>
      <c r="C267" s="7" t="str">
        <f t="shared" si="12"/>
        <v>Premium5R3lesscolor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4"/>
        <v>color</v>
      </c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IFERROR(VLOOKUP(B267,input_325101!L:R,7,FALSE),ROUNDDOWN(VLOOKUP(tables_325101!C267,input_325101!A:H,8,FALSE),0))</f>
        <v>29340</v>
      </c>
      <c r="P267" s="48">
        <f ca="1">O267/SUM(O:O)</f>
        <v>9.7800000000000005E-3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input_325101!A$2</f>
        <v>325101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IFERROR(VLOOKUP(B268,input_325101!L:R,7,FALSE),ROUNDDOWN(VLOOKUP(tables_325101!C268,input_325101!A:H,8,FALSE),0))</f>
        <v>6636</v>
      </c>
      <c r="P268" s="48">
        <f ca="1">O268/SUM(O:O)</f>
        <v>2.212E-3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input_325101!A$2</f>
        <v>325101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IFERROR(VLOOKUP(B269,input_325101!L:R,7,FALSE),ROUNDDOWN(VLOOKUP(tables_325101!C269,input_325101!A:H,8,FALSE),0))</f>
        <v>14064</v>
      </c>
      <c r="P269" s="48">
        <f ca="1">O269/SUM(O:O)</f>
        <v>4.6880000000000003E-3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input_325101!A$2</f>
        <v>325101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IFERROR(VLOOKUP(B270,input_325101!L:R,7,FALSE),ROUNDDOWN(VLOOKUP(tables_325101!C270,input_325101!A:H,8,FALSE),0))</f>
        <v>1440</v>
      </c>
      <c r="P270" s="48">
        <f ca="1">O270/SUM(O:O)</f>
        <v>4.8000000000000001E-4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input_325101!A$2</f>
        <v>325101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IFERROR(VLOOKUP(B271,input_325101!L:R,7,FALSE),ROUNDDOWN(VLOOKUP(tables_325101!C271,input_325101!A:H,8,FALSE),0))</f>
        <v>1440</v>
      </c>
      <c r="P271" s="48">
        <f ca="1">O271/SUM(O:O)</f>
        <v>4.8000000000000001E-4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input_325101!A$2</f>
        <v>325101</v>
      </c>
      <c r="B272" s="62">
        <v>786</v>
      </c>
      <c r="C272" s="7" t="str">
        <f t="shared" ref="C272" si="15">D272&amp;J272&amp;E272&amp;F272&amp;G272</f>
        <v>PremiumSSS5</v>
      </c>
      <c r="D272" s="7" t="str">
        <f t="shared" ref="D272" si="16">IF(I272="PremiumSS",I272,IF(I272="PremiumSSS",I272,IF(I272="PremiumW",I272,"Premium")))</f>
        <v>PremiumSSS</v>
      </c>
      <c r="E272" s="7"/>
      <c r="F272" s="7" t="str">
        <f>IF(COUNTIF('R6開放'!A:A,B272)&gt;0,"R6release","")</f>
        <v/>
      </c>
      <c r="G272" s="7"/>
      <c r="H272" s="7" t="str">
        <f>VLOOKUP(B272,[1]characters!$A:$C,3,FALSE)</f>
        <v>ヘイウェイ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attack</v>
      </c>
      <c r="M272" s="7" t="str">
        <f>VLOOKUP(B272,[1]characters!$A:$M,13,FALSE)</f>
        <v>dragon</v>
      </c>
      <c r="N272" s="7" t="str">
        <f>VLOOKUP(B272,[1]characters!$A:$G,7,FALSE)</f>
        <v>男性</v>
      </c>
      <c r="O272" s="47">
        <f ca="1">IFERROR(VLOOKUP(B272,input_325101!L:R,7,FALSE),ROUNDDOWN(VLOOKUP(tables_325101!C272,input_325101!A:H,8,FALSE),0))</f>
        <v>12000</v>
      </c>
      <c r="P272" s="48">
        <f ca="1">O272/SUM(O:O)</f>
        <v>4.0000000000000001E-3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</sheetData>
  <autoFilter ref="A1:V271"/>
  <sortState ref="A2:Y189">
    <sortCondition ref="A2:A189"/>
  </sortState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R61"/>
  <sheetViews>
    <sheetView workbookViewId="0">
      <selection activeCell="D46" sqref="D4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325103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4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VLOOKUP(L3,tables_325103!B:C,2,FALSE)</f>
        <v>#N/A</v>
      </c>
      <c r="R3" s="63">
        <f t="shared" ref="R3:R14" si="0">N3*A$49</f>
        <v>15000</v>
      </c>
    </row>
    <row r="4" spans="1:18" x14ac:dyDescent="0.15">
      <c r="A4" s="36" t="s">
        <v>55</v>
      </c>
      <c r="B4" s="36"/>
      <c r="D4" t="s">
        <v>208</v>
      </c>
      <c r="E4" t="s">
        <v>209</v>
      </c>
      <c r="F4" t="s">
        <v>215</v>
      </c>
      <c r="G4" t="s">
        <v>216</v>
      </c>
      <c r="L4" s="6"/>
      <c r="M4" s="39" t="e">
        <f>VLOOKUP(L4,[1]characters!$A:$C,3,FALSE)</f>
        <v>#N/A</v>
      </c>
      <c r="N4" s="64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VLOOKUP(L4,tables_325103!B:C,2,FALSE)</f>
        <v>#N/A</v>
      </c>
      <c r="R4" s="63">
        <f t="shared" si="0"/>
        <v>30000</v>
      </c>
    </row>
    <row r="5" spans="1:18" x14ac:dyDescent="0.15">
      <c r="A5" s="34" t="s">
        <v>71</v>
      </c>
      <c r="B5" s="35">
        <f>1-B6-B7</f>
        <v>0</v>
      </c>
      <c r="D5" t="s">
        <v>233</v>
      </c>
      <c r="E5">
        <f>E26+E28+E29</f>
        <v>25</v>
      </c>
      <c r="F5" s="56">
        <f>B11*0.4</f>
        <v>1.2E-2</v>
      </c>
      <c r="G5" s="73">
        <f>F5/E5</f>
        <v>4.8000000000000001E-4</v>
      </c>
      <c r="L5" s="6"/>
      <c r="M5" s="39" t="e">
        <f>VLOOKUP(L5,[1]characters!$A:$C,3,FALSE)</f>
        <v>#N/A</v>
      </c>
      <c r="N5" s="64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VLOOKUP(L5,tables_325103!B:C,2,FALSE)</f>
        <v>#N/A</v>
      </c>
      <c r="R5" s="63">
        <f t="shared" si="0"/>
        <v>30000</v>
      </c>
    </row>
    <row r="6" spans="1:18" x14ac:dyDescent="0.15">
      <c r="A6" s="34" t="s">
        <v>72</v>
      </c>
      <c r="B6" s="35">
        <v>0.95</v>
      </c>
      <c r="D6" t="s">
        <v>230</v>
      </c>
      <c r="E6">
        <f>E39+E41+E42</f>
        <v>9</v>
      </c>
      <c r="F6" s="56">
        <f>B11*0.6</f>
        <v>1.7999999999999999E-2</v>
      </c>
      <c r="G6" s="73">
        <f>F6/E6</f>
        <v>2E-3</v>
      </c>
      <c r="L6" s="34"/>
      <c r="M6" s="39" t="e">
        <f>VLOOKUP(L6,[1]characters!$A:$C,3,FALSE)</f>
        <v>#N/A</v>
      </c>
      <c r="N6" s="64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VLOOKUP(L6,tables_325103!B:C,2,FALSE)</f>
        <v>#N/A</v>
      </c>
      <c r="R6" s="63">
        <f t="shared" si="0"/>
        <v>15000</v>
      </c>
    </row>
    <row r="7" spans="1:18" x14ac:dyDescent="0.15">
      <c r="A7" s="34" t="s">
        <v>73</v>
      </c>
      <c r="B7" s="35">
        <v>0.05</v>
      </c>
      <c r="D7" t="s">
        <v>231</v>
      </c>
      <c r="E7">
        <f>E18+E21+E23</f>
        <v>56</v>
      </c>
      <c r="F7" s="76">
        <f>B10*0.4</f>
        <v>0.38640000000000002</v>
      </c>
      <c r="G7" s="73">
        <f t="shared" ref="G7:G8" si="1">F7/E7</f>
        <v>6.9000000000000008E-3</v>
      </c>
      <c r="L7" s="34"/>
      <c r="M7" s="39" t="e">
        <f>VLOOKUP(L7,[1]characters!$A:$C,3,FALSE)</f>
        <v>#N/A</v>
      </c>
      <c r="N7" s="64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VLOOKUP(L7,tables_325103!B:C,2,FALSE)</f>
        <v>#N/A</v>
      </c>
      <c r="R7" s="63">
        <f t="shared" si="0"/>
        <v>30000</v>
      </c>
    </row>
    <row r="8" spans="1:18" x14ac:dyDescent="0.15">
      <c r="D8" t="s">
        <v>232</v>
      </c>
      <c r="E8">
        <f>E31+E34+E36</f>
        <v>18</v>
      </c>
      <c r="F8" s="75">
        <f>B10*0.6</f>
        <v>0.5796</v>
      </c>
      <c r="G8" s="73">
        <f t="shared" si="1"/>
        <v>3.2199999999999999E-2</v>
      </c>
      <c r="L8" s="34"/>
      <c r="M8" s="39" t="e">
        <f>VLOOKUP(L8,[1]characters!$A:$C,3,FALSE)</f>
        <v>#N/A</v>
      </c>
      <c r="N8" s="64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VLOOKUP(L8,tables_325103!B:C,2,FALSE)</f>
        <v>#N/A</v>
      </c>
      <c r="R8" s="63">
        <f t="shared" si="0"/>
        <v>30000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4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VLOOKUP(L9,tables_325103!B:C,2,FALSE)</f>
        <v>#N/A</v>
      </c>
      <c r="R9" s="63">
        <f t="shared" si="0"/>
        <v>15000</v>
      </c>
    </row>
    <row r="10" spans="1:18" x14ac:dyDescent="0.15">
      <c r="A10" s="34" t="s">
        <v>100</v>
      </c>
      <c r="B10" s="83">
        <f>1-B11-B12</f>
        <v>0.96599999999999997</v>
      </c>
      <c r="L10" s="34"/>
      <c r="M10" s="39" t="e">
        <f>VLOOKUP(L10,[1]characters!$A:$C,3,FALSE)</f>
        <v>#N/A</v>
      </c>
      <c r="N10" s="64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VLOOKUP(L10,tables_325103!B:C,2,FALSE)</f>
        <v>#N/A</v>
      </c>
      <c r="R10" s="63">
        <f t="shared" si="0"/>
        <v>30000</v>
      </c>
    </row>
    <row r="11" spans="1:18" x14ac:dyDescent="0.15">
      <c r="A11" s="34" t="s">
        <v>58</v>
      </c>
      <c r="B11" s="83">
        <v>0.03</v>
      </c>
      <c r="L11" s="34"/>
      <c r="M11" s="39" t="e">
        <f>VLOOKUP(L11,[1]characters!$A:$C,3,FALSE)</f>
        <v>#N/A</v>
      </c>
      <c r="N11" s="64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VLOOKUP(L11,tables_325103!B:C,2,FALSE)</f>
        <v>#N/A</v>
      </c>
      <c r="R11" s="63">
        <f t="shared" si="0"/>
        <v>30000</v>
      </c>
    </row>
    <row r="12" spans="1:18" x14ac:dyDescent="0.15">
      <c r="A12" s="34" t="s">
        <v>57</v>
      </c>
      <c r="B12" s="83">
        <v>4.0000000000000001E-3</v>
      </c>
      <c r="L12" s="34"/>
      <c r="M12" s="39" t="e">
        <f>VLOOKUP(L12,[1]characters!$A:$C,3,FALSE)</f>
        <v>#N/A</v>
      </c>
      <c r="N12" s="64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VLOOKUP(L12,tables_325103!B:C,2,FALSE)</f>
        <v>#N/A</v>
      </c>
      <c r="R12" s="63">
        <f t="shared" si="0"/>
        <v>15000</v>
      </c>
    </row>
    <row r="13" spans="1:18" x14ac:dyDescent="0.15">
      <c r="L13" s="34"/>
      <c r="M13" s="39" t="e">
        <f>VLOOKUP(L13,[1]characters!$A:$C,3,FALSE)</f>
        <v>#N/A</v>
      </c>
      <c r="N13" s="64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VLOOKUP(L13,tables_325103!B:C,2,FALSE)</f>
        <v>#N/A</v>
      </c>
      <c r="R13" s="63">
        <f t="shared" si="0"/>
        <v>30000</v>
      </c>
    </row>
    <row r="14" spans="1:18" x14ac:dyDescent="0.15">
      <c r="L14" s="34"/>
      <c r="M14" s="39" t="e">
        <f>VLOOKUP(L14,[1]characters!$A:$C,3,FALSE)</f>
        <v>#N/A</v>
      </c>
      <c r="N14" s="64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VLOOKUP(L14,tables_325103!B:C,2,FALSE)</f>
        <v>#N/A</v>
      </c>
      <c r="R14" s="63">
        <f t="shared" si="0"/>
        <v>30000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236</v>
      </c>
      <c r="L16" s="58"/>
      <c r="M16" s="58"/>
      <c r="N16" s="58"/>
      <c r="O16" s="58"/>
      <c r="P16" s="58"/>
      <c r="Q16" s="58"/>
      <c r="R16" s="59"/>
    </row>
    <row r="17" spans="1:18" x14ac:dyDescent="0.15">
      <c r="A17" s="34" t="s">
        <v>198</v>
      </c>
      <c r="B17" s="78">
        <f>B$5*0.4-B19-B24</f>
        <v>0</v>
      </c>
      <c r="C17" s="50">
        <f t="shared" ref="C17:C44" si="2">SUMIF(Q:Q,A17,N:N)</f>
        <v>0</v>
      </c>
      <c r="D17" s="72">
        <f t="shared" ref="D17:D45" si="3">B17-C17</f>
        <v>0</v>
      </c>
      <c r="E17">
        <f>COUNTIF(tables_325103!C:C,input_325103!A17)-COUNTIF(Q:Q,A17)</f>
        <v>15</v>
      </c>
      <c r="F17" s="45">
        <f t="shared" ref="F17:F40" si="4">IFERROR(D17/E17,0)</f>
        <v>0</v>
      </c>
      <c r="G17">
        <f t="shared" ref="G17:G44" si="5">A$49*D17</f>
        <v>0</v>
      </c>
      <c r="H17">
        <f t="shared" ref="H17:H44" si="6">IFERROR(ROUND(G17/E17,5),0)</f>
        <v>0</v>
      </c>
      <c r="I17">
        <f t="shared" ref="I17:I44" si="7">MOD(H17,1)</f>
        <v>0</v>
      </c>
      <c r="J17">
        <f t="shared" ref="J17:J44" si="8">IFERROR(1/I17,1)</f>
        <v>1</v>
      </c>
      <c r="K17" s="82">
        <f ca="1">SUMIF(tables_325103!C:C,input_325103!A17,tables_325103!P:P)</f>
        <v>0</v>
      </c>
      <c r="L17" s="58"/>
      <c r="M17" s="58"/>
      <c r="N17" s="58"/>
      <c r="O17" s="58"/>
      <c r="P17" s="58"/>
      <c r="Q17" s="58"/>
      <c r="R17" s="71"/>
    </row>
    <row r="18" spans="1:18" x14ac:dyDescent="0.15">
      <c r="A18" s="34" t="s">
        <v>199</v>
      </c>
      <c r="B18" s="44">
        <f>G7*COUNTIF(tables_325103!C:C,input_325103!A18)-B17</f>
        <v>0.10350000000000001</v>
      </c>
      <c r="C18" s="50">
        <f t="shared" si="2"/>
        <v>0</v>
      </c>
      <c r="D18" s="72">
        <f t="shared" si="3"/>
        <v>0.10350000000000001</v>
      </c>
      <c r="E18">
        <f>COUNTIF(tables_325103!C:C,input_325103!A18)-COUNTIF(Q:Q,A18)</f>
        <v>15</v>
      </c>
      <c r="F18" s="45">
        <f t="shared" si="4"/>
        <v>6.9000000000000008E-3</v>
      </c>
      <c r="G18">
        <f t="shared" si="5"/>
        <v>310500</v>
      </c>
      <c r="H18">
        <f t="shared" si="6"/>
        <v>20700</v>
      </c>
      <c r="I18">
        <f t="shared" si="7"/>
        <v>0</v>
      </c>
      <c r="J18">
        <f t="shared" si="8"/>
        <v>1</v>
      </c>
      <c r="K18" s="82">
        <f ca="1">SUMIF(tables_325103!C:C,input_325103!A18,tables_325103!P:P)</f>
        <v>0.10350000000000004</v>
      </c>
      <c r="L18" s="58"/>
      <c r="M18" s="58"/>
      <c r="N18" s="58"/>
      <c r="O18" s="58"/>
      <c r="P18" s="58"/>
      <c r="Q18" s="58"/>
      <c r="R18" s="71"/>
    </row>
    <row r="19" spans="1:18" x14ac:dyDescent="0.15">
      <c r="A19" s="34" t="s">
        <v>101</v>
      </c>
      <c r="B19" s="44">
        <f>G$7*COUNTIF(tables_325103!C:C,input_325103!A19)*B5</f>
        <v>0</v>
      </c>
      <c r="C19" s="50">
        <f t="shared" si="2"/>
        <v>0</v>
      </c>
      <c r="D19" s="72">
        <f t="shared" si="3"/>
        <v>0</v>
      </c>
      <c r="E19">
        <f>COUNTIF(tables_325103!C:C,input_325103!A19)-COUNTIF(Q:Q,A19)</f>
        <v>40</v>
      </c>
      <c r="F19" s="45">
        <f t="shared" si="4"/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K19" s="82">
        <f ca="1">SUMIF(tables_325103!C:C,input_325103!A19,tables_325103!P:P)</f>
        <v>0</v>
      </c>
      <c r="L19" s="58"/>
      <c r="M19" s="58"/>
      <c r="N19" s="60"/>
      <c r="O19" s="58"/>
      <c r="P19" s="58"/>
      <c r="Q19" s="58"/>
      <c r="R19" s="61"/>
    </row>
    <row r="20" spans="1:18" x14ac:dyDescent="0.15">
      <c r="A20" s="34" t="s">
        <v>102</v>
      </c>
      <c r="B20" s="44">
        <f>G$7*COUNTIF(tables_325103!C:C,input_325103!A20)*B6</f>
        <v>0.26219999999999999</v>
      </c>
      <c r="C20" s="50">
        <f t="shared" si="2"/>
        <v>0</v>
      </c>
      <c r="D20" s="72">
        <f t="shared" si="3"/>
        <v>0.26219999999999999</v>
      </c>
      <c r="E20">
        <f>COUNTIF(tables_325103!C:C,input_325103!A20)-COUNTIF(Q:Q,A20)</f>
        <v>40</v>
      </c>
      <c r="F20" s="45">
        <f t="shared" si="4"/>
        <v>6.5550000000000001E-3</v>
      </c>
      <c r="G20">
        <f t="shared" si="5"/>
        <v>786600</v>
      </c>
      <c r="H20">
        <f t="shared" si="6"/>
        <v>19665</v>
      </c>
      <c r="I20">
        <f t="shared" si="7"/>
        <v>0</v>
      </c>
      <c r="J20">
        <f t="shared" si="8"/>
        <v>1</v>
      </c>
      <c r="K20" s="82">
        <f ca="1">SUMIF(tables_325103!C:C,input_325103!A20,tables_325103!P:P)</f>
        <v>0.2622000000000001</v>
      </c>
      <c r="L20" s="58"/>
      <c r="M20" s="58"/>
      <c r="N20" s="60"/>
      <c r="O20" s="58"/>
      <c r="P20" s="58"/>
      <c r="Q20" s="58"/>
      <c r="R20" s="61"/>
    </row>
    <row r="21" spans="1:18" x14ac:dyDescent="0.15">
      <c r="A21" s="34" t="s">
        <v>103</v>
      </c>
      <c r="B21" s="44">
        <f>G$7*COUNTIF(tables_325103!C:C,input_325103!A21)*B7</f>
        <v>1.3800000000000002E-2</v>
      </c>
      <c r="C21" s="50">
        <f t="shared" si="2"/>
        <v>0</v>
      </c>
      <c r="D21" s="72">
        <f t="shared" si="3"/>
        <v>1.3800000000000002E-2</v>
      </c>
      <c r="E21">
        <f>COUNTIF(tables_325103!C:C,input_325103!A21)-COUNTIF(Q:Q,A21)</f>
        <v>40</v>
      </c>
      <c r="F21" s="45">
        <f t="shared" si="4"/>
        <v>3.4500000000000004E-4</v>
      </c>
      <c r="G21">
        <f t="shared" si="5"/>
        <v>41400.000000000007</v>
      </c>
      <c r="H21">
        <f t="shared" si="6"/>
        <v>1035</v>
      </c>
      <c r="I21">
        <f t="shared" si="7"/>
        <v>0</v>
      </c>
      <c r="J21">
        <f t="shared" si="8"/>
        <v>1</v>
      </c>
      <c r="K21" s="82">
        <f ca="1">SUMIF(tables_325103!C:C,input_325103!A21,tables_325103!P:P)</f>
        <v>1.3799999999999995E-2</v>
      </c>
      <c r="L21" s="58"/>
      <c r="M21" s="58"/>
      <c r="N21" s="60"/>
      <c r="O21" s="58"/>
      <c r="P21" s="58"/>
      <c r="Q21" s="58"/>
      <c r="R21" s="61"/>
    </row>
    <row r="22" spans="1:18" x14ac:dyDescent="0.15">
      <c r="A22" s="34" t="s">
        <v>204</v>
      </c>
      <c r="B22" s="79">
        <f>G7*COUNTIF(tables_325103!C:C,input_325103!A22)-B23</f>
        <v>2.2119999999999978E-3</v>
      </c>
      <c r="C22" s="50">
        <f t="shared" si="2"/>
        <v>0</v>
      </c>
      <c r="D22" s="72">
        <f t="shared" si="3"/>
        <v>2.2119999999999978E-3</v>
      </c>
      <c r="E22">
        <f>COUNTIF(tables_325103!C:C,input_325103!A22)-COUNTIF(Q:Q,A22)</f>
        <v>1</v>
      </c>
      <c r="F22" s="45">
        <f t="shared" si="4"/>
        <v>2.2119999999999978E-3</v>
      </c>
      <c r="G22">
        <f t="shared" si="5"/>
        <v>6635.9999999999936</v>
      </c>
      <c r="H22">
        <f t="shared" si="6"/>
        <v>6636</v>
      </c>
      <c r="I22">
        <f t="shared" si="7"/>
        <v>0</v>
      </c>
      <c r="J22">
        <f t="shared" si="8"/>
        <v>1</v>
      </c>
      <c r="K22" s="82">
        <f ca="1">SUMIF(tables_325103!C:C,input_325103!A22,tables_325103!P:P)</f>
        <v>2.212E-3</v>
      </c>
      <c r="L22" s="58"/>
      <c r="M22" s="58"/>
      <c r="N22" s="60"/>
      <c r="O22" s="58"/>
      <c r="P22" s="58"/>
      <c r="Q22" s="58"/>
      <c r="R22" s="61"/>
    </row>
    <row r="23" spans="1:18" x14ac:dyDescent="0.15">
      <c r="A23" s="34" t="s">
        <v>205</v>
      </c>
      <c r="B23" s="80">
        <f>B7*0.4-B26-B28-B29-B21</f>
        <v>4.6880000000000029E-3</v>
      </c>
      <c r="C23" s="50">
        <f t="shared" si="2"/>
        <v>0</v>
      </c>
      <c r="D23" s="72">
        <f t="shared" si="3"/>
        <v>4.6880000000000029E-3</v>
      </c>
      <c r="E23">
        <f>COUNTIF(tables_325103!C:C,input_325103!A23)-COUNTIF(Q:Q,A23)</f>
        <v>1</v>
      </c>
      <c r="F23" s="45">
        <f t="shared" si="4"/>
        <v>4.6880000000000029E-3</v>
      </c>
      <c r="G23">
        <f t="shared" si="5"/>
        <v>14064.000000000009</v>
      </c>
      <c r="H23">
        <f t="shared" si="6"/>
        <v>14064</v>
      </c>
      <c r="I23">
        <f t="shared" si="7"/>
        <v>0</v>
      </c>
      <c r="J23">
        <f t="shared" si="8"/>
        <v>1</v>
      </c>
      <c r="K23" s="82">
        <f ca="1">SUMIF(tables_325103!C:C,input_325103!A23,tables_325103!P:P)</f>
        <v>4.6880000000000003E-3</v>
      </c>
      <c r="L23" s="58"/>
      <c r="M23" s="58"/>
      <c r="N23" s="60"/>
      <c r="O23" s="58"/>
      <c r="P23" s="58"/>
      <c r="Q23" s="58"/>
      <c r="R23" s="61"/>
    </row>
    <row r="24" spans="1:18" x14ac:dyDescent="0.15">
      <c r="A24" s="34" t="s">
        <v>201</v>
      </c>
      <c r="B24" s="44">
        <f>G$5*COUNTIF(tables_325103!C:C,input_325103!A24)*B5</f>
        <v>0</v>
      </c>
      <c r="C24" s="50">
        <f t="shared" si="2"/>
        <v>0</v>
      </c>
      <c r="D24" s="72">
        <f t="shared" si="3"/>
        <v>0</v>
      </c>
      <c r="E24">
        <f>COUNTIF(tables_325103!C:C,input_325103!A24)-COUNTIF(Q:Q,A24)</f>
        <v>3</v>
      </c>
      <c r="F24" s="45">
        <f t="shared" si="4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K24" s="82">
        <f ca="1">SUMIF(tables_325103!C:C,input_325103!A24,tables_325103!P:P)</f>
        <v>0</v>
      </c>
      <c r="L24" s="58"/>
      <c r="M24" s="58"/>
      <c r="N24" s="60"/>
      <c r="O24" s="58"/>
      <c r="P24" s="58"/>
      <c r="Q24" s="58"/>
      <c r="R24" s="61"/>
    </row>
    <row r="25" spans="1:18" x14ac:dyDescent="0.15">
      <c r="A25" s="34" t="s">
        <v>202</v>
      </c>
      <c r="B25" s="44">
        <f>G$5*COUNTIF(tables_325103!C:C,input_325103!A25)*B6</f>
        <v>1.3680000000000001E-3</v>
      </c>
      <c r="C25" s="50">
        <f t="shared" si="2"/>
        <v>0</v>
      </c>
      <c r="D25" s="72">
        <f t="shared" si="3"/>
        <v>1.3680000000000001E-3</v>
      </c>
      <c r="E25">
        <f>COUNTIF(tables_325103!C:C,input_325103!A25)-COUNTIF(Q:Q,A25)</f>
        <v>3</v>
      </c>
      <c r="F25" s="45">
        <f t="shared" si="4"/>
        <v>4.5600000000000003E-4</v>
      </c>
      <c r="G25">
        <f t="shared" si="5"/>
        <v>4104</v>
      </c>
      <c r="H25">
        <f t="shared" si="6"/>
        <v>1368</v>
      </c>
      <c r="I25">
        <f t="shared" si="7"/>
        <v>0</v>
      </c>
      <c r="J25">
        <f t="shared" si="8"/>
        <v>1</v>
      </c>
      <c r="K25" s="82">
        <f ca="1">SUMIF(tables_325103!C:C,input_325103!A25,tables_325103!P:P)</f>
        <v>1.3680000000000001E-3</v>
      </c>
      <c r="L25" s="58"/>
      <c r="M25" s="58"/>
      <c r="N25" s="60"/>
      <c r="O25" s="58"/>
      <c r="P25" s="58"/>
      <c r="Q25" s="58"/>
      <c r="R25" s="61"/>
    </row>
    <row r="26" spans="1:18" x14ac:dyDescent="0.15">
      <c r="A26" s="34" t="s">
        <v>203</v>
      </c>
      <c r="B26" s="44">
        <f>G$5*COUNTIF(tables_325103!C:C,input_325103!A26)*B7</f>
        <v>7.2000000000000002E-5</v>
      </c>
      <c r="C26" s="50">
        <f t="shared" si="2"/>
        <v>0</v>
      </c>
      <c r="D26" s="72">
        <f t="shared" si="3"/>
        <v>7.2000000000000002E-5</v>
      </c>
      <c r="E26">
        <f>COUNTIF(tables_325103!C:C,input_325103!A26)-COUNTIF(Q:Q,A26)</f>
        <v>3</v>
      </c>
      <c r="F26" s="45">
        <f t="shared" si="4"/>
        <v>2.4000000000000001E-5</v>
      </c>
      <c r="G26">
        <f t="shared" si="5"/>
        <v>216</v>
      </c>
      <c r="H26">
        <f t="shared" si="6"/>
        <v>72</v>
      </c>
      <c r="I26">
        <f t="shared" si="7"/>
        <v>0</v>
      </c>
      <c r="J26">
        <f t="shared" si="8"/>
        <v>1</v>
      </c>
      <c r="K26" s="82">
        <f ca="1">SUMIF(tables_325103!C:C,input_325103!A26,tables_325103!P:P)</f>
        <v>7.2000000000000002E-5</v>
      </c>
      <c r="L26" s="58"/>
      <c r="M26" s="58"/>
      <c r="N26" s="60"/>
      <c r="O26" s="58"/>
      <c r="P26" s="58"/>
      <c r="Q26" s="58"/>
      <c r="R26" s="61"/>
    </row>
    <row r="27" spans="1:18" x14ac:dyDescent="0.15">
      <c r="A27" s="34" t="s">
        <v>111</v>
      </c>
      <c r="B27" s="44">
        <f>G$5*E27*(B6+B5)</f>
        <v>9.1199999999999996E-3</v>
      </c>
      <c r="C27" s="50">
        <f t="shared" si="2"/>
        <v>0</v>
      </c>
      <c r="D27" s="72">
        <f t="shared" si="3"/>
        <v>9.1199999999999996E-3</v>
      </c>
      <c r="E27">
        <f>COUNTIF(tables_325103!C:C,input_325103!A27)-COUNTIF(Q:Q,A27)</f>
        <v>20</v>
      </c>
      <c r="F27" s="45">
        <f t="shared" si="4"/>
        <v>4.5599999999999997E-4</v>
      </c>
      <c r="G27">
        <f t="shared" si="5"/>
        <v>27360</v>
      </c>
      <c r="H27">
        <f t="shared" si="6"/>
        <v>1368</v>
      </c>
      <c r="I27">
        <f t="shared" si="7"/>
        <v>0</v>
      </c>
      <c r="J27">
        <f t="shared" si="8"/>
        <v>1</v>
      </c>
      <c r="K27" s="82">
        <f ca="1">SUMIF(tables_325103!C:C,input_325103!A27,tables_325103!P:P)</f>
        <v>9.1199999999999979E-3</v>
      </c>
      <c r="L27" s="58"/>
      <c r="M27" s="58"/>
      <c r="N27" s="60"/>
      <c r="O27" s="58"/>
      <c r="P27" s="58"/>
      <c r="Q27" s="58"/>
      <c r="R27" s="61"/>
    </row>
    <row r="28" spans="1:18" x14ac:dyDescent="0.15">
      <c r="A28" s="34" t="s">
        <v>112</v>
      </c>
      <c r="B28" s="44">
        <f>G$5*B7*E28</f>
        <v>4.8000000000000001E-4</v>
      </c>
      <c r="C28" s="50">
        <f t="shared" si="2"/>
        <v>0</v>
      </c>
      <c r="D28" s="72">
        <f t="shared" si="3"/>
        <v>4.8000000000000001E-4</v>
      </c>
      <c r="E28">
        <f>COUNTIF(tables_325103!C:C,input_325103!A28)-COUNTIF(Q:Q,A28)</f>
        <v>20</v>
      </c>
      <c r="F28" s="45">
        <f>IFERROR(D28/E28,0)</f>
        <v>2.4000000000000001E-5</v>
      </c>
      <c r="G28">
        <f t="shared" si="5"/>
        <v>1440</v>
      </c>
      <c r="H28">
        <f t="shared" si="6"/>
        <v>72</v>
      </c>
      <c r="I28">
        <f t="shared" si="7"/>
        <v>0</v>
      </c>
      <c r="J28">
        <f t="shared" si="8"/>
        <v>1</v>
      </c>
      <c r="K28" s="82">
        <f ca="1">SUMIF(tables_325103!C:C,input_325103!A28,tables_325103!P:P)</f>
        <v>4.7999999999999985E-4</v>
      </c>
      <c r="L28" s="58"/>
      <c r="M28" s="58"/>
      <c r="N28" s="60"/>
      <c r="O28" s="58"/>
      <c r="P28" s="58"/>
      <c r="Q28" s="58"/>
      <c r="R28" s="61"/>
    </row>
    <row r="29" spans="1:18" x14ac:dyDescent="0.15">
      <c r="A29" s="34" t="s">
        <v>207</v>
      </c>
      <c r="B29" s="44">
        <f>G5*COUNTIF(tables_325103!C:C,input_325103!A29)</f>
        <v>9.6000000000000002E-4</v>
      </c>
      <c r="C29" s="50">
        <f t="shared" si="2"/>
        <v>0</v>
      </c>
      <c r="D29" s="72">
        <f t="shared" si="3"/>
        <v>9.6000000000000002E-4</v>
      </c>
      <c r="E29">
        <f>COUNTIF(tables_325103!C:C,input_325103!A29)-COUNTIF(Q:Q,A29)</f>
        <v>2</v>
      </c>
      <c r="F29" s="45">
        <f t="shared" si="4"/>
        <v>4.8000000000000001E-4</v>
      </c>
      <c r="G29">
        <f t="shared" si="5"/>
        <v>2880</v>
      </c>
      <c r="H29">
        <f t="shared" si="6"/>
        <v>1440</v>
      </c>
      <c r="I29">
        <f t="shared" si="7"/>
        <v>0</v>
      </c>
      <c r="J29">
        <f t="shared" si="8"/>
        <v>1</v>
      </c>
      <c r="K29" s="82">
        <f ca="1">SUMIF(tables_325103!C:C,input_325103!A29,tables_325103!P:P)</f>
        <v>9.6000000000000002E-4</v>
      </c>
      <c r="L29" s="58"/>
      <c r="M29" s="58"/>
      <c r="N29" s="60"/>
      <c r="O29" s="58"/>
      <c r="P29" s="58"/>
      <c r="Q29" s="58"/>
      <c r="R29" s="61"/>
    </row>
    <row r="30" spans="1:18" x14ac:dyDescent="0.15">
      <c r="A30" s="34" t="s">
        <v>217</v>
      </c>
      <c r="B30" s="77">
        <f>B5*0.6-B32-B37</f>
        <v>0</v>
      </c>
      <c r="C30" s="50">
        <f t="shared" si="2"/>
        <v>0</v>
      </c>
      <c r="D30" s="72">
        <f t="shared" si="3"/>
        <v>0</v>
      </c>
      <c r="E30">
        <f>COUNTIF(tables_325103!C:C,input_325103!A30)-COUNTIF(Q:Q,A30)</f>
        <v>5</v>
      </c>
      <c r="F30" s="45">
        <f t="shared" si="4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K30" s="82">
        <f ca="1">SUMIF(tables_325103!C:C,input_325103!A30,tables_325103!P:P)</f>
        <v>0</v>
      </c>
      <c r="L30" s="58"/>
      <c r="M30" s="58"/>
      <c r="N30" s="58"/>
      <c r="O30" s="58"/>
      <c r="P30" s="58"/>
      <c r="Q30" s="58"/>
      <c r="R30" s="71"/>
    </row>
    <row r="31" spans="1:18" x14ac:dyDescent="0.15">
      <c r="A31" s="34" t="s">
        <v>218</v>
      </c>
      <c r="B31" s="74">
        <f>G8*COUNTIF(tables_325103!C:C,input_325103!A31)-B30</f>
        <v>0.161</v>
      </c>
      <c r="C31" s="50">
        <f t="shared" si="2"/>
        <v>0</v>
      </c>
      <c r="D31" s="72">
        <f t="shared" si="3"/>
        <v>0.161</v>
      </c>
      <c r="E31">
        <f>COUNTIF(tables_325103!C:C,input_325103!A31)-COUNTIF(Q:Q,A31)</f>
        <v>5</v>
      </c>
      <c r="F31" s="45">
        <f t="shared" si="4"/>
        <v>3.2199999999999999E-2</v>
      </c>
      <c r="G31">
        <f t="shared" si="5"/>
        <v>483000</v>
      </c>
      <c r="H31">
        <f t="shared" si="6"/>
        <v>96600</v>
      </c>
      <c r="I31">
        <f t="shared" si="7"/>
        <v>0</v>
      </c>
      <c r="J31">
        <f t="shared" si="8"/>
        <v>1</v>
      </c>
      <c r="K31" s="82">
        <f ca="1">SUMIF(tables_325103!C:C,input_325103!A31,tables_325103!P:P)</f>
        <v>0.161</v>
      </c>
      <c r="L31" s="58"/>
      <c r="M31" s="58"/>
      <c r="N31" s="58"/>
      <c r="O31" s="58"/>
      <c r="P31" s="58"/>
      <c r="Q31" s="58"/>
      <c r="R31" s="71"/>
    </row>
    <row r="32" spans="1:18" x14ac:dyDescent="0.15">
      <c r="A32" s="34" t="s">
        <v>219</v>
      </c>
      <c r="B32" s="74">
        <f>G$8*COUNTIF(tables_325103!C:C,input_325103!A32)*B5</f>
        <v>0</v>
      </c>
      <c r="C32" s="50">
        <f t="shared" si="2"/>
        <v>0</v>
      </c>
      <c r="D32" s="72">
        <f t="shared" si="3"/>
        <v>0</v>
      </c>
      <c r="E32">
        <f>COUNTIF(tables_325103!C:C,input_325103!A32)-COUNTIF(Q:Q,A32)</f>
        <v>12</v>
      </c>
      <c r="F32" s="45">
        <f t="shared" si="4"/>
        <v>0</v>
      </c>
      <c r="G32">
        <f t="shared" si="5"/>
        <v>0</v>
      </c>
      <c r="H32">
        <f t="shared" si="6"/>
        <v>0</v>
      </c>
      <c r="I32">
        <f t="shared" si="7"/>
        <v>0</v>
      </c>
      <c r="J32">
        <f t="shared" si="8"/>
        <v>1</v>
      </c>
      <c r="K32" s="82">
        <f ca="1">SUMIF(tables_325103!C:C,input_325103!A32,tables_325103!P:P)</f>
        <v>0</v>
      </c>
      <c r="L32" s="58"/>
      <c r="M32" s="58"/>
      <c r="N32" s="60"/>
      <c r="O32" s="58"/>
      <c r="P32" s="58"/>
      <c r="Q32" s="58"/>
      <c r="R32" s="61"/>
    </row>
    <row r="33" spans="1:18" x14ac:dyDescent="0.15">
      <c r="A33" s="34" t="s">
        <v>220</v>
      </c>
      <c r="B33" s="74">
        <f>G$8*COUNTIF(tables_325103!C:C,input_325103!A33)*B6</f>
        <v>0.36707999999999996</v>
      </c>
      <c r="C33" s="50">
        <f t="shared" si="2"/>
        <v>0</v>
      </c>
      <c r="D33" s="72">
        <f t="shared" si="3"/>
        <v>0.36707999999999996</v>
      </c>
      <c r="E33">
        <f>COUNTIF(tables_325103!C:C,input_325103!A33)-COUNTIF(Q:Q,A33)</f>
        <v>12</v>
      </c>
      <c r="F33" s="45">
        <f t="shared" si="4"/>
        <v>3.0589999999999996E-2</v>
      </c>
      <c r="G33">
        <f t="shared" si="5"/>
        <v>1101240</v>
      </c>
      <c r="H33">
        <f t="shared" si="6"/>
        <v>91770</v>
      </c>
      <c r="I33">
        <f t="shared" si="7"/>
        <v>0</v>
      </c>
      <c r="J33">
        <f t="shared" si="8"/>
        <v>1</v>
      </c>
      <c r="K33" s="82">
        <f ca="1">SUMIF(tables_325103!C:C,input_325103!A33,tables_325103!P:P)</f>
        <v>0.36708000000000002</v>
      </c>
      <c r="L33" s="58"/>
      <c r="M33" s="58"/>
      <c r="N33" s="60"/>
      <c r="O33" s="58"/>
      <c r="P33" s="58"/>
      <c r="Q33" s="58"/>
      <c r="R33" s="61"/>
    </row>
    <row r="34" spans="1:18" x14ac:dyDescent="0.15">
      <c r="A34" s="34" t="s">
        <v>221</v>
      </c>
      <c r="B34" s="74">
        <f>G$8*COUNTIF(tables_325103!C:C,input_325103!A34)*B7</f>
        <v>1.932E-2</v>
      </c>
      <c r="C34" s="50">
        <f t="shared" si="2"/>
        <v>0</v>
      </c>
      <c r="D34" s="72">
        <f t="shared" si="3"/>
        <v>1.932E-2</v>
      </c>
      <c r="E34">
        <f>COUNTIF(tables_325103!C:C,input_325103!A34)-COUNTIF(Q:Q,A34)</f>
        <v>12</v>
      </c>
      <c r="F34" s="45">
        <f t="shared" si="4"/>
        <v>1.6100000000000001E-3</v>
      </c>
      <c r="G34">
        <f t="shared" si="5"/>
        <v>57960</v>
      </c>
      <c r="H34">
        <f t="shared" si="6"/>
        <v>4830</v>
      </c>
      <c r="I34">
        <f t="shared" si="7"/>
        <v>0</v>
      </c>
      <c r="J34">
        <f t="shared" si="8"/>
        <v>1</v>
      </c>
      <c r="K34" s="82">
        <f ca="1">SUMIF(tables_325103!C:C,input_325103!A34,tables_325103!P:P)</f>
        <v>1.932E-2</v>
      </c>
      <c r="L34" s="58"/>
      <c r="M34" s="58"/>
      <c r="N34" s="60"/>
      <c r="O34" s="58"/>
      <c r="P34" s="58"/>
      <c r="Q34" s="58"/>
      <c r="R34" s="61"/>
    </row>
    <row r="35" spans="1:18" x14ac:dyDescent="0.15">
      <c r="A35" s="34" t="s">
        <v>222</v>
      </c>
      <c r="B35" s="79">
        <f>G8*E35-B36</f>
        <v>2.2419999999999999E-2</v>
      </c>
      <c r="C35" s="50">
        <f t="shared" si="2"/>
        <v>0</v>
      </c>
      <c r="D35" s="72">
        <f t="shared" si="3"/>
        <v>2.2419999999999999E-2</v>
      </c>
      <c r="E35">
        <f>COUNTIF(tables_325103!C:C,input_325103!A35)-COUNTIF(Q:Q,A35)</f>
        <v>1</v>
      </c>
      <c r="F35" s="45">
        <f t="shared" si="4"/>
        <v>2.2419999999999999E-2</v>
      </c>
      <c r="G35">
        <f t="shared" si="5"/>
        <v>67260</v>
      </c>
      <c r="H35">
        <f t="shared" si="6"/>
        <v>67260</v>
      </c>
      <c r="I35">
        <f t="shared" si="7"/>
        <v>0</v>
      </c>
      <c r="J35">
        <f t="shared" si="8"/>
        <v>1</v>
      </c>
      <c r="K35" s="82">
        <f ca="1">SUMIF(tables_325103!C:C,input_325103!A35,tables_325103!P:P)</f>
        <v>2.2419999999999999E-2</v>
      </c>
      <c r="L35" s="58"/>
      <c r="M35" s="58"/>
      <c r="N35" s="60"/>
      <c r="O35" s="58"/>
      <c r="P35" s="58"/>
      <c r="Q35" s="58"/>
      <c r="R35" s="61"/>
    </row>
    <row r="36" spans="1:18" x14ac:dyDescent="0.15">
      <c r="A36" s="34" t="s">
        <v>223</v>
      </c>
      <c r="B36" s="80">
        <f>B7*0.6-B39-B41-B42-B34</f>
        <v>9.7800000000000005E-3</v>
      </c>
      <c r="C36" s="50">
        <f t="shared" si="2"/>
        <v>0</v>
      </c>
      <c r="D36" s="72">
        <f t="shared" si="3"/>
        <v>9.7800000000000005E-3</v>
      </c>
      <c r="E36">
        <f>COUNTIF(tables_325103!C:C,input_325103!A36)-COUNTIF(Q:Q,A36)</f>
        <v>1</v>
      </c>
      <c r="F36" s="45">
        <f t="shared" si="4"/>
        <v>9.7800000000000005E-3</v>
      </c>
      <c r="G36">
        <f t="shared" si="5"/>
        <v>29340</v>
      </c>
      <c r="H36">
        <f t="shared" si="6"/>
        <v>29340</v>
      </c>
      <c r="I36">
        <f t="shared" si="7"/>
        <v>0</v>
      </c>
      <c r="J36">
        <f t="shared" si="8"/>
        <v>1</v>
      </c>
      <c r="K36" s="82">
        <f ca="1">SUMIF(tables_325103!C:C,input_325103!A36,tables_325103!P:P)</f>
        <v>9.7800000000000005E-3</v>
      </c>
      <c r="L36" s="58"/>
      <c r="M36" s="58"/>
      <c r="N36" s="60"/>
      <c r="O36" s="58"/>
      <c r="P36" s="58"/>
      <c r="Q36" s="58"/>
      <c r="R36" s="61"/>
    </row>
    <row r="37" spans="1:18" x14ac:dyDescent="0.15">
      <c r="A37" s="34" t="s">
        <v>224</v>
      </c>
      <c r="B37" s="44">
        <f>G$6*COUNTIF(tables_325103!C:C,input_325103!A37)*B5</f>
        <v>0</v>
      </c>
      <c r="C37" s="50">
        <f t="shared" si="2"/>
        <v>0</v>
      </c>
      <c r="D37" s="72">
        <f t="shared" si="3"/>
        <v>0</v>
      </c>
      <c r="E37">
        <f>COUNTIF(tables_325103!C:C,input_325103!A37)-COUNTIF(Q:Q,A37)</f>
        <v>1</v>
      </c>
      <c r="F37" s="45">
        <f t="shared" si="4"/>
        <v>0</v>
      </c>
      <c r="G37">
        <f t="shared" si="5"/>
        <v>0</v>
      </c>
      <c r="H37">
        <f t="shared" si="6"/>
        <v>0</v>
      </c>
      <c r="I37">
        <f t="shared" si="7"/>
        <v>0</v>
      </c>
      <c r="J37">
        <f t="shared" si="8"/>
        <v>1</v>
      </c>
      <c r="K37" s="82">
        <f ca="1">SUMIF(tables_325103!C:C,input_325103!A37,tables_325103!P:P)</f>
        <v>0</v>
      </c>
      <c r="L37" s="58"/>
      <c r="M37" s="58"/>
      <c r="N37" s="60"/>
      <c r="O37" s="58"/>
      <c r="P37" s="58"/>
      <c r="Q37" s="58"/>
      <c r="R37" s="61"/>
    </row>
    <row r="38" spans="1:18" x14ac:dyDescent="0.15">
      <c r="A38" s="34" t="s">
        <v>225</v>
      </c>
      <c r="B38" s="44">
        <f>G$6*COUNTIF(tables_325103!C:C,input_325103!A38)*B6</f>
        <v>1.9E-3</v>
      </c>
      <c r="C38" s="50">
        <f t="shared" si="2"/>
        <v>0</v>
      </c>
      <c r="D38" s="72">
        <f t="shared" si="3"/>
        <v>1.9E-3</v>
      </c>
      <c r="E38">
        <f>COUNTIF(tables_325103!C:C,input_325103!A38)-COUNTIF(Q:Q,A38)</f>
        <v>1</v>
      </c>
      <c r="F38" s="45">
        <f t="shared" si="4"/>
        <v>1.9E-3</v>
      </c>
      <c r="G38">
        <f t="shared" si="5"/>
        <v>5700</v>
      </c>
      <c r="H38">
        <f t="shared" si="6"/>
        <v>5700</v>
      </c>
      <c r="I38">
        <f t="shared" si="7"/>
        <v>0</v>
      </c>
      <c r="J38">
        <f t="shared" si="8"/>
        <v>1</v>
      </c>
      <c r="K38" s="82">
        <f ca="1">SUMIF(tables_325103!C:C,input_325103!A38,tables_325103!P:P)</f>
        <v>1.9E-3</v>
      </c>
      <c r="L38" s="58"/>
      <c r="M38" s="58"/>
      <c r="N38" s="60"/>
      <c r="O38" s="58"/>
      <c r="P38" s="58"/>
      <c r="Q38" s="58"/>
      <c r="R38" s="61"/>
    </row>
    <row r="39" spans="1:18" x14ac:dyDescent="0.15">
      <c r="A39" s="34" t="s">
        <v>226</v>
      </c>
      <c r="B39" s="44">
        <f>G$6*COUNTIF(tables_325103!C:C,input_325103!A39)*B7</f>
        <v>1E-4</v>
      </c>
      <c r="C39" s="50">
        <f t="shared" si="2"/>
        <v>0</v>
      </c>
      <c r="D39" s="72">
        <f t="shared" si="3"/>
        <v>1E-4</v>
      </c>
      <c r="E39">
        <f>COUNTIF(tables_325103!C:C,input_325103!A39)-COUNTIF(Q:Q,A39)</f>
        <v>1</v>
      </c>
      <c r="F39" s="45">
        <f t="shared" si="4"/>
        <v>1E-4</v>
      </c>
      <c r="G39">
        <f t="shared" si="5"/>
        <v>300</v>
      </c>
      <c r="H39">
        <f t="shared" si="6"/>
        <v>300</v>
      </c>
      <c r="I39">
        <f t="shared" si="7"/>
        <v>0</v>
      </c>
      <c r="J39">
        <f t="shared" si="8"/>
        <v>1</v>
      </c>
      <c r="K39" s="82">
        <f ca="1">SUMIF(tables_325103!C:C,input_325103!A39,tables_325103!P:P)</f>
        <v>1E-4</v>
      </c>
      <c r="L39" s="58"/>
      <c r="M39" s="58"/>
      <c r="N39" s="60"/>
      <c r="O39" s="58"/>
      <c r="P39" s="58"/>
      <c r="Q39" s="58"/>
      <c r="R39" s="61"/>
    </row>
    <row r="40" spans="1:18" x14ac:dyDescent="0.15">
      <c r="A40" s="34" t="s">
        <v>227</v>
      </c>
      <c r="B40" s="44">
        <f>G$6*COUNTIF(tables_325103!C:C,input_325103!A40)*(B6+B5)</f>
        <v>1.52E-2</v>
      </c>
      <c r="C40" s="50">
        <f t="shared" si="2"/>
        <v>0</v>
      </c>
      <c r="D40" s="72">
        <f t="shared" si="3"/>
        <v>1.52E-2</v>
      </c>
      <c r="E40">
        <f>COUNTIF(tables_325103!C:C,input_325103!A40)-COUNTIF(Q:Q,A40)</f>
        <v>8</v>
      </c>
      <c r="F40" s="45">
        <f t="shared" si="4"/>
        <v>1.9E-3</v>
      </c>
      <c r="G40">
        <f t="shared" si="5"/>
        <v>45600</v>
      </c>
      <c r="H40">
        <f t="shared" si="6"/>
        <v>5700</v>
      </c>
      <c r="I40">
        <f t="shared" si="7"/>
        <v>0</v>
      </c>
      <c r="J40">
        <f t="shared" si="8"/>
        <v>1</v>
      </c>
      <c r="K40" s="82">
        <f ca="1">SUMIF(tables_325103!C:C,input_325103!A40,tables_325103!P:P)</f>
        <v>1.5200000000000002E-2</v>
      </c>
      <c r="L40" s="58"/>
      <c r="M40" s="58"/>
      <c r="N40" s="60"/>
      <c r="O40" s="58"/>
      <c r="P40" s="58"/>
      <c r="Q40" s="58"/>
      <c r="R40" s="61"/>
    </row>
    <row r="41" spans="1:18" x14ac:dyDescent="0.15">
      <c r="A41" s="34" t="s">
        <v>228</v>
      </c>
      <c r="B41" s="44">
        <f>G$6*COUNTIF(tables_325103!C:C,input_325103!A41)*B7</f>
        <v>8.0000000000000004E-4</v>
      </c>
      <c r="C41" s="50">
        <f t="shared" si="2"/>
        <v>0</v>
      </c>
      <c r="D41" s="72">
        <f t="shared" si="3"/>
        <v>8.0000000000000004E-4</v>
      </c>
      <c r="E41">
        <f>COUNTIF(tables_325103!C:C,input_325103!A41)-COUNTIF(Q:Q,A41)</f>
        <v>8</v>
      </c>
      <c r="F41" s="45">
        <f>IFERROR(D41/E41,0)</f>
        <v>1E-4</v>
      </c>
      <c r="G41">
        <f t="shared" si="5"/>
        <v>2400</v>
      </c>
      <c r="H41">
        <f t="shared" si="6"/>
        <v>300</v>
      </c>
      <c r="I41">
        <f t="shared" si="7"/>
        <v>0</v>
      </c>
      <c r="J41">
        <f t="shared" si="8"/>
        <v>1</v>
      </c>
      <c r="K41" s="82">
        <f ca="1">SUMIF(tables_325103!C:C,input_325103!A41,tables_325103!P:P)</f>
        <v>8.0000000000000015E-4</v>
      </c>
      <c r="L41" s="58"/>
      <c r="M41" s="58"/>
      <c r="N41" s="60"/>
      <c r="O41" s="58"/>
      <c r="P41" s="58"/>
      <c r="Q41" s="58"/>
      <c r="R41" s="61"/>
    </row>
    <row r="42" spans="1:18" x14ac:dyDescent="0.15">
      <c r="A42" s="34" t="s">
        <v>229</v>
      </c>
      <c r="B42" s="44">
        <f>G6*COUNTIF(tables_325103!C:C,input_325103!A42)</f>
        <v>0</v>
      </c>
      <c r="C42" s="50">
        <f t="shared" si="2"/>
        <v>0</v>
      </c>
      <c r="D42" s="72">
        <f t="shared" si="3"/>
        <v>0</v>
      </c>
      <c r="E42">
        <f>COUNTIF(tables_325103!C:C,input_325103!A42)-COUNTIF(Q:Q,A42)</f>
        <v>0</v>
      </c>
      <c r="F42" s="45">
        <f t="shared" ref="F42:F44" si="9">IFERROR(D42/E42,0)</f>
        <v>0</v>
      </c>
      <c r="G42">
        <f t="shared" si="5"/>
        <v>0</v>
      </c>
      <c r="H42">
        <f t="shared" si="6"/>
        <v>0</v>
      </c>
      <c r="I42">
        <f t="shared" si="7"/>
        <v>0</v>
      </c>
      <c r="J42">
        <f t="shared" si="8"/>
        <v>1</v>
      </c>
      <c r="K42" s="82">
        <f>SUMIF(tables_325103!C:C,input_325103!A42,tables_325103!P:P)</f>
        <v>0</v>
      </c>
      <c r="L42" s="58"/>
      <c r="M42" s="58"/>
      <c r="N42" s="60"/>
      <c r="O42" s="58"/>
      <c r="P42" s="58"/>
      <c r="Q42" s="58"/>
      <c r="R42" s="61"/>
    </row>
    <row r="43" spans="1:18" x14ac:dyDescent="0.15">
      <c r="A43" s="34" t="s">
        <v>115</v>
      </c>
      <c r="B43" s="57">
        <v>0</v>
      </c>
      <c r="C43" s="50">
        <f t="shared" si="2"/>
        <v>0</v>
      </c>
      <c r="D43" s="72">
        <f t="shared" si="3"/>
        <v>0</v>
      </c>
      <c r="E43">
        <f>COUNTIF(tables_325103!C:C,input_325103!A43)-COUNTIF(Q:Q,A43)</f>
        <v>0</v>
      </c>
      <c r="F43" s="45">
        <f t="shared" si="9"/>
        <v>0</v>
      </c>
      <c r="G43">
        <f t="shared" si="5"/>
        <v>0</v>
      </c>
      <c r="H43">
        <f t="shared" si="6"/>
        <v>0</v>
      </c>
      <c r="I43">
        <f t="shared" si="7"/>
        <v>0</v>
      </c>
      <c r="J43">
        <f t="shared" si="8"/>
        <v>1</v>
      </c>
      <c r="K43" s="82">
        <f>SUMIF(tables_325103!C:C,input_325103!A43,tables_325103!P:P)</f>
        <v>0</v>
      </c>
      <c r="L43" s="58"/>
      <c r="M43" s="58"/>
      <c r="N43" s="60"/>
      <c r="O43" s="58"/>
      <c r="P43" s="58"/>
      <c r="Q43" s="58"/>
      <c r="R43" s="61"/>
    </row>
    <row r="44" spans="1:18" x14ac:dyDescent="0.15">
      <c r="A44" s="34" t="s">
        <v>113</v>
      </c>
      <c r="B44" s="57">
        <f>B12</f>
        <v>4.0000000000000001E-3</v>
      </c>
      <c r="C44" s="50">
        <f t="shared" si="2"/>
        <v>0</v>
      </c>
      <c r="D44" s="72">
        <f t="shared" si="3"/>
        <v>4.0000000000000001E-3</v>
      </c>
      <c r="E44">
        <f>COUNTIF(tables_325103!C:C,input_325103!A44)-COUNTIF(Q:Q,A44)</f>
        <v>1</v>
      </c>
      <c r="F44" s="45">
        <f t="shared" si="9"/>
        <v>4.0000000000000001E-3</v>
      </c>
      <c r="G44">
        <f t="shared" si="5"/>
        <v>12000</v>
      </c>
      <c r="H44">
        <f t="shared" si="6"/>
        <v>12000</v>
      </c>
      <c r="I44">
        <f t="shared" si="7"/>
        <v>0</v>
      </c>
      <c r="J44">
        <f t="shared" si="8"/>
        <v>1</v>
      </c>
      <c r="K44" s="82">
        <f ca="1">SUMIF(tables_325103!C:C,input_325103!A44,tables_325103!P:P)</f>
        <v>4.0000000000000001E-3</v>
      </c>
      <c r="L44" s="58"/>
      <c r="M44" s="58"/>
      <c r="N44" s="60"/>
      <c r="O44" s="58"/>
      <c r="P44" s="58"/>
      <c r="Q44" s="58"/>
      <c r="R44" s="61"/>
    </row>
    <row r="45" spans="1:18" x14ac:dyDescent="0.15">
      <c r="A45" s="41" t="s">
        <v>62</v>
      </c>
      <c r="B45" s="42">
        <f>SUM(B17:B44)</f>
        <v>1</v>
      </c>
      <c r="C45" s="43">
        <f>SUM(C19:C44)</f>
        <v>0</v>
      </c>
      <c r="D45" s="44">
        <f t="shared" si="3"/>
        <v>1</v>
      </c>
      <c r="L45" s="58"/>
      <c r="M45" s="58"/>
      <c r="N45" s="58"/>
      <c r="O45" s="58"/>
      <c r="P45" s="58"/>
      <c r="Q45" s="58"/>
      <c r="R45" s="61"/>
    </row>
    <row r="48" spans="1:18" x14ac:dyDescent="0.15">
      <c r="A48" t="s">
        <v>234</v>
      </c>
      <c r="H48" t="s">
        <v>235</v>
      </c>
    </row>
    <row r="49" spans="1:8" x14ac:dyDescent="0.15">
      <c r="A49" s="31">
        <f>100000*15*2</f>
        <v>3000000</v>
      </c>
      <c r="H49" s="81">
        <f>MAX(H17:H44)</f>
        <v>96600</v>
      </c>
    </row>
    <row r="51" spans="1:8" x14ac:dyDescent="0.15">
      <c r="A51" s="49" t="s">
        <v>80</v>
      </c>
    </row>
    <row r="52" spans="1:8" x14ac:dyDescent="0.15">
      <c r="A52" s="34" t="s">
        <v>63</v>
      </c>
      <c r="B52" t="s">
        <v>77</v>
      </c>
      <c r="C52" t="s">
        <v>104</v>
      </c>
      <c r="E52" t="s">
        <v>105</v>
      </c>
      <c r="F52" t="s">
        <v>2</v>
      </c>
      <c r="G52" t="s">
        <v>66</v>
      </c>
    </row>
    <row r="53" spans="1:8" x14ac:dyDescent="0.15">
      <c r="A53" s="34" t="s">
        <v>108</v>
      </c>
      <c r="B53">
        <f ca="1">SUMIF(tables_325103!C:C,input_325103!A53,tables_325103!O:O)</f>
        <v>0</v>
      </c>
      <c r="C53" s="55">
        <f t="shared" ref="C53:C59" ca="1" si="10">B53/B$60</f>
        <v>0</v>
      </c>
      <c r="E53">
        <v>3</v>
      </c>
      <c r="F53">
        <f ca="1">SUMIF(tables_325103!J:J,input_325103!E53,tables_325103!O:O)</f>
        <v>0</v>
      </c>
      <c r="G53">
        <f ca="1">F53/A49</f>
        <v>0</v>
      </c>
    </row>
    <row r="54" spans="1:8" x14ac:dyDescent="0.15">
      <c r="A54" s="34" t="s">
        <v>109</v>
      </c>
      <c r="B54">
        <f ca="1">SUMIF(tables_325103!C:C,input_325103!A54,tables_325103!O:O)</f>
        <v>786600</v>
      </c>
      <c r="C54" s="55">
        <f t="shared" ca="1" si="10"/>
        <v>0.90538674033149169</v>
      </c>
      <c r="E54">
        <v>4</v>
      </c>
      <c r="F54">
        <f ca="1">SUMIF(tables_325103!J:J,input_325103!E54,tables_325103!O:O)</f>
        <v>2838000</v>
      </c>
      <c r="G54">
        <f ca="1">F54/A49</f>
        <v>0.94599999999999995</v>
      </c>
    </row>
    <row r="55" spans="1:8" x14ac:dyDescent="0.15">
      <c r="A55" s="34" t="s">
        <v>111</v>
      </c>
      <c r="B55">
        <f ca="1">SUMIF(tables_325103!C:C,input_325103!A55,tables_325103!O:O)</f>
        <v>27360</v>
      </c>
      <c r="C55" s="55">
        <f t="shared" ca="1" si="10"/>
        <v>3.1491712707182318E-2</v>
      </c>
      <c r="E55">
        <v>5</v>
      </c>
      <c r="F55">
        <f ca="1">SUMIF(tables_325103!J:J,input_325103!E55,tables_325103!O:O)</f>
        <v>162000</v>
      </c>
      <c r="G55">
        <f ca="1">F55/A49</f>
        <v>5.3999999999999999E-2</v>
      </c>
    </row>
    <row r="56" spans="1:8" x14ac:dyDescent="0.15">
      <c r="A56" s="34" t="s">
        <v>115</v>
      </c>
      <c r="B56">
        <f>SUMIF(tables_325103!C:C,input_325103!A56,tables_325103!O:O)</f>
        <v>0</v>
      </c>
      <c r="C56" s="55">
        <f t="shared" ca="1" si="10"/>
        <v>0</v>
      </c>
      <c r="F56" s="56"/>
    </row>
    <row r="57" spans="1:8" x14ac:dyDescent="0.15">
      <c r="A57" s="34" t="s">
        <v>110</v>
      </c>
      <c r="B57">
        <f ca="1">SUMIF(tables_325103!C:C,input_325103!A57,tables_325103!O:O)</f>
        <v>41400</v>
      </c>
      <c r="C57" s="55">
        <f t="shared" ca="1" si="10"/>
        <v>4.7651933701657462E-2</v>
      </c>
      <c r="E57" t="s">
        <v>56</v>
      </c>
      <c r="F57" s="56"/>
    </row>
    <row r="58" spans="1:8" x14ac:dyDescent="0.15">
      <c r="A58" s="34" t="s">
        <v>112</v>
      </c>
      <c r="B58">
        <f ca="1">SUMIF(tables_325103!C:C,input_325103!A58,tables_325103!O:O)</f>
        <v>1440</v>
      </c>
      <c r="C58" s="55">
        <f t="shared" ca="1" si="10"/>
        <v>1.6574585635359116E-3</v>
      </c>
      <c r="E58" t="s">
        <v>210</v>
      </c>
      <c r="F58" s="56">
        <f ca="1">SUMIF(tables_325103!I:I,input_325103!E58,tables_325103!P:P)</f>
        <v>0.26450000000000001</v>
      </c>
    </row>
    <row r="59" spans="1:8" x14ac:dyDescent="0.15">
      <c r="A59" s="34" t="s">
        <v>113</v>
      </c>
      <c r="B59">
        <f ca="1">SUMIF(tables_325103!C:C,input_325103!A59,tables_325103!O:O)</f>
        <v>12000</v>
      </c>
      <c r="C59" s="55">
        <f t="shared" ca="1" si="10"/>
        <v>1.3812154696132596E-2</v>
      </c>
      <c r="E59" t="s">
        <v>211</v>
      </c>
      <c r="F59" s="56">
        <f ca="1">SUMIF(tables_325103!I:I,input_325103!E59,tables_325103!P:P)</f>
        <v>0.2214600000000001</v>
      </c>
    </row>
    <row r="60" spans="1:8" x14ac:dyDescent="0.15">
      <c r="A60" s="41" t="s">
        <v>62</v>
      </c>
      <c r="B60">
        <f ca="1">SUM(B53:B59)</f>
        <v>868800</v>
      </c>
      <c r="C60" s="56">
        <f ca="1">SUM(C53:C59)</f>
        <v>1</v>
      </c>
      <c r="E60" t="s">
        <v>212</v>
      </c>
      <c r="F60" s="56">
        <f ca="1">SUMIF(tables_325103!I:I,input_325103!E60,tables_325103!P:P)</f>
        <v>0.48347999999999963</v>
      </c>
    </row>
    <row r="61" spans="1:8" x14ac:dyDescent="0.15">
      <c r="E61" t="s">
        <v>213</v>
      </c>
      <c r="F61" s="56">
        <f ca="1">SUMIF(tables_325103!I:I,input_325103!E61,tables_325103!P:P)</f>
        <v>2.6560000000000004E-2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72"/>
  <sheetViews>
    <sheetView showGridLines="0" zoomScale="75" zoomScaleNormal="75" zoomScalePageLayoutView="75" workbookViewId="0">
      <pane ySplit="1" topLeftCell="A250" activePane="bottomLeft" state="frozen"/>
      <selection activeCell="C266" sqref="C266"/>
      <selection pane="bottomLeft" activeCell="C266" sqref="C26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99</v>
      </c>
      <c r="E1" s="3" t="s">
        <v>196</v>
      </c>
      <c r="F1" s="3" t="s">
        <v>197</v>
      </c>
      <c r="G1" s="3" t="s">
        <v>107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input_325103!A$2</f>
        <v>325103</v>
      </c>
      <c r="B2" s="6">
        <v>126</v>
      </c>
      <c r="C2" s="7" t="str">
        <f t="shared" ref="C2:C65" si="0">D2&amp;J2&amp;E2&amp;F2&amp;G2</f>
        <v>PremiumW3color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IFERROR(VLOOKUP(B2,input_325103!L:R,7,FALSE),ROUNDDOWN(VLOOKUP(tables_325103!C2,input_325103!A:H,8,FALSE),0))</f>
        <v>0</v>
      </c>
      <c r="P2" s="48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input_325103!A$2</f>
        <v>325103</v>
      </c>
      <c r="B3" s="6">
        <v>127</v>
      </c>
      <c r="C3" s="7" t="str">
        <f t="shared" si="0"/>
        <v>PremiumW4color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IFERROR(VLOOKUP(B3,input_325103!L:R,7,FALSE),ROUNDDOWN(VLOOKUP(tables_325103!C3,input_325103!A:H,8,FALSE),0))</f>
        <v>96600</v>
      </c>
      <c r="P3" s="48">
        <f ca="1">O3/SUM(O:O)</f>
        <v>3.2199999999999999E-2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input_325103!A$2</f>
        <v>325103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IFERROR(VLOOKUP(B4,input_325103!L:R,7,FALSE),ROUNDDOWN(VLOOKUP(tables_325103!C4,input_325103!A:H,8,FALSE),0))</f>
        <v>0</v>
      </c>
      <c r="P4" s="48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input_325103!A$2</f>
        <v>325103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IFERROR(VLOOKUP(B5,input_325103!L:R,7,FALSE),ROUNDDOWN(VLOOKUP(tables_325103!C5,input_325103!A:H,8,FALSE),0))</f>
        <v>20700</v>
      </c>
      <c r="P5" s="48">
        <f ca="1">O5/SUM(O:O)</f>
        <v>6.8999999999999999E-3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input_325103!A$2</f>
        <v>325103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IFERROR(VLOOKUP(B6,input_325103!L:R,7,FALSE),ROUNDDOWN(VLOOKUP(tables_325103!C6,input_325103!A:H,8,FALSE),0))</f>
        <v>0</v>
      </c>
      <c r="P6" s="48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input_325103!A$2</f>
        <v>325103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IFERROR(VLOOKUP(B7,input_325103!L:R,7,FALSE),ROUNDDOWN(VLOOKUP(tables_325103!C7,input_325103!A:H,8,FALSE),0))</f>
        <v>20700</v>
      </c>
      <c r="P7" s="48">
        <f ca="1">O7/SUM(O:O)</f>
        <v>6.8999999999999999E-3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input_325103!A$2</f>
        <v>325103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IFERROR(VLOOKUP(B8,input_325103!L:R,7,FALSE),ROUNDDOWN(VLOOKUP(tables_325103!C8,input_325103!A:H,8,FALSE),0))</f>
        <v>0</v>
      </c>
      <c r="P8" s="48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input_325103!A$2</f>
        <v>325103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IFERROR(VLOOKUP(B9,input_325103!L:R,7,FALSE),ROUNDDOWN(VLOOKUP(tables_325103!C9,input_325103!A:H,8,FALSE),0))</f>
        <v>20700</v>
      </c>
      <c r="P9" s="48">
        <f ca="1">O9/SUM(O:O)</f>
        <v>6.8999999999999999E-3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input_325103!A$2</f>
        <v>325103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IFERROR(VLOOKUP(B10,input_325103!L:R,7,FALSE),ROUNDDOWN(VLOOKUP(tables_325103!C10,input_325103!A:H,8,FALSE),0))</f>
        <v>0</v>
      </c>
      <c r="P10" s="48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input_325103!A$2</f>
        <v>325103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IFERROR(VLOOKUP(B11,input_325103!L:R,7,FALSE),ROUNDDOWN(VLOOKUP(tables_325103!C11,input_325103!A:H,8,FALSE),0))</f>
        <v>96600</v>
      </c>
      <c r="P11" s="48">
        <f ca="1">O11/SUM(O:O)</f>
        <v>3.2199999999999999E-2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input_325103!A$2</f>
        <v>325103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IFERROR(VLOOKUP(B12,input_325103!L:R,7,FALSE),ROUNDDOWN(VLOOKUP(tables_325103!C12,input_325103!A:H,8,FALSE),0))</f>
        <v>0</v>
      </c>
      <c r="P12" s="48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input_325103!A$2</f>
        <v>325103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IFERROR(VLOOKUP(B13,input_325103!L:R,7,FALSE),ROUNDDOWN(VLOOKUP(tables_325103!C13,input_325103!A:H,8,FALSE),0))</f>
        <v>20700</v>
      </c>
      <c r="P13" s="48">
        <f ca="1">O13/SUM(O:O)</f>
        <v>6.8999999999999999E-3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input_325103!A$2</f>
        <v>325103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IFERROR(VLOOKUP(B14,input_325103!L:R,7,FALSE),ROUNDDOWN(VLOOKUP(tables_325103!C14,input_325103!A:H,8,FALSE),0))</f>
        <v>0</v>
      </c>
      <c r="P14" s="48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input_325103!A$2</f>
        <v>325103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IFERROR(VLOOKUP(B15,input_325103!L:R,7,FALSE),ROUNDDOWN(VLOOKUP(tables_325103!C15,input_325103!A:H,8,FALSE),0))</f>
        <v>20700</v>
      </c>
      <c r="P15" s="48">
        <f ca="1">O15/SUM(O:O)</f>
        <v>6.8999999999999999E-3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input_325103!A$2</f>
        <v>325103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IFERROR(VLOOKUP(B16,input_325103!L:R,7,FALSE),ROUNDDOWN(VLOOKUP(tables_325103!C16,input_325103!A:H,8,FALSE),0))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input_325103!A$2</f>
        <v>325103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IFERROR(VLOOKUP(B17,input_325103!L:R,7,FALSE),ROUNDDOWN(VLOOKUP(tables_325103!C17,input_325103!A:H,8,FALSE),0))</f>
        <v>20700</v>
      </c>
      <c r="P17" s="48">
        <f ca="1">O17/SUM(O:O)</f>
        <v>6.8999999999999999E-3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input_325103!A$2</f>
        <v>325103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IFERROR(VLOOKUP(B18,input_325103!L:R,7,FALSE),ROUNDDOWN(VLOOKUP(tables_325103!C18,input_325103!A:H,8,FALSE),0))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input_325103!A$2</f>
        <v>325103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IFERROR(VLOOKUP(B19,input_325103!L:R,7,FALSE),ROUNDDOWN(VLOOKUP(tables_325103!C19,input_325103!A:H,8,FALSE),0))</f>
        <v>96600</v>
      </c>
      <c r="P19" s="48">
        <f ca="1">O19/SUM(O:O)</f>
        <v>3.2199999999999999E-2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input_325103!A$2</f>
        <v>325103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IFERROR(VLOOKUP(B20,input_325103!L:R,7,FALSE),ROUNDDOWN(VLOOKUP(tables_325103!C20,input_325103!A:H,8,FALSE),0))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input_325103!A$2</f>
        <v>325103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IFERROR(VLOOKUP(B21,input_325103!L:R,7,FALSE),ROUNDDOWN(VLOOKUP(tables_325103!C21,input_325103!A:H,8,FALSE),0))</f>
        <v>20700</v>
      </c>
      <c r="P21" s="48">
        <f ca="1">O21/SUM(O:O)</f>
        <v>6.8999999999999999E-3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input_325103!A$2</f>
        <v>325103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IFERROR(VLOOKUP(B22,input_325103!L:R,7,FALSE),ROUNDDOWN(VLOOKUP(tables_325103!C22,input_325103!A:H,8,FALSE),0))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input_325103!A$2</f>
        <v>325103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IFERROR(VLOOKUP(B23,input_325103!L:R,7,FALSE),ROUNDDOWN(VLOOKUP(tables_325103!C23,input_325103!A:H,8,FALSE),0))</f>
        <v>20700</v>
      </c>
      <c r="P23" s="48">
        <f ca="1">O23/SUM(O:O)</f>
        <v>6.8999999999999999E-3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input_325103!A$2</f>
        <v>325103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IFERROR(VLOOKUP(B24,input_325103!L:R,7,FALSE),ROUNDDOWN(VLOOKUP(tables_325103!C24,input_325103!A:H,8,FALSE),0))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input_325103!A$2</f>
        <v>325103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IFERROR(VLOOKUP(B25,input_325103!L:R,7,FALSE),ROUNDDOWN(VLOOKUP(tables_325103!C25,input_325103!A:H,8,FALSE),0))</f>
        <v>20700</v>
      </c>
      <c r="P25" s="48">
        <f ca="1">O25/SUM(O:O)</f>
        <v>6.8999999999999999E-3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input_325103!A$2</f>
        <v>325103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IFERROR(VLOOKUP(B26,input_325103!L:R,7,FALSE),ROUNDDOWN(VLOOKUP(tables_325103!C26,input_325103!A:H,8,FALSE),0))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input_325103!A$2</f>
        <v>325103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IFERROR(VLOOKUP(B27,input_325103!L:R,7,FALSE),ROUNDDOWN(VLOOKUP(tables_325103!C27,input_325103!A:H,8,FALSE),0))</f>
        <v>96600</v>
      </c>
      <c r="P27" s="48">
        <f ca="1">O27/SUM(O:O)</f>
        <v>3.2199999999999999E-2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input_325103!A$2</f>
        <v>325103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IFERROR(VLOOKUP(B28,input_325103!L:R,7,FALSE),ROUNDDOWN(VLOOKUP(tables_325103!C28,input_325103!A:H,8,FALSE),0))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input_325103!A$2</f>
        <v>325103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IFERROR(VLOOKUP(B29,input_325103!L:R,7,FALSE),ROUNDDOWN(VLOOKUP(tables_325103!C29,input_325103!A:H,8,FALSE),0))</f>
        <v>20700</v>
      </c>
      <c r="P29" s="48">
        <f ca="1">O29/SUM(O:O)</f>
        <v>6.8999999999999999E-3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input_325103!A$2</f>
        <v>325103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IFERROR(VLOOKUP(B30,input_325103!L:R,7,FALSE),ROUNDDOWN(VLOOKUP(tables_325103!C30,input_325103!A:H,8,FALSE),0))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input_325103!A$2</f>
        <v>325103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IFERROR(VLOOKUP(B31,input_325103!L:R,7,FALSE),ROUNDDOWN(VLOOKUP(tables_325103!C31,input_325103!A:H,8,FALSE),0))</f>
        <v>20700</v>
      </c>
      <c r="P31" s="48">
        <f ca="1">O31/SUM(O:O)</f>
        <v>6.8999999999999999E-3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input_325103!A$2</f>
        <v>325103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IFERROR(VLOOKUP(B32,input_325103!L:R,7,FALSE),ROUNDDOWN(VLOOKUP(tables_325103!C32,input_325103!A:H,8,FALSE),0))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input_325103!A$2</f>
        <v>325103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IFERROR(VLOOKUP(B33,input_325103!L:R,7,FALSE),ROUNDDOWN(VLOOKUP(tables_325103!C33,input_325103!A:H,8,FALSE),0))</f>
        <v>20700</v>
      </c>
      <c r="P33" s="48">
        <f ca="1">O33/SUM(O:O)</f>
        <v>6.8999999999999999E-3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input_325103!A$2</f>
        <v>325103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IFERROR(VLOOKUP(B34,input_325103!L:R,7,FALSE),ROUNDDOWN(VLOOKUP(tables_325103!C34,input_325103!A:H,8,FALSE),0))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input_325103!A$2</f>
        <v>325103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IFERROR(VLOOKUP(B35,input_325103!L:R,7,FALSE),ROUNDDOWN(VLOOKUP(tables_325103!C35,input_325103!A:H,8,FALSE),0))</f>
        <v>96600</v>
      </c>
      <c r="P35" s="48">
        <f ca="1">O35/SUM(O:O)</f>
        <v>3.2199999999999999E-2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input_325103!A$2</f>
        <v>325103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IFERROR(VLOOKUP(B36,input_325103!L:R,7,FALSE),ROUNDDOWN(VLOOKUP(tables_325103!C36,input_325103!A:H,8,FALSE),0))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input_325103!A$2</f>
        <v>325103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IFERROR(VLOOKUP(B37,input_325103!L:R,7,FALSE),ROUNDDOWN(VLOOKUP(tables_325103!C37,input_325103!A:H,8,FALSE),0))</f>
        <v>20700</v>
      </c>
      <c r="P37" s="48">
        <f ca="1">O37/SUM(O:O)</f>
        <v>6.8999999999999999E-3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input_325103!A$2</f>
        <v>325103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IFERROR(VLOOKUP(B38,input_325103!L:R,7,FALSE),ROUNDDOWN(VLOOKUP(tables_325103!C38,input_325103!A:H,8,FALSE),0))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input_325103!A$2</f>
        <v>325103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IFERROR(VLOOKUP(B39,input_325103!L:R,7,FALSE),ROUNDDOWN(VLOOKUP(tables_325103!C39,input_325103!A:H,8,FALSE),0))</f>
        <v>20700</v>
      </c>
      <c r="P39" s="48">
        <f ca="1">O39/SUM(O:O)</f>
        <v>6.8999999999999999E-3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input_325103!A$2</f>
        <v>325103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IFERROR(VLOOKUP(B40,input_325103!L:R,7,FALSE),ROUNDDOWN(VLOOKUP(tables_325103!C40,input_325103!A:H,8,FALSE),0))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input_325103!A$2</f>
        <v>325103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IFERROR(VLOOKUP(B41,input_325103!L:R,7,FALSE),ROUNDDOWN(VLOOKUP(tables_325103!C41,input_325103!A:H,8,FALSE),0))</f>
        <v>20700</v>
      </c>
      <c r="P41" s="48">
        <f ca="1">O41/SUM(O:O)</f>
        <v>6.8999999999999999E-3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input_325103!A$2</f>
        <v>325103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IFERROR(VLOOKUP(B42,input_325103!L:R,7,FALSE),ROUNDDOWN(VLOOKUP(tables_325103!C42,input_325103!A:H,8,FALSE),0))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input_325103!A$2</f>
        <v>325103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IFERROR(VLOOKUP(B43,input_325103!L:R,7,FALSE),ROUNDDOWN(VLOOKUP(tables_325103!C43,input_325103!A:H,8,FALSE),0))</f>
        <v>5700</v>
      </c>
      <c r="P43" s="48">
        <f ca="1">O43/SUM(O:O)</f>
        <v>1.9E-3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input_325103!A$2</f>
        <v>325103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IFERROR(VLOOKUP(B44,input_325103!L:R,7,FALSE),ROUNDDOWN(VLOOKUP(tables_325103!C44,input_325103!A:H,8,FALSE),0))</f>
        <v>300</v>
      </c>
      <c r="P44" s="48">
        <f ca="1">O44/SUM(O:O)</f>
        <v>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input_325103!A$2</f>
        <v>325103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IFERROR(VLOOKUP(B45,input_325103!L:R,7,FALSE),ROUNDDOWN(VLOOKUP(tables_325103!C45,input_325103!A:H,8,FALSE),0))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input_325103!A$2</f>
        <v>325103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IFERROR(VLOOKUP(B46,input_325103!L:R,7,FALSE),ROUNDDOWN(VLOOKUP(tables_325103!C46,input_325103!A:H,8,FALSE),0))</f>
        <v>1368</v>
      </c>
      <c r="P46" s="48">
        <f ca="1">O46/SUM(O:O)</f>
        <v>4.5600000000000003E-4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input_325103!A$2</f>
        <v>325103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IFERROR(VLOOKUP(B47,input_325103!L:R,7,FALSE),ROUNDDOWN(VLOOKUP(tables_325103!C47,input_325103!A:H,8,FALSE),0))</f>
        <v>72</v>
      </c>
      <c r="P47" s="48">
        <f ca="1">O47/SUM(O:O)</f>
        <v>2.4000000000000001E-5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input_325103!A$2</f>
        <v>325103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IFERROR(VLOOKUP(B48,input_325103!L:R,7,FALSE),ROUNDDOWN(VLOOKUP(tables_325103!C48,input_325103!A:H,8,FALSE),0))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input_325103!A$2</f>
        <v>325103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IFERROR(VLOOKUP(B49,input_325103!L:R,7,FALSE),ROUNDDOWN(VLOOKUP(tables_325103!C49,input_325103!A:H,8,FALSE),0))</f>
        <v>1368</v>
      </c>
      <c r="P49" s="48">
        <f ca="1">O49/SUM(O:O)</f>
        <v>4.5600000000000003E-4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input_325103!A$2</f>
        <v>325103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IFERROR(VLOOKUP(B50,input_325103!L:R,7,FALSE),ROUNDDOWN(VLOOKUP(tables_325103!C50,input_325103!A:H,8,FALSE),0))</f>
        <v>72</v>
      </c>
      <c r="P50" s="48">
        <f ca="1">O50/SUM(O:O)</f>
        <v>2.4000000000000001E-5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input_325103!A$2</f>
        <v>325103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IFERROR(VLOOKUP(B51,input_325103!L:R,7,FALSE),ROUNDDOWN(VLOOKUP(tables_325103!C51,input_325103!A:H,8,FALSE),0))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input_325103!A$2</f>
        <v>325103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IFERROR(VLOOKUP(B52,input_325103!L:R,7,FALSE),ROUNDDOWN(VLOOKUP(tables_325103!C52,input_325103!A:H,8,FALSE),0))</f>
        <v>19665</v>
      </c>
      <c r="P52" s="48">
        <f ca="1">O52/SUM(O:O)</f>
        <v>6.5550000000000001E-3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input_325103!A$2</f>
        <v>325103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IFERROR(VLOOKUP(B53,input_325103!L:R,7,FALSE),ROUNDDOWN(VLOOKUP(tables_325103!C53,input_325103!A:H,8,FALSE),0))</f>
        <v>1035</v>
      </c>
      <c r="P53" s="48">
        <f ca="1">O53/SUM(O:O)</f>
        <v>3.4499999999999998E-4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input_325103!A$2</f>
        <v>325103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IFERROR(VLOOKUP(B54,input_325103!L:R,7,FALSE),ROUNDDOWN(VLOOKUP(tables_325103!C54,input_325103!A:H,8,FALSE),0))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input_325103!A$2</f>
        <v>325103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IFERROR(VLOOKUP(B55,input_325103!L:R,7,FALSE),ROUNDDOWN(VLOOKUP(tables_325103!C55,input_325103!A:H,8,FALSE),0))</f>
        <v>91770</v>
      </c>
      <c r="P55" s="48">
        <f ca="1">O55/SUM(O:O)</f>
        <v>3.0589999999999999E-2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input_325103!A$2</f>
        <v>325103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IFERROR(VLOOKUP(B56,input_325103!L:R,7,FALSE),ROUNDDOWN(VLOOKUP(tables_325103!C56,input_325103!A:H,8,FALSE),0))</f>
        <v>4830</v>
      </c>
      <c r="P56" s="48">
        <f ca="1">O56/SUM(O:O)</f>
        <v>1.6100000000000001E-3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input_325103!A$2</f>
        <v>325103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IFERROR(VLOOKUP(B57,input_325103!L:R,7,FALSE),ROUNDDOWN(VLOOKUP(tables_325103!C57,input_325103!A:H,8,FALSE),0))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input_325103!A$2</f>
        <v>325103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IFERROR(VLOOKUP(B58,input_325103!L:R,7,FALSE),ROUNDDOWN(VLOOKUP(tables_325103!C58,input_325103!A:H,8,FALSE),0))</f>
        <v>19665</v>
      </c>
      <c r="P58" s="48">
        <f ca="1">O58/SUM(O:O)</f>
        <v>6.5550000000000001E-3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input_325103!A$2</f>
        <v>325103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IFERROR(VLOOKUP(B59,input_325103!L:R,7,FALSE),ROUNDDOWN(VLOOKUP(tables_325103!C59,input_325103!A:H,8,FALSE),0))</f>
        <v>1035</v>
      </c>
      <c r="P59" s="48">
        <f ca="1">O59/SUM(O:O)</f>
        <v>3.4499999999999998E-4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input_325103!A$2</f>
        <v>325103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IFERROR(VLOOKUP(B60,input_325103!L:R,7,FALSE),ROUNDDOWN(VLOOKUP(tables_325103!C60,input_325103!A:H,8,FALSE),0))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input_325103!A$2</f>
        <v>325103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IFERROR(VLOOKUP(B61,input_325103!L:R,7,FALSE),ROUNDDOWN(VLOOKUP(tables_325103!C61,input_325103!A:H,8,FALSE),0))</f>
        <v>19665</v>
      </c>
      <c r="P61" s="48">
        <f ca="1">O61/SUM(O:O)</f>
        <v>6.5550000000000001E-3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input_325103!A$2</f>
        <v>325103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IFERROR(VLOOKUP(B62,input_325103!L:R,7,FALSE),ROUNDDOWN(VLOOKUP(tables_325103!C62,input_325103!A:H,8,FALSE),0))</f>
        <v>1035</v>
      </c>
      <c r="P62" s="48">
        <f ca="1">O62/SUM(O:O)</f>
        <v>3.4499999999999998E-4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input_325103!A$2</f>
        <v>325103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IFERROR(VLOOKUP(B63,input_325103!L:R,7,FALSE),ROUNDDOWN(VLOOKUP(tables_325103!C63,input_325103!A:H,8,FALSE),0))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input_325103!A$2</f>
        <v>325103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IFERROR(VLOOKUP(B64,input_325103!L:R,7,FALSE),ROUNDDOWN(VLOOKUP(tables_325103!C64,input_325103!A:H,8,FALSE),0))</f>
        <v>19665</v>
      </c>
      <c r="P64" s="48">
        <f ca="1">O64/SUM(O:O)</f>
        <v>6.5550000000000001E-3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input_325103!A$2</f>
        <v>325103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IFERROR(VLOOKUP(B65,input_325103!L:R,7,FALSE),ROUNDDOWN(VLOOKUP(tables_325103!C65,input_325103!A:H,8,FALSE),0))</f>
        <v>1035</v>
      </c>
      <c r="P65" s="48">
        <f ca="1">O65/SUM(O:O)</f>
        <v>3.4499999999999998E-4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input_325103!A$2</f>
        <v>325103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IFERROR(VLOOKUP(B66,input_325103!L:R,7,FALSE),ROUNDDOWN(VLOOKUP(tables_325103!C66,input_325103!A:H,8,FALSE),0))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input_325103!A$2</f>
        <v>325103</v>
      </c>
      <c r="B67" s="6">
        <v>191</v>
      </c>
      <c r="C67" s="7" t="str">
        <f t="shared" si="3"/>
        <v>Premium4color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IFERROR(VLOOKUP(B67,input_325103!L:R,7,FALSE),ROUNDDOWN(VLOOKUP(tables_325103!C67,input_325103!A:H,8,FALSE),0))</f>
        <v>91770</v>
      </c>
      <c r="P67" s="48">
        <f ca="1">O67/SUM(O:O)</f>
        <v>3.0589999999999999E-2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input_325103!A$2</f>
        <v>325103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IFERROR(VLOOKUP(B68,input_325103!L:R,7,FALSE),ROUNDDOWN(VLOOKUP(tables_325103!C68,input_325103!A:H,8,FALSE),0))</f>
        <v>4830</v>
      </c>
      <c r="P68" s="48">
        <f ca="1">O68/SUM(O:O)</f>
        <v>1.6100000000000001E-3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input_325103!A$2</f>
        <v>325103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IFERROR(VLOOKUP(B69,input_325103!L:R,7,FALSE),ROUNDDOWN(VLOOKUP(tables_325103!C69,input_325103!A:H,8,FALSE),0))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input_325103!A$2</f>
        <v>325103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IFERROR(VLOOKUP(B70,input_325103!L:R,7,FALSE),ROUNDDOWN(VLOOKUP(tables_325103!C70,input_325103!A:H,8,FALSE),0))</f>
        <v>19665</v>
      </c>
      <c r="P70" s="48">
        <f ca="1">O70/SUM(O:O)</f>
        <v>6.5550000000000001E-3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input_325103!A$2</f>
        <v>325103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IFERROR(VLOOKUP(B71,input_325103!L:R,7,FALSE),ROUNDDOWN(VLOOKUP(tables_325103!C71,input_325103!A:H,8,FALSE),0))</f>
        <v>1035</v>
      </c>
      <c r="P71" s="48">
        <f ca="1">O71/SUM(O:O)</f>
        <v>3.4499999999999998E-4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input_325103!A$2</f>
        <v>325103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IFERROR(VLOOKUP(B72,input_325103!L:R,7,FALSE),ROUNDDOWN(VLOOKUP(tables_325103!C72,input_325103!A:H,8,FALSE),0))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input_325103!A$2</f>
        <v>325103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IFERROR(VLOOKUP(B73,input_325103!L:R,7,FALSE),ROUNDDOWN(VLOOKUP(tables_325103!C73,input_325103!A:H,8,FALSE),0))</f>
        <v>19665</v>
      </c>
      <c r="P73" s="48">
        <f ca="1">O73/SUM(O:O)</f>
        <v>6.5550000000000001E-3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input_325103!A$2</f>
        <v>325103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IFERROR(VLOOKUP(B74,input_325103!L:R,7,FALSE),ROUNDDOWN(VLOOKUP(tables_325103!C74,input_325103!A:H,8,FALSE),0))</f>
        <v>1035</v>
      </c>
      <c r="P74" s="48">
        <f ca="1">O74/SUM(O:O)</f>
        <v>3.4499999999999998E-4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input_325103!A$2</f>
        <v>325103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IFERROR(VLOOKUP(B75,input_325103!L:R,7,FALSE),ROUNDDOWN(VLOOKUP(tables_325103!C75,input_325103!A:H,8,FALSE),0))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input_325103!A$2</f>
        <v>325103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IFERROR(VLOOKUP(B76,input_325103!L:R,7,FALSE),ROUNDDOWN(VLOOKUP(tables_325103!C76,input_325103!A:H,8,FALSE),0))</f>
        <v>19665</v>
      </c>
      <c r="P76" s="48">
        <f ca="1">O76/SUM(O:O)</f>
        <v>6.5550000000000001E-3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input_325103!A$2</f>
        <v>325103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IFERROR(VLOOKUP(B77,input_325103!L:R,7,FALSE),ROUNDDOWN(VLOOKUP(tables_325103!C77,input_325103!A:H,8,FALSE),0))</f>
        <v>1035</v>
      </c>
      <c r="P77" s="48">
        <f ca="1">O77/SUM(O:O)</f>
        <v>3.4499999999999998E-4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input_325103!A$2</f>
        <v>325103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IFERROR(VLOOKUP(B78,input_325103!L:R,7,FALSE),ROUNDDOWN(VLOOKUP(tables_325103!C78,input_325103!A:H,8,FALSE),0))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input_325103!A$2</f>
        <v>325103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IFERROR(VLOOKUP(B79,input_325103!L:R,7,FALSE),ROUNDDOWN(VLOOKUP(tables_325103!C79,input_325103!A:H,8,FALSE),0))</f>
        <v>91770</v>
      </c>
      <c r="P79" s="48">
        <f ca="1">O79/SUM(O:O)</f>
        <v>3.0589999999999999E-2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input_325103!A$2</f>
        <v>325103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IFERROR(VLOOKUP(B80,input_325103!L:R,7,FALSE),ROUNDDOWN(VLOOKUP(tables_325103!C80,input_325103!A:H,8,FALSE),0))</f>
        <v>4830</v>
      </c>
      <c r="P80" s="48">
        <f ca="1">O80/SUM(O:O)</f>
        <v>1.6100000000000001E-3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input_325103!A$2</f>
        <v>325103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IFERROR(VLOOKUP(B81,input_325103!L:R,7,FALSE),ROUNDDOWN(VLOOKUP(tables_325103!C81,input_325103!A:H,8,FALSE),0))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input_325103!A$2</f>
        <v>325103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IFERROR(VLOOKUP(B82,input_325103!L:R,7,FALSE),ROUNDDOWN(VLOOKUP(tables_325103!C82,input_325103!A:H,8,FALSE),0))</f>
        <v>19665</v>
      </c>
      <c r="P82" s="48">
        <f ca="1">O82/SUM(O:O)</f>
        <v>6.5550000000000001E-3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input_325103!A$2</f>
        <v>325103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IFERROR(VLOOKUP(B83,input_325103!L:R,7,FALSE),ROUNDDOWN(VLOOKUP(tables_325103!C83,input_325103!A:H,8,FALSE),0))</f>
        <v>1035</v>
      </c>
      <c r="P83" s="48">
        <f ca="1">O83/SUM(O:O)</f>
        <v>3.4499999999999998E-4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input_325103!A$2</f>
        <v>325103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IFERROR(VLOOKUP(B84,input_325103!L:R,7,FALSE),ROUNDDOWN(VLOOKUP(tables_325103!C84,input_325103!A:H,8,FALSE),0))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input_325103!A$2</f>
        <v>325103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IFERROR(VLOOKUP(B85,input_325103!L:R,7,FALSE),ROUNDDOWN(VLOOKUP(tables_325103!C85,input_325103!A:H,8,FALSE),0))</f>
        <v>19665</v>
      </c>
      <c r="P85" s="48">
        <f ca="1">O85/SUM(O:O)</f>
        <v>6.5550000000000001E-3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input_325103!A$2</f>
        <v>325103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IFERROR(VLOOKUP(B86,input_325103!L:R,7,FALSE),ROUNDDOWN(VLOOKUP(tables_325103!C86,input_325103!A:H,8,FALSE),0))</f>
        <v>1035</v>
      </c>
      <c r="P86" s="48">
        <f ca="1">O86/SUM(O:O)</f>
        <v>3.4499999999999998E-4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input_325103!A$2</f>
        <v>325103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IFERROR(VLOOKUP(B87,input_325103!L:R,7,FALSE),ROUNDDOWN(VLOOKUP(tables_325103!C87,input_325103!A:H,8,FALSE),0))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input_325103!A$2</f>
        <v>325103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IFERROR(VLOOKUP(B88,input_325103!L:R,7,FALSE),ROUNDDOWN(VLOOKUP(tables_325103!C88,input_325103!A:H,8,FALSE),0))</f>
        <v>19665</v>
      </c>
      <c r="P88" s="48">
        <f ca="1">O88/SUM(O:O)</f>
        <v>6.5550000000000001E-3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input_325103!A$2</f>
        <v>325103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IFERROR(VLOOKUP(B89,input_325103!L:R,7,FALSE),ROUNDDOWN(VLOOKUP(tables_325103!C89,input_325103!A:H,8,FALSE),0))</f>
        <v>1035</v>
      </c>
      <c r="P89" s="48">
        <f ca="1">O89/SUM(O:O)</f>
        <v>3.4499999999999998E-4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input_325103!A$2</f>
        <v>325103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IFERROR(VLOOKUP(B90,input_325103!L:R,7,FALSE),ROUNDDOWN(VLOOKUP(tables_325103!C90,input_325103!A:H,8,FALSE),0))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input_325103!A$2</f>
        <v>325103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IFERROR(VLOOKUP(B91,input_325103!L:R,7,FALSE),ROUNDDOWN(VLOOKUP(tables_325103!C91,input_325103!A:H,8,FALSE),0))</f>
        <v>91770</v>
      </c>
      <c r="P91" s="48">
        <f ca="1">O91/SUM(O:O)</f>
        <v>3.0589999999999999E-2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input_325103!A$2</f>
        <v>325103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IFERROR(VLOOKUP(B92,input_325103!L:R,7,FALSE),ROUNDDOWN(VLOOKUP(tables_325103!C92,input_325103!A:H,8,FALSE),0))</f>
        <v>4830</v>
      </c>
      <c r="P92" s="48">
        <f ca="1">O92/SUM(O:O)</f>
        <v>1.6100000000000001E-3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input_325103!A$2</f>
        <v>325103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IFERROR(VLOOKUP(B93,input_325103!L:R,7,FALSE),ROUNDDOWN(VLOOKUP(tables_325103!C93,input_325103!A:H,8,FALSE),0))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input_325103!A$2</f>
        <v>325103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IFERROR(VLOOKUP(B94,input_325103!L:R,7,FALSE),ROUNDDOWN(VLOOKUP(tables_325103!C94,input_325103!A:H,8,FALSE),0))</f>
        <v>19665</v>
      </c>
      <c r="P94" s="48">
        <f ca="1">O94/SUM(O:O)</f>
        <v>6.5550000000000001E-3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input_325103!A$2</f>
        <v>325103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IFERROR(VLOOKUP(B95,input_325103!L:R,7,FALSE),ROUNDDOWN(VLOOKUP(tables_325103!C95,input_325103!A:H,8,FALSE),0))</f>
        <v>1035</v>
      </c>
      <c r="P95" s="48">
        <f ca="1">O95/SUM(O:O)</f>
        <v>3.4499999999999998E-4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input_325103!A$2</f>
        <v>325103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IFERROR(VLOOKUP(B96,input_325103!L:R,7,FALSE),ROUNDDOWN(VLOOKUP(tables_325103!C96,input_325103!A:H,8,FALSE),0))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input_325103!A$2</f>
        <v>325103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IFERROR(VLOOKUP(B97,input_325103!L:R,7,FALSE),ROUNDDOWN(VLOOKUP(tables_325103!C97,input_325103!A:H,8,FALSE),0))</f>
        <v>19665</v>
      </c>
      <c r="P97" s="48">
        <f ca="1">O97/SUM(O:O)</f>
        <v>6.5550000000000001E-3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input_325103!A$2</f>
        <v>325103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IFERROR(VLOOKUP(B98,input_325103!L:R,7,FALSE),ROUNDDOWN(VLOOKUP(tables_325103!C98,input_325103!A:H,8,FALSE),0))</f>
        <v>1035</v>
      </c>
      <c r="P98" s="48">
        <f ca="1">O98/SUM(O:O)</f>
        <v>3.4499999999999998E-4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input_325103!A$2</f>
        <v>325103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IFERROR(VLOOKUP(B99,input_325103!L:R,7,FALSE),ROUNDDOWN(VLOOKUP(tables_325103!C99,input_325103!A:H,8,FALSE),0))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input_325103!A$2</f>
        <v>325103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IFERROR(VLOOKUP(B100,input_325103!L:R,7,FALSE),ROUNDDOWN(VLOOKUP(tables_325103!C100,input_325103!A:H,8,FALSE),0))</f>
        <v>19665</v>
      </c>
      <c r="P100" s="48">
        <f ca="1">O100/SUM(O:O)</f>
        <v>6.5550000000000001E-3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input_325103!A$2</f>
        <v>325103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IFERROR(VLOOKUP(B101,input_325103!L:R,7,FALSE),ROUNDDOWN(VLOOKUP(tables_325103!C101,input_325103!A:H,8,FALSE),0))</f>
        <v>1035</v>
      </c>
      <c r="P101" s="48">
        <f ca="1">O101/SUM(O:O)</f>
        <v>3.4499999999999998E-4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input_325103!A$2</f>
        <v>325103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IFERROR(VLOOKUP(B102,input_325103!L:R,7,FALSE),ROUNDDOWN(VLOOKUP(tables_325103!C102,input_325103!A:H,8,FALSE),0))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input_325103!A$2</f>
        <v>325103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IFERROR(VLOOKUP(B103,input_325103!L:R,7,FALSE),ROUNDDOWN(VLOOKUP(tables_325103!C103,input_325103!A:H,8,FALSE),0))</f>
        <v>91770</v>
      </c>
      <c r="P103" s="48">
        <f ca="1">O103/SUM(O:O)</f>
        <v>3.0589999999999999E-2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input_325103!A$2</f>
        <v>325103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IFERROR(VLOOKUP(B104,input_325103!L:R,7,FALSE),ROUNDDOWN(VLOOKUP(tables_325103!C104,input_325103!A:H,8,FALSE),0))</f>
        <v>4830</v>
      </c>
      <c r="P104" s="48">
        <f ca="1">O104/SUM(O:O)</f>
        <v>1.6100000000000001E-3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input_325103!A$2</f>
        <v>325103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IFERROR(VLOOKUP(B105,input_325103!L:R,7,FALSE),ROUNDDOWN(VLOOKUP(tables_325103!C105,input_325103!A:H,8,FALSE),0))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input_325103!A$2</f>
        <v>325103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IFERROR(VLOOKUP(B106,input_325103!L:R,7,FALSE),ROUNDDOWN(VLOOKUP(tables_325103!C106,input_325103!A:H,8,FALSE),0))</f>
        <v>19665</v>
      </c>
      <c r="P106" s="48">
        <f ca="1">O106/SUM(O:O)</f>
        <v>6.5550000000000001E-3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input_325103!A$2</f>
        <v>325103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IFERROR(VLOOKUP(B107,input_325103!L:R,7,FALSE),ROUNDDOWN(VLOOKUP(tables_325103!C107,input_325103!A:H,8,FALSE),0))</f>
        <v>1035</v>
      </c>
      <c r="P107" s="48">
        <f ca="1">O107/SUM(O:O)</f>
        <v>3.4499999999999998E-4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input_325103!A$2</f>
        <v>325103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IFERROR(VLOOKUP(B108,input_325103!L:R,7,FALSE),ROUNDDOWN(VLOOKUP(tables_325103!C108,input_325103!A:H,8,FALSE),0))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input_325103!A$2</f>
        <v>325103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IFERROR(VLOOKUP(B109,input_325103!L:R,7,FALSE),ROUNDDOWN(VLOOKUP(tables_325103!C109,input_325103!A:H,8,FALSE),0))</f>
        <v>19665</v>
      </c>
      <c r="P109" s="48">
        <f ca="1">O109/SUM(O:O)</f>
        <v>6.5550000000000001E-3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input_325103!A$2</f>
        <v>325103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IFERROR(VLOOKUP(B110,input_325103!L:R,7,FALSE),ROUNDDOWN(VLOOKUP(tables_325103!C110,input_325103!A:H,8,FALSE),0))</f>
        <v>1035</v>
      </c>
      <c r="P110" s="48">
        <f ca="1">O110/SUM(O:O)</f>
        <v>3.4499999999999998E-4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input_325103!A$2</f>
        <v>325103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IFERROR(VLOOKUP(B111,input_325103!L:R,7,FALSE),ROUNDDOWN(VLOOKUP(tables_325103!C111,input_325103!A:H,8,FALSE),0))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input_325103!A$2</f>
        <v>325103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IFERROR(VLOOKUP(B112,input_325103!L:R,7,FALSE),ROUNDDOWN(VLOOKUP(tables_325103!C112,input_325103!A:H,8,FALSE),0))</f>
        <v>1368</v>
      </c>
      <c r="P112" s="48">
        <f ca="1">O112/SUM(O:O)</f>
        <v>4.5600000000000003E-4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input_325103!A$2</f>
        <v>325103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IFERROR(VLOOKUP(B113,input_325103!L:R,7,FALSE),ROUNDDOWN(VLOOKUP(tables_325103!C113,input_325103!A:H,8,FALSE),0))</f>
        <v>72</v>
      </c>
      <c r="P113" s="48">
        <f ca="1">O113/SUM(O:O)</f>
        <v>2.4000000000000001E-5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input_325103!A$2</f>
        <v>325103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IFERROR(VLOOKUP(B114,input_325103!L:R,7,FALSE),ROUNDDOWN(VLOOKUP(tables_325103!C114,input_325103!A:H,8,FALSE),0))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input_325103!A$2</f>
        <v>325103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IFERROR(VLOOKUP(B115,input_325103!L:R,7,FALSE),ROUNDDOWN(VLOOKUP(tables_325103!C115,input_325103!A:H,8,FALSE),0))</f>
        <v>91770</v>
      </c>
      <c r="P115" s="48">
        <f ca="1">O115/SUM(O:O)</f>
        <v>3.0589999999999999E-2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input_325103!A$2</f>
        <v>325103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IFERROR(VLOOKUP(B116,input_325103!L:R,7,FALSE),ROUNDDOWN(VLOOKUP(tables_325103!C116,input_325103!A:H,8,FALSE),0))</f>
        <v>4830</v>
      </c>
      <c r="P116" s="48">
        <f ca="1">O116/SUM(O:O)</f>
        <v>1.6100000000000001E-3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input_325103!A$2</f>
        <v>325103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IFERROR(VLOOKUP(B117,input_325103!L:R,7,FALSE),ROUNDDOWN(VLOOKUP(tables_325103!C117,input_325103!A:H,8,FALSE),0))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input_325103!A$2</f>
        <v>325103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IFERROR(VLOOKUP(B118,input_325103!L:R,7,FALSE),ROUNDDOWN(VLOOKUP(tables_325103!C118,input_325103!A:H,8,FALSE),0))</f>
        <v>19665</v>
      </c>
      <c r="P118" s="48">
        <f ca="1">O118/SUM(O:O)</f>
        <v>6.5550000000000001E-3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input_325103!A$2</f>
        <v>325103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IFERROR(VLOOKUP(B119,input_325103!L:R,7,FALSE),ROUNDDOWN(VLOOKUP(tables_325103!C119,input_325103!A:H,8,FALSE),0))</f>
        <v>1035</v>
      </c>
      <c r="P119" s="48">
        <f ca="1">O119/SUM(O:O)</f>
        <v>3.4499999999999998E-4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input_325103!A$2</f>
        <v>325103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IFERROR(VLOOKUP(B120,input_325103!L:R,7,FALSE),ROUNDDOWN(VLOOKUP(tables_325103!C120,input_325103!A:H,8,FALSE),0))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input_325103!A$2</f>
        <v>325103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IFERROR(VLOOKUP(B121,input_325103!L:R,7,FALSE),ROUNDDOWN(VLOOKUP(tables_325103!C121,input_325103!A:H,8,FALSE),0))</f>
        <v>19665</v>
      </c>
      <c r="P121" s="48">
        <f ca="1">O121/SUM(O:O)</f>
        <v>6.5550000000000001E-3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input_325103!A$2</f>
        <v>325103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IFERROR(VLOOKUP(B122,input_325103!L:R,7,FALSE),ROUNDDOWN(VLOOKUP(tables_325103!C122,input_325103!A:H,8,FALSE),0))</f>
        <v>1035</v>
      </c>
      <c r="P122" s="48">
        <f ca="1">O122/SUM(O:O)</f>
        <v>3.4499999999999998E-4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input_325103!A$2</f>
        <v>325103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IFERROR(VLOOKUP(B123,input_325103!L:R,7,FALSE),ROUNDDOWN(VLOOKUP(tables_325103!C123,input_325103!A:H,8,FALSE),0))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input_325103!A$2</f>
        <v>325103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IFERROR(VLOOKUP(B124,input_325103!L:R,7,FALSE),ROUNDDOWN(VLOOKUP(tables_325103!C124,input_325103!A:H,8,FALSE),0))</f>
        <v>19665</v>
      </c>
      <c r="P124" s="48">
        <f ca="1">O124/SUM(O:O)</f>
        <v>6.5550000000000001E-3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input_325103!A$2</f>
        <v>325103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IFERROR(VLOOKUP(B125,input_325103!L:R,7,FALSE),ROUNDDOWN(VLOOKUP(tables_325103!C125,input_325103!A:H,8,FALSE),0))</f>
        <v>1035</v>
      </c>
      <c r="P125" s="48">
        <f ca="1">O125/SUM(O:O)</f>
        <v>3.4499999999999998E-4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input_325103!A$2</f>
        <v>325103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IFERROR(VLOOKUP(B126,input_325103!L:R,7,FALSE),ROUNDDOWN(VLOOKUP(tables_325103!C126,input_325103!A:H,8,FALSE),0))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input_325103!A$2</f>
        <v>325103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IFERROR(VLOOKUP(B127,input_325103!L:R,7,FALSE),ROUNDDOWN(VLOOKUP(tables_325103!C127,input_325103!A:H,8,FALSE),0))</f>
        <v>91770</v>
      </c>
      <c r="P127" s="48">
        <f ca="1">O127/SUM(O:O)</f>
        <v>3.0589999999999999E-2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input_325103!A$2</f>
        <v>325103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IFERROR(VLOOKUP(B128,input_325103!L:R,7,FALSE),ROUNDDOWN(VLOOKUP(tables_325103!C128,input_325103!A:H,8,FALSE),0))</f>
        <v>4830</v>
      </c>
      <c r="P128" s="48">
        <f ca="1">O128/SUM(O:O)</f>
        <v>1.6100000000000001E-3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input_325103!A$2</f>
        <v>325103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IFERROR(VLOOKUP(B129,input_325103!L:R,7,FALSE),ROUNDDOWN(VLOOKUP(tables_325103!C129,input_325103!A:H,8,FALSE),0))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input_325103!A$2</f>
        <v>325103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IFERROR(VLOOKUP(B130,input_325103!L:R,7,FALSE),ROUNDDOWN(VLOOKUP(tables_325103!C130,input_325103!A:H,8,FALSE),0))</f>
        <v>19665</v>
      </c>
      <c r="P130" s="48">
        <f ca="1">O130/SUM(O:O)</f>
        <v>6.5550000000000001E-3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input_325103!A$2</f>
        <v>325103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IFERROR(VLOOKUP(B131,input_325103!L:R,7,FALSE),ROUNDDOWN(VLOOKUP(tables_325103!C131,input_325103!A:H,8,FALSE),0))</f>
        <v>1035</v>
      </c>
      <c r="P131" s="48">
        <f ca="1">O131/SUM(O:O)</f>
        <v>3.4499999999999998E-4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input_325103!A$2</f>
        <v>325103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IFERROR(VLOOKUP(B132,input_325103!L:R,7,FALSE),ROUNDDOWN(VLOOKUP(tables_325103!C132,input_325103!A:H,8,FALSE),0))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input_325103!A$2</f>
        <v>325103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IFERROR(VLOOKUP(B133,input_325103!L:R,7,FALSE),ROUNDDOWN(VLOOKUP(tables_325103!C133,input_325103!A:H,8,FALSE),0))</f>
        <v>19665</v>
      </c>
      <c r="P133" s="48">
        <f ca="1">O133/SUM(O:O)</f>
        <v>6.5550000000000001E-3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input_325103!A$2</f>
        <v>325103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IFERROR(VLOOKUP(B134,input_325103!L:R,7,FALSE),ROUNDDOWN(VLOOKUP(tables_325103!C134,input_325103!A:H,8,FALSE),0))</f>
        <v>1035</v>
      </c>
      <c r="P134" s="48">
        <f ca="1">O134/SUM(O:O)</f>
        <v>3.4499999999999998E-4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input_325103!A$2</f>
        <v>325103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IFERROR(VLOOKUP(B135,input_325103!L:R,7,FALSE),ROUNDDOWN(VLOOKUP(tables_325103!C135,input_325103!A:H,8,FALSE),0))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input_325103!A$2</f>
        <v>325103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IFERROR(VLOOKUP(B136,input_325103!L:R,7,FALSE),ROUNDDOWN(VLOOKUP(tables_325103!C136,input_325103!A:H,8,FALSE),0))</f>
        <v>19665</v>
      </c>
      <c r="P136" s="48">
        <f ca="1">O136/SUM(O:O)</f>
        <v>6.5550000000000001E-3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input_325103!A$2</f>
        <v>325103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IFERROR(VLOOKUP(B137,input_325103!L:R,7,FALSE),ROUNDDOWN(VLOOKUP(tables_325103!C137,input_325103!A:H,8,FALSE),0))</f>
        <v>1035</v>
      </c>
      <c r="P137" s="48">
        <f ca="1">O137/SUM(O:O)</f>
        <v>3.4499999999999998E-4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input_325103!A$2</f>
        <v>325103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IFERROR(VLOOKUP(B138,input_325103!L:R,7,FALSE),ROUNDDOWN(VLOOKUP(tables_325103!C138,input_325103!A:H,8,FALSE),0))</f>
        <v>5700</v>
      </c>
      <c r="P138" s="48">
        <f ca="1">O138/SUM(O:O)</f>
        <v>1.9E-3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input_325103!A$2</f>
        <v>325103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IFERROR(VLOOKUP(B139,input_325103!L:R,7,FALSE),ROUNDDOWN(VLOOKUP(tables_325103!C139,input_325103!A:H,8,FALSE),0))</f>
        <v>300</v>
      </c>
      <c r="P139" s="48">
        <f ca="1">O139/SUM(O:O)</f>
        <v>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input_325103!A$2</f>
        <v>325103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IFERROR(VLOOKUP(B140,input_325103!L:R,7,FALSE),ROUNDDOWN(VLOOKUP(tables_325103!C140,input_325103!A:H,8,FALSE),0))</f>
        <v>1368</v>
      </c>
      <c r="P140" s="48">
        <f ca="1">O140/SUM(O:O)</f>
        <v>4.5600000000000003E-4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input_325103!A$2</f>
        <v>325103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IFERROR(VLOOKUP(B141,input_325103!L:R,7,FALSE),ROUNDDOWN(VLOOKUP(tables_325103!C141,input_325103!A:H,8,FALSE),0))</f>
        <v>72</v>
      </c>
      <c r="P141" s="48">
        <f ca="1">O141/SUM(O:O)</f>
        <v>2.4000000000000001E-5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input_325103!A$2</f>
        <v>325103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IFERROR(VLOOKUP(B142,input_325103!L:R,7,FALSE),ROUNDDOWN(VLOOKUP(tables_325103!C142,input_325103!A:H,8,FALSE),0))</f>
        <v>1368</v>
      </c>
      <c r="P142" s="48">
        <f ca="1">O142/SUM(O:O)</f>
        <v>4.5600000000000003E-4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input_325103!A$2</f>
        <v>325103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IFERROR(VLOOKUP(B143,input_325103!L:R,7,FALSE),ROUNDDOWN(VLOOKUP(tables_325103!C143,input_325103!A:H,8,FALSE),0))</f>
        <v>72</v>
      </c>
      <c r="P143" s="48">
        <f ca="1">O143/SUM(O:O)</f>
        <v>2.4000000000000001E-5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input_325103!A$2</f>
        <v>325103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IFERROR(VLOOKUP(B144,input_325103!L:R,7,FALSE),ROUNDDOWN(VLOOKUP(tables_325103!C144,input_325103!A:H,8,FALSE),0))</f>
        <v>1368</v>
      </c>
      <c r="P144" s="48">
        <f ca="1">O144/SUM(O:O)</f>
        <v>4.5600000000000003E-4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input_325103!A$2</f>
        <v>325103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IFERROR(VLOOKUP(B145,input_325103!L:R,7,FALSE),ROUNDDOWN(VLOOKUP(tables_325103!C145,input_325103!A:H,8,FALSE),0))</f>
        <v>72</v>
      </c>
      <c r="P145" s="48">
        <f ca="1">O145/SUM(O:O)</f>
        <v>2.4000000000000001E-5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input_325103!A$2</f>
        <v>325103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IFERROR(VLOOKUP(B146,input_325103!L:R,7,FALSE),ROUNDDOWN(VLOOKUP(tables_325103!C146,input_325103!A:H,8,FALSE),0))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input_325103!A$2</f>
        <v>325103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IFERROR(VLOOKUP(B147,input_325103!L:R,7,FALSE),ROUNDDOWN(VLOOKUP(tables_325103!C147,input_325103!A:H,8,FALSE),0))</f>
        <v>91770</v>
      </c>
      <c r="P147" s="48">
        <f ca="1">O147/SUM(O:O)</f>
        <v>3.0589999999999999E-2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input_325103!A$2</f>
        <v>325103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IFERROR(VLOOKUP(B148,input_325103!L:R,7,FALSE),ROUNDDOWN(VLOOKUP(tables_325103!C148,input_325103!A:H,8,FALSE),0))</f>
        <v>4830</v>
      </c>
      <c r="P148" s="48">
        <f ca="1">O148/SUM(O:O)</f>
        <v>1.6100000000000001E-3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input_325103!A$2</f>
        <v>325103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IFERROR(VLOOKUP(B149,input_325103!L:R,7,FALSE),ROUNDDOWN(VLOOKUP(tables_325103!C149,input_325103!A:H,8,FALSE),0))</f>
        <v>1368</v>
      </c>
      <c r="P149" s="48">
        <f ca="1">O149/SUM(O:O)</f>
        <v>4.5600000000000003E-4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input_325103!A$2</f>
        <v>325103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IFERROR(VLOOKUP(B150,input_325103!L:R,7,FALSE),ROUNDDOWN(VLOOKUP(tables_325103!C150,input_325103!A:H,8,FALSE),0))</f>
        <v>72</v>
      </c>
      <c r="P150" s="48">
        <f ca="1">O150/SUM(O:O)</f>
        <v>2.4000000000000001E-5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input_325103!A$2</f>
        <v>325103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IFERROR(VLOOKUP(B151,input_325103!L:R,7,FALSE),ROUNDDOWN(VLOOKUP(tables_325103!C151,input_325103!A:H,8,FALSE),0))</f>
        <v>1368</v>
      </c>
      <c r="P151" s="48">
        <f ca="1">O151/SUM(O:O)</f>
        <v>4.5600000000000003E-4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input_325103!A$2</f>
        <v>325103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IFERROR(VLOOKUP(B152,input_325103!L:R,7,FALSE),ROUNDDOWN(VLOOKUP(tables_325103!C152,input_325103!A:H,8,FALSE),0))</f>
        <v>72</v>
      </c>
      <c r="P152" s="48">
        <f ca="1">O152/SUM(O:O)</f>
        <v>2.4000000000000001E-5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input_325103!A$2</f>
        <v>325103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IFERROR(VLOOKUP(B153,input_325103!L:R,7,FALSE),ROUNDDOWN(VLOOKUP(tables_325103!C153,input_325103!A:H,8,FALSE),0))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input_325103!A$2</f>
        <v>325103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IFERROR(VLOOKUP(B154,input_325103!L:R,7,FALSE),ROUNDDOWN(VLOOKUP(tables_325103!C154,input_325103!A:H,8,FALSE),0))</f>
        <v>19665</v>
      </c>
      <c r="P154" s="48">
        <f ca="1">O154/SUM(O:O)</f>
        <v>6.5550000000000001E-3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input_325103!A$2</f>
        <v>325103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IFERROR(VLOOKUP(B155,input_325103!L:R,7,FALSE),ROUNDDOWN(VLOOKUP(tables_325103!C155,input_325103!A:H,8,FALSE),0))</f>
        <v>1035</v>
      </c>
      <c r="P155" s="48">
        <f ca="1">O155/SUM(O:O)</f>
        <v>3.4499999999999998E-4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input_325103!A$2</f>
        <v>325103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IFERROR(VLOOKUP(B156,input_325103!L:R,7,FALSE),ROUNDDOWN(VLOOKUP(tables_325103!C156,input_325103!A:H,8,FALSE),0))</f>
        <v>5700</v>
      </c>
      <c r="P156" s="48">
        <f ca="1">O156/SUM(O:O)</f>
        <v>1.9E-3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input_325103!A$2</f>
        <v>325103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IFERROR(VLOOKUP(B157,input_325103!L:R,7,FALSE),ROUNDDOWN(VLOOKUP(tables_325103!C157,input_325103!A:H,8,FALSE),0))</f>
        <v>300</v>
      </c>
      <c r="P157" s="48">
        <f ca="1">O157/SUM(O:O)</f>
        <v>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input_325103!A$2</f>
        <v>325103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IFERROR(VLOOKUP(B158,input_325103!L:R,7,FALSE),ROUNDDOWN(VLOOKUP(tables_325103!C158,input_325103!A:H,8,FALSE),0))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input_325103!A$2</f>
        <v>325103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IFERROR(VLOOKUP(B159,input_325103!L:R,7,FALSE),ROUNDDOWN(VLOOKUP(tables_325103!C159,input_325103!A:H,8,FALSE),0))</f>
        <v>19665</v>
      </c>
      <c r="P159" s="48">
        <f ca="1">O159/SUM(O:O)</f>
        <v>6.5550000000000001E-3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input_325103!A$2</f>
        <v>325103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IFERROR(VLOOKUP(B160,input_325103!L:R,7,FALSE),ROUNDDOWN(VLOOKUP(tables_325103!C160,input_325103!A:H,8,FALSE),0))</f>
        <v>1035</v>
      </c>
      <c r="P160" s="48">
        <f ca="1">O160/SUM(O:O)</f>
        <v>3.4499999999999998E-4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input_325103!A$2</f>
        <v>325103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IFERROR(VLOOKUP(B161,input_325103!L:R,7,FALSE),ROUNDDOWN(VLOOKUP(tables_325103!C161,input_325103!A:H,8,FALSE),0))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input_325103!A$2</f>
        <v>325103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IFERROR(VLOOKUP(B162,input_325103!L:R,7,FALSE),ROUNDDOWN(VLOOKUP(tables_325103!C162,input_325103!A:H,8,FALSE),0))</f>
        <v>19665</v>
      </c>
      <c r="P162" s="48">
        <f ca="1">O162/SUM(O:O)</f>
        <v>6.5550000000000001E-3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input_325103!A$2</f>
        <v>325103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IFERROR(VLOOKUP(B163,input_325103!L:R,7,FALSE),ROUNDDOWN(VLOOKUP(tables_325103!C163,input_325103!A:H,8,FALSE),0))</f>
        <v>1035</v>
      </c>
      <c r="P163" s="48">
        <f ca="1">O163/SUM(O:O)</f>
        <v>3.4499999999999998E-4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input_325103!A$2</f>
        <v>325103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IFERROR(VLOOKUP(B164,input_325103!L:R,7,FALSE),ROUNDDOWN(VLOOKUP(tables_325103!C164,input_325103!A:H,8,FALSE),0))</f>
        <v>1368</v>
      </c>
      <c r="P164" s="48">
        <f ca="1">O164/SUM(O:O)</f>
        <v>4.5600000000000003E-4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input_325103!A$2</f>
        <v>325103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IFERROR(VLOOKUP(B165,input_325103!L:R,7,FALSE),ROUNDDOWN(VLOOKUP(tables_325103!C165,input_325103!A:H,8,FALSE),0))</f>
        <v>72</v>
      </c>
      <c r="P165" s="48">
        <f ca="1">O165/SUM(O:O)</f>
        <v>2.4000000000000001E-5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input_325103!A$2</f>
        <v>325103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IFERROR(VLOOKUP(B166,input_325103!L:R,7,FALSE),ROUNDDOWN(VLOOKUP(tables_325103!C166,input_325103!A:H,8,FALSE),0))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input_325103!A$2</f>
        <v>325103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IFERROR(VLOOKUP(B167,input_325103!L:R,7,FALSE),ROUNDDOWN(VLOOKUP(tables_325103!C167,input_325103!A:H,8,FALSE),0))</f>
        <v>91770</v>
      </c>
      <c r="P167" s="48">
        <f ca="1">O167/SUM(O:O)</f>
        <v>3.0589999999999999E-2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input_325103!A$2</f>
        <v>325103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IFERROR(VLOOKUP(B168,input_325103!L:R,7,FALSE),ROUNDDOWN(VLOOKUP(tables_325103!C168,input_325103!A:H,8,FALSE),0))</f>
        <v>4830</v>
      </c>
      <c r="P168" s="48">
        <f ca="1">O168/SUM(O:O)</f>
        <v>1.6100000000000001E-3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input_325103!A$2</f>
        <v>325103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IFERROR(VLOOKUP(B169,input_325103!L:R,7,FALSE),ROUNDDOWN(VLOOKUP(tables_325103!C169,input_325103!A:H,8,FALSE),0))</f>
        <v>1368</v>
      </c>
      <c r="P169" s="48">
        <f ca="1">O169/SUM(O:O)</f>
        <v>4.5600000000000003E-4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input_325103!A$2</f>
        <v>325103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IFERROR(VLOOKUP(B170,input_325103!L:R,7,FALSE),ROUNDDOWN(VLOOKUP(tables_325103!C170,input_325103!A:H,8,FALSE),0))</f>
        <v>72</v>
      </c>
      <c r="P170" s="48">
        <f ca="1">O170/SUM(O:O)</f>
        <v>2.4000000000000001E-5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input_325103!A$2</f>
        <v>325103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IFERROR(VLOOKUP(B171,input_325103!L:R,7,FALSE),ROUNDDOWN(VLOOKUP(tables_325103!C171,input_325103!A:H,8,FALSE),0))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input_325103!A$2</f>
        <v>325103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IFERROR(VLOOKUP(B172,input_325103!L:R,7,FALSE),ROUNDDOWN(VLOOKUP(tables_325103!C172,input_325103!A:H,8,FALSE),0))</f>
        <v>19665</v>
      </c>
      <c r="P172" s="48">
        <f ca="1">O172/SUM(O:O)</f>
        <v>6.5550000000000001E-3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input_325103!A$2</f>
        <v>325103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IFERROR(VLOOKUP(B173,input_325103!L:R,7,FALSE),ROUNDDOWN(VLOOKUP(tables_325103!C173,input_325103!A:H,8,FALSE),0))</f>
        <v>1035</v>
      </c>
      <c r="P173" s="48">
        <f ca="1">O173/SUM(O:O)</f>
        <v>3.4499999999999998E-4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input_325103!A$2</f>
        <v>325103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IFERROR(VLOOKUP(B174,input_325103!L:R,7,FALSE),ROUNDDOWN(VLOOKUP(tables_325103!C174,input_325103!A:H,8,FALSE),0))</f>
        <v>1368</v>
      </c>
      <c r="P174" s="48">
        <f ca="1">O174/SUM(O:O)</f>
        <v>4.5600000000000003E-4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input_325103!A$2</f>
        <v>325103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IFERROR(VLOOKUP(B175,input_325103!L:R,7,FALSE),ROUNDDOWN(VLOOKUP(tables_325103!C175,input_325103!A:H,8,FALSE),0))</f>
        <v>72</v>
      </c>
      <c r="P175" s="48">
        <f ca="1">O175/SUM(O:O)</f>
        <v>2.4000000000000001E-5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input_325103!A$2</f>
        <v>325103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IFERROR(VLOOKUP(B176,input_325103!L:R,7,FALSE),ROUNDDOWN(VLOOKUP(tables_325103!C176,input_325103!A:H,8,FALSE),0))</f>
        <v>5700</v>
      </c>
      <c r="P176" s="48">
        <f ca="1">O176/SUM(O:O)</f>
        <v>1.9E-3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input_325103!A$2</f>
        <v>325103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IFERROR(VLOOKUP(B177,input_325103!L:R,7,FALSE),ROUNDDOWN(VLOOKUP(tables_325103!C177,input_325103!A:H,8,FALSE),0))</f>
        <v>300</v>
      </c>
      <c r="P177" s="48">
        <f ca="1">O177/SUM(O:O)</f>
        <v>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input_325103!A$2</f>
        <v>325103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IFERROR(VLOOKUP(B178,input_325103!L:R,7,FALSE),ROUNDDOWN(VLOOKUP(tables_325103!C178,input_325103!A:H,8,FALSE),0))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input_325103!A$2</f>
        <v>325103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IFERROR(VLOOKUP(B179,input_325103!L:R,7,FALSE),ROUNDDOWN(VLOOKUP(tables_325103!C179,input_325103!A:H,8,FALSE),0))</f>
        <v>19665</v>
      </c>
      <c r="P179" s="48">
        <f ca="1">O179/SUM(O:O)</f>
        <v>6.5550000000000001E-3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input_325103!A$2</f>
        <v>325103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IFERROR(VLOOKUP(B180,input_325103!L:R,7,FALSE),ROUNDDOWN(VLOOKUP(tables_325103!C180,input_325103!A:H,8,FALSE),0))</f>
        <v>1035</v>
      </c>
      <c r="P180" s="48">
        <f ca="1">O180/SUM(O:O)</f>
        <v>3.4499999999999998E-4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input_325103!A$2</f>
        <v>325103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IFERROR(VLOOKUP(B181,input_325103!L:R,7,FALSE),ROUNDDOWN(VLOOKUP(tables_325103!C181,input_325103!A:H,8,FALSE),0))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input_325103!A$2</f>
        <v>325103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IFERROR(VLOOKUP(B182,input_325103!L:R,7,FALSE),ROUNDDOWN(VLOOKUP(tables_325103!C182,input_325103!A:H,8,FALSE),0))</f>
        <v>19665</v>
      </c>
      <c r="P182" s="48">
        <f ca="1">O182/SUM(O:O)</f>
        <v>6.5550000000000001E-3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input_325103!A$2</f>
        <v>325103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IFERROR(VLOOKUP(B183,input_325103!L:R,7,FALSE),ROUNDDOWN(VLOOKUP(tables_325103!C183,input_325103!A:H,8,FALSE),0))</f>
        <v>1035</v>
      </c>
      <c r="P183" s="48">
        <f ca="1">O183/SUM(O:O)</f>
        <v>3.4499999999999998E-4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input_325103!A$2</f>
        <v>325103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IFERROR(VLOOKUP(B184,input_325103!L:R,7,FALSE),ROUNDDOWN(VLOOKUP(tables_325103!C184,input_325103!A:H,8,FALSE),0))</f>
        <v>1368</v>
      </c>
      <c r="P184" s="48">
        <f ca="1">O184/SUM(O:O)</f>
        <v>4.5600000000000003E-4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input_325103!A$2</f>
        <v>325103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IFERROR(VLOOKUP(B185,input_325103!L:R,7,FALSE),ROUNDDOWN(VLOOKUP(tables_325103!C185,input_325103!A:H,8,FALSE),0))</f>
        <v>72</v>
      </c>
      <c r="P185" s="48">
        <f ca="1">O185/SUM(O:O)</f>
        <v>2.4000000000000001E-5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input_325103!A$2</f>
        <v>325103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IFERROR(VLOOKUP(B186,input_325103!L:R,7,FALSE),ROUNDDOWN(VLOOKUP(tables_325103!C186,input_325103!A:H,8,FALSE),0))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input_325103!A$2</f>
        <v>325103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IFERROR(VLOOKUP(B187,input_325103!L:R,7,FALSE),ROUNDDOWN(VLOOKUP(tables_325103!C187,input_325103!A:H,8,FALSE),0))</f>
        <v>91770</v>
      </c>
      <c r="P187" s="48">
        <f ca="1">O187/SUM(O:O)</f>
        <v>3.0589999999999999E-2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input_325103!A$2</f>
        <v>325103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IFERROR(VLOOKUP(B188,input_325103!L:R,7,FALSE),ROUNDDOWN(VLOOKUP(tables_325103!C188,input_325103!A:H,8,FALSE),0))</f>
        <v>4830</v>
      </c>
      <c r="P188" s="48">
        <f ca="1">O188/SUM(O:O)</f>
        <v>1.6100000000000001E-3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input_325103!A$2</f>
        <v>325103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IFERROR(VLOOKUP(B189,input_325103!L:R,7,FALSE),ROUNDDOWN(VLOOKUP(tables_325103!C189,input_325103!A:H,8,FALSE),0))</f>
        <v>1368</v>
      </c>
      <c r="P189" s="48">
        <f ca="1">O189/SUM(O:O)</f>
        <v>4.5600000000000003E-4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input_325103!A$2</f>
        <v>325103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IFERROR(VLOOKUP(B190,input_325103!L:R,7,FALSE),ROUNDDOWN(VLOOKUP(tables_325103!C190,input_325103!A:H,8,FALSE),0))</f>
        <v>72</v>
      </c>
      <c r="P190" s="48">
        <f ca="1">O190/SUM(O:O)</f>
        <v>2.4000000000000001E-5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input_325103!A$2</f>
        <v>325103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IFERROR(VLOOKUP(B191,input_325103!L:R,7,FALSE),ROUNDDOWN(VLOOKUP(tables_325103!C191,input_325103!A:H,8,FALSE),0))</f>
        <v>1368</v>
      </c>
      <c r="P191" s="48">
        <f ca="1">O191/SUM(O:O)</f>
        <v>4.5600000000000003E-4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input_325103!A$2</f>
        <v>325103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IFERROR(VLOOKUP(B192,input_325103!L:R,7,FALSE),ROUNDDOWN(VLOOKUP(tables_325103!C192,input_325103!A:H,8,FALSE),0))</f>
        <v>72</v>
      </c>
      <c r="P192" s="48">
        <f ca="1">O192/SUM(O:O)</f>
        <v>2.4000000000000001E-5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input_325103!A$2</f>
        <v>325103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IFERROR(VLOOKUP(B193,input_325103!L:R,7,FALSE),ROUNDDOWN(VLOOKUP(tables_325103!C193,input_325103!A:H,8,FALSE),0))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input_325103!A$2</f>
        <v>325103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IFERROR(VLOOKUP(B194,input_325103!L:R,7,FALSE),ROUNDDOWN(VLOOKUP(tables_325103!C194,input_325103!A:H,8,FALSE),0))</f>
        <v>19665</v>
      </c>
      <c r="P194" s="48">
        <f ca="1">O194/SUM(O:O)</f>
        <v>6.5550000000000001E-3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input_325103!A$2</f>
        <v>325103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IFERROR(VLOOKUP(B195,input_325103!L:R,7,FALSE),ROUNDDOWN(VLOOKUP(tables_325103!C195,input_325103!A:H,8,FALSE),0))</f>
        <v>1035</v>
      </c>
      <c r="P195" s="48">
        <f ca="1">O195/SUM(O:O)</f>
        <v>3.4499999999999998E-4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input_325103!A$2</f>
        <v>325103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IFERROR(VLOOKUP(B196,input_325103!L:R,7,FALSE),ROUNDDOWN(VLOOKUP(tables_325103!C196,input_325103!A:H,8,FALSE),0))</f>
        <v>5700</v>
      </c>
      <c r="P196" s="48">
        <f ca="1">O196/SUM(O:O)</f>
        <v>1.9E-3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input_325103!A$2</f>
        <v>325103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IFERROR(VLOOKUP(B197,input_325103!L:R,7,FALSE),ROUNDDOWN(VLOOKUP(tables_325103!C197,input_325103!A:H,8,FALSE),0))</f>
        <v>300</v>
      </c>
      <c r="P197" s="48">
        <f ca="1">O197/SUM(O:O)</f>
        <v>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input_325103!A$2</f>
        <v>325103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IFERROR(VLOOKUP(B198,input_325103!L:R,7,FALSE),ROUNDDOWN(VLOOKUP(tables_325103!C198,input_325103!A:H,8,FALSE),0))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input_325103!A$2</f>
        <v>325103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IFERROR(VLOOKUP(B199,input_325103!L:R,7,FALSE),ROUNDDOWN(VLOOKUP(tables_325103!C199,input_325103!A:H,8,FALSE),0))</f>
        <v>19665</v>
      </c>
      <c r="P199" s="48">
        <f ca="1">O199/SUM(O:O)</f>
        <v>6.5550000000000001E-3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input_325103!A$2</f>
        <v>325103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IFERROR(VLOOKUP(B200,input_325103!L:R,7,FALSE),ROUNDDOWN(VLOOKUP(tables_325103!C200,input_325103!A:H,8,FALSE),0))</f>
        <v>1035</v>
      </c>
      <c r="P200" s="48">
        <f ca="1">O200/SUM(O:O)</f>
        <v>3.4499999999999998E-4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input_325103!A$2</f>
        <v>325103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IFERROR(VLOOKUP(B201,input_325103!L:R,7,FALSE),ROUNDDOWN(VLOOKUP(tables_325103!C201,input_325103!A:H,8,FALSE),0))</f>
        <v>1368</v>
      </c>
      <c r="P201" s="48">
        <f ca="1">O201/SUM(O:O)</f>
        <v>4.5600000000000003E-4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input_325103!A$2</f>
        <v>325103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IFERROR(VLOOKUP(B202,input_325103!L:R,7,FALSE),ROUNDDOWN(VLOOKUP(tables_325103!C202,input_325103!A:H,8,FALSE),0))</f>
        <v>72</v>
      </c>
      <c r="P202" s="48">
        <f ca="1">O202/SUM(O:O)</f>
        <v>2.4000000000000001E-5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input_325103!A$2</f>
        <v>325103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IFERROR(VLOOKUP(B203,input_325103!L:R,7,FALSE),ROUNDDOWN(VLOOKUP(tables_325103!C203,input_325103!A:H,8,FALSE),0))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input_325103!A$2</f>
        <v>325103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IFERROR(VLOOKUP(B204,input_325103!L:R,7,FALSE),ROUNDDOWN(VLOOKUP(tables_325103!C204,input_325103!A:H,8,FALSE),0))</f>
        <v>19665</v>
      </c>
      <c r="P204" s="48">
        <f ca="1">O204/SUM(O:O)</f>
        <v>6.5550000000000001E-3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input_325103!A$2</f>
        <v>325103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IFERROR(VLOOKUP(B205,input_325103!L:R,7,FALSE),ROUNDDOWN(VLOOKUP(tables_325103!C205,input_325103!A:H,8,FALSE),0))</f>
        <v>1035</v>
      </c>
      <c r="P205" s="48">
        <f ca="1">O205/SUM(O:O)</f>
        <v>3.4499999999999998E-4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input_325103!A$2</f>
        <v>325103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IFERROR(VLOOKUP(B206,input_325103!L:R,7,FALSE),ROUNDDOWN(VLOOKUP(tables_325103!C206,input_325103!A:H,8,FALSE),0))</f>
        <v>5700</v>
      </c>
      <c r="P206" s="48">
        <f ca="1">O206/SUM(O:O)</f>
        <v>1.9E-3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input_325103!A$2</f>
        <v>325103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IFERROR(VLOOKUP(B207,input_325103!L:R,7,FALSE),ROUNDDOWN(VLOOKUP(tables_325103!C207,input_325103!A:H,8,FALSE),0))</f>
        <v>300</v>
      </c>
      <c r="P207" s="48">
        <f ca="1">O207/SUM(O:O)</f>
        <v>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input_325103!A$2</f>
        <v>325103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IFERROR(VLOOKUP(B208,input_325103!L:R,7,FALSE),ROUNDDOWN(VLOOKUP(tables_325103!C208,input_325103!A:H,8,FALSE),0))</f>
        <v>1368</v>
      </c>
      <c r="P208" s="48">
        <f ca="1">O208/SUM(O:O)</f>
        <v>4.5600000000000003E-4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input_325103!A$2</f>
        <v>325103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IFERROR(VLOOKUP(B209,input_325103!L:R,7,FALSE),ROUNDDOWN(VLOOKUP(tables_325103!C209,input_325103!A:H,8,FALSE),0))</f>
        <v>72</v>
      </c>
      <c r="P209" s="48">
        <f ca="1">O209/SUM(O:O)</f>
        <v>2.4000000000000001E-5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input_325103!A$2</f>
        <v>325103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IFERROR(VLOOKUP(B210,input_325103!L:R,7,FALSE),ROUNDDOWN(VLOOKUP(tables_325103!C210,input_325103!A:H,8,FALSE),0))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input_325103!A$2</f>
        <v>325103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IFERROR(VLOOKUP(B211,input_325103!L:R,7,FALSE),ROUNDDOWN(VLOOKUP(tables_325103!C211,input_325103!A:H,8,FALSE),0))</f>
        <v>19665</v>
      </c>
      <c r="P211" s="48">
        <f ca="1">O211/SUM(O:O)</f>
        <v>6.5550000000000001E-3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input_325103!A$2</f>
        <v>325103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IFERROR(VLOOKUP(B212,input_325103!L:R,7,FALSE),ROUNDDOWN(VLOOKUP(tables_325103!C212,input_325103!A:H,8,FALSE),0))</f>
        <v>1035</v>
      </c>
      <c r="P212" s="48">
        <f ca="1">O212/SUM(O:O)</f>
        <v>3.4499999999999998E-4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input_325103!A$2</f>
        <v>325103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IFERROR(VLOOKUP(B213,input_325103!L:R,7,FALSE),ROUNDDOWN(VLOOKUP(tables_325103!C213,input_325103!A:H,8,FALSE),0))</f>
        <v>1368</v>
      </c>
      <c r="P213" s="48">
        <f ca="1">O213/SUM(O:O)</f>
        <v>4.5600000000000003E-4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input_325103!A$2</f>
        <v>325103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IFERROR(VLOOKUP(B214,input_325103!L:R,7,FALSE),ROUNDDOWN(VLOOKUP(tables_325103!C214,input_325103!A:H,8,FALSE),0))</f>
        <v>72</v>
      </c>
      <c r="P214" s="48">
        <f ca="1">O214/SUM(O:O)</f>
        <v>2.4000000000000001E-5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input_325103!A$2</f>
        <v>325103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>color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IFERROR(VLOOKUP(B215,input_325103!L:R,7,FALSE),ROUNDDOWN(VLOOKUP(tables_325103!C215,input_325103!A:H,8,FALSE),0))</f>
        <v>5700</v>
      </c>
      <c r="P215" s="48">
        <f ca="1">O215/SUM(O:O)</f>
        <v>1.9E-3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input_325103!A$2</f>
        <v>325103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>color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IFERROR(VLOOKUP(B216,input_325103!L:R,7,FALSE),ROUNDDOWN(VLOOKUP(tables_325103!C216,input_325103!A:H,8,FALSE),0))</f>
        <v>300</v>
      </c>
      <c r="P216" s="48">
        <f ca="1">O216/SUM(O:O)</f>
        <v>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input_325103!A$2</f>
        <v>325103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IFERROR(VLOOKUP(B217,input_325103!L:R,7,FALSE),ROUNDDOWN(VLOOKUP(tables_325103!C217,input_325103!A:H,8,FALSE),0))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input_325103!A$2</f>
        <v>325103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IFERROR(VLOOKUP(B218,input_325103!L:R,7,FALSE),ROUNDDOWN(VLOOKUP(tables_325103!C218,input_325103!A:H,8,FALSE),0))</f>
        <v>19665</v>
      </c>
      <c r="P218" s="48">
        <f ca="1">O218/SUM(O:O)</f>
        <v>6.5550000000000001E-3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input_325103!A$2</f>
        <v>325103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IFERROR(VLOOKUP(B219,input_325103!L:R,7,FALSE),ROUNDDOWN(VLOOKUP(tables_325103!C219,input_325103!A:H,8,FALSE),0))</f>
        <v>1035</v>
      </c>
      <c r="P219" s="48">
        <f ca="1">O219/SUM(O:O)</f>
        <v>3.4499999999999998E-4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input_325103!A$2</f>
        <v>325103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IFERROR(VLOOKUP(B220,input_325103!L:R,7,FALSE),ROUNDDOWN(VLOOKUP(tables_325103!C220,input_325103!A:H,8,FALSE),0))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input_325103!A$2</f>
        <v>325103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IFERROR(VLOOKUP(B221,input_325103!L:R,7,FALSE),ROUNDDOWN(VLOOKUP(tables_325103!C221,input_325103!A:H,8,FALSE),0))</f>
        <v>19665</v>
      </c>
      <c r="P221" s="48">
        <f ca="1">O221/SUM(O:O)</f>
        <v>6.5550000000000001E-3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input_325103!A$2</f>
        <v>325103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IFERROR(VLOOKUP(B222,input_325103!L:R,7,FALSE),ROUNDDOWN(VLOOKUP(tables_325103!C222,input_325103!A:H,8,FALSE),0))</f>
        <v>1035</v>
      </c>
      <c r="P222" s="48">
        <f ca="1">O222/SUM(O:O)</f>
        <v>3.4499999999999998E-4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input_325103!A$2</f>
        <v>325103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IFERROR(VLOOKUP(B223,input_325103!L:R,7,FALSE),ROUNDDOWN(VLOOKUP(tables_325103!C223,input_325103!A:H,8,FALSE),0))</f>
        <v>1368</v>
      </c>
      <c r="P223" s="48">
        <f ca="1">O223/SUM(O:O)</f>
        <v>4.5600000000000003E-4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input_325103!A$2</f>
        <v>325103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IFERROR(VLOOKUP(B224,input_325103!L:R,7,FALSE),ROUNDDOWN(VLOOKUP(tables_325103!C224,input_325103!A:H,8,FALSE),0))</f>
        <v>72</v>
      </c>
      <c r="P224" s="48">
        <f ca="1">O224/SUM(O:O)</f>
        <v>2.4000000000000001E-5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input_325103!A$2</f>
        <v>325103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>color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IFERROR(VLOOKUP(B225,input_325103!L:R,7,FALSE),ROUNDDOWN(VLOOKUP(tables_325103!C225,input_325103!A:H,8,FALSE),0))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input_325103!A$2</f>
        <v>325103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>color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IFERROR(VLOOKUP(B226,input_325103!L:R,7,FALSE),ROUNDDOWN(VLOOKUP(tables_325103!C226,input_325103!A:H,8,FALSE),0))</f>
        <v>91770</v>
      </c>
      <c r="P226" s="48">
        <f ca="1">O226/SUM(O:O)</f>
        <v>3.0589999999999999E-2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input_325103!A$2</f>
        <v>325103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>color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IFERROR(VLOOKUP(B227,input_325103!L:R,7,FALSE),ROUNDDOWN(VLOOKUP(tables_325103!C227,input_325103!A:H,8,FALSE),0))</f>
        <v>4830</v>
      </c>
      <c r="P227" s="48">
        <f ca="1">O227/SUM(O:O)</f>
        <v>1.6100000000000001E-3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input_325103!A$2</f>
        <v>325103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IFERROR(VLOOKUP(B228,input_325103!L:R,7,FALSE),ROUNDDOWN(VLOOKUP(tables_325103!C228,input_325103!A:H,8,FALSE),0))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input_325103!A$2</f>
        <v>325103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IFERROR(VLOOKUP(B229,input_325103!L:R,7,FALSE),ROUNDDOWN(VLOOKUP(tables_325103!C229,input_325103!A:H,8,FALSE),0))</f>
        <v>19665</v>
      </c>
      <c r="P229" s="48">
        <f ca="1">O229/SUM(O:O)</f>
        <v>6.5550000000000001E-3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input_325103!A$2</f>
        <v>325103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IFERROR(VLOOKUP(B230,input_325103!L:R,7,FALSE),ROUNDDOWN(VLOOKUP(tables_325103!C230,input_325103!A:H,8,FALSE),0))</f>
        <v>1035</v>
      </c>
      <c r="P230" s="48">
        <f ca="1">O230/SUM(O:O)</f>
        <v>3.4499999999999998E-4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input_325103!A$2</f>
        <v>325103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IFERROR(VLOOKUP(B231,input_325103!L:R,7,FALSE),ROUNDDOWN(VLOOKUP(tables_325103!C231,input_325103!A:H,8,FALSE),0))</f>
        <v>1368</v>
      </c>
      <c r="P231" s="48">
        <f ca="1">O231/SUM(O:O)</f>
        <v>4.5600000000000003E-4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input_325103!A$2</f>
        <v>325103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IFERROR(VLOOKUP(B232,input_325103!L:R,7,FALSE),ROUNDDOWN(VLOOKUP(tables_325103!C232,input_325103!A:H,8,FALSE),0))</f>
        <v>72</v>
      </c>
      <c r="P232" s="48">
        <f ca="1">O232/SUM(O:O)</f>
        <v>2.4000000000000001E-5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input_325103!A$2</f>
        <v>325103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IFERROR(VLOOKUP(B233,input_325103!L:R,7,FALSE),ROUNDDOWN(VLOOKUP(tables_325103!C233,input_325103!A:H,8,FALSE),0))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input_325103!A$2</f>
        <v>325103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IFERROR(VLOOKUP(B234,input_325103!L:R,7,FALSE),ROUNDDOWN(VLOOKUP(tables_325103!C234,input_325103!A:H,8,FALSE),0))</f>
        <v>19665</v>
      </c>
      <c r="P234" s="48">
        <f ca="1">O234/SUM(O:O)</f>
        <v>6.5550000000000001E-3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input_325103!A$2</f>
        <v>325103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IFERROR(VLOOKUP(B235,input_325103!L:R,7,FALSE),ROUNDDOWN(VLOOKUP(tables_325103!C235,input_325103!A:H,8,FALSE),0))</f>
        <v>1035</v>
      </c>
      <c r="P235" s="48">
        <f ca="1">O235/SUM(O:O)</f>
        <v>3.4499999999999998E-4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input_325103!A$2</f>
        <v>325103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>color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IFERROR(VLOOKUP(B236,input_325103!L:R,7,FALSE),ROUNDDOWN(VLOOKUP(tables_325103!C236,input_325103!A:H,8,FALSE),0))</f>
        <v>5700</v>
      </c>
      <c r="P236" s="48">
        <f ca="1">O236/SUM(O:O)</f>
        <v>1.9E-3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input_325103!A$2</f>
        <v>325103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>color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IFERROR(VLOOKUP(B237,input_325103!L:R,7,FALSE),ROUNDDOWN(VLOOKUP(tables_325103!C237,input_325103!A:H,8,FALSE),0))</f>
        <v>300</v>
      </c>
      <c r="P237" s="48">
        <f ca="1">O237/SUM(O:O)</f>
        <v>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input_325103!A$2</f>
        <v>325103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IFERROR(VLOOKUP(B238,input_325103!L:R,7,FALSE),ROUNDDOWN(VLOOKUP(tables_325103!C238,input_325103!A:H,8,FALSE),0))</f>
        <v>1368</v>
      </c>
      <c r="P238" s="48">
        <f ca="1">O238/SUM(O:O)</f>
        <v>4.5600000000000003E-4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input_325103!A$2</f>
        <v>325103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IFERROR(VLOOKUP(B239,input_325103!L:R,7,FALSE),ROUNDDOWN(VLOOKUP(tables_325103!C239,input_325103!A:H,8,FALSE),0))</f>
        <v>72</v>
      </c>
      <c r="P239" s="48">
        <f ca="1">O239/SUM(O:O)</f>
        <v>2.4000000000000001E-5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input_325103!A$2</f>
        <v>325103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IFERROR(VLOOKUP(B240,input_325103!L:R,7,FALSE),ROUNDDOWN(VLOOKUP(tables_325103!C240,input_325103!A:H,8,FALSE),0))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input_325103!A$2</f>
        <v>325103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IFERROR(VLOOKUP(B241,input_325103!L:R,7,FALSE),ROUNDDOWN(VLOOKUP(tables_325103!C241,input_325103!A:H,8,FALSE),0))</f>
        <v>19665</v>
      </c>
      <c r="P241" s="48">
        <f ca="1">O241/SUM(O:O)</f>
        <v>6.5550000000000001E-3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input_325103!A$2</f>
        <v>325103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IFERROR(VLOOKUP(B242,input_325103!L:R,7,FALSE),ROUNDDOWN(VLOOKUP(tables_325103!C242,input_325103!A:H,8,FALSE),0))</f>
        <v>1035</v>
      </c>
      <c r="P242" s="48">
        <f ca="1">O242/SUM(O:O)</f>
        <v>3.4499999999999998E-4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input_325103!A$2</f>
        <v>325103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IFERROR(VLOOKUP(B243,input_325103!L:R,7,FALSE),ROUNDDOWN(VLOOKUP(tables_325103!C243,input_325103!A:H,8,FALSE),0))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input_325103!A$2</f>
        <v>325103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IFERROR(VLOOKUP(B244,input_325103!L:R,7,FALSE),ROUNDDOWN(VLOOKUP(tables_325103!C244,input_325103!A:H,8,FALSE),0))</f>
        <v>19665</v>
      </c>
      <c r="P244" s="48">
        <f ca="1">O244/SUM(O:O)</f>
        <v>6.5550000000000001E-3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input_325103!A$2</f>
        <v>325103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IFERROR(VLOOKUP(B245,input_325103!L:R,7,FALSE),ROUNDDOWN(VLOOKUP(tables_325103!C245,input_325103!A:H,8,FALSE),0))</f>
        <v>1035</v>
      </c>
      <c r="P245" s="48">
        <f ca="1">O245/SUM(O:O)</f>
        <v>3.4499999999999998E-4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input_325103!A$2</f>
        <v>325103</v>
      </c>
      <c r="B246" s="62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>color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IFERROR(VLOOKUP(B246,input_325103!L:R,7,FALSE),ROUNDDOWN(VLOOKUP(tables_325103!C246,input_325103!A:H,8,FALSE),0))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input_325103!A$2</f>
        <v>325103</v>
      </c>
      <c r="B247" s="62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>color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IFERROR(VLOOKUP(B247,input_325103!L:R,7,FALSE),ROUNDDOWN(VLOOKUP(tables_325103!C247,input_325103!A:H,8,FALSE),0))</f>
        <v>91770</v>
      </c>
      <c r="P247" s="48">
        <f ca="1">O247/SUM(O:O)</f>
        <v>3.0589999999999999E-2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input_325103!A$2</f>
        <v>325103</v>
      </c>
      <c r="B248" s="62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>color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IFERROR(VLOOKUP(B248,input_325103!L:R,7,FALSE),ROUNDDOWN(VLOOKUP(tables_325103!C248,input_325103!A:H,8,FALSE),0))</f>
        <v>4830</v>
      </c>
      <c r="P248" s="48">
        <f ca="1">O248/SUM(O:O)</f>
        <v>1.6100000000000001E-3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input_325103!A$2</f>
        <v>325103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IFERROR(VLOOKUP(B249,input_325103!L:R,7,FALSE),ROUNDDOWN(VLOOKUP(tables_325103!C249,input_325103!A:H,8,FALSE),0))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input_325103!A$2</f>
        <v>325103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IFERROR(VLOOKUP(B250,input_325103!L:R,7,FALSE),ROUNDDOWN(VLOOKUP(tables_325103!C250,input_325103!A:H,8,FALSE),0))</f>
        <v>19665</v>
      </c>
      <c r="P250" s="48">
        <f ca="1">O250/SUM(O:O)</f>
        <v>6.5550000000000001E-3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input_325103!A$2</f>
        <v>325103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IFERROR(VLOOKUP(B251,input_325103!L:R,7,FALSE),ROUNDDOWN(VLOOKUP(tables_325103!C251,input_325103!A:H,8,FALSE),0))</f>
        <v>1035</v>
      </c>
      <c r="P251" s="48">
        <f ca="1">O251/SUM(O:O)</f>
        <v>3.4499999999999998E-4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input_325103!A$2</f>
        <v>325103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IFERROR(VLOOKUP(B252,input_325103!L:R,7,FALSE),ROUNDDOWN(VLOOKUP(tables_325103!C252,input_325103!A:H,8,FALSE),0))</f>
        <v>1368</v>
      </c>
      <c r="P252" s="48">
        <f ca="1">O252/SUM(O:O)</f>
        <v>4.5600000000000003E-4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input_325103!A$2</f>
        <v>325103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IFERROR(VLOOKUP(B253,input_325103!L:R,7,FALSE),ROUNDDOWN(VLOOKUP(tables_325103!C253,input_325103!A:H,8,FALSE),0))</f>
        <v>72</v>
      </c>
      <c r="P253" s="48">
        <f ca="1">O253/SUM(O:O)</f>
        <v>2.4000000000000001E-5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input_325103!A$2</f>
        <v>325103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IFERROR(VLOOKUP(B254,input_325103!L:R,7,FALSE),ROUNDDOWN(VLOOKUP(tables_325103!C254,input_325103!A:H,8,FALSE),0))</f>
        <v>1368</v>
      </c>
      <c r="P254" s="48">
        <f ca="1">O254/SUM(O:O)</f>
        <v>4.5600000000000003E-4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input_325103!A$2</f>
        <v>325103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IFERROR(VLOOKUP(B255,input_325103!L:R,7,FALSE),ROUNDDOWN(VLOOKUP(tables_325103!C255,input_325103!A:H,8,FALSE),0))</f>
        <v>72</v>
      </c>
      <c r="P255" s="48">
        <f ca="1">O255/SUM(O:O)</f>
        <v>2.4000000000000001E-5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input_325103!A$2</f>
        <v>325103</v>
      </c>
      <c r="B256" s="62">
        <v>770</v>
      </c>
      <c r="C256" s="7" t="str">
        <f t="shared" si="9"/>
        <v>PremiumSS4color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1"/>
        <v>color</v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IFERROR(VLOOKUP(B256,input_325103!L:R,7,FALSE),ROUNDDOWN(VLOOKUP(tables_325103!C256,input_325103!A:H,8,FALSE),0))</f>
        <v>5700</v>
      </c>
      <c r="P256" s="48">
        <f ca="1">O256/SUM(O:O)</f>
        <v>1.9E-3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input_325103!A$2</f>
        <v>325103</v>
      </c>
      <c r="B257" s="62">
        <v>771</v>
      </c>
      <c r="C257" s="7" t="str">
        <f t="shared" si="9"/>
        <v>PremiumSS5color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1"/>
        <v>color</v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IFERROR(VLOOKUP(B257,input_325103!L:R,7,FALSE),ROUNDDOWN(VLOOKUP(tables_325103!C257,input_325103!A:H,8,FALSE),0))</f>
        <v>300</v>
      </c>
      <c r="P257" s="48">
        <f ca="1">O257/SUM(O:O)</f>
        <v>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input_325103!A$2</f>
        <v>325103</v>
      </c>
      <c r="B258" s="62">
        <v>772</v>
      </c>
      <c r="C258" s="7" t="str">
        <f t="shared" ref="C258:C27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1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IFERROR(VLOOKUP(B258,input_325103!L:R,7,FALSE),ROUNDDOWN(VLOOKUP(tables_325103!C258,input_325103!A:H,8,FALSE),0))</f>
        <v>1368</v>
      </c>
      <c r="P258" s="48">
        <f ca="1">O258/SUM(O:O)</f>
        <v>4.5600000000000003E-4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input_325103!A$2</f>
        <v>325103</v>
      </c>
      <c r="B259" s="62">
        <v>773</v>
      </c>
      <c r="C259" s="7" t="str">
        <f t="shared" si="12"/>
        <v>PremiumSS5</v>
      </c>
      <c r="D259" s="7" t="str">
        <f t="shared" ref="D259:D27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4">IF(K259="red","color","")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IFERROR(VLOOKUP(B259,input_325103!L:R,7,FALSE),ROUNDDOWN(VLOOKUP(tables_325103!C259,input_325103!A:H,8,FALSE),0))</f>
        <v>72</v>
      </c>
      <c r="P259" s="48">
        <f ca="1">O259/SUM(O:O)</f>
        <v>2.4000000000000001E-5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input_325103!A$2</f>
        <v>325103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IFERROR(VLOOKUP(B260,input_325103!L:R,7,FALSE),ROUNDDOWN(VLOOKUP(tables_325103!C260,input_325103!A:H,8,FALSE),0))</f>
        <v>0</v>
      </c>
      <c r="P260" s="48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input_325103!A$2</f>
        <v>325103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IFERROR(VLOOKUP(B261,input_325103!L:R,7,FALSE),ROUNDDOWN(VLOOKUP(tables_325103!C261,input_325103!A:H,8,FALSE),0))</f>
        <v>19665</v>
      </c>
      <c r="P261" s="48">
        <f ca="1">O261/SUM(O:O)</f>
        <v>6.5550000000000001E-3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input_325103!A$2</f>
        <v>325103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IFERROR(VLOOKUP(B262,input_325103!L:R,7,FALSE),ROUNDDOWN(VLOOKUP(tables_325103!C262,input_325103!A:H,8,FALSE),0))</f>
        <v>1035</v>
      </c>
      <c r="P262" s="48">
        <f ca="1">O262/SUM(O:O)</f>
        <v>3.4499999999999998E-4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input_325103!A$2</f>
        <v>325103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IFERROR(VLOOKUP(B263,input_325103!L:R,7,FALSE),ROUNDDOWN(VLOOKUP(tables_325103!C263,input_325103!A:H,8,FALSE),0))</f>
        <v>0</v>
      </c>
      <c r="P263" s="48">
        <f ca="1">O263/SUM(O:O)</f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input_325103!A$2</f>
        <v>325103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IFERROR(VLOOKUP(B264,input_325103!L:R,7,FALSE),ROUNDDOWN(VLOOKUP(tables_325103!C264,input_325103!A:H,8,FALSE),0))</f>
        <v>19665</v>
      </c>
      <c r="P264" s="48">
        <f ca="1">O264/SUM(O:O)</f>
        <v>6.5550000000000001E-3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input_325103!A$2</f>
        <v>325103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IFERROR(VLOOKUP(B265,input_325103!L:R,7,FALSE),ROUNDDOWN(VLOOKUP(tables_325103!C265,input_325103!A:H,8,FALSE),0))</f>
        <v>1035</v>
      </c>
      <c r="P265" s="48">
        <f ca="1">O265/SUM(O:O)</f>
        <v>3.4499999999999998E-4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input_325103!A$2</f>
        <v>325103</v>
      </c>
      <c r="B266" s="62">
        <v>728</v>
      </c>
      <c r="C266" s="7" t="str">
        <f t="shared" si="12"/>
        <v>Premium4R3lesscolor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4"/>
        <v>color</v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IFERROR(VLOOKUP(B266,input_325103!L:R,7,FALSE),ROUNDDOWN(VLOOKUP(tables_325103!C266,input_325103!A:H,8,FALSE),0))</f>
        <v>67260</v>
      </c>
      <c r="P266" s="48">
        <f ca="1">O266/SUM(O:O)</f>
        <v>2.2419999999999999E-2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input_325103!A$2</f>
        <v>325103</v>
      </c>
      <c r="B267" s="62">
        <v>729</v>
      </c>
      <c r="C267" s="7" t="str">
        <f t="shared" si="12"/>
        <v>Premium5R3lesscolor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4"/>
        <v>color</v>
      </c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IFERROR(VLOOKUP(B267,input_325103!L:R,7,FALSE),ROUNDDOWN(VLOOKUP(tables_325103!C267,input_325103!A:H,8,FALSE),0))</f>
        <v>29340</v>
      </c>
      <c r="P267" s="48">
        <f ca="1">O267/SUM(O:O)</f>
        <v>9.7800000000000005E-3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input_325103!A$2</f>
        <v>325103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IFERROR(VLOOKUP(B268,input_325103!L:R,7,FALSE),ROUNDDOWN(VLOOKUP(tables_325103!C268,input_325103!A:H,8,FALSE),0))</f>
        <v>6636</v>
      </c>
      <c r="P268" s="48">
        <f ca="1">O268/SUM(O:O)</f>
        <v>2.212E-3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input_325103!A$2</f>
        <v>325103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IFERROR(VLOOKUP(B269,input_325103!L:R,7,FALSE),ROUNDDOWN(VLOOKUP(tables_325103!C269,input_325103!A:H,8,FALSE),0))</f>
        <v>14064</v>
      </c>
      <c r="P269" s="48">
        <f ca="1">O269/SUM(O:O)</f>
        <v>4.6880000000000003E-3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input_325103!A$2</f>
        <v>325103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IFERROR(VLOOKUP(B270,input_325103!L:R,7,FALSE),ROUNDDOWN(VLOOKUP(tables_325103!C270,input_325103!A:H,8,FALSE),0))</f>
        <v>1440</v>
      </c>
      <c r="P270" s="48">
        <f ca="1">O270/SUM(O:O)</f>
        <v>4.8000000000000001E-4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input_325103!A$2</f>
        <v>325103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IFERROR(VLOOKUP(B271,input_325103!L:R,7,FALSE),ROUNDDOWN(VLOOKUP(tables_325103!C271,input_325103!A:H,8,FALSE),0))</f>
        <v>1440</v>
      </c>
      <c r="P271" s="48">
        <f ca="1">O271/SUM(O:O)</f>
        <v>4.8000000000000001E-4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input_325103!A$2</f>
        <v>325103</v>
      </c>
      <c r="B272" s="62">
        <v>786</v>
      </c>
      <c r="C272" s="7" t="str">
        <f t="shared" si="12"/>
        <v>PremiumSSS5</v>
      </c>
      <c r="D272" s="7" t="str">
        <f t="shared" si="13"/>
        <v>PremiumSSS</v>
      </c>
      <c r="E272" s="7"/>
      <c r="F272" s="7" t="str">
        <f>IF(COUNTIF('R6開放'!A:A,B272)&gt;0,"R6release","")</f>
        <v/>
      </c>
      <c r="G272" s="7"/>
      <c r="H272" s="7" t="str">
        <f>VLOOKUP(B272,[1]characters!$A:$C,3,FALSE)</f>
        <v>ヘイウェイ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attack</v>
      </c>
      <c r="M272" s="7" t="str">
        <f>VLOOKUP(B272,[1]characters!$A:$M,13,FALSE)</f>
        <v>dragon</v>
      </c>
      <c r="N272" s="7" t="str">
        <f>VLOOKUP(B272,[1]characters!$A:$G,7,FALSE)</f>
        <v>男性</v>
      </c>
      <c r="O272" s="47">
        <f ca="1">IFERROR(VLOOKUP(B272,input_325103!L:R,7,FALSE),ROUNDDOWN(VLOOKUP(tables_325103!C272,input_325103!A:H,8,FALSE),0))</f>
        <v>12000</v>
      </c>
      <c r="P272" s="48">
        <f ca="1">O272/SUM(O:O)</f>
        <v>4.0000000000000001E-3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</sheetData>
  <autoFilter ref="A1:V27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R61"/>
  <sheetViews>
    <sheetView workbookViewId="0">
      <selection activeCell="A50" sqref="A5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325103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4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VLOOKUP(L3,tables_settle_325103!B:C,2,FALSE)</f>
        <v>#N/A</v>
      </c>
      <c r="R3" s="63">
        <f t="shared" ref="R3:R14" si="0">N3*A$49</f>
        <v>195</v>
      </c>
    </row>
    <row r="4" spans="1:18" x14ac:dyDescent="0.15">
      <c r="A4" s="36" t="s">
        <v>55</v>
      </c>
      <c r="B4" s="36"/>
      <c r="D4" t="s">
        <v>208</v>
      </c>
      <c r="E4" t="s">
        <v>209</v>
      </c>
      <c r="F4" t="s">
        <v>215</v>
      </c>
      <c r="G4" t="s">
        <v>216</v>
      </c>
      <c r="L4" s="6"/>
      <c r="M4" s="39" t="e">
        <f>VLOOKUP(L4,[1]characters!$A:$C,3,FALSE)</f>
        <v>#N/A</v>
      </c>
      <c r="N4" s="64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VLOOKUP(L4,tables_settle_325103!B:C,2,FALSE)</f>
        <v>#N/A</v>
      </c>
      <c r="R4" s="63">
        <f t="shared" si="0"/>
        <v>390</v>
      </c>
    </row>
    <row r="5" spans="1:18" x14ac:dyDescent="0.15">
      <c r="A5" s="34" t="s">
        <v>71</v>
      </c>
      <c r="B5" s="35">
        <f>1-B6-B7</f>
        <v>0</v>
      </c>
      <c r="D5" t="s">
        <v>233</v>
      </c>
      <c r="E5">
        <f>E26+E28+E29</f>
        <v>25</v>
      </c>
      <c r="F5" s="56">
        <f>B11*0.4</f>
        <v>1.2E-2</v>
      </c>
      <c r="G5" s="73">
        <f>F5/E5</f>
        <v>4.8000000000000001E-4</v>
      </c>
      <c r="L5" s="6"/>
      <c r="M5" s="39" t="e">
        <f>VLOOKUP(L5,[1]characters!$A:$C,3,FALSE)</f>
        <v>#N/A</v>
      </c>
      <c r="N5" s="64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VLOOKUP(L5,tables_settle_325103!B:C,2,FALSE)</f>
        <v>#N/A</v>
      </c>
      <c r="R5" s="63">
        <f t="shared" si="0"/>
        <v>390</v>
      </c>
    </row>
    <row r="6" spans="1:18" x14ac:dyDescent="0.15">
      <c r="A6" s="34" t="s">
        <v>72</v>
      </c>
      <c r="B6" s="35">
        <v>0</v>
      </c>
      <c r="D6" t="s">
        <v>230</v>
      </c>
      <c r="E6">
        <f>E39+E41+E42</f>
        <v>9</v>
      </c>
      <c r="F6" s="56">
        <f>B11*0.6</f>
        <v>1.7999999999999999E-2</v>
      </c>
      <c r="G6" s="73">
        <f>F6/E6</f>
        <v>2E-3</v>
      </c>
      <c r="L6" s="34"/>
      <c r="M6" s="39" t="e">
        <f>VLOOKUP(L6,[1]characters!$A:$C,3,FALSE)</f>
        <v>#N/A</v>
      </c>
      <c r="N6" s="64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VLOOKUP(L6,tables_settle_325103!B:C,2,FALSE)</f>
        <v>#N/A</v>
      </c>
      <c r="R6" s="63">
        <f t="shared" si="0"/>
        <v>195</v>
      </c>
    </row>
    <row r="7" spans="1:18" x14ac:dyDescent="0.15">
      <c r="A7" s="34" t="s">
        <v>73</v>
      </c>
      <c r="B7" s="35">
        <v>1</v>
      </c>
      <c r="D7" t="s">
        <v>231</v>
      </c>
      <c r="E7">
        <f>E18+E21+E23</f>
        <v>56</v>
      </c>
      <c r="F7" s="76">
        <f>B10*0.4</f>
        <v>0.38640000000000002</v>
      </c>
      <c r="G7" s="73">
        <f t="shared" ref="G7:G8" si="1">F7/E7</f>
        <v>6.9000000000000008E-3</v>
      </c>
      <c r="L7" s="34"/>
      <c r="M7" s="39" t="e">
        <f>VLOOKUP(L7,[1]characters!$A:$C,3,FALSE)</f>
        <v>#N/A</v>
      </c>
      <c r="N7" s="64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VLOOKUP(L7,tables_settle_325103!B:C,2,FALSE)</f>
        <v>#N/A</v>
      </c>
      <c r="R7" s="63">
        <f t="shared" si="0"/>
        <v>390</v>
      </c>
    </row>
    <row r="8" spans="1:18" x14ac:dyDescent="0.15">
      <c r="D8" t="s">
        <v>232</v>
      </c>
      <c r="E8">
        <f>E31+E34+E36</f>
        <v>18</v>
      </c>
      <c r="F8" s="75">
        <f>B10*0.6</f>
        <v>0.5796</v>
      </c>
      <c r="G8" s="73">
        <f t="shared" si="1"/>
        <v>3.2199999999999999E-2</v>
      </c>
      <c r="L8" s="34"/>
      <c r="M8" s="39" t="e">
        <f>VLOOKUP(L8,[1]characters!$A:$C,3,FALSE)</f>
        <v>#N/A</v>
      </c>
      <c r="N8" s="64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VLOOKUP(L8,tables_settle_325103!B:C,2,FALSE)</f>
        <v>#N/A</v>
      </c>
      <c r="R8" s="63">
        <f t="shared" si="0"/>
        <v>390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4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VLOOKUP(L9,tables_settle_325103!B:C,2,FALSE)</f>
        <v>#N/A</v>
      </c>
      <c r="R9" s="63">
        <f t="shared" si="0"/>
        <v>195</v>
      </c>
    </row>
    <row r="10" spans="1:18" x14ac:dyDescent="0.15">
      <c r="A10" s="34" t="s">
        <v>100</v>
      </c>
      <c r="B10" s="83">
        <f>1-B11-B12</f>
        <v>0.96599999999999997</v>
      </c>
      <c r="L10" s="34"/>
      <c r="M10" s="39" t="e">
        <f>VLOOKUP(L10,[1]characters!$A:$C,3,FALSE)</f>
        <v>#N/A</v>
      </c>
      <c r="N10" s="64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VLOOKUP(L10,tables_settle_325103!B:C,2,FALSE)</f>
        <v>#N/A</v>
      </c>
      <c r="R10" s="63">
        <f t="shared" si="0"/>
        <v>390</v>
      </c>
    </row>
    <row r="11" spans="1:18" x14ac:dyDescent="0.15">
      <c r="A11" s="34" t="s">
        <v>58</v>
      </c>
      <c r="B11" s="83">
        <v>0.03</v>
      </c>
      <c r="L11" s="34"/>
      <c r="M11" s="39" t="e">
        <f>VLOOKUP(L11,[1]characters!$A:$C,3,FALSE)</f>
        <v>#N/A</v>
      </c>
      <c r="N11" s="64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VLOOKUP(L11,tables_settle_325103!B:C,2,FALSE)</f>
        <v>#N/A</v>
      </c>
      <c r="R11" s="63">
        <f t="shared" si="0"/>
        <v>390</v>
      </c>
    </row>
    <row r="12" spans="1:18" x14ac:dyDescent="0.15">
      <c r="A12" s="34" t="s">
        <v>57</v>
      </c>
      <c r="B12" s="83">
        <v>4.0000000000000001E-3</v>
      </c>
      <c r="L12" s="34"/>
      <c r="M12" s="39" t="e">
        <f>VLOOKUP(L12,[1]characters!$A:$C,3,FALSE)</f>
        <v>#N/A</v>
      </c>
      <c r="N12" s="64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VLOOKUP(L12,tables_settle_325103!B:C,2,FALSE)</f>
        <v>#N/A</v>
      </c>
      <c r="R12" s="63">
        <f t="shared" si="0"/>
        <v>195</v>
      </c>
    </row>
    <row r="13" spans="1:18" x14ac:dyDescent="0.15">
      <c r="L13" s="34"/>
      <c r="M13" s="39" t="e">
        <f>VLOOKUP(L13,[1]characters!$A:$C,3,FALSE)</f>
        <v>#N/A</v>
      </c>
      <c r="N13" s="64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VLOOKUP(L13,tables_settle_325103!B:C,2,FALSE)</f>
        <v>#N/A</v>
      </c>
      <c r="R13" s="63">
        <f t="shared" si="0"/>
        <v>390</v>
      </c>
    </row>
    <row r="14" spans="1:18" x14ac:dyDescent="0.15">
      <c r="L14" s="34"/>
      <c r="M14" s="39" t="e">
        <f>VLOOKUP(L14,[1]characters!$A:$C,3,FALSE)</f>
        <v>#N/A</v>
      </c>
      <c r="N14" s="64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VLOOKUP(L14,tables_settle_325103!B:C,2,FALSE)</f>
        <v>#N/A</v>
      </c>
      <c r="R14" s="63">
        <f t="shared" si="0"/>
        <v>390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236</v>
      </c>
      <c r="L16" s="58"/>
      <c r="M16" s="58"/>
      <c r="N16" s="58"/>
      <c r="O16" s="58"/>
      <c r="P16" s="58"/>
      <c r="Q16" s="58"/>
      <c r="R16" s="59"/>
    </row>
    <row r="17" spans="1:18" x14ac:dyDescent="0.15">
      <c r="A17" s="34" t="s">
        <v>198</v>
      </c>
      <c r="B17" s="57">
        <v>0</v>
      </c>
      <c r="C17" s="50">
        <f t="shared" ref="C17:C44" si="2">SUMIF(Q:Q,A17,N:N)</f>
        <v>0</v>
      </c>
      <c r="D17" s="72">
        <f t="shared" ref="D17:D45" si="3">B17-C17</f>
        <v>0</v>
      </c>
      <c r="E17">
        <f>COUNTIF(tables_settle_325103!C:C,input_settle_325103!A17)-COUNTIF(Q:Q,A17)</f>
        <v>15</v>
      </c>
      <c r="F17" s="45">
        <f t="shared" ref="F17:F40" si="4">IFERROR(D17/E17,0)</f>
        <v>0</v>
      </c>
      <c r="G17">
        <f t="shared" ref="G17:G44" si="5">A$49*D17</f>
        <v>0</v>
      </c>
      <c r="H17">
        <f t="shared" ref="H17:H44" si="6">IFERROR(ROUND(G17/E17,5),0)</f>
        <v>0</v>
      </c>
      <c r="I17">
        <f t="shared" ref="I17:I44" si="7">MOD(H17,1)</f>
        <v>0</v>
      </c>
      <c r="J17">
        <f t="shared" ref="J17:J44" si="8">IFERROR(1/I17,1)</f>
        <v>1</v>
      </c>
      <c r="K17" s="82">
        <f ca="1">SUMIF(tables_settle_325103!C:C,input_settle_325103!A17,tables_settle_325103!P:P)</f>
        <v>0</v>
      </c>
      <c r="L17" s="58"/>
      <c r="M17" s="58"/>
      <c r="N17" s="58"/>
      <c r="O17" s="58"/>
      <c r="P17" s="58"/>
      <c r="Q17" s="58"/>
      <c r="R17" s="71"/>
    </row>
    <row r="18" spans="1:18" x14ac:dyDescent="0.15">
      <c r="A18" s="34" t="s">
        <v>199</v>
      </c>
      <c r="B18" s="57">
        <v>0</v>
      </c>
      <c r="C18" s="50">
        <f t="shared" si="2"/>
        <v>0</v>
      </c>
      <c r="D18" s="72">
        <f t="shared" si="3"/>
        <v>0</v>
      </c>
      <c r="E18">
        <f>COUNTIF(tables_settle_325103!C:C,input_settle_325103!A18)-COUNTIF(Q:Q,A18)</f>
        <v>15</v>
      </c>
      <c r="F18" s="45">
        <f t="shared" si="4"/>
        <v>0</v>
      </c>
      <c r="G18">
        <f t="shared" si="5"/>
        <v>0</v>
      </c>
      <c r="H18">
        <f t="shared" si="6"/>
        <v>0</v>
      </c>
      <c r="I18">
        <f t="shared" si="7"/>
        <v>0</v>
      </c>
      <c r="J18">
        <f t="shared" si="8"/>
        <v>1</v>
      </c>
      <c r="K18" s="82">
        <f ca="1">SUMIF(tables_settle_325103!C:C,input_settle_325103!A18,tables_settle_325103!P:P)</f>
        <v>0</v>
      </c>
      <c r="L18" s="58"/>
      <c r="M18" s="58"/>
      <c r="N18" s="58"/>
      <c r="O18" s="58"/>
      <c r="P18" s="58"/>
      <c r="Q18" s="58"/>
      <c r="R18" s="71"/>
    </row>
    <row r="19" spans="1:18" x14ac:dyDescent="0.15">
      <c r="A19" s="34" t="s">
        <v>101</v>
      </c>
      <c r="B19" s="57">
        <v>0</v>
      </c>
      <c r="C19" s="50">
        <f t="shared" si="2"/>
        <v>0</v>
      </c>
      <c r="D19" s="72">
        <f t="shared" si="3"/>
        <v>0</v>
      </c>
      <c r="E19">
        <f>COUNTIF(tables_settle_325103!C:C,input_settle_325103!A19)-COUNTIF(Q:Q,A19)</f>
        <v>40</v>
      </c>
      <c r="F19" s="45">
        <f t="shared" si="4"/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K19" s="82">
        <f ca="1">SUMIF(tables_settle_325103!C:C,input_settle_325103!A19,tables_settle_325103!P:P)</f>
        <v>0</v>
      </c>
      <c r="L19" s="58"/>
      <c r="M19" s="58"/>
      <c r="N19" s="60"/>
      <c r="O19" s="58"/>
      <c r="P19" s="58"/>
      <c r="Q19" s="58"/>
      <c r="R19" s="61"/>
    </row>
    <row r="20" spans="1:18" x14ac:dyDescent="0.15">
      <c r="A20" s="34" t="s">
        <v>102</v>
      </c>
      <c r="B20" s="57">
        <v>0</v>
      </c>
      <c r="C20" s="50">
        <f t="shared" si="2"/>
        <v>0</v>
      </c>
      <c r="D20" s="72">
        <f t="shared" si="3"/>
        <v>0</v>
      </c>
      <c r="E20">
        <f>COUNTIF(tables_settle_325103!C:C,input_settle_325103!A20)-COUNTIF(Q:Q,A20)</f>
        <v>40</v>
      </c>
      <c r="F20" s="45">
        <f t="shared" si="4"/>
        <v>0</v>
      </c>
      <c r="G20">
        <f t="shared" si="5"/>
        <v>0</v>
      </c>
      <c r="H20">
        <f t="shared" si="6"/>
        <v>0</v>
      </c>
      <c r="I20">
        <f t="shared" si="7"/>
        <v>0</v>
      </c>
      <c r="J20">
        <f t="shared" si="8"/>
        <v>1</v>
      </c>
      <c r="K20" s="82">
        <f ca="1">SUMIF(tables_settle_325103!C:C,input_settle_325103!A20,tables_settle_325103!P:P)</f>
        <v>0</v>
      </c>
      <c r="L20" s="58"/>
      <c r="M20" s="58"/>
      <c r="N20" s="60"/>
      <c r="O20" s="58"/>
      <c r="P20" s="58"/>
      <c r="Q20" s="58"/>
      <c r="R20" s="61"/>
    </row>
    <row r="21" spans="1:18" x14ac:dyDescent="0.15">
      <c r="A21" s="34" t="s">
        <v>103</v>
      </c>
      <c r="B21" s="57">
        <v>0</v>
      </c>
      <c r="C21" s="50">
        <f t="shared" si="2"/>
        <v>0</v>
      </c>
      <c r="D21" s="72">
        <f t="shared" si="3"/>
        <v>0</v>
      </c>
      <c r="E21">
        <f>COUNTIF(tables_settle_325103!C:C,input_settle_325103!A21)-COUNTIF(Q:Q,A21)</f>
        <v>40</v>
      </c>
      <c r="F21" s="45">
        <f t="shared" si="4"/>
        <v>0</v>
      </c>
      <c r="G21">
        <f t="shared" si="5"/>
        <v>0</v>
      </c>
      <c r="H21">
        <f t="shared" si="6"/>
        <v>0</v>
      </c>
      <c r="I21">
        <f t="shared" si="7"/>
        <v>0</v>
      </c>
      <c r="J21">
        <f t="shared" si="8"/>
        <v>1</v>
      </c>
      <c r="K21" s="82">
        <f ca="1">SUMIF(tables_settle_325103!C:C,input_settle_325103!A21,tables_settle_325103!P:P)</f>
        <v>0</v>
      </c>
      <c r="L21" s="58"/>
      <c r="M21" s="58"/>
      <c r="N21" s="60"/>
      <c r="O21" s="58"/>
      <c r="P21" s="58"/>
      <c r="Q21" s="58"/>
      <c r="R21" s="61"/>
    </row>
    <row r="22" spans="1:18" x14ac:dyDescent="0.15">
      <c r="A22" s="34" t="s">
        <v>204</v>
      </c>
      <c r="B22" s="57">
        <v>0</v>
      </c>
      <c r="C22" s="50">
        <f t="shared" si="2"/>
        <v>0</v>
      </c>
      <c r="D22" s="72">
        <f t="shared" si="3"/>
        <v>0</v>
      </c>
      <c r="E22">
        <f>COUNTIF(tables_settle_325103!C:C,input_settle_325103!A22)-COUNTIF(Q:Q,A22)</f>
        <v>1</v>
      </c>
      <c r="F22" s="45">
        <f t="shared" si="4"/>
        <v>0</v>
      </c>
      <c r="G22">
        <f t="shared" si="5"/>
        <v>0</v>
      </c>
      <c r="H22">
        <f t="shared" si="6"/>
        <v>0</v>
      </c>
      <c r="I22">
        <f t="shared" si="7"/>
        <v>0</v>
      </c>
      <c r="J22">
        <f t="shared" si="8"/>
        <v>1</v>
      </c>
      <c r="K22" s="82">
        <f ca="1">SUMIF(tables_settle_325103!C:C,input_settle_325103!A22,tables_settle_325103!P:P)</f>
        <v>0</v>
      </c>
      <c r="L22" s="58"/>
      <c r="M22" s="58"/>
      <c r="N22" s="60"/>
      <c r="O22" s="58"/>
      <c r="P22" s="58"/>
      <c r="Q22" s="58"/>
      <c r="R22" s="61"/>
    </row>
    <row r="23" spans="1:18" x14ac:dyDescent="0.15">
      <c r="A23" s="34" t="s">
        <v>205</v>
      </c>
      <c r="B23" s="57">
        <v>0</v>
      </c>
      <c r="C23" s="50">
        <f t="shared" si="2"/>
        <v>0</v>
      </c>
      <c r="D23" s="72">
        <f t="shared" si="3"/>
        <v>0</v>
      </c>
      <c r="E23">
        <f>COUNTIF(tables_settle_325103!C:C,input_settle_325103!A23)-COUNTIF(Q:Q,A23)</f>
        <v>1</v>
      </c>
      <c r="F23" s="45">
        <f t="shared" si="4"/>
        <v>0</v>
      </c>
      <c r="G23">
        <f t="shared" si="5"/>
        <v>0</v>
      </c>
      <c r="H23">
        <f t="shared" si="6"/>
        <v>0</v>
      </c>
      <c r="I23">
        <f t="shared" si="7"/>
        <v>0</v>
      </c>
      <c r="J23">
        <f t="shared" si="8"/>
        <v>1</v>
      </c>
      <c r="K23" s="82">
        <f ca="1">SUMIF(tables_settle_325103!C:C,input_settle_325103!A23,tables_settle_325103!P:P)</f>
        <v>0</v>
      </c>
      <c r="L23" s="58"/>
      <c r="M23" s="58"/>
      <c r="N23" s="60"/>
      <c r="O23" s="58"/>
      <c r="P23" s="58"/>
      <c r="Q23" s="58"/>
      <c r="R23" s="61"/>
    </row>
    <row r="24" spans="1:18" x14ac:dyDescent="0.15">
      <c r="A24" s="34" t="s">
        <v>201</v>
      </c>
      <c r="B24" s="57">
        <v>0</v>
      </c>
      <c r="C24" s="50">
        <f t="shared" si="2"/>
        <v>0</v>
      </c>
      <c r="D24" s="72">
        <f t="shared" si="3"/>
        <v>0</v>
      </c>
      <c r="E24">
        <f>COUNTIF(tables_settle_325103!C:C,input_settle_325103!A24)-COUNTIF(Q:Q,A24)</f>
        <v>3</v>
      </c>
      <c r="F24" s="45">
        <f t="shared" si="4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K24" s="82">
        <f ca="1">SUMIF(tables_settle_325103!C:C,input_settle_325103!A24,tables_settle_325103!P:P)</f>
        <v>0</v>
      </c>
      <c r="L24" s="58"/>
      <c r="M24" s="58"/>
      <c r="N24" s="60"/>
      <c r="O24" s="58"/>
      <c r="P24" s="58"/>
      <c r="Q24" s="58"/>
      <c r="R24" s="61"/>
    </row>
    <row r="25" spans="1:18" x14ac:dyDescent="0.15">
      <c r="A25" s="34" t="s">
        <v>202</v>
      </c>
      <c r="B25" s="57">
        <v>0</v>
      </c>
      <c r="C25" s="50">
        <f t="shared" si="2"/>
        <v>0</v>
      </c>
      <c r="D25" s="72">
        <f t="shared" si="3"/>
        <v>0</v>
      </c>
      <c r="E25">
        <f>COUNTIF(tables_settle_325103!C:C,input_settle_325103!A25)-COUNTIF(Q:Q,A25)</f>
        <v>3</v>
      </c>
      <c r="F25" s="45">
        <f t="shared" si="4"/>
        <v>0</v>
      </c>
      <c r="G25">
        <f t="shared" si="5"/>
        <v>0</v>
      </c>
      <c r="H25">
        <f t="shared" si="6"/>
        <v>0</v>
      </c>
      <c r="I25">
        <f t="shared" si="7"/>
        <v>0</v>
      </c>
      <c r="J25">
        <f t="shared" si="8"/>
        <v>1</v>
      </c>
      <c r="K25" s="82">
        <f ca="1">SUMIF(tables_settle_325103!C:C,input_settle_325103!A25,tables_settle_325103!P:P)</f>
        <v>0</v>
      </c>
      <c r="L25" s="58"/>
      <c r="M25" s="58"/>
      <c r="N25" s="60"/>
      <c r="O25" s="58"/>
      <c r="P25" s="58"/>
      <c r="Q25" s="58"/>
      <c r="R25" s="61"/>
    </row>
    <row r="26" spans="1:18" x14ac:dyDescent="0.15">
      <c r="A26" s="34" t="s">
        <v>203</v>
      </c>
      <c r="B26" s="57">
        <v>0</v>
      </c>
      <c r="C26" s="50">
        <f t="shared" si="2"/>
        <v>0</v>
      </c>
      <c r="D26" s="72">
        <f t="shared" si="3"/>
        <v>0</v>
      </c>
      <c r="E26">
        <f>COUNTIF(tables_settle_325103!C:C,input_settle_325103!A26)-COUNTIF(Q:Q,A26)</f>
        <v>3</v>
      </c>
      <c r="F26" s="45">
        <f t="shared" si="4"/>
        <v>0</v>
      </c>
      <c r="G26">
        <f t="shared" si="5"/>
        <v>0</v>
      </c>
      <c r="H26">
        <f t="shared" si="6"/>
        <v>0</v>
      </c>
      <c r="I26">
        <f t="shared" si="7"/>
        <v>0</v>
      </c>
      <c r="J26">
        <f t="shared" si="8"/>
        <v>1</v>
      </c>
      <c r="K26" s="82">
        <f ca="1">SUMIF(tables_settle_325103!C:C,input_settle_325103!A26,tables_settle_325103!P:P)</f>
        <v>0</v>
      </c>
      <c r="L26" s="58"/>
      <c r="M26" s="58"/>
      <c r="N26" s="60"/>
      <c r="O26" s="58"/>
      <c r="P26" s="58"/>
      <c r="Q26" s="58"/>
      <c r="R26" s="61"/>
    </row>
    <row r="27" spans="1:18" x14ac:dyDescent="0.15">
      <c r="A27" s="34" t="s">
        <v>111</v>
      </c>
      <c r="B27" s="57">
        <v>0</v>
      </c>
      <c r="C27" s="50">
        <f t="shared" si="2"/>
        <v>0</v>
      </c>
      <c r="D27" s="72">
        <f t="shared" si="3"/>
        <v>0</v>
      </c>
      <c r="E27">
        <f>COUNTIF(tables_settle_325103!C:C,input_settle_325103!A27)-COUNTIF(Q:Q,A27)</f>
        <v>20</v>
      </c>
      <c r="F27" s="45">
        <f t="shared" si="4"/>
        <v>0</v>
      </c>
      <c r="G27">
        <f t="shared" si="5"/>
        <v>0</v>
      </c>
      <c r="H27">
        <f t="shared" si="6"/>
        <v>0</v>
      </c>
      <c r="I27">
        <f t="shared" si="7"/>
        <v>0</v>
      </c>
      <c r="J27">
        <f t="shared" si="8"/>
        <v>1</v>
      </c>
      <c r="K27" s="82">
        <f ca="1">SUMIF(tables_settle_325103!C:C,input_settle_325103!A27,tables_settle_325103!P:P)</f>
        <v>0</v>
      </c>
      <c r="L27" s="58"/>
      <c r="M27" s="58"/>
      <c r="N27" s="60"/>
      <c r="O27" s="58"/>
      <c r="P27" s="58"/>
      <c r="Q27" s="58"/>
      <c r="R27" s="61"/>
    </row>
    <row r="28" spans="1:18" x14ac:dyDescent="0.15">
      <c r="A28" s="34" t="s">
        <v>112</v>
      </c>
      <c r="B28" s="57">
        <v>0</v>
      </c>
      <c r="C28" s="50">
        <f t="shared" si="2"/>
        <v>0</v>
      </c>
      <c r="D28" s="72">
        <f t="shared" si="3"/>
        <v>0</v>
      </c>
      <c r="E28">
        <f>COUNTIF(tables_settle_325103!C:C,input_settle_325103!A28)-COUNTIF(Q:Q,A28)</f>
        <v>20</v>
      </c>
      <c r="F28" s="45">
        <f>IFERROR(D28/E28,0)</f>
        <v>0</v>
      </c>
      <c r="G28">
        <f t="shared" si="5"/>
        <v>0</v>
      </c>
      <c r="H28">
        <f t="shared" si="6"/>
        <v>0</v>
      </c>
      <c r="I28">
        <f t="shared" si="7"/>
        <v>0</v>
      </c>
      <c r="J28">
        <f t="shared" si="8"/>
        <v>1</v>
      </c>
      <c r="K28" s="82">
        <f ca="1">SUMIF(tables_settle_325103!C:C,input_settle_325103!A28,tables_settle_325103!P:P)</f>
        <v>0</v>
      </c>
      <c r="L28" s="58"/>
      <c r="M28" s="58"/>
      <c r="N28" s="60"/>
      <c r="O28" s="58"/>
      <c r="P28" s="58"/>
      <c r="Q28" s="58"/>
      <c r="R28" s="61"/>
    </row>
    <row r="29" spans="1:18" x14ac:dyDescent="0.15">
      <c r="A29" s="34" t="s">
        <v>207</v>
      </c>
      <c r="B29" s="57">
        <v>0</v>
      </c>
      <c r="C29" s="50">
        <f t="shared" si="2"/>
        <v>0</v>
      </c>
      <c r="D29" s="72">
        <f t="shared" si="3"/>
        <v>0</v>
      </c>
      <c r="E29">
        <f>COUNTIF(tables_settle_325103!C:C,input_settle_325103!A29)-COUNTIF(Q:Q,A29)</f>
        <v>2</v>
      </c>
      <c r="F29" s="45">
        <f t="shared" si="4"/>
        <v>0</v>
      </c>
      <c r="G29">
        <f t="shared" si="5"/>
        <v>0</v>
      </c>
      <c r="H29">
        <f t="shared" si="6"/>
        <v>0</v>
      </c>
      <c r="I29">
        <f t="shared" si="7"/>
        <v>0</v>
      </c>
      <c r="J29">
        <f t="shared" si="8"/>
        <v>1</v>
      </c>
      <c r="K29" s="82">
        <f ca="1">SUMIF(tables_settle_325103!C:C,input_settle_325103!A29,tables_settle_325103!P:P)</f>
        <v>0</v>
      </c>
      <c r="L29" s="58"/>
      <c r="M29" s="58"/>
      <c r="N29" s="60"/>
      <c r="O29" s="58"/>
      <c r="P29" s="58"/>
      <c r="Q29" s="58"/>
      <c r="R29" s="61"/>
    </row>
    <row r="30" spans="1:18" x14ac:dyDescent="0.15">
      <c r="A30" s="34" t="s">
        <v>217</v>
      </c>
      <c r="B30" s="57">
        <v>0</v>
      </c>
      <c r="C30" s="50">
        <f t="shared" si="2"/>
        <v>0</v>
      </c>
      <c r="D30" s="72">
        <f t="shared" si="3"/>
        <v>0</v>
      </c>
      <c r="E30">
        <f>COUNTIF(tables_settle_325103!C:C,input_settle_325103!A30)-COUNTIF(Q:Q,A30)</f>
        <v>5</v>
      </c>
      <c r="F30" s="45">
        <f t="shared" si="4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K30" s="82">
        <f ca="1">SUMIF(tables_settle_325103!C:C,input_settle_325103!A30,tables_settle_325103!P:P)</f>
        <v>0</v>
      </c>
      <c r="L30" s="58"/>
      <c r="M30" s="58"/>
      <c r="N30" s="58"/>
      <c r="O30" s="58"/>
      <c r="P30" s="58"/>
      <c r="Q30" s="58"/>
      <c r="R30" s="71"/>
    </row>
    <row r="31" spans="1:18" x14ac:dyDescent="0.15">
      <c r="A31" s="34" t="s">
        <v>218</v>
      </c>
      <c r="B31" s="57">
        <v>0</v>
      </c>
      <c r="C31" s="50">
        <f t="shared" si="2"/>
        <v>0</v>
      </c>
      <c r="D31" s="72">
        <f t="shared" si="3"/>
        <v>0</v>
      </c>
      <c r="E31">
        <f>COUNTIF(tables_settle_325103!C:C,input_settle_325103!A31)-COUNTIF(Q:Q,A31)</f>
        <v>5</v>
      </c>
      <c r="F31" s="45">
        <f t="shared" si="4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K31" s="82">
        <f ca="1">SUMIF(tables_settle_325103!C:C,input_settle_325103!A31,tables_settle_325103!P:P)</f>
        <v>0</v>
      </c>
      <c r="L31" s="58"/>
      <c r="M31" s="58"/>
      <c r="N31" s="58"/>
      <c r="O31" s="58"/>
      <c r="P31" s="58"/>
      <c r="Q31" s="58"/>
      <c r="R31" s="71"/>
    </row>
    <row r="32" spans="1:18" x14ac:dyDescent="0.15">
      <c r="A32" s="34" t="s">
        <v>219</v>
      </c>
      <c r="B32" s="57">
        <v>0</v>
      </c>
      <c r="C32" s="50">
        <f t="shared" si="2"/>
        <v>0</v>
      </c>
      <c r="D32" s="72">
        <f t="shared" si="3"/>
        <v>0</v>
      </c>
      <c r="E32">
        <f>COUNTIF(tables_settle_325103!C:C,input_settle_325103!A32)-COUNTIF(Q:Q,A32)</f>
        <v>12</v>
      </c>
      <c r="F32" s="45">
        <f t="shared" si="4"/>
        <v>0</v>
      </c>
      <c r="G32">
        <f t="shared" si="5"/>
        <v>0</v>
      </c>
      <c r="H32">
        <f t="shared" si="6"/>
        <v>0</v>
      </c>
      <c r="I32">
        <f t="shared" si="7"/>
        <v>0</v>
      </c>
      <c r="J32">
        <f t="shared" si="8"/>
        <v>1</v>
      </c>
      <c r="K32" s="82">
        <f ca="1">SUMIF(tables_settle_325103!C:C,input_settle_325103!A32,tables_settle_325103!P:P)</f>
        <v>0</v>
      </c>
      <c r="L32" s="58"/>
      <c r="M32" s="58"/>
      <c r="N32" s="60"/>
      <c r="O32" s="58"/>
      <c r="P32" s="58"/>
      <c r="Q32" s="58"/>
      <c r="R32" s="61"/>
    </row>
    <row r="33" spans="1:18" x14ac:dyDescent="0.15">
      <c r="A33" s="34" t="s">
        <v>220</v>
      </c>
      <c r="B33" s="57">
        <v>0</v>
      </c>
      <c r="C33" s="50">
        <f t="shared" si="2"/>
        <v>0</v>
      </c>
      <c r="D33" s="72">
        <f t="shared" si="3"/>
        <v>0</v>
      </c>
      <c r="E33">
        <f>COUNTIF(tables_settle_325103!C:C,input_settle_325103!A33)-COUNTIF(Q:Q,A33)</f>
        <v>12</v>
      </c>
      <c r="F33" s="45">
        <f t="shared" si="4"/>
        <v>0</v>
      </c>
      <c r="G33">
        <f t="shared" si="5"/>
        <v>0</v>
      </c>
      <c r="H33">
        <f t="shared" si="6"/>
        <v>0</v>
      </c>
      <c r="I33">
        <f t="shared" si="7"/>
        <v>0</v>
      </c>
      <c r="J33">
        <f t="shared" si="8"/>
        <v>1</v>
      </c>
      <c r="K33" s="82">
        <f ca="1">SUMIF(tables_settle_325103!C:C,input_settle_325103!A33,tables_settle_325103!P:P)</f>
        <v>0</v>
      </c>
      <c r="L33" s="58"/>
      <c r="M33" s="58"/>
      <c r="N33" s="60"/>
      <c r="O33" s="58"/>
      <c r="P33" s="58"/>
      <c r="Q33" s="58"/>
      <c r="R33" s="61"/>
    </row>
    <row r="34" spans="1:18" x14ac:dyDescent="0.15">
      <c r="A34" s="34" t="s">
        <v>221</v>
      </c>
      <c r="B34" s="74">
        <f>96.6%*12/13</f>
        <v>0.89169230769230756</v>
      </c>
      <c r="C34" s="50">
        <f t="shared" si="2"/>
        <v>0</v>
      </c>
      <c r="D34" s="72">
        <f t="shared" si="3"/>
        <v>0.89169230769230756</v>
      </c>
      <c r="E34">
        <f>COUNTIF(tables_settle_325103!C:C,input_settle_325103!A34)-COUNTIF(Q:Q,A34)</f>
        <v>12</v>
      </c>
      <c r="F34" s="45">
        <f t="shared" si="4"/>
        <v>7.4307692307692297E-2</v>
      </c>
      <c r="G34">
        <f t="shared" si="5"/>
        <v>34775.999999999993</v>
      </c>
      <c r="H34">
        <f t="shared" si="6"/>
        <v>2898</v>
      </c>
      <c r="I34">
        <f t="shared" si="7"/>
        <v>0</v>
      </c>
      <c r="J34">
        <f t="shared" si="8"/>
        <v>1</v>
      </c>
      <c r="K34" s="82">
        <f ca="1">SUMIF(tables_settle_325103!C:C,input_settle_325103!A34,tables_settle_325103!P:P)</f>
        <v>0.89169230769230767</v>
      </c>
      <c r="L34" s="58"/>
      <c r="M34" s="58"/>
      <c r="N34" s="60"/>
      <c r="O34" s="58"/>
      <c r="P34" s="58"/>
      <c r="Q34" s="58"/>
      <c r="R34" s="61"/>
    </row>
    <row r="35" spans="1:18" x14ac:dyDescent="0.15">
      <c r="A35" s="34" t="s">
        <v>222</v>
      </c>
      <c r="B35" s="57">
        <v>0</v>
      </c>
      <c r="C35" s="50">
        <f t="shared" si="2"/>
        <v>0</v>
      </c>
      <c r="D35" s="72">
        <f t="shared" si="3"/>
        <v>0</v>
      </c>
      <c r="E35">
        <f>COUNTIF(tables_settle_325103!C:C,input_settle_325103!A35)-COUNTIF(Q:Q,A35)</f>
        <v>1</v>
      </c>
      <c r="F35" s="45">
        <f t="shared" si="4"/>
        <v>0</v>
      </c>
      <c r="G35">
        <f t="shared" si="5"/>
        <v>0</v>
      </c>
      <c r="H35">
        <f t="shared" si="6"/>
        <v>0</v>
      </c>
      <c r="I35">
        <f t="shared" si="7"/>
        <v>0</v>
      </c>
      <c r="J35">
        <f t="shared" si="8"/>
        <v>1</v>
      </c>
      <c r="K35" s="82">
        <f ca="1">SUMIF(tables_settle_325103!C:C,input_settle_325103!A35,tables_settle_325103!P:P)</f>
        <v>0</v>
      </c>
      <c r="L35" s="58"/>
      <c r="M35" s="58"/>
      <c r="N35" s="60"/>
      <c r="O35" s="58"/>
      <c r="P35" s="58"/>
      <c r="Q35" s="58"/>
      <c r="R35" s="61"/>
    </row>
    <row r="36" spans="1:18" x14ac:dyDescent="0.15">
      <c r="A36" s="34" t="s">
        <v>223</v>
      </c>
      <c r="B36" s="80">
        <f>96.6%/13</f>
        <v>7.4307692307692311E-2</v>
      </c>
      <c r="C36" s="50">
        <f t="shared" si="2"/>
        <v>0</v>
      </c>
      <c r="D36" s="72">
        <f t="shared" si="3"/>
        <v>7.4307692307692311E-2</v>
      </c>
      <c r="E36">
        <f>COUNTIF(tables_settle_325103!C:C,input_settle_325103!A36)-COUNTIF(Q:Q,A36)</f>
        <v>1</v>
      </c>
      <c r="F36" s="45">
        <f t="shared" si="4"/>
        <v>7.4307692307692311E-2</v>
      </c>
      <c r="G36">
        <f t="shared" si="5"/>
        <v>2898</v>
      </c>
      <c r="H36">
        <f t="shared" si="6"/>
        <v>2898</v>
      </c>
      <c r="I36">
        <f t="shared" si="7"/>
        <v>0</v>
      </c>
      <c r="J36">
        <f t="shared" si="8"/>
        <v>1</v>
      </c>
      <c r="K36" s="82">
        <f ca="1">SUMIF(tables_settle_325103!C:C,input_settle_325103!A36,tables_settle_325103!P:P)</f>
        <v>7.4307692307692311E-2</v>
      </c>
      <c r="L36" s="58"/>
      <c r="M36" s="58"/>
      <c r="N36" s="60"/>
      <c r="O36" s="58"/>
      <c r="P36" s="58"/>
      <c r="Q36" s="58"/>
      <c r="R36" s="61"/>
    </row>
    <row r="37" spans="1:18" x14ac:dyDescent="0.15">
      <c r="A37" s="34" t="s">
        <v>224</v>
      </c>
      <c r="B37" s="57">
        <v>0</v>
      </c>
      <c r="C37" s="50">
        <f t="shared" si="2"/>
        <v>0</v>
      </c>
      <c r="D37" s="72">
        <f t="shared" si="3"/>
        <v>0</v>
      </c>
      <c r="E37">
        <f>COUNTIF(tables_settle_325103!C:C,input_settle_325103!A37)-COUNTIF(Q:Q,A37)</f>
        <v>1</v>
      </c>
      <c r="F37" s="45">
        <f t="shared" si="4"/>
        <v>0</v>
      </c>
      <c r="G37">
        <f t="shared" si="5"/>
        <v>0</v>
      </c>
      <c r="H37">
        <f t="shared" si="6"/>
        <v>0</v>
      </c>
      <c r="I37">
        <f t="shared" si="7"/>
        <v>0</v>
      </c>
      <c r="J37">
        <f t="shared" si="8"/>
        <v>1</v>
      </c>
      <c r="K37" s="82">
        <f ca="1">SUMIF(tables_settle_325103!C:C,input_settle_325103!A37,tables_settle_325103!P:P)</f>
        <v>0</v>
      </c>
      <c r="L37" s="58"/>
      <c r="M37" s="58"/>
      <c r="N37" s="60"/>
      <c r="O37" s="58"/>
      <c r="P37" s="58"/>
      <c r="Q37" s="58"/>
      <c r="R37" s="61"/>
    </row>
    <row r="38" spans="1:18" x14ac:dyDescent="0.15">
      <c r="A38" s="34" t="s">
        <v>225</v>
      </c>
      <c r="B38" s="57">
        <v>0</v>
      </c>
      <c r="C38" s="50">
        <f t="shared" si="2"/>
        <v>0</v>
      </c>
      <c r="D38" s="72">
        <f t="shared" si="3"/>
        <v>0</v>
      </c>
      <c r="E38">
        <f>COUNTIF(tables_settle_325103!C:C,input_settle_325103!A38)-COUNTIF(Q:Q,A38)</f>
        <v>1</v>
      </c>
      <c r="F38" s="45">
        <f t="shared" si="4"/>
        <v>0</v>
      </c>
      <c r="G38">
        <f t="shared" si="5"/>
        <v>0</v>
      </c>
      <c r="H38">
        <f t="shared" si="6"/>
        <v>0</v>
      </c>
      <c r="I38">
        <f t="shared" si="7"/>
        <v>0</v>
      </c>
      <c r="J38">
        <f t="shared" si="8"/>
        <v>1</v>
      </c>
      <c r="K38" s="82">
        <f ca="1">SUMIF(tables_settle_325103!C:C,input_settle_325103!A38,tables_settle_325103!P:P)</f>
        <v>0</v>
      </c>
      <c r="L38" s="58"/>
      <c r="M38" s="58"/>
      <c r="N38" s="60"/>
      <c r="O38" s="58"/>
      <c r="P38" s="58"/>
      <c r="Q38" s="58"/>
      <c r="R38" s="61"/>
    </row>
    <row r="39" spans="1:18" x14ac:dyDescent="0.15">
      <c r="A39" s="34" t="s">
        <v>226</v>
      </c>
      <c r="B39" s="44">
        <f>3%/9</f>
        <v>3.3333333333333331E-3</v>
      </c>
      <c r="C39" s="50">
        <f t="shared" si="2"/>
        <v>0</v>
      </c>
      <c r="D39" s="72">
        <f t="shared" si="3"/>
        <v>3.3333333333333331E-3</v>
      </c>
      <c r="E39">
        <f>COUNTIF(tables_settle_325103!C:C,input_settle_325103!A39)-COUNTIF(Q:Q,A39)</f>
        <v>1</v>
      </c>
      <c r="F39" s="45">
        <f t="shared" si="4"/>
        <v>3.3333333333333331E-3</v>
      </c>
      <c r="G39">
        <f t="shared" si="5"/>
        <v>130</v>
      </c>
      <c r="H39">
        <f t="shared" si="6"/>
        <v>130</v>
      </c>
      <c r="I39">
        <f t="shared" si="7"/>
        <v>0</v>
      </c>
      <c r="J39">
        <f t="shared" si="8"/>
        <v>1</v>
      </c>
      <c r="K39" s="82">
        <f ca="1">SUMIF(tables_settle_325103!C:C,input_settle_325103!A39,tables_settle_325103!P:P)</f>
        <v>3.3333333333333335E-3</v>
      </c>
      <c r="L39" s="58"/>
      <c r="M39" s="58"/>
      <c r="N39" s="60"/>
      <c r="O39" s="58"/>
      <c r="P39" s="58"/>
      <c r="Q39" s="58"/>
      <c r="R39" s="61"/>
    </row>
    <row r="40" spans="1:18" x14ac:dyDescent="0.15">
      <c r="A40" s="34" t="s">
        <v>227</v>
      </c>
      <c r="B40" s="57">
        <v>0</v>
      </c>
      <c r="C40" s="50">
        <f t="shared" si="2"/>
        <v>0</v>
      </c>
      <c r="D40" s="72">
        <f t="shared" si="3"/>
        <v>0</v>
      </c>
      <c r="E40">
        <f>COUNTIF(tables_settle_325103!C:C,input_settle_325103!A40)-COUNTIF(Q:Q,A40)</f>
        <v>8</v>
      </c>
      <c r="F40" s="45">
        <f t="shared" si="4"/>
        <v>0</v>
      </c>
      <c r="G40">
        <f t="shared" si="5"/>
        <v>0</v>
      </c>
      <c r="H40">
        <f t="shared" si="6"/>
        <v>0</v>
      </c>
      <c r="I40">
        <f t="shared" si="7"/>
        <v>0</v>
      </c>
      <c r="J40">
        <f t="shared" si="8"/>
        <v>1</v>
      </c>
      <c r="K40" s="82">
        <f ca="1">SUMIF(tables_settle_325103!C:C,input_settle_325103!A40,tables_settle_325103!P:P)</f>
        <v>0</v>
      </c>
      <c r="L40" s="58"/>
      <c r="M40" s="58"/>
      <c r="N40" s="60"/>
      <c r="O40" s="58"/>
      <c r="P40" s="58"/>
      <c r="Q40" s="58"/>
      <c r="R40" s="61"/>
    </row>
    <row r="41" spans="1:18" x14ac:dyDescent="0.15">
      <c r="A41" s="34" t="s">
        <v>228</v>
      </c>
      <c r="B41" s="44">
        <f>3%*8/9</f>
        <v>2.6666666666666665E-2</v>
      </c>
      <c r="C41" s="50">
        <f t="shared" si="2"/>
        <v>0</v>
      </c>
      <c r="D41" s="72">
        <f t="shared" si="3"/>
        <v>2.6666666666666665E-2</v>
      </c>
      <c r="E41">
        <f>COUNTIF(tables_settle_325103!C:C,input_settle_325103!A41)-COUNTIF(Q:Q,A41)</f>
        <v>8</v>
      </c>
      <c r="F41" s="45">
        <f>IFERROR(D41/E41,0)</f>
        <v>3.3333333333333331E-3</v>
      </c>
      <c r="G41">
        <f t="shared" si="5"/>
        <v>1040</v>
      </c>
      <c r="H41">
        <f t="shared" si="6"/>
        <v>130</v>
      </c>
      <c r="I41">
        <f t="shared" si="7"/>
        <v>0</v>
      </c>
      <c r="J41">
        <f t="shared" si="8"/>
        <v>1</v>
      </c>
      <c r="K41" s="82">
        <f ca="1">SUMIF(tables_settle_325103!C:C,input_settle_325103!A41,tables_settle_325103!P:P)</f>
        <v>2.6666666666666668E-2</v>
      </c>
      <c r="L41" s="58"/>
      <c r="M41" s="58"/>
      <c r="N41" s="60"/>
      <c r="O41" s="58"/>
      <c r="P41" s="58"/>
      <c r="Q41" s="58"/>
      <c r="R41" s="61"/>
    </row>
    <row r="42" spans="1:18" x14ac:dyDescent="0.15">
      <c r="A42" s="34" t="s">
        <v>229</v>
      </c>
      <c r="B42" s="44">
        <f>G6*COUNTIF(tables_settle_325103!C:C,input_settle_325103!A42)</f>
        <v>0</v>
      </c>
      <c r="C42" s="50">
        <f t="shared" si="2"/>
        <v>0</v>
      </c>
      <c r="D42" s="72">
        <f t="shared" si="3"/>
        <v>0</v>
      </c>
      <c r="E42">
        <f>COUNTIF(tables_settle_325103!C:C,input_settle_325103!A42)-COUNTIF(Q:Q,A42)</f>
        <v>0</v>
      </c>
      <c r="F42" s="45">
        <f t="shared" ref="F42:F44" si="9">IFERROR(D42/E42,0)</f>
        <v>0</v>
      </c>
      <c r="G42">
        <f t="shared" si="5"/>
        <v>0</v>
      </c>
      <c r="H42">
        <f t="shared" si="6"/>
        <v>0</v>
      </c>
      <c r="I42">
        <f t="shared" si="7"/>
        <v>0</v>
      </c>
      <c r="J42">
        <f t="shared" si="8"/>
        <v>1</v>
      </c>
      <c r="K42" s="82">
        <f>SUMIF(tables_settle_325103!C:C,input_settle_325103!A42,tables_settle_325103!P:P)</f>
        <v>0</v>
      </c>
      <c r="L42" s="58"/>
      <c r="M42" s="58"/>
      <c r="N42" s="60"/>
      <c r="O42" s="58"/>
      <c r="P42" s="58"/>
      <c r="Q42" s="58"/>
      <c r="R42" s="61"/>
    </row>
    <row r="43" spans="1:18" x14ac:dyDescent="0.15">
      <c r="A43" s="34" t="s">
        <v>115</v>
      </c>
      <c r="B43" s="57">
        <v>0</v>
      </c>
      <c r="C43" s="50">
        <f t="shared" si="2"/>
        <v>0</v>
      </c>
      <c r="D43" s="72">
        <f t="shared" si="3"/>
        <v>0</v>
      </c>
      <c r="E43">
        <f>COUNTIF(tables_settle_325103!C:C,input_settle_325103!A43)-COUNTIF(Q:Q,A43)</f>
        <v>0</v>
      </c>
      <c r="F43" s="45">
        <f t="shared" si="9"/>
        <v>0</v>
      </c>
      <c r="G43">
        <f t="shared" si="5"/>
        <v>0</v>
      </c>
      <c r="H43">
        <f t="shared" si="6"/>
        <v>0</v>
      </c>
      <c r="I43">
        <f t="shared" si="7"/>
        <v>0</v>
      </c>
      <c r="J43">
        <f t="shared" si="8"/>
        <v>1</v>
      </c>
      <c r="K43" s="82">
        <f>SUMIF(tables_settle_325103!C:C,input_settle_325103!A43,tables_settle_325103!P:P)</f>
        <v>0</v>
      </c>
      <c r="L43" s="58"/>
      <c r="M43" s="58"/>
      <c r="N43" s="60"/>
      <c r="O43" s="58"/>
      <c r="P43" s="58"/>
      <c r="Q43" s="58"/>
      <c r="R43" s="61"/>
    </row>
    <row r="44" spans="1:18" x14ac:dyDescent="0.15">
      <c r="A44" s="34" t="s">
        <v>113</v>
      </c>
      <c r="B44" s="57">
        <f>B12</f>
        <v>4.0000000000000001E-3</v>
      </c>
      <c r="C44" s="50">
        <f t="shared" si="2"/>
        <v>0</v>
      </c>
      <c r="D44" s="72">
        <f t="shared" si="3"/>
        <v>4.0000000000000001E-3</v>
      </c>
      <c r="E44">
        <f>COUNTIF(tables_settle_325103!C:C,input_settle_325103!A44)-COUNTIF(Q:Q,A44)</f>
        <v>1</v>
      </c>
      <c r="F44" s="45">
        <f t="shared" si="9"/>
        <v>4.0000000000000001E-3</v>
      </c>
      <c r="G44">
        <f t="shared" si="5"/>
        <v>156</v>
      </c>
      <c r="H44">
        <f t="shared" si="6"/>
        <v>156</v>
      </c>
      <c r="I44">
        <f t="shared" si="7"/>
        <v>0</v>
      </c>
      <c r="J44">
        <f t="shared" si="8"/>
        <v>1</v>
      </c>
      <c r="K44" s="82">
        <f ca="1">SUMIF(tables_settle_325103!C:C,input_settle_325103!A44,tables_settle_325103!P:P)</f>
        <v>4.0000000000000001E-3</v>
      </c>
      <c r="L44" s="58"/>
      <c r="M44" s="58"/>
      <c r="N44" s="60"/>
      <c r="O44" s="58"/>
      <c r="P44" s="58"/>
      <c r="Q44" s="58"/>
      <c r="R44" s="61"/>
    </row>
    <row r="45" spans="1:18" x14ac:dyDescent="0.15">
      <c r="A45" s="41" t="s">
        <v>62</v>
      </c>
      <c r="B45" s="42">
        <f>SUM(B17:B44)</f>
        <v>0.99999999999999978</v>
      </c>
      <c r="C45" s="43">
        <f>SUM(C19:C44)</f>
        <v>0</v>
      </c>
      <c r="D45" s="44">
        <f t="shared" si="3"/>
        <v>0.99999999999999978</v>
      </c>
      <c r="L45" s="58"/>
      <c r="M45" s="58"/>
      <c r="N45" s="58"/>
      <c r="O45" s="58"/>
      <c r="P45" s="58"/>
      <c r="Q45" s="58"/>
      <c r="R45" s="61"/>
    </row>
    <row r="48" spans="1:18" x14ac:dyDescent="0.15">
      <c r="A48" t="s">
        <v>234</v>
      </c>
      <c r="H48" t="s">
        <v>235</v>
      </c>
    </row>
    <row r="49" spans="1:8" x14ac:dyDescent="0.15">
      <c r="A49" s="31">
        <f>1000*3*13</f>
        <v>39000</v>
      </c>
      <c r="H49" s="81">
        <f>MAX(H17:H44)</f>
        <v>2898</v>
      </c>
    </row>
    <row r="51" spans="1:8" x14ac:dyDescent="0.15">
      <c r="A51" s="49" t="s">
        <v>80</v>
      </c>
    </row>
    <row r="52" spans="1:8" x14ac:dyDescent="0.15">
      <c r="A52" s="34" t="s">
        <v>63</v>
      </c>
      <c r="B52" t="s">
        <v>77</v>
      </c>
      <c r="C52" t="s">
        <v>104</v>
      </c>
      <c r="E52" t="s">
        <v>105</v>
      </c>
      <c r="F52" t="s">
        <v>2</v>
      </c>
      <c r="G52" t="s">
        <v>66</v>
      </c>
    </row>
    <row r="53" spans="1:8" x14ac:dyDescent="0.15">
      <c r="A53" s="34" t="s">
        <v>108</v>
      </c>
      <c r="B53">
        <f ca="1">SUMIF(tables_settle_325103!C:C,input_settle_325103!A53,tables_settle_325103!O:O)</f>
        <v>0</v>
      </c>
      <c r="C53" s="55">
        <f t="shared" ref="C53:C59" ca="1" si="10">B53/B$60</f>
        <v>0</v>
      </c>
      <c r="E53">
        <v>3</v>
      </c>
      <c r="F53">
        <f ca="1">SUMIF(tables_settle_325103!J:J,input_settle_325103!E53,tables_settle_325103!O:O)</f>
        <v>0</v>
      </c>
      <c r="G53">
        <f ca="1">F53/A49</f>
        <v>0</v>
      </c>
    </row>
    <row r="54" spans="1:8" x14ac:dyDescent="0.15">
      <c r="A54" s="34" t="s">
        <v>109</v>
      </c>
      <c r="B54">
        <f ca="1">SUMIF(tables_settle_325103!C:C,input_settle_325103!A54,tables_settle_325103!O:O)</f>
        <v>0</v>
      </c>
      <c r="C54" s="55">
        <f t="shared" ca="1" si="10"/>
        <v>0</v>
      </c>
      <c r="E54">
        <v>4</v>
      </c>
      <c r="F54">
        <f ca="1">SUMIF(tables_settle_325103!J:J,input_settle_325103!E54,tables_settle_325103!O:O)</f>
        <v>0</v>
      </c>
      <c r="G54">
        <f ca="1">F54/A49</f>
        <v>0</v>
      </c>
    </row>
    <row r="55" spans="1:8" x14ac:dyDescent="0.15">
      <c r="A55" s="34" t="s">
        <v>111</v>
      </c>
      <c r="B55">
        <f ca="1">SUMIF(tables_settle_325103!C:C,input_settle_325103!A55,tables_settle_325103!O:O)</f>
        <v>0</v>
      </c>
      <c r="C55" s="55">
        <f t="shared" ca="1" si="10"/>
        <v>0</v>
      </c>
      <c r="E55">
        <v>5</v>
      </c>
      <c r="F55">
        <f ca="1">SUMIF(tables_settle_325103!J:J,input_settle_325103!E55,tables_settle_325103!O:O)</f>
        <v>39000</v>
      </c>
      <c r="G55">
        <f ca="1">F55/A49</f>
        <v>1</v>
      </c>
    </row>
    <row r="56" spans="1:8" x14ac:dyDescent="0.15">
      <c r="A56" s="34" t="s">
        <v>115</v>
      </c>
      <c r="B56">
        <f>SUMIF(tables_settle_325103!C:C,input_settle_325103!A56,tables_settle_325103!O:O)</f>
        <v>0</v>
      </c>
      <c r="C56" s="55">
        <f t="shared" ca="1" si="10"/>
        <v>0</v>
      </c>
      <c r="F56" s="56"/>
    </row>
    <row r="57" spans="1:8" x14ac:dyDescent="0.15">
      <c r="A57" s="34" t="s">
        <v>110</v>
      </c>
      <c r="B57">
        <f ca="1">SUMIF(tables_settle_325103!C:C,input_settle_325103!A57,tables_settle_325103!O:O)</f>
        <v>0</v>
      </c>
      <c r="C57" s="55">
        <f t="shared" ca="1" si="10"/>
        <v>0</v>
      </c>
      <c r="E57" t="s">
        <v>56</v>
      </c>
      <c r="F57" s="56"/>
    </row>
    <row r="58" spans="1:8" x14ac:dyDescent="0.15">
      <c r="A58" s="34" t="s">
        <v>112</v>
      </c>
      <c r="B58">
        <f ca="1">SUMIF(tables_settle_325103!C:C,input_settle_325103!A58,tables_settle_325103!O:O)</f>
        <v>0</v>
      </c>
      <c r="C58" s="55">
        <f t="shared" ca="1" si="10"/>
        <v>0</v>
      </c>
      <c r="E58" t="s">
        <v>210</v>
      </c>
      <c r="F58" s="56">
        <f ca="1">SUMIF(tables_settle_325103!I:I,input_settle_325103!E58,tables_settle_325103!P:P)</f>
        <v>0</v>
      </c>
    </row>
    <row r="59" spans="1:8" x14ac:dyDescent="0.15">
      <c r="A59" s="34" t="s">
        <v>113</v>
      </c>
      <c r="B59">
        <f ca="1">SUMIF(tables_settle_325103!C:C,input_settle_325103!A59,tables_settle_325103!O:O)</f>
        <v>156</v>
      </c>
      <c r="C59" s="55">
        <f t="shared" ca="1" si="10"/>
        <v>1</v>
      </c>
      <c r="E59" t="s">
        <v>211</v>
      </c>
      <c r="F59" s="56">
        <f ca="1">SUMIF(tables_settle_325103!I:I,input_settle_325103!E59,tables_settle_325103!P:P)</f>
        <v>0.30056410256410254</v>
      </c>
    </row>
    <row r="60" spans="1:8" x14ac:dyDescent="0.15">
      <c r="A60" s="41" t="s">
        <v>62</v>
      </c>
      <c r="B60">
        <f ca="1">SUM(B53:B59)</f>
        <v>156</v>
      </c>
      <c r="C60" s="56">
        <f ca="1">SUM(C53:C59)</f>
        <v>1</v>
      </c>
      <c r="E60" t="s">
        <v>212</v>
      </c>
      <c r="F60" s="56">
        <f ca="1">SUMIF(tables_settle_325103!I:I,input_settle_325103!E60,tables_settle_325103!P:P)</f>
        <v>0.66876923076923078</v>
      </c>
    </row>
    <row r="61" spans="1:8" x14ac:dyDescent="0.15">
      <c r="E61" t="s">
        <v>213</v>
      </c>
      <c r="F61" s="56">
        <f ca="1">SUMIF(tables_settle_325103!I:I,input_settle_325103!E61,tables_settle_325103!P:P)</f>
        <v>2.6666666666666668E-2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272"/>
  <sheetViews>
    <sheetView showGridLines="0" zoomScale="75" zoomScaleNormal="75" zoomScalePageLayoutView="75" workbookViewId="0">
      <pane ySplit="1" topLeftCell="A143" activePane="bottomLeft" state="frozen"/>
      <selection activeCell="C266" sqref="C266"/>
      <selection pane="bottomLeft" activeCell="C266" sqref="C26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99</v>
      </c>
      <c r="E1" s="3" t="s">
        <v>196</v>
      </c>
      <c r="F1" s="3" t="s">
        <v>197</v>
      </c>
      <c r="G1" s="3" t="s">
        <v>107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input_settle_325103!A$2</f>
        <v>325103</v>
      </c>
      <c r="B2" s="6">
        <v>126</v>
      </c>
      <c r="C2" s="7" t="str">
        <f t="shared" ref="C2:C65" si="0">D2&amp;J2&amp;E2&amp;F2&amp;G2</f>
        <v>PremiumW3color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IFERROR(VLOOKUP(B2,input_settle_325103!L:R,7,FALSE),ROUNDDOWN(VLOOKUP(tables_settle_325103!C2,input_settle_325103!A:H,8,FALSE),0))</f>
        <v>0</v>
      </c>
      <c r="P2" s="48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input_settle_325103!A$2</f>
        <v>325103</v>
      </c>
      <c r="B3" s="6">
        <v>127</v>
      </c>
      <c r="C3" s="7" t="str">
        <f t="shared" si="0"/>
        <v>PremiumW4color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IFERROR(VLOOKUP(B3,input_settle_325103!L:R,7,FALSE),ROUNDDOWN(VLOOKUP(tables_settle_325103!C3,input_settle_325103!A:H,8,FALSE),0))</f>
        <v>0</v>
      </c>
      <c r="P3" s="48">
        <f ca="1">O3/SUM(O:O)</f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input_settle_325103!A$2</f>
        <v>325103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IFERROR(VLOOKUP(B4,input_settle_325103!L:R,7,FALSE),ROUNDDOWN(VLOOKUP(tables_settle_325103!C4,input_settle_325103!A:H,8,FALSE),0))</f>
        <v>0</v>
      </c>
      <c r="P4" s="48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input_settle_325103!A$2</f>
        <v>325103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IFERROR(VLOOKUP(B5,input_settle_325103!L:R,7,FALSE),ROUNDDOWN(VLOOKUP(tables_settle_325103!C5,input_settle_325103!A:H,8,FALSE),0))</f>
        <v>0</v>
      </c>
      <c r="P5" s="48">
        <f ca="1">O5/SUM(O:O)</f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input_settle_325103!A$2</f>
        <v>325103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IFERROR(VLOOKUP(B6,input_settle_325103!L:R,7,FALSE),ROUNDDOWN(VLOOKUP(tables_settle_325103!C6,input_settle_325103!A:H,8,FALSE),0))</f>
        <v>0</v>
      </c>
      <c r="P6" s="48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input_settle_325103!A$2</f>
        <v>325103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IFERROR(VLOOKUP(B7,input_settle_325103!L:R,7,FALSE),ROUNDDOWN(VLOOKUP(tables_settle_325103!C7,input_settle_325103!A:H,8,FALSE),0))</f>
        <v>0</v>
      </c>
      <c r="P7" s="48">
        <f ca="1">O7/SUM(O:O)</f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input_settle_325103!A$2</f>
        <v>325103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IFERROR(VLOOKUP(B8,input_settle_325103!L:R,7,FALSE),ROUNDDOWN(VLOOKUP(tables_settle_325103!C8,input_settle_325103!A:H,8,FALSE),0))</f>
        <v>0</v>
      </c>
      <c r="P8" s="48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input_settle_325103!A$2</f>
        <v>325103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IFERROR(VLOOKUP(B9,input_settle_325103!L:R,7,FALSE),ROUNDDOWN(VLOOKUP(tables_settle_325103!C9,input_settle_325103!A:H,8,FALSE),0))</f>
        <v>0</v>
      </c>
      <c r="P9" s="48">
        <f ca="1">O9/SUM(O:O)</f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input_settle_325103!A$2</f>
        <v>325103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IFERROR(VLOOKUP(B10,input_settle_325103!L:R,7,FALSE),ROUNDDOWN(VLOOKUP(tables_settle_325103!C10,input_settle_325103!A:H,8,FALSE),0))</f>
        <v>0</v>
      </c>
      <c r="P10" s="48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input_settle_325103!A$2</f>
        <v>325103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IFERROR(VLOOKUP(B11,input_settle_325103!L:R,7,FALSE),ROUNDDOWN(VLOOKUP(tables_settle_325103!C11,input_settle_325103!A:H,8,FALSE),0))</f>
        <v>0</v>
      </c>
      <c r="P11" s="48">
        <f ca="1">O11/SUM(O:O)</f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input_settle_325103!A$2</f>
        <v>325103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IFERROR(VLOOKUP(B12,input_settle_325103!L:R,7,FALSE),ROUNDDOWN(VLOOKUP(tables_settle_325103!C12,input_settle_325103!A:H,8,FALSE),0))</f>
        <v>0</v>
      </c>
      <c r="P12" s="48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input_settle_325103!A$2</f>
        <v>325103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IFERROR(VLOOKUP(B13,input_settle_325103!L:R,7,FALSE),ROUNDDOWN(VLOOKUP(tables_settle_325103!C13,input_settle_325103!A:H,8,FALSE),0))</f>
        <v>0</v>
      </c>
      <c r="P13" s="48">
        <f ca="1">O13/SUM(O:O)</f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input_settle_325103!A$2</f>
        <v>325103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IFERROR(VLOOKUP(B14,input_settle_325103!L:R,7,FALSE),ROUNDDOWN(VLOOKUP(tables_settle_325103!C14,input_settle_325103!A:H,8,FALSE),0))</f>
        <v>0</v>
      </c>
      <c r="P14" s="48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input_settle_325103!A$2</f>
        <v>325103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IFERROR(VLOOKUP(B15,input_settle_325103!L:R,7,FALSE),ROUNDDOWN(VLOOKUP(tables_settle_325103!C15,input_settle_325103!A:H,8,FALSE),0))</f>
        <v>0</v>
      </c>
      <c r="P15" s="48">
        <f ca="1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input_settle_325103!A$2</f>
        <v>325103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IFERROR(VLOOKUP(B16,input_settle_325103!L:R,7,FALSE),ROUNDDOWN(VLOOKUP(tables_settle_325103!C16,input_settle_325103!A:H,8,FALSE),0))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input_settle_325103!A$2</f>
        <v>325103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IFERROR(VLOOKUP(B17,input_settle_325103!L:R,7,FALSE),ROUNDDOWN(VLOOKUP(tables_settle_325103!C17,input_settle_325103!A:H,8,FALSE),0))</f>
        <v>0</v>
      </c>
      <c r="P17" s="48">
        <f ca="1">O17/SUM(O:O)</f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input_settle_325103!A$2</f>
        <v>325103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IFERROR(VLOOKUP(B18,input_settle_325103!L:R,7,FALSE),ROUNDDOWN(VLOOKUP(tables_settle_325103!C18,input_settle_325103!A:H,8,FALSE),0))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input_settle_325103!A$2</f>
        <v>325103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IFERROR(VLOOKUP(B19,input_settle_325103!L:R,7,FALSE),ROUNDDOWN(VLOOKUP(tables_settle_325103!C19,input_settle_325103!A:H,8,FALSE),0))</f>
        <v>0</v>
      </c>
      <c r="P19" s="48">
        <f ca="1">O19/SUM(O:O)</f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input_settle_325103!A$2</f>
        <v>325103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IFERROR(VLOOKUP(B20,input_settle_325103!L:R,7,FALSE),ROUNDDOWN(VLOOKUP(tables_settle_325103!C20,input_settle_325103!A:H,8,FALSE),0))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input_settle_325103!A$2</f>
        <v>325103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IFERROR(VLOOKUP(B21,input_settle_325103!L:R,7,FALSE),ROUNDDOWN(VLOOKUP(tables_settle_325103!C21,input_settle_325103!A:H,8,FALSE),0))</f>
        <v>0</v>
      </c>
      <c r="P21" s="48">
        <f ca="1">O21/SUM(O:O)</f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input_settle_325103!A$2</f>
        <v>325103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IFERROR(VLOOKUP(B22,input_settle_325103!L:R,7,FALSE),ROUNDDOWN(VLOOKUP(tables_settle_325103!C22,input_settle_325103!A:H,8,FALSE),0))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input_settle_325103!A$2</f>
        <v>325103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IFERROR(VLOOKUP(B23,input_settle_325103!L:R,7,FALSE),ROUNDDOWN(VLOOKUP(tables_settle_325103!C23,input_settle_325103!A:H,8,FALSE),0))</f>
        <v>0</v>
      </c>
      <c r="P23" s="48">
        <f ca="1">O23/SUM(O:O)</f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input_settle_325103!A$2</f>
        <v>325103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IFERROR(VLOOKUP(B24,input_settle_325103!L:R,7,FALSE),ROUNDDOWN(VLOOKUP(tables_settle_325103!C24,input_settle_325103!A:H,8,FALSE),0))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input_settle_325103!A$2</f>
        <v>325103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IFERROR(VLOOKUP(B25,input_settle_325103!L:R,7,FALSE),ROUNDDOWN(VLOOKUP(tables_settle_325103!C25,input_settle_325103!A:H,8,FALSE),0))</f>
        <v>0</v>
      </c>
      <c r="P25" s="48">
        <f ca="1">O25/SUM(O:O)</f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input_settle_325103!A$2</f>
        <v>325103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IFERROR(VLOOKUP(B26,input_settle_325103!L:R,7,FALSE),ROUNDDOWN(VLOOKUP(tables_settle_325103!C26,input_settle_325103!A:H,8,FALSE),0))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input_settle_325103!A$2</f>
        <v>325103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IFERROR(VLOOKUP(B27,input_settle_325103!L:R,7,FALSE),ROUNDDOWN(VLOOKUP(tables_settle_325103!C27,input_settle_325103!A:H,8,FALSE),0))</f>
        <v>0</v>
      </c>
      <c r="P27" s="48">
        <f ca="1">O27/SUM(O:O)</f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input_settle_325103!A$2</f>
        <v>325103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IFERROR(VLOOKUP(B28,input_settle_325103!L:R,7,FALSE),ROUNDDOWN(VLOOKUP(tables_settle_325103!C28,input_settle_325103!A:H,8,FALSE),0))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input_settle_325103!A$2</f>
        <v>325103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IFERROR(VLOOKUP(B29,input_settle_325103!L:R,7,FALSE),ROUNDDOWN(VLOOKUP(tables_settle_325103!C29,input_settle_325103!A:H,8,FALSE),0))</f>
        <v>0</v>
      </c>
      <c r="P29" s="48">
        <f ca="1">O29/SUM(O:O)</f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input_settle_325103!A$2</f>
        <v>325103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IFERROR(VLOOKUP(B30,input_settle_325103!L:R,7,FALSE),ROUNDDOWN(VLOOKUP(tables_settle_325103!C30,input_settle_325103!A:H,8,FALSE),0))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input_settle_325103!A$2</f>
        <v>325103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IFERROR(VLOOKUP(B31,input_settle_325103!L:R,7,FALSE),ROUNDDOWN(VLOOKUP(tables_settle_325103!C31,input_settle_325103!A:H,8,FALSE),0))</f>
        <v>0</v>
      </c>
      <c r="P31" s="48">
        <f ca="1">O31/SUM(O:O)</f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input_settle_325103!A$2</f>
        <v>325103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IFERROR(VLOOKUP(B32,input_settle_325103!L:R,7,FALSE),ROUNDDOWN(VLOOKUP(tables_settle_325103!C32,input_settle_325103!A:H,8,FALSE),0))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input_settle_325103!A$2</f>
        <v>325103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IFERROR(VLOOKUP(B33,input_settle_325103!L:R,7,FALSE),ROUNDDOWN(VLOOKUP(tables_settle_325103!C33,input_settle_325103!A:H,8,FALSE),0))</f>
        <v>0</v>
      </c>
      <c r="P33" s="48">
        <f ca="1">O33/SUM(O:O)</f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input_settle_325103!A$2</f>
        <v>325103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IFERROR(VLOOKUP(B34,input_settle_325103!L:R,7,FALSE),ROUNDDOWN(VLOOKUP(tables_settle_325103!C34,input_settle_325103!A:H,8,FALSE),0))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input_settle_325103!A$2</f>
        <v>325103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IFERROR(VLOOKUP(B35,input_settle_325103!L:R,7,FALSE),ROUNDDOWN(VLOOKUP(tables_settle_325103!C35,input_settle_325103!A:H,8,FALSE),0))</f>
        <v>0</v>
      </c>
      <c r="P35" s="48">
        <f ca="1">O35/SUM(O:O)</f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input_settle_325103!A$2</f>
        <v>325103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IFERROR(VLOOKUP(B36,input_settle_325103!L:R,7,FALSE),ROUNDDOWN(VLOOKUP(tables_settle_325103!C36,input_settle_325103!A:H,8,FALSE),0))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input_settle_325103!A$2</f>
        <v>325103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IFERROR(VLOOKUP(B37,input_settle_325103!L:R,7,FALSE),ROUNDDOWN(VLOOKUP(tables_settle_325103!C37,input_settle_325103!A:H,8,FALSE),0))</f>
        <v>0</v>
      </c>
      <c r="P37" s="48">
        <f ca="1">O37/SUM(O:O)</f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input_settle_325103!A$2</f>
        <v>325103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IFERROR(VLOOKUP(B38,input_settle_325103!L:R,7,FALSE),ROUNDDOWN(VLOOKUP(tables_settle_325103!C38,input_settle_325103!A:H,8,FALSE),0))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input_settle_325103!A$2</f>
        <v>325103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IFERROR(VLOOKUP(B39,input_settle_325103!L:R,7,FALSE),ROUNDDOWN(VLOOKUP(tables_settle_325103!C39,input_settle_325103!A:H,8,FALSE),0))</f>
        <v>0</v>
      </c>
      <c r="P39" s="48">
        <f ca="1">O39/SUM(O:O)</f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input_settle_325103!A$2</f>
        <v>325103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IFERROR(VLOOKUP(B40,input_settle_325103!L:R,7,FALSE),ROUNDDOWN(VLOOKUP(tables_settle_325103!C40,input_settle_325103!A:H,8,FALSE),0))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input_settle_325103!A$2</f>
        <v>325103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IFERROR(VLOOKUP(B41,input_settle_325103!L:R,7,FALSE),ROUNDDOWN(VLOOKUP(tables_settle_325103!C41,input_settle_325103!A:H,8,FALSE),0))</f>
        <v>0</v>
      </c>
      <c r="P41" s="48">
        <f ca="1">O41/SUM(O:O)</f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input_settle_325103!A$2</f>
        <v>325103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IFERROR(VLOOKUP(B42,input_settle_325103!L:R,7,FALSE),ROUNDDOWN(VLOOKUP(tables_settle_325103!C42,input_settle_325103!A:H,8,FALSE),0))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input_settle_325103!A$2</f>
        <v>325103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IFERROR(VLOOKUP(B43,input_settle_325103!L:R,7,FALSE),ROUNDDOWN(VLOOKUP(tables_settle_325103!C43,input_settle_325103!A:H,8,FALSE),0))</f>
        <v>0</v>
      </c>
      <c r="P43" s="48">
        <f ca="1">O43/SUM(O:O)</f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input_settle_325103!A$2</f>
        <v>325103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IFERROR(VLOOKUP(B44,input_settle_325103!L:R,7,FALSE),ROUNDDOWN(VLOOKUP(tables_settle_325103!C44,input_settle_325103!A:H,8,FALSE),0))</f>
        <v>130</v>
      </c>
      <c r="P44" s="48">
        <f ca="1">O44/SUM(O:O)</f>
        <v>3.3333333333333335E-3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input_settle_325103!A$2</f>
        <v>325103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IFERROR(VLOOKUP(B45,input_settle_325103!L:R,7,FALSE),ROUNDDOWN(VLOOKUP(tables_settle_325103!C45,input_settle_325103!A:H,8,FALSE),0))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input_settle_325103!A$2</f>
        <v>325103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IFERROR(VLOOKUP(B46,input_settle_325103!L:R,7,FALSE),ROUNDDOWN(VLOOKUP(tables_settle_325103!C46,input_settle_325103!A:H,8,FALSE),0))</f>
        <v>0</v>
      </c>
      <c r="P46" s="48">
        <f ca="1">O46/SUM(O:O)</f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input_settle_325103!A$2</f>
        <v>325103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IFERROR(VLOOKUP(B47,input_settle_325103!L:R,7,FALSE),ROUNDDOWN(VLOOKUP(tables_settle_325103!C47,input_settle_325103!A:H,8,FALSE),0))</f>
        <v>0</v>
      </c>
      <c r="P47" s="48">
        <f ca="1">O47/SUM(O:O)</f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input_settle_325103!A$2</f>
        <v>325103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IFERROR(VLOOKUP(B48,input_settle_325103!L:R,7,FALSE),ROUNDDOWN(VLOOKUP(tables_settle_325103!C48,input_settle_325103!A:H,8,FALSE),0))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input_settle_325103!A$2</f>
        <v>325103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IFERROR(VLOOKUP(B49,input_settle_325103!L:R,7,FALSE),ROUNDDOWN(VLOOKUP(tables_settle_325103!C49,input_settle_325103!A:H,8,FALSE),0))</f>
        <v>0</v>
      </c>
      <c r="P49" s="48">
        <f ca="1">O49/SUM(O:O)</f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input_settle_325103!A$2</f>
        <v>325103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IFERROR(VLOOKUP(B50,input_settle_325103!L:R,7,FALSE),ROUNDDOWN(VLOOKUP(tables_settle_325103!C50,input_settle_325103!A:H,8,FALSE),0))</f>
        <v>0</v>
      </c>
      <c r="P50" s="48">
        <f ca="1">O50/SUM(O:O)</f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input_settle_325103!A$2</f>
        <v>325103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IFERROR(VLOOKUP(B51,input_settle_325103!L:R,7,FALSE),ROUNDDOWN(VLOOKUP(tables_settle_325103!C51,input_settle_325103!A:H,8,FALSE),0))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input_settle_325103!A$2</f>
        <v>325103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IFERROR(VLOOKUP(B52,input_settle_325103!L:R,7,FALSE),ROUNDDOWN(VLOOKUP(tables_settle_325103!C52,input_settle_325103!A:H,8,FALSE),0))</f>
        <v>0</v>
      </c>
      <c r="P52" s="48">
        <f ca="1">O52/SUM(O:O)</f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input_settle_325103!A$2</f>
        <v>325103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IFERROR(VLOOKUP(B53,input_settle_325103!L:R,7,FALSE),ROUNDDOWN(VLOOKUP(tables_settle_325103!C53,input_settle_325103!A:H,8,FALSE),0))</f>
        <v>0</v>
      </c>
      <c r="P53" s="48">
        <f ca="1">O53/SUM(O:O)</f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input_settle_325103!A$2</f>
        <v>325103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IFERROR(VLOOKUP(B54,input_settle_325103!L:R,7,FALSE),ROUNDDOWN(VLOOKUP(tables_settle_325103!C54,input_settle_325103!A:H,8,FALSE),0))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input_settle_325103!A$2</f>
        <v>325103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IFERROR(VLOOKUP(B55,input_settle_325103!L:R,7,FALSE),ROUNDDOWN(VLOOKUP(tables_settle_325103!C55,input_settle_325103!A:H,8,FALSE),0))</f>
        <v>0</v>
      </c>
      <c r="P55" s="48">
        <f ca="1">O55/SUM(O:O)</f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input_settle_325103!A$2</f>
        <v>325103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IFERROR(VLOOKUP(B56,input_settle_325103!L:R,7,FALSE),ROUNDDOWN(VLOOKUP(tables_settle_325103!C56,input_settle_325103!A:H,8,FALSE),0))</f>
        <v>2898</v>
      </c>
      <c r="P56" s="48">
        <f ca="1">O56/SUM(O:O)</f>
        <v>7.4307692307692311E-2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input_settle_325103!A$2</f>
        <v>325103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IFERROR(VLOOKUP(B57,input_settle_325103!L:R,7,FALSE),ROUNDDOWN(VLOOKUP(tables_settle_325103!C57,input_settle_325103!A:H,8,FALSE),0))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input_settle_325103!A$2</f>
        <v>325103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IFERROR(VLOOKUP(B58,input_settle_325103!L:R,7,FALSE),ROUNDDOWN(VLOOKUP(tables_settle_325103!C58,input_settle_325103!A:H,8,FALSE),0))</f>
        <v>0</v>
      </c>
      <c r="P58" s="48">
        <f ca="1">O58/SUM(O:O)</f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input_settle_325103!A$2</f>
        <v>325103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IFERROR(VLOOKUP(B59,input_settle_325103!L:R,7,FALSE),ROUNDDOWN(VLOOKUP(tables_settle_325103!C59,input_settle_325103!A:H,8,FALSE),0))</f>
        <v>0</v>
      </c>
      <c r="P59" s="48">
        <f ca="1">O59/SUM(O:O)</f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input_settle_325103!A$2</f>
        <v>325103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IFERROR(VLOOKUP(B60,input_settle_325103!L:R,7,FALSE),ROUNDDOWN(VLOOKUP(tables_settle_325103!C60,input_settle_325103!A:H,8,FALSE),0))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input_settle_325103!A$2</f>
        <v>325103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IFERROR(VLOOKUP(B61,input_settle_325103!L:R,7,FALSE),ROUNDDOWN(VLOOKUP(tables_settle_325103!C61,input_settle_325103!A:H,8,FALSE),0))</f>
        <v>0</v>
      </c>
      <c r="P61" s="48">
        <f ca="1">O61/SUM(O:O)</f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input_settle_325103!A$2</f>
        <v>325103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IFERROR(VLOOKUP(B62,input_settle_325103!L:R,7,FALSE),ROUNDDOWN(VLOOKUP(tables_settle_325103!C62,input_settle_325103!A:H,8,FALSE),0))</f>
        <v>0</v>
      </c>
      <c r="P62" s="48">
        <f ca="1">O62/SUM(O:O)</f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input_settle_325103!A$2</f>
        <v>325103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IFERROR(VLOOKUP(B63,input_settle_325103!L:R,7,FALSE),ROUNDDOWN(VLOOKUP(tables_settle_325103!C63,input_settle_325103!A:H,8,FALSE),0))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input_settle_325103!A$2</f>
        <v>325103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IFERROR(VLOOKUP(B64,input_settle_325103!L:R,7,FALSE),ROUNDDOWN(VLOOKUP(tables_settle_325103!C64,input_settle_325103!A:H,8,FALSE),0))</f>
        <v>0</v>
      </c>
      <c r="P64" s="48">
        <f ca="1">O64/SUM(O:O)</f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input_settle_325103!A$2</f>
        <v>325103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IFERROR(VLOOKUP(B65,input_settle_325103!L:R,7,FALSE),ROUNDDOWN(VLOOKUP(tables_settle_325103!C65,input_settle_325103!A:H,8,FALSE),0))</f>
        <v>0</v>
      </c>
      <c r="P65" s="48">
        <f ca="1">O65/SUM(O:O)</f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input_settle_325103!A$2</f>
        <v>325103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IFERROR(VLOOKUP(B66,input_settle_325103!L:R,7,FALSE),ROUNDDOWN(VLOOKUP(tables_settle_325103!C66,input_settle_325103!A:H,8,FALSE),0))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input_settle_325103!A$2</f>
        <v>325103</v>
      </c>
      <c r="B67" s="6">
        <v>191</v>
      </c>
      <c r="C67" s="7" t="str">
        <f t="shared" si="3"/>
        <v>Premium4color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IFERROR(VLOOKUP(B67,input_settle_325103!L:R,7,FALSE),ROUNDDOWN(VLOOKUP(tables_settle_325103!C67,input_settle_325103!A:H,8,FALSE),0))</f>
        <v>0</v>
      </c>
      <c r="P67" s="48">
        <f ca="1">O67/SUM(O:O)</f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input_settle_325103!A$2</f>
        <v>325103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IFERROR(VLOOKUP(B68,input_settle_325103!L:R,7,FALSE),ROUNDDOWN(VLOOKUP(tables_settle_325103!C68,input_settle_325103!A:H,8,FALSE),0))</f>
        <v>2898</v>
      </c>
      <c r="P68" s="48">
        <f ca="1">O68/SUM(O:O)</f>
        <v>7.4307692307692311E-2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input_settle_325103!A$2</f>
        <v>325103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IFERROR(VLOOKUP(B69,input_settle_325103!L:R,7,FALSE),ROUNDDOWN(VLOOKUP(tables_settle_325103!C69,input_settle_325103!A:H,8,FALSE),0))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input_settle_325103!A$2</f>
        <v>325103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IFERROR(VLOOKUP(B70,input_settle_325103!L:R,7,FALSE),ROUNDDOWN(VLOOKUP(tables_settle_325103!C70,input_settle_325103!A:H,8,FALSE),0))</f>
        <v>0</v>
      </c>
      <c r="P70" s="48">
        <f ca="1">O70/SUM(O:O)</f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input_settle_325103!A$2</f>
        <v>325103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IFERROR(VLOOKUP(B71,input_settle_325103!L:R,7,FALSE),ROUNDDOWN(VLOOKUP(tables_settle_325103!C71,input_settle_325103!A:H,8,FALSE),0))</f>
        <v>0</v>
      </c>
      <c r="P71" s="48">
        <f ca="1">O71/SUM(O:O)</f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input_settle_325103!A$2</f>
        <v>325103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IFERROR(VLOOKUP(B72,input_settle_325103!L:R,7,FALSE),ROUNDDOWN(VLOOKUP(tables_settle_325103!C72,input_settle_325103!A:H,8,FALSE),0))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input_settle_325103!A$2</f>
        <v>325103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IFERROR(VLOOKUP(B73,input_settle_325103!L:R,7,FALSE),ROUNDDOWN(VLOOKUP(tables_settle_325103!C73,input_settle_325103!A:H,8,FALSE),0))</f>
        <v>0</v>
      </c>
      <c r="P73" s="48">
        <f ca="1">O73/SUM(O:O)</f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input_settle_325103!A$2</f>
        <v>325103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IFERROR(VLOOKUP(B74,input_settle_325103!L:R,7,FALSE),ROUNDDOWN(VLOOKUP(tables_settle_325103!C74,input_settle_325103!A:H,8,FALSE),0))</f>
        <v>0</v>
      </c>
      <c r="P74" s="48">
        <f ca="1">O74/SUM(O:O)</f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input_settle_325103!A$2</f>
        <v>325103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IFERROR(VLOOKUP(B75,input_settle_325103!L:R,7,FALSE),ROUNDDOWN(VLOOKUP(tables_settle_325103!C75,input_settle_325103!A:H,8,FALSE),0))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input_settle_325103!A$2</f>
        <v>325103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IFERROR(VLOOKUP(B76,input_settle_325103!L:R,7,FALSE),ROUNDDOWN(VLOOKUP(tables_settle_325103!C76,input_settle_325103!A:H,8,FALSE),0))</f>
        <v>0</v>
      </c>
      <c r="P76" s="48">
        <f ca="1">O76/SUM(O:O)</f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input_settle_325103!A$2</f>
        <v>325103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IFERROR(VLOOKUP(B77,input_settle_325103!L:R,7,FALSE),ROUNDDOWN(VLOOKUP(tables_settle_325103!C77,input_settle_325103!A:H,8,FALSE),0))</f>
        <v>0</v>
      </c>
      <c r="P77" s="48">
        <f ca="1">O77/SUM(O:O)</f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input_settle_325103!A$2</f>
        <v>325103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IFERROR(VLOOKUP(B78,input_settle_325103!L:R,7,FALSE),ROUNDDOWN(VLOOKUP(tables_settle_325103!C78,input_settle_325103!A:H,8,FALSE),0))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input_settle_325103!A$2</f>
        <v>325103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IFERROR(VLOOKUP(B79,input_settle_325103!L:R,7,FALSE),ROUNDDOWN(VLOOKUP(tables_settle_325103!C79,input_settle_325103!A:H,8,FALSE),0))</f>
        <v>0</v>
      </c>
      <c r="P79" s="48">
        <f ca="1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input_settle_325103!A$2</f>
        <v>325103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IFERROR(VLOOKUP(B80,input_settle_325103!L:R,7,FALSE),ROUNDDOWN(VLOOKUP(tables_settle_325103!C80,input_settle_325103!A:H,8,FALSE),0))</f>
        <v>2898</v>
      </c>
      <c r="P80" s="48">
        <f ca="1">O80/SUM(O:O)</f>
        <v>7.4307692307692311E-2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input_settle_325103!A$2</f>
        <v>325103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IFERROR(VLOOKUP(B81,input_settle_325103!L:R,7,FALSE),ROUNDDOWN(VLOOKUP(tables_settle_325103!C81,input_settle_325103!A:H,8,FALSE),0))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input_settle_325103!A$2</f>
        <v>325103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IFERROR(VLOOKUP(B82,input_settle_325103!L:R,7,FALSE),ROUNDDOWN(VLOOKUP(tables_settle_325103!C82,input_settle_325103!A:H,8,FALSE),0))</f>
        <v>0</v>
      </c>
      <c r="P82" s="48">
        <f ca="1">O82/SUM(O:O)</f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input_settle_325103!A$2</f>
        <v>325103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IFERROR(VLOOKUP(B83,input_settle_325103!L:R,7,FALSE),ROUNDDOWN(VLOOKUP(tables_settle_325103!C83,input_settle_325103!A:H,8,FALSE),0))</f>
        <v>0</v>
      </c>
      <c r="P83" s="48">
        <f ca="1">O83/SUM(O:O)</f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input_settle_325103!A$2</f>
        <v>325103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IFERROR(VLOOKUP(B84,input_settle_325103!L:R,7,FALSE),ROUNDDOWN(VLOOKUP(tables_settle_325103!C84,input_settle_325103!A:H,8,FALSE),0))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input_settle_325103!A$2</f>
        <v>325103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IFERROR(VLOOKUP(B85,input_settle_325103!L:R,7,FALSE),ROUNDDOWN(VLOOKUP(tables_settle_325103!C85,input_settle_325103!A:H,8,FALSE),0))</f>
        <v>0</v>
      </c>
      <c r="P85" s="48">
        <f ca="1">O85/SUM(O:O)</f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input_settle_325103!A$2</f>
        <v>325103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IFERROR(VLOOKUP(B86,input_settle_325103!L:R,7,FALSE),ROUNDDOWN(VLOOKUP(tables_settle_325103!C86,input_settle_325103!A:H,8,FALSE),0))</f>
        <v>0</v>
      </c>
      <c r="P86" s="48">
        <f ca="1">O86/SUM(O:O)</f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input_settle_325103!A$2</f>
        <v>325103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IFERROR(VLOOKUP(B87,input_settle_325103!L:R,7,FALSE),ROUNDDOWN(VLOOKUP(tables_settle_325103!C87,input_settle_325103!A:H,8,FALSE),0))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input_settle_325103!A$2</f>
        <v>325103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IFERROR(VLOOKUP(B88,input_settle_325103!L:R,7,FALSE),ROUNDDOWN(VLOOKUP(tables_settle_325103!C88,input_settle_325103!A:H,8,FALSE),0))</f>
        <v>0</v>
      </c>
      <c r="P88" s="48">
        <f ca="1">O88/SUM(O:O)</f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input_settle_325103!A$2</f>
        <v>325103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IFERROR(VLOOKUP(B89,input_settle_325103!L:R,7,FALSE),ROUNDDOWN(VLOOKUP(tables_settle_325103!C89,input_settle_325103!A:H,8,FALSE),0))</f>
        <v>0</v>
      </c>
      <c r="P89" s="48">
        <f ca="1">O89/SUM(O:O)</f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input_settle_325103!A$2</f>
        <v>325103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IFERROR(VLOOKUP(B90,input_settle_325103!L:R,7,FALSE),ROUNDDOWN(VLOOKUP(tables_settle_325103!C90,input_settle_325103!A:H,8,FALSE),0))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input_settle_325103!A$2</f>
        <v>325103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IFERROR(VLOOKUP(B91,input_settle_325103!L:R,7,FALSE),ROUNDDOWN(VLOOKUP(tables_settle_325103!C91,input_settle_325103!A:H,8,FALSE),0))</f>
        <v>0</v>
      </c>
      <c r="P91" s="48">
        <f ca="1">O91/SUM(O:O)</f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input_settle_325103!A$2</f>
        <v>325103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IFERROR(VLOOKUP(B92,input_settle_325103!L:R,7,FALSE),ROUNDDOWN(VLOOKUP(tables_settle_325103!C92,input_settle_325103!A:H,8,FALSE),0))</f>
        <v>2898</v>
      </c>
      <c r="P92" s="48">
        <f ca="1">O92/SUM(O:O)</f>
        <v>7.4307692307692311E-2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input_settle_325103!A$2</f>
        <v>325103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IFERROR(VLOOKUP(B93,input_settle_325103!L:R,7,FALSE),ROUNDDOWN(VLOOKUP(tables_settle_325103!C93,input_settle_325103!A:H,8,FALSE),0))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input_settle_325103!A$2</f>
        <v>325103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IFERROR(VLOOKUP(B94,input_settle_325103!L:R,7,FALSE),ROUNDDOWN(VLOOKUP(tables_settle_325103!C94,input_settle_325103!A:H,8,FALSE),0))</f>
        <v>0</v>
      </c>
      <c r="P94" s="48">
        <f ca="1">O94/SUM(O:O)</f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input_settle_325103!A$2</f>
        <v>325103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IFERROR(VLOOKUP(B95,input_settle_325103!L:R,7,FALSE),ROUNDDOWN(VLOOKUP(tables_settle_325103!C95,input_settle_325103!A:H,8,FALSE),0))</f>
        <v>0</v>
      </c>
      <c r="P95" s="48">
        <f ca="1">O95/SUM(O:O)</f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input_settle_325103!A$2</f>
        <v>325103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IFERROR(VLOOKUP(B96,input_settle_325103!L:R,7,FALSE),ROUNDDOWN(VLOOKUP(tables_settle_325103!C96,input_settle_325103!A:H,8,FALSE),0))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input_settle_325103!A$2</f>
        <v>325103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IFERROR(VLOOKUP(B97,input_settle_325103!L:R,7,FALSE),ROUNDDOWN(VLOOKUP(tables_settle_325103!C97,input_settle_325103!A:H,8,FALSE),0))</f>
        <v>0</v>
      </c>
      <c r="P97" s="48">
        <f ca="1">O97/SUM(O:O)</f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input_settle_325103!A$2</f>
        <v>325103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IFERROR(VLOOKUP(B98,input_settle_325103!L:R,7,FALSE),ROUNDDOWN(VLOOKUP(tables_settle_325103!C98,input_settle_325103!A:H,8,FALSE),0))</f>
        <v>0</v>
      </c>
      <c r="P98" s="48">
        <f ca="1">O98/SUM(O:O)</f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input_settle_325103!A$2</f>
        <v>325103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IFERROR(VLOOKUP(B99,input_settle_325103!L:R,7,FALSE),ROUNDDOWN(VLOOKUP(tables_settle_325103!C99,input_settle_325103!A:H,8,FALSE),0))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input_settle_325103!A$2</f>
        <v>325103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IFERROR(VLOOKUP(B100,input_settle_325103!L:R,7,FALSE),ROUNDDOWN(VLOOKUP(tables_settle_325103!C100,input_settle_325103!A:H,8,FALSE),0))</f>
        <v>0</v>
      </c>
      <c r="P100" s="48">
        <f ca="1">O100/SUM(O:O)</f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input_settle_325103!A$2</f>
        <v>325103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IFERROR(VLOOKUP(B101,input_settle_325103!L:R,7,FALSE),ROUNDDOWN(VLOOKUP(tables_settle_325103!C101,input_settle_325103!A:H,8,FALSE),0))</f>
        <v>0</v>
      </c>
      <c r="P101" s="48">
        <f ca="1">O101/SUM(O:O)</f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input_settle_325103!A$2</f>
        <v>325103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IFERROR(VLOOKUP(B102,input_settle_325103!L:R,7,FALSE),ROUNDDOWN(VLOOKUP(tables_settle_325103!C102,input_settle_325103!A:H,8,FALSE),0))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input_settle_325103!A$2</f>
        <v>325103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IFERROR(VLOOKUP(B103,input_settle_325103!L:R,7,FALSE),ROUNDDOWN(VLOOKUP(tables_settle_325103!C103,input_settle_325103!A:H,8,FALSE),0))</f>
        <v>0</v>
      </c>
      <c r="P103" s="48">
        <f ca="1">O103/SUM(O:O)</f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input_settle_325103!A$2</f>
        <v>325103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IFERROR(VLOOKUP(B104,input_settle_325103!L:R,7,FALSE),ROUNDDOWN(VLOOKUP(tables_settle_325103!C104,input_settle_325103!A:H,8,FALSE),0))</f>
        <v>2898</v>
      </c>
      <c r="P104" s="48">
        <f ca="1">O104/SUM(O:O)</f>
        <v>7.4307692307692311E-2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input_settle_325103!A$2</f>
        <v>325103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IFERROR(VLOOKUP(B105,input_settle_325103!L:R,7,FALSE),ROUNDDOWN(VLOOKUP(tables_settle_325103!C105,input_settle_325103!A:H,8,FALSE),0))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input_settle_325103!A$2</f>
        <v>325103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IFERROR(VLOOKUP(B106,input_settle_325103!L:R,7,FALSE),ROUNDDOWN(VLOOKUP(tables_settle_325103!C106,input_settle_325103!A:H,8,FALSE),0))</f>
        <v>0</v>
      </c>
      <c r="P106" s="48">
        <f ca="1">O106/SUM(O:O)</f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input_settle_325103!A$2</f>
        <v>325103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IFERROR(VLOOKUP(B107,input_settle_325103!L:R,7,FALSE),ROUNDDOWN(VLOOKUP(tables_settle_325103!C107,input_settle_325103!A:H,8,FALSE),0))</f>
        <v>0</v>
      </c>
      <c r="P107" s="48">
        <f ca="1">O107/SUM(O:O)</f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input_settle_325103!A$2</f>
        <v>325103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IFERROR(VLOOKUP(B108,input_settle_325103!L:R,7,FALSE),ROUNDDOWN(VLOOKUP(tables_settle_325103!C108,input_settle_325103!A:H,8,FALSE),0))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input_settle_325103!A$2</f>
        <v>325103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IFERROR(VLOOKUP(B109,input_settle_325103!L:R,7,FALSE),ROUNDDOWN(VLOOKUP(tables_settle_325103!C109,input_settle_325103!A:H,8,FALSE),0))</f>
        <v>0</v>
      </c>
      <c r="P109" s="48">
        <f ca="1">O109/SUM(O:O)</f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input_settle_325103!A$2</f>
        <v>325103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IFERROR(VLOOKUP(B110,input_settle_325103!L:R,7,FALSE),ROUNDDOWN(VLOOKUP(tables_settle_325103!C110,input_settle_325103!A:H,8,FALSE),0))</f>
        <v>0</v>
      </c>
      <c r="P110" s="48">
        <f ca="1">O110/SUM(O:O)</f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input_settle_325103!A$2</f>
        <v>325103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IFERROR(VLOOKUP(B111,input_settle_325103!L:R,7,FALSE),ROUNDDOWN(VLOOKUP(tables_settle_325103!C111,input_settle_325103!A:H,8,FALSE),0))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input_settle_325103!A$2</f>
        <v>325103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IFERROR(VLOOKUP(B112,input_settle_325103!L:R,7,FALSE),ROUNDDOWN(VLOOKUP(tables_settle_325103!C112,input_settle_325103!A:H,8,FALSE),0))</f>
        <v>0</v>
      </c>
      <c r="P112" s="48">
        <f ca="1">O112/SUM(O:O)</f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input_settle_325103!A$2</f>
        <v>325103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IFERROR(VLOOKUP(B113,input_settle_325103!L:R,7,FALSE),ROUNDDOWN(VLOOKUP(tables_settle_325103!C113,input_settle_325103!A:H,8,FALSE),0))</f>
        <v>0</v>
      </c>
      <c r="P113" s="48">
        <f ca="1">O113/SUM(O:O)</f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input_settle_325103!A$2</f>
        <v>325103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IFERROR(VLOOKUP(B114,input_settle_325103!L:R,7,FALSE),ROUNDDOWN(VLOOKUP(tables_settle_325103!C114,input_settle_325103!A:H,8,FALSE),0))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input_settle_325103!A$2</f>
        <v>325103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IFERROR(VLOOKUP(B115,input_settle_325103!L:R,7,FALSE),ROUNDDOWN(VLOOKUP(tables_settle_325103!C115,input_settle_325103!A:H,8,FALSE),0))</f>
        <v>0</v>
      </c>
      <c r="P115" s="48">
        <f ca="1">O115/SUM(O:O)</f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input_settle_325103!A$2</f>
        <v>325103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IFERROR(VLOOKUP(B116,input_settle_325103!L:R,7,FALSE),ROUNDDOWN(VLOOKUP(tables_settle_325103!C116,input_settle_325103!A:H,8,FALSE),0))</f>
        <v>2898</v>
      </c>
      <c r="P116" s="48">
        <f ca="1">O116/SUM(O:O)</f>
        <v>7.4307692307692311E-2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input_settle_325103!A$2</f>
        <v>325103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IFERROR(VLOOKUP(B117,input_settle_325103!L:R,7,FALSE),ROUNDDOWN(VLOOKUP(tables_settle_325103!C117,input_settle_325103!A:H,8,FALSE),0))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input_settle_325103!A$2</f>
        <v>325103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IFERROR(VLOOKUP(B118,input_settle_325103!L:R,7,FALSE),ROUNDDOWN(VLOOKUP(tables_settle_325103!C118,input_settle_325103!A:H,8,FALSE),0))</f>
        <v>0</v>
      </c>
      <c r="P118" s="48">
        <f ca="1">O118/SUM(O:O)</f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input_settle_325103!A$2</f>
        <v>325103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IFERROR(VLOOKUP(B119,input_settle_325103!L:R,7,FALSE),ROUNDDOWN(VLOOKUP(tables_settle_325103!C119,input_settle_325103!A:H,8,FALSE),0))</f>
        <v>0</v>
      </c>
      <c r="P119" s="48">
        <f ca="1">O119/SUM(O:O)</f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input_settle_325103!A$2</f>
        <v>325103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IFERROR(VLOOKUP(B120,input_settle_325103!L:R,7,FALSE),ROUNDDOWN(VLOOKUP(tables_settle_325103!C120,input_settle_325103!A:H,8,FALSE),0))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input_settle_325103!A$2</f>
        <v>325103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IFERROR(VLOOKUP(B121,input_settle_325103!L:R,7,FALSE),ROUNDDOWN(VLOOKUP(tables_settle_325103!C121,input_settle_325103!A:H,8,FALSE),0))</f>
        <v>0</v>
      </c>
      <c r="P121" s="48">
        <f ca="1">O121/SUM(O:O)</f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input_settle_325103!A$2</f>
        <v>325103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IFERROR(VLOOKUP(B122,input_settle_325103!L:R,7,FALSE),ROUNDDOWN(VLOOKUP(tables_settle_325103!C122,input_settle_325103!A:H,8,FALSE),0))</f>
        <v>0</v>
      </c>
      <c r="P122" s="48">
        <f ca="1">O122/SUM(O:O)</f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input_settle_325103!A$2</f>
        <v>325103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IFERROR(VLOOKUP(B123,input_settle_325103!L:R,7,FALSE),ROUNDDOWN(VLOOKUP(tables_settle_325103!C123,input_settle_325103!A:H,8,FALSE),0))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input_settle_325103!A$2</f>
        <v>325103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IFERROR(VLOOKUP(B124,input_settle_325103!L:R,7,FALSE),ROUNDDOWN(VLOOKUP(tables_settle_325103!C124,input_settle_325103!A:H,8,FALSE),0))</f>
        <v>0</v>
      </c>
      <c r="P124" s="48">
        <f ca="1">O124/SUM(O:O)</f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input_settle_325103!A$2</f>
        <v>325103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IFERROR(VLOOKUP(B125,input_settle_325103!L:R,7,FALSE),ROUNDDOWN(VLOOKUP(tables_settle_325103!C125,input_settle_325103!A:H,8,FALSE),0))</f>
        <v>0</v>
      </c>
      <c r="P125" s="48">
        <f ca="1">O125/SUM(O:O)</f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input_settle_325103!A$2</f>
        <v>325103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IFERROR(VLOOKUP(B126,input_settle_325103!L:R,7,FALSE),ROUNDDOWN(VLOOKUP(tables_settle_325103!C126,input_settle_325103!A:H,8,FALSE),0))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input_settle_325103!A$2</f>
        <v>325103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IFERROR(VLOOKUP(B127,input_settle_325103!L:R,7,FALSE),ROUNDDOWN(VLOOKUP(tables_settle_325103!C127,input_settle_325103!A:H,8,FALSE),0))</f>
        <v>0</v>
      </c>
      <c r="P127" s="48">
        <f ca="1">O127/SUM(O:O)</f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input_settle_325103!A$2</f>
        <v>325103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IFERROR(VLOOKUP(B128,input_settle_325103!L:R,7,FALSE),ROUNDDOWN(VLOOKUP(tables_settle_325103!C128,input_settle_325103!A:H,8,FALSE),0))</f>
        <v>2898</v>
      </c>
      <c r="P128" s="48">
        <f ca="1">O128/SUM(O:O)</f>
        <v>7.4307692307692311E-2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input_settle_325103!A$2</f>
        <v>325103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IFERROR(VLOOKUP(B129,input_settle_325103!L:R,7,FALSE),ROUNDDOWN(VLOOKUP(tables_settle_325103!C129,input_settle_325103!A:H,8,FALSE),0))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input_settle_325103!A$2</f>
        <v>325103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IFERROR(VLOOKUP(B130,input_settle_325103!L:R,7,FALSE),ROUNDDOWN(VLOOKUP(tables_settle_325103!C130,input_settle_325103!A:H,8,FALSE),0))</f>
        <v>0</v>
      </c>
      <c r="P130" s="48">
        <f ca="1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input_settle_325103!A$2</f>
        <v>325103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IFERROR(VLOOKUP(B131,input_settle_325103!L:R,7,FALSE),ROUNDDOWN(VLOOKUP(tables_settle_325103!C131,input_settle_325103!A:H,8,FALSE),0))</f>
        <v>0</v>
      </c>
      <c r="P131" s="48">
        <f ca="1">O131/SUM(O:O)</f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input_settle_325103!A$2</f>
        <v>325103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IFERROR(VLOOKUP(B132,input_settle_325103!L:R,7,FALSE),ROUNDDOWN(VLOOKUP(tables_settle_325103!C132,input_settle_325103!A:H,8,FALSE),0))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input_settle_325103!A$2</f>
        <v>325103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IFERROR(VLOOKUP(B133,input_settle_325103!L:R,7,FALSE),ROUNDDOWN(VLOOKUP(tables_settle_325103!C133,input_settle_325103!A:H,8,FALSE),0))</f>
        <v>0</v>
      </c>
      <c r="P133" s="48">
        <f ca="1">O133/SUM(O:O)</f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input_settle_325103!A$2</f>
        <v>325103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IFERROR(VLOOKUP(B134,input_settle_325103!L:R,7,FALSE),ROUNDDOWN(VLOOKUP(tables_settle_325103!C134,input_settle_325103!A:H,8,FALSE),0))</f>
        <v>0</v>
      </c>
      <c r="P134" s="48">
        <f ca="1">O134/SUM(O:O)</f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input_settle_325103!A$2</f>
        <v>325103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IFERROR(VLOOKUP(B135,input_settle_325103!L:R,7,FALSE),ROUNDDOWN(VLOOKUP(tables_settle_325103!C135,input_settle_325103!A:H,8,FALSE),0))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input_settle_325103!A$2</f>
        <v>325103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IFERROR(VLOOKUP(B136,input_settle_325103!L:R,7,FALSE),ROUNDDOWN(VLOOKUP(tables_settle_325103!C136,input_settle_325103!A:H,8,FALSE),0))</f>
        <v>0</v>
      </c>
      <c r="P136" s="48">
        <f ca="1">O136/SUM(O:O)</f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input_settle_325103!A$2</f>
        <v>325103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IFERROR(VLOOKUP(B137,input_settle_325103!L:R,7,FALSE),ROUNDDOWN(VLOOKUP(tables_settle_325103!C137,input_settle_325103!A:H,8,FALSE),0))</f>
        <v>0</v>
      </c>
      <c r="P137" s="48">
        <f ca="1">O137/SUM(O:O)</f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input_settle_325103!A$2</f>
        <v>325103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IFERROR(VLOOKUP(B138,input_settle_325103!L:R,7,FALSE),ROUNDDOWN(VLOOKUP(tables_settle_325103!C138,input_settle_325103!A:H,8,FALSE),0))</f>
        <v>0</v>
      </c>
      <c r="P138" s="48">
        <f ca="1">O138/SUM(O:O)</f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input_settle_325103!A$2</f>
        <v>325103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IFERROR(VLOOKUP(B139,input_settle_325103!L:R,7,FALSE),ROUNDDOWN(VLOOKUP(tables_settle_325103!C139,input_settle_325103!A:H,8,FALSE),0))</f>
        <v>130</v>
      </c>
      <c r="P139" s="48">
        <f ca="1">O139/SUM(O:O)</f>
        <v>3.3333333333333335E-3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input_settle_325103!A$2</f>
        <v>325103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IFERROR(VLOOKUP(B140,input_settle_325103!L:R,7,FALSE),ROUNDDOWN(VLOOKUP(tables_settle_325103!C140,input_settle_325103!A:H,8,FALSE),0))</f>
        <v>0</v>
      </c>
      <c r="P140" s="48">
        <f ca="1">O140/SUM(O:O)</f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input_settle_325103!A$2</f>
        <v>325103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IFERROR(VLOOKUP(B141,input_settle_325103!L:R,7,FALSE),ROUNDDOWN(VLOOKUP(tables_settle_325103!C141,input_settle_325103!A:H,8,FALSE),0))</f>
        <v>0</v>
      </c>
      <c r="P141" s="48">
        <f ca="1">O141/SUM(O:O)</f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input_settle_325103!A$2</f>
        <v>325103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IFERROR(VLOOKUP(B142,input_settle_325103!L:R,7,FALSE),ROUNDDOWN(VLOOKUP(tables_settle_325103!C142,input_settle_325103!A:H,8,FALSE),0))</f>
        <v>0</v>
      </c>
      <c r="P142" s="48">
        <f ca="1">O142/SUM(O:O)</f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input_settle_325103!A$2</f>
        <v>325103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IFERROR(VLOOKUP(B143,input_settle_325103!L:R,7,FALSE),ROUNDDOWN(VLOOKUP(tables_settle_325103!C143,input_settle_325103!A:H,8,FALSE),0))</f>
        <v>0</v>
      </c>
      <c r="P143" s="48">
        <f ca="1">O143/SUM(O:O)</f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input_settle_325103!A$2</f>
        <v>325103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IFERROR(VLOOKUP(B144,input_settle_325103!L:R,7,FALSE),ROUNDDOWN(VLOOKUP(tables_settle_325103!C144,input_settle_325103!A:H,8,FALSE),0))</f>
        <v>0</v>
      </c>
      <c r="P144" s="48">
        <f ca="1">O144/SUM(O:O)</f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input_settle_325103!A$2</f>
        <v>325103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IFERROR(VLOOKUP(B145,input_settle_325103!L:R,7,FALSE),ROUNDDOWN(VLOOKUP(tables_settle_325103!C145,input_settle_325103!A:H,8,FALSE),0))</f>
        <v>0</v>
      </c>
      <c r="P145" s="48">
        <f ca="1">O145/SUM(O:O)</f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input_settle_325103!A$2</f>
        <v>325103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IFERROR(VLOOKUP(B146,input_settle_325103!L:R,7,FALSE),ROUNDDOWN(VLOOKUP(tables_settle_325103!C146,input_settle_325103!A:H,8,FALSE),0))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input_settle_325103!A$2</f>
        <v>325103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IFERROR(VLOOKUP(B147,input_settle_325103!L:R,7,FALSE),ROUNDDOWN(VLOOKUP(tables_settle_325103!C147,input_settle_325103!A:H,8,FALSE),0))</f>
        <v>0</v>
      </c>
      <c r="P147" s="48">
        <f ca="1">O147/SUM(O:O)</f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input_settle_325103!A$2</f>
        <v>325103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IFERROR(VLOOKUP(B148,input_settle_325103!L:R,7,FALSE),ROUNDDOWN(VLOOKUP(tables_settle_325103!C148,input_settle_325103!A:H,8,FALSE),0))</f>
        <v>2898</v>
      </c>
      <c r="P148" s="48">
        <f ca="1">O148/SUM(O:O)</f>
        <v>7.4307692307692311E-2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input_settle_325103!A$2</f>
        <v>325103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IFERROR(VLOOKUP(B149,input_settle_325103!L:R,7,FALSE),ROUNDDOWN(VLOOKUP(tables_settle_325103!C149,input_settle_325103!A:H,8,FALSE),0))</f>
        <v>0</v>
      </c>
      <c r="P149" s="48">
        <f ca="1">O149/SUM(O:O)</f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input_settle_325103!A$2</f>
        <v>325103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IFERROR(VLOOKUP(B150,input_settle_325103!L:R,7,FALSE),ROUNDDOWN(VLOOKUP(tables_settle_325103!C150,input_settle_325103!A:H,8,FALSE),0))</f>
        <v>0</v>
      </c>
      <c r="P150" s="48">
        <f ca="1">O150/SUM(O:O)</f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input_settle_325103!A$2</f>
        <v>325103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IFERROR(VLOOKUP(B151,input_settle_325103!L:R,7,FALSE),ROUNDDOWN(VLOOKUP(tables_settle_325103!C151,input_settle_325103!A:H,8,FALSE),0))</f>
        <v>0</v>
      </c>
      <c r="P151" s="48">
        <f ca="1">O151/SUM(O:O)</f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input_settle_325103!A$2</f>
        <v>325103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IFERROR(VLOOKUP(B152,input_settle_325103!L:R,7,FALSE),ROUNDDOWN(VLOOKUP(tables_settle_325103!C152,input_settle_325103!A:H,8,FALSE),0))</f>
        <v>0</v>
      </c>
      <c r="P152" s="48">
        <f ca="1">O152/SUM(O:O)</f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input_settle_325103!A$2</f>
        <v>325103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IFERROR(VLOOKUP(B153,input_settle_325103!L:R,7,FALSE),ROUNDDOWN(VLOOKUP(tables_settle_325103!C153,input_settle_325103!A:H,8,FALSE),0))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input_settle_325103!A$2</f>
        <v>325103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IFERROR(VLOOKUP(B154,input_settle_325103!L:R,7,FALSE),ROUNDDOWN(VLOOKUP(tables_settle_325103!C154,input_settle_325103!A:H,8,FALSE),0))</f>
        <v>0</v>
      </c>
      <c r="P154" s="48">
        <f ca="1">O154/SUM(O:O)</f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input_settle_325103!A$2</f>
        <v>325103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IFERROR(VLOOKUP(B155,input_settle_325103!L:R,7,FALSE),ROUNDDOWN(VLOOKUP(tables_settle_325103!C155,input_settle_325103!A:H,8,FALSE),0))</f>
        <v>0</v>
      </c>
      <c r="P155" s="48">
        <f ca="1">O155/SUM(O:O)</f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input_settle_325103!A$2</f>
        <v>325103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IFERROR(VLOOKUP(B156,input_settle_325103!L:R,7,FALSE),ROUNDDOWN(VLOOKUP(tables_settle_325103!C156,input_settle_325103!A:H,8,FALSE),0))</f>
        <v>0</v>
      </c>
      <c r="P156" s="48">
        <f ca="1">O156/SUM(O:O)</f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input_settle_325103!A$2</f>
        <v>325103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IFERROR(VLOOKUP(B157,input_settle_325103!L:R,7,FALSE),ROUNDDOWN(VLOOKUP(tables_settle_325103!C157,input_settle_325103!A:H,8,FALSE),0))</f>
        <v>130</v>
      </c>
      <c r="P157" s="48">
        <f ca="1">O157/SUM(O:O)</f>
        <v>3.3333333333333335E-3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input_settle_325103!A$2</f>
        <v>325103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IFERROR(VLOOKUP(B158,input_settle_325103!L:R,7,FALSE),ROUNDDOWN(VLOOKUP(tables_settle_325103!C158,input_settle_325103!A:H,8,FALSE),0))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input_settle_325103!A$2</f>
        <v>325103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IFERROR(VLOOKUP(B159,input_settle_325103!L:R,7,FALSE),ROUNDDOWN(VLOOKUP(tables_settle_325103!C159,input_settle_325103!A:H,8,FALSE),0))</f>
        <v>0</v>
      </c>
      <c r="P159" s="48">
        <f ca="1">O159/SUM(O:O)</f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input_settle_325103!A$2</f>
        <v>325103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IFERROR(VLOOKUP(B160,input_settle_325103!L:R,7,FALSE),ROUNDDOWN(VLOOKUP(tables_settle_325103!C160,input_settle_325103!A:H,8,FALSE),0))</f>
        <v>0</v>
      </c>
      <c r="P160" s="48">
        <f ca="1">O160/SUM(O:O)</f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input_settle_325103!A$2</f>
        <v>325103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IFERROR(VLOOKUP(B161,input_settle_325103!L:R,7,FALSE),ROUNDDOWN(VLOOKUP(tables_settle_325103!C161,input_settle_325103!A:H,8,FALSE),0))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input_settle_325103!A$2</f>
        <v>325103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IFERROR(VLOOKUP(B162,input_settle_325103!L:R,7,FALSE),ROUNDDOWN(VLOOKUP(tables_settle_325103!C162,input_settle_325103!A:H,8,FALSE),0))</f>
        <v>0</v>
      </c>
      <c r="P162" s="48">
        <f ca="1">O162/SUM(O:O)</f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input_settle_325103!A$2</f>
        <v>325103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IFERROR(VLOOKUP(B163,input_settle_325103!L:R,7,FALSE),ROUNDDOWN(VLOOKUP(tables_settle_325103!C163,input_settle_325103!A:H,8,FALSE),0))</f>
        <v>0</v>
      </c>
      <c r="P163" s="48">
        <f ca="1">O163/SUM(O:O)</f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input_settle_325103!A$2</f>
        <v>325103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IFERROR(VLOOKUP(B164,input_settle_325103!L:R,7,FALSE),ROUNDDOWN(VLOOKUP(tables_settle_325103!C164,input_settle_325103!A:H,8,FALSE),0))</f>
        <v>0</v>
      </c>
      <c r="P164" s="48">
        <f ca="1">O164/SUM(O:O)</f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input_settle_325103!A$2</f>
        <v>325103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IFERROR(VLOOKUP(B165,input_settle_325103!L:R,7,FALSE),ROUNDDOWN(VLOOKUP(tables_settle_325103!C165,input_settle_325103!A:H,8,FALSE),0))</f>
        <v>0</v>
      </c>
      <c r="P165" s="48">
        <f ca="1">O165/SUM(O:O)</f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input_settle_325103!A$2</f>
        <v>325103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IFERROR(VLOOKUP(B166,input_settle_325103!L:R,7,FALSE),ROUNDDOWN(VLOOKUP(tables_settle_325103!C166,input_settle_325103!A:H,8,FALSE),0))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input_settle_325103!A$2</f>
        <v>325103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IFERROR(VLOOKUP(B167,input_settle_325103!L:R,7,FALSE),ROUNDDOWN(VLOOKUP(tables_settle_325103!C167,input_settle_325103!A:H,8,FALSE),0))</f>
        <v>0</v>
      </c>
      <c r="P167" s="48">
        <f ca="1">O167/SUM(O:O)</f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input_settle_325103!A$2</f>
        <v>325103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IFERROR(VLOOKUP(B168,input_settle_325103!L:R,7,FALSE),ROUNDDOWN(VLOOKUP(tables_settle_325103!C168,input_settle_325103!A:H,8,FALSE),0))</f>
        <v>2898</v>
      </c>
      <c r="P168" s="48">
        <f ca="1">O168/SUM(O:O)</f>
        <v>7.4307692307692311E-2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input_settle_325103!A$2</f>
        <v>325103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IFERROR(VLOOKUP(B169,input_settle_325103!L:R,7,FALSE),ROUNDDOWN(VLOOKUP(tables_settle_325103!C169,input_settle_325103!A:H,8,FALSE),0))</f>
        <v>0</v>
      </c>
      <c r="P169" s="48">
        <f ca="1">O169/SUM(O:O)</f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input_settle_325103!A$2</f>
        <v>325103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IFERROR(VLOOKUP(B170,input_settle_325103!L:R,7,FALSE),ROUNDDOWN(VLOOKUP(tables_settle_325103!C170,input_settle_325103!A:H,8,FALSE),0))</f>
        <v>0</v>
      </c>
      <c r="P170" s="48">
        <f ca="1">O170/SUM(O:O)</f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input_settle_325103!A$2</f>
        <v>325103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IFERROR(VLOOKUP(B171,input_settle_325103!L:R,7,FALSE),ROUNDDOWN(VLOOKUP(tables_settle_325103!C171,input_settle_325103!A:H,8,FALSE),0))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input_settle_325103!A$2</f>
        <v>325103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IFERROR(VLOOKUP(B172,input_settle_325103!L:R,7,FALSE),ROUNDDOWN(VLOOKUP(tables_settle_325103!C172,input_settle_325103!A:H,8,FALSE),0))</f>
        <v>0</v>
      </c>
      <c r="P172" s="48">
        <f ca="1">O172/SUM(O:O)</f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input_settle_325103!A$2</f>
        <v>325103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IFERROR(VLOOKUP(B173,input_settle_325103!L:R,7,FALSE),ROUNDDOWN(VLOOKUP(tables_settle_325103!C173,input_settle_325103!A:H,8,FALSE),0))</f>
        <v>0</v>
      </c>
      <c r="P173" s="48">
        <f ca="1">O173/SUM(O:O)</f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input_settle_325103!A$2</f>
        <v>325103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IFERROR(VLOOKUP(B174,input_settle_325103!L:R,7,FALSE),ROUNDDOWN(VLOOKUP(tables_settle_325103!C174,input_settle_325103!A:H,8,FALSE),0))</f>
        <v>0</v>
      </c>
      <c r="P174" s="48">
        <f ca="1">O174/SUM(O:O)</f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input_settle_325103!A$2</f>
        <v>325103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IFERROR(VLOOKUP(B175,input_settle_325103!L:R,7,FALSE),ROUNDDOWN(VLOOKUP(tables_settle_325103!C175,input_settle_325103!A:H,8,FALSE),0))</f>
        <v>0</v>
      </c>
      <c r="P175" s="48">
        <f ca="1">O175/SUM(O:O)</f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input_settle_325103!A$2</f>
        <v>325103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IFERROR(VLOOKUP(B176,input_settle_325103!L:R,7,FALSE),ROUNDDOWN(VLOOKUP(tables_settle_325103!C176,input_settle_325103!A:H,8,FALSE),0))</f>
        <v>0</v>
      </c>
      <c r="P176" s="48">
        <f ca="1">O176/SUM(O:O)</f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input_settle_325103!A$2</f>
        <v>325103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IFERROR(VLOOKUP(B177,input_settle_325103!L:R,7,FALSE),ROUNDDOWN(VLOOKUP(tables_settle_325103!C177,input_settle_325103!A:H,8,FALSE),0))</f>
        <v>130</v>
      </c>
      <c r="P177" s="48">
        <f ca="1">O177/SUM(O:O)</f>
        <v>3.3333333333333335E-3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input_settle_325103!A$2</f>
        <v>325103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IFERROR(VLOOKUP(B178,input_settle_325103!L:R,7,FALSE),ROUNDDOWN(VLOOKUP(tables_settle_325103!C178,input_settle_325103!A:H,8,FALSE),0))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input_settle_325103!A$2</f>
        <v>325103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IFERROR(VLOOKUP(B179,input_settle_325103!L:R,7,FALSE),ROUNDDOWN(VLOOKUP(tables_settle_325103!C179,input_settle_325103!A:H,8,FALSE),0))</f>
        <v>0</v>
      </c>
      <c r="P179" s="48">
        <f ca="1">O179/SUM(O:O)</f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input_settle_325103!A$2</f>
        <v>325103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IFERROR(VLOOKUP(B180,input_settle_325103!L:R,7,FALSE),ROUNDDOWN(VLOOKUP(tables_settle_325103!C180,input_settle_325103!A:H,8,FALSE),0))</f>
        <v>0</v>
      </c>
      <c r="P180" s="48">
        <f ca="1">O180/SUM(O:O)</f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input_settle_325103!A$2</f>
        <v>325103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IFERROR(VLOOKUP(B181,input_settle_325103!L:R,7,FALSE),ROUNDDOWN(VLOOKUP(tables_settle_325103!C181,input_settle_325103!A:H,8,FALSE),0))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input_settle_325103!A$2</f>
        <v>325103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IFERROR(VLOOKUP(B182,input_settle_325103!L:R,7,FALSE),ROUNDDOWN(VLOOKUP(tables_settle_325103!C182,input_settle_325103!A:H,8,FALSE),0))</f>
        <v>0</v>
      </c>
      <c r="P182" s="48">
        <f ca="1">O182/SUM(O:O)</f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input_settle_325103!A$2</f>
        <v>325103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IFERROR(VLOOKUP(B183,input_settle_325103!L:R,7,FALSE),ROUNDDOWN(VLOOKUP(tables_settle_325103!C183,input_settle_325103!A:H,8,FALSE),0))</f>
        <v>0</v>
      </c>
      <c r="P183" s="48">
        <f ca="1">O183/SUM(O:O)</f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input_settle_325103!A$2</f>
        <v>325103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IFERROR(VLOOKUP(B184,input_settle_325103!L:R,7,FALSE),ROUNDDOWN(VLOOKUP(tables_settle_325103!C184,input_settle_325103!A:H,8,FALSE),0))</f>
        <v>0</v>
      </c>
      <c r="P184" s="48">
        <f ca="1">O184/SUM(O:O)</f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input_settle_325103!A$2</f>
        <v>325103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IFERROR(VLOOKUP(B185,input_settle_325103!L:R,7,FALSE),ROUNDDOWN(VLOOKUP(tables_settle_325103!C185,input_settle_325103!A:H,8,FALSE),0))</f>
        <v>0</v>
      </c>
      <c r="P185" s="48">
        <f ca="1">O185/SUM(O:O)</f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input_settle_325103!A$2</f>
        <v>325103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IFERROR(VLOOKUP(B186,input_settle_325103!L:R,7,FALSE),ROUNDDOWN(VLOOKUP(tables_settle_325103!C186,input_settle_325103!A:H,8,FALSE),0))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input_settle_325103!A$2</f>
        <v>325103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IFERROR(VLOOKUP(B187,input_settle_325103!L:R,7,FALSE),ROUNDDOWN(VLOOKUP(tables_settle_325103!C187,input_settle_325103!A:H,8,FALSE),0))</f>
        <v>0</v>
      </c>
      <c r="P187" s="48">
        <f ca="1">O187/SUM(O:O)</f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input_settle_325103!A$2</f>
        <v>325103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IFERROR(VLOOKUP(B188,input_settle_325103!L:R,7,FALSE),ROUNDDOWN(VLOOKUP(tables_settle_325103!C188,input_settle_325103!A:H,8,FALSE),0))</f>
        <v>2898</v>
      </c>
      <c r="P188" s="48">
        <f ca="1">O188/SUM(O:O)</f>
        <v>7.4307692307692311E-2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input_settle_325103!A$2</f>
        <v>325103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IFERROR(VLOOKUP(B189,input_settle_325103!L:R,7,FALSE),ROUNDDOWN(VLOOKUP(tables_settle_325103!C189,input_settle_325103!A:H,8,FALSE),0))</f>
        <v>0</v>
      </c>
      <c r="P189" s="48">
        <f ca="1">O189/SUM(O:O)</f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input_settle_325103!A$2</f>
        <v>325103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IFERROR(VLOOKUP(B190,input_settle_325103!L:R,7,FALSE),ROUNDDOWN(VLOOKUP(tables_settle_325103!C190,input_settle_325103!A:H,8,FALSE),0))</f>
        <v>0</v>
      </c>
      <c r="P190" s="48">
        <f ca="1">O190/SUM(O:O)</f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input_settle_325103!A$2</f>
        <v>325103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IFERROR(VLOOKUP(B191,input_settle_325103!L:R,7,FALSE),ROUNDDOWN(VLOOKUP(tables_settle_325103!C191,input_settle_325103!A:H,8,FALSE),0))</f>
        <v>0</v>
      </c>
      <c r="P191" s="48">
        <f ca="1">O191/SUM(O:O)</f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input_settle_325103!A$2</f>
        <v>325103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IFERROR(VLOOKUP(B192,input_settle_325103!L:R,7,FALSE),ROUNDDOWN(VLOOKUP(tables_settle_325103!C192,input_settle_325103!A:H,8,FALSE),0))</f>
        <v>0</v>
      </c>
      <c r="P192" s="48">
        <f ca="1">O192/SUM(O:O)</f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input_settle_325103!A$2</f>
        <v>325103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IFERROR(VLOOKUP(B193,input_settle_325103!L:R,7,FALSE),ROUNDDOWN(VLOOKUP(tables_settle_325103!C193,input_settle_325103!A:H,8,FALSE),0))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input_settle_325103!A$2</f>
        <v>325103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IFERROR(VLOOKUP(B194,input_settle_325103!L:R,7,FALSE),ROUNDDOWN(VLOOKUP(tables_settle_325103!C194,input_settle_325103!A:H,8,FALSE),0))</f>
        <v>0</v>
      </c>
      <c r="P194" s="48">
        <f ca="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input_settle_325103!A$2</f>
        <v>325103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IFERROR(VLOOKUP(B195,input_settle_325103!L:R,7,FALSE),ROUNDDOWN(VLOOKUP(tables_settle_325103!C195,input_settle_325103!A:H,8,FALSE),0))</f>
        <v>0</v>
      </c>
      <c r="P195" s="48">
        <f ca="1">O195/SUM(O:O)</f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input_settle_325103!A$2</f>
        <v>325103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IFERROR(VLOOKUP(B196,input_settle_325103!L:R,7,FALSE),ROUNDDOWN(VLOOKUP(tables_settle_325103!C196,input_settle_325103!A:H,8,FALSE),0))</f>
        <v>0</v>
      </c>
      <c r="P196" s="48">
        <f ca="1">O196/SUM(O:O)</f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input_settle_325103!A$2</f>
        <v>325103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IFERROR(VLOOKUP(B197,input_settle_325103!L:R,7,FALSE),ROUNDDOWN(VLOOKUP(tables_settle_325103!C197,input_settle_325103!A:H,8,FALSE),0))</f>
        <v>130</v>
      </c>
      <c r="P197" s="48">
        <f ca="1">O197/SUM(O:O)</f>
        <v>3.3333333333333335E-3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input_settle_325103!A$2</f>
        <v>325103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IFERROR(VLOOKUP(B198,input_settle_325103!L:R,7,FALSE),ROUNDDOWN(VLOOKUP(tables_settle_325103!C198,input_settle_325103!A:H,8,FALSE),0))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input_settle_325103!A$2</f>
        <v>325103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IFERROR(VLOOKUP(B199,input_settle_325103!L:R,7,FALSE),ROUNDDOWN(VLOOKUP(tables_settle_325103!C199,input_settle_325103!A:H,8,FALSE),0))</f>
        <v>0</v>
      </c>
      <c r="P199" s="48">
        <f ca="1">O199/SUM(O:O)</f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input_settle_325103!A$2</f>
        <v>325103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IFERROR(VLOOKUP(B200,input_settle_325103!L:R,7,FALSE),ROUNDDOWN(VLOOKUP(tables_settle_325103!C200,input_settle_325103!A:H,8,FALSE),0))</f>
        <v>0</v>
      </c>
      <c r="P200" s="48">
        <f ca="1">O200/SUM(O:O)</f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input_settle_325103!A$2</f>
        <v>325103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IFERROR(VLOOKUP(B201,input_settle_325103!L:R,7,FALSE),ROUNDDOWN(VLOOKUP(tables_settle_325103!C201,input_settle_325103!A:H,8,FALSE),0))</f>
        <v>0</v>
      </c>
      <c r="P201" s="48">
        <f ca="1">O201/SUM(O:O)</f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input_settle_325103!A$2</f>
        <v>325103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IFERROR(VLOOKUP(B202,input_settle_325103!L:R,7,FALSE),ROUNDDOWN(VLOOKUP(tables_settle_325103!C202,input_settle_325103!A:H,8,FALSE),0))</f>
        <v>0</v>
      </c>
      <c r="P202" s="48">
        <f ca="1">O202/SUM(O:O)</f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input_settle_325103!A$2</f>
        <v>325103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IFERROR(VLOOKUP(B203,input_settle_325103!L:R,7,FALSE),ROUNDDOWN(VLOOKUP(tables_settle_325103!C203,input_settle_325103!A:H,8,FALSE),0))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input_settle_325103!A$2</f>
        <v>325103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IFERROR(VLOOKUP(B204,input_settle_325103!L:R,7,FALSE),ROUNDDOWN(VLOOKUP(tables_settle_325103!C204,input_settle_325103!A:H,8,FALSE),0))</f>
        <v>0</v>
      </c>
      <c r="P204" s="48">
        <f ca="1">O204/SUM(O:O)</f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input_settle_325103!A$2</f>
        <v>325103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IFERROR(VLOOKUP(B205,input_settle_325103!L:R,7,FALSE),ROUNDDOWN(VLOOKUP(tables_settle_325103!C205,input_settle_325103!A:H,8,FALSE),0))</f>
        <v>0</v>
      </c>
      <c r="P205" s="48">
        <f ca="1">O205/SUM(O:O)</f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input_settle_325103!A$2</f>
        <v>325103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IFERROR(VLOOKUP(B206,input_settle_325103!L:R,7,FALSE),ROUNDDOWN(VLOOKUP(tables_settle_325103!C206,input_settle_325103!A:H,8,FALSE),0))</f>
        <v>0</v>
      </c>
      <c r="P206" s="48">
        <f ca="1">O206/SUM(O:O)</f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input_settle_325103!A$2</f>
        <v>325103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IFERROR(VLOOKUP(B207,input_settle_325103!L:R,7,FALSE),ROUNDDOWN(VLOOKUP(tables_settle_325103!C207,input_settle_325103!A:H,8,FALSE),0))</f>
        <v>130</v>
      </c>
      <c r="P207" s="48">
        <f ca="1">O207/SUM(O:O)</f>
        <v>3.3333333333333335E-3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input_settle_325103!A$2</f>
        <v>325103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IFERROR(VLOOKUP(B208,input_settle_325103!L:R,7,FALSE),ROUNDDOWN(VLOOKUP(tables_settle_325103!C208,input_settle_325103!A:H,8,FALSE),0))</f>
        <v>0</v>
      </c>
      <c r="P208" s="48">
        <f ca="1">O208/SUM(O:O)</f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input_settle_325103!A$2</f>
        <v>325103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IFERROR(VLOOKUP(B209,input_settle_325103!L:R,7,FALSE),ROUNDDOWN(VLOOKUP(tables_settle_325103!C209,input_settle_325103!A:H,8,FALSE),0))</f>
        <v>0</v>
      </c>
      <c r="P209" s="48">
        <f ca="1">O209/SUM(O:O)</f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input_settle_325103!A$2</f>
        <v>325103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IFERROR(VLOOKUP(B210,input_settle_325103!L:R,7,FALSE),ROUNDDOWN(VLOOKUP(tables_settle_325103!C210,input_settle_325103!A:H,8,FALSE),0))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input_settle_325103!A$2</f>
        <v>325103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IFERROR(VLOOKUP(B211,input_settle_325103!L:R,7,FALSE),ROUNDDOWN(VLOOKUP(tables_settle_325103!C211,input_settle_325103!A:H,8,FALSE),0))</f>
        <v>0</v>
      </c>
      <c r="P211" s="48">
        <f ca="1">O211/SUM(O:O)</f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input_settle_325103!A$2</f>
        <v>325103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IFERROR(VLOOKUP(B212,input_settle_325103!L:R,7,FALSE),ROUNDDOWN(VLOOKUP(tables_settle_325103!C212,input_settle_325103!A:H,8,FALSE),0))</f>
        <v>0</v>
      </c>
      <c r="P212" s="48">
        <f ca="1">O212/SUM(O:O)</f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input_settle_325103!A$2</f>
        <v>325103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IFERROR(VLOOKUP(B213,input_settle_325103!L:R,7,FALSE),ROUNDDOWN(VLOOKUP(tables_settle_325103!C213,input_settle_325103!A:H,8,FALSE),0))</f>
        <v>0</v>
      </c>
      <c r="P213" s="48">
        <f ca="1">O213/SUM(O:O)</f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input_settle_325103!A$2</f>
        <v>325103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IFERROR(VLOOKUP(B214,input_settle_325103!L:R,7,FALSE),ROUNDDOWN(VLOOKUP(tables_settle_325103!C214,input_settle_325103!A:H,8,FALSE),0))</f>
        <v>0</v>
      </c>
      <c r="P214" s="48">
        <f ca="1">O214/SUM(O:O)</f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input_settle_325103!A$2</f>
        <v>325103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>color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IFERROR(VLOOKUP(B215,input_settle_325103!L:R,7,FALSE),ROUNDDOWN(VLOOKUP(tables_settle_325103!C215,input_settle_325103!A:H,8,FALSE),0))</f>
        <v>0</v>
      </c>
      <c r="P215" s="48">
        <f ca="1">O215/SUM(O:O)</f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input_settle_325103!A$2</f>
        <v>325103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>color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IFERROR(VLOOKUP(B216,input_settle_325103!L:R,7,FALSE),ROUNDDOWN(VLOOKUP(tables_settle_325103!C216,input_settle_325103!A:H,8,FALSE),0))</f>
        <v>130</v>
      </c>
      <c r="P216" s="48">
        <f ca="1">O216/SUM(O:O)</f>
        <v>3.3333333333333335E-3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input_settle_325103!A$2</f>
        <v>325103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IFERROR(VLOOKUP(B217,input_settle_325103!L:R,7,FALSE),ROUNDDOWN(VLOOKUP(tables_settle_325103!C217,input_settle_325103!A:H,8,FALSE),0))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input_settle_325103!A$2</f>
        <v>325103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IFERROR(VLOOKUP(B218,input_settle_325103!L:R,7,FALSE),ROUNDDOWN(VLOOKUP(tables_settle_325103!C218,input_settle_325103!A:H,8,FALSE),0))</f>
        <v>0</v>
      </c>
      <c r="P218" s="48">
        <f ca="1">O218/SUM(O:O)</f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input_settle_325103!A$2</f>
        <v>325103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IFERROR(VLOOKUP(B219,input_settle_325103!L:R,7,FALSE),ROUNDDOWN(VLOOKUP(tables_settle_325103!C219,input_settle_325103!A:H,8,FALSE),0))</f>
        <v>0</v>
      </c>
      <c r="P219" s="48">
        <f ca="1">O219/SUM(O:O)</f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input_settle_325103!A$2</f>
        <v>325103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IFERROR(VLOOKUP(B220,input_settle_325103!L:R,7,FALSE),ROUNDDOWN(VLOOKUP(tables_settle_325103!C220,input_settle_325103!A:H,8,FALSE),0))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input_settle_325103!A$2</f>
        <v>325103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IFERROR(VLOOKUP(B221,input_settle_325103!L:R,7,FALSE),ROUNDDOWN(VLOOKUP(tables_settle_325103!C221,input_settle_325103!A:H,8,FALSE),0))</f>
        <v>0</v>
      </c>
      <c r="P221" s="48">
        <f ca="1">O221/SUM(O:O)</f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input_settle_325103!A$2</f>
        <v>325103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IFERROR(VLOOKUP(B222,input_settle_325103!L:R,7,FALSE),ROUNDDOWN(VLOOKUP(tables_settle_325103!C222,input_settle_325103!A:H,8,FALSE),0))</f>
        <v>0</v>
      </c>
      <c r="P222" s="48">
        <f ca="1">O222/SUM(O:O)</f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input_settle_325103!A$2</f>
        <v>325103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IFERROR(VLOOKUP(B223,input_settle_325103!L:R,7,FALSE),ROUNDDOWN(VLOOKUP(tables_settle_325103!C223,input_settle_325103!A:H,8,FALSE),0))</f>
        <v>0</v>
      </c>
      <c r="P223" s="48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input_settle_325103!A$2</f>
        <v>325103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IFERROR(VLOOKUP(B224,input_settle_325103!L:R,7,FALSE),ROUNDDOWN(VLOOKUP(tables_settle_325103!C224,input_settle_325103!A:H,8,FALSE),0))</f>
        <v>0</v>
      </c>
      <c r="P224" s="48">
        <f ca="1">O224/SUM(O:O)</f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input_settle_325103!A$2</f>
        <v>325103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>color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IFERROR(VLOOKUP(B225,input_settle_325103!L:R,7,FALSE),ROUNDDOWN(VLOOKUP(tables_settle_325103!C225,input_settle_325103!A:H,8,FALSE),0))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input_settle_325103!A$2</f>
        <v>325103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>color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IFERROR(VLOOKUP(B226,input_settle_325103!L:R,7,FALSE),ROUNDDOWN(VLOOKUP(tables_settle_325103!C226,input_settle_325103!A:H,8,FALSE),0))</f>
        <v>0</v>
      </c>
      <c r="P226" s="48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input_settle_325103!A$2</f>
        <v>325103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>color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IFERROR(VLOOKUP(B227,input_settle_325103!L:R,7,FALSE),ROUNDDOWN(VLOOKUP(tables_settle_325103!C227,input_settle_325103!A:H,8,FALSE),0))</f>
        <v>2898</v>
      </c>
      <c r="P227" s="48">
        <f ca="1">O227/SUM(O:O)</f>
        <v>7.4307692307692311E-2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input_settle_325103!A$2</f>
        <v>325103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IFERROR(VLOOKUP(B228,input_settle_325103!L:R,7,FALSE),ROUNDDOWN(VLOOKUP(tables_settle_325103!C228,input_settle_325103!A:H,8,FALSE),0))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input_settle_325103!A$2</f>
        <v>325103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IFERROR(VLOOKUP(B229,input_settle_325103!L:R,7,FALSE),ROUNDDOWN(VLOOKUP(tables_settle_325103!C229,input_settle_325103!A:H,8,FALSE),0))</f>
        <v>0</v>
      </c>
      <c r="P229" s="48">
        <f ca="1">O229/SUM(O:O)</f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input_settle_325103!A$2</f>
        <v>325103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IFERROR(VLOOKUP(B230,input_settle_325103!L:R,7,FALSE),ROUNDDOWN(VLOOKUP(tables_settle_325103!C230,input_settle_325103!A:H,8,FALSE),0))</f>
        <v>0</v>
      </c>
      <c r="P230" s="48">
        <f ca="1">O230/SUM(O:O)</f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input_settle_325103!A$2</f>
        <v>325103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IFERROR(VLOOKUP(B231,input_settle_325103!L:R,7,FALSE),ROUNDDOWN(VLOOKUP(tables_settle_325103!C231,input_settle_325103!A:H,8,FALSE),0))</f>
        <v>0</v>
      </c>
      <c r="P231" s="48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input_settle_325103!A$2</f>
        <v>325103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IFERROR(VLOOKUP(B232,input_settle_325103!L:R,7,FALSE),ROUNDDOWN(VLOOKUP(tables_settle_325103!C232,input_settle_325103!A:H,8,FALSE),0))</f>
        <v>0</v>
      </c>
      <c r="P232" s="48">
        <f ca="1">O232/SUM(O:O)</f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input_settle_325103!A$2</f>
        <v>325103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IFERROR(VLOOKUP(B233,input_settle_325103!L:R,7,FALSE),ROUNDDOWN(VLOOKUP(tables_settle_325103!C233,input_settle_325103!A:H,8,FALSE),0))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input_settle_325103!A$2</f>
        <v>325103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IFERROR(VLOOKUP(B234,input_settle_325103!L:R,7,FALSE),ROUNDDOWN(VLOOKUP(tables_settle_325103!C234,input_settle_325103!A:H,8,FALSE),0))</f>
        <v>0</v>
      </c>
      <c r="P234" s="48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input_settle_325103!A$2</f>
        <v>325103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IFERROR(VLOOKUP(B235,input_settle_325103!L:R,7,FALSE),ROUNDDOWN(VLOOKUP(tables_settle_325103!C235,input_settle_325103!A:H,8,FALSE),0))</f>
        <v>0</v>
      </c>
      <c r="P235" s="48">
        <f ca="1">O235/SUM(O:O)</f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input_settle_325103!A$2</f>
        <v>325103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>color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IFERROR(VLOOKUP(B236,input_settle_325103!L:R,7,FALSE),ROUNDDOWN(VLOOKUP(tables_settle_325103!C236,input_settle_325103!A:H,8,FALSE),0))</f>
        <v>0</v>
      </c>
      <c r="P236" s="48">
        <f ca="1">O236/SUM(O:O)</f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input_settle_325103!A$2</f>
        <v>325103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>color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IFERROR(VLOOKUP(B237,input_settle_325103!L:R,7,FALSE),ROUNDDOWN(VLOOKUP(tables_settle_325103!C237,input_settle_325103!A:H,8,FALSE),0))</f>
        <v>130</v>
      </c>
      <c r="P237" s="48">
        <f ca="1">O237/SUM(O:O)</f>
        <v>3.3333333333333335E-3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input_settle_325103!A$2</f>
        <v>325103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IFERROR(VLOOKUP(B238,input_settle_325103!L:R,7,FALSE),ROUNDDOWN(VLOOKUP(tables_settle_325103!C238,input_settle_325103!A:H,8,FALSE),0))</f>
        <v>0</v>
      </c>
      <c r="P238" s="48">
        <f ca="1">O238/SUM(O:O)</f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input_settle_325103!A$2</f>
        <v>325103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IFERROR(VLOOKUP(B239,input_settle_325103!L:R,7,FALSE),ROUNDDOWN(VLOOKUP(tables_settle_325103!C239,input_settle_325103!A:H,8,FALSE),0))</f>
        <v>0</v>
      </c>
      <c r="P239" s="48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input_settle_325103!A$2</f>
        <v>325103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IFERROR(VLOOKUP(B240,input_settle_325103!L:R,7,FALSE),ROUNDDOWN(VLOOKUP(tables_settle_325103!C240,input_settle_325103!A:H,8,FALSE),0))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input_settle_325103!A$2</f>
        <v>325103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IFERROR(VLOOKUP(B241,input_settle_325103!L:R,7,FALSE),ROUNDDOWN(VLOOKUP(tables_settle_325103!C241,input_settle_325103!A:H,8,FALSE),0))</f>
        <v>0</v>
      </c>
      <c r="P241" s="48">
        <f ca="1">O241/SUM(O:O)</f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input_settle_325103!A$2</f>
        <v>325103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IFERROR(VLOOKUP(B242,input_settle_325103!L:R,7,FALSE),ROUNDDOWN(VLOOKUP(tables_settle_325103!C242,input_settle_325103!A:H,8,FALSE),0))</f>
        <v>0</v>
      </c>
      <c r="P242" s="48">
        <f ca="1">O242/SUM(O:O)</f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input_settle_325103!A$2</f>
        <v>325103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IFERROR(VLOOKUP(B243,input_settle_325103!L:R,7,FALSE),ROUNDDOWN(VLOOKUP(tables_settle_325103!C243,input_settle_325103!A:H,8,FALSE),0))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input_settle_325103!A$2</f>
        <v>325103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IFERROR(VLOOKUP(B244,input_settle_325103!L:R,7,FALSE),ROUNDDOWN(VLOOKUP(tables_settle_325103!C244,input_settle_325103!A:H,8,FALSE),0))</f>
        <v>0</v>
      </c>
      <c r="P244" s="48">
        <f ca="1">O244/SUM(O:O)</f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input_settle_325103!A$2</f>
        <v>325103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IFERROR(VLOOKUP(B245,input_settle_325103!L:R,7,FALSE),ROUNDDOWN(VLOOKUP(tables_settle_325103!C245,input_settle_325103!A:H,8,FALSE),0))</f>
        <v>0</v>
      </c>
      <c r="P245" s="48">
        <f ca="1">O245/SUM(O:O)</f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input_settle_325103!A$2</f>
        <v>325103</v>
      </c>
      <c r="B246" s="62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>color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IFERROR(VLOOKUP(B246,input_settle_325103!L:R,7,FALSE),ROUNDDOWN(VLOOKUP(tables_settle_325103!C246,input_settle_325103!A:H,8,FALSE),0))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input_settle_325103!A$2</f>
        <v>325103</v>
      </c>
      <c r="B247" s="62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>color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IFERROR(VLOOKUP(B247,input_settle_325103!L:R,7,FALSE),ROUNDDOWN(VLOOKUP(tables_settle_325103!C247,input_settle_325103!A:H,8,FALSE),0))</f>
        <v>0</v>
      </c>
      <c r="P247" s="48">
        <f ca="1">O247/SUM(O:O)</f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input_settle_325103!A$2</f>
        <v>325103</v>
      </c>
      <c r="B248" s="62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>color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IFERROR(VLOOKUP(B248,input_settle_325103!L:R,7,FALSE),ROUNDDOWN(VLOOKUP(tables_settle_325103!C248,input_settle_325103!A:H,8,FALSE),0))</f>
        <v>2898</v>
      </c>
      <c r="P248" s="48">
        <f ca="1">O248/SUM(O:O)</f>
        <v>7.4307692307692311E-2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input_settle_325103!A$2</f>
        <v>325103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IFERROR(VLOOKUP(B249,input_settle_325103!L:R,7,FALSE),ROUNDDOWN(VLOOKUP(tables_settle_325103!C249,input_settle_325103!A:H,8,FALSE),0))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input_settle_325103!A$2</f>
        <v>325103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IFERROR(VLOOKUP(B250,input_settle_325103!L:R,7,FALSE),ROUNDDOWN(VLOOKUP(tables_settle_325103!C250,input_settle_325103!A:H,8,FALSE),0))</f>
        <v>0</v>
      </c>
      <c r="P250" s="48">
        <f ca="1">O250/SUM(O:O)</f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input_settle_325103!A$2</f>
        <v>325103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IFERROR(VLOOKUP(B251,input_settle_325103!L:R,7,FALSE),ROUNDDOWN(VLOOKUP(tables_settle_325103!C251,input_settle_325103!A:H,8,FALSE),0))</f>
        <v>0</v>
      </c>
      <c r="P251" s="48">
        <f ca="1">O251/SUM(O:O)</f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input_settle_325103!A$2</f>
        <v>325103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IFERROR(VLOOKUP(B252,input_settle_325103!L:R,7,FALSE),ROUNDDOWN(VLOOKUP(tables_settle_325103!C252,input_settle_325103!A:H,8,FALSE),0))</f>
        <v>0</v>
      </c>
      <c r="P252" s="48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input_settle_325103!A$2</f>
        <v>325103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IFERROR(VLOOKUP(B253,input_settle_325103!L:R,7,FALSE),ROUNDDOWN(VLOOKUP(tables_settle_325103!C253,input_settle_325103!A:H,8,FALSE),0))</f>
        <v>0</v>
      </c>
      <c r="P253" s="48">
        <f ca="1">O253/SUM(O:O)</f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input_settle_325103!A$2</f>
        <v>325103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IFERROR(VLOOKUP(B254,input_settle_325103!L:R,7,FALSE),ROUNDDOWN(VLOOKUP(tables_settle_325103!C254,input_settle_325103!A:H,8,FALSE),0))</f>
        <v>0</v>
      </c>
      <c r="P254" s="48">
        <f ca="1">O254/SUM(O:O)</f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input_settle_325103!A$2</f>
        <v>325103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IFERROR(VLOOKUP(B255,input_settle_325103!L:R,7,FALSE),ROUNDDOWN(VLOOKUP(tables_settle_325103!C255,input_settle_325103!A:H,8,FALSE),0))</f>
        <v>0</v>
      </c>
      <c r="P255" s="48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input_settle_325103!A$2</f>
        <v>325103</v>
      </c>
      <c r="B256" s="62">
        <v>770</v>
      </c>
      <c r="C256" s="7" t="str">
        <f t="shared" si="9"/>
        <v>PremiumSS4color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1"/>
        <v>color</v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IFERROR(VLOOKUP(B256,input_settle_325103!L:R,7,FALSE),ROUNDDOWN(VLOOKUP(tables_settle_325103!C256,input_settle_325103!A:H,8,FALSE),0))</f>
        <v>0</v>
      </c>
      <c r="P256" s="48">
        <f ca="1">O256/SUM(O:O)</f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input_settle_325103!A$2</f>
        <v>325103</v>
      </c>
      <c r="B257" s="62">
        <v>771</v>
      </c>
      <c r="C257" s="7" t="str">
        <f t="shared" si="9"/>
        <v>PremiumSS5color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1"/>
        <v>color</v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IFERROR(VLOOKUP(B257,input_settle_325103!L:R,7,FALSE),ROUNDDOWN(VLOOKUP(tables_settle_325103!C257,input_settle_325103!A:H,8,FALSE),0))</f>
        <v>130</v>
      </c>
      <c r="P257" s="48">
        <f ca="1">O257/SUM(O:O)</f>
        <v>3.3333333333333335E-3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input_settle_325103!A$2</f>
        <v>325103</v>
      </c>
      <c r="B258" s="62">
        <v>772</v>
      </c>
      <c r="C258" s="7" t="str">
        <f t="shared" ref="C258:C27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1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IFERROR(VLOOKUP(B258,input_settle_325103!L:R,7,FALSE),ROUNDDOWN(VLOOKUP(tables_settle_325103!C258,input_settle_325103!A:H,8,FALSE),0))</f>
        <v>0</v>
      </c>
      <c r="P258" s="48">
        <f ca="1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input_settle_325103!A$2</f>
        <v>325103</v>
      </c>
      <c r="B259" s="62">
        <v>773</v>
      </c>
      <c r="C259" s="7" t="str">
        <f t="shared" si="12"/>
        <v>PremiumSS5</v>
      </c>
      <c r="D259" s="7" t="str">
        <f t="shared" ref="D259:D27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4">IF(K259="red","color","")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IFERROR(VLOOKUP(B259,input_settle_325103!L:R,7,FALSE),ROUNDDOWN(VLOOKUP(tables_settle_325103!C259,input_settle_325103!A:H,8,FALSE),0))</f>
        <v>0</v>
      </c>
      <c r="P259" s="48">
        <f ca="1">O259/SUM(O:O)</f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input_settle_325103!A$2</f>
        <v>325103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IFERROR(VLOOKUP(B260,input_settle_325103!L:R,7,FALSE),ROUNDDOWN(VLOOKUP(tables_settle_325103!C260,input_settle_325103!A:H,8,FALSE),0))</f>
        <v>0</v>
      </c>
      <c r="P260" s="48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input_settle_325103!A$2</f>
        <v>325103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IFERROR(VLOOKUP(B261,input_settle_325103!L:R,7,FALSE),ROUNDDOWN(VLOOKUP(tables_settle_325103!C261,input_settle_325103!A:H,8,FALSE),0))</f>
        <v>0</v>
      </c>
      <c r="P261" s="48">
        <f ca="1">O261/SUM(O:O)</f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input_settle_325103!A$2</f>
        <v>325103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IFERROR(VLOOKUP(B262,input_settle_325103!L:R,7,FALSE),ROUNDDOWN(VLOOKUP(tables_settle_325103!C262,input_settle_325103!A:H,8,FALSE),0))</f>
        <v>0</v>
      </c>
      <c r="P262" s="48">
        <f ca="1">O262/SUM(O:O)</f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input_settle_325103!A$2</f>
        <v>325103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IFERROR(VLOOKUP(B263,input_settle_325103!L:R,7,FALSE),ROUNDDOWN(VLOOKUP(tables_settle_325103!C263,input_settle_325103!A:H,8,FALSE),0))</f>
        <v>0</v>
      </c>
      <c r="P263" s="48">
        <f ca="1">O263/SUM(O:O)</f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input_settle_325103!A$2</f>
        <v>325103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IFERROR(VLOOKUP(B264,input_settle_325103!L:R,7,FALSE),ROUNDDOWN(VLOOKUP(tables_settle_325103!C264,input_settle_325103!A:H,8,FALSE),0))</f>
        <v>0</v>
      </c>
      <c r="P264" s="48">
        <f ca="1">O264/SUM(O:O)</f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input_settle_325103!A$2</f>
        <v>325103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IFERROR(VLOOKUP(B265,input_settle_325103!L:R,7,FALSE),ROUNDDOWN(VLOOKUP(tables_settle_325103!C265,input_settle_325103!A:H,8,FALSE),0))</f>
        <v>0</v>
      </c>
      <c r="P265" s="48">
        <f ca="1">O265/SUM(O:O)</f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input_settle_325103!A$2</f>
        <v>325103</v>
      </c>
      <c r="B266" s="62">
        <v>728</v>
      </c>
      <c r="C266" s="7" t="str">
        <f t="shared" si="12"/>
        <v>Premium4R3lesscolor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4"/>
        <v>color</v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IFERROR(VLOOKUP(B266,input_settle_325103!L:R,7,FALSE),ROUNDDOWN(VLOOKUP(tables_settle_325103!C266,input_settle_325103!A:H,8,FALSE),0))</f>
        <v>0</v>
      </c>
      <c r="P266" s="48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input_settle_325103!A$2</f>
        <v>325103</v>
      </c>
      <c r="B267" s="62">
        <v>729</v>
      </c>
      <c r="C267" s="7" t="str">
        <f t="shared" si="12"/>
        <v>Premium5R3lesscolor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4"/>
        <v>color</v>
      </c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IFERROR(VLOOKUP(B267,input_settle_325103!L:R,7,FALSE),ROUNDDOWN(VLOOKUP(tables_settle_325103!C267,input_settle_325103!A:H,8,FALSE),0))</f>
        <v>2898</v>
      </c>
      <c r="P267" s="48">
        <f ca="1">O267/SUM(O:O)</f>
        <v>7.4307692307692311E-2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input_settle_325103!A$2</f>
        <v>325103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IFERROR(VLOOKUP(B268,input_settle_325103!L:R,7,FALSE),ROUNDDOWN(VLOOKUP(tables_settle_325103!C268,input_settle_325103!A:H,8,FALSE),0))</f>
        <v>0</v>
      </c>
      <c r="P268" s="48">
        <f ca="1">O268/SUM(O:O)</f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input_settle_325103!A$2</f>
        <v>325103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IFERROR(VLOOKUP(B269,input_settle_325103!L:R,7,FALSE),ROUNDDOWN(VLOOKUP(tables_settle_325103!C269,input_settle_325103!A:H,8,FALSE),0))</f>
        <v>0</v>
      </c>
      <c r="P269" s="48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input_settle_325103!A$2</f>
        <v>325103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IFERROR(VLOOKUP(B270,input_settle_325103!L:R,7,FALSE),ROUNDDOWN(VLOOKUP(tables_settle_325103!C270,input_settle_325103!A:H,8,FALSE),0))</f>
        <v>0</v>
      </c>
      <c r="P270" s="48">
        <f ca="1">O270/SUM(O:O)</f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input_settle_325103!A$2</f>
        <v>325103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IFERROR(VLOOKUP(B271,input_settle_325103!L:R,7,FALSE),ROUNDDOWN(VLOOKUP(tables_settle_325103!C271,input_settle_325103!A:H,8,FALSE),0))</f>
        <v>0</v>
      </c>
      <c r="P271" s="48">
        <f ca="1">O271/SUM(O:O)</f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input_settle_325103!A$2</f>
        <v>325103</v>
      </c>
      <c r="B272" s="62">
        <v>786</v>
      </c>
      <c r="C272" s="7" t="str">
        <f t="shared" si="12"/>
        <v>PremiumSSS5</v>
      </c>
      <c r="D272" s="7" t="str">
        <f t="shared" si="13"/>
        <v>PremiumSSS</v>
      </c>
      <c r="E272" s="7"/>
      <c r="F272" s="7" t="str">
        <f>IF(COUNTIF('R6開放'!A:A,B272)&gt;0,"R6release","")</f>
        <v/>
      </c>
      <c r="G272" s="7"/>
      <c r="H272" s="7" t="str">
        <f>VLOOKUP(B272,[1]characters!$A:$C,3,FALSE)</f>
        <v>ヘイウェイ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attack</v>
      </c>
      <c r="M272" s="7" t="str">
        <f>VLOOKUP(B272,[1]characters!$A:$M,13,FALSE)</f>
        <v>dragon</v>
      </c>
      <c r="N272" s="7" t="str">
        <f>VLOOKUP(B272,[1]characters!$A:$G,7,FALSE)</f>
        <v>男性</v>
      </c>
      <c r="O272" s="47">
        <f ca="1">IFERROR(VLOOKUP(B272,input_settle_325103!L:R,7,FALSE),ROUNDDOWN(VLOOKUP(tables_settle_325103!C272,input_settle_325103!A:H,8,FALSE),0))</f>
        <v>156</v>
      </c>
      <c r="P272" s="48">
        <f ca="1">O272/SUM(O:O)</f>
        <v>4.0000000000000001E-3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</sheetData>
  <autoFilter ref="A1:V27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R61"/>
  <sheetViews>
    <sheetView workbookViewId="0">
      <selection activeCell="A49" sqref="A4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325104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4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VLOOKUP(L3,tables_325104!B:C,2,FALSE)</f>
        <v>#N/A</v>
      </c>
      <c r="R3" s="63">
        <f t="shared" ref="R3:R14" si="0">N3*A$49</f>
        <v>75000</v>
      </c>
    </row>
    <row r="4" spans="1:18" x14ac:dyDescent="0.15">
      <c r="A4" s="36" t="s">
        <v>55</v>
      </c>
      <c r="B4" s="36"/>
      <c r="D4" t="s">
        <v>208</v>
      </c>
      <c r="E4" t="s">
        <v>209</v>
      </c>
      <c r="F4" t="s">
        <v>215</v>
      </c>
      <c r="G4" t="s">
        <v>216</v>
      </c>
      <c r="L4" s="6"/>
      <c r="M4" s="39" t="e">
        <f>VLOOKUP(L4,[1]characters!$A:$C,3,FALSE)</f>
        <v>#N/A</v>
      </c>
      <c r="N4" s="64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VLOOKUP(L4,tables_325104!B:C,2,FALSE)</f>
        <v>#N/A</v>
      </c>
      <c r="R4" s="63">
        <f t="shared" si="0"/>
        <v>150000</v>
      </c>
    </row>
    <row r="5" spans="1:18" x14ac:dyDescent="0.15">
      <c r="A5" s="34" t="s">
        <v>71</v>
      </c>
      <c r="B5" s="35">
        <f>1-B6-B7</f>
        <v>0</v>
      </c>
      <c r="D5" t="s">
        <v>233</v>
      </c>
      <c r="E5">
        <f>E26+E28+E29</f>
        <v>25</v>
      </c>
      <c r="F5" s="56">
        <f>B11*0.4</f>
        <v>1.2E-2</v>
      </c>
      <c r="G5" s="73">
        <f>F5/E5</f>
        <v>4.8000000000000001E-4</v>
      </c>
      <c r="L5" s="6"/>
      <c r="M5" s="39" t="e">
        <f>VLOOKUP(L5,[1]characters!$A:$C,3,FALSE)</f>
        <v>#N/A</v>
      </c>
      <c r="N5" s="64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VLOOKUP(L5,tables_325104!B:C,2,FALSE)</f>
        <v>#N/A</v>
      </c>
      <c r="R5" s="63">
        <f t="shared" si="0"/>
        <v>150000</v>
      </c>
    </row>
    <row r="6" spans="1:18" x14ac:dyDescent="0.15">
      <c r="A6" s="34" t="s">
        <v>72</v>
      </c>
      <c r="B6" s="35">
        <v>0.95</v>
      </c>
      <c r="D6" t="s">
        <v>230</v>
      </c>
      <c r="E6">
        <f>E39+E41+E42</f>
        <v>9</v>
      </c>
      <c r="F6" s="56">
        <f>B11*0.6</f>
        <v>1.7999999999999999E-2</v>
      </c>
      <c r="G6" s="73">
        <f>F6/E6</f>
        <v>2E-3</v>
      </c>
      <c r="L6" s="34"/>
      <c r="M6" s="39" t="e">
        <f>VLOOKUP(L6,[1]characters!$A:$C,3,FALSE)</f>
        <v>#N/A</v>
      </c>
      <c r="N6" s="64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VLOOKUP(L6,tables_325104!B:C,2,FALSE)</f>
        <v>#N/A</v>
      </c>
      <c r="R6" s="63">
        <f t="shared" si="0"/>
        <v>75000</v>
      </c>
    </row>
    <row r="7" spans="1:18" x14ac:dyDescent="0.15">
      <c r="A7" s="34" t="s">
        <v>73</v>
      </c>
      <c r="B7" s="35">
        <v>0.05</v>
      </c>
      <c r="D7" t="s">
        <v>231</v>
      </c>
      <c r="E7">
        <f>E18+E21+E23</f>
        <v>56</v>
      </c>
      <c r="F7" s="76">
        <f>B10*0.4</f>
        <v>0.38480000000000003</v>
      </c>
      <c r="G7" s="73">
        <f t="shared" ref="G7:G8" si="1">F7/E7</f>
        <v>6.8714285714285717E-3</v>
      </c>
      <c r="L7" s="34"/>
      <c r="M7" s="39" t="e">
        <f>VLOOKUP(L7,[1]characters!$A:$C,3,FALSE)</f>
        <v>#N/A</v>
      </c>
      <c r="N7" s="64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VLOOKUP(L7,tables_325104!B:C,2,FALSE)</f>
        <v>#N/A</v>
      </c>
      <c r="R7" s="63">
        <f t="shared" si="0"/>
        <v>150000</v>
      </c>
    </row>
    <row r="8" spans="1:18" x14ac:dyDescent="0.15">
      <c r="D8" t="s">
        <v>232</v>
      </c>
      <c r="E8">
        <f>E31+E34+E36</f>
        <v>18</v>
      </c>
      <c r="F8" s="75">
        <f>B10*0.6</f>
        <v>0.57719999999999994</v>
      </c>
      <c r="G8" s="73">
        <f t="shared" si="1"/>
        <v>3.206666666666666E-2</v>
      </c>
      <c r="L8" s="34"/>
      <c r="M8" s="39" t="e">
        <f>VLOOKUP(L8,[1]characters!$A:$C,3,FALSE)</f>
        <v>#N/A</v>
      </c>
      <c r="N8" s="64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VLOOKUP(L8,tables_325104!B:C,2,FALSE)</f>
        <v>#N/A</v>
      </c>
      <c r="R8" s="63">
        <f t="shared" si="0"/>
        <v>150000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4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VLOOKUP(L9,tables_325104!B:C,2,FALSE)</f>
        <v>#N/A</v>
      </c>
      <c r="R9" s="63">
        <f t="shared" si="0"/>
        <v>75000</v>
      </c>
    </row>
    <row r="10" spans="1:18" x14ac:dyDescent="0.15">
      <c r="A10" s="34" t="s">
        <v>100</v>
      </c>
      <c r="B10" s="83">
        <f>1-B11-B12</f>
        <v>0.96199999999999997</v>
      </c>
      <c r="L10" s="34"/>
      <c r="M10" s="39" t="e">
        <f>VLOOKUP(L10,[1]characters!$A:$C,3,FALSE)</f>
        <v>#N/A</v>
      </c>
      <c r="N10" s="64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VLOOKUP(L10,tables_325104!B:C,2,FALSE)</f>
        <v>#N/A</v>
      </c>
      <c r="R10" s="63">
        <f t="shared" si="0"/>
        <v>150000</v>
      </c>
    </row>
    <row r="11" spans="1:18" x14ac:dyDescent="0.15">
      <c r="A11" s="34" t="s">
        <v>58</v>
      </c>
      <c r="B11" s="83">
        <v>0.03</v>
      </c>
      <c r="L11" s="34"/>
      <c r="M11" s="39" t="e">
        <f>VLOOKUP(L11,[1]characters!$A:$C,3,FALSE)</f>
        <v>#N/A</v>
      </c>
      <c r="N11" s="64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VLOOKUP(L11,tables_325104!B:C,2,FALSE)</f>
        <v>#N/A</v>
      </c>
      <c r="R11" s="63">
        <f t="shared" si="0"/>
        <v>150000</v>
      </c>
    </row>
    <row r="12" spans="1:18" x14ac:dyDescent="0.15">
      <c r="A12" s="34" t="s">
        <v>57</v>
      </c>
      <c r="B12" s="83">
        <v>8.0000000000000002E-3</v>
      </c>
      <c r="L12" s="34"/>
      <c r="M12" s="39" t="e">
        <f>VLOOKUP(L12,[1]characters!$A:$C,3,FALSE)</f>
        <v>#N/A</v>
      </c>
      <c r="N12" s="64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VLOOKUP(L12,tables_325104!B:C,2,FALSE)</f>
        <v>#N/A</v>
      </c>
      <c r="R12" s="63">
        <f t="shared" si="0"/>
        <v>75000</v>
      </c>
    </row>
    <row r="13" spans="1:18" x14ac:dyDescent="0.15">
      <c r="L13" s="34"/>
      <c r="M13" s="39" t="e">
        <f>VLOOKUP(L13,[1]characters!$A:$C,3,FALSE)</f>
        <v>#N/A</v>
      </c>
      <c r="N13" s="64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VLOOKUP(L13,tables_325104!B:C,2,FALSE)</f>
        <v>#N/A</v>
      </c>
      <c r="R13" s="63">
        <f t="shared" si="0"/>
        <v>150000</v>
      </c>
    </row>
    <row r="14" spans="1:18" x14ac:dyDescent="0.15">
      <c r="L14" s="34"/>
      <c r="M14" s="39" t="e">
        <f>VLOOKUP(L14,[1]characters!$A:$C,3,FALSE)</f>
        <v>#N/A</v>
      </c>
      <c r="N14" s="64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VLOOKUP(L14,tables_325104!B:C,2,FALSE)</f>
        <v>#N/A</v>
      </c>
      <c r="R14" s="63">
        <f t="shared" si="0"/>
        <v>150000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236</v>
      </c>
      <c r="L16" s="58"/>
      <c r="M16" s="58"/>
      <c r="N16" s="58"/>
      <c r="O16" s="58"/>
      <c r="P16" s="58"/>
      <c r="Q16" s="58"/>
      <c r="R16" s="59"/>
    </row>
    <row r="17" spans="1:18" x14ac:dyDescent="0.15">
      <c r="A17" s="34" t="s">
        <v>198</v>
      </c>
      <c r="B17" s="78">
        <f>B$5*0.4-B19-B24</f>
        <v>0</v>
      </c>
      <c r="C17" s="50">
        <f t="shared" ref="C17:C44" si="2">SUMIF(Q:Q,A17,N:N)</f>
        <v>0</v>
      </c>
      <c r="D17" s="72">
        <f t="shared" ref="D17:D45" si="3">B17-C17</f>
        <v>0</v>
      </c>
      <c r="E17">
        <f>COUNTIF(tables_325104!C:C,input_325104!A17)-COUNTIF(Q:Q,A17)</f>
        <v>15</v>
      </c>
      <c r="F17" s="45">
        <f t="shared" ref="F17:F40" si="4">IFERROR(D17/E17,0)</f>
        <v>0</v>
      </c>
      <c r="G17">
        <f t="shared" ref="G17:G44" si="5">A$49*D17</f>
        <v>0</v>
      </c>
      <c r="H17">
        <f t="shared" ref="H17:H44" si="6">IFERROR(ROUND(G17/E17,5),0)</f>
        <v>0</v>
      </c>
      <c r="I17">
        <f t="shared" ref="I17:I44" si="7">MOD(H17,1)</f>
        <v>0</v>
      </c>
      <c r="J17">
        <f t="shared" ref="J17:J44" si="8">IFERROR(1/I17,1)</f>
        <v>1</v>
      </c>
      <c r="K17" s="82">
        <f ca="1">SUMIF(tables_325104!C:C,input_325104!A17,tables_325104!P:P)</f>
        <v>0</v>
      </c>
      <c r="L17" s="58"/>
      <c r="M17" s="58"/>
      <c r="N17" s="58"/>
      <c r="O17" s="58"/>
      <c r="P17" s="58"/>
      <c r="Q17" s="58"/>
      <c r="R17" s="71"/>
    </row>
    <row r="18" spans="1:18" x14ac:dyDescent="0.15">
      <c r="A18" s="34" t="s">
        <v>199</v>
      </c>
      <c r="B18" s="44">
        <f>G7*COUNTIF(tables_325104!C:C,input_325104!A18)-B17</f>
        <v>0.10307142857142858</v>
      </c>
      <c r="C18" s="50">
        <f t="shared" si="2"/>
        <v>0</v>
      </c>
      <c r="D18" s="72">
        <f t="shared" si="3"/>
        <v>0.10307142857142858</v>
      </c>
      <c r="E18">
        <f>COUNTIF(tables_325104!C:C,input_325104!A18)-COUNTIF(Q:Q,A18)</f>
        <v>15</v>
      </c>
      <c r="F18" s="45">
        <f t="shared" si="4"/>
        <v>6.8714285714285717E-3</v>
      </c>
      <c r="G18">
        <f t="shared" si="5"/>
        <v>1546071.4285714286</v>
      </c>
      <c r="H18">
        <f t="shared" si="6"/>
        <v>103071.42857</v>
      </c>
      <c r="I18">
        <f t="shared" si="7"/>
        <v>0.42857000000367407</v>
      </c>
      <c r="J18">
        <f t="shared" si="8"/>
        <v>2.3333411111170337</v>
      </c>
      <c r="K18" s="82">
        <f ca="1">SUMIF(tables_325104!C:C,input_325104!A18,tables_325104!P:P)</f>
        <v>0.10307143977147633</v>
      </c>
      <c r="L18" s="58"/>
      <c r="M18" s="58"/>
      <c r="N18" s="58"/>
      <c r="O18" s="58"/>
      <c r="P18" s="58"/>
      <c r="Q18" s="58"/>
      <c r="R18" s="71"/>
    </row>
    <row r="19" spans="1:18" x14ac:dyDescent="0.15">
      <c r="A19" s="34" t="s">
        <v>101</v>
      </c>
      <c r="B19" s="44">
        <f>G$7*COUNTIF(tables_325104!C:C,input_325104!A19)*B5</f>
        <v>0</v>
      </c>
      <c r="C19" s="50">
        <f t="shared" si="2"/>
        <v>0</v>
      </c>
      <c r="D19" s="72">
        <f t="shared" si="3"/>
        <v>0</v>
      </c>
      <c r="E19">
        <f>COUNTIF(tables_325104!C:C,input_325104!A19)-COUNTIF(Q:Q,A19)</f>
        <v>40</v>
      </c>
      <c r="F19" s="45">
        <f t="shared" si="4"/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K19" s="82">
        <f ca="1">SUMIF(tables_325104!C:C,input_325104!A19,tables_325104!P:P)</f>
        <v>0</v>
      </c>
      <c r="L19" s="58"/>
      <c r="M19" s="58"/>
      <c r="N19" s="60"/>
      <c r="O19" s="58"/>
      <c r="P19" s="58"/>
      <c r="Q19" s="58"/>
      <c r="R19" s="61"/>
    </row>
    <row r="20" spans="1:18" x14ac:dyDescent="0.15">
      <c r="A20" s="34" t="s">
        <v>102</v>
      </c>
      <c r="B20" s="44">
        <f>G$7*COUNTIF(tables_325104!C:C,input_325104!A20)*B6</f>
        <v>0.26111428571428569</v>
      </c>
      <c r="C20" s="50">
        <f t="shared" si="2"/>
        <v>0</v>
      </c>
      <c r="D20" s="72">
        <f t="shared" si="3"/>
        <v>0.26111428571428569</v>
      </c>
      <c r="E20">
        <f>COUNTIF(tables_325104!C:C,input_325104!A20)-COUNTIF(Q:Q,A20)</f>
        <v>40</v>
      </c>
      <c r="F20" s="45">
        <f t="shared" si="4"/>
        <v>6.5278571428571425E-3</v>
      </c>
      <c r="G20">
        <f t="shared" si="5"/>
        <v>3916714.2857142854</v>
      </c>
      <c r="H20">
        <f t="shared" si="6"/>
        <v>97917.857139999993</v>
      </c>
      <c r="I20">
        <f t="shared" si="7"/>
        <v>0.85713999999279622</v>
      </c>
      <c r="J20">
        <f t="shared" si="8"/>
        <v>1.1666705555783237</v>
      </c>
      <c r="K20" s="82">
        <f ca="1">SUMIF(tables_325104!C:C,input_325104!A20,tables_325104!P:P)</f>
        <v>0.26111311408262033</v>
      </c>
      <c r="L20" s="58"/>
      <c r="M20" s="58"/>
      <c r="N20" s="60"/>
      <c r="O20" s="58"/>
      <c r="P20" s="58"/>
      <c r="Q20" s="58"/>
      <c r="R20" s="61"/>
    </row>
    <row r="21" spans="1:18" x14ac:dyDescent="0.15">
      <c r="A21" s="34" t="s">
        <v>103</v>
      </c>
      <c r="B21" s="44">
        <f>G$7*COUNTIF(tables_325104!C:C,input_325104!A21)*B7</f>
        <v>1.3742857142857143E-2</v>
      </c>
      <c r="C21" s="50">
        <f t="shared" si="2"/>
        <v>0</v>
      </c>
      <c r="D21" s="72">
        <f t="shared" si="3"/>
        <v>1.3742857142857143E-2</v>
      </c>
      <c r="E21">
        <f>COUNTIF(tables_325104!C:C,input_325104!A21)-COUNTIF(Q:Q,A21)</f>
        <v>40</v>
      </c>
      <c r="F21" s="45">
        <f t="shared" si="4"/>
        <v>3.435714285714286E-4</v>
      </c>
      <c r="G21">
        <f t="shared" si="5"/>
        <v>206142.85714285716</v>
      </c>
      <c r="H21">
        <f t="shared" si="6"/>
        <v>5153.57143</v>
      </c>
      <c r="I21">
        <f t="shared" si="7"/>
        <v>0.57142999999996391</v>
      </c>
      <c r="J21">
        <f t="shared" si="8"/>
        <v>1.749995625011048</v>
      </c>
      <c r="K21" s="82">
        <f ca="1">SUMIF(tables_325104!C:C,input_325104!A21,tables_325104!P:P)</f>
        <v>1.3741391963272372E-2</v>
      </c>
      <c r="L21" s="58"/>
      <c r="M21" s="58"/>
      <c r="N21" s="60"/>
      <c r="O21" s="58"/>
      <c r="P21" s="58"/>
      <c r="Q21" s="58"/>
      <c r="R21" s="61"/>
    </row>
    <row r="22" spans="1:18" x14ac:dyDescent="0.15">
      <c r="A22" s="34" t="s">
        <v>204</v>
      </c>
      <c r="B22" s="79">
        <f>G7*COUNTIF(tables_325104!C:C,input_325104!A22)-B23</f>
        <v>2.1262857142857108E-3</v>
      </c>
      <c r="C22" s="50">
        <f t="shared" si="2"/>
        <v>0</v>
      </c>
      <c r="D22" s="72">
        <f t="shared" si="3"/>
        <v>2.1262857142857108E-3</v>
      </c>
      <c r="E22">
        <f>COUNTIF(tables_325104!C:C,input_325104!A22)-COUNTIF(Q:Q,A22)</f>
        <v>1</v>
      </c>
      <c r="F22" s="45">
        <f t="shared" si="4"/>
        <v>2.1262857142857108E-3</v>
      </c>
      <c r="G22">
        <f t="shared" si="5"/>
        <v>31894.285714285663</v>
      </c>
      <c r="H22">
        <f t="shared" si="6"/>
        <v>31894.28571</v>
      </c>
      <c r="I22">
        <f t="shared" si="7"/>
        <v>0.28571000000010827</v>
      </c>
      <c r="J22">
        <f t="shared" si="8"/>
        <v>3.5000525007861856</v>
      </c>
      <c r="K22" s="82">
        <f ca="1">SUMIF(tables_325104!C:C,input_325104!A22,tables_325104!P:P)</f>
        <v>2.1262757387764853E-3</v>
      </c>
      <c r="L22" s="58"/>
      <c r="M22" s="58"/>
      <c r="N22" s="60"/>
      <c r="O22" s="58"/>
      <c r="P22" s="58"/>
      <c r="Q22" s="58"/>
      <c r="R22" s="61"/>
    </row>
    <row r="23" spans="1:18" x14ac:dyDescent="0.15">
      <c r="A23" s="34" t="s">
        <v>205</v>
      </c>
      <c r="B23" s="80">
        <f>B7*0.4-B26-B28-B29-B21</f>
        <v>4.745142857142861E-3</v>
      </c>
      <c r="C23" s="50">
        <f t="shared" si="2"/>
        <v>0</v>
      </c>
      <c r="D23" s="72">
        <f t="shared" si="3"/>
        <v>4.745142857142861E-3</v>
      </c>
      <c r="E23">
        <f>COUNTIF(tables_325104!C:C,input_325104!A23)-COUNTIF(Q:Q,A23)</f>
        <v>1</v>
      </c>
      <c r="F23" s="45">
        <f t="shared" si="4"/>
        <v>4.745142857142861E-3</v>
      </c>
      <c r="G23">
        <f t="shared" si="5"/>
        <v>71177.142857142913</v>
      </c>
      <c r="H23">
        <f t="shared" si="6"/>
        <v>71177.142860000007</v>
      </c>
      <c r="I23">
        <f t="shared" si="7"/>
        <v>0.14286000000720378</v>
      </c>
      <c r="J23">
        <f t="shared" si="8"/>
        <v>6.9998600024469733</v>
      </c>
      <c r="K23" s="82">
        <f ca="1">SUMIF(tables_325104!C:C,input_325104!A23,tables_325104!P:P)</f>
        <v>4.7451535793219387E-3</v>
      </c>
      <c r="L23" s="58"/>
      <c r="M23" s="58"/>
      <c r="N23" s="60"/>
      <c r="O23" s="58"/>
      <c r="P23" s="58"/>
      <c r="Q23" s="58"/>
      <c r="R23" s="61"/>
    </row>
    <row r="24" spans="1:18" x14ac:dyDescent="0.15">
      <c r="A24" s="34" t="s">
        <v>201</v>
      </c>
      <c r="B24" s="44">
        <f>G$5*COUNTIF(tables_325104!C:C,input_325104!A24)*B5</f>
        <v>0</v>
      </c>
      <c r="C24" s="50">
        <f t="shared" si="2"/>
        <v>0</v>
      </c>
      <c r="D24" s="72">
        <f t="shared" si="3"/>
        <v>0</v>
      </c>
      <c r="E24">
        <f>COUNTIF(tables_325104!C:C,input_325104!A24)-COUNTIF(Q:Q,A24)</f>
        <v>3</v>
      </c>
      <c r="F24" s="45">
        <f t="shared" si="4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K24" s="82">
        <f ca="1">SUMIF(tables_325104!C:C,input_325104!A24,tables_325104!P:P)</f>
        <v>0</v>
      </c>
      <c r="L24" s="58"/>
      <c r="M24" s="58"/>
      <c r="N24" s="60"/>
      <c r="O24" s="58"/>
      <c r="P24" s="58"/>
      <c r="Q24" s="58"/>
      <c r="R24" s="61"/>
    </row>
    <row r="25" spans="1:18" x14ac:dyDescent="0.15">
      <c r="A25" s="34" t="s">
        <v>202</v>
      </c>
      <c r="B25" s="44">
        <f>G$5*COUNTIF(tables_325104!C:C,input_325104!A25)*B6</f>
        <v>1.3680000000000001E-3</v>
      </c>
      <c r="C25" s="50">
        <f t="shared" si="2"/>
        <v>0</v>
      </c>
      <c r="D25" s="72">
        <f t="shared" si="3"/>
        <v>1.3680000000000001E-3</v>
      </c>
      <c r="E25">
        <f>COUNTIF(tables_325104!C:C,input_325104!A25)-COUNTIF(Q:Q,A25)</f>
        <v>3</v>
      </c>
      <c r="F25" s="45">
        <f t="shared" si="4"/>
        <v>4.5600000000000003E-4</v>
      </c>
      <c r="G25">
        <f t="shared" si="5"/>
        <v>20520</v>
      </c>
      <c r="H25">
        <f t="shared" si="6"/>
        <v>6840</v>
      </c>
      <c r="I25">
        <f t="shared" si="7"/>
        <v>0</v>
      </c>
      <c r="J25">
        <f t="shared" si="8"/>
        <v>1</v>
      </c>
      <c r="K25" s="82">
        <f ca="1">SUMIF(tables_325104!C:C,input_325104!A25,tables_325104!P:P)</f>
        <v>1.3680058368249039E-3</v>
      </c>
      <c r="L25" s="58"/>
      <c r="M25" s="58"/>
      <c r="N25" s="60"/>
      <c r="O25" s="58"/>
      <c r="P25" s="58"/>
      <c r="Q25" s="58"/>
      <c r="R25" s="61"/>
    </row>
    <row r="26" spans="1:18" x14ac:dyDescent="0.15">
      <c r="A26" s="34" t="s">
        <v>203</v>
      </c>
      <c r="B26" s="44">
        <f>G$5*COUNTIF(tables_325104!C:C,input_325104!A26)*B7</f>
        <v>7.2000000000000002E-5</v>
      </c>
      <c r="C26" s="50">
        <f t="shared" si="2"/>
        <v>0</v>
      </c>
      <c r="D26" s="72">
        <f t="shared" si="3"/>
        <v>7.2000000000000002E-5</v>
      </c>
      <c r="E26">
        <f>COUNTIF(tables_325104!C:C,input_325104!A26)-COUNTIF(Q:Q,A26)</f>
        <v>3</v>
      </c>
      <c r="F26" s="45">
        <f t="shared" si="4"/>
        <v>2.4000000000000001E-5</v>
      </c>
      <c r="G26">
        <f t="shared" si="5"/>
        <v>1080</v>
      </c>
      <c r="H26">
        <f t="shared" si="6"/>
        <v>360</v>
      </c>
      <c r="I26">
        <f t="shared" si="7"/>
        <v>0</v>
      </c>
      <c r="J26">
        <f t="shared" si="8"/>
        <v>1</v>
      </c>
      <c r="K26" s="82">
        <f ca="1">SUMIF(tables_325104!C:C,input_325104!A26,tables_325104!P:P)</f>
        <v>7.2000307201310724E-5</v>
      </c>
      <c r="L26" s="58"/>
      <c r="M26" s="58"/>
      <c r="N26" s="60"/>
      <c r="O26" s="58"/>
      <c r="P26" s="58"/>
      <c r="Q26" s="58"/>
      <c r="R26" s="61"/>
    </row>
    <row r="27" spans="1:18" x14ac:dyDescent="0.15">
      <c r="A27" s="34" t="s">
        <v>111</v>
      </c>
      <c r="B27" s="44">
        <f>G$5*E27*(B6+B5)</f>
        <v>9.1199999999999996E-3</v>
      </c>
      <c r="C27" s="50">
        <f t="shared" si="2"/>
        <v>0</v>
      </c>
      <c r="D27" s="72">
        <f t="shared" si="3"/>
        <v>9.1199999999999996E-3</v>
      </c>
      <c r="E27">
        <f>COUNTIF(tables_325104!C:C,input_325104!A27)-COUNTIF(Q:Q,A27)</f>
        <v>20</v>
      </c>
      <c r="F27" s="45">
        <f t="shared" si="4"/>
        <v>4.5599999999999997E-4</v>
      </c>
      <c r="G27">
        <f t="shared" si="5"/>
        <v>136800</v>
      </c>
      <c r="H27">
        <f t="shared" si="6"/>
        <v>6840</v>
      </c>
      <c r="I27">
        <f t="shared" si="7"/>
        <v>0</v>
      </c>
      <c r="J27">
        <f t="shared" si="8"/>
        <v>1</v>
      </c>
      <c r="K27" s="82">
        <f ca="1">SUMIF(tables_325104!C:C,input_325104!A27,tables_325104!P:P)</f>
        <v>9.1200389121660237E-3</v>
      </c>
      <c r="L27" s="58"/>
      <c r="M27" s="58"/>
      <c r="N27" s="60"/>
      <c r="O27" s="58"/>
      <c r="P27" s="58"/>
      <c r="Q27" s="58"/>
      <c r="R27" s="61"/>
    </row>
    <row r="28" spans="1:18" x14ac:dyDescent="0.15">
      <c r="A28" s="34" t="s">
        <v>112</v>
      </c>
      <c r="B28" s="44">
        <f>G$5*B7*E28</f>
        <v>4.8000000000000001E-4</v>
      </c>
      <c r="C28" s="50">
        <f t="shared" si="2"/>
        <v>0</v>
      </c>
      <c r="D28" s="72">
        <f t="shared" si="3"/>
        <v>4.8000000000000001E-4</v>
      </c>
      <c r="E28">
        <f>COUNTIF(tables_325104!C:C,input_325104!A28)-COUNTIF(Q:Q,A28)</f>
        <v>20</v>
      </c>
      <c r="F28" s="45">
        <f>IFERROR(D28/E28,0)</f>
        <v>2.4000000000000001E-5</v>
      </c>
      <c r="G28">
        <f t="shared" si="5"/>
        <v>7200</v>
      </c>
      <c r="H28">
        <f t="shared" si="6"/>
        <v>360</v>
      </c>
      <c r="I28">
        <f t="shared" si="7"/>
        <v>0</v>
      </c>
      <c r="J28">
        <f t="shared" si="8"/>
        <v>1</v>
      </c>
      <c r="K28" s="82">
        <f ca="1">SUMIF(tables_325104!C:C,input_325104!A28,tables_325104!P:P)</f>
        <v>4.800020480087382E-4</v>
      </c>
      <c r="L28" s="58"/>
      <c r="M28" s="58"/>
      <c r="N28" s="60"/>
      <c r="O28" s="58"/>
      <c r="P28" s="58"/>
      <c r="Q28" s="58"/>
      <c r="R28" s="61"/>
    </row>
    <row r="29" spans="1:18" x14ac:dyDescent="0.15">
      <c r="A29" s="34" t="s">
        <v>207</v>
      </c>
      <c r="B29" s="44">
        <f>G5*COUNTIF(tables_325104!C:C,input_325104!A29)</f>
        <v>9.6000000000000002E-4</v>
      </c>
      <c r="C29" s="50">
        <f t="shared" si="2"/>
        <v>0</v>
      </c>
      <c r="D29" s="72">
        <f t="shared" si="3"/>
        <v>9.6000000000000002E-4</v>
      </c>
      <c r="E29">
        <f>COUNTIF(tables_325104!C:C,input_325104!A29)-COUNTIF(Q:Q,A29)</f>
        <v>2</v>
      </c>
      <c r="F29" s="45">
        <f t="shared" si="4"/>
        <v>4.8000000000000001E-4</v>
      </c>
      <c r="G29">
        <f t="shared" si="5"/>
        <v>14400</v>
      </c>
      <c r="H29">
        <f t="shared" si="6"/>
        <v>7200</v>
      </c>
      <c r="I29">
        <f t="shared" si="7"/>
        <v>0</v>
      </c>
      <c r="J29">
        <f t="shared" si="8"/>
        <v>1</v>
      </c>
      <c r="K29" s="82">
        <f ca="1">SUMIF(tables_325104!C:C,input_325104!A29,tables_325104!P:P)</f>
        <v>9.6000409601747639E-4</v>
      </c>
      <c r="L29" s="58"/>
      <c r="M29" s="58"/>
      <c r="N29" s="60"/>
      <c r="O29" s="58"/>
      <c r="P29" s="58"/>
      <c r="Q29" s="58"/>
      <c r="R29" s="61"/>
    </row>
    <row r="30" spans="1:18" x14ac:dyDescent="0.15">
      <c r="A30" s="34" t="s">
        <v>217</v>
      </c>
      <c r="B30" s="77">
        <f>B5*0.6-B32-B37</f>
        <v>0</v>
      </c>
      <c r="C30" s="50">
        <f t="shared" si="2"/>
        <v>0</v>
      </c>
      <c r="D30" s="72">
        <f t="shared" si="3"/>
        <v>0</v>
      </c>
      <c r="E30">
        <f>COUNTIF(tables_325104!C:C,input_325104!A30)-COUNTIF(Q:Q,A30)</f>
        <v>5</v>
      </c>
      <c r="F30" s="45">
        <f t="shared" si="4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K30" s="82">
        <f ca="1">SUMIF(tables_325104!C:C,input_325104!A30,tables_325104!P:P)</f>
        <v>0</v>
      </c>
      <c r="L30" s="58"/>
      <c r="M30" s="58"/>
      <c r="N30" s="58"/>
      <c r="O30" s="58"/>
      <c r="P30" s="58"/>
      <c r="Q30" s="58"/>
      <c r="R30" s="71"/>
    </row>
    <row r="31" spans="1:18" x14ac:dyDescent="0.15">
      <c r="A31" s="34" t="s">
        <v>218</v>
      </c>
      <c r="B31" s="74">
        <f>G8*COUNTIF(tables_325104!C:C,input_325104!A31)-B30</f>
        <v>0.1603333333333333</v>
      </c>
      <c r="C31" s="50">
        <f t="shared" si="2"/>
        <v>0</v>
      </c>
      <c r="D31" s="72">
        <f t="shared" si="3"/>
        <v>0.1603333333333333</v>
      </c>
      <c r="E31">
        <f>COUNTIF(tables_325104!C:C,input_325104!A31)-COUNTIF(Q:Q,A31)</f>
        <v>5</v>
      </c>
      <c r="F31" s="45">
        <f t="shared" si="4"/>
        <v>3.206666666666666E-2</v>
      </c>
      <c r="G31">
        <f t="shared" si="5"/>
        <v>2404999.9999999995</v>
      </c>
      <c r="H31">
        <f t="shared" si="6"/>
        <v>481000</v>
      </c>
      <c r="I31">
        <f t="shared" si="7"/>
        <v>0</v>
      </c>
      <c r="J31">
        <f t="shared" si="8"/>
        <v>1</v>
      </c>
      <c r="K31" s="82">
        <f ca="1">SUMIF(tables_325104!C:C,input_325104!A31,tables_325104!P:P)</f>
        <v>0.16033401742514103</v>
      </c>
      <c r="L31" s="58"/>
      <c r="M31" s="58"/>
      <c r="N31" s="58"/>
      <c r="O31" s="58"/>
      <c r="P31" s="58"/>
      <c r="Q31" s="58"/>
      <c r="R31" s="71"/>
    </row>
    <row r="32" spans="1:18" x14ac:dyDescent="0.15">
      <c r="A32" s="34" t="s">
        <v>219</v>
      </c>
      <c r="B32" s="74">
        <f>G$8*COUNTIF(tables_325104!C:C,input_325104!A32)*B5</f>
        <v>0</v>
      </c>
      <c r="C32" s="50">
        <f t="shared" si="2"/>
        <v>0</v>
      </c>
      <c r="D32" s="72">
        <f t="shared" si="3"/>
        <v>0</v>
      </c>
      <c r="E32">
        <f>COUNTIF(tables_325104!C:C,input_325104!A32)-COUNTIF(Q:Q,A32)</f>
        <v>12</v>
      </c>
      <c r="F32" s="45">
        <f t="shared" si="4"/>
        <v>0</v>
      </c>
      <c r="G32">
        <f t="shared" si="5"/>
        <v>0</v>
      </c>
      <c r="H32">
        <f t="shared" si="6"/>
        <v>0</v>
      </c>
      <c r="I32">
        <f t="shared" si="7"/>
        <v>0</v>
      </c>
      <c r="J32">
        <f t="shared" si="8"/>
        <v>1</v>
      </c>
      <c r="K32" s="82">
        <f ca="1">SUMIF(tables_325104!C:C,input_325104!A32,tables_325104!P:P)</f>
        <v>0</v>
      </c>
      <c r="L32" s="58"/>
      <c r="M32" s="58"/>
      <c r="N32" s="60"/>
      <c r="O32" s="58"/>
      <c r="P32" s="58"/>
      <c r="Q32" s="58"/>
      <c r="R32" s="61"/>
    </row>
    <row r="33" spans="1:18" x14ac:dyDescent="0.15">
      <c r="A33" s="34" t="s">
        <v>220</v>
      </c>
      <c r="B33" s="74">
        <f>G$8*COUNTIF(tables_325104!C:C,input_325104!A33)*B6</f>
        <v>0.36555999999999989</v>
      </c>
      <c r="C33" s="50">
        <f t="shared" si="2"/>
        <v>0</v>
      </c>
      <c r="D33" s="72">
        <f t="shared" si="3"/>
        <v>0.36555999999999989</v>
      </c>
      <c r="E33">
        <f>COUNTIF(tables_325104!C:C,input_325104!A33)-COUNTIF(Q:Q,A33)</f>
        <v>12</v>
      </c>
      <c r="F33" s="45">
        <f t="shared" si="4"/>
        <v>3.0463333333333325E-2</v>
      </c>
      <c r="G33">
        <f t="shared" si="5"/>
        <v>5483399.9999999981</v>
      </c>
      <c r="H33">
        <f t="shared" si="6"/>
        <v>456950</v>
      </c>
      <c r="I33">
        <f t="shared" si="7"/>
        <v>0</v>
      </c>
      <c r="J33">
        <f t="shared" si="8"/>
        <v>1</v>
      </c>
      <c r="K33" s="82">
        <f ca="1">SUMIF(tables_325104!C:C,input_325104!A33,tables_325104!P:P)</f>
        <v>0.36556155972932158</v>
      </c>
      <c r="L33" s="58"/>
      <c r="M33" s="58"/>
      <c r="N33" s="60"/>
      <c r="O33" s="58"/>
      <c r="P33" s="58"/>
      <c r="Q33" s="58"/>
      <c r="R33" s="61"/>
    </row>
    <row r="34" spans="1:18" x14ac:dyDescent="0.15">
      <c r="A34" s="34" t="s">
        <v>221</v>
      </c>
      <c r="B34" s="74">
        <f>G$8*COUNTIF(tables_325104!C:C,input_325104!A34)*B7</f>
        <v>1.9239999999999997E-2</v>
      </c>
      <c r="C34" s="50">
        <f t="shared" si="2"/>
        <v>0</v>
      </c>
      <c r="D34" s="72">
        <f t="shared" si="3"/>
        <v>1.9239999999999997E-2</v>
      </c>
      <c r="E34">
        <f>COUNTIF(tables_325104!C:C,input_325104!A34)-COUNTIF(Q:Q,A34)</f>
        <v>12</v>
      </c>
      <c r="F34" s="45">
        <f t="shared" si="4"/>
        <v>1.6033333333333331E-3</v>
      </c>
      <c r="G34">
        <f t="shared" si="5"/>
        <v>288599.99999999994</v>
      </c>
      <c r="H34">
        <f t="shared" si="6"/>
        <v>24050</v>
      </c>
      <c r="I34">
        <f t="shared" si="7"/>
        <v>0</v>
      </c>
      <c r="J34">
        <f t="shared" si="8"/>
        <v>1</v>
      </c>
      <c r="K34" s="82">
        <f ca="1">SUMIF(tables_325104!C:C,input_325104!A34,tables_325104!P:P)</f>
        <v>1.9240082091016922E-2</v>
      </c>
      <c r="L34" s="58"/>
      <c r="M34" s="58"/>
      <c r="N34" s="60"/>
      <c r="O34" s="58"/>
      <c r="P34" s="58"/>
      <c r="Q34" s="58"/>
      <c r="R34" s="61"/>
    </row>
    <row r="35" spans="1:18" x14ac:dyDescent="0.15">
      <c r="A35" s="34" t="s">
        <v>222</v>
      </c>
      <c r="B35" s="79">
        <f>G8*E35-B36</f>
        <v>2.2206666666666656E-2</v>
      </c>
      <c r="C35" s="50">
        <f t="shared" si="2"/>
        <v>0</v>
      </c>
      <c r="D35" s="72">
        <f t="shared" si="3"/>
        <v>2.2206666666666656E-2</v>
      </c>
      <c r="E35">
        <f>COUNTIF(tables_325104!C:C,input_325104!A35)-COUNTIF(Q:Q,A35)</f>
        <v>1</v>
      </c>
      <c r="F35" s="45">
        <f t="shared" si="4"/>
        <v>2.2206666666666656E-2</v>
      </c>
      <c r="G35">
        <f t="shared" si="5"/>
        <v>333099.99999999983</v>
      </c>
      <c r="H35">
        <f t="shared" si="6"/>
        <v>333100</v>
      </c>
      <c r="I35">
        <f t="shared" si="7"/>
        <v>0</v>
      </c>
      <c r="J35">
        <f t="shared" si="8"/>
        <v>1</v>
      </c>
      <c r="K35" s="82">
        <f ca="1">SUMIF(tables_325104!C:C,input_325104!A35,tables_325104!P:P)</f>
        <v>2.2206761415515374E-2</v>
      </c>
      <c r="L35" s="58"/>
      <c r="M35" s="58"/>
      <c r="N35" s="60"/>
      <c r="O35" s="58"/>
      <c r="P35" s="58"/>
      <c r="Q35" s="58"/>
      <c r="R35" s="61"/>
    </row>
    <row r="36" spans="1:18" x14ac:dyDescent="0.15">
      <c r="A36" s="34" t="s">
        <v>223</v>
      </c>
      <c r="B36" s="80">
        <f>B7*0.6-B39-B41-B42-B34</f>
        <v>9.8600000000000042E-3</v>
      </c>
      <c r="C36" s="50">
        <f t="shared" si="2"/>
        <v>0</v>
      </c>
      <c r="D36" s="72">
        <f t="shared" si="3"/>
        <v>9.8600000000000042E-3</v>
      </c>
      <c r="E36">
        <f>COUNTIF(tables_325104!C:C,input_325104!A36)-COUNTIF(Q:Q,A36)</f>
        <v>1</v>
      </c>
      <c r="F36" s="45">
        <f t="shared" si="4"/>
        <v>9.8600000000000042E-3</v>
      </c>
      <c r="G36">
        <f t="shared" si="5"/>
        <v>147900.00000000006</v>
      </c>
      <c r="H36">
        <f t="shared" si="6"/>
        <v>147900</v>
      </c>
      <c r="I36">
        <f t="shared" si="7"/>
        <v>0</v>
      </c>
      <c r="J36">
        <f t="shared" si="8"/>
        <v>1</v>
      </c>
      <c r="K36" s="82">
        <f ca="1">SUMIF(tables_325104!C:C,input_325104!A36,tables_325104!P:P)</f>
        <v>9.8600420695128307E-3</v>
      </c>
      <c r="L36" s="58"/>
      <c r="M36" s="58"/>
      <c r="N36" s="60"/>
      <c r="O36" s="58"/>
      <c r="P36" s="58"/>
      <c r="Q36" s="58"/>
      <c r="R36" s="61"/>
    </row>
    <row r="37" spans="1:18" x14ac:dyDescent="0.15">
      <c r="A37" s="34" t="s">
        <v>224</v>
      </c>
      <c r="B37" s="44">
        <f>G$6*COUNTIF(tables_325104!C:C,input_325104!A37)*B5</f>
        <v>0</v>
      </c>
      <c r="C37" s="50">
        <f t="shared" si="2"/>
        <v>0</v>
      </c>
      <c r="D37" s="72">
        <f t="shared" si="3"/>
        <v>0</v>
      </c>
      <c r="E37">
        <f>COUNTIF(tables_325104!C:C,input_325104!A37)-COUNTIF(Q:Q,A37)</f>
        <v>1</v>
      </c>
      <c r="F37" s="45">
        <f t="shared" si="4"/>
        <v>0</v>
      </c>
      <c r="G37">
        <f t="shared" si="5"/>
        <v>0</v>
      </c>
      <c r="H37">
        <f t="shared" si="6"/>
        <v>0</v>
      </c>
      <c r="I37">
        <f t="shared" si="7"/>
        <v>0</v>
      </c>
      <c r="J37">
        <f t="shared" si="8"/>
        <v>1</v>
      </c>
      <c r="K37" s="82">
        <f ca="1">SUMIF(tables_325104!C:C,input_325104!A37,tables_325104!P:P)</f>
        <v>0</v>
      </c>
      <c r="L37" s="58"/>
      <c r="M37" s="58"/>
      <c r="N37" s="60"/>
      <c r="O37" s="58"/>
      <c r="P37" s="58"/>
      <c r="Q37" s="58"/>
      <c r="R37" s="61"/>
    </row>
    <row r="38" spans="1:18" x14ac:dyDescent="0.15">
      <c r="A38" s="34" t="s">
        <v>225</v>
      </c>
      <c r="B38" s="44">
        <f>G$6*COUNTIF(tables_325104!C:C,input_325104!A38)*B6</f>
        <v>1.9E-3</v>
      </c>
      <c r="C38" s="50">
        <f t="shared" si="2"/>
        <v>0</v>
      </c>
      <c r="D38" s="72">
        <f t="shared" si="3"/>
        <v>1.9E-3</v>
      </c>
      <c r="E38">
        <f>COUNTIF(tables_325104!C:C,input_325104!A38)-COUNTIF(Q:Q,A38)</f>
        <v>1</v>
      </c>
      <c r="F38" s="45">
        <f t="shared" si="4"/>
        <v>1.9E-3</v>
      </c>
      <c r="G38">
        <f t="shared" si="5"/>
        <v>28500</v>
      </c>
      <c r="H38">
        <f t="shared" si="6"/>
        <v>28500</v>
      </c>
      <c r="I38">
        <f t="shared" si="7"/>
        <v>0</v>
      </c>
      <c r="J38">
        <f t="shared" si="8"/>
        <v>1</v>
      </c>
      <c r="K38" s="82">
        <f ca="1">SUMIF(tables_325104!C:C,input_325104!A38,tables_325104!P:P)</f>
        <v>1.9000081067012552E-3</v>
      </c>
      <c r="L38" s="58"/>
      <c r="M38" s="58"/>
      <c r="N38" s="60"/>
      <c r="O38" s="58"/>
      <c r="P38" s="58"/>
      <c r="Q38" s="58"/>
      <c r="R38" s="61"/>
    </row>
    <row r="39" spans="1:18" x14ac:dyDescent="0.15">
      <c r="A39" s="34" t="s">
        <v>226</v>
      </c>
      <c r="B39" s="44">
        <f>G$6*COUNTIF(tables_325104!C:C,input_325104!A39)*B7</f>
        <v>1E-4</v>
      </c>
      <c r="C39" s="50">
        <f t="shared" si="2"/>
        <v>0</v>
      </c>
      <c r="D39" s="72">
        <f t="shared" si="3"/>
        <v>1E-4</v>
      </c>
      <c r="E39">
        <f>COUNTIF(tables_325104!C:C,input_325104!A39)-COUNTIF(Q:Q,A39)</f>
        <v>1</v>
      </c>
      <c r="F39" s="45">
        <f t="shared" si="4"/>
        <v>1E-4</v>
      </c>
      <c r="G39">
        <f t="shared" si="5"/>
        <v>1500</v>
      </c>
      <c r="H39">
        <f t="shared" si="6"/>
        <v>1500</v>
      </c>
      <c r="I39">
        <f t="shared" si="7"/>
        <v>0</v>
      </c>
      <c r="J39">
        <f t="shared" si="8"/>
        <v>1</v>
      </c>
      <c r="K39" s="82">
        <f ca="1">SUMIF(tables_325104!C:C,input_325104!A39,tables_325104!P:P)</f>
        <v>1.0000042666848711E-4</v>
      </c>
      <c r="L39" s="58"/>
      <c r="M39" s="58"/>
      <c r="N39" s="60"/>
      <c r="O39" s="58"/>
      <c r="P39" s="58"/>
      <c r="Q39" s="58"/>
      <c r="R39" s="61"/>
    </row>
    <row r="40" spans="1:18" x14ac:dyDescent="0.15">
      <c r="A40" s="34" t="s">
        <v>227</v>
      </c>
      <c r="B40" s="44">
        <f>G$6*COUNTIF(tables_325104!C:C,input_325104!A40)*(B6+B5)</f>
        <v>1.52E-2</v>
      </c>
      <c r="C40" s="50">
        <f t="shared" si="2"/>
        <v>0</v>
      </c>
      <c r="D40" s="72">
        <f t="shared" si="3"/>
        <v>1.52E-2</v>
      </c>
      <c r="E40">
        <f>COUNTIF(tables_325104!C:C,input_325104!A40)-COUNTIF(Q:Q,A40)</f>
        <v>8</v>
      </c>
      <c r="F40" s="45">
        <f t="shared" si="4"/>
        <v>1.9E-3</v>
      </c>
      <c r="G40">
        <f t="shared" si="5"/>
        <v>228000</v>
      </c>
      <c r="H40">
        <f t="shared" si="6"/>
        <v>28500</v>
      </c>
      <c r="I40">
        <f t="shared" si="7"/>
        <v>0</v>
      </c>
      <c r="J40">
        <f t="shared" si="8"/>
        <v>1</v>
      </c>
      <c r="K40" s="82">
        <f ca="1">SUMIF(tables_325104!C:C,input_325104!A40,tables_325104!P:P)</f>
        <v>1.5200064853610041E-2</v>
      </c>
      <c r="L40" s="58"/>
      <c r="M40" s="58"/>
      <c r="N40" s="60"/>
      <c r="O40" s="58"/>
      <c r="P40" s="58"/>
      <c r="Q40" s="58"/>
      <c r="R40" s="61"/>
    </row>
    <row r="41" spans="1:18" x14ac:dyDescent="0.15">
      <c r="A41" s="34" t="s">
        <v>228</v>
      </c>
      <c r="B41" s="44">
        <f>G$6*COUNTIF(tables_325104!C:C,input_325104!A41)*B7</f>
        <v>8.0000000000000004E-4</v>
      </c>
      <c r="C41" s="50">
        <f t="shared" si="2"/>
        <v>0</v>
      </c>
      <c r="D41" s="72">
        <f t="shared" si="3"/>
        <v>8.0000000000000004E-4</v>
      </c>
      <c r="E41">
        <f>COUNTIF(tables_325104!C:C,input_325104!A41)-COUNTIF(Q:Q,A41)</f>
        <v>8</v>
      </c>
      <c r="F41" s="45">
        <f>IFERROR(D41/E41,0)</f>
        <v>1E-4</v>
      </c>
      <c r="G41">
        <f t="shared" si="5"/>
        <v>12000</v>
      </c>
      <c r="H41">
        <f t="shared" si="6"/>
        <v>1500</v>
      </c>
      <c r="I41">
        <f t="shared" si="7"/>
        <v>0</v>
      </c>
      <c r="J41">
        <f t="shared" si="8"/>
        <v>1</v>
      </c>
      <c r="K41" s="82">
        <f ca="1">SUMIF(tables_325104!C:C,input_325104!A41,tables_325104!P:P)</f>
        <v>8.0000341334789701E-4</v>
      </c>
      <c r="L41" s="58"/>
      <c r="M41" s="58"/>
      <c r="N41" s="60"/>
      <c r="O41" s="58"/>
      <c r="P41" s="58"/>
      <c r="Q41" s="58"/>
      <c r="R41" s="61"/>
    </row>
    <row r="42" spans="1:18" x14ac:dyDescent="0.15">
      <c r="A42" s="34" t="s">
        <v>229</v>
      </c>
      <c r="B42" s="44">
        <f>G6*COUNTIF(tables_325104!C:C,input_325104!A42)</f>
        <v>0</v>
      </c>
      <c r="C42" s="50">
        <f t="shared" si="2"/>
        <v>0</v>
      </c>
      <c r="D42" s="72">
        <f t="shared" si="3"/>
        <v>0</v>
      </c>
      <c r="E42">
        <f>COUNTIF(tables_325104!C:C,input_325104!A42)-COUNTIF(Q:Q,A42)</f>
        <v>0</v>
      </c>
      <c r="F42" s="45">
        <f t="shared" ref="F42:F44" si="9">IFERROR(D42/E42,0)</f>
        <v>0</v>
      </c>
      <c r="G42">
        <f t="shared" si="5"/>
        <v>0</v>
      </c>
      <c r="H42">
        <f t="shared" si="6"/>
        <v>0</v>
      </c>
      <c r="I42">
        <f t="shared" si="7"/>
        <v>0</v>
      </c>
      <c r="J42">
        <f t="shared" si="8"/>
        <v>1</v>
      </c>
      <c r="K42" s="82">
        <f>SUMIF(tables_325104!C:C,input_325104!A42,tables_325104!P:P)</f>
        <v>0</v>
      </c>
      <c r="L42" s="58"/>
      <c r="M42" s="58"/>
      <c r="N42" s="60"/>
      <c r="O42" s="58"/>
      <c r="P42" s="58"/>
      <c r="Q42" s="58"/>
      <c r="R42" s="61"/>
    </row>
    <row r="43" spans="1:18" x14ac:dyDescent="0.15">
      <c r="A43" s="34" t="s">
        <v>115</v>
      </c>
      <c r="B43" s="57">
        <v>0</v>
      </c>
      <c r="C43" s="50">
        <f t="shared" si="2"/>
        <v>0</v>
      </c>
      <c r="D43" s="72">
        <f t="shared" si="3"/>
        <v>0</v>
      </c>
      <c r="E43">
        <f>COUNTIF(tables_325104!C:C,input_325104!A43)-COUNTIF(Q:Q,A43)</f>
        <v>0</v>
      </c>
      <c r="F43" s="45">
        <f t="shared" si="9"/>
        <v>0</v>
      </c>
      <c r="G43">
        <f t="shared" si="5"/>
        <v>0</v>
      </c>
      <c r="H43">
        <f t="shared" si="6"/>
        <v>0</v>
      </c>
      <c r="I43">
        <f t="shared" si="7"/>
        <v>0</v>
      </c>
      <c r="J43">
        <f t="shared" si="8"/>
        <v>1</v>
      </c>
      <c r="K43" s="82">
        <f>SUMIF(tables_325104!C:C,input_325104!A43,tables_325104!P:P)</f>
        <v>0</v>
      </c>
      <c r="L43" s="58"/>
      <c r="M43" s="58"/>
      <c r="N43" s="60"/>
      <c r="O43" s="58"/>
      <c r="P43" s="58"/>
      <c r="Q43" s="58"/>
      <c r="R43" s="61"/>
    </row>
    <row r="44" spans="1:18" x14ac:dyDescent="0.15">
      <c r="A44" s="34" t="s">
        <v>113</v>
      </c>
      <c r="B44" s="57">
        <f>B12</f>
        <v>8.0000000000000002E-3</v>
      </c>
      <c r="C44" s="50">
        <f t="shared" si="2"/>
        <v>0</v>
      </c>
      <c r="D44" s="72">
        <f t="shared" si="3"/>
        <v>8.0000000000000002E-3</v>
      </c>
      <c r="E44">
        <f>COUNTIF(tables_325104!C:C,input_325104!A44)-COUNTIF(Q:Q,A44)</f>
        <v>1</v>
      </c>
      <c r="F44" s="45">
        <f t="shared" si="9"/>
        <v>8.0000000000000002E-3</v>
      </c>
      <c r="G44">
        <f t="shared" si="5"/>
        <v>120000</v>
      </c>
      <c r="H44">
        <f t="shared" si="6"/>
        <v>120000</v>
      </c>
      <c r="I44">
        <f t="shared" si="7"/>
        <v>0</v>
      </c>
      <c r="J44">
        <f t="shared" si="8"/>
        <v>1</v>
      </c>
      <c r="K44" s="82">
        <f ca="1">SUMIF(tables_325104!C:C,input_325104!A44,tables_325104!P:P)</f>
        <v>8.0000341334789688E-3</v>
      </c>
      <c r="L44" s="58"/>
      <c r="M44" s="58"/>
      <c r="N44" s="60"/>
      <c r="O44" s="58"/>
      <c r="P44" s="58"/>
      <c r="Q44" s="58"/>
      <c r="R44" s="61"/>
    </row>
    <row r="45" spans="1:18" x14ac:dyDescent="0.15">
      <c r="A45" s="41" t="s">
        <v>62</v>
      </c>
      <c r="B45" s="42">
        <f>SUM(B17:B44)</f>
        <v>0.99999999999999989</v>
      </c>
      <c r="C45" s="43">
        <f>SUM(C19:C44)</f>
        <v>0</v>
      </c>
      <c r="D45" s="44">
        <f t="shared" si="3"/>
        <v>0.99999999999999989</v>
      </c>
      <c r="L45" s="58"/>
      <c r="M45" s="58"/>
      <c r="N45" s="58"/>
      <c r="O45" s="58"/>
      <c r="P45" s="58"/>
      <c r="Q45" s="58"/>
      <c r="R45" s="61"/>
    </row>
    <row r="48" spans="1:18" x14ac:dyDescent="0.15">
      <c r="A48" t="s">
        <v>234</v>
      </c>
      <c r="H48" t="s">
        <v>235</v>
      </c>
    </row>
    <row r="49" spans="1:8" x14ac:dyDescent="0.15">
      <c r="A49" s="31">
        <f>1000000*15</f>
        <v>15000000</v>
      </c>
      <c r="H49" s="81">
        <f>MAX(H17:H44)</f>
        <v>481000</v>
      </c>
    </row>
    <row r="51" spans="1:8" x14ac:dyDescent="0.15">
      <c r="A51" s="49" t="s">
        <v>80</v>
      </c>
    </row>
    <row r="52" spans="1:8" x14ac:dyDescent="0.15">
      <c r="A52" s="34" t="s">
        <v>63</v>
      </c>
      <c r="B52" t="s">
        <v>77</v>
      </c>
      <c r="C52" t="s">
        <v>104</v>
      </c>
      <c r="E52" t="s">
        <v>105</v>
      </c>
      <c r="F52" t="s">
        <v>2</v>
      </c>
      <c r="G52" t="s">
        <v>66</v>
      </c>
    </row>
    <row r="53" spans="1:8" x14ac:dyDescent="0.15">
      <c r="A53" s="34" t="s">
        <v>108</v>
      </c>
      <c r="B53">
        <f ca="1">SUMIF(tables_325104!C:C,input_325104!A53,tables_325104!O:O)</f>
        <v>0</v>
      </c>
      <c r="C53" s="55">
        <f t="shared" ref="C53:C59" ca="1" si="10">B53/B$60</f>
        <v>0</v>
      </c>
      <c r="E53">
        <v>3</v>
      </c>
      <c r="F53">
        <f ca="1">SUMIF(tables_325104!J:J,input_325104!E53,tables_325104!O:O)</f>
        <v>0</v>
      </c>
      <c r="G53">
        <f ca="1">F53/A49</f>
        <v>0</v>
      </c>
    </row>
    <row r="54" spans="1:8" x14ac:dyDescent="0.15">
      <c r="A54" s="34" t="s">
        <v>109</v>
      </c>
      <c r="B54">
        <f ca="1">SUMIF(tables_325104!C:C,input_325104!A54,tables_325104!O:O)</f>
        <v>3916680</v>
      </c>
      <c r="C54" s="55">
        <f t="shared" ca="1" si="10"/>
        <v>0.89283304458831036</v>
      </c>
      <c r="E54">
        <v>4</v>
      </c>
      <c r="F54">
        <f ca="1">SUMIF(tables_325104!J:J,input_325104!E54,tables_325104!O:O)</f>
        <v>14129959</v>
      </c>
      <c r="G54">
        <f ca="1">F54/A49</f>
        <v>0.94199726666666672</v>
      </c>
    </row>
    <row r="55" spans="1:8" x14ac:dyDescent="0.15">
      <c r="A55" s="34" t="s">
        <v>111</v>
      </c>
      <c r="B55">
        <f ca="1">SUMIF(tables_325104!C:C,input_325104!A55,tables_325104!O:O)</f>
        <v>136800</v>
      </c>
      <c r="C55" s="55">
        <f t="shared" ca="1" si="10"/>
        <v>3.1184462478344124E-2</v>
      </c>
      <c r="E55">
        <v>5</v>
      </c>
      <c r="F55">
        <f ca="1">SUMIF(tables_325104!J:J,input_325104!E55,tables_325104!O:O)</f>
        <v>869977</v>
      </c>
      <c r="G55">
        <f ca="1">F55/A49</f>
        <v>5.7998466666666665E-2</v>
      </c>
    </row>
    <row r="56" spans="1:8" x14ac:dyDescent="0.15">
      <c r="A56" s="34" t="s">
        <v>115</v>
      </c>
      <c r="B56">
        <f>SUMIF(tables_325104!C:C,input_325104!A56,tables_325104!O:O)</f>
        <v>0</v>
      </c>
      <c r="C56" s="55">
        <f t="shared" ca="1" si="10"/>
        <v>0</v>
      </c>
      <c r="F56" s="56"/>
    </row>
    <row r="57" spans="1:8" x14ac:dyDescent="0.15">
      <c r="A57" s="34" t="s">
        <v>110</v>
      </c>
      <c r="B57">
        <f ca="1">SUMIF(tables_325104!C:C,input_325104!A57,tables_325104!O:O)</f>
        <v>206120</v>
      </c>
      <c r="C57" s="55">
        <f t="shared" ca="1" si="10"/>
        <v>4.6986413786814993E-2</v>
      </c>
      <c r="E57" t="s">
        <v>56</v>
      </c>
      <c r="F57" s="56"/>
    </row>
    <row r="58" spans="1:8" x14ac:dyDescent="0.15">
      <c r="A58" s="34" t="s">
        <v>112</v>
      </c>
      <c r="B58">
        <f ca="1">SUMIF(tables_325104!C:C,input_325104!A58,tables_325104!O:O)</f>
        <v>7200</v>
      </c>
      <c r="C58" s="55">
        <f t="shared" ca="1" si="10"/>
        <v>1.641287498860217E-3</v>
      </c>
      <c r="E58" t="s">
        <v>210</v>
      </c>
      <c r="F58" s="56">
        <f ca="1">SUMIF(tables_325104!I:I,input_325104!E58,tables_325104!P:P)</f>
        <v>0.26340545719661734</v>
      </c>
    </row>
    <row r="59" spans="1:8" x14ac:dyDescent="0.15">
      <c r="A59" s="34" t="s">
        <v>113</v>
      </c>
      <c r="B59">
        <f ca="1">SUMIF(tables_325104!C:C,input_325104!A59,tables_325104!O:O)</f>
        <v>120000</v>
      </c>
      <c r="C59" s="55">
        <f t="shared" ca="1" si="10"/>
        <v>2.7354791647670285E-2</v>
      </c>
      <c r="E59" t="s">
        <v>211</v>
      </c>
      <c r="F59" s="56">
        <f ca="1">SUMIF(tables_325104!I:I,input_325104!E59,tables_325104!P:P)</f>
        <v>0.22055494103441511</v>
      </c>
    </row>
    <row r="60" spans="1:8" x14ac:dyDescent="0.15">
      <c r="A60" s="41" t="s">
        <v>62</v>
      </c>
      <c r="B60">
        <f ca="1">SUM(B53:B59)</f>
        <v>4386800</v>
      </c>
      <c r="C60" s="56">
        <f ca="1">SUM(C53:C59)</f>
        <v>1</v>
      </c>
      <c r="E60" t="s">
        <v>212</v>
      </c>
      <c r="F60" s="56">
        <f ca="1">SUMIF(tables_325104!I:I,input_325104!E60,tables_325104!P:P)</f>
        <v>0.48147945431233907</v>
      </c>
    </row>
    <row r="61" spans="1:8" x14ac:dyDescent="0.15">
      <c r="E61" t="s">
        <v>213</v>
      </c>
      <c r="F61" s="56">
        <f ca="1">SUMIF(tables_325104!I:I,input_325104!E61,tables_325104!P:P)</f>
        <v>2.6560113323150187E-2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72"/>
  <sheetViews>
    <sheetView showGridLines="0" zoomScale="75" zoomScaleNormal="75" zoomScalePageLayoutView="75" workbookViewId="0">
      <pane ySplit="1" topLeftCell="A250" activePane="bottomLeft" state="frozen"/>
      <selection activeCell="B13" sqref="B13"/>
      <selection pane="bottomLeft" activeCell="B13" sqref="B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99</v>
      </c>
      <c r="E1" s="3" t="s">
        <v>196</v>
      </c>
      <c r="F1" s="3" t="s">
        <v>197</v>
      </c>
      <c r="G1" s="3" t="s">
        <v>107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input_325104!A$2</f>
        <v>325104</v>
      </c>
      <c r="B2" s="6">
        <v>126</v>
      </c>
      <c r="C2" s="7" t="str">
        <f t="shared" ref="C2:C65" si="0">D2&amp;J2&amp;E2&amp;F2&amp;G2</f>
        <v>PremiumW3color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IFERROR(VLOOKUP(B2,input_325104!L:R,7,FALSE),ROUNDDOWN(VLOOKUP(tables_325104!C2,input_325104!A:H,8,FALSE),0))</f>
        <v>0</v>
      </c>
      <c r="P2" s="48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input_325104!A$2</f>
        <v>325104</v>
      </c>
      <c r="B3" s="6">
        <v>127</v>
      </c>
      <c r="C3" s="7" t="str">
        <f t="shared" si="0"/>
        <v>PremiumW4color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IFERROR(VLOOKUP(B3,input_325104!L:R,7,FALSE),ROUNDDOWN(VLOOKUP(tables_325104!C3,input_325104!A:H,8,FALSE),0))</f>
        <v>481000</v>
      </c>
      <c r="P3" s="48">
        <f ca="1">O3/SUM(O:O)</f>
        <v>3.2066803485028203E-2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input_325104!A$2</f>
        <v>325104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IFERROR(VLOOKUP(B4,input_325104!L:R,7,FALSE),ROUNDDOWN(VLOOKUP(tables_325104!C4,input_325104!A:H,8,FALSE),0))</f>
        <v>0</v>
      </c>
      <c r="P4" s="48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input_325104!A$2</f>
        <v>325104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IFERROR(VLOOKUP(B5,input_325104!L:R,7,FALSE),ROUNDDOWN(VLOOKUP(tables_325104!C5,input_325104!A:H,8,FALSE),0))</f>
        <v>103071</v>
      </c>
      <c r="P5" s="48">
        <f ca="1">O5/SUM(O:O)</f>
        <v>6.8714293180984235E-3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input_325104!A$2</f>
        <v>325104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IFERROR(VLOOKUP(B6,input_325104!L:R,7,FALSE),ROUNDDOWN(VLOOKUP(tables_325104!C6,input_325104!A:H,8,FALSE),0))</f>
        <v>0</v>
      </c>
      <c r="P6" s="48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input_325104!A$2</f>
        <v>325104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IFERROR(VLOOKUP(B7,input_325104!L:R,7,FALSE),ROUNDDOWN(VLOOKUP(tables_325104!C7,input_325104!A:H,8,FALSE),0))</f>
        <v>103071</v>
      </c>
      <c r="P7" s="48">
        <f ca="1">O7/SUM(O:O)</f>
        <v>6.8714293180984235E-3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input_325104!A$2</f>
        <v>325104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IFERROR(VLOOKUP(B8,input_325104!L:R,7,FALSE),ROUNDDOWN(VLOOKUP(tables_325104!C8,input_325104!A:H,8,FALSE),0))</f>
        <v>0</v>
      </c>
      <c r="P8" s="48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input_325104!A$2</f>
        <v>325104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IFERROR(VLOOKUP(B9,input_325104!L:R,7,FALSE),ROUNDDOWN(VLOOKUP(tables_325104!C9,input_325104!A:H,8,FALSE),0))</f>
        <v>103071</v>
      </c>
      <c r="P9" s="48">
        <f ca="1">O9/SUM(O:O)</f>
        <v>6.8714293180984235E-3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input_325104!A$2</f>
        <v>325104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IFERROR(VLOOKUP(B10,input_325104!L:R,7,FALSE),ROUNDDOWN(VLOOKUP(tables_325104!C10,input_325104!A:H,8,FALSE),0))</f>
        <v>0</v>
      </c>
      <c r="P10" s="48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input_325104!A$2</f>
        <v>325104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IFERROR(VLOOKUP(B11,input_325104!L:R,7,FALSE),ROUNDDOWN(VLOOKUP(tables_325104!C11,input_325104!A:H,8,FALSE),0))</f>
        <v>481000</v>
      </c>
      <c r="P11" s="48">
        <f ca="1">O11/SUM(O:O)</f>
        <v>3.2066803485028203E-2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input_325104!A$2</f>
        <v>325104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IFERROR(VLOOKUP(B12,input_325104!L:R,7,FALSE),ROUNDDOWN(VLOOKUP(tables_325104!C12,input_325104!A:H,8,FALSE),0))</f>
        <v>0</v>
      </c>
      <c r="P12" s="48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input_325104!A$2</f>
        <v>325104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IFERROR(VLOOKUP(B13,input_325104!L:R,7,FALSE),ROUNDDOWN(VLOOKUP(tables_325104!C13,input_325104!A:H,8,FALSE),0))</f>
        <v>103071</v>
      </c>
      <c r="P13" s="48">
        <f ca="1">O13/SUM(O:O)</f>
        <v>6.8714293180984235E-3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input_325104!A$2</f>
        <v>325104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IFERROR(VLOOKUP(B14,input_325104!L:R,7,FALSE),ROUNDDOWN(VLOOKUP(tables_325104!C14,input_325104!A:H,8,FALSE),0))</f>
        <v>0</v>
      </c>
      <c r="P14" s="48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input_325104!A$2</f>
        <v>325104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IFERROR(VLOOKUP(B15,input_325104!L:R,7,FALSE),ROUNDDOWN(VLOOKUP(tables_325104!C15,input_325104!A:H,8,FALSE),0))</f>
        <v>103071</v>
      </c>
      <c r="P15" s="48">
        <f ca="1">O15/SUM(O:O)</f>
        <v>6.8714293180984235E-3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input_325104!A$2</f>
        <v>325104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IFERROR(VLOOKUP(B16,input_325104!L:R,7,FALSE),ROUNDDOWN(VLOOKUP(tables_325104!C16,input_325104!A:H,8,FALSE),0))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input_325104!A$2</f>
        <v>325104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IFERROR(VLOOKUP(B17,input_325104!L:R,7,FALSE),ROUNDDOWN(VLOOKUP(tables_325104!C17,input_325104!A:H,8,FALSE),0))</f>
        <v>103071</v>
      </c>
      <c r="P17" s="48">
        <f ca="1">O17/SUM(O:O)</f>
        <v>6.8714293180984235E-3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input_325104!A$2</f>
        <v>325104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IFERROR(VLOOKUP(B18,input_325104!L:R,7,FALSE),ROUNDDOWN(VLOOKUP(tables_325104!C18,input_325104!A:H,8,FALSE),0))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input_325104!A$2</f>
        <v>325104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IFERROR(VLOOKUP(B19,input_325104!L:R,7,FALSE),ROUNDDOWN(VLOOKUP(tables_325104!C19,input_325104!A:H,8,FALSE),0))</f>
        <v>481000</v>
      </c>
      <c r="P19" s="48">
        <f ca="1">O19/SUM(O:O)</f>
        <v>3.2066803485028203E-2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input_325104!A$2</f>
        <v>325104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IFERROR(VLOOKUP(B20,input_325104!L:R,7,FALSE),ROUNDDOWN(VLOOKUP(tables_325104!C20,input_325104!A:H,8,FALSE),0))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input_325104!A$2</f>
        <v>325104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IFERROR(VLOOKUP(B21,input_325104!L:R,7,FALSE),ROUNDDOWN(VLOOKUP(tables_325104!C21,input_325104!A:H,8,FALSE),0))</f>
        <v>103071</v>
      </c>
      <c r="P21" s="48">
        <f ca="1">O21/SUM(O:O)</f>
        <v>6.8714293180984235E-3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input_325104!A$2</f>
        <v>325104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IFERROR(VLOOKUP(B22,input_325104!L:R,7,FALSE),ROUNDDOWN(VLOOKUP(tables_325104!C22,input_325104!A:H,8,FALSE),0))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input_325104!A$2</f>
        <v>325104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IFERROR(VLOOKUP(B23,input_325104!L:R,7,FALSE),ROUNDDOWN(VLOOKUP(tables_325104!C23,input_325104!A:H,8,FALSE),0))</f>
        <v>103071</v>
      </c>
      <c r="P23" s="48">
        <f ca="1">O23/SUM(O:O)</f>
        <v>6.8714293180984235E-3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input_325104!A$2</f>
        <v>325104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IFERROR(VLOOKUP(B24,input_325104!L:R,7,FALSE),ROUNDDOWN(VLOOKUP(tables_325104!C24,input_325104!A:H,8,FALSE),0))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input_325104!A$2</f>
        <v>325104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IFERROR(VLOOKUP(B25,input_325104!L:R,7,FALSE),ROUNDDOWN(VLOOKUP(tables_325104!C25,input_325104!A:H,8,FALSE),0))</f>
        <v>103071</v>
      </c>
      <c r="P25" s="48">
        <f ca="1">O25/SUM(O:O)</f>
        <v>6.8714293180984235E-3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input_325104!A$2</f>
        <v>325104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IFERROR(VLOOKUP(B26,input_325104!L:R,7,FALSE),ROUNDDOWN(VLOOKUP(tables_325104!C26,input_325104!A:H,8,FALSE),0))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input_325104!A$2</f>
        <v>325104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IFERROR(VLOOKUP(B27,input_325104!L:R,7,FALSE),ROUNDDOWN(VLOOKUP(tables_325104!C27,input_325104!A:H,8,FALSE),0))</f>
        <v>481000</v>
      </c>
      <c r="P27" s="48">
        <f ca="1">O27/SUM(O:O)</f>
        <v>3.2066803485028203E-2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input_325104!A$2</f>
        <v>325104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IFERROR(VLOOKUP(B28,input_325104!L:R,7,FALSE),ROUNDDOWN(VLOOKUP(tables_325104!C28,input_325104!A:H,8,FALSE),0))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input_325104!A$2</f>
        <v>325104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IFERROR(VLOOKUP(B29,input_325104!L:R,7,FALSE),ROUNDDOWN(VLOOKUP(tables_325104!C29,input_325104!A:H,8,FALSE),0))</f>
        <v>103071</v>
      </c>
      <c r="P29" s="48">
        <f ca="1">O29/SUM(O:O)</f>
        <v>6.8714293180984235E-3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input_325104!A$2</f>
        <v>325104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IFERROR(VLOOKUP(B30,input_325104!L:R,7,FALSE),ROUNDDOWN(VLOOKUP(tables_325104!C30,input_325104!A:H,8,FALSE),0))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input_325104!A$2</f>
        <v>325104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IFERROR(VLOOKUP(B31,input_325104!L:R,7,FALSE),ROUNDDOWN(VLOOKUP(tables_325104!C31,input_325104!A:H,8,FALSE),0))</f>
        <v>103071</v>
      </c>
      <c r="P31" s="48">
        <f ca="1">O31/SUM(O:O)</f>
        <v>6.8714293180984235E-3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input_325104!A$2</f>
        <v>325104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IFERROR(VLOOKUP(B32,input_325104!L:R,7,FALSE),ROUNDDOWN(VLOOKUP(tables_325104!C32,input_325104!A:H,8,FALSE),0))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input_325104!A$2</f>
        <v>325104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IFERROR(VLOOKUP(B33,input_325104!L:R,7,FALSE),ROUNDDOWN(VLOOKUP(tables_325104!C33,input_325104!A:H,8,FALSE),0))</f>
        <v>103071</v>
      </c>
      <c r="P33" s="48">
        <f ca="1">O33/SUM(O:O)</f>
        <v>6.8714293180984235E-3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input_325104!A$2</f>
        <v>325104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IFERROR(VLOOKUP(B34,input_325104!L:R,7,FALSE),ROUNDDOWN(VLOOKUP(tables_325104!C34,input_325104!A:H,8,FALSE),0))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input_325104!A$2</f>
        <v>325104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IFERROR(VLOOKUP(B35,input_325104!L:R,7,FALSE),ROUNDDOWN(VLOOKUP(tables_325104!C35,input_325104!A:H,8,FALSE),0))</f>
        <v>481000</v>
      </c>
      <c r="P35" s="48">
        <f ca="1">O35/SUM(O:O)</f>
        <v>3.2066803485028203E-2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input_325104!A$2</f>
        <v>325104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IFERROR(VLOOKUP(B36,input_325104!L:R,7,FALSE),ROUNDDOWN(VLOOKUP(tables_325104!C36,input_325104!A:H,8,FALSE),0))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input_325104!A$2</f>
        <v>325104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IFERROR(VLOOKUP(B37,input_325104!L:R,7,FALSE),ROUNDDOWN(VLOOKUP(tables_325104!C37,input_325104!A:H,8,FALSE),0))</f>
        <v>103071</v>
      </c>
      <c r="P37" s="48">
        <f ca="1">O37/SUM(O:O)</f>
        <v>6.8714293180984235E-3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input_325104!A$2</f>
        <v>325104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IFERROR(VLOOKUP(B38,input_325104!L:R,7,FALSE),ROUNDDOWN(VLOOKUP(tables_325104!C38,input_325104!A:H,8,FALSE),0))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input_325104!A$2</f>
        <v>325104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IFERROR(VLOOKUP(B39,input_325104!L:R,7,FALSE),ROUNDDOWN(VLOOKUP(tables_325104!C39,input_325104!A:H,8,FALSE),0))</f>
        <v>103071</v>
      </c>
      <c r="P39" s="48">
        <f ca="1">O39/SUM(O:O)</f>
        <v>6.8714293180984235E-3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input_325104!A$2</f>
        <v>325104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IFERROR(VLOOKUP(B40,input_325104!L:R,7,FALSE),ROUNDDOWN(VLOOKUP(tables_325104!C40,input_325104!A:H,8,FALSE),0))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input_325104!A$2</f>
        <v>325104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IFERROR(VLOOKUP(B41,input_325104!L:R,7,FALSE),ROUNDDOWN(VLOOKUP(tables_325104!C41,input_325104!A:H,8,FALSE),0))</f>
        <v>103071</v>
      </c>
      <c r="P41" s="48">
        <f ca="1">O41/SUM(O:O)</f>
        <v>6.8714293180984235E-3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input_325104!A$2</f>
        <v>325104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IFERROR(VLOOKUP(B42,input_325104!L:R,7,FALSE),ROUNDDOWN(VLOOKUP(tables_325104!C42,input_325104!A:H,8,FALSE),0))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input_325104!A$2</f>
        <v>325104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IFERROR(VLOOKUP(B43,input_325104!L:R,7,FALSE),ROUNDDOWN(VLOOKUP(tables_325104!C43,input_325104!A:H,8,FALSE),0))</f>
        <v>28500</v>
      </c>
      <c r="P43" s="48">
        <f ca="1">O43/SUM(O:O)</f>
        <v>1.9000081067012552E-3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input_325104!A$2</f>
        <v>325104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IFERROR(VLOOKUP(B44,input_325104!L:R,7,FALSE),ROUNDDOWN(VLOOKUP(tables_325104!C44,input_325104!A:H,8,FALSE),0))</f>
        <v>1500</v>
      </c>
      <c r="P44" s="48">
        <f ca="1">O44/SUM(O:O)</f>
        <v>1.0000042666848711E-4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input_325104!A$2</f>
        <v>325104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IFERROR(VLOOKUP(B45,input_325104!L:R,7,FALSE),ROUNDDOWN(VLOOKUP(tables_325104!C45,input_325104!A:H,8,FALSE),0))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input_325104!A$2</f>
        <v>325104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IFERROR(VLOOKUP(B46,input_325104!L:R,7,FALSE),ROUNDDOWN(VLOOKUP(tables_325104!C46,input_325104!A:H,8,FALSE),0))</f>
        <v>6840</v>
      </c>
      <c r="P46" s="48">
        <f ca="1">O46/SUM(O:O)</f>
        <v>4.5600194560830128E-4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input_325104!A$2</f>
        <v>325104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IFERROR(VLOOKUP(B47,input_325104!L:R,7,FALSE),ROUNDDOWN(VLOOKUP(tables_325104!C47,input_325104!A:H,8,FALSE),0))</f>
        <v>360</v>
      </c>
      <c r="P47" s="48">
        <f ca="1">O47/SUM(O:O)</f>
        <v>2.4000102400436909E-5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input_325104!A$2</f>
        <v>325104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IFERROR(VLOOKUP(B48,input_325104!L:R,7,FALSE),ROUNDDOWN(VLOOKUP(tables_325104!C48,input_325104!A:H,8,FALSE),0))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input_325104!A$2</f>
        <v>325104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IFERROR(VLOOKUP(B49,input_325104!L:R,7,FALSE),ROUNDDOWN(VLOOKUP(tables_325104!C49,input_325104!A:H,8,FALSE),0))</f>
        <v>6840</v>
      </c>
      <c r="P49" s="48">
        <f ca="1">O49/SUM(O:O)</f>
        <v>4.5600194560830128E-4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input_325104!A$2</f>
        <v>325104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IFERROR(VLOOKUP(B50,input_325104!L:R,7,FALSE),ROUNDDOWN(VLOOKUP(tables_325104!C50,input_325104!A:H,8,FALSE),0))</f>
        <v>360</v>
      </c>
      <c r="P50" s="48">
        <f ca="1">O50/SUM(O:O)</f>
        <v>2.4000102400436909E-5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input_325104!A$2</f>
        <v>325104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IFERROR(VLOOKUP(B51,input_325104!L:R,7,FALSE),ROUNDDOWN(VLOOKUP(tables_325104!C51,input_325104!A:H,8,FALSE),0))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input_325104!A$2</f>
        <v>325104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IFERROR(VLOOKUP(B52,input_325104!L:R,7,FALSE),ROUNDDOWN(VLOOKUP(tables_325104!C52,input_325104!A:H,8,FALSE),0))</f>
        <v>97917</v>
      </c>
      <c r="P52" s="48">
        <f ca="1">O52/SUM(O:O)</f>
        <v>6.5278278520655023E-3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input_325104!A$2</f>
        <v>325104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IFERROR(VLOOKUP(B53,input_325104!L:R,7,FALSE),ROUNDDOWN(VLOOKUP(tables_325104!C53,input_325104!A:H,8,FALSE),0))</f>
        <v>5153</v>
      </c>
      <c r="P53" s="48">
        <f ca="1">O53/SUM(O:O)</f>
        <v>3.435347990818094E-4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input_325104!A$2</f>
        <v>325104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IFERROR(VLOOKUP(B54,input_325104!L:R,7,FALSE),ROUNDDOWN(VLOOKUP(tables_325104!C54,input_325104!A:H,8,FALSE),0))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input_325104!A$2</f>
        <v>325104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IFERROR(VLOOKUP(B55,input_325104!L:R,7,FALSE),ROUNDDOWN(VLOOKUP(tables_325104!C55,input_325104!A:H,8,FALSE),0))</f>
        <v>456950</v>
      </c>
      <c r="P55" s="48">
        <f ca="1">O55/SUM(O:O)</f>
        <v>3.0463463310776793E-2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input_325104!A$2</f>
        <v>325104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IFERROR(VLOOKUP(B56,input_325104!L:R,7,FALSE),ROUNDDOWN(VLOOKUP(tables_325104!C56,input_325104!A:H,8,FALSE),0))</f>
        <v>24050</v>
      </c>
      <c r="P56" s="48">
        <f ca="1">O56/SUM(O:O)</f>
        <v>1.6033401742514101E-3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input_325104!A$2</f>
        <v>325104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IFERROR(VLOOKUP(B57,input_325104!L:R,7,FALSE),ROUNDDOWN(VLOOKUP(tables_325104!C57,input_325104!A:H,8,FALSE),0))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input_325104!A$2</f>
        <v>325104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IFERROR(VLOOKUP(B58,input_325104!L:R,7,FALSE),ROUNDDOWN(VLOOKUP(tables_325104!C58,input_325104!A:H,8,FALSE),0))</f>
        <v>97917</v>
      </c>
      <c r="P58" s="48">
        <f ca="1">O58/SUM(O:O)</f>
        <v>6.5278278520655023E-3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input_325104!A$2</f>
        <v>325104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IFERROR(VLOOKUP(B59,input_325104!L:R,7,FALSE),ROUNDDOWN(VLOOKUP(tables_325104!C59,input_325104!A:H,8,FALSE),0))</f>
        <v>5153</v>
      </c>
      <c r="P59" s="48">
        <f ca="1">O59/SUM(O:O)</f>
        <v>3.435347990818094E-4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input_325104!A$2</f>
        <v>325104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IFERROR(VLOOKUP(B60,input_325104!L:R,7,FALSE),ROUNDDOWN(VLOOKUP(tables_325104!C60,input_325104!A:H,8,FALSE),0))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input_325104!A$2</f>
        <v>325104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IFERROR(VLOOKUP(B61,input_325104!L:R,7,FALSE),ROUNDDOWN(VLOOKUP(tables_325104!C61,input_325104!A:H,8,FALSE),0))</f>
        <v>97917</v>
      </c>
      <c r="P61" s="48">
        <f ca="1">O61/SUM(O:O)</f>
        <v>6.5278278520655023E-3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input_325104!A$2</f>
        <v>325104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IFERROR(VLOOKUP(B62,input_325104!L:R,7,FALSE),ROUNDDOWN(VLOOKUP(tables_325104!C62,input_325104!A:H,8,FALSE),0))</f>
        <v>5153</v>
      </c>
      <c r="P62" s="48">
        <f ca="1">O62/SUM(O:O)</f>
        <v>3.435347990818094E-4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input_325104!A$2</f>
        <v>325104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IFERROR(VLOOKUP(B63,input_325104!L:R,7,FALSE),ROUNDDOWN(VLOOKUP(tables_325104!C63,input_325104!A:H,8,FALSE),0))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input_325104!A$2</f>
        <v>325104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IFERROR(VLOOKUP(B64,input_325104!L:R,7,FALSE),ROUNDDOWN(VLOOKUP(tables_325104!C64,input_325104!A:H,8,FALSE),0))</f>
        <v>97917</v>
      </c>
      <c r="P64" s="48">
        <f ca="1">O64/SUM(O:O)</f>
        <v>6.5278278520655023E-3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input_325104!A$2</f>
        <v>325104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IFERROR(VLOOKUP(B65,input_325104!L:R,7,FALSE),ROUNDDOWN(VLOOKUP(tables_325104!C65,input_325104!A:H,8,FALSE),0))</f>
        <v>5153</v>
      </c>
      <c r="P65" s="48">
        <f ca="1">O65/SUM(O:O)</f>
        <v>3.435347990818094E-4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input_325104!A$2</f>
        <v>325104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IFERROR(VLOOKUP(B66,input_325104!L:R,7,FALSE),ROUNDDOWN(VLOOKUP(tables_325104!C66,input_325104!A:H,8,FALSE),0))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input_325104!A$2</f>
        <v>325104</v>
      </c>
      <c r="B67" s="6">
        <v>191</v>
      </c>
      <c r="C67" s="7" t="str">
        <f t="shared" si="3"/>
        <v>Premium4color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IFERROR(VLOOKUP(B67,input_325104!L:R,7,FALSE),ROUNDDOWN(VLOOKUP(tables_325104!C67,input_325104!A:H,8,FALSE),0))</f>
        <v>456950</v>
      </c>
      <c r="P67" s="48">
        <f ca="1">O67/SUM(O:O)</f>
        <v>3.0463463310776793E-2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input_325104!A$2</f>
        <v>325104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IFERROR(VLOOKUP(B68,input_325104!L:R,7,FALSE),ROUNDDOWN(VLOOKUP(tables_325104!C68,input_325104!A:H,8,FALSE),0))</f>
        <v>24050</v>
      </c>
      <c r="P68" s="48">
        <f ca="1">O68/SUM(O:O)</f>
        <v>1.6033401742514101E-3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input_325104!A$2</f>
        <v>325104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IFERROR(VLOOKUP(B69,input_325104!L:R,7,FALSE),ROUNDDOWN(VLOOKUP(tables_325104!C69,input_325104!A:H,8,FALSE),0))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input_325104!A$2</f>
        <v>325104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IFERROR(VLOOKUP(B70,input_325104!L:R,7,FALSE),ROUNDDOWN(VLOOKUP(tables_325104!C70,input_325104!A:H,8,FALSE),0))</f>
        <v>97917</v>
      </c>
      <c r="P70" s="48">
        <f ca="1">O70/SUM(O:O)</f>
        <v>6.5278278520655023E-3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input_325104!A$2</f>
        <v>325104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IFERROR(VLOOKUP(B71,input_325104!L:R,7,FALSE),ROUNDDOWN(VLOOKUP(tables_325104!C71,input_325104!A:H,8,FALSE),0))</f>
        <v>5153</v>
      </c>
      <c r="P71" s="48">
        <f ca="1">O71/SUM(O:O)</f>
        <v>3.435347990818094E-4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input_325104!A$2</f>
        <v>325104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IFERROR(VLOOKUP(B72,input_325104!L:R,7,FALSE),ROUNDDOWN(VLOOKUP(tables_325104!C72,input_325104!A:H,8,FALSE),0))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input_325104!A$2</f>
        <v>325104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IFERROR(VLOOKUP(B73,input_325104!L:R,7,FALSE),ROUNDDOWN(VLOOKUP(tables_325104!C73,input_325104!A:H,8,FALSE),0))</f>
        <v>97917</v>
      </c>
      <c r="P73" s="48">
        <f ca="1">O73/SUM(O:O)</f>
        <v>6.5278278520655023E-3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input_325104!A$2</f>
        <v>325104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IFERROR(VLOOKUP(B74,input_325104!L:R,7,FALSE),ROUNDDOWN(VLOOKUP(tables_325104!C74,input_325104!A:H,8,FALSE),0))</f>
        <v>5153</v>
      </c>
      <c r="P74" s="48">
        <f ca="1">O74/SUM(O:O)</f>
        <v>3.435347990818094E-4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input_325104!A$2</f>
        <v>325104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IFERROR(VLOOKUP(B75,input_325104!L:R,7,FALSE),ROUNDDOWN(VLOOKUP(tables_325104!C75,input_325104!A:H,8,FALSE),0))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input_325104!A$2</f>
        <v>325104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IFERROR(VLOOKUP(B76,input_325104!L:R,7,FALSE),ROUNDDOWN(VLOOKUP(tables_325104!C76,input_325104!A:H,8,FALSE),0))</f>
        <v>97917</v>
      </c>
      <c r="P76" s="48">
        <f ca="1">O76/SUM(O:O)</f>
        <v>6.5278278520655023E-3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input_325104!A$2</f>
        <v>325104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IFERROR(VLOOKUP(B77,input_325104!L:R,7,FALSE),ROUNDDOWN(VLOOKUP(tables_325104!C77,input_325104!A:H,8,FALSE),0))</f>
        <v>5153</v>
      </c>
      <c r="P77" s="48">
        <f ca="1">O77/SUM(O:O)</f>
        <v>3.435347990818094E-4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input_325104!A$2</f>
        <v>325104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IFERROR(VLOOKUP(B78,input_325104!L:R,7,FALSE),ROUNDDOWN(VLOOKUP(tables_325104!C78,input_325104!A:H,8,FALSE),0))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input_325104!A$2</f>
        <v>325104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IFERROR(VLOOKUP(B79,input_325104!L:R,7,FALSE),ROUNDDOWN(VLOOKUP(tables_325104!C79,input_325104!A:H,8,FALSE),0))</f>
        <v>456950</v>
      </c>
      <c r="P79" s="48">
        <f ca="1">O79/SUM(O:O)</f>
        <v>3.0463463310776793E-2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input_325104!A$2</f>
        <v>325104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IFERROR(VLOOKUP(B80,input_325104!L:R,7,FALSE),ROUNDDOWN(VLOOKUP(tables_325104!C80,input_325104!A:H,8,FALSE),0))</f>
        <v>24050</v>
      </c>
      <c r="P80" s="48">
        <f ca="1">O80/SUM(O:O)</f>
        <v>1.6033401742514101E-3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input_325104!A$2</f>
        <v>325104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IFERROR(VLOOKUP(B81,input_325104!L:R,7,FALSE),ROUNDDOWN(VLOOKUP(tables_325104!C81,input_325104!A:H,8,FALSE),0))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input_325104!A$2</f>
        <v>325104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IFERROR(VLOOKUP(B82,input_325104!L:R,7,FALSE),ROUNDDOWN(VLOOKUP(tables_325104!C82,input_325104!A:H,8,FALSE),0))</f>
        <v>97917</v>
      </c>
      <c r="P82" s="48">
        <f ca="1">O82/SUM(O:O)</f>
        <v>6.5278278520655023E-3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input_325104!A$2</f>
        <v>325104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IFERROR(VLOOKUP(B83,input_325104!L:R,7,FALSE),ROUNDDOWN(VLOOKUP(tables_325104!C83,input_325104!A:H,8,FALSE),0))</f>
        <v>5153</v>
      </c>
      <c r="P83" s="48">
        <f ca="1">O83/SUM(O:O)</f>
        <v>3.435347990818094E-4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input_325104!A$2</f>
        <v>325104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IFERROR(VLOOKUP(B84,input_325104!L:R,7,FALSE),ROUNDDOWN(VLOOKUP(tables_325104!C84,input_325104!A:H,8,FALSE),0))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input_325104!A$2</f>
        <v>325104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IFERROR(VLOOKUP(B85,input_325104!L:R,7,FALSE),ROUNDDOWN(VLOOKUP(tables_325104!C85,input_325104!A:H,8,FALSE),0))</f>
        <v>97917</v>
      </c>
      <c r="P85" s="48">
        <f ca="1">O85/SUM(O:O)</f>
        <v>6.5278278520655023E-3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input_325104!A$2</f>
        <v>325104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IFERROR(VLOOKUP(B86,input_325104!L:R,7,FALSE),ROUNDDOWN(VLOOKUP(tables_325104!C86,input_325104!A:H,8,FALSE),0))</f>
        <v>5153</v>
      </c>
      <c r="P86" s="48">
        <f ca="1">O86/SUM(O:O)</f>
        <v>3.435347990818094E-4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input_325104!A$2</f>
        <v>325104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IFERROR(VLOOKUP(B87,input_325104!L:R,7,FALSE),ROUNDDOWN(VLOOKUP(tables_325104!C87,input_325104!A:H,8,FALSE),0))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input_325104!A$2</f>
        <v>325104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IFERROR(VLOOKUP(B88,input_325104!L:R,7,FALSE),ROUNDDOWN(VLOOKUP(tables_325104!C88,input_325104!A:H,8,FALSE),0))</f>
        <v>97917</v>
      </c>
      <c r="P88" s="48">
        <f ca="1">O88/SUM(O:O)</f>
        <v>6.5278278520655023E-3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input_325104!A$2</f>
        <v>325104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IFERROR(VLOOKUP(B89,input_325104!L:R,7,FALSE),ROUNDDOWN(VLOOKUP(tables_325104!C89,input_325104!A:H,8,FALSE),0))</f>
        <v>5153</v>
      </c>
      <c r="P89" s="48">
        <f ca="1">O89/SUM(O:O)</f>
        <v>3.435347990818094E-4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input_325104!A$2</f>
        <v>325104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IFERROR(VLOOKUP(B90,input_325104!L:R,7,FALSE),ROUNDDOWN(VLOOKUP(tables_325104!C90,input_325104!A:H,8,FALSE),0))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input_325104!A$2</f>
        <v>325104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IFERROR(VLOOKUP(B91,input_325104!L:R,7,FALSE),ROUNDDOWN(VLOOKUP(tables_325104!C91,input_325104!A:H,8,FALSE),0))</f>
        <v>456950</v>
      </c>
      <c r="P91" s="48">
        <f ca="1">O91/SUM(O:O)</f>
        <v>3.0463463310776793E-2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input_325104!A$2</f>
        <v>325104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IFERROR(VLOOKUP(B92,input_325104!L:R,7,FALSE),ROUNDDOWN(VLOOKUP(tables_325104!C92,input_325104!A:H,8,FALSE),0))</f>
        <v>24050</v>
      </c>
      <c r="P92" s="48">
        <f ca="1">O92/SUM(O:O)</f>
        <v>1.6033401742514101E-3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input_325104!A$2</f>
        <v>325104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IFERROR(VLOOKUP(B93,input_325104!L:R,7,FALSE),ROUNDDOWN(VLOOKUP(tables_325104!C93,input_325104!A:H,8,FALSE),0))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input_325104!A$2</f>
        <v>325104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IFERROR(VLOOKUP(B94,input_325104!L:R,7,FALSE),ROUNDDOWN(VLOOKUP(tables_325104!C94,input_325104!A:H,8,FALSE),0))</f>
        <v>97917</v>
      </c>
      <c r="P94" s="48">
        <f ca="1">O94/SUM(O:O)</f>
        <v>6.5278278520655023E-3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input_325104!A$2</f>
        <v>325104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IFERROR(VLOOKUP(B95,input_325104!L:R,7,FALSE),ROUNDDOWN(VLOOKUP(tables_325104!C95,input_325104!A:H,8,FALSE),0))</f>
        <v>5153</v>
      </c>
      <c r="P95" s="48">
        <f ca="1">O95/SUM(O:O)</f>
        <v>3.435347990818094E-4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input_325104!A$2</f>
        <v>325104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IFERROR(VLOOKUP(B96,input_325104!L:R,7,FALSE),ROUNDDOWN(VLOOKUP(tables_325104!C96,input_325104!A:H,8,FALSE),0))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input_325104!A$2</f>
        <v>325104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IFERROR(VLOOKUP(B97,input_325104!L:R,7,FALSE),ROUNDDOWN(VLOOKUP(tables_325104!C97,input_325104!A:H,8,FALSE),0))</f>
        <v>97917</v>
      </c>
      <c r="P97" s="48">
        <f ca="1">O97/SUM(O:O)</f>
        <v>6.5278278520655023E-3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input_325104!A$2</f>
        <v>325104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IFERROR(VLOOKUP(B98,input_325104!L:R,7,FALSE),ROUNDDOWN(VLOOKUP(tables_325104!C98,input_325104!A:H,8,FALSE),0))</f>
        <v>5153</v>
      </c>
      <c r="P98" s="48">
        <f ca="1">O98/SUM(O:O)</f>
        <v>3.435347990818094E-4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input_325104!A$2</f>
        <v>325104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IFERROR(VLOOKUP(B99,input_325104!L:R,7,FALSE),ROUNDDOWN(VLOOKUP(tables_325104!C99,input_325104!A:H,8,FALSE),0))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input_325104!A$2</f>
        <v>325104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IFERROR(VLOOKUP(B100,input_325104!L:R,7,FALSE),ROUNDDOWN(VLOOKUP(tables_325104!C100,input_325104!A:H,8,FALSE),0))</f>
        <v>97917</v>
      </c>
      <c r="P100" s="48">
        <f ca="1">O100/SUM(O:O)</f>
        <v>6.5278278520655023E-3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input_325104!A$2</f>
        <v>325104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IFERROR(VLOOKUP(B101,input_325104!L:R,7,FALSE),ROUNDDOWN(VLOOKUP(tables_325104!C101,input_325104!A:H,8,FALSE),0))</f>
        <v>5153</v>
      </c>
      <c r="P101" s="48">
        <f ca="1">O101/SUM(O:O)</f>
        <v>3.435347990818094E-4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input_325104!A$2</f>
        <v>325104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IFERROR(VLOOKUP(B102,input_325104!L:R,7,FALSE),ROUNDDOWN(VLOOKUP(tables_325104!C102,input_325104!A:H,8,FALSE),0))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input_325104!A$2</f>
        <v>325104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IFERROR(VLOOKUP(B103,input_325104!L:R,7,FALSE),ROUNDDOWN(VLOOKUP(tables_325104!C103,input_325104!A:H,8,FALSE),0))</f>
        <v>456950</v>
      </c>
      <c r="P103" s="48">
        <f ca="1">O103/SUM(O:O)</f>
        <v>3.0463463310776793E-2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input_325104!A$2</f>
        <v>325104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IFERROR(VLOOKUP(B104,input_325104!L:R,7,FALSE),ROUNDDOWN(VLOOKUP(tables_325104!C104,input_325104!A:H,8,FALSE),0))</f>
        <v>24050</v>
      </c>
      <c r="P104" s="48">
        <f ca="1">O104/SUM(O:O)</f>
        <v>1.6033401742514101E-3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input_325104!A$2</f>
        <v>325104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IFERROR(VLOOKUP(B105,input_325104!L:R,7,FALSE),ROUNDDOWN(VLOOKUP(tables_325104!C105,input_325104!A:H,8,FALSE),0))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input_325104!A$2</f>
        <v>325104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IFERROR(VLOOKUP(B106,input_325104!L:R,7,FALSE),ROUNDDOWN(VLOOKUP(tables_325104!C106,input_325104!A:H,8,FALSE),0))</f>
        <v>97917</v>
      </c>
      <c r="P106" s="48">
        <f ca="1">O106/SUM(O:O)</f>
        <v>6.5278278520655023E-3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input_325104!A$2</f>
        <v>325104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IFERROR(VLOOKUP(B107,input_325104!L:R,7,FALSE),ROUNDDOWN(VLOOKUP(tables_325104!C107,input_325104!A:H,8,FALSE),0))</f>
        <v>5153</v>
      </c>
      <c r="P107" s="48">
        <f ca="1">O107/SUM(O:O)</f>
        <v>3.435347990818094E-4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input_325104!A$2</f>
        <v>325104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IFERROR(VLOOKUP(B108,input_325104!L:R,7,FALSE),ROUNDDOWN(VLOOKUP(tables_325104!C108,input_325104!A:H,8,FALSE),0))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input_325104!A$2</f>
        <v>325104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IFERROR(VLOOKUP(B109,input_325104!L:R,7,FALSE),ROUNDDOWN(VLOOKUP(tables_325104!C109,input_325104!A:H,8,FALSE),0))</f>
        <v>97917</v>
      </c>
      <c r="P109" s="48">
        <f ca="1">O109/SUM(O:O)</f>
        <v>6.5278278520655023E-3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input_325104!A$2</f>
        <v>325104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IFERROR(VLOOKUP(B110,input_325104!L:R,7,FALSE),ROUNDDOWN(VLOOKUP(tables_325104!C110,input_325104!A:H,8,FALSE),0))</f>
        <v>5153</v>
      </c>
      <c r="P110" s="48">
        <f ca="1">O110/SUM(O:O)</f>
        <v>3.435347990818094E-4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input_325104!A$2</f>
        <v>325104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IFERROR(VLOOKUP(B111,input_325104!L:R,7,FALSE),ROUNDDOWN(VLOOKUP(tables_325104!C111,input_325104!A:H,8,FALSE),0))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input_325104!A$2</f>
        <v>325104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IFERROR(VLOOKUP(B112,input_325104!L:R,7,FALSE),ROUNDDOWN(VLOOKUP(tables_325104!C112,input_325104!A:H,8,FALSE),0))</f>
        <v>6840</v>
      </c>
      <c r="P112" s="48">
        <f ca="1">O112/SUM(O:O)</f>
        <v>4.5600194560830128E-4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input_325104!A$2</f>
        <v>325104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IFERROR(VLOOKUP(B113,input_325104!L:R,7,FALSE),ROUNDDOWN(VLOOKUP(tables_325104!C113,input_325104!A:H,8,FALSE),0))</f>
        <v>360</v>
      </c>
      <c r="P113" s="48">
        <f ca="1">O113/SUM(O:O)</f>
        <v>2.4000102400436909E-5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input_325104!A$2</f>
        <v>325104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IFERROR(VLOOKUP(B114,input_325104!L:R,7,FALSE),ROUNDDOWN(VLOOKUP(tables_325104!C114,input_325104!A:H,8,FALSE),0))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input_325104!A$2</f>
        <v>325104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IFERROR(VLOOKUP(B115,input_325104!L:R,7,FALSE),ROUNDDOWN(VLOOKUP(tables_325104!C115,input_325104!A:H,8,FALSE),0))</f>
        <v>456950</v>
      </c>
      <c r="P115" s="48">
        <f ca="1">O115/SUM(O:O)</f>
        <v>3.0463463310776793E-2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input_325104!A$2</f>
        <v>325104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IFERROR(VLOOKUP(B116,input_325104!L:R,7,FALSE),ROUNDDOWN(VLOOKUP(tables_325104!C116,input_325104!A:H,8,FALSE),0))</f>
        <v>24050</v>
      </c>
      <c r="P116" s="48">
        <f ca="1">O116/SUM(O:O)</f>
        <v>1.6033401742514101E-3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input_325104!A$2</f>
        <v>325104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IFERROR(VLOOKUP(B117,input_325104!L:R,7,FALSE),ROUNDDOWN(VLOOKUP(tables_325104!C117,input_325104!A:H,8,FALSE),0))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input_325104!A$2</f>
        <v>325104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IFERROR(VLOOKUP(B118,input_325104!L:R,7,FALSE),ROUNDDOWN(VLOOKUP(tables_325104!C118,input_325104!A:H,8,FALSE),0))</f>
        <v>97917</v>
      </c>
      <c r="P118" s="48">
        <f ca="1">O118/SUM(O:O)</f>
        <v>6.5278278520655023E-3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input_325104!A$2</f>
        <v>325104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IFERROR(VLOOKUP(B119,input_325104!L:R,7,FALSE),ROUNDDOWN(VLOOKUP(tables_325104!C119,input_325104!A:H,8,FALSE),0))</f>
        <v>5153</v>
      </c>
      <c r="P119" s="48">
        <f ca="1">O119/SUM(O:O)</f>
        <v>3.435347990818094E-4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input_325104!A$2</f>
        <v>325104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IFERROR(VLOOKUP(B120,input_325104!L:R,7,FALSE),ROUNDDOWN(VLOOKUP(tables_325104!C120,input_325104!A:H,8,FALSE),0))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input_325104!A$2</f>
        <v>325104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IFERROR(VLOOKUP(B121,input_325104!L:R,7,FALSE),ROUNDDOWN(VLOOKUP(tables_325104!C121,input_325104!A:H,8,FALSE),0))</f>
        <v>97917</v>
      </c>
      <c r="P121" s="48">
        <f ca="1">O121/SUM(O:O)</f>
        <v>6.5278278520655023E-3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input_325104!A$2</f>
        <v>325104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IFERROR(VLOOKUP(B122,input_325104!L:R,7,FALSE),ROUNDDOWN(VLOOKUP(tables_325104!C122,input_325104!A:H,8,FALSE),0))</f>
        <v>5153</v>
      </c>
      <c r="P122" s="48">
        <f ca="1">O122/SUM(O:O)</f>
        <v>3.435347990818094E-4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input_325104!A$2</f>
        <v>325104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IFERROR(VLOOKUP(B123,input_325104!L:R,7,FALSE),ROUNDDOWN(VLOOKUP(tables_325104!C123,input_325104!A:H,8,FALSE),0))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input_325104!A$2</f>
        <v>325104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IFERROR(VLOOKUP(B124,input_325104!L:R,7,FALSE),ROUNDDOWN(VLOOKUP(tables_325104!C124,input_325104!A:H,8,FALSE),0))</f>
        <v>97917</v>
      </c>
      <c r="P124" s="48">
        <f ca="1">O124/SUM(O:O)</f>
        <v>6.5278278520655023E-3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input_325104!A$2</f>
        <v>325104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IFERROR(VLOOKUP(B125,input_325104!L:R,7,FALSE),ROUNDDOWN(VLOOKUP(tables_325104!C125,input_325104!A:H,8,FALSE),0))</f>
        <v>5153</v>
      </c>
      <c r="P125" s="48">
        <f ca="1">O125/SUM(O:O)</f>
        <v>3.435347990818094E-4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input_325104!A$2</f>
        <v>325104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IFERROR(VLOOKUP(B126,input_325104!L:R,7,FALSE),ROUNDDOWN(VLOOKUP(tables_325104!C126,input_325104!A:H,8,FALSE),0))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input_325104!A$2</f>
        <v>325104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IFERROR(VLOOKUP(B127,input_325104!L:R,7,FALSE),ROUNDDOWN(VLOOKUP(tables_325104!C127,input_325104!A:H,8,FALSE),0))</f>
        <v>456950</v>
      </c>
      <c r="P127" s="48">
        <f ca="1">O127/SUM(O:O)</f>
        <v>3.0463463310776793E-2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input_325104!A$2</f>
        <v>325104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IFERROR(VLOOKUP(B128,input_325104!L:R,7,FALSE),ROUNDDOWN(VLOOKUP(tables_325104!C128,input_325104!A:H,8,FALSE),0))</f>
        <v>24050</v>
      </c>
      <c r="P128" s="48">
        <f ca="1">O128/SUM(O:O)</f>
        <v>1.6033401742514101E-3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input_325104!A$2</f>
        <v>325104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IFERROR(VLOOKUP(B129,input_325104!L:R,7,FALSE),ROUNDDOWN(VLOOKUP(tables_325104!C129,input_325104!A:H,8,FALSE),0))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input_325104!A$2</f>
        <v>325104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IFERROR(VLOOKUP(B130,input_325104!L:R,7,FALSE),ROUNDDOWN(VLOOKUP(tables_325104!C130,input_325104!A:H,8,FALSE),0))</f>
        <v>97917</v>
      </c>
      <c r="P130" s="48">
        <f ca="1">O130/SUM(O:O)</f>
        <v>6.5278278520655023E-3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input_325104!A$2</f>
        <v>325104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IFERROR(VLOOKUP(B131,input_325104!L:R,7,FALSE),ROUNDDOWN(VLOOKUP(tables_325104!C131,input_325104!A:H,8,FALSE),0))</f>
        <v>5153</v>
      </c>
      <c r="P131" s="48">
        <f ca="1">O131/SUM(O:O)</f>
        <v>3.435347990818094E-4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input_325104!A$2</f>
        <v>325104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IFERROR(VLOOKUP(B132,input_325104!L:R,7,FALSE),ROUNDDOWN(VLOOKUP(tables_325104!C132,input_325104!A:H,8,FALSE),0))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input_325104!A$2</f>
        <v>325104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IFERROR(VLOOKUP(B133,input_325104!L:R,7,FALSE),ROUNDDOWN(VLOOKUP(tables_325104!C133,input_325104!A:H,8,FALSE),0))</f>
        <v>97917</v>
      </c>
      <c r="P133" s="48">
        <f ca="1">O133/SUM(O:O)</f>
        <v>6.5278278520655023E-3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input_325104!A$2</f>
        <v>325104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IFERROR(VLOOKUP(B134,input_325104!L:R,7,FALSE),ROUNDDOWN(VLOOKUP(tables_325104!C134,input_325104!A:H,8,FALSE),0))</f>
        <v>5153</v>
      </c>
      <c r="P134" s="48">
        <f ca="1">O134/SUM(O:O)</f>
        <v>3.435347990818094E-4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input_325104!A$2</f>
        <v>325104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IFERROR(VLOOKUP(B135,input_325104!L:R,7,FALSE),ROUNDDOWN(VLOOKUP(tables_325104!C135,input_325104!A:H,8,FALSE),0))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input_325104!A$2</f>
        <v>325104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IFERROR(VLOOKUP(B136,input_325104!L:R,7,FALSE),ROUNDDOWN(VLOOKUP(tables_325104!C136,input_325104!A:H,8,FALSE),0))</f>
        <v>97917</v>
      </c>
      <c r="P136" s="48">
        <f ca="1">O136/SUM(O:O)</f>
        <v>6.5278278520655023E-3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input_325104!A$2</f>
        <v>325104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IFERROR(VLOOKUP(B137,input_325104!L:R,7,FALSE),ROUNDDOWN(VLOOKUP(tables_325104!C137,input_325104!A:H,8,FALSE),0))</f>
        <v>5153</v>
      </c>
      <c r="P137" s="48">
        <f ca="1">O137/SUM(O:O)</f>
        <v>3.435347990818094E-4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input_325104!A$2</f>
        <v>325104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IFERROR(VLOOKUP(B138,input_325104!L:R,7,FALSE),ROUNDDOWN(VLOOKUP(tables_325104!C138,input_325104!A:H,8,FALSE),0))</f>
        <v>28500</v>
      </c>
      <c r="P138" s="48">
        <f ca="1">O138/SUM(O:O)</f>
        <v>1.9000081067012552E-3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input_325104!A$2</f>
        <v>325104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IFERROR(VLOOKUP(B139,input_325104!L:R,7,FALSE),ROUNDDOWN(VLOOKUP(tables_325104!C139,input_325104!A:H,8,FALSE),0))</f>
        <v>1500</v>
      </c>
      <c r="P139" s="48">
        <f ca="1">O139/SUM(O:O)</f>
        <v>1.0000042666848711E-4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input_325104!A$2</f>
        <v>325104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IFERROR(VLOOKUP(B140,input_325104!L:R,7,FALSE),ROUNDDOWN(VLOOKUP(tables_325104!C140,input_325104!A:H,8,FALSE),0))</f>
        <v>6840</v>
      </c>
      <c r="P140" s="48">
        <f ca="1">O140/SUM(O:O)</f>
        <v>4.5600194560830128E-4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input_325104!A$2</f>
        <v>325104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IFERROR(VLOOKUP(B141,input_325104!L:R,7,FALSE),ROUNDDOWN(VLOOKUP(tables_325104!C141,input_325104!A:H,8,FALSE),0))</f>
        <v>360</v>
      </c>
      <c r="P141" s="48">
        <f ca="1">O141/SUM(O:O)</f>
        <v>2.4000102400436909E-5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input_325104!A$2</f>
        <v>325104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IFERROR(VLOOKUP(B142,input_325104!L:R,7,FALSE),ROUNDDOWN(VLOOKUP(tables_325104!C142,input_325104!A:H,8,FALSE),0))</f>
        <v>6840</v>
      </c>
      <c r="P142" s="48">
        <f ca="1">O142/SUM(O:O)</f>
        <v>4.5600194560830128E-4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input_325104!A$2</f>
        <v>325104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IFERROR(VLOOKUP(B143,input_325104!L:R,7,FALSE),ROUNDDOWN(VLOOKUP(tables_325104!C143,input_325104!A:H,8,FALSE),0))</f>
        <v>360</v>
      </c>
      <c r="P143" s="48">
        <f ca="1">O143/SUM(O:O)</f>
        <v>2.4000102400436909E-5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input_325104!A$2</f>
        <v>325104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IFERROR(VLOOKUP(B144,input_325104!L:R,7,FALSE),ROUNDDOWN(VLOOKUP(tables_325104!C144,input_325104!A:H,8,FALSE),0))</f>
        <v>6840</v>
      </c>
      <c r="P144" s="48">
        <f ca="1">O144/SUM(O:O)</f>
        <v>4.5600194560830128E-4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input_325104!A$2</f>
        <v>325104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IFERROR(VLOOKUP(B145,input_325104!L:R,7,FALSE),ROUNDDOWN(VLOOKUP(tables_325104!C145,input_325104!A:H,8,FALSE),0))</f>
        <v>360</v>
      </c>
      <c r="P145" s="48">
        <f ca="1">O145/SUM(O:O)</f>
        <v>2.4000102400436909E-5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input_325104!A$2</f>
        <v>325104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IFERROR(VLOOKUP(B146,input_325104!L:R,7,FALSE),ROUNDDOWN(VLOOKUP(tables_325104!C146,input_325104!A:H,8,FALSE),0))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input_325104!A$2</f>
        <v>325104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IFERROR(VLOOKUP(B147,input_325104!L:R,7,FALSE),ROUNDDOWN(VLOOKUP(tables_325104!C147,input_325104!A:H,8,FALSE),0))</f>
        <v>456950</v>
      </c>
      <c r="P147" s="48">
        <f ca="1">O147/SUM(O:O)</f>
        <v>3.0463463310776793E-2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input_325104!A$2</f>
        <v>325104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IFERROR(VLOOKUP(B148,input_325104!L:R,7,FALSE),ROUNDDOWN(VLOOKUP(tables_325104!C148,input_325104!A:H,8,FALSE),0))</f>
        <v>24050</v>
      </c>
      <c r="P148" s="48">
        <f ca="1">O148/SUM(O:O)</f>
        <v>1.6033401742514101E-3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input_325104!A$2</f>
        <v>325104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IFERROR(VLOOKUP(B149,input_325104!L:R,7,FALSE),ROUNDDOWN(VLOOKUP(tables_325104!C149,input_325104!A:H,8,FALSE),0))</f>
        <v>6840</v>
      </c>
      <c r="P149" s="48">
        <f ca="1">O149/SUM(O:O)</f>
        <v>4.5600194560830128E-4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input_325104!A$2</f>
        <v>325104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IFERROR(VLOOKUP(B150,input_325104!L:R,7,FALSE),ROUNDDOWN(VLOOKUP(tables_325104!C150,input_325104!A:H,8,FALSE),0))</f>
        <v>360</v>
      </c>
      <c r="P150" s="48">
        <f ca="1">O150/SUM(O:O)</f>
        <v>2.4000102400436909E-5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input_325104!A$2</f>
        <v>325104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IFERROR(VLOOKUP(B151,input_325104!L:R,7,FALSE),ROUNDDOWN(VLOOKUP(tables_325104!C151,input_325104!A:H,8,FALSE),0))</f>
        <v>6840</v>
      </c>
      <c r="P151" s="48">
        <f ca="1">O151/SUM(O:O)</f>
        <v>4.5600194560830128E-4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input_325104!A$2</f>
        <v>325104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IFERROR(VLOOKUP(B152,input_325104!L:R,7,FALSE),ROUNDDOWN(VLOOKUP(tables_325104!C152,input_325104!A:H,8,FALSE),0))</f>
        <v>360</v>
      </c>
      <c r="P152" s="48">
        <f ca="1">O152/SUM(O:O)</f>
        <v>2.4000102400436909E-5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input_325104!A$2</f>
        <v>325104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IFERROR(VLOOKUP(B153,input_325104!L:R,7,FALSE),ROUNDDOWN(VLOOKUP(tables_325104!C153,input_325104!A:H,8,FALSE),0))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input_325104!A$2</f>
        <v>325104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IFERROR(VLOOKUP(B154,input_325104!L:R,7,FALSE),ROUNDDOWN(VLOOKUP(tables_325104!C154,input_325104!A:H,8,FALSE),0))</f>
        <v>97917</v>
      </c>
      <c r="P154" s="48">
        <f ca="1">O154/SUM(O:O)</f>
        <v>6.5278278520655023E-3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input_325104!A$2</f>
        <v>325104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IFERROR(VLOOKUP(B155,input_325104!L:R,7,FALSE),ROUNDDOWN(VLOOKUP(tables_325104!C155,input_325104!A:H,8,FALSE),0))</f>
        <v>5153</v>
      </c>
      <c r="P155" s="48">
        <f ca="1">O155/SUM(O:O)</f>
        <v>3.435347990818094E-4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input_325104!A$2</f>
        <v>325104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IFERROR(VLOOKUP(B156,input_325104!L:R,7,FALSE),ROUNDDOWN(VLOOKUP(tables_325104!C156,input_325104!A:H,8,FALSE),0))</f>
        <v>28500</v>
      </c>
      <c r="P156" s="48">
        <f ca="1">O156/SUM(O:O)</f>
        <v>1.9000081067012552E-3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input_325104!A$2</f>
        <v>325104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IFERROR(VLOOKUP(B157,input_325104!L:R,7,FALSE),ROUNDDOWN(VLOOKUP(tables_325104!C157,input_325104!A:H,8,FALSE),0))</f>
        <v>1500</v>
      </c>
      <c r="P157" s="48">
        <f ca="1">O157/SUM(O:O)</f>
        <v>1.0000042666848711E-4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input_325104!A$2</f>
        <v>325104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IFERROR(VLOOKUP(B158,input_325104!L:R,7,FALSE),ROUNDDOWN(VLOOKUP(tables_325104!C158,input_325104!A:H,8,FALSE),0))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input_325104!A$2</f>
        <v>325104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IFERROR(VLOOKUP(B159,input_325104!L:R,7,FALSE),ROUNDDOWN(VLOOKUP(tables_325104!C159,input_325104!A:H,8,FALSE),0))</f>
        <v>97917</v>
      </c>
      <c r="P159" s="48">
        <f ca="1">O159/SUM(O:O)</f>
        <v>6.5278278520655023E-3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input_325104!A$2</f>
        <v>325104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IFERROR(VLOOKUP(B160,input_325104!L:R,7,FALSE),ROUNDDOWN(VLOOKUP(tables_325104!C160,input_325104!A:H,8,FALSE),0))</f>
        <v>5153</v>
      </c>
      <c r="P160" s="48">
        <f ca="1">O160/SUM(O:O)</f>
        <v>3.435347990818094E-4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input_325104!A$2</f>
        <v>325104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IFERROR(VLOOKUP(B161,input_325104!L:R,7,FALSE),ROUNDDOWN(VLOOKUP(tables_325104!C161,input_325104!A:H,8,FALSE),0))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input_325104!A$2</f>
        <v>325104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IFERROR(VLOOKUP(B162,input_325104!L:R,7,FALSE),ROUNDDOWN(VLOOKUP(tables_325104!C162,input_325104!A:H,8,FALSE),0))</f>
        <v>97917</v>
      </c>
      <c r="P162" s="48">
        <f ca="1">O162/SUM(O:O)</f>
        <v>6.5278278520655023E-3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input_325104!A$2</f>
        <v>325104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IFERROR(VLOOKUP(B163,input_325104!L:R,7,FALSE),ROUNDDOWN(VLOOKUP(tables_325104!C163,input_325104!A:H,8,FALSE),0))</f>
        <v>5153</v>
      </c>
      <c r="P163" s="48">
        <f ca="1">O163/SUM(O:O)</f>
        <v>3.435347990818094E-4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input_325104!A$2</f>
        <v>325104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IFERROR(VLOOKUP(B164,input_325104!L:R,7,FALSE),ROUNDDOWN(VLOOKUP(tables_325104!C164,input_325104!A:H,8,FALSE),0))</f>
        <v>6840</v>
      </c>
      <c r="P164" s="48">
        <f ca="1">O164/SUM(O:O)</f>
        <v>4.5600194560830128E-4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input_325104!A$2</f>
        <v>325104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IFERROR(VLOOKUP(B165,input_325104!L:R,7,FALSE),ROUNDDOWN(VLOOKUP(tables_325104!C165,input_325104!A:H,8,FALSE),0))</f>
        <v>360</v>
      </c>
      <c r="P165" s="48">
        <f ca="1">O165/SUM(O:O)</f>
        <v>2.4000102400436909E-5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input_325104!A$2</f>
        <v>325104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IFERROR(VLOOKUP(B166,input_325104!L:R,7,FALSE),ROUNDDOWN(VLOOKUP(tables_325104!C166,input_325104!A:H,8,FALSE),0))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input_325104!A$2</f>
        <v>325104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IFERROR(VLOOKUP(B167,input_325104!L:R,7,FALSE),ROUNDDOWN(VLOOKUP(tables_325104!C167,input_325104!A:H,8,FALSE),0))</f>
        <v>456950</v>
      </c>
      <c r="P167" s="48">
        <f ca="1">O167/SUM(O:O)</f>
        <v>3.0463463310776793E-2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input_325104!A$2</f>
        <v>325104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IFERROR(VLOOKUP(B168,input_325104!L:R,7,FALSE),ROUNDDOWN(VLOOKUP(tables_325104!C168,input_325104!A:H,8,FALSE),0))</f>
        <v>24050</v>
      </c>
      <c r="P168" s="48">
        <f ca="1">O168/SUM(O:O)</f>
        <v>1.6033401742514101E-3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input_325104!A$2</f>
        <v>325104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IFERROR(VLOOKUP(B169,input_325104!L:R,7,FALSE),ROUNDDOWN(VLOOKUP(tables_325104!C169,input_325104!A:H,8,FALSE),0))</f>
        <v>6840</v>
      </c>
      <c r="P169" s="48">
        <f ca="1">O169/SUM(O:O)</f>
        <v>4.5600194560830128E-4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input_325104!A$2</f>
        <v>325104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IFERROR(VLOOKUP(B170,input_325104!L:R,7,FALSE),ROUNDDOWN(VLOOKUP(tables_325104!C170,input_325104!A:H,8,FALSE),0))</f>
        <v>360</v>
      </c>
      <c r="P170" s="48">
        <f ca="1">O170/SUM(O:O)</f>
        <v>2.4000102400436909E-5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input_325104!A$2</f>
        <v>325104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IFERROR(VLOOKUP(B171,input_325104!L:R,7,FALSE),ROUNDDOWN(VLOOKUP(tables_325104!C171,input_325104!A:H,8,FALSE),0))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input_325104!A$2</f>
        <v>325104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IFERROR(VLOOKUP(B172,input_325104!L:R,7,FALSE),ROUNDDOWN(VLOOKUP(tables_325104!C172,input_325104!A:H,8,FALSE),0))</f>
        <v>97917</v>
      </c>
      <c r="P172" s="48">
        <f ca="1">O172/SUM(O:O)</f>
        <v>6.5278278520655023E-3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input_325104!A$2</f>
        <v>325104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IFERROR(VLOOKUP(B173,input_325104!L:R,7,FALSE),ROUNDDOWN(VLOOKUP(tables_325104!C173,input_325104!A:H,8,FALSE),0))</f>
        <v>5153</v>
      </c>
      <c r="P173" s="48">
        <f ca="1">O173/SUM(O:O)</f>
        <v>3.435347990818094E-4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input_325104!A$2</f>
        <v>325104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IFERROR(VLOOKUP(B174,input_325104!L:R,7,FALSE),ROUNDDOWN(VLOOKUP(tables_325104!C174,input_325104!A:H,8,FALSE),0))</f>
        <v>6840</v>
      </c>
      <c r="P174" s="48">
        <f ca="1">O174/SUM(O:O)</f>
        <v>4.5600194560830128E-4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input_325104!A$2</f>
        <v>325104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IFERROR(VLOOKUP(B175,input_325104!L:R,7,FALSE),ROUNDDOWN(VLOOKUP(tables_325104!C175,input_325104!A:H,8,FALSE),0))</f>
        <v>360</v>
      </c>
      <c r="P175" s="48">
        <f ca="1">O175/SUM(O:O)</f>
        <v>2.4000102400436909E-5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input_325104!A$2</f>
        <v>325104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IFERROR(VLOOKUP(B176,input_325104!L:R,7,FALSE),ROUNDDOWN(VLOOKUP(tables_325104!C176,input_325104!A:H,8,FALSE),0))</f>
        <v>28500</v>
      </c>
      <c r="P176" s="48">
        <f ca="1">O176/SUM(O:O)</f>
        <v>1.9000081067012552E-3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input_325104!A$2</f>
        <v>325104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IFERROR(VLOOKUP(B177,input_325104!L:R,7,FALSE),ROUNDDOWN(VLOOKUP(tables_325104!C177,input_325104!A:H,8,FALSE),0))</f>
        <v>1500</v>
      </c>
      <c r="P177" s="48">
        <f ca="1">O177/SUM(O:O)</f>
        <v>1.0000042666848711E-4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input_325104!A$2</f>
        <v>325104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IFERROR(VLOOKUP(B178,input_325104!L:R,7,FALSE),ROUNDDOWN(VLOOKUP(tables_325104!C178,input_325104!A:H,8,FALSE),0))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input_325104!A$2</f>
        <v>325104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IFERROR(VLOOKUP(B179,input_325104!L:R,7,FALSE),ROUNDDOWN(VLOOKUP(tables_325104!C179,input_325104!A:H,8,FALSE),0))</f>
        <v>97917</v>
      </c>
      <c r="P179" s="48">
        <f ca="1">O179/SUM(O:O)</f>
        <v>6.5278278520655023E-3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input_325104!A$2</f>
        <v>325104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IFERROR(VLOOKUP(B180,input_325104!L:R,7,FALSE),ROUNDDOWN(VLOOKUP(tables_325104!C180,input_325104!A:H,8,FALSE),0))</f>
        <v>5153</v>
      </c>
      <c r="P180" s="48">
        <f ca="1">O180/SUM(O:O)</f>
        <v>3.435347990818094E-4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input_325104!A$2</f>
        <v>325104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IFERROR(VLOOKUP(B181,input_325104!L:R,7,FALSE),ROUNDDOWN(VLOOKUP(tables_325104!C181,input_325104!A:H,8,FALSE),0))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input_325104!A$2</f>
        <v>325104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IFERROR(VLOOKUP(B182,input_325104!L:R,7,FALSE),ROUNDDOWN(VLOOKUP(tables_325104!C182,input_325104!A:H,8,FALSE),0))</f>
        <v>97917</v>
      </c>
      <c r="P182" s="48">
        <f ca="1">O182/SUM(O:O)</f>
        <v>6.5278278520655023E-3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input_325104!A$2</f>
        <v>325104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IFERROR(VLOOKUP(B183,input_325104!L:R,7,FALSE),ROUNDDOWN(VLOOKUP(tables_325104!C183,input_325104!A:H,8,FALSE),0))</f>
        <v>5153</v>
      </c>
      <c r="P183" s="48">
        <f ca="1">O183/SUM(O:O)</f>
        <v>3.435347990818094E-4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input_325104!A$2</f>
        <v>325104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IFERROR(VLOOKUP(B184,input_325104!L:R,7,FALSE),ROUNDDOWN(VLOOKUP(tables_325104!C184,input_325104!A:H,8,FALSE),0))</f>
        <v>6840</v>
      </c>
      <c r="P184" s="48">
        <f ca="1">O184/SUM(O:O)</f>
        <v>4.5600194560830128E-4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input_325104!A$2</f>
        <v>325104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IFERROR(VLOOKUP(B185,input_325104!L:R,7,FALSE),ROUNDDOWN(VLOOKUP(tables_325104!C185,input_325104!A:H,8,FALSE),0))</f>
        <v>360</v>
      </c>
      <c r="P185" s="48">
        <f ca="1">O185/SUM(O:O)</f>
        <v>2.4000102400436909E-5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input_325104!A$2</f>
        <v>325104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IFERROR(VLOOKUP(B186,input_325104!L:R,7,FALSE),ROUNDDOWN(VLOOKUP(tables_325104!C186,input_325104!A:H,8,FALSE),0))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input_325104!A$2</f>
        <v>325104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IFERROR(VLOOKUP(B187,input_325104!L:R,7,FALSE),ROUNDDOWN(VLOOKUP(tables_325104!C187,input_325104!A:H,8,FALSE),0))</f>
        <v>456950</v>
      </c>
      <c r="P187" s="48">
        <f ca="1">O187/SUM(O:O)</f>
        <v>3.0463463310776793E-2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input_325104!A$2</f>
        <v>325104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IFERROR(VLOOKUP(B188,input_325104!L:R,7,FALSE),ROUNDDOWN(VLOOKUP(tables_325104!C188,input_325104!A:H,8,FALSE),0))</f>
        <v>24050</v>
      </c>
      <c r="P188" s="48">
        <f ca="1">O188/SUM(O:O)</f>
        <v>1.6033401742514101E-3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input_325104!A$2</f>
        <v>325104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IFERROR(VLOOKUP(B189,input_325104!L:R,7,FALSE),ROUNDDOWN(VLOOKUP(tables_325104!C189,input_325104!A:H,8,FALSE),0))</f>
        <v>6840</v>
      </c>
      <c r="P189" s="48">
        <f ca="1">O189/SUM(O:O)</f>
        <v>4.5600194560830128E-4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input_325104!A$2</f>
        <v>325104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IFERROR(VLOOKUP(B190,input_325104!L:R,7,FALSE),ROUNDDOWN(VLOOKUP(tables_325104!C190,input_325104!A:H,8,FALSE),0))</f>
        <v>360</v>
      </c>
      <c r="P190" s="48">
        <f ca="1">O190/SUM(O:O)</f>
        <v>2.4000102400436909E-5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input_325104!A$2</f>
        <v>325104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IFERROR(VLOOKUP(B191,input_325104!L:R,7,FALSE),ROUNDDOWN(VLOOKUP(tables_325104!C191,input_325104!A:H,8,FALSE),0))</f>
        <v>6840</v>
      </c>
      <c r="P191" s="48">
        <f ca="1">O191/SUM(O:O)</f>
        <v>4.5600194560830128E-4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input_325104!A$2</f>
        <v>325104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IFERROR(VLOOKUP(B192,input_325104!L:R,7,FALSE),ROUNDDOWN(VLOOKUP(tables_325104!C192,input_325104!A:H,8,FALSE),0))</f>
        <v>360</v>
      </c>
      <c r="P192" s="48">
        <f ca="1">O192/SUM(O:O)</f>
        <v>2.4000102400436909E-5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input_325104!A$2</f>
        <v>325104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IFERROR(VLOOKUP(B193,input_325104!L:R,7,FALSE),ROUNDDOWN(VLOOKUP(tables_325104!C193,input_325104!A:H,8,FALSE),0))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input_325104!A$2</f>
        <v>325104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IFERROR(VLOOKUP(B194,input_325104!L:R,7,FALSE),ROUNDDOWN(VLOOKUP(tables_325104!C194,input_325104!A:H,8,FALSE),0))</f>
        <v>97917</v>
      </c>
      <c r="P194" s="48">
        <f ca="1">O194/SUM(O:O)</f>
        <v>6.5278278520655023E-3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input_325104!A$2</f>
        <v>325104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IFERROR(VLOOKUP(B195,input_325104!L:R,7,FALSE),ROUNDDOWN(VLOOKUP(tables_325104!C195,input_325104!A:H,8,FALSE),0))</f>
        <v>5153</v>
      </c>
      <c r="P195" s="48">
        <f ca="1">O195/SUM(O:O)</f>
        <v>3.435347990818094E-4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input_325104!A$2</f>
        <v>325104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IFERROR(VLOOKUP(B196,input_325104!L:R,7,FALSE),ROUNDDOWN(VLOOKUP(tables_325104!C196,input_325104!A:H,8,FALSE),0))</f>
        <v>28500</v>
      </c>
      <c r="P196" s="48">
        <f ca="1">O196/SUM(O:O)</f>
        <v>1.9000081067012552E-3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input_325104!A$2</f>
        <v>325104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IFERROR(VLOOKUP(B197,input_325104!L:R,7,FALSE),ROUNDDOWN(VLOOKUP(tables_325104!C197,input_325104!A:H,8,FALSE),0))</f>
        <v>1500</v>
      </c>
      <c r="P197" s="48">
        <f ca="1">O197/SUM(O:O)</f>
        <v>1.0000042666848711E-4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input_325104!A$2</f>
        <v>325104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IFERROR(VLOOKUP(B198,input_325104!L:R,7,FALSE),ROUNDDOWN(VLOOKUP(tables_325104!C198,input_325104!A:H,8,FALSE),0))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input_325104!A$2</f>
        <v>325104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IFERROR(VLOOKUP(B199,input_325104!L:R,7,FALSE),ROUNDDOWN(VLOOKUP(tables_325104!C199,input_325104!A:H,8,FALSE),0))</f>
        <v>97917</v>
      </c>
      <c r="P199" s="48">
        <f ca="1">O199/SUM(O:O)</f>
        <v>6.5278278520655023E-3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input_325104!A$2</f>
        <v>325104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IFERROR(VLOOKUP(B200,input_325104!L:R,7,FALSE),ROUNDDOWN(VLOOKUP(tables_325104!C200,input_325104!A:H,8,FALSE),0))</f>
        <v>5153</v>
      </c>
      <c r="P200" s="48">
        <f ca="1">O200/SUM(O:O)</f>
        <v>3.435347990818094E-4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input_325104!A$2</f>
        <v>325104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IFERROR(VLOOKUP(B201,input_325104!L:R,7,FALSE),ROUNDDOWN(VLOOKUP(tables_325104!C201,input_325104!A:H,8,FALSE),0))</f>
        <v>6840</v>
      </c>
      <c r="P201" s="48">
        <f ca="1">O201/SUM(O:O)</f>
        <v>4.5600194560830128E-4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input_325104!A$2</f>
        <v>325104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IFERROR(VLOOKUP(B202,input_325104!L:R,7,FALSE),ROUNDDOWN(VLOOKUP(tables_325104!C202,input_325104!A:H,8,FALSE),0))</f>
        <v>360</v>
      </c>
      <c r="P202" s="48">
        <f ca="1">O202/SUM(O:O)</f>
        <v>2.4000102400436909E-5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input_325104!A$2</f>
        <v>325104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IFERROR(VLOOKUP(B203,input_325104!L:R,7,FALSE),ROUNDDOWN(VLOOKUP(tables_325104!C203,input_325104!A:H,8,FALSE),0))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input_325104!A$2</f>
        <v>325104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IFERROR(VLOOKUP(B204,input_325104!L:R,7,FALSE),ROUNDDOWN(VLOOKUP(tables_325104!C204,input_325104!A:H,8,FALSE),0))</f>
        <v>97917</v>
      </c>
      <c r="P204" s="48">
        <f ca="1">O204/SUM(O:O)</f>
        <v>6.5278278520655023E-3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input_325104!A$2</f>
        <v>325104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IFERROR(VLOOKUP(B205,input_325104!L:R,7,FALSE),ROUNDDOWN(VLOOKUP(tables_325104!C205,input_325104!A:H,8,FALSE),0))</f>
        <v>5153</v>
      </c>
      <c r="P205" s="48">
        <f ca="1">O205/SUM(O:O)</f>
        <v>3.435347990818094E-4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input_325104!A$2</f>
        <v>325104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IFERROR(VLOOKUP(B206,input_325104!L:R,7,FALSE),ROUNDDOWN(VLOOKUP(tables_325104!C206,input_325104!A:H,8,FALSE),0))</f>
        <v>28500</v>
      </c>
      <c r="P206" s="48">
        <f ca="1">O206/SUM(O:O)</f>
        <v>1.9000081067012552E-3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input_325104!A$2</f>
        <v>325104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IFERROR(VLOOKUP(B207,input_325104!L:R,7,FALSE),ROUNDDOWN(VLOOKUP(tables_325104!C207,input_325104!A:H,8,FALSE),0))</f>
        <v>1500</v>
      </c>
      <c r="P207" s="48">
        <f ca="1">O207/SUM(O:O)</f>
        <v>1.0000042666848711E-4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input_325104!A$2</f>
        <v>325104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IFERROR(VLOOKUP(B208,input_325104!L:R,7,FALSE),ROUNDDOWN(VLOOKUP(tables_325104!C208,input_325104!A:H,8,FALSE),0))</f>
        <v>6840</v>
      </c>
      <c r="P208" s="48">
        <f ca="1">O208/SUM(O:O)</f>
        <v>4.5600194560830128E-4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input_325104!A$2</f>
        <v>325104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IFERROR(VLOOKUP(B209,input_325104!L:R,7,FALSE),ROUNDDOWN(VLOOKUP(tables_325104!C209,input_325104!A:H,8,FALSE),0))</f>
        <v>360</v>
      </c>
      <c r="P209" s="48">
        <f ca="1">O209/SUM(O:O)</f>
        <v>2.4000102400436909E-5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input_325104!A$2</f>
        <v>325104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IFERROR(VLOOKUP(B210,input_325104!L:R,7,FALSE),ROUNDDOWN(VLOOKUP(tables_325104!C210,input_325104!A:H,8,FALSE),0))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input_325104!A$2</f>
        <v>325104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IFERROR(VLOOKUP(B211,input_325104!L:R,7,FALSE),ROUNDDOWN(VLOOKUP(tables_325104!C211,input_325104!A:H,8,FALSE),0))</f>
        <v>97917</v>
      </c>
      <c r="P211" s="48">
        <f ca="1">O211/SUM(O:O)</f>
        <v>6.5278278520655023E-3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input_325104!A$2</f>
        <v>325104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IFERROR(VLOOKUP(B212,input_325104!L:R,7,FALSE),ROUNDDOWN(VLOOKUP(tables_325104!C212,input_325104!A:H,8,FALSE),0))</f>
        <v>5153</v>
      </c>
      <c r="P212" s="48">
        <f ca="1">O212/SUM(O:O)</f>
        <v>3.435347990818094E-4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input_325104!A$2</f>
        <v>325104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IFERROR(VLOOKUP(B213,input_325104!L:R,7,FALSE),ROUNDDOWN(VLOOKUP(tables_325104!C213,input_325104!A:H,8,FALSE),0))</f>
        <v>6840</v>
      </c>
      <c r="P213" s="48">
        <f ca="1">O213/SUM(O:O)</f>
        <v>4.5600194560830128E-4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input_325104!A$2</f>
        <v>325104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IFERROR(VLOOKUP(B214,input_325104!L:R,7,FALSE),ROUNDDOWN(VLOOKUP(tables_325104!C214,input_325104!A:H,8,FALSE),0))</f>
        <v>360</v>
      </c>
      <c r="P214" s="48">
        <f ca="1">O214/SUM(O:O)</f>
        <v>2.4000102400436909E-5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input_325104!A$2</f>
        <v>325104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>color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IFERROR(VLOOKUP(B215,input_325104!L:R,7,FALSE),ROUNDDOWN(VLOOKUP(tables_325104!C215,input_325104!A:H,8,FALSE),0))</f>
        <v>28500</v>
      </c>
      <c r="P215" s="48">
        <f ca="1">O215/SUM(O:O)</f>
        <v>1.9000081067012552E-3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input_325104!A$2</f>
        <v>325104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>color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IFERROR(VLOOKUP(B216,input_325104!L:R,7,FALSE),ROUNDDOWN(VLOOKUP(tables_325104!C216,input_325104!A:H,8,FALSE),0))</f>
        <v>1500</v>
      </c>
      <c r="P216" s="48">
        <f ca="1">O216/SUM(O:O)</f>
        <v>1.0000042666848711E-4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input_325104!A$2</f>
        <v>325104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IFERROR(VLOOKUP(B217,input_325104!L:R,7,FALSE),ROUNDDOWN(VLOOKUP(tables_325104!C217,input_325104!A:H,8,FALSE),0))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input_325104!A$2</f>
        <v>325104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IFERROR(VLOOKUP(B218,input_325104!L:R,7,FALSE),ROUNDDOWN(VLOOKUP(tables_325104!C218,input_325104!A:H,8,FALSE),0))</f>
        <v>97917</v>
      </c>
      <c r="P218" s="48">
        <f ca="1">O218/SUM(O:O)</f>
        <v>6.5278278520655023E-3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input_325104!A$2</f>
        <v>325104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IFERROR(VLOOKUP(B219,input_325104!L:R,7,FALSE),ROUNDDOWN(VLOOKUP(tables_325104!C219,input_325104!A:H,8,FALSE),0))</f>
        <v>5153</v>
      </c>
      <c r="P219" s="48">
        <f ca="1">O219/SUM(O:O)</f>
        <v>3.435347990818094E-4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input_325104!A$2</f>
        <v>325104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IFERROR(VLOOKUP(B220,input_325104!L:R,7,FALSE),ROUNDDOWN(VLOOKUP(tables_325104!C220,input_325104!A:H,8,FALSE),0))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input_325104!A$2</f>
        <v>325104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IFERROR(VLOOKUP(B221,input_325104!L:R,7,FALSE),ROUNDDOWN(VLOOKUP(tables_325104!C221,input_325104!A:H,8,FALSE),0))</f>
        <v>97917</v>
      </c>
      <c r="P221" s="48">
        <f ca="1">O221/SUM(O:O)</f>
        <v>6.5278278520655023E-3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input_325104!A$2</f>
        <v>325104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IFERROR(VLOOKUP(B222,input_325104!L:R,7,FALSE),ROUNDDOWN(VLOOKUP(tables_325104!C222,input_325104!A:H,8,FALSE),0))</f>
        <v>5153</v>
      </c>
      <c r="P222" s="48">
        <f ca="1">O222/SUM(O:O)</f>
        <v>3.435347990818094E-4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input_325104!A$2</f>
        <v>325104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IFERROR(VLOOKUP(B223,input_325104!L:R,7,FALSE),ROUNDDOWN(VLOOKUP(tables_325104!C223,input_325104!A:H,8,FALSE),0))</f>
        <v>6840</v>
      </c>
      <c r="P223" s="48">
        <f ca="1">O223/SUM(O:O)</f>
        <v>4.5600194560830128E-4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input_325104!A$2</f>
        <v>325104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IFERROR(VLOOKUP(B224,input_325104!L:R,7,FALSE),ROUNDDOWN(VLOOKUP(tables_325104!C224,input_325104!A:H,8,FALSE),0))</f>
        <v>360</v>
      </c>
      <c r="P224" s="48">
        <f ca="1">O224/SUM(O:O)</f>
        <v>2.4000102400436909E-5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input_325104!A$2</f>
        <v>325104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>color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IFERROR(VLOOKUP(B225,input_325104!L:R,7,FALSE),ROUNDDOWN(VLOOKUP(tables_325104!C225,input_325104!A:H,8,FALSE),0))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input_325104!A$2</f>
        <v>325104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>color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IFERROR(VLOOKUP(B226,input_325104!L:R,7,FALSE),ROUNDDOWN(VLOOKUP(tables_325104!C226,input_325104!A:H,8,FALSE),0))</f>
        <v>456950</v>
      </c>
      <c r="P226" s="48">
        <f ca="1">O226/SUM(O:O)</f>
        <v>3.0463463310776793E-2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input_325104!A$2</f>
        <v>325104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>color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IFERROR(VLOOKUP(B227,input_325104!L:R,7,FALSE),ROUNDDOWN(VLOOKUP(tables_325104!C227,input_325104!A:H,8,FALSE),0))</f>
        <v>24050</v>
      </c>
      <c r="P227" s="48">
        <f ca="1">O227/SUM(O:O)</f>
        <v>1.6033401742514101E-3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input_325104!A$2</f>
        <v>325104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IFERROR(VLOOKUP(B228,input_325104!L:R,7,FALSE),ROUNDDOWN(VLOOKUP(tables_325104!C228,input_325104!A:H,8,FALSE),0))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input_325104!A$2</f>
        <v>325104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IFERROR(VLOOKUP(B229,input_325104!L:R,7,FALSE),ROUNDDOWN(VLOOKUP(tables_325104!C229,input_325104!A:H,8,FALSE),0))</f>
        <v>97917</v>
      </c>
      <c r="P229" s="48">
        <f ca="1">O229/SUM(O:O)</f>
        <v>6.5278278520655023E-3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input_325104!A$2</f>
        <v>325104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IFERROR(VLOOKUP(B230,input_325104!L:R,7,FALSE),ROUNDDOWN(VLOOKUP(tables_325104!C230,input_325104!A:H,8,FALSE),0))</f>
        <v>5153</v>
      </c>
      <c r="P230" s="48">
        <f ca="1">O230/SUM(O:O)</f>
        <v>3.435347990818094E-4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input_325104!A$2</f>
        <v>325104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IFERROR(VLOOKUP(B231,input_325104!L:R,7,FALSE),ROUNDDOWN(VLOOKUP(tables_325104!C231,input_325104!A:H,8,FALSE),0))</f>
        <v>6840</v>
      </c>
      <c r="P231" s="48">
        <f ca="1">O231/SUM(O:O)</f>
        <v>4.5600194560830128E-4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input_325104!A$2</f>
        <v>325104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IFERROR(VLOOKUP(B232,input_325104!L:R,7,FALSE),ROUNDDOWN(VLOOKUP(tables_325104!C232,input_325104!A:H,8,FALSE),0))</f>
        <v>360</v>
      </c>
      <c r="P232" s="48">
        <f ca="1">O232/SUM(O:O)</f>
        <v>2.4000102400436909E-5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input_325104!A$2</f>
        <v>325104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IFERROR(VLOOKUP(B233,input_325104!L:R,7,FALSE),ROUNDDOWN(VLOOKUP(tables_325104!C233,input_325104!A:H,8,FALSE),0))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input_325104!A$2</f>
        <v>325104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IFERROR(VLOOKUP(B234,input_325104!L:R,7,FALSE),ROUNDDOWN(VLOOKUP(tables_325104!C234,input_325104!A:H,8,FALSE),0))</f>
        <v>97917</v>
      </c>
      <c r="P234" s="48">
        <f ca="1">O234/SUM(O:O)</f>
        <v>6.5278278520655023E-3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input_325104!A$2</f>
        <v>325104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IFERROR(VLOOKUP(B235,input_325104!L:R,7,FALSE),ROUNDDOWN(VLOOKUP(tables_325104!C235,input_325104!A:H,8,FALSE),0))</f>
        <v>5153</v>
      </c>
      <c r="P235" s="48">
        <f ca="1">O235/SUM(O:O)</f>
        <v>3.435347990818094E-4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input_325104!A$2</f>
        <v>325104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>color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IFERROR(VLOOKUP(B236,input_325104!L:R,7,FALSE),ROUNDDOWN(VLOOKUP(tables_325104!C236,input_325104!A:H,8,FALSE),0))</f>
        <v>28500</v>
      </c>
      <c r="P236" s="48">
        <f ca="1">O236/SUM(O:O)</f>
        <v>1.9000081067012552E-3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input_325104!A$2</f>
        <v>325104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>color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IFERROR(VLOOKUP(B237,input_325104!L:R,7,FALSE),ROUNDDOWN(VLOOKUP(tables_325104!C237,input_325104!A:H,8,FALSE),0))</f>
        <v>1500</v>
      </c>
      <c r="P237" s="48">
        <f ca="1">O237/SUM(O:O)</f>
        <v>1.0000042666848711E-4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input_325104!A$2</f>
        <v>325104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IFERROR(VLOOKUP(B238,input_325104!L:R,7,FALSE),ROUNDDOWN(VLOOKUP(tables_325104!C238,input_325104!A:H,8,FALSE),0))</f>
        <v>6840</v>
      </c>
      <c r="P238" s="48">
        <f ca="1">O238/SUM(O:O)</f>
        <v>4.5600194560830128E-4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input_325104!A$2</f>
        <v>325104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IFERROR(VLOOKUP(B239,input_325104!L:R,7,FALSE),ROUNDDOWN(VLOOKUP(tables_325104!C239,input_325104!A:H,8,FALSE),0))</f>
        <v>360</v>
      </c>
      <c r="P239" s="48">
        <f ca="1">O239/SUM(O:O)</f>
        <v>2.4000102400436909E-5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input_325104!A$2</f>
        <v>325104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IFERROR(VLOOKUP(B240,input_325104!L:R,7,FALSE),ROUNDDOWN(VLOOKUP(tables_325104!C240,input_325104!A:H,8,FALSE),0))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input_325104!A$2</f>
        <v>325104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IFERROR(VLOOKUP(B241,input_325104!L:R,7,FALSE),ROUNDDOWN(VLOOKUP(tables_325104!C241,input_325104!A:H,8,FALSE),0))</f>
        <v>97917</v>
      </c>
      <c r="P241" s="48">
        <f ca="1">O241/SUM(O:O)</f>
        <v>6.5278278520655023E-3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input_325104!A$2</f>
        <v>325104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IFERROR(VLOOKUP(B242,input_325104!L:R,7,FALSE),ROUNDDOWN(VLOOKUP(tables_325104!C242,input_325104!A:H,8,FALSE),0))</f>
        <v>5153</v>
      </c>
      <c r="P242" s="48">
        <f ca="1">O242/SUM(O:O)</f>
        <v>3.435347990818094E-4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input_325104!A$2</f>
        <v>325104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IFERROR(VLOOKUP(B243,input_325104!L:R,7,FALSE),ROUNDDOWN(VLOOKUP(tables_325104!C243,input_325104!A:H,8,FALSE),0))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input_325104!A$2</f>
        <v>325104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IFERROR(VLOOKUP(B244,input_325104!L:R,7,FALSE),ROUNDDOWN(VLOOKUP(tables_325104!C244,input_325104!A:H,8,FALSE),0))</f>
        <v>97917</v>
      </c>
      <c r="P244" s="48">
        <f ca="1">O244/SUM(O:O)</f>
        <v>6.5278278520655023E-3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input_325104!A$2</f>
        <v>325104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IFERROR(VLOOKUP(B245,input_325104!L:R,7,FALSE),ROUNDDOWN(VLOOKUP(tables_325104!C245,input_325104!A:H,8,FALSE),0))</f>
        <v>5153</v>
      </c>
      <c r="P245" s="48">
        <f ca="1">O245/SUM(O:O)</f>
        <v>3.435347990818094E-4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input_325104!A$2</f>
        <v>325104</v>
      </c>
      <c r="B246" s="62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>color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IFERROR(VLOOKUP(B246,input_325104!L:R,7,FALSE),ROUNDDOWN(VLOOKUP(tables_325104!C246,input_325104!A:H,8,FALSE),0))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input_325104!A$2</f>
        <v>325104</v>
      </c>
      <c r="B247" s="62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>color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IFERROR(VLOOKUP(B247,input_325104!L:R,7,FALSE),ROUNDDOWN(VLOOKUP(tables_325104!C247,input_325104!A:H,8,FALSE),0))</f>
        <v>456950</v>
      </c>
      <c r="P247" s="48">
        <f ca="1">O247/SUM(O:O)</f>
        <v>3.0463463310776793E-2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input_325104!A$2</f>
        <v>325104</v>
      </c>
      <c r="B248" s="62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>color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IFERROR(VLOOKUP(B248,input_325104!L:R,7,FALSE),ROUNDDOWN(VLOOKUP(tables_325104!C248,input_325104!A:H,8,FALSE),0))</f>
        <v>24050</v>
      </c>
      <c r="P248" s="48">
        <f ca="1">O248/SUM(O:O)</f>
        <v>1.6033401742514101E-3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input_325104!A$2</f>
        <v>325104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IFERROR(VLOOKUP(B249,input_325104!L:R,7,FALSE),ROUNDDOWN(VLOOKUP(tables_325104!C249,input_325104!A:H,8,FALSE),0))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input_325104!A$2</f>
        <v>325104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IFERROR(VLOOKUP(B250,input_325104!L:R,7,FALSE),ROUNDDOWN(VLOOKUP(tables_325104!C250,input_325104!A:H,8,FALSE),0))</f>
        <v>97917</v>
      </c>
      <c r="P250" s="48">
        <f ca="1">O250/SUM(O:O)</f>
        <v>6.5278278520655023E-3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input_325104!A$2</f>
        <v>325104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IFERROR(VLOOKUP(B251,input_325104!L:R,7,FALSE),ROUNDDOWN(VLOOKUP(tables_325104!C251,input_325104!A:H,8,FALSE),0))</f>
        <v>5153</v>
      </c>
      <c r="P251" s="48">
        <f ca="1">O251/SUM(O:O)</f>
        <v>3.435347990818094E-4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input_325104!A$2</f>
        <v>325104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IFERROR(VLOOKUP(B252,input_325104!L:R,7,FALSE),ROUNDDOWN(VLOOKUP(tables_325104!C252,input_325104!A:H,8,FALSE),0))</f>
        <v>6840</v>
      </c>
      <c r="P252" s="48">
        <f ca="1">O252/SUM(O:O)</f>
        <v>4.5600194560830128E-4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input_325104!A$2</f>
        <v>325104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IFERROR(VLOOKUP(B253,input_325104!L:R,7,FALSE),ROUNDDOWN(VLOOKUP(tables_325104!C253,input_325104!A:H,8,FALSE),0))</f>
        <v>360</v>
      </c>
      <c r="P253" s="48">
        <f ca="1">O253/SUM(O:O)</f>
        <v>2.4000102400436909E-5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input_325104!A$2</f>
        <v>325104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IFERROR(VLOOKUP(B254,input_325104!L:R,7,FALSE),ROUNDDOWN(VLOOKUP(tables_325104!C254,input_325104!A:H,8,FALSE),0))</f>
        <v>6840</v>
      </c>
      <c r="P254" s="48">
        <f ca="1">O254/SUM(O:O)</f>
        <v>4.5600194560830128E-4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input_325104!A$2</f>
        <v>325104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IFERROR(VLOOKUP(B255,input_325104!L:R,7,FALSE),ROUNDDOWN(VLOOKUP(tables_325104!C255,input_325104!A:H,8,FALSE),0))</f>
        <v>360</v>
      </c>
      <c r="P255" s="48">
        <f ca="1">O255/SUM(O:O)</f>
        <v>2.4000102400436909E-5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input_325104!A$2</f>
        <v>325104</v>
      </c>
      <c r="B256" s="62">
        <v>770</v>
      </c>
      <c r="C256" s="7" t="str">
        <f t="shared" si="9"/>
        <v>PremiumSS4color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1"/>
        <v>color</v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IFERROR(VLOOKUP(B256,input_325104!L:R,7,FALSE),ROUNDDOWN(VLOOKUP(tables_325104!C256,input_325104!A:H,8,FALSE),0))</f>
        <v>28500</v>
      </c>
      <c r="P256" s="48">
        <f ca="1">O256/SUM(O:O)</f>
        <v>1.9000081067012552E-3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input_325104!A$2</f>
        <v>325104</v>
      </c>
      <c r="B257" s="62">
        <v>771</v>
      </c>
      <c r="C257" s="7" t="str">
        <f t="shared" si="9"/>
        <v>PremiumSS5color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1"/>
        <v>color</v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IFERROR(VLOOKUP(B257,input_325104!L:R,7,FALSE),ROUNDDOWN(VLOOKUP(tables_325104!C257,input_325104!A:H,8,FALSE),0))</f>
        <v>1500</v>
      </c>
      <c r="P257" s="48">
        <f ca="1">O257/SUM(O:O)</f>
        <v>1.0000042666848711E-4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input_325104!A$2</f>
        <v>325104</v>
      </c>
      <c r="B258" s="62">
        <v>772</v>
      </c>
      <c r="C258" s="7" t="str">
        <f t="shared" ref="C258:C27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1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IFERROR(VLOOKUP(B258,input_325104!L:R,7,FALSE),ROUNDDOWN(VLOOKUP(tables_325104!C258,input_325104!A:H,8,FALSE),0))</f>
        <v>6840</v>
      </c>
      <c r="P258" s="48">
        <f ca="1">O258/SUM(O:O)</f>
        <v>4.5600194560830128E-4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input_325104!A$2</f>
        <v>325104</v>
      </c>
      <c r="B259" s="62">
        <v>773</v>
      </c>
      <c r="C259" s="7" t="str">
        <f t="shared" si="12"/>
        <v>PremiumSS5</v>
      </c>
      <c r="D259" s="7" t="str">
        <f t="shared" ref="D259:D27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4">IF(K259="red","color","")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IFERROR(VLOOKUP(B259,input_325104!L:R,7,FALSE),ROUNDDOWN(VLOOKUP(tables_325104!C259,input_325104!A:H,8,FALSE),0))</f>
        <v>360</v>
      </c>
      <c r="P259" s="48">
        <f ca="1">O259/SUM(O:O)</f>
        <v>2.4000102400436909E-5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input_325104!A$2</f>
        <v>325104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IFERROR(VLOOKUP(B260,input_325104!L:R,7,FALSE),ROUNDDOWN(VLOOKUP(tables_325104!C260,input_325104!A:H,8,FALSE),0))</f>
        <v>0</v>
      </c>
      <c r="P260" s="48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input_325104!A$2</f>
        <v>325104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IFERROR(VLOOKUP(B261,input_325104!L:R,7,FALSE),ROUNDDOWN(VLOOKUP(tables_325104!C261,input_325104!A:H,8,FALSE),0))</f>
        <v>97917</v>
      </c>
      <c r="P261" s="48">
        <f ca="1">O261/SUM(O:O)</f>
        <v>6.5278278520655023E-3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input_325104!A$2</f>
        <v>325104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IFERROR(VLOOKUP(B262,input_325104!L:R,7,FALSE),ROUNDDOWN(VLOOKUP(tables_325104!C262,input_325104!A:H,8,FALSE),0))</f>
        <v>5153</v>
      </c>
      <c r="P262" s="48">
        <f ca="1">O262/SUM(O:O)</f>
        <v>3.435347990818094E-4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input_325104!A$2</f>
        <v>325104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IFERROR(VLOOKUP(B263,input_325104!L:R,7,FALSE),ROUNDDOWN(VLOOKUP(tables_325104!C263,input_325104!A:H,8,FALSE),0))</f>
        <v>0</v>
      </c>
      <c r="P263" s="48">
        <f ca="1">O263/SUM(O:O)</f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input_325104!A$2</f>
        <v>325104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IFERROR(VLOOKUP(B264,input_325104!L:R,7,FALSE),ROUNDDOWN(VLOOKUP(tables_325104!C264,input_325104!A:H,8,FALSE),0))</f>
        <v>97917</v>
      </c>
      <c r="P264" s="48">
        <f ca="1">O264/SUM(O:O)</f>
        <v>6.5278278520655023E-3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input_325104!A$2</f>
        <v>325104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IFERROR(VLOOKUP(B265,input_325104!L:R,7,FALSE),ROUNDDOWN(VLOOKUP(tables_325104!C265,input_325104!A:H,8,FALSE),0))</f>
        <v>5153</v>
      </c>
      <c r="P265" s="48">
        <f ca="1">O265/SUM(O:O)</f>
        <v>3.435347990818094E-4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input_325104!A$2</f>
        <v>325104</v>
      </c>
      <c r="B266" s="62">
        <v>728</v>
      </c>
      <c r="C266" s="7" t="str">
        <f t="shared" si="12"/>
        <v>Premium4R3lesscolor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4"/>
        <v>color</v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IFERROR(VLOOKUP(B266,input_325104!L:R,7,FALSE),ROUNDDOWN(VLOOKUP(tables_325104!C266,input_325104!A:H,8,FALSE),0))</f>
        <v>333100</v>
      </c>
      <c r="P266" s="48">
        <f ca="1">O266/SUM(O:O)</f>
        <v>2.2206761415515374E-2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input_325104!A$2</f>
        <v>325104</v>
      </c>
      <c r="B267" s="62">
        <v>729</v>
      </c>
      <c r="C267" s="7" t="str">
        <f t="shared" si="12"/>
        <v>Premium5R3lesscolor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4"/>
        <v>color</v>
      </c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IFERROR(VLOOKUP(B267,input_325104!L:R,7,FALSE),ROUNDDOWN(VLOOKUP(tables_325104!C267,input_325104!A:H,8,FALSE),0))</f>
        <v>147900</v>
      </c>
      <c r="P267" s="48">
        <f ca="1">O267/SUM(O:O)</f>
        <v>9.8600420695128307E-3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input_325104!A$2</f>
        <v>325104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IFERROR(VLOOKUP(B268,input_325104!L:R,7,FALSE),ROUNDDOWN(VLOOKUP(tables_325104!C268,input_325104!A:H,8,FALSE),0))</f>
        <v>31894</v>
      </c>
      <c r="P268" s="48">
        <f ca="1">O268/SUM(O:O)</f>
        <v>2.1262757387764853E-3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input_325104!A$2</f>
        <v>325104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IFERROR(VLOOKUP(B269,input_325104!L:R,7,FALSE),ROUNDDOWN(VLOOKUP(tables_325104!C269,input_325104!A:H,8,FALSE),0))</f>
        <v>71177</v>
      </c>
      <c r="P269" s="48">
        <f ca="1">O269/SUM(O:O)</f>
        <v>4.7451535793219387E-3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input_325104!A$2</f>
        <v>325104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IFERROR(VLOOKUP(B270,input_325104!L:R,7,FALSE),ROUNDDOWN(VLOOKUP(tables_325104!C270,input_325104!A:H,8,FALSE),0))</f>
        <v>7200</v>
      </c>
      <c r="P270" s="48">
        <f ca="1">O270/SUM(O:O)</f>
        <v>4.800020480087382E-4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input_325104!A$2</f>
        <v>325104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IFERROR(VLOOKUP(B271,input_325104!L:R,7,FALSE),ROUNDDOWN(VLOOKUP(tables_325104!C271,input_325104!A:H,8,FALSE),0))</f>
        <v>7200</v>
      </c>
      <c r="P271" s="48">
        <f ca="1">O271/SUM(O:O)</f>
        <v>4.800020480087382E-4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input_325104!A$2</f>
        <v>325104</v>
      </c>
      <c r="B272" s="62">
        <v>786</v>
      </c>
      <c r="C272" s="7" t="str">
        <f t="shared" si="12"/>
        <v>PremiumSSS5</v>
      </c>
      <c r="D272" s="7" t="str">
        <f t="shared" si="13"/>
        <v>PremiumSSS</v>
      </c>
      <c r="E272" s="7"/>
      <c r="F272" s="7" t="str">
        <f>IF(COUNTIF('R6開放'!A:A,B272)&gt;0,"R6release","")</f>
        <v/>
      </c>
      <c r="G272" s="7"/>
      <c r="H272" s="7" t="str">
        <f>VLOOKUP(B272,[1]characters!$A:$C,3,FALSE)</f>
        <v>ヘイウェイ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attack</v>
      </c>
      <c r="M272" s="7" t="str">
        <f>VLOOKUP(B272,[1]characters!$A:$M,13,FALSE)</f>
        <v>dragon</v>
      </c>
      <c r="N272" s="7" t="str">
        <f>VLOOKUP(B272,[1]characters!$A:$G,7,FALSE)</f>
        <v>男性</v>
      </c>
      <c r="O272" s="47">
        <f ca="1">IFERROR(VLOOKUP(B272,input_325104!L:R,7,FALSE),ROUNDDOWN(VLOOKUP(tables_325104!C272,input_325104!A:H,8,FALSE),0))</f>
        <v>120000</v>
      </c>
      <c r="P272" s="48">
        <f ca="1">O272/SUM(O:O)</f>
        <v>8.0000341334789688E-3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</sheetData>
  <autoFilter ref="A1:V27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R61"/>
  <sheetViews>
    <sheetView workbookViewId="0">
      <selection activeCell="A50" sqref="A5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325105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4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VLOOKUP(L3,tables_325105!B:C,2,FALSE)</f>
        <v>#N/A</v>
      </c>
      <c r="R3" s="63">
        <f t="shared" ref="R3:R14" si="0">N3*A$49</f>
        <v>150000</v>
      </c>
    </row>
    <row r="4" spans="1:18" x14ac:dyDescent="0.15">
      <c r="A4" s="36" t="s">
        <v>55</v>
      </c>
      <c r="B4" s="36"/>
      <c r="D4" t="s">
        <v>208</v>
      </c>
      <c r="E4" t="s">
        <v>209</v>
      </c>
      <c r="F4" t="s">
        <v>215</v>
      </c>
      <c r="G4" t="s">
        <v>216</v>
      </c>
      <c r="L4" s="6"/>
      <c r="M4" s="39" t="e">
        <f>VLOOKUP(L4,[1]characters!$A:$C,3,FALSE)</f>
        <v>#N/A</v>
      </c>
      <c r="N4" s="64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VLOOKUP(L4,tables_325105!B:C,2,FALSE)</f>
        <v>#N/A</v>
      </c>
      <c r="R4" s="63">
        <f t="shared" si="0"/>
        <v>300000</v>
      </c>
    </row>
    <row r="5" spans="1:18" x14ac:dyDescent="0.15">
      <c r="A5" s="34" t="s">
        <v>71</v>
      </c>
      <c r="B5" s="35">
        <f>1-B6-B7</f>
        <v>0</v>
      </c>
      <c r="D5" t="s">
        <v>233</v>
      </c>
      <c r="E5">
        <f>E26+E28+E29</f>
        <v>25</v>
      </c>
      <c r="F5" s="56">
        <f>B11*0.4</f>
        <v>1.2E-2</v>
      </c>
      <c r="G5" s="73">
        <f>F5/E5</f>
        <v>4.8000000000000001E-4</v>
      </c>
      <c r="L5" s="6"/>
      <c r="M5" s="39" t="e">
        <f>VLOOKUP(L5,[1]characters!$A:$C,3,FALSE)</f>
        <v>#N/A</v>
      </c>
      <c r="N5" s="64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VLOOKUP(L5,tables_325105!B:C,2,FALSE)</f>
        <v>#N/A</v>
      </c>
      <c r="R5" s="63">
        <f t="shared" si="0"/>
        <v>300000</v>
      </c>
    </row>
    <row r="6" spans="1:18" x14ac:dyDescent="0.15">
      <c r="A6" s="34" t="s">
        <v>72</v>
      </c>
      <c r="B6" s="35">
        <v>0.95</v>
      </c>
      <c r="D6" t="s">
        <v>230</v>
      </c>
      <c r="E6">
        <f>E39+E41+E42</f>
        <v>9</v>
      </c>
      <c r="F6" s="56">
        <f>B11*0.6</f>
        <v>1.7999999999999999E-2</v>
      </c>
      <c r="G6" s="73">
        <f>F6/E6</f>
        <v>2E-3</v>
      </c>
      <c r="L6" s="34"/>
      <c r="M6" s="39" t="e">
        <f>VLOOKUP(L6,[1]characters!$A:$C,3,FALSE)</f>
        <v>#N/A</v>
      </c>
      <c r="N6" s="64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VLOOKUP(L6,tables_325105!B:C,2,FALSE)</f>
        <v>#N/A</v>
      </c>
      <c r="R6" s="63">
        <f t="shared" si="0"/>
        <v>150000</v>
      </c>
    </row>
    <row r="7" spans="1:18" x14ac:dyDescent="0.15">
      <c r="A7" s="34" t="s">
        <v>73</v>
      </c>
      <c r="B7" s="35">
        <v>0.05</v>
      </c>
      <c r="D7" t="s">
        <v>231</v>
      </c>
      <c r="E7">
        <f>E18+E21+E23</f>
        <v>56</v>
      </c>
      <c r="F7" s="76">
        <f>B10*0.4</f>
        <v>0.38319999999999999</v>
      </c>
      <c r="G7" s="73">
        <f t="shared" ref="G7:G8" si="1">F7/E7</f>
        <v>6.8428571428571427E-3</v>
      </c>
      <c r="L7" s="34"/>
      <c r="M7" s="39" t="e">
        <f>VLOOKUP(L7,[1]characters!$A:$C,3,FALSE)</f>
        <v>#N/A</v>
      </c>
      <c r="N7" s="64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VLOOKUP(L7,tables_325105!B:C,2,FALSE)</f>
        <v>#N/A</v>
      </c>
      <c r="R7" s="63">
        <f t="shared" si="0"/>
        <v>300000</v>
      </c>
    </row>
    <row r="8" spans="1:18" x14ac:dyDescent="0.15">
      <c r="D8" t="s">
        <v>232</v>
      </c>
      <c r="E8">
        <f>E31+E34+E36</f>
        <v>18</v>
      </c>
      <c r="F8" s="75">
        <f>B10*0.6</f>
        <v>0.57479999999999998</v>
      </c>
      <c r="G8" s="73">
        <f t="shared" si="1"/>
        <v>3.1933333333333334E-2</v>
      </c>
      <c r="L8" s="34"/>
      <c r="M8" s="39" t="e">
        <f>VLOOKUP(L8,[1]characters!$A:$C,3,FALSE)</f>
        <v>#N/A</v>
      </c>
      <c r="N8" s="64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VLOOKUP(L8,tables_325105!B:C,2,FALSE)</f>
        <v>#N/A</v>
      </c>
      <c r="R8" s="63">
        <f t="shared" si="0"/>
        <v>300000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4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VLOOKUP(L9,tables_325105!B:C,2,FALSE)</f>
        <v>#N/A</v>
      </c>
      <c r="R9" s="63">
        <f t="shared" si="0"/>
        <v>150000</v>
      </c>
    </row>
    <row r="10" spans="1:18" x14ac:dyDescent="0.15">
      <c r="A10" s="34" t="s">
        <v>100</v>
      </c>
      <c r="B10" s="83">
        <f>1-B11-B12</f>
        <v>0.95799999999999996</v>
      </c>
      <c r="L10" s="34"/>
      <c r="M10" s="39" t="e">
        <f>VLOOKUP(L10,[1]characters!$A:$C,3,FALSE)</f>
        <v>#N/A</v>
      </c>
      <c r="N10" s="64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VLOOKUP(L10,tables_325105!B:C,2,FALSE)</f>
        <v>#N/A</v>
      </c>
      <c r="R10" s="63">
        <f t="shared" si="0"/>
        <v>300000</v>
      </c>
    </row>
    <row r="11" spans="1:18" x14ac:dyDescent="0.15">
      <c r="A11" s="34" t="s">
        <v>58</v>
      </c>
      <c r="B11" s="83">
        <v>0.03</v>
      </c>
      <c r="L11" s="34"/>
      <c r="M11" s="39" t="e">
        <f>VLOOKUP(L11,[1]characters!$A:$C,3,FALSE)</f>
        <v>#N/A</v>
      </c>
      <c r="N11" s="64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VLOOKUP(L11,tables_325105!B:C,2,FALSE)</f>
        <v>#N/A</v>
      </c>
      <c r="R11" s="63">
        <f t="shared" si="0"/>
        <v>300000</v>
      </c>
    </row>
    <row r="12" spans="1:18" x14ac:dyDescent="0.15">
      <c r="A12" s="34" t="s">
        <v>57</v>
      </c>
      <c r="B12" s="83">
        <v>1.2E-2</v>
      </c>
      <c r="L12" s="34"/>
      <c r="M12" s="39" t="e">
        <f>VLOOKUP(L12,[1]characters!$A:$C,3,FALSE)</f>
        <v>#N/A</v>
      </c>
      <c r="N12" s="64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VLOOKUP(L12,tables_325105!B:C,2,FALSE)</f>
        <v>#N/A</v>
      </c>
      <c r="R12" s="63">
        <f t="shared" si="0"/>
        <v>150000</v>
      </c>
    </row>
    <row r="13" spans="1:18" x14ac:dyDescent="0.15">
      <c r="L13" s="34"/>
      <c r="M13" s="39" t="e">
        <f>VLOOKUP(L13,[1]characters!$A:$C,3,FALSE)</f>
        <v>#N/A</v>
      </c>
      <c r="N13" s="64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VLOOKUP(L13,tables_325105!B:C,2,FALSE)</f>
        <v>#N/A</v>
      </c>
      <c r="R13" s="63">
        <f t="shared" si="0"/>
        <v>300000</v>
      </c>
    </row>
    <row r="14" spans="1:18" x14ac:dyDescent="0.15">
      <c r="L14" s="34"/>
      <c r="M14" s="39" t="e">
        <f>VLOOKUP(L14,[1]characters!$A:$C,3,FALSE)</f>
        <v>#N/A</v>
      </c>
      <c r="N14" s="64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VLOOKUP(L14,tables_325105!B:C,2,FALSE)</f>
        <v>#N/A</v>
      </c>
      <c r="R14" s="63">
        <f t="shared" si="0"/>
        <v>300000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236</v>
      </c>
      <c r="L16" s="58"/>
      <c r="M16" s="58"/>
      <c r="N16" s="58"/>
      <c r="O16" s="58"/>
      <c r="P16" s="58"/>
      <c r="Q16" s="58"/>
      <c r="R16" s="59"/>
    </row>
    <row r="17" spans="1:18" x14ac:dyDescent="0.15">
      <c r="A17" s="34" t="s">
        <v>198</v>
      </c>
      <c r="B17" s="78">
        <f>B$5*0.4-B19-B24</f>
        <v>0</v>
      </c>
      <c r="C17" s="50">
        <f t="shared" ref="C17:C44" si="2">SUMIF(Q:Q,A17,N:N)</f>
        <v>0</v>
      </c>
      <c r="D17" s="72">
        <f t="shared" ref="D17:D45" si="3">B17-C17</f>
        <v>0</v>
      </c>
      <c r="E17">
        <f>COUNTIF(tables_325105!C:C,input_325105!A17)-COUNTIF(Q:Q,A17)</f>
        <v>15</v>
      </c>
      <c r="F17" s="45">
        <f t="shared" ref="F17:F40" si="4">IFERROR(D17/E17,0)</f>
        <v>0</v>
      </c>
      <c r="G17">
        <f t="shared" ref="G17:G44" si="5">A$49*D17</f>
        <v>0</v>
      </c>
      <c r="H17">
        <f t="shared" ref="H17:H44" si="6">IFERROR(ROUND(G17/E17,5),0)</f>
        <v>0</v>
      </c>
      <c r="I17">
        <f t="shared" ref="I17:I44" si="7">MOD(H17,1)</f>
        <v>0</v>
      </c>
      <c r="J17">
        <f t="shared" ref="J17:J44" si="8">IFERROR(1/I17,1)</f>
        <v>1</v>
      </c>
      <c r="K17" s="82">
        <f ca="1">SUMIF(tables_325105!C:C,input_325105!A17,tables_325105!P:P)</f>
        <v>0</v>
      </c>
      <c r="L17" s="58"/>
      <c r="M17" s="58"/>
      <c r="N17" s="58"/>
      <c r="O17" s="58"/>
      <c r="P17" s="58"/>
      <c r="Q17" s="58"/>
      <c r="R17" s="71"/>
    </row>
    <row r="18" spans="1:18" x14ac:dyDescent="0.15">
      <c r="A18" s="34" t="s">
        <v>199</v>
      </c>
      <c r="B18" s="44">
        <f>G7*COUNTIF(tables_325105!C:C,input_325105!A18)-B17</f>
        <v>0.10264285714285715</v>
      </c>
      <c r="C18" s="50">
        <f t="shared" si="2"/>
        <v>0</v>
      </c>
      <c r="D18" s="72">
        <f t="shared" si="3"/>
        <v>0.10264285714285715</v>
      </c>
      <c r="E18">
        <f>COUNTIF(tables_325105!C:C,input_325105!A18)-COUNTIF(Q:Q,A18)</f>
        <v>15</v>
      </c>
      <c r="F18" s="45">
        <f t="shared" si="4"/>
        <v>6.8428571428571427E-3</v>
      </c>
      <c r="G18">
        <f t="shared" si="5"/>
        <v>3079285.7142857146</v>
      </c>
      <c r="H18">
        <f t="shared" si="6"/>
        <v>205285.71429</v>
      </c>
      <c r="I18">
        <f t="shared" si="7"/>
        <v>0.71429000000352971</v>
      </c>
      <c r="J18">
        <f t="shared" si="8"/>
        <v>1.3999916000434816</v>
      </c>
      <c r="K18" s="82">
        <f ca="1">SUMIF(tables_325105!C:C,input_325105!A18,tables_325105!P:P)</f>
        <v>0.10264263685684913</v>
      </c>
      <c r="L18" s="58"/>
      <c r="M18" s="58"/>
      <c r="N18" s="58"/>
      <c r="O18" s="58"/>
      <c r="P18" s="58"/>
      <c r="Q18" s="58"/>
      <c r="R18" s="71"/>
    </row>
    <row r="19" spans="1:18" x14ac:dyDescent="0.15">
      <c r="A19" s="34" t="s">
        <v>101</v>
      </c>
      <c r="B19" s="44">
        <f>G$7*COUNTIF(tables_325105!C:C,input_325105!A19)*B5</f>
        <v>0</v>
      </c>
      <c r="C19" s="50">
        <f t="shared" si="2"/>
        <v>0</v>
      </c>
      <c r="D19" s="72">
        <f t="shared" si="3"/>
        <v>0</v>
      </c>
      <c r="E19">
        <f>COUNTIF(tables_325105!C:C,input_325105!A19)-COUNTIF(Q:Q,A19)</f>
        <v>40</v>
      </c>
      <c r="F19" s="45">
        <f t="shared" si="4"/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K19" s="82">
        <f ca="1">SUMIF(tables_325105!C:C,input_325105!A19,tables_325105!P:P)</f>
        <v>0</v>
      </c>
      <c r="L19" s="58"/>
      <c r="M19" s="58"/>
      <c r="N19" s="60"/>
      <c r="O19" s="58"/>
      <c r="P19" s="58"/>
      <c r="Q19" s="58"/>
      <c r="R19" s="61"/>
    </row>
    <row r="20" spans="1:18" x14ac:dyDescent="0.15">
      <c r="A20" s="34" t="s">
        <v>102</v>
      </c>
      <c r="B20" s="44">
        <f>G$7*COUNTIF(tables_325105!C:C,input_325105!A20)*B6</f>
        <v>0.26002857142857139</v>
      </c>
      <c r="C20" s="50">
        <f t="shared" si="2"/>
        <v>0</v>
      </c>
      <c r="D20" s="72">
        <f t="shared" si="3"/>
        <v>0.26002857142857139</v>
      </c>
      <c r="E20">
        <f>COUNTIF(tables_325105!C:C,input_325105!A20)-COUNTIF(Q:Q,A20)</f>
        <v>40</v>
      </c>
      <c r="F20" s="45">
        <f t="shared" si="4"/>
        <v>6.500714285714285E-3</v>
      </c>
      <c r="G20">
        <f t="shared" si="5"/>
        <v>7800857.1428571418</v>
      </c>
      <c r="H20">
        <f t="shared" si="6"/>
        <v>195021.42856999999</v>
      </c>
      <c r="I20">
        <f t="shared" si="7"/>
        <v>0.42856999998912215</v>
      </c>
      <c r="J20">
        <f t="shared" si="8"/>
        <v>2.3333411111962614</v>
      </c>
      <c r="K20" s="82">
        <f ca="1">SUMIF(tables_325105!C:C,input_325105!A20,tables_325105!P:P)</f>
        <v>0.26002834670446201</v>
      </c>
      <c r="L20" s="58"/>
      <c r="M20" s="58"/>
      <c r="N20" s="60"/>
      <c r="O20" s="58"/>
      <c r="P20" s="58"/>
      <c r="Q20" s="58"/>
      <c r="R20" s="61"/>
    </row>
    <row r="21" spans="1:18" x14ac:dyDescent="0.15">
      <c r="A21" s="34" t="s">
        <v>103</v>
      </c>
      <c r="B21" s="44">
        <f>G$7*COUNTIF(tables_325105!C:C,input_325105!A21)*B7</f>
        <v>1.3685714285714285E-2</v>
      </c>
      <c r="C21" s="50">
        <f t="shared" si="2"/>
        <v>0</v>
      </c>
      <c r="D21" s="72">
        <f t="shared" si="3"/>
        <v>1.3685714285714285E-2</v>
      </c>
      <c r="E21">
        <f>COUNTIF(tables_325105!C:C,input_325105!A21)-COUNTIF(Q:Q,A21)</f>
        <v>40</v>
      </c>
      <c r="F21" s="45">
        <f t="shared" si="4"/>
        <v>3.4214285714285716E-4</v>
      </c>
      <c r="G21">
        <f t="shared" si="5"/>
        <v>410571.42857142858</v>
      </c>
      <c r="H21">
        <f t="shared" si="6"/>
        <v>10264.28571</v>
      </c>
      <c r="I21">
        <f t="shared" si="7"/>
        <v>0.28571000000010827</v>
      </c>
      <c r="J21">
        <f t="shared" si="8"/>
        <v>3.5000525007861856</v>
      </c>
      <c r="K21" s="82">
        <f ca="1">SUMIF(tables_325105!C:C,input_325105!A21,tables_325105!P:P)</f>
        <v>1.3685351580468781E-2</v>
      </c>
      <c r="L21" s="58"/>
      <c r="M21" s="58"/>
      <c r="N21" s="60"/>
      <c r="O21" s="58"/>
      <c r="P21" s="58"/>
      <c r="Q21" s="58"/>
      <c r="R21" s="61"/>
    </row>
    <row r="22" spans="1:18" x14ac:dyDescent="0.15">
      <c r="A22" s="34" t="s">
        <v>204</v>
      </c>
      <c r="B22" s="79">
        <f>G7*COUNTIF(tables_325105!C:C,input_325105!A22)-B23</f>
        <v>2.0405714285714237E-3</v>
      </c>
      <c r="C22" s="50">
        <f t="shared" si="2"/>
        <v>0</v>
      </c>
      <c r="D22" s="72">
        <f t="shared" si="3"/>
        <v>2.0405714285714237E-3</v>
      </c>
      <c r="E22">
        <f>COUNTIF(tables_325105!C:C,input_325105!A22)-COUNTIF(Q:Q,A22)</f>
        <v>1</v>
      </c>
      <c r="F22" s="45">
        <f t="shared" si="4"/>
        <v>2.0405714285714237E-3</v>
      </c>
      <c r="G22">
        <f t="shared" si="5"/>
        <v>61217.14285714271</v>
      </c>
      <c r="H22">
        <f t="shared" si="6"/>
        <v>61217.14286</v>
      </c>
      <c r="I22">
        <f t="shared" si="7"/>
        <v>0.14285999999992782</v>
      </c>
      <c r="J22">
        <f t="shared" si="8"/>
        <v>6.999860002803481</v>
      </c>
      <c r="K22" s="82">
        <f ca="1">SUMIF(tables_325105!C:C,input_325105!A22,tables_325105!P:P)</f>
        <v>2.04056938742585E-3</v>
      </c>
      <c r="L22" s="58"/>
      <c r="M22" s="58"/>
      <c r="N22" s="60"/>
      <c r="O22" s="58"/>
      <c r="P22" s="58"/>
      <c r="Q22" s="58"/>
      <c r="R22" s="61"/>
    </row>
    <row r="23" spans="1:18" x14ac:dyDescent="0.15">
      <c r="A23" s="34" t="s">
        <v>205</v>
      </c>
      <c r="B23" s="80">
        <f>B7*0.4-B26-B28-B29-B21</f>
        <v>4.802285714285719E-3</v>
      </c>
      <c r="C23" s="50">
        <f t="shared" si="2"/>
        <v>0</v>
      </c>
      <c r="D23" s="72">
        <f t="shared" si="3"/>
        <v>4.802285714285719E-3</v>
      </c>
      <c r="E23">
        <f>COUNTIF(tables_325105!C:C,input_325105!A23)-COUNTIF(Q:Q,A23)</f>
        <v>1</v>
      </c>
      <c r="F23" s="45">
        <f t="shared" si="4"/>
        <v>4.802285714285719E-3</v>
      </c>
      <c r="G23">
        <f t="shared" si="5"/>
        <v>144068.57142857157</v>
      </c>
      <c r="H23">
        <f t="shared" si="6"/>
        <v>144068.57143000001</v>
      </c>
      <c r="I23">
        <f t="shared" si="7"/>
        <v>0.57143000001087785</v>
      </c>
      <c r="J23">
        <f t="shared" si="8"/>
        <v>1.7499956249776243</v>
      </c>
      <c r="K23" s="82">
        <f ca="1">SUMIF(tables_325105!C:C,input_325105!A23,tables_325105!P:P)</f>
        <v>4.8022730696974259E-3</v>
      </c>
      <c r="L23" s="58"/>
      <c r="M23" s="58"/>
      <c r="N23" s="60"/>
      <c r="O23" s="58"/>
      <c r="P23" s="58"/>
      <c r="Q23" s="58"/>
      <c r="R23" s="61"/>
    </row>
    <row r="24" spans="1:18" x14ac:dyDescent="0.15">
      <c r="A24" s="34" t="s">
        <v>201</v>
      </c>
      <c r="B24" s="44">
        <f>G$5*COUNTIF(tables_325105!C:C,input_325105!A24)*B5</f>
        <v>0</v>
      </c>
      <c r="C24" s="50">
        <f t="shared" si="2"/>
        <v>0</v>
      </c>
      <c r="D24" s="72">
        <f t="shared" si="3"/>
        <v>0</v>
      </c>
      <c r="E24">
        <f>COUNTIF(tables_325105!C:C,input_325105!A24)-COUNTIF(Q:Q,A24)</f>
        <v>3</v>
      </c>
      <c r="F24" s="45">
        <f t="shared" si="4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K24" s="82">
        <f ca="1">SUMIF(tables_325105!C:C,input_325105!A24,tables_325105!P:P)</f>
        <v>0</v>
      </c>
      <c r="L24" s="58"/>
      <c r="M24" s="58"/>
      <c r="N24" s="60"/>
      <c r="O24" s="58"/>
      <c r="P24" s="58"/>
      <c r="Q24" s="58"/>
      <c r="R24" s="61"/>
    </row>
    <row r="25" spans="1:18" x14ac:dyDescent="0.15">
      <c r="A25" s="34" t="s">
        <v>202</v>
      </c>
      <c r="B25" s="44">
        <f>G$5*COUNTIF(tables_325105!C:C,input_325105!A25)*B6</f>
        <v>1.3680000000000001E-3</v>
      </c>
      <c r="C25" s="50">
        <f t="shared" si="2"/>
        <v>0</v>
      </c>
      <c r="D25" s="72">
        <f t="shared" si="3"/>
        <v>1.3680000000000001E-3</v>
      </c>
      <c r="E25">
        <f>COUNTIF(tables_325105!C:C,input_325105!A25)-COUNTIF(Q:Q,A25)</f>
        <v>3</v>
      </c>
      <c r="F25" s="45">
        <f t="shared" si="4"/>
        <v>4.5600000000000003E-4</v>
      </c>
      <c r="G25">
        <f t="shared" si="5"/>
        <v>41040</v>
      </c>
      <c r="H25">
        <f t="shared" si="6"/>
        <v>13680</v>
      </c>
      <c r="I25">
        <f t="shared" si="7"/>
        <v>0</v>
      </c>
      <c r="J25">
        <f t="shared" si="8"/>
        <v>1</v>
      </c>
      <c r="K25" s="82">
        <f ca="1">SUMIF(tables_325105!C:C,input_325105!A25,tables_325105!P:P)</f>
        <v>1.368001824002432E-3</v>
      </c>
      <c r="L25" s="58"/>
      <c r="M25" s="58"/>
      <c r="N25" s="60"/>
      <c r="O25" s="58"/>
      <c r="P25" s="58"/>
      <c r="Q25" s="58"/>
      <c r="R25" s="61"/>
    </row>
    <row r="26" spans="1:18" x14ac:dyDescent="0.15">
      <c r="A26" s="34" t="s">
        <v>203</v>
      </c>
      <c r="B26" s="44">
        <f>G$5*COUNTIF(tables_325105!C:C,input_325105!A26)*B7</f>
        <v>7.2000000000000002E-5</v>
      </c>
      <c r="C26" s="50">
        <f t="shared" si="2"/>
        <v>0</v>
      </c>
      <c r="D26" s="72">
        <f t="shared" si="3"/>
        <v>7.2000000000000002E-5</v>
      </c>
      <c r="E26">
        <f>COUNTIF(tables_325105!C:C,input_325105!A26)-COUNTIF(Q:Q,A26)</f>
        <v>3</v>
      </c>
      <c r="F26" s="45">
        <f t="shared" si="4"/>
        <v>2.4000000000000001E-5</v>
      </c>
      <c r="G26">
        <f t="shared" si="5"/>
        <v>2160</v>
      </c>
      <c r="H26">
        <f t="shared" si="6"/>
        <v>720</v>
      </c>
      <c r="I26">
        <f t="shared" si="7"/>
        <v>0</v>
      </c>
      <c r="J26">
        <f t="shared" si="8"/>
        <v>1</v>
      </c>
      <c r="K26" s="82">
        <f ca="1">SUMIF(tables_325105!C:C,input_325105!A26,tables_325105!P:P)</f>
        <v>7.2000096000128001E-5</v>
      </c>
      <c r="L26" s="58"/>
      <c r="M26" s="58"/>
      <c r="N26" s="60"/>
      <c r="O26" s="58"/>
      <c r="P26" s="58"/>
      <c r="Q26" s="58"/>
      <c r="R26" s="61"/>
    </row>
    <row r="27" spans="1:18" x14ac:dyDescent="0.15">
      <c r="A27" s="34" t="s">
        <v>111</v>
      </c>
      <c r="B27" s="44">
        <f>G$5*E27*(B6+B5)</f>
        <v>9.1199999999999996E-3</v>
      </c>
      <c r="C27" s="50">
        <f t="shared" si="2"/>
        <v>0</v>
      </c>
      <c r="D27" s="72">
        <f t="shared" si="3"/>
        <v>9.1199999999999996E-3</v>
      </c>
      <c r="E27">
        <f>COUNTIF(tables_325105!C:C,input_325105!A27)-COUNTIF(Q:Q,A27)</f>
        <v>20</v>
      </c>
      <c r="F27" s="45">
        <f t="shared" si="4"/>
        <v>4.5599999999999997E-4</v>
      </c>
      <c r="G27">
        <f t="shared" si="5"/>
        <v>273600</v>
      </c>
      <c r="H27">
        <f t="shared" si="6"/>
        <v>13680</v>
      </c>
      <c r="I27">
        <f t="shared" si="7"/>
        <v>0</v>
      </c>
      <c r="J27">
        <f t="shared" si="8"/>
        <v>1</v>
      </c>
      <c r="K27" s="82">
        <f ca="1">SUMIF(tables_325105!C:C,input_325105!A27,tables_325105!P:P)</f>
        <v>9.1200121600162158E-3</v>
      </c>
      <c r="L27" s="58"/>
      <c r="M27" s="58"/>
      <c r="N27" s="60"/>
      <c r="O27" s="58"/>
      <c r="P27" s="58"/>
      <c r="Q27" s="58"/>
      <c r="R27" s="61"/>
    </row>
    <row r="28" spans="1:18" x14ac:dyDescent="0.15">
      <c r="A28" s="34" t="s">
        <v>112</v>
      </c>
      <c r="B28" s="44">
        <f>G$5*B7*E28</f>
        <v>4.8000000000000001E-4</v>
      </c>
      <c r="C28" s="50">
        <f t="shared" si="2"/>
        <v>0</v>
      </c>
      <c r="D28" s="72">
        <f t="shared" si="3"/>
        <v>4.8000000000000001E-4</v>
      </c>
      <c r="E28">
        <f>COUNTIF(tables_325105!C:C,input_325105!A28)-COUNTIF(Q:Q,A28)</f>
        <v>20</v>
      </c>
      <c r="F28" s="45">
        <f>IFERROR(D28/E28,0)</f>
        <v>2.4000000000000001E-5</v>
      </c>
      <c r="G28">
        <f t="shared" si="5"/>
        <v>14400</v>
      </c>
      <c r="H28">
        <f t="shared" si="6"/>
        <v>720</v>
      </c>
      <c r="I28">
        <f t="shared" si="7"/>
        <v>0</v>
      </c>
      <c r="J28">
        <f t="shared" si="8"/>
        <v>1</v>
      </c>
      <c r="K28" s="82">
        <f ca="1">SUMIF(tables_325105!C:C,input_325105!A28,tables_325105!P:P)</f>
        <v>4.8000064000085349E-4</v>
      </c>
      <c r="L28" s="58"/>
      <c r="M28" s="58"/>
      <c r="N28" s="60"/>
      <c r="O28" s="58"/>
      <c r="P28" s="58"/>
      <c r="Q28" s="58"/>
      <c r="R28" s="61"/>
    </row>
    <row r="29" spans="1:18" x14ac:dyDescent="0.15">
      <c r="A29" s="34" t="s">
        <v>207</v>
      </c>
      <c r="B29" s="44">
        <f>G5*COUNTIF(tables_325105!C:C,input_325105!A29)</f>
        <v>9.6000000000000002E-4</v>
      </c>
      <c r="C29" s="50">
        <f t="shared" si="2"/>
        <v>0</v>
      </c>
      <c r="D29" s="72">
        <f t="shared" si="3"/>
        <v>9.6000000000000002E-4</v>
      </c>
      <c r="E29">
        <f>COUNTIF(tables_325105!C:C,input_325105!A29)-COUNTIF(Q:Q,A29)</f>
        <v>2</v>
      </c>
      <c r="F29" s="45">
        <f t="shared" si="4"/>
        <v>4.8000000000000001E-4</v>
      </c>
      <c r="G29">
        <f t="shared" si="5"/>
        <v>28800</v>
      </c>
      <c r="H29">
        <f t="shared" si="6"/>
        <v>14400</v>
      </c>
      <c r="I29">
        <f t="shared" si="7"/>
        <v>0</v>
      </c>
      <c r="J29">
        <f t="shared" si="8"/>
        <v>1</v>
      </c>
      <c r="K29" s="82">
        <f ca="1">SUMIF(tables_325105!C:C,input_325105!A29,tables_325105!P:P)</f>
        <v>9.6000128000170665E-4</v>
      </c>
      <c r="L29" s="58"/>
      <c r="M29" s="58"/>
      <c r="N29" s="60"/>
      <c r="O29" s="58"/>
      <c r="P29" s="58"/>
      <c r="Q29" s="58"/>
      <c r="R29" s="61"/>
    </row>
    <row r="30" spans="1:18" x14ac:dyDescent="0.15">
      <c r="A30" s="34" t="s">
        <v>217</v>
      </c>
      <c r="B30" s="77">
        <f>B5*0.6-B32-B37</f>
        <v>0</v>
      </c>
      <c r="C30" s="50">
        <f t="shared" si="2"/>
        <v>0</v>
      </c>
      <c r="D30" s="72">
        <f t="shared" si="3"/>
        <v>0</v>
      </c>
      <c r="E30">
        <f>COUNTIF(tables_325105!C:C,input_325105!A30)-COUNTIF(Q:Q,A30)</f>
        <v>5</v>
      </c>
      <c r="F30" s="45">
        <f t="shared" si="4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K30" s="82">
        <f ca="1">SUMIF(tables_325105!C:C,input_325105!A30,tables_325105!P:P)</f>
        <v>0</v>
      </c>
      <c r="L30" s="58"/>
      <c r="M30" s="58"/>
      <c r="N30" s="58"/>
      <c r="O30" s="58"/>
      <c r="P30" s="58"/>
      <c r="Q30" s="58"/>
      <c r="R30" s="71"/>
    </row>
    <row r="31" spans="1:18" x14ac:dyDescent="0.15">
      <c r="A31" s="34" t="s">
        <v>218</v>
      </c>
      <c r="B31" s="74">
        <f>G8*COUNTIF(tables_325105!C:C,input_325105!A31)-B30</f>
        <v>0.15966666666666668</v>
      </c>
      <c r="C31" s="50">
        <f t="shared" si="2"/>
        <v>0</v>
      </c>
      <c r="D31" s="72">
        <f t="shared" si="3"/>
        <v>0.15966666666666668</v>
      </c>
      <c r="E31">
        <f>COUNTIF(tables_325105!C:C,input_325105!A31)-COUNTIF(Q:Q,A31)</f>
        <v>5</v>
      </c>
      <c r="F31" s="45">
        <f t="shared" si="4"/>
        <v>3.1933333333333334E-2</v>
      </c>
      <c r="G31">
        <f t="shared" si="5"/>
        <v>4790000</v>
      </c>
      <c r="H31">
        <f t="shared" si="6"/>
        <v>958000</v>
      </c>
      <c r="I31">
        <f t="shared" si="7"/>
        <v>0</v>
      </c>
      <c r="J31">
        <f t="shared" si="8"/>
        <v>1</v>
      </c>
      <c r="K31" s="82">
        <f ca="1">SUMIF(tables_325105!C:C,input_325105!A31,tables_325105!P:P)</f>
        <v>0.15966687955583941</v>
      </c>
      <c r="L31" s="58"/>
      <c r="M31" s="58"/>
      <c r="N31" s="58"/>
      <c r="O31" s="58"/>
      <c r="P31" s="58"/>
      <c r="Q31" s="58"/>
      <c r="R31" s="71"/>
    </row>
    <row r="32" spans="1:18" x14ac:dyDescent="0.15">
      <c r="A32" s="34" t="s">
        <v>219</v>
      </c>
      <c r="B32" s="74">
        <f>G$8*COUNTIF(tables_325105!C:C,input_325105!A32)*B5</f>
        <v>0</v>
      </c>
      <c r="C32" s="50">
        <f t="shared" si="2"/>
        <v>0</v>
      </c>
      <c r="D32" s="72">
        <f t="shared" si="3"/>
        <v>0</v>
      </c>
      <c r="E32">
        <f>COUNTIF(tables_325105!C:C,input_325105!A32)-COUNTIF(Q:Q,A32)</f>
        <v>12</v>
      </c>
      <c r="F32" s="45">
        <f t="shared" si="4"/>
        <v>0</v>
      </c>
      <c r="G32">
        <f t="shared" si="5"/>
        <v>0</v>
      </c>
      <c r="H32">
        <f t="shared" si="6"/>
        <v>0</v>
      </c>
      <c r="I32">
        <f t="shared" si="7"/>
        <v>0</v>
      </c>
      <c r="J32">
        <f t="shared" si="8"/>
        <v>1</v>
      </c>
      <c r="K32" s="82">
        <f ca="1">SUMIF(tables_325105!C:C,input_325105!A32,tables_325105!P:P)</f>
        <v>0</v>
      </c>
      <c r="L32" s="58"/>
      <c r="M32" s="58"/>
      <c r="N32" s="60"/>
      <c r="O32" s="58"/>
      <c r="P32" s="58"/>
      <c r="Q32" s="58"/>
      <c r="R32" s="61"/>
    </row>
    <row r="33" spans="1:18" x14ac:dyDescent="0.15">
      <c r="A33" s="34" t="s">
        <v>220</v>
      </c>
      <c r="B33" s="74">
        <f>G$8*COUNTIF(tables_325105!C:C,input_325105!A33)*B6</f>
        <v>0.36403999999999997</v>
      </c>
      <c r="C33" s="50">
        <f t="shared" si="2"/>
        <v>0</v>
      </c>
      <c r="D33" s="72">
        <f t="shared" si="3"/>
        <v>0.36403999999999997</v>
      </c>
      <c r="E33">
        <f>COUNTIF(tables_325105!C:C,input_325105!A33)-COUNTIF(Q:Q,A33)</f>
        <v>12</v>
      </c>
      <c r="F33" s="45">
        <f t="shared" si="4"/>
        <v>3.0336666666666665E-2</v>
      </c>
      <c r="G33">
        <f t="shared" si="5"/>
        <v>10921200</v>
      </c>
      <c r="H33">
        <f t="shared" si="6"/>
        <v>910100</v>
      </c>
      <c r="I33">
        <f t="shared" si="7"/>
        <v>0</v>
      </c>
      <c r="J33">
        <f t="shared" si="8"/>
        <v>1</v>
      </c>
      <c r="K33" s="82">
        <f ca="1">SUMIF(tables_325105!C:C,input_325105!A33,tables_325105!P:P)</f>
        <v>0.36404048538731387</v>
      </c>
      <c r="L33" s="58"/>
      <c r="M33" s="58"/>
      <c r="N33" s="60"/>
      <c r="O33" s="58"/>
      <c r="P33" s="58"/>
      <c r="Q33" s="58"/>
      <c r="R33" s="61"/>
    </row>
    <row r="34" spans="1:18" x14ac:dyDescent="0.15">
      <c r="A34" s="34" t="s">
        <v>221</v>
      </c>
      <c r="B34" s="74">
        <f>G$8*COUNTIF(tables_325105!C:C,input_325105!A34)*B7</f>
        <v>1.916E-2</v>
      </c>
      <c r="C34" s="50">
        <f t="shared" si="2"/>
        <v>0</v>
      </c>
      <c r="D34" s="72">
        <f t="shared" si="3"/>
        <v>1.916E-2</v>
      </c>
      <c r="E34">
        <f>COUNTIF(tables_325105!C:C,input_325105!A34)-COUNTIF(Q:Q,A34)</f>
        <v>12</v>
      </c>
      <c r="F34" s="45">
        <f t="shared" si="4"/>
        <v>1.5966666666666666E-3</v>
      </c>
      <c r="G34">
        <f t="shared" si="5"/>
        <v>574800</v>
      </c>
      <c r="H34">
        <f t="shared" si="6"/>
        <v>47900</v>
      </c>
      <c r="I34">
        <f t="shared" si="7"/>
        <v>0</v>
      </c>
      <c r="J34">
        <f t="shared" si="8"/>
        <v>1</v>
      </c>
      <c r="K34" s="82">
        <f ca="1">SUMIF(tables_325105!C:C,input_325105!A34,tables_325105!P:P)</f>
        <v>1.9160025546700724E-2</v>
      </c>
      <c r="L34" s="58"/>
      <c r="M34" s="58"/>
      <c r="N34" s="60"/>
      <c r="O34" s="58"/>
      <c r="P34" s="58"/>
      <c r="Q34" s="58"/>
      <c r="R34" s="61"/>
    </row>
    <row r="35" spans="1:18" x14ac:dyDescent="0.15">
      <c r="A35" s="34" t="s">
        <v>222</v>
      </c>
      <c r="B35" s="79">
        <f>G8*E35-B36</f>
        <v>2.1993333333333333E-2</v>
      </c>
      <c r="C35" s="50">
        <f t="shared" si="2"/>
        <v>0</v>
      </c>
      <c r="D35" s="72">
        <f t="shared" si="3"/>
        <v>2.1993333333333333E-2</v>
      </c>
      <c r="E35">
        <f>COUNTIF(tables_325105!C:C,input_325105!A35)-COUNTIF(Q:Q,A35)</f>
        <v>1</v>
      </c>
      <c r="F35" s="45">
        <f t="shared" si="4"/>
        <v>2.1993333333333333E-2</v>
      </c>
      <c r="G35">
        <f t="shared" si="5"/>
        <v>659800</v>
      </c>
      <c r="H35">
        <f t="shared" si="6"/>
        <v>659800</v>
      </c>
      <c r="I35">
        <f t="shared" si="7"/>
        <v>0</v>
      </c>
      <c r="J35">
        <f t="shared" si="8"/>
        <v>1</v>
      </c>
      <c r="K35" s="82">
        <f ca="1">SUMIF(tables_325105!C:C,input_325105!A35,tables_325105!P:P)</f>
        <v>2.1993362657816876E-2</v>
      </c>
      <c r="L35" s="58"/>
      <c r="M35" s="58"/>
      <c r="N35" s="60"/>
      <c r="O35" s="58"/>
      <c r="P35" s="58"/>
      <c r="Q35" s="58"/>
      <c r="R35" s="61"/>
    </row>
    <row r="36" spans="1:18" x14ac:dyDescent="0.15">
      <c r="A36" s="34" t="s">
        <v>223</v>
      </c>
      <c r="B36" s="80">
        <f>B7*0.6-B39-B41-B42-B34</f>
        <v>9.9400000000000009E-3</v>
      </c>
      <c r="C36" s="50">
        <f t="shared" si="2"/>
        <v>0</v>
      </c>
      <c r="D36" s="72">
        <f t="shared" si="3"/>
        <v>9.9400000000000009E-3</v>
      </c>
      <c r="E36">
        <f>COUNTIF(tables_325105!C:C,input_325105!A36)-COUNTIF(Q:Q,A36)</f>
        <v>1</v>
      </c>
      <c r="F36" s="45">
        <f t="shared" si="4"/>
        <v>9.9400000000000009E-3</v>
      </c>
      <c r="G36">
        <f t="shared" si="5"/>
        <v>298200</v>
      </c>
      <c r="H36">
        <f t="shared" si="6"/>
        <v>298200</v>
      </c>
      <c r="I36">
        <f t="shared" si="7"/>
        <v>0</v>
      </c>
      <c r="J36">
        <f t="shared" si="8"/>
        <v>1</v>
      </c>
      <c r="K36" s="82">
        <f ca="1">SUMIF(tables_325105!C:C,input_325105!A36,tables_325105!P:P)</f>
        <v>9.9400132533510044E-3</v>
      </c>
      <c r="L36" s="58"/>
      <c r="M36" s="58"/>
      <c r="N36" s="60"/>
      <c r="O36" s="58"/>
      <c r="P36" s="58"/>
      <c r="Q36" s="58"/>
      <c r="R36" s="61"/>
    </row>
    <row r="37" spans="1:18" x14ac:dyDescent="0.15">
      <c r="A37" s="34" t="s">
        <v>224</v>
      </c>
      <c r="B37" s="44">
        <f>G$6*COUNTIF(tables_325105!C:C,input_325105!A37)*B5</f>
        <v>0</v>
      </c>
      <c r="C37" s="50">
        <f t="shared" si="2"/>
        <v>0</v>
      </c>
      <c r="D37" s="72">
        <f t="shared" si="3"/>
        <v>0</v>
      </c>
      <c r="E37">
        <f>COUNTIF(tables_325105!C:C,input_325105!A37)-COUNTIF(Q:Q,A37)</f>
        <v>1</v>
      </c>
      <c r="F37" s="45">
        <f t="shared" si="4"/>
        <v>0</v>
      </c>
      <c r="G37">
        <f t="shared" si="5"/>
        <v>0</v>
      </c>
      <c r="H37">
        <f t="shared" si="6"/>
        <v>0</v>
      </c>
      <c r="I37">
        <f t="shared" si="7"/>
        <v>0</v>
      </c>
      <c r="J37">
        <f t="shared" si="8"/>
        <v>1</v>
      </c>
      <c r="K37" s="82">
        <f ca="1">SUMIF(tables_325105!C:C,input_325105!A37,tables_325105!P:P)</f>
        <v>0</v>
      </c>
      <c r="L37" s="58"/>
      <c r="M37" s="58"/>
      <c r="N37" s="60"/>
      <c r="O37" s="58"/>
      <c r="P37" s="58"/>
      <c r="Q37" s="58"/>
      <c r="R37" s="61"/>
    </row>
    <row r="38" spans="1:18" x14ac:dyDescent="0.15">
      <c r="A38" s="34" t="s">
        <v>225</v>
      </c>
      <c r="B38" s="44">
        <f>G$6*COUNTIF(tables_325105!C:C,input_325105!A38)*B6</f>
        <v>1.9E-3</v>
      </c>
      <c r="C38" s="50">
        <f t="shared" si="2"/>
        <v>0</v>
      </c>
      <c r="D38" s="72">
        <f t="shared" si="3"/>
        <v>1.9E-3</v>
      </c>
      <c r="E38">
        <f>COUNTIF(tables_325105!C:C,input_325105!A38)-COUNTIF(Q:Q,A38)</f>
        <v>1</v>
      </c>
      <c r="F38" s="45">
        <f t="shared" si="4"/>
        <v>1.9E-3</v>
      </c>
      <c r="G38">
        <f t="shared" si="5"/>
        <v>57000</v>
      </c>
      <c r="H38">
        <f t="shared" si="6"/>
        <v>57000</v>
      </c>
      <c r="I38">
        <f t="shared" si="7"/>
        <v>0</v>
      </c>
      <c r="J38">
        <f t="shared" si="8"/>
        <v>1</v>
      </c>
      <c r="K38" s="82">
        <f ca="1">SUMIF(tables_325105!C:C,input_325105!A38,tables_325105!P:P)</f>
        <v>1.9000025333367112E-3</v>
      </c>
      <c r="L38" s="58"/>
      <c r="M38" s="58"/>
      <c r="N38" s="60"/>
      <c r="O38" s="58"/>
      <c r="P38" s="58"/>
      <c r="Q38" s="58"/>
      <c r="R38" s="61"/>
    </row>
    <row r="39" spans="1:18" x14ac:dyDescent="0.15">
      <c r="A39" s="34" t="s">
        <v>226</v>
      </c>
      <c r="B39" s="44">
        <f>G$6*COUNTIF(tables_325105!C:C,input_325105!A39)*B7</f>
        <v>1E-4</v>
      </c>
      <c r="C39" s="50">
        <f t="shared" si="2"/>
        <v>0</v>
      </c>
      <c r="D39" s="72">
        <f t="shared" si="3"/>
        <v>1E-4</v>
      </c>
      <c r="E39">
        <f>COUNTIF(tables_325105!C:C,input_325105!A39)-COUNTIF(Q:Q,A39)</f>
        <v>1</v>
      </c>
      <c r="F39" s="45">
        <f t="shared" si="4"/>
        <v>1E-4</v>
      </c>
      <c r="G39">
        <f t="shared" si="5"/>
        <v>3000</v>
      </c>
      <c r="H39">
        <f t="shared" si="6"/>
        <v>3000</v>
      </c>
      <c r="I39">
        <f t="shared" si="7"/>
        <v>0</v>
      </c>
      <c r="J39">
        <f t="shared" si="8"/>
        <v>1</v>
      </c>
      <c r="K39" s="82">
        <f ca="1">SUMIF(tables_325105!C:C,input_325105!A39,tables_325105!P:P)</f>
        <v>1.0000013333351111E-4</v>
      </c>
      <c r="L39" s="58"/>
      <c r="M39" s="58"/>
      <c r="N39" s="60"/>
      <c r="O39" s="58"/>
      <c r="P39" s="58"/>
      <c r="Q39" s="58"/>
      <c r="R39" s="61"/>
    </row>
    <row r="40" spans="1:18" x14ac:dyDescent="0.15">
      <c r="A40" s="34" t="s">
        <v>227</v>
      </c>
      <c r="B40" s="44">
        <f>G$6*COUNTIF(tables_325105!C:C,input_325105!A40)*(B6+B5)</f>
        <v>1.52E-2</v>
      </c>
      <c r="C40" s="50">
        <f t="shared" si="2"/>
        <v>0</v>
      </c>
      <c r="D40" s="72">
        <f t="shared" si="3"/>
        <v>1.52E-2</v>
      </c>
      <c r="E40">
        <f>COUNTIF(tables_325105!C:C,input_325105!A40)-COUNTIF(Q:Q,A40)</f>
        <v>8</v>
      </c>
      <c r="F40" s="45">
        <f t="shared" si="4"/>
        <v>1.9E-3</v>
      </c>
      <c r="G40">
        <f t="shared" si="5"/>
        <v>456000</v>
      </c>
      <c r="H40">
        <f t="shared" si="6"/>
        <v>57000</v>
      </c>
      <c r="I40">
        <f t="shared" si="7"/>
        <v>0</v>
      </c>
      <c r="J40">
        <f t="shared" si="8"/>
        <v>1</v>
      </c>
      <c r="K40" s="82">
        <f ca="1">SUMIF(tables_325105!C:C,input_325105!A40,tables_325105!P:P)</f>
        <v>1.520002026669369E-2</v>
      </c>
      <c r="L40" s="58"/>
      <c r="M40" s="58"/>
      <c r="N40" s="60"/>
      <c r="O40" s="58"/>
      <c r="P40" s="58"/>
      <c r="Q40" s="58"/>
      <c r="R40" s="61"/>
    </row>
    <row r="41" spans="1:18" x14ac:dyDescent="0.15">
      <c r="A41" s="34" t="s">
        <v>228</v>
      </c>
      <c r="B41" s="44">
        <f>G$6*COUNTIF(tables_325105!C:C,input_325105!A41)*B7</f>
        <v>8.0000000000000004E-4</v>
      </c>
      <c r="C41" s="50">
        <f t="shared" si="2"/>
        <v>0</v>
      </c>
      <c r="D41" s="72">
        <f t="shared" si="3"/>
        <v>8.0000000000000004E-4</v>
      </c>
      <c r="E41">
        <f>COUNTIF(tables_325105!C:C,input_325105!A41)-COUNTIF(Q:Q,A41)</f>
        <v>8</v>
      </c>
      <c r="F41" s="45">
        <f>IFERROR(D41/E41,0)</f>
        <v>1E-4</v>
      </c>
      <c r="G41">
        <f t="shared" si="5"/>
        <v>24000</v>
      </c>
      <c r="H41">
        <f t="shared" si="6"/>
        <v>3000</v>
      </c>
      <c r="I41">
        <f t="shared" si="7"/>
        <v>0</v>
      </c>
      <c r="J41">
        <f t="shared" si="8"/>
        <v>1</v>
      </c>
      <c r="K41" s="82">
        <f ca="1">SUMIF(tables_325105!C:C,input_325105!A41,tables_325105!P:P)</f>
        <v>8.0000106666808907E-4</v>
      </c>
      <c r="L41" s="58"/>
      <c r="M41" s="58"/>
      <c r="N41" s="60"/>
      <c r="O41" s="58"/>
      <c r="P41" s="58"/>
      <c r="Q41" s="58"/>
      <c r="R41" s="61"/>
    </row>
    <row r="42" spans="1:18" x14ac:dyDescent="0.15">
      <c r="A42" s="34" t="s">
        <v>229</v>
      </c>
      <c r="B42" s="44">
        <f>G6*COUNTIF(tables_325105!C:C,input_325105!A42)</f>
        <v>0</v>
      </c>
      <c r="C42" s="50">
        <f t="shared" si="2"/>
        <v>0</v>
      </c>
      <c r="D42" s="72">
        <f t="shared" si="3"/>
        <v>0</v>
      </c>
      <c r="E42">
        <f>COUNTIF(tables_325105!C:C,input_325105!A42)-COUNTIF(Q:Q,A42)</f>
        <v>0</v>
      </c>
      <c r="F42" s="45">
        <f t="shared" ref="F42:F44" si="9">IFERROR(D42/E42,0)</f>
        <v>0</v>
      </c>
      <c r="G42">
        <f t="shared" si="5"/>
        <v>0</v>
      </c>
      <c r="H42">
        <f t="shared" si="6"/>
        <v>0</v>
      </c>
      <c r="I42">
        <f t="shared" si="7"/>
        <v>0</v>
      </c>
      <c r="J42">
        <f t="shared" si="8"/>
        <v>1</v>
      </c>
      <c r="K42" s="82">
        <f>SUMIF(tables_325105!C:C,input_325105!A42,tables_325105!P:P)</f>
        <v>0</v>
      </c>
      <c r="L42" s="58"/>
      <c r="M42" s="58"/>
      <c r="N42" s="60"/>
      <c r="O42" s="58"/>
      <c r="P42" s="58"/>
      <c r="Q42" s="58"/>
      <c r="R42" s="61"/>
    </row>
    <row r="43" spans="1:18" x14ac:dyDescent="0.15">
      <c r="A43" s="34" t="s">
        <v>115</v>
      </c>
      <c r="B43" s="57">
        <v>0</v>
      </c>
      <c r="C43" s="50">
        <f t="shared" si="2"/>
        <v>0</v>
      </c>
      <c r="D43" s="72">
        <f t="shared" si="3"/>
        <v>0</v>
      </c>
      <c r="E43">
        <f>COUNTIF(tables_325105!C:C,input_325105!A43)-COUNTIF(Q:Q,A43)</f>
        <v>0</v>
      </c>
      <c r="F43" s="45">
        <f t="shared" si="9"/>
        <v>0</v>
      </c>
      <c r="G43">
        <f t="shared" si="5"/>
        <v>0</v>
      </c>
      <c r="H43">
        <f t="shared" si="6"/>
        <v>0</v>
      </c>
      <c r="I43">
        <f t="shared" si="7"/>
        <v>0</v>
      </c>
      <c r="J43">
        <f t="shared" si="8"/>
        <v>1</v>
      </c>
      <c r="K43" s="82">
        <f>SUMIF(tables_325105!C:C,input_325105!A43,tables_325105!P:P)</f>
        <v>0</v>
      </c>
      <c r="L43" s="58"/>
      <c r="M43" s="58"/>
      <c r="N43" s="60"/>
      <c r="O43" s="58"/>
      <c r="P43" s="58"/>
      <c r="Q43" s="58"/>
      <c r="R43" s="61"/>
    </row>
    <row r="44" spans="1:18" x14ac:dyDescent="0.15">
      <c r="A44" s="34" t="s">
        <v>113</v>
      </c>
      <c r="B44" s="57">
        <f>B12</f>
        <v>1.2E-2</v>
      </c>
      <c r="C44" s="50">
        <f t="shared" si="2"/>
        <v>0</v>
      </c>
      <c r="D44" s="72">
        <f t="shared" si="3"/>
        <v>1.2E-2</v>
      </c>
      <c r="E44">
        <f>COUNTIF(tables_325105!C:C,input_325105!A44)-COUNTIF(Q:Q,A44)</f>
        <v>1</v>
      </c>
      <c r="F44" s="45">
        <f t="shared" si="9"/>
        <v>1.2E-2</v>
      </c>
      <c r="G44">
        <f t="shared" si="5"/>
        <v>360000</v>
      </c>
      <c r="H44">
        <f t="shared" si="6"/>
        <v>360000</v>
      </c>
      <c r="I44">
        <f t="shared" si="7"/>
        <v>0</v>
      </c>
      <c r="J44">
        <f t="shared" si="8"/>
        <v>1</v>
      </c>
      <c r="K44" s="82">
        <f ca="1">SUMIF(tables_325105!C:C,input_325105!A44,tables_325105!P:P)</f>
        <v>1.2000016000021334E-2</v>
      </c>
      <c r="L44" s="58"/>
      <c r="M44" s="58"/>
      <c r="N44" s="60"/>
      <c r="O44" s="58"/>
      <c r="P44" s="58"/>
      <c r="Q44" s="58"/>
      <c r="R44" s="61"/>
    </row>
    <row r="45" spans="1:18" x14ac:dyDescent="0.15">
      <c r="A45" s="41" t="s">
        <v>62</v>
      </c>
      <c r="B45" s="42">
        <f>SUM(B17:B44)</f>
        <v>0.99999999999999978</v>
      </c>
      <c r="C45" s="43">
        <f>SUM(C19:C44)</f>
        <v>0</v>
      </c>
      <c r="D45" s="44">
        <f t="shared" si="3"/>
        <v>0.99999999999999978</v>
      </c>
      <c r="L45" s="58"/>
      <c r="M45" s="58"/>
      <c r="N45" s="58"/>
      <c r="O45" s="58"/>
      <c r="P45" s="58"/>
      <c r="Q45" s="58"/>
      <c r="R45" s="61"/>
    </row>
    <row r="48" spans="1:18" x14ac:dyDescent="0.15">
      <c r="A48" t="s">
        <v>234</v>
      </c>
      <c r="H48" t="s">
        <v>235</v>
      </c>
    </row>
    <row r="49" spans="1:8" x14ac:dyDescent="0.15">
      <c r="A49" s="31">
        <f>1000000*15*2</f>
        <v>30000000</v>
      </c>
      <c r="H49" s="81">
        <f>MAX(H17:H44)</f>
        <v>958000</v>
      </c>
    </row>
    <row r="51" spans="1:8" x14ac:dyDescent="0.15">
      <c r="A51" s="49" t="s">
        <v>80</v>
      </c>
    </row>
    <row r="52" spans="1:8" x14ac:dyDescent="0.15">
      <c r="A52" s="34" t="s">
        <v>63</v>
      </c>
      <c r="B52" t="s">
        <v>77</v>
      </c>
      <c r="C52" t="s">
        <v>104</v>
      </c>
      <c r="E52" t="s">
        <v>105</v>
      </c>
      <c r="F52" t="s">
        <v>2</v>
      </c>
      <c r="G52" t="s">
        <v>66</v>
      </c>
    </row>
    <row r="53" spans="1:8" x14ac:dyDescent="0.15">
      <c r="A53" s="34" t="s">
        <v>108</v>
      </c>
      <c r="B53">
        <f ca="1">SUMIF(tables_325105!C:C,input_325105!A53,tables_325105!O:O)</f>
        <v>0</v>
      </c>
      <c r="C53" s="55">
        <f t="shared" ref="C53:C59" ca="1" si="10">B53/B$60</f>
        <v>0</v>
      </c>
      <c r="E53">
        <v>3</v>
      </c>
      <c r="F53">
        <f ca="1">SUMIF(tables_325105!J:J,input_325105!E53,tables_325105!O:O)</f>
        <v>0</v>
      </c>
      <c r="G53">
        <f ca="1">F53/A49</f>
        <v>0</v>
      </c>
    </row>
    <row r="54" spans="1:8" x14ac:dyDescent="0.15">
      <c r="A54" s="34" t="s">
        <v>109</v>
      </c>
      <c r="B54">
        <f ca="1">SUMIF(tables_325105!C:C,input_325105!A54,tables_325105!O:O)</f>
        <v>7800840</v>
      </c>
      <c r="C54" s="55">
        <f t="shared" ca="1" si="10"/>
        <v>0.88051561053795968</v>
      </c>
      <c r="E54">
        <v>4</v>
      </c>
      <c r="F54">
        <f ca="1">SUMIF(tables_325105!J:J,input_325105!E54,tables_325105!O:O)</f>
        <v>28139972</v>
      </c>
      <c r="G54">
        <f ca="1">F54/A49</f>
        <v>0.93799906666666666</v>
      </c>
    </row>
    <row r="55" spans="1:8" x14ac:dyDescent="0.15">
      <c r="A55" s="34" t="s">
        <v>111</v>
      </c>
      <c r="B55">
        <f ca="1">SUMIF(tables_325105!C:C,input_325105!A55,tables_325105!O:O)</f>
        <v>273600</v>
      </c>
      <c r="C55" s="55">
        <f t="shared" ca="1" si="10"/>
        <v>3.0882452536289139E-2</v>
      </c>
      <c r="E55">
        <v>5</v>
      </c>
      <c r="F55">
        <f ca="1">SUMIF(tables_325105!J:J,input_325105!E55,tables_325105!O:O)</f>
        <v>1859988</v>
      </c>
      <c r="G55">
        <f ca="1">F55/A49</f>
        <v>6.1999600000000002E-2</v>
      </c>
    </row>
    <row r="56" spans="1:8" x14ac:dyDescent="0.15">
      <c r="A56" s="34" t="s">
        <v>115</v>
      </c>
      <c r="B56">
        <f>SUMIF(tables_325105!C:C,input_325105!A56,tables_325105!O:O)</f>
        <v>0</v>
      </c>
      <c r="C56" s="55">
        <f t="shared" ca="1" si="10"/>
        <v>0</v>
      </c>
      <c r="F56" s="56"/>
    </row>
    <row r="57" spans="1:8" x14ac:dyDescent="0.15">
      <c r="A57" s="34" t="s">
        <v>110</v>
      </c>
      <c r="B57">
        <f ca="1">SUMIF(tables_325105!C:C,input_325105!A57,tables_325105!O:O)</f>
        <v>410560</v>
      </c>
      <c r="C57" s="55">
        <f t="shared" ca="1" si="10"/>
        <v>4.634173871819762E-2</v>
      </c>
      <c r="E57" t="s">
        <v>56</v>
      </c>
      <c r="F57" s="56"/>
    </row>
    <row r="58" spans="1:8" x14ac:dyDescent="0.15">
      <c r="A58" s="34" t="s">
        <v>112</v>
      </c>
      <c r="B58">
        <f ca="1">SUMIF(tables_325105!C:C,input_325105!A58,tables_325105!O:O)</f>
        <v>14400</v>
      </c>
      <c r="C58" s="55">
        <f t="shared" ca="1" si="10"/>
        <v>1.62539223875206E-3</v>
      </c>
      <c r="E58" t="s">
        <v>210</v>
      </c>
      <c r="F58" s="56">
        <f ca="1">SUMIF(tables_325105!I:I,input_325105!E58,tables_325105!P:P)</f>
        <v>0.26230951641268851</v>
      </c>
    </row>
    <row r="59" spans="1:8" x14ac:dyDescent="0.15">
      <c r="A59" s="34" t="s">
        <v>113</v>
      </c>
      <c r="B59">
        <f ca="1">SUMIF(tables_325105!C:C,input_325105!A59,tables_325105!O:O)</f>
        <v>360000</v>
      </c>
      <c r="C59" s="55">
        <f t="shared" ca="1" si="10"/>
        <v>4.06348059688015E-2</v>
      </c>
      <c r="E59" t="s">
        <v>211</v>
      </c>
      <c r="F59" s="56">
        <f ca="1">SUMIF(tables_325105!I:I,input_325105!E59,tables_325105!P:P)</f>
        <v>0.21965045953394616</v>
      </c>
    </row>
    <row r="60" spans="1:8" x14ac:dyDescent="0.15">
      <c r="A60" s="41" t="s">
        <v>62</v>
      </c>
      <c r="B60">
        <f ca="1">SUM(B53:B59)</f>
        <v>8859400</v>
      </c>
      <c r="C60" s="56">
        <f ca="1">SUM(C53:C59)</f>
        <v>1</v>
      </c>
      <c r="E60" t="s">
        <v>212</v>
      </c>
      <c r="F60" s="56">
        <f ca="1">SUMIF(tables_325105!I:I,input_325105!E60,tables_325105!P:P)</f>
        <v>0.47947997263996334</v>
      </c>
    </row>
    <row r="61" spans="1:8" x14ac:dyDescent="0.15">
      <c r="E61" t="s">
        <v>213</v>
      </c>
      <c r="F61" s="56">
        <f ca="1">SUMIF(tables_325105!I:I,input_325105!E61,tables_325105!P:P)</f>
        <v>2.6560035413380537E-2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272"/>
  <sheetViews>
    <sheetView showGridLines="0" zoomScale="75" zoomScaleNormal="75" zoomScalePageLayoutView="75" workbookViewId="0">
      <pane ySplit="1" topLeftCell="A250" activePane="bottomLeft" state="frozen"/>
      <selection activeCell="B13" sqref="B13"/>
      <selection pane="bottomLeft" activeCell="B13" sqref="B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99</v>
      </c>
      <c r="E1" s="3" t="s">
        <v>196</v>
      </c>
      <c r="F1" s="3" t="s">
        <v>197</v>
      </c>
      <c r="G1" s="3" t="s">
        <v>107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input_325105!A$2</f>
        <v>325105</v>
      </c>
      <c r="B2" s="6">
        <v>126</v>
      </c>
      <c r="C2" s="7" t="str">
        <f t="shared" ref="C2:C65" si="0">D2&amp;J2&amp;E2&amp;F2&amp;G2</f>
        <v>PremiumW3color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IFERROR(VLOOKUP(B2,input_325105!L:R,7,FALSE),ROUNDDOWN(VLOOKUP(tables_325105!C2,input_325105!A:H,8,FALSE),0))</f>
        <v>0</v>
      </c>
      <c r="P2" s="48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input_325105!A$2</f>
        <v>325105</v>
      </c>
      <c r="B3" s="6">
        <v>127</v>
      </c>
      <c r="C3" s="7" t="str">
        <f t="shared" si="0"/>
        <v>PremiumW4color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IFERROR(VLOOKUP(B3,input_325105!L:R,7,FALSE),ROUNDDOWN(VLOOKUP(tables_325105!C3,input_325105!A:H,8,FALSE),0))</f>
        <v>958000</v>
      </c>
      <c r="P3" s="48">
        <f ca="1">O3/SUM(O:O)</f>
        <v>3.1933375911167884E-2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input_325105!A$2</f>
        <v>325105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IFERROR(VLOOKUP(B4,input_325105!L:R,7,FALSE),ROUNDDOWN(VLOOKUP(tables_325105!C4,input_325105!A:H,8,FALSE),0))</f>
        <v>0</v>
      </c>
      <c r="P4" s="48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input_325105!A$2</f>
        <v>325105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IFERROR(VLOOKUP(B5,input_325105!L:R,7,FALSE),ROUNDDOWN(VLOOKUP(tables_325105!C5,input_325105!A:H,8,FALSE),0))</f>
        <v>205285</v>
      </c>
      <c r="P5" s="48">
        <f ca="1">O5/SUM(O:O)</f>
        <v>6.8428424571232759E-3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input_325105!A$2</f>
        <v>325105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IFERROR(VLOOKUP(B6,input_325105!L:R,7,FALSE),ROUNDDOWN(VLOOKUP(tables_325105!C6,input_325105!A:H,8,FALSE),0))</f>
        <v>0</v>
      </c>
      <c r="P6" s="48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input_325105!A$2</f>
        <v>325105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IFERROR(VLOOKUP(B7,input_325105!L:R,7,FALSE),ROUNDDOWN(VLOOKUP(tables_325105!C7,input_325105!A:H,8,FALSE),0))</f>
        <v>205285</v>
      </c>
      <c r="P7" s="48">
        <f ca="1">O7/SUM(O:O)</f>
        <v>6.8428424571232759E-3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input_325105!A$2</f>
        <v>325105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IFERROR(VLOOKUP(B8,input_325105!L:R,7,FALSE),ROUNDDOWN(VLOOKUP(tables_325105!C8,input_325105!A:H,8,FALSE),0))</f>
        <v>0</v>
      </c>
      <c r="P8" s="48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input_325105!A$2</f>
        <v>325105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IFERROR(VLOOKUP(B9,input_325105!L:R,7,FALSE),ROUNDDOWN(VLOOKUP(tables_325105!C9,input_325105!A:H,8,FALSE),0))</f>
        <v>205285</v>
      </c>
      <c r="P9" s="48">
        <f ca="1">O9/SUM(O:O)</f>
        <v>6.8428424571232759E-3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input_325105!A$2</f>
        <v>325105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IFERROR(VLOOKUP(B10,input_325105!L:R,7,FALSE),ROUNDDOWN(VLOOKUP(tables_325105!C10,input_325105!A:H,8,FALSE),0))</f>
        <v>0</v>
      </c>
      <c r="P10" s="48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input_325105!A$2</f>
        <v>325105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IFERROR(VLOOKUP(B11,input_325105!L:R,7,FALSE),ROUNDDOWN(VLOOKUP(tables_325105!C11,input_325105!A:H,8,FALSE),0))</f>
        <v>958000</v>
      </c>
      <c r="P11" s="48">
        <f ca="1">O11/SUM(O:O)</f>
        <v>3.1933375911167884E-2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input_325105!A$2</f>
        <v>325105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IFERROR(VLOOKUP(B12,input_325105!L:R,7,FALSE),ROUNDDOWN(VLOOKUP(tables_325105!C12,input_325105!A:H,8,FALSE),0))</f>
        <v>0</v>
      </c>
      <c r="P12" s="48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input_325105!A$2</f>
        <v>325105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IFERROR(VLOOKUP(B13,input_325105!L:R,7,FALSE),ROUNDDOWN(VLOOKUP(tables_325105!C13,input_325105!A:H,8,FALSE),0))</f>
        <v>205285</v>
      </c>
      <c r="P13" s="48">
        <f ca="1">O13/SUM(O:O)</f>
        <v>6.8428424571232759E-3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input_325105!A$2</f>
        <v>325105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IFERROR(VLOOKUP(B14,input_325105!L:R,7,FALSE),ROUNDDOWN(VLOOKUP(tables_325105!C14,input_325105!A:H,8,FALSE),0))</f>
        <v>0</v>
      </c>
      <c r="P14" s="48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input_325105!A$2</f>
        <v>325105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IFERROR(VLOOKUP(B15,input_325105!L:R,7,FALSE),ROUNDDOWN(VLOOKUP(tables_325105!C15,input_325105!A:H,8,FALSE),0))</f>
        <v>205285</v>
      </c>
      <c r="P15" s="48">
        <f ca="1">O15/SUM(O:O)</f>
        <v>6.8428424571232759E-3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input_325105!A$2</f>
        <v>325105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IFERROR(VLOOKUP(B16,input_325105!L:R,7,FALSE),ROUNDDOWN(VLOOKUP(tables_325105!C16,input_325105!A:H,8,FALSE),0))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input_325105!A$2</f>
        <v>325105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IFERROR(VLOOKUP(B17,input_325105!L:R,7,FALSE),ROUNDDOWN(VLOOKUP(tables_325105!C17,input_325105!A:H,8,FALSE),0))</f>
        <v>205285</v>
      </c>
      <c r="P17" s="48">
        <f ca="1">O17/SUM(O:O)</f>
        <v>6.8428424571232759E-3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input_325105!A$2</f>
        <v>325105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IFERROR(VLOOKUP(B18,input_325105!L:R,7,FALSE),ROUNDDOWN(VLOOKUP(tables_325105!C18,input_325105!A:H,8,FALSE),0))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input_325105!A$2</f>
        <v>325105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IFERROR(VLOOKUP(B19,input_325105!L:R,7,FALSE),ROUNDDOWN(VLOOKUP(tables_325105!C19,input_325105!A:H,8,FALSE),0))</f>
        <v>958000</v>
      </c>
      <c r="P19" s="48">
        <f ca="1">O19/SUM(O:O)</f>
        <v>3.1933375911167884E-2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input_325105!A$2</f>
        <v>325105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IFERROR(VLOOKUP(B20,input_325105!L:R,7,FALSE),ROUNDDOWN(VLOOKUP(tables_325105!C20,input_325105!A:H,8,FALSE),0))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input_325105!A$2</f>
        <v>325105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IFERROR(VLOOKUP(B21,input_325105!L:R,7,FALSE),ROUNDDOWN(VLOOKUP(tables_325105!C21,input_325105!A:H,8,FALSE),0))</f>
        <v>205285</v>
      </c>
      <c r="P21" s="48">
        <f ca="1">O21/SUM(O:O)</f>
        <v>6.8428424571232759E-3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input_325105!A$2</f>
        <v>325105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IFERROR(VLOOKUP(B22,input_325105!L:R,7,FALSE),ROUNDDOWN(VLOOKUP(tables_325105!C22,input_325105!A:H,8,FALSE),0))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input_325105!A$2</f>
        <v>325105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IFERROR(VLOOKUP(B23,input_325105!L:R,7,FALSE),ROUNDDOWN(VLOOKUP(tables_325105!C23,input_325105!A:H,8,FALSE),0))</f>
        <v>205285</v>
      </c>
      <c r="P23" s="48">
        <f ca="1">O23/SUM(O:O)</f>
        <v>6.8428424571232759E-3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input_325105!A$2</f>
        <v>325105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IFERROR(VLOOKUP(B24,input_325105!L:R,7,FALSE),ROUNDDOWN(VLOOKUP(tables_325105!C24,input_325105!A:H,8,FALSE),0))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input_325105!A$2</f>
        <v>325105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IFERROR(VLOOKUP(B25,input_325105!L:R,7,FALSE),ROUNDDOWN(VLOOKUP(tables_325105!C25,input_325105!A:H,8,FALSE),0))</f>
        <v>205285</v>
      </c>
      <c r="P25" s="48">
        <f ca="1">O25/SUM(O:O)</f>
        <v>6.8428424571232759E-3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input_325105!A$2</f>
        <v>325105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IFERROR(VLOOKUP(B26,input_325105!L:R,7,FALSE),ROUNDDOWN(VLOOKUP(tables_325105!C26,input_325105!A:H,8,FALSE),0))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input_325105!A$2</f>
        <v>325105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IFERROR(VLOOKUP(B27,input_325105!L:R,7,FALSE),ROUNDDOWN(VLOOKUP(tables_325105!C27,input_325105!A:H,8,FALSE),0))</f>
        <v>958000</v>
      </c>
      <c r="P27" s="48">
        <f ca="1">O27/SUM(O:O)</f>
        <v>3.1933375911167884E-2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input_325105!A$2</f>
        <v>325105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IFERROR(VLOOKUP(B28,input_325105!L:R,7,FALSE),ROUNDDOWN(VLOOKUP(tables_325105!C28,input_325105!A:H,8,FALSE),0))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input_325105!A$2</f>
        <v>325105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IFERROR(VLOOKUP(B29,input_325105!L:R,7,FALSE),ROUNDDOWN(VLOOKUP(tables_325105!C29,input_325105!A:H,8,FALSE),0))</f>
        <v>205285</v>
      </c>
      <c r="P29" s="48">
        <f ca="1">O29/SUM(O:O)</f>
        <v>6.8428424571232759E-3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input_325105!A$2</f>
        <v>325105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IFERROR(VLOOKUP(B30,input_325105!L:R,7,FALSE),ROUNDDOWN(VLOOKUP(tables_325105!C30,input_325105!A:H,8,FALSE),0))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input_325105!A$2</f>
        <v>325105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IFERROR(VLOOKUP(B31,input_325105!L:R,7,FALSE),ROUNDDOWN(VLOOKUP(tables_325105!C31,input_325105!A:H,8,FALSE),0))</f>
        <v>205285</v>
      </c>
      <c r="P31" s="48">
        <f ca="1">O31/SUM(O:O)</f>
        <v>6.8428424571232759E-3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input_325105!A$2</f>
        <v>325105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IFERROR(VLOOKUP(B32,input_325105!L:R,7,FALSE),ROUNDDOWN(VLOOKUP(tables_325105!C32,input_325105!A:H,8,FALSE),0))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input_325105!A$2</f>
        <v>325105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IFERROR(VLOOKUP(B33,input_325105!L:R,7,FALSE),ROUNDDOWN(VLOOKUP(tables_325105!C33,input_325105!A:H,8,FALSE),0))</f>
        <v>205285</v>
      </c>
      <c r="P33" s="48">
        <f ca="1">O33/SUM(O:O)</f>
        <v>6.8428424571232759E-3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input_325105!A$2</f>
        <v>325105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IFERROR(VLOOKUP(B34,input_325105!L:R,7,FALSE),ROUNDDOWN(VLOOKUP(tables_325105!C34,input_325105!A:H,8,FALSE),0))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input_325105!A$2</f>
        <v>325105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IFERROR(VLOOKUP(B35,input_325105!L:R,7,FALSE),ROUNDDOWN(VLOOKUP(tables_325105!C35,input_325105!A:H,8,FALSE),0))</f>
        <v>958000</v>
      </c>
      <c r="P35" s="48">
        <f ca="1">O35/SUM(O:O)</f>
        <v>3.1933375911167884E-2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input_325105!A$2</f>
        <v>325105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IFERROR(VLOOKUP(B36,input_325105!L:R,7,FALSE),ROUNDDOWN(VLOOKUP(tables_325105!C36,input_325105!A:H,8,FALSE),0))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input_325105!A$2</f>
        <v>325105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IFERROR(VLOOKUP(B37,input_325105!L:R,7,FALSE),ROUNDDOWN(VLOOKUP(tables_325105!C37,input_325105!A:H,8,FALSE),0))</f>
        <v>205285</v>
      </c>
      <c r="P37" s="48">
        <f ca="1">O37/SUM(O:O)</f>
        <v>6.8428424571232759E-3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input_325105!A$2</f>
        <v>325105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IFERROR(VLOOKUP(B38,input_325105!L:R,7,FALSE),ROUNDDOWN(VLOOKUP(tables_325105!C38,input_325105!A:H,8,FALSE),0))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input_325105!A$2</f>
        <v>325105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IFERROR(VLOOKUP(B39,input_325105!L:R,7,FALSE),ROUNDDOWN(VLOOKUP(tables_325105!C39,input_325105!A:H,8,FALSE),0))</f>
        <v>205285</v>
      </c>
      <c r="P39" s="48">
        <f ca="1">O39/SUM(O:O)</f>
        <v>6.8428424571232759E-3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input_325105!A$2</f>
        <v>325105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IFERROR(VLOOKUP(B40,input_325105!L:R,7,FALSE),ROUNDDOWN(VLOOKUP(tables_325105!C40,input_325105!A:H,8,FALSE),0))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input_325105!A$2</f>
        <v>325105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IFERROR(VLOOKUP(B41,input_325105!L:R,7,FALSE),ROUNDDOWN(VLOOKUP(tables_325105!C41,input_325105!A:H,8,FALSE),0))</f>
        <v>205285</v>
      </c>
      <c r="P41" s="48">
        <f ca="1">O41/SUM(O:O)</f>
        <v>6.8428424571232759E-3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input_325105!A$2</f>
        <v>325105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IFERROR(VLOOKUP(B42,input_325105!L:R,7,FALSE),ROUNDDOWN(VLOOKUP(tables_325105!C42,input_325105!A:H,8,FALSE),0))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input_325105!A$2</f>
        <v>325105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IFERROR(VLOOKUP(B43,input_325105!L:R,7,FALSE),ROUNDDOWN(VLOOKUP(tables_325105!C43,input_325105!A:H,8,FALSE),0))</f>
        <v>57000</v>
      </c>
      <c r="P43" s="48">
        <f ca="1">O43/SUM(O:O)</f>
        <v>1.9000025333367112E-3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input_325105!A$2</f>
        <v>325105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IFERROR(VLOOKUP(B44,input_325105!L:R,7,FALSE),ROUNDDOWN(VLOOKUP(tables_325105!C44,input_325105!A:H,8,FALSE),0))</f>
        <v>3000</v>
      </c>
      <c r="P44" s="48">
        <f ca="1">O44/SUM(O:O)</f>
        <v>1.0000013333351111E-4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input_325105!A$2</f>
        <v>325105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IFERROR(VLOOKUP(B45,input_325105!L:R,7,FALSE),ROUNDDOWN(VLOOKUP(tables_325105!C45,input_325105!A:H,8,FALSE),0))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input_325105!A$2</f>
        <v>325105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IFERROR(VLOOKUP(B46,input_325105!L:R,7,FALSE),ROUNDDOWN(VLOOKUP(tables_325105!C46,input_325105!A:H,8,FALSE),0))</f>
        <v>13680</v>
      </c>
      <c r="P46" s="48">
        <f ca="1">O46/SUM(O:O)</f>
        <v>4.5600060800081069E-4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input_325105!A$2</f>
        <v>325105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IFERROR(VLOOKUP(B47,input_325105!L:R,7,FALSE),ROUNDDOWN(VLOOKUP(tables_325105!C47,input_325105!A:H,8,FALSE),0))</f>
        <v>720</v>
      </c>
      <c r="P47" s="48">
        <f ca="1">O47/SUM(O:O)</f>
        <v>2.4000032000042668E-5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input_325105!A$2</f>
        <v>325105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IFERROR(VLOOKUP(B48,input_325105!L:R,7,FALSE),ROUNDDOWN(VLOOKUP(tables_325105!C48,input_325105!A:H,8,FALSE),0))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input_325105!A$2</f>
        <v>325105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IFERROR(VLOOKUP(B49,input_325105!L:R,7,FALSE),ROUNDDOWN(VLOOKUP(tables_325105!C49,input_325105!A:H,8,FALSE),0))</f>
        <v>13680</v>
      </c>
      <c r="P49" s="48">
        <f ca="1">O49/SUM(O:O)</f>
        <v>4.5600060800081069E-4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input_325105!A$2</f>
        <v>325105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IFERROR(VLOOKUP(B50,input_325105!L:R,7,FALSE),ROUNDDOWN(VLOOKUP(tables_325105!C50,input_325105!A:H,8,FALSE),0))</f>
        <v>720</v>
      </c>
      <c r="P50" s="48">
        <f ca="1">O50/SUM(O:O)</f>
        <v>2.4000032000042668E-5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input_325105!A$2</f>
        <v>325105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IFERROR(VLOOKUP(B51,input_325105!L:R,7,FALSE),ROUNDDOWN(VLOOKUP(tables_325105!C51,input_325105!A:H,8,FALSE),0))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input_325105!A$2</f>
        <v>325105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IFERROR(VLOOKUP(B52,input_325105!L:R,7,FALSE),ROUNDDOWN(VLOOKUP(tables_325105!C52,input_325105!A:H,8,FALSE),0))</f>
        <v>195021</v>
      </c>
      <c r="P52" s="48">
        <f ca="1">O52/SUM(O:O)</f>
        <v>6.5007086676115572E-3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input_325105!A$2</f>
        <v>325105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IFERROR(VLOOKUP(B53,input_325105!L:R,7,FALSE),ROUNDDOWN(VLOOKUP(tables_325105!C53,input_325105!A:H,8,FALSE),0))</f>
        <v>10264</v>
      </c>
      <c r="P53" s="48">
        <f ca="1">O53/SUM(O:O)</f>
        <v>3.4213378951171935E-4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input_325105!A$2</f>
        <v>325105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IFERROR(VLOOKUP(B54,input_325105!L:R,7,FALSE),ROUNDDOWN(VLOOKUP(tables_325105!C54,input_325105!A:H,8,FALSE),0))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input_325105!A$2</f>
        <v>325105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IFERROR(VLOOKUP(B55,input_325105!L:R,7,FALSE),ROUNDDOWN(VLOOKUP(tables_325105!C55,input_325105!A:H,8,FALSE),0))</f>
        <v>910100</v>
      </c>
      <c r="P55" s="48">
        <f ca="1">O55/SUM(O:O)</f>
        <v>3.0336707115609488E-2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input_325105!A$2</f>
        <v>325105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IFERROR(VLOOKUP(B56,input_325105!L:R,7,FALSE),ROUNDDOWN(VLOOKUP(tables_325105!C56,input_325105!A:H,8,FALSE),0))</f>
        <v>47900</v>
      </c>
      <c r="P56" s="48">
        <f ca="1">O56/SUM(O:O)</f>
        <v>1.596668795558394E-3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input_325105!A$2</f>
        <v>325105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IFERROR(VLOOKUP(B57,input_325105!L:R,7,FALSE),ROUNDDOWN(VLOOKUP(tables_325105!C57,input_325105!A:H,8,FALSE),0))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input_325105!A$2</f>
        <v>325105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IFERROR(VLOOKUP(B58,input_325105!L:R,7,FALSE),ROUNDDOWN(VLOOKUP(tables_325105!C58,input_325105!A:H,8,FALSE),0))</f>
        <v>195021</v>
      </c>
      <c r="P58" s="48">
        <f ca="1">O58/SUM(O:O)</f>
        <v>6.5007086676115572E-3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input_325105!A$2</f>
        <v>325105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IFERROR(VLOOKUP(B59,input_325105!L:R,7,FALSE),ROUNDDOWN(VLOOKUP(tables_325105!C59,input_325105!A:H,8,FALSE),0))</f>
        <v>10264</v>
      </c>
      <c r="P59" s="48">
        <f ca="1">O59/SUM(O:O)</f>
        <v>3.4213378951171935E-4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input_325105!A$2</f>
        <v>325105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IFERROR(VLOOKUP(B60,input_325105!L:R,7,FALSE),ROUNDDOWN(VLOOKUP(tables_325105!C60,input_325105!A:H,8,FALSE),0))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input_325105!A$2</f>
        <v>325105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IFERROR(VLOOKUP(B61,input_325105!L:R,7,FALSE),ROUNDDOWN(VLOOKUP(tables_325105!C61,input_325105!A:H,8,FALSE),0))</f>
        <v>195021</v>
      </c>
      <c r="P61" s="48">
        <f ca="1">O61/SUM(O:O)</f>
        <v>6.5007086676115572E-3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input_325105!A$2</f>
        <v>325105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IFERROR(VLOOKUP(B62,input_325105!L:R,7,FALSE),ROUNDDOWN(VLOOKUP(tables_325105!C62,input_325105!A:H,8,FALSE),0))</f>
        <v>10264</v>
      </c>
      <c r="P62" s="48">
        <f ca="1">O62/SUM(O:O)</f>
        <v>3.4213378951171935E-4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input_325105!A$2</f>
        <v>325105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IFERROR(VLOOKUP(B63,input_325105!L:R,7,FALSE),ROUNDDOWN(VLOOKUP(tables_325105!C63,input_325105!A:H,8,FALSE),0))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input_325105!A$2</f>
        <v>325105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IFERROR(VLOOKUP(B64,input_325105!L:R,7,FALSE),ROUNDDOWN(VLOOKUP(tables_325105!C64,input_325105!A:H,8,FALSE),0))</f>
        <v>195021</v>
      </c>
      <c r="P64" s="48">
        <f ca="1">O64/SUM(O:O)</f>
        <v>6.5007086676115572E-3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input_325105!A$2</f>
        <v>325105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IFERROR(VLOOKUP(B65,input_325105!L:R,7,FALSE),ROUNDDOWN(VLOOKUP(tables_325105!C65,input_325105!A:H,8,FALSE),0))</f>
        <v>10264</v>
      </c>
      <c r="P65" s="48">
        <f ca="1">O65/SUM(O:O)</f>
        <v>3.4213378951171935E-4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input_325105!A$2</f>
        <v>325105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IFERROR(VLOOKUP(B66,input_325105!L:R,7,FALSE),ROUNDDOWN(VLOOKUP(tables_325105!C66,input_325105!A:H,8,FALSE),0))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input_325105!A$2</f>
        <v>325105</v>
      </c>
      <c r="B67" s="6">
        <v>191</v>
      </c>
      <c r="C67" s="7" t="str">
        <f t="shared" si="3"/>
        <v>Premium4color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IFERROR(VLOOKUP(B67,input_325105!L:R,7,FALSE),ROUNDDOWN(VLOOKUP(tables_325105!C67,input_325105!A:H,8,FALSE),0))</f>
        <v>910100</v>
      </c>
      <c r="P67" s="48">
        <f ca="1">O67/SUM(O:O)</f>
        <v>3.0336707115609488E-2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input_325105!A$2</f>
        <v>325105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IFERROR(VLOOKUP(B68,input_325105!L:R,7,FALSE),ROUNDDOWN(VLOOKUP(tables_325105!C68,input_325105!A:H,8,FALSE),0))</f>
        <v>47900</v>
      </c>
      <c r="P68" s="48">
        <f ca="1">O68/SUM(O:O)</f>
        <v>1.596668795558394E-3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input_325105!A$2</f>
        <v>325105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IFERROR(VLOOKUP(B69,input_325105!L:R,7,FALSE),ROUNDDOWN(VLOOKUP(tables_325105!C69,input_325105!A:H,8,FALSE),0))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input_325105!A$2</f>
        <v>325105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IFERROR(VLOOKUP(B70,input_325105!L:R,7,FALSE),ROUNDDOWN(VLOOKUP(tables_325105!C70,input_325105!A:H,8,FALSE),0))</f>
        <v>195021</v>
      </c>
      <c r="P70" s="48">
        <f ca="1">O70/SUM(O:O)</f>
        <v>6.5007086676115572E-3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input_325105!A$2</f>
        <v>325105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IFERROR(VLOOKUP(B71,input_325105!L:R,7,FALSE),ROUNDDOWN(VLOOKUP(tables_325105!C71,input_325105!A:H,8,FALSE),0))</f>
        <v>10264</v>
      </c>
      <c r="P71" s="48">
        <f ca="1">O71/SUM(O:O)</f>
        <v>3.4213378951171935E-4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input_325105!A$2</f>
        <v>325105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IFERROR(VLOOKUP(B72,input_325105!L:R,7,FALSE),ROUNDDOWN(VLOOKUP(tables_325105!C72,input_325105!A:H,8,FALSE),0))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input_325105!A$2</f>
        <v>325105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IFERROR(VLOOKUP(B73,input_325105!L:R,7,FALSE),ROUNDDOWN(VLOOKUP(tables_325105!C73,input_325105!A:H,8,FALSE),0))</f>
        <v>195021</v>
      </c>
      <c r="P73" s="48">
        <f ca="1">O73/SUM(O:O)</f>
        <v>6.5007086676115572E-3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input_325105!A$2</f>
        <v>325105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IFERROR(VLOOKUP(B74,input_325105!L:R,7,FALSE),ROUNDDOWN(VLOOKUP(tables_325105!C74,input_325105!A:H,8,FALSE),0))</f>
        <v>10264</v>
      </c>
      <c r="P74" s="48">
        <f ca="1">O74/SUM(O:O)</f>
        <v>3.4213378951171935E-4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input_325105!A$2</f>
        <v>325105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IFERROR(VLOOKUP(B75,input_325105!L:R,7,FALSE),ROUNDDOWN(VLOOKUP(tables_325105!C75,input_325105!A:H,8,FALSE),0))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input_325105!A$2</f>
        <v>325105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IFERROR(VLOOKUP(B76,input_325105!L:R,7,FALSE),ROUNDDOWN(VLOOKUP(tables_325105!C76,input_325105!A:H,8,FALSE),0))</f>
        <v>195021</v>
      </c>
      <c r="P76" s="48">
        <f ca="1">O76/SUM(O:O)</f>
        <v>6.5007086676115572E-3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input_325105!A$2</f>
        <v>325105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IFERROR(VLOOKUP(B77,input_325105!L:R,7,FALSE),ROUNDDOWN(VLOOKUP(tables_325105!C77,input_325105!A:H,8,FALSE),0))</f>
        <v>10264</v>
      </c>
      <c r="P77" s="48">
        <f ca="1">O77/SUM(O:O)</f>
        <v>3.4213378951171935E-4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input_325105!A$2</f>
        <v>325105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IFERROR(VLOOKUP(B78,input_325105!L:R,7,FALSE),ROUNDDOWN(VLOOKUP(tables_325105!C78,input_325105!A:H,8,FALSE),0))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input_325105!A$2</f>
        <v>325105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IFERROR(VLOOKUP(B79,input_325105!L:R,7,FALSE),ROUNDDOWN(VLOOKUP(tables_325105!C79,input_325105!A:H,8,FALSE),0))</f>
        <v>910100</v>
      </c>
      <c r="P79" s="48">
        <f ca="1">O79/SUM(O:O)</f>
        <v>3.0336707115609488E-2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input_325105!A$2</f>
        <v>325105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IFERROR(VLOOKUP(B80,input_325105!L:R,7,FALSE),ROUNDDOWN(VLOOKUP(tables_325105!C80,input_325105!A:H,8,FALSE),0))</f>
        <v>47900</v>
      </c>
      <c r="P80" s="48">
        <f ca="1">O80/SUM(O:O)</f>
        <v>1.596668795558394E-3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input_325105!A$2</f>
        <v>325105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IFERROR(VLOOKUP(B81,input_325105!L:R,7,FALSE),ROUNDDOWN(VLOOKUP(tables_325105!C81,input_325105!A:H,8,FALSE),0))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input_325105!A$2</f>
        <v>325105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IFERROR(VLOOKUP(B82,input_325105!L:R,7,FALSE),ROUNDDOWN(VLOOKUP(tables_325105!C82,input_325105!A:H,8,FALSE),0))</f>
        <v>195021</v>
      </c>
      <c r="P82" s="48">
        <f ca="1">O82/SUM(O:O)</f>
        <v>6.5007086676115572E-3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input_325105!A$2</f>
        <v>325105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IFERROR(VLOOKUP(B83,input_325105!L:R,7,FALSE),ROUNDDOWN(VLOOKUP(tables_325105!C83,input_325105!A:H,8,FALSE),0))</f>
        <v>10264</v>
      </c>
      <c r="P83" s="48">
        <f ca="1">O83/SUM(O:O)</f>
        <v>3.4213378951171935E-4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input_325105!A$2</f>
        <v>325105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IFERROR(VLOOKUP(B84,input_325105!L:R,7,FALSE),ROUNDDOWN(VLOOKUP(tables_325105!C84,input_325105!A:H,8,FALSE),0))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input_325105!A$2</f>
        <v>325105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IFERROR(VLOOKUP(B85,input_325105!L:R,7,FALSE),ROUNDDOWN(VLOOKUP(tables_325105!C85,input_325105!A:H,8,FALSE),0))</f>
        <v>195021</v>
      </c>
      <c r="P85" s="48">
        <f ca="1">O85/SUM(O:O)</f>
        <v>6.5007086676115572E-3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input_325105!A$2</f>
        <v>325105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IFERROR(VLOOKUP(B86,input_325105!L:R,7,FALSE),ROUNDDOWN(VLOOKUP(tables_325105!C86,input_325105!A:H,8,FALSE),0))</f>
        <v>10264</v>
      </c>
      <c r="P86" s="48">
        <f ca="1">O86/SUM(O:O)</f>
        <v>3.4213378951171935E-4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input_325105!A$2</f>
        <v>325105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IFERROR(VLOOKUP(B87,input_325105!L:R,7,FALSE),ROUNDDOWN(VLOOKUP(tables_325105!C87,input_325105!A:H,8,FALSE),0))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input_325105!A$2</f>
        <v>325105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IFERROR(VLOOKUP(B88,input_325105!L:R,7,FALSE),ROUNDDOWN(VLOOKUP(tables_325105!C88,input_325105!A:H,8,FALSE),0))</f>
        <v>195021</v>
      </c>
      <c r="P88" s="48">
        <f ca="1">O88/SUM(O:O)</f>
        <v>6.5007086676115572E-3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input_325105!A$2</f>
        <v>325105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IFERROR(VLOOKUP(B89,input_325105!L:R,7,FALSE),ROUNDDOWN(VLOOKUP(tables_325105!C89,input_325105!A:H,8,FALSE),0))</f>
        <v>10264</v>
      </c>
      <c r="P89" s="48">
        <f ca="1">O89/SUM(O:O)</f>
        <v>3.4213378951171935E-4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input_325105!A$2</f>
        <v>325105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IFERROR(VLOOKUP(B90,input_325105!L:R,7,FALSE),ROUNDDOWN(VLOOKUP(tables_325105!C90,input_325105!A:H,8,FALSE),0))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input_325105!A$2</f>
        <v>325105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IFERROR(VLOOKUP(B91,input_325105!L:R,7,FALSE),ROUNDDOWN(VLOOKUP(tables_325105!C91,input_325105!A:H,8,FALSE),0))</f>
        <v>910100</v>
      </c>
      <c r="P91" s="48">
        <f ca="1">O91/SUM(O:O)</f>
        <v>3.0336707115609488E-2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input_325105!A$2</f>
        <v>325105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IFERROR(VLOOKUP(B92,input_325105!L:R,7,FALSE),ROUNDDOWN(VLOOKUP(tables_325105!C92,input_325105!A:H,8,FALSE),0))</f>
        <v>47900</v>
      </c>
      <c r="P92" s="48">
        <f ca="1">O92/SUM(O:O)</f>
        <v>1.596668795558394E-3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input_325105!A$2</f>
        <v>325105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IFERROR(VLOOKUP(B93,input_325105!L:R,7,FALSE),ROUNDDOWN(VLOOKUP(tables_325105!C93,input_325105!A:H,8,FALSE),0))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input_325105!A$2</f>
        <v>325105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IFERROR(VLOOKUP(B94,input_325105!L:R,7,FALSE),ROUNDDOWN(VLOOKUP(tables_325105!C94,input_325105!A:H,8,FALSE),0))</f>
        <v>195021</v>
      </c>
      <c r="P94" s="48">
        <f ca="1">O94/SUM(O:O)</f>
        <v>6.5007086676115572E-3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input_325105!A$2</f>
        <v>325105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IFERROR(VLOOKUP(B95,input_325105!L:R,7,FALSE),ROUNDDOWN(VLOOKUP(tables_325105!C95,input_325105!A:H,8,FALSE),0))</f>
        <v>10264</v>
      </c>
      <c r="P95" s="48">
        <f ca="1">O95/SUM(O:O)</f>
        <v>3.4213378951171935E-4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input_325105!A$2</f>
        <v>325105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IFERROR(VLOOKUP(B96,input_325105!L:R,7,FALSE),ROUNDDOWN(VLOOKUP(tables_325105!C96,input_325105!A:H,8,FALSE),0))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input_325105!A$2</f>
        <v>325105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IFERROR(VLOOKUP(B97,input_325105!L:R,7,FALSE),ROUNDDOWN(VLOOKUP(tables_325105!C97,input_325105!A:H,8,FALSE),0))</f>
        <v>195021</v>
      </c>
      <c r="P97" s="48">
        <f ca="1">O97/SUM(O:O)</f>
        <v>6.5007086676115572E-3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input_325105!A$2</f>
        <v>325105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IFERROR(VLOOKUP(B98,input_325105!L:R,7,FALSE),ROUNDDOWN(VLOOKUP(tables_325105!C98,input_325105!A:H,8,FALSE),0))</f>
        <v>10264</v>
      </c>
      <c r="P98" s="48">
        <f ca="1">O98/SUM(O:O)</f>
        <v>3.4213378951171935E-4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input_325105!A$2</f>
        <v>325105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IFERROR(VLOOKUP(B99,input_325105!L:R,7,FALSE),ROUNDDOWN(VLOOKUP(tables_325105!C99,input_325105!A:H,8,FALSE),0))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input_325105!A$2</f>
        <v>325105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IFERROR(VLOOKUP(B100,input_325105!L:R,7,FALSE),ROUNDDOWN(VLOOKUP(tables_325105!C100,input_325105!A:H,8,FALSE),0))</f>
        <v>195021</v>
      </c>
      <c r="P100" s="48">
        <f ca="1">O100/SUM(O:O)</f>
        <v>6.5007086676115572E-3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input_325105!A$2</f>
        <v>325105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IFERROR(VLOOKUP(B101,input_325105!L:R,7,FALSE),ROUNDDOWN(VLOOKUP(tables_325105!C101,input_325105!A:H,8,FALSE),0))</f>
        <v>10264</v>
      </c>
      <c r="P101" s="48">
        <f ca="1">O101/SUM(O:O)</f>
        <v>3.4213378951171935E-4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input_325105!A$2</f>
        <v>325105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IFERROR(VLOOKUP(B102,input_325105!L:R,7,FALSE),ROUNDDOWN(VLOOKUP(tables_325105!C102,input_325105!A:H,8,FALSE),0))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input_325105!A$2</f>
        <v>325105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IFERROR(VLOOKUP(B103,input_325105!L:R,7,FALSE),ROUNDDOWN(VLOOKUP(tables_325105!C103,input_325105!A:H,8,FALSE),0))</f>
        <v>910100</v>
      </c>
      <c r="P103" s="48">
        <f ca="1">O103/SUM(O:O)</f>
        <v>3.0336707115609488E-2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input_325105!A$2</f>
        <v>325105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IFERROR(VLOOKUP(B104,input_325105!L:R,7,FALSE),ROUNDDOWN(VLOOKUP(tables_325105!C104,input_325105!A:H,8,FALSE),0))</f>
        <v>47900</v>
      </c>
      <c r="P104" s="48">
        <f ca="1">O104/SUM(O:O)</f>
        <v>1.596668795558394E-3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input_325105!A$2</f>
        <v>325105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IFERROR(VLOOKUP(B105,input_325105!L:R,7,FALSE),ROUNDDOWN(VLOOKUP(tables_325105!C105,input_325105!A:H,8,FALSE),0))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input_325105!A$2</f>
        <v>325105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IFERROR(VLOOKUP(B106,input_325105!L:R,7,FALSE),ROUNDDOWN(VLOOKUP(tables_325105!C106,input_325105!A:H,8,FALSE),0))</f>
        <v>195021</v>
      </c>
      <c r="P106" s="48">
        <f ca="1">O106/SUM(O:O)</f>
        <v>6.5007086676115572E-3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input_325105!A$2</f>
        <v>325105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IFERROR(VLOOKUP(B107,input_325105!L:R,7,FALSE),ROUNDDOWN(VLOOKUP(tables_325105!C107,input_325105!A:H,8,FALSE),0))</f>
        <v>10264</v>
      </c>
      <c r="P107" s="48">
        <f ca="1">O107/SUM(O:O)</f>
        <v>3.4213378951171935E-4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input_325105!A$2</f>
        <v>325105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IFERROR(VLOOKUP(B108,input_325105!L:R,7,FALSE),ROUNDDOWN(VLOOKUP(tables_325105!C108,input_325105!A:H,8,FALSE),0))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input_325105!A$2</f>
        <v>325105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IFERROR(VLOOKUP(B109,input_325105!L:R,7,FALSE),ROUNDDOWN(VLOOKUP(tables_325105!C109,input_325105!A:H,8,FALSE),0))</f>
        <v>195021</v>
      </c>
      <c r="P109" s="48">
        <f ca="1">O109/SUM(O:O)</f>
        <v>6.5007086676115572E-3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input_325105!A$2</f>
        <v>325105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IFERROR(VLOOKUP(B110,input_325105!L:R,7,FALSE),ROUNDDOWN(VLOOKUP(tables_325105!C110,input_325105!A:H,8,FALSE),0))</f>
        <v>10264</v>
      </c>
      <c r="P110" s="48">
        <f ca="1">O110/SUM(O:O)</f>
        <v>3.4213378951171935E-4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input_325105!A$2</f>
        <v>325105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IFERROR(VLOOKUP(B111,input_325105!L:R,7,FALSE),ROUNDDOWN(VLOOKUP(tables_325105!C111,input_325105!A:H,8,FALSE),0))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input_325105!A$2</f>
        <v>325105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IFERROR(VLOOKUP(B112,input_325105!L:R,7,FALSE),ROUNDDOWN(VLOOKUP(tables_325105!C112,input_325105!A:H,8,FALSE),0))</f>
        <v>13680</v>
      </c>
      <c r="P112" s="48">
        <f ca="1">O112/SUM(O:O)</f>
        <v>4.5600060800081069E-4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input_325105!A$2</f>
        <v>325105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IFERROR(VLOOKUP(B113,input_325105!L:R,7,FALSE),ROUNDDOWN(VLOOKUP(tables_325105!C113,input_325105!A:H,8,FALSE),0))</f>
        <v>720</v>
      </c>
      <c r="P113" s="48">
        <f ca="1">O113/SUM(O:O)</f>
        <v>2.4000032000042668E-5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input_325105!A$2</f>
        <v>325105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IFERROR(VLOOKUP(B114,input_325105!L:R,7,FALSE),ROUNDDOWN(VLOOKUP(tables_325105!C114,input_325105!A:H,8,FALSE),0))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input_325105!A$2</f>
        <v>325105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IFERROR(VLOOKUP(B115,input_325105!L:R,7,FALSE),ROUNDDOWN(VLOOKUP(tables_325105!C115,input_325105!A:H,8,FALSE),0))</f>
        <v>910100</v>
      </c>
      <c r="P115" s="48">
        <f ca="1">O115/SUM(O:O)</f>
        <v>3.0336707115609488E-2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input_325105!A$2</f>
        <v>325105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IFERROR(VLOOKUP(B116,input_325105!L:R,7,FALSE),ROUNDDOWN(VLOOKUP(tables_325105!C116,input_325105!A:H,8,FALSE),0))</f>
        <v>47900</v>
      </c>
      <c r="P116" s="48">
        <f ca="1">O116/SUM(O:O)</f>
        <v>1.596668795558394E-3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input_325105!A$2</f>
        <v>325105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IFERROR(VLOOKUP(B117,input_325105!L:R,7,FALSE),ROUNDDOWN(VLOOKUP(tables_325105!C117,input_325105!A:H,8,FALSE),0))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input_325105!A$2</f>
        <v>325105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IFERROR(VLOOKUP(B118,input_325105!L:R,7,FALSE),ROUNDDOWN(VLOOKUP(tables_325105!C118,input_325105!A:H,8,FALSE),0))</f>
        <v>195021</v>
      </c>
      <c r="P118" s="48">
        <f ca="1">O118/SUM(O:O)</f>
        <v>6.5007086676115572E-3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input_325105!A$2</f>
        <v>325105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IFERROR(VLOOKUP(B119,input_325105!L:R,7,FALSE),ROUNDDOWN(VLOOKUP(tables_325105!C119,input_325105!A:H,8,FALSE),0))</f>
        <v>10264</v>
      </c>
      <c r="P119" s="48">
        <f ca="1">O119/SUM(O:O)</f>
        <v>3.4213378951171935E-4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input_325105!A$2</f>
        <v>325105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IFERROR(VLOOKUP(B120,input_325105!L:R,7,FALSE),ROUNDDOWN(VLOOKUP(tables_325105!C120,input_325105!A:H,8,FALSE),0))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input_325105!A$2</f>
        <v>325105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IFERROR(VLOOKUP(B121,input_325105!L:R,7,FALSE),ROUNDDOWN(VLOOKUP(tables_325105!C121,input_325105!A:H,8,FALSE),0))</f>
        <v>195021</v>
      </c>
      <c r="P121" s="48">
        <f ca="1">O121/SUM(O:O)</f>
        <v>6.5007086676115572E-3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input_325105!A$2</f>
        <v>325105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IFERROR(VLOOKUP(B122,input_325105!L:R,7,FALSE),ROUNDDOWN(VLOOKUP(tables_325105!C122,input_325105!A:H,8,FALSE),0))</f>
        <v>10264</v>
      </c>
      <c r="P122" s="48">
        <f ca="1">O122/SUM(O:O)</f>
        <v>3.4213378951171935E-4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input_325105!A$2</f>
        <v>325105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IFERROR(VLOOKUP(B123,input_325105!L:R,7,FALSE),ROUNDDOWN(VLOOKUP(tables_325105!C123,input_325105!A:H,8,FALSE),0))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input_325105!A$2</f>
        <v>325105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IFERROR(VLOOKUP(B124,input_325105!L:R,7,FALSE),ROUNDDOWN(VLOOKUP(tables_325105!C124,input_325105!A:H,8,FALSE),0))</f>
        <v>195021</v>
      </c>
      <c r="P124" s="48">
        <f ca="1">O124/SUM(O:O)</f>
        <v>6.5007086676115572E-3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input_325105!A$2</f>
        <v>325105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IFERROR(VLOOKUP(B125,input_325105!L:R,7,FALSE),ROUNDDOWN(VLOOKUP(tables_325105!C125,input_325105!A:H,8,FALSE),0))</f>
        <v>10264</v>
      </c>
      <c r="P125" s="48">
        <f ca="1">O125/SUM(O:O)</f>
        <v>3.4213378951171935E-4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input_325105!A$2</f>
        <v>325105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IFERROR(VLOOKUP(B126,input_325105!L:R,7,FALSE),ROUNDDOWN(VLOOKUP(tables_325105!C126,input_325105!A:H,8,FALSE),0))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input_325105!A$2</f>
        <v>325105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IFERROR(VLOOKUP(B127,input_325105!L:R,7,FALSE),ROUNDDOWN(VLOOKUP(tables_325105!C127,input_325105!A:H,8,FALSE),0))</f>
        <v>910100</v>
      </c>
      <c r="P127" s="48">
        <f ca="1">O127/SUM(O:O)</f>
        <v>3.0336707115609488E-2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input_325105!A$2</f>
        <v>325105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IFERROR(VLOOKUP(B128,input_325105!L:R,7,FALSE),ROUNDDOWN(VLOOKUP(tables_325105!C128,input_325105!A:H,8,FALSE),0))</f>
        <v>47900</v>
      </c>
      <c r="P128" s="48">
        <f ca="1">O128/SUM(O:O)</f>
        <v>1.596668795558394E-3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input_325105!A$2</f>
        <v>325105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IFERROR(VLOOKUP(B129,input_325105!L:R,7,FALSE),ROUNDDOWN(VLOOKUP(tables_325105!C129,input_325105!A:H,8,FALSE),0))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input_325105!A$2</f>
        <v>325105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IFERROR(VLOOKUP(B130,input_325105!L:R,7,FALSE),ROUNDDOWN(VLOOKUP(tables_325105!C130,input_325105!A:H,8,FALSE),0))</f>
        <v>195021</v>
      </c>
      <c r="P130" s="48">
        <f ca="1">O130/SUM(O:O)</f>
        <v>6.5007086676115572E-3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input_325105!A$2</f>
        <v>325105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IFERROR(VLOOKUP(B131,input_325105!L:R,7,FALSE),ROUNDDOWN(VLOOKUP(tables_325105!C131,input_325105!A:H,8,FALSE),0))</f>
        <v>10264</v>
      </c>
      <c r="P131" s="48">
        <f ca="1">O131/SUM(O:O)</f>
        <v>3.4213378951171935E-4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input_325105!A$2</f>
        <v>325105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IFERROR(VLOOKUP(B132,input_325105!L:R,7,FALSE),ROUNDDOWN(VLOOKUP(tables_325105!C132,input_325105!A:H,8,FALSE),0))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input_325105!A$2</f>
        <v>325105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IFERROR(VLOOKUP(B133,input_325105!L:R,7,FALSE),ROUNDDOWN(VLOOKUP(tables_325105!C133,input_325105!A:H,8,FALSE),0))</f>
        <v>195021</v>
      </c>
      <c r="P133" s="48">
        <f ca="1">O133/SUM(O:O)</f>
        <v>6.5007086676115572E-3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input_325105!A$2</f>
        <v>325105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IFERROR(VLOOKUP(B134,input_325105!L:R,7,FALSE),ROUNDDOWN(VLOOKUP(tables_325105!C134,input_325105!A:H,8,FALSE),0))</f>
        <v>10264</v>
      </c>
      <c r="P134" s="48">
        <f ca="1">O134/SUM(O:O)</f>
        <v>3.4213378951171935E-4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input_325105!A$2</f>
        <v>325105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IFERROR(VLOOKUP(B135,input_325105!L:R,7,FALSE),ROUNDDOWN(VLOOKUP(tables_325105!C135,input_325105!A:H,8,FALSE),0))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input_325105!A$2</f>
        <v>325105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IFERROR(VLOOKUP(B136,input_325105!L:R,7,FALSE),ROUNDDOWN(VLOOKUP(tables_325105!C136,input_325105!A:H,8,FALSE),0))</f>
        <v>195021</v>
      </c>
      <c r="P136" s="48">
        <f ca="1">O136/SUM(O:O)</f>
        <v>6.5007086676115572E-3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input_325105!A$2</f>
        <v>325105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IFERROR(VLOOKUP(B137,input_325105!L:R,7,FALSE),ROUNDDOWN(VLOOKUP(tables_325105!C137,input_325105!A:H,8,FALSE),0))</f>
        <v>10264</v>
      </c>
      <c r="P137" s="48">
        <f ca="1">O137/SUM(O:O)</f>
        <v>3.4213378951171935E-4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input_325105!A$2</f>
        <v>325105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IFERROR(VLOOKUP(B138,input_325105!L:R,7,FALSE),ROUNDDOWN(VLOOKUP(tables_325105!C138,input_325105!A:H,8,FALSE),0))</f>
        <v>57000</v>
      </c>
      <c r="P138" s="48">
        <f ca="1">O138/SUM(O:O)</f>
        <v>1.9000025333367112E-3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input_325105!A$2</f>
        <v>325105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IFERROR(VLOOKUP(B139,input_325105!L:R,7,FALSE),ROUNDDOWN(VLOOKUP(tables_325105!C139,input_325105!A:H,8,FALSE),0))</f>
        <v>3000</v>
      </c>
      <c r="P139" s="48">
        <f ca="1">O139/SUM(O:O)</f>
        <v>1.0000013333351111E-4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input_325105!A$2</f>
        <v>325105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IFERROR(VLOOKUP(B140,input_325105!L:R,7,FALSE),ROUNDDOWN(VLOOKUP(tables_325105!C140,input_325105!A:H,8,FALSE),0))</f>
        <v>13680</v>
      </c>
      <c r="P140" s="48">
        <f ca="1">O140/SUM(O:O)</f>
        <v>4.5600060800081069E-4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input_325105!A$2</f>
        <v>325105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IFERROR(VLOOKUP(B141,input_325105!L:R,7,FALSE),ROUNDDOWN(VLOOKUP(tables_325105!C141,input_325105!A:H,8,FALSE),0))</f>
        <v>720</v>
      </c>
      <c r="P141" s="48">
        <f ca="1">O141/SUM(O:O)</f>
        <v>2.4000032000042668E-5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input_325105!A$2</f>
        <v>325105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IFERROR(VLOOKUP(B142,input_325105!L:R,7,FALSE),ROUNDDOWN(VLOOKUP(tables_325105!C142,input_325105!A:H,8,FALSE),0))</f>
        <v>13680</v>
      </c>
      <c r="P142" s="48">
        <f ca="1">O142/SUM(O:O)</f>
        <v>4.5600060800081069E-4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input_325105!A$2</f>
        <v>325105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IFERROR(VLOOKUP(B143,input_325105!L:R,7,FALSE),ROUNDDOWN(VLOOKUP(tables_325105!C143,input_325105!A:H,8,FALSE),0))</f>
        <v>720</v>
      </c>
      <c r="P143" s="48">
        <f ca="1">O143/SUM(O:O)</f>
        <v>2.4000032000042668E-5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input_325105!A$2</f>
        <v>325105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IFERROR(VLOOKUP(B144,input_325105!L:R,7,FALSE),ROUNDDOWN(VLOOKUP(tables_325105!C144,input_325105!A:H,8,FALSE),0))</f>
        <v>13680</v>
      </c>
      <c r="P144" s="48">
        <f ca="1">O144/SUM(O:O)</f>
        <v>4.5600060800081069E-4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input_325105!A$2</f>
        <v>325105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IFERROR(VLOOKUP(B145,input_325105!L:R,7,FALSE),ROUNDDOWN(VLOOKUP(tables_325105!C145,input_325105!A:H,8,FALSE),0))</f>
        <v>720</v>
      </c>
      <c r="P145" s="48">
        <f ca="1">O145/SUM(O:O)</f>
        <v>2.4000032000042668E-5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input_325105!A$2</f>
        <v>325105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IFERROR(VLOOKUP(B146,input_325105!L:R,7,FALSE),ROUNDDOWN(VLOOKUP(tables_325105!C146,input_325105!A:H,8,FALSE),0))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input_325105!A$2</f>
        <v>325105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IFERROR(VLOOKUP(B147,input_325105!L:R,7,FALSE),ROUNDDOWN(VLOOKUP(tables_325105!C147,input_325105!A:H,8,FALSE),0))</f>
        <v>910100</v>
      </c>
      <c r="P147" s="48">
        <f ca="1">O147/SUM(O:O)</f>
        <v>3.0336707115609488E-2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input_325105!A$2</f>
        <v>325105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IFERROR(VLOOKUP(B148,input_325105!L:R,7,FALSE),ROUNDDOWN(VLOOKUP(tables_325105!C148,input_325105!A:H,8,FALSE),0))</f>
        <v>47900</v>
      </c>
      <c r="P148" s="48">
        <f ca="1">O148/SUM(O:O)</f>
        <v>1.596668795558394E-3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input_325105!A$2</f>
        <v>325105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IFERROR(VLOOKUP(B149,input_325105!L:R,7,FALSE),ROUNDDOWN(VLOOKUP(tables_325105!C149,input_325105!A:H,8,FALSE),0))</f>
        <v>13680</v>
      </c>
      <c r="P149" s="48">
        <f ca="1">O149/SUM(O:O)</f>
        <v>4.5600060800081069E-4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input_325105!A$2</f>
        <v>325105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IFERROR(VLOOKUP(B150,input_325105!L:R,7,FALSE),ROUNDDOWN(VLOOKUP(tables_325105!C150,input_325105!A:H,8,FALSE),0))</f>
        <v>720</v>
      </c>
      <c r="P150" s="48">
        <f ca="1">O150/SUM(O:O)</f>
        <v>2.4000032000042668E-5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input_325105!A$2</f>
        <v>325105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IFERROR(VLOOKUP(B151,input_325105!L:R,7,FALSE),ROUNDDOWN(VLOOKUP(tables_325105!C151,input_325105!A:H,8,FALSE),0))</f>
        <v>13680</v>
      </c>
      <c r="P151" s="48">
        <f ca="1">O151/SUM(O:O)</f>
        <v>4.5600060800081069E-4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input_325105!A$2</f>
        <v>325105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IFERROR(VLOOKUP(B152,input_325105!L:R,7,FALSE),ROUNDDOWN(VLOOKUP(tables_325105!C152,input_325105!A:H,8,FALSE),0))</f>
        <v>720</v>
      </c>
      <c r="P152" s="48">
        <f ca="1">O152/SUM(O:O)</f>
        <v>2.4000032000042668E-5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input_325105!A$2</f>
        <v>325105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IFERROR(VLOOKUP(B153,input_325105!L:R,7,FALSE),ROUNDDOWN(VLOOKUP(tables_325105!C153,input_325105!A:H,8,FALSE),0))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input_325105!A$2</f>
        <v>325105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IFERROR(VLOOKUP(B154,input_325105!L:R,7,FALSE),ROUNDDOWN(VLOOKUP(tables_325105!C154,input_325105!A:H,8,FALSE),0))</f>
        <v>195021</v>
      </c>
      <c r="P154" s="48">
        <f ca="1">O154/SUM(O:O)</f>
        <v>6.5007086676115572E-3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input_325105!A$2</f>
        <v>325105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IFERROR(VLOOKUP(B155,input_325105!L:R,7,FALSE),ROUNDDOWN(VLOOKUP(tables_325105!C155,input_325105!A:H,8,FALSE),0))</f>
        <v>10264</v>
      </c>
      <c r="P155" s="48">
        <f ca="1">O155/SUM(O:O)</f>
        <v>3.4213378951171935E-4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input_325105!A$2</f>
        <v>325105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IFERROR(VLOOKUP(B156,input_325105!L:R,7,FALSE),ROUNDDOWN(VLOOKUP(tables_325105!C156,input_325105!A:H,8,FALSE),0))</f>
        <v>57000</v>
      </c>
      <c r="P156" s="48">
        <f ca="1">O156/SUM(O:O)</f>
        <v>1.9000025333367112E-3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input_325105!A$2</f>
        <v>325105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IFERROR(VLOOKUP(B157,input_325105!L:R,7,FALSE),ROUNDDOWN(VLOOKUP(tables_325105!C157,input_325105!A:H,8,FALSE),0))</f>
        <v>3000</v>
      </c>
      <c r="P157" s="48">
        <f ca="1">O157/SUM(O:O)</f>
        <v>1.0000013333351111E-4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input_325105!A$2</f>
        <v>325105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IFERROR(VLOOKUP(B158,input_325105!L:R,7,FALSE),ROUNDDOWN(VLOOKUP(tables_325105!C158,input_325105!A:H,8,FALSE),0))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input_325105!A$2</f>
        <v>325105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IFERROR(VLOOKUP(B159,input_325105!L:R,7,FALSE),ROUNDDOWN(VLOOKUP(tables_325105!C159,input_325105!A:H,8,FALSE),0))</f>
        <v>195021</v>
      </c>
      <c r="P159" s="48">
        <f ca="1">O159/SUM(O:O)</f>
        <v>6.5007086676115572E-3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input_325105!A$2</f>
        <v>325105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IFERROR(VLOOKUP(B160,input_325105!L:R,7,FALSE),ROUNDDOWN(VLOOKUP(tables_325105!C160,input_325105!A:H,8,FALSE),0))</f>
        <v>10264</v>
      </c>
      <c r="P160" s="48">
        <f ca="1">O160/SUM(O:O)</f>
        <v>3.4213378951171935E-4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input_325105!A$2</f>
        <v>325105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IFERROR(VLOOKUP(B161,input_325105!L:R,7,FALSE),ROUNDDOWN(VLOOKUP(tables_325105!C161,input_325105!A:H,8,FALSE),0))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input_325105!A$2</f>
        <v>325105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IFERROR(VLOOKUP(B162,input_325105!L:R,7,FALSE),ROUNDDOWN(VLOOKUP(tables_325105!C162,input_325105!A:H,8,FALSE),0))</f>
        <v>195021</v>
      </c>
      <c r="P162" s="48">
        <f ca="1">O162/SUM(O:O)</f>
        <v>6.5007086676115572E-3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input_325105!A$2</f>
        <v>325105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IFERROR(VLOOKUP(B163,input_325105!L:R,7,FALSE),ROUNDDOWN(VLOOKUP(tables_325105!C163,input_325105!A:H,8,FALSE),0))</f>
        <v>10264</v>
      </c>
      <c r="P163" s="48">
        <f ca="1">O163/SUM(O:O)</f>
        <v>3.4213378951171935E-4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input_325105!A$2</f>
        <v>325105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IFERROR(VLOOKUP(B164,input_325105!L:R,7,FALSE),ROUNDDOWN(VLOOKUP(tables_325105!C164,input_325105!A:H,8,FALSE),0))</f>
        <v>13680</v>
      </c>
      <c r="P164" s="48">
        <f ca="1">O164/SUM(O:O)</f>
        <v>4.5600060800081069E-4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input_325105!A$2</f>
        <v>325105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IFERROR(VLOOKUP(B165,input_325105!L:R,7,FALSE),ROUNDDOWN(VLOOKUP(tables_325105!C165,input_325105!A:H,8,FALSE),0))</f>
        <v>720</v>
      </c>
      <c r="P165" s="48">
        <f ca="1">O165/SUM(O:O)</f>
        <v>2.4000032000042668E-5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input_325105!A$2</f>
        <v>325105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IFERROR(VLOOKUP(B166,input_325105!L:R,7,FALSE),ROUNDDOWN(VLOOKUP(tables_325105!C166,input_325105!A:H,8,FALSE),0))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input_325105!A$2</f>
        <v>325105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IFERROR(VLOOKUP(B167,input_325105!L:R,7,FALSE),ROUNDDOWN(VLOOKUP(tables_325105!C167,input_325105!A:H,8,FALSE),0))</f>
        <v>910100</v>
      </c>
      <c r="P167" s="48">
        <f ca="1">O167/SUM(O:O)</f>
        <v>3.0336707115609488E-2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input_325105!A$2</f>
        <v>325105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IFERROR(VLOOKUP(B168,input_325105!L:R,7,FALSE),ROUNDDOWN(VLOOKUP(tables_325105!C168,input_325105!A:H,8,FALSE),0))</f>
        <v>47900</v>
      </c>
      <c r="P168" s="48">
        <f ca="1">O168/SUM(O:O)</f>
        <v>1.596668795558394E-3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input_325105!A$2</f>
        <v>325105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IFERROR(VLOOKUP(B169,input_325105!L:R,7,FALSE),ROUNDDOWN(VLOOKUP(tables_325105!C169,input_325105!A:H,8,FALSE),0))</f>
        <v>13680</v>
      </c>
      <c r="P169" s="48">
        <f ca="1">O169/SUM(O:O)</f>
        <v>4.5600060800081069E-4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input_325105!A$2</f>
        <v>325105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IFERROR(VLOOKUP(B170,input_325105!L:R,7,FALSE),ROUNDDOWN(VLOOKUP(tables_325105!C170,input_325105!A:H,8,FALSE),0))</f>
        <v>720</v>
      </c>
      <c r="P170" s="48">
        <f ca="1">O170/SUM(O:O)</f>
        <v>2.4000032000042668E-5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input_325105!A$2</f>
        <v>325105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IFERROR(VLOOKUP(B171,input_325105!L:R,7,FALSE),ROUNDDOWN(VLOOKUP(tables_325105!C171,input_325105!A:H,8,FALSE),0))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input_325105!A$2</f>
        <v>325105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IFERROR(VLOOKUP(B172,input_325105!L:R,7,FALSE),ROUNDDOWN(VLOOKUP(tables_325105!C172,input_325105!A:H,8,FALSE),0))</f>
        <v>195021</v>
      </c>
      <c r="P172" s="48">
        <f ca="1">O172/SUM(O:O)</f>
        <v>6.5007086676115572E-3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input_325105!A$2</f>
        <v>325105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IFERROR(VLOOKUP(B173,input_325105!L:R,7,FALSE),ROUNDDOWN(VLOOKUP(tables_325105!C173,input_325105!A:H,8,FALSE),0))</f>
        <v>10264</v>
      </c>
      <c r="P173" s="48">
        <f ca="1">O173/SUM(O:O)</f>
        <v>3.4213378951171935E-4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input_325105!A$2</f>
        <v>325105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IFERROR(VLOOKUP(B174,input_325105!L:R,7,FALSE),ROUNDDOWN(VLOOKUP(tables_325105!C174,input_325105!A:H,8,FALSE),0))</f>
        <v>13680</v>
      </c>
      <c r="P174" s="48">
        <f ca="1">O174/SUM(O:O)</f>
        <v>4.5600060800081069E-4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input_325105!A$2</f>
        <v>325105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IFERROR(VLOOKUP(B175,input_325105!L:R,7,FALSE),ROUNDDOWN(VLOOKUP(tables_325105!C175,input_325105!A:H,8,FALSE),0))</f>
        <v>720</v>
      </c>
      <c r="P175" s="48">
        <f ca="1">O175/SUM(O:O)</f>
        <v>2.4000032000042668E-5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input_325105!A$2</f>
        <v>325105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IFERROR(VLOOKUP(B176,input_325105!L:R,7,FALSE),ROUNDDOWN(VLOOKUP(tables_325105!C176,input_325105!A:H,8,FALSE),0))</f>
        <v>57000</v>
      </c>
      <c r="P176" s="48">
        <f ca="1">O176/SUM(O:O)</f>
        <v>1.9000025333367112E-3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input_325105!A$2</f>
        <v>325105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IFERROR(VLOOKUP(B177,input_325105!L:R,7,FALSE),ROUNDDOWN(VLOOKUP(tables_325105!C177,input_325105!A:H,8,FALSE),0))</f>
        <v>3000</v>
      </c>
      <c r="P177" s="48">
        <f ca="1">O177/SUM(O:O)</f>
        <v>1.0000013333351111E-4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input_325105!A$2</f>
        <v>325105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IFERROR(VLOOKUP(B178,input_325105!L:R,7,FALSE),ROUNDDOWN(VLOOKUP(tables_325105!C178,input_325105!A:H,8,FALSE),0))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input_325105!A$2</f>
        <v>325105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IFERROR(VLOOKUP(B179,input_325105!L:R,7,FALSE),ROUNDDOWN(VLOOKUP(tables_325105!C179,input_325105!A:H,8,FALSE),0))</f>
        <v>195021</v>
      </c>
      <c r="P179" s="48">
        <f ca="1">O179/SUM(O:O)</f>
        <v>6.5007086676115572E-3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input_325105!A$2</f>
        <v>325105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IFERROR(VLOOKUP(B180,input_325105!L:R,7,FALSE),ROUNDDOWN(VLOOKUP(tables_325105!C180,input_325105!A:H,8,FALSE),0))</f>
        <v>10264</v>
      </c>
      <c r="P180" s="48">
        <f ca="1">O180/SUM(O:O)</f>
        <v>3.4213378951171935E-4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input_325105!A$2</f>
        <v>325105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IFERROR(VLOOKUP(B181,input_325105!L:R,7,FALSE),ROUNDDOWN(VLOOKUP(tables_325105!C181,input_325105!A:H,8,FALSE),0))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input_325105!A$2</f>
        <v>325105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IFERROR(VLOOKUP(B182,input_325105!L:R,7,FALSE),ROUNDDOWN(VLOOKUP(tables_325105!C182,input_325105!A:H,8,FALSE),0))</f>
        <v>195021</v>
      </c>
      <c r="P182" s="48">
        <f ca="1">O182/SUM(O:O)</f>
        <v>6.5007086676115572E-3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input_325105!A$2</f>
        <v>325105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IFERROR(VLOOKUP(B183,input_325105!L:R,7,FALSE),ROUNDDOWN(VLOOKUP(tables_325105!C183,input_325105!A:H,8,FALSE),0))</f>
        <v>10264</v>
      </c>
      <c r="P183" s="48">
        <f ca="1">O183/SUM(O:O)</f>
        <v>3.4213378951171935E-4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input_325105!A$2</f>
        <v>325105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IFERROR(VLOOKUP(B184,input_325105!L:R,7,FALSE),ROUNDDOWN(VLOOKUP(tables_325105!C184,input_325105!A:H,8,FALSE),0))</f>
        <v>13680</v>
      </c>
      <c r="P184" s="48">
        <f ca="1">O184/SUM(O:O)</f>
        <v>4.5600060800081069E-4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input_325105!A$2</f>
        <v>325105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IFERROR(VLOOKUP(B185,input_325105!L:R,7,FALSE),ROUNDDOWN(VLOOKUP(tables_325105!C185,input_325105!A:H,8,FALSE),0))</f>
        <v>720</v>
      </c>
      <c r="P185" s="48">
        <f ca="1">O185/SUM(O:O)</f>
        <v>2.4000032000042668E-5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input_325105!A$2</f>
        <v>325105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IFERROR(VLOOKUP(B186,input_325105!L:R,7,FALSE),ROUNDDOWN(VLOOKUP(tables_325105!C186,input_325105!A:H,8,FALSE),0))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input_325105!A$2</f>
        <v>325105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IFERROR(VLOOKUP(B187,input_325105!L:R,7,FALSE),ROUNDDOWN(VLOOKUP(tables_325105!C187,input_325105!A:H,8,FALSE),0))</f>
        <v>910100</v>
      </c>
      <c r="P187" s="48">
        <f ca="1">O187/SUM(O:O)</f>
        <v>3.0336707115609488E-2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input_325105!A$2</f>
        <v>325105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IFERROR(VLOOKUP(B188,input_325105!L:R,7,FALSE),ROUNDDOWN(VLOOKUP(tables_325105!C188,input_325105!A:H,8,FALSE),0))</f>
        <v>47900</v>
      </c>
      <c r="P188" s="48">
        <f ca="1">O188/SUM(O:O)</f>
        <v>1.596668795558394E-3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input_325105!A$2</f>
        <v>325105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IFERROR(VLOOKUP(B189,input_325105!L:R,7,FALSE),ROUNDDOWN(VLOOKUP(tables_325105!C189,input_325105!A:H,8,FALSE),0))</f>
        <v>13680</v>
      </c>
      <c r="P189" s="48">
        <f ca="1">O189/SUM(O:O)</f>
        <v>4.5600060800081069E-4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input_325105!A$2</f>
        <v>325105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IFERROR(VLOOKUP(B190,input_325105!L:R,7,FALSE),ROUNDDOWN(VLOOKUP(tables_325105!C190,input_325105!A:H,8,FALSE),0))</f>
        <v>720</v>
      </c>
      <c r="P190" s="48">
        <f ca="1">O190/SUM(O:O)</f>
        <v>2.4000032000042668E-5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input_325105!A$2</f>
        <v>325105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IFERROR(VLOOKUP(B191,input_325105!L:R,7,FALSE),ROUNDDOWN(VLOOKUP(tables_325105!C191,input_325105!A:H,8,FALSE),0))</f>
        <v>13680</v>
      </c>
      <c r="P191" s="48">
        <f ca="1">O191/SUM(O:O)</f>
        <v>4.5600060800081069E-4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input_325105!A$2</f>
        <v>325105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IFERROR(VLOOKUP(B192,input_325105!L:R,7,FALSE),ROUNDDOWN(VLOOKUP(tables_325105!C192,input_325105!A:H,8,FALSE),0))</f>
        <v>720</v>
      </c>
      <c r="P192" s="48">
        <f ca="1">O192/SUM(O:O)</f>
        <v>2.4000032000042668E-5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input_325105!A$2</f>
        <v>325105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IFERROR(VLOOKUP(B193,input_325105!L:R,7,FALSE),ROUNDDOWN(VLOOKUP(tables_325105!C193,input_325105!A:H,8,FALSE),0))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input_325105!A$2</f>
        <v>325105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IFERROR(VLOOKUP(B194,input_325105!L:R,7,FALSE),ROUNDDOWN(VLOOKUP(tables_325105!C194,input_325105!A:H,8,FALSE),0))</f>
        <v>195021</v>
      </c>
      <c r="P194" s="48">
        <f ca="1">O194/SUM(O:O)</f>
        <v>6.5007086676115572E-3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input_325105!A$2</f>
        <v>325105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IFERROR(VLOOKUP(B195,input_325105!L:R,7,FALSE),ROUNDDOWN(VLOOKUP(tables_325105!C195,input_325105!A:H,8,FALSE),0))</f>
        <v>10264</v>
      </c>
      <c r="P195" s="48">
        <f ca="1">O195/SUM(O:O)</f>
        <v>3.4213378951171935E-4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input_325105!A$2</f>
        <v>325105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IFERROR(VLOOKUP(B196,input_325105!L:R,7,FALSE),ROUNDDOWN(VLOOKUP(tables_325105!C196,input_325105!A:H,8,FALSE),0))</f>
        <v>57000</v>
      </c>
      <c r="P196" s="48">
        <f ca="1">O196/SUM(O:O)</f>
        <v>1.9000025333367112E-3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input_325105!A$2</f>
        <v>325105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IFERROR(VLOOKUP(B197,input_325105!L:R,7,FALSE),ROUNDDOWN(VLOOKUP(tables_325105!C197,input_325105!A:H,8,FALSE),0))</f>
        <v>3000</v>
      </c>
      <c r="P197" s="48">
        <f ca="1">O197/SUM(O:O)</f>
        <v>1.0000013333351111E-4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input_325105!A$2</f>
        <v>325105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IFERROR(VLOOKUP(B198,input_325105!L:R,7,FALSE),ROUNDDOWN(VLOOKUP(tables_325105!C198,input_325105!A:H,8,FALSE),0))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input_325105!A$2</f>
        <v>325105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IFERROR(VLOOKUP(B199,input_325105!L:R,7,FALSE),ROUNDDOWN(VLOOKUP(tables_325105!C199,input_325105!A:H,8,FALSE),0))</f>
        <v>195021</v>
      </c>
      <c r="P199" s="48">
        <f ca="1">O199/SUM(O:O)</f>
        <v>6.5007086676115572E-3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input_325105!A$2</f>
        <v>325105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IFERROR(VLOOKUP(B200,input_325105!L:R,7,FALSE),ROUNDDOWN(VLOOKUP(tables_325105!C200,input_325105!A:H,8,FALSE),0))</f>
        <v>10264</v>
      </c>
      <c r="P200" s="48">
        <f ca="1">O200/SUM(O:O)</f>
        <v>3.4213378951171935E-4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input_325105!A$2</f>
        <v>325105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IFERROR(VLOOKUP(B201,input_325105!L:R,7,FALSE),ROUNDDOWN(VLOOKUP(tables_325105!C201,input_325105!A:H,8,FALSE),0))</f>
        <v>13680</v>
      </c>
      <c r="P201" s="48">
        <f ca="1">O201/SUM(O:O)</f>
        <v>4.5600060800081069E-4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input_325105!A$2</f>
        <v>325105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IFERROR(VLOOKUP(B202,input_325105!L:R,7,FALSE),ROUNDDOWN(VLOOKUP(tables_325105!C202,input_325105!A:H,8,FALSE),0))</f>
        <v>720</v>
      </c>
      <c r="P202" s="48">
        <f ca="1">O202/SUM(O:O)</f>
        <v>2.4000032000042668E-5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input_325105!A$2</f>
        <v>325105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IFERROR(VLOOKUP(B203,input_325105!L:R,7,FALSE),ROUNDDOWN(VLOOKUP(tables_325105!C203,input_325105!A:H,8,FALSE),0))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input_325105!A$2</f>
        <v>325105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IFERROR(VLOOKUP(B204,input_325105!L:R,7,FALSE),ROUNDDOWN(VLOOKUP(tables_325105!C204,input_325105!A:H,8,FALSE),0))</f>
        <v>195021</v>
      </c>
      <c r="P204" s="48">
        <f ca="1">O204/SUM(O:O)</f>
        <v>6.5007086676115572E-3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input_325105!A$2</f>
        <v>325105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IFERROR(VLOOKUP(B205,input_325105!L:R,7,FALSE),ROUNDDOWN(VLOOKUP(tables_325105!C205,input_325105!A:H,8,FALSE),0))</f>
        <v>10264</v>
      </c>
      <c r="P205" s="48">
        <f ca="1">O205/SUM(O:O)</f>
        <v>3.4213378951171935E-4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input_325105!A$2</f>
        <v>325105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IFERROR(VLOOKUP(B206,input_325105!L:R,7,FALSE),ROUNDDOWN(VLOOKUP(tables_325105!C206,input_325105!A:H,8,FALSE),0))</f>
        <v>57000</v>
      </c>
      <c r="P206" s="48">
        <f ca="1">O206/SUM(O:O)</f>
        <v>1.9000025333367112E-3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input_325105!A$2</f>
        <v>325105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IFERROR(VLOOKUP(B207,input_325105!L:R,7,FALSE),ROUNDDOWN(VLOOKUP(tables_325105!C207,input_325105!A:H,8,FALSE),0))</f>
        <v>3000</v>
      </c>
      <c r="P207" s="48">
        <f ca="1">O207/SUM(O:O)</f>
        <v>1.0000013333351111E-4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input_325105!A$2</f>
        <v>325105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IFERROR(VLOOKUP(B208,input_325105!L:R,7,FALSE),ROUNDDOWN(VLOOKUP(tables_325105!C208,input_325105!A:H,8,FALSE),0))</f>
        <v>13680</v>
      </c>
      <c r="P208" s="48">
        <f ca="1">O208/SUM(O:O)</f>
        <v>4.5600060800081069E-4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input_325105!A$2</f>
        <v>325105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IFERROR(VLOOKUP(B209,input_325105!L:R,7,FALSE),ROUNDDOWN(VLOOKUP(tables_325105!C209,input_325105!A:H,8,FALSE),0))</f>
        <v>720</v>
      </c>
      <c r="P209" s="48">
        <f ca="1">O209/SUM(O:O)</f>
        <v>2.4000032000042668E-5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input_325105!A$2</f>
        <v>325105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IFERROR(VLOOKUP(B210,input_325105!L:R,7,FALSE),ROUNDDOWN(VLOOKUP(tables_325105!C210,input_325105!A:H,8,FALSE),0))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input_325105!A$2</f>
        <v>325105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IFERROR(VLOOKUP(B211,input_325105!L:R,7,FALSE),ROUNDDOWN(VLOOKUP(tables_325105!C211,input_325105!A:H,8,FALSE),0))</f>
        <v>195021</v>
      </c>
      <c r="P211" s="48">
        <f ca="1">O211/SUM(O:O)</f>
        <v>6.5007086676115572E-3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input_325105!A$2</f>
        <v>325105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IFERROR(VLOOKUP(B212,input_325105!L:R,7,FALSE),ROUNDDOWN(VLOOKUP(tables_325105!C212,input_325105!A:H,8,FALSE),0))</f>
        <v>10264</v>
      </c>
      <c r="P212" s="48">
        <f ca="1">O212/SUM(O:O)</f>
        <v>3.4213378951171935E-4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input_325105!A$2</f>
        <v>325105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IFERROR(VLOOKUP(B213,input_325105!L:R,7,FALSE),ROUNDDOWN(VLOOKUP(tables_325105!C213,input_325105!A:H,8,FALSE),0))</f>
        <v>13680</v>
      </c>
      <c r="P213" s="48">
        <f ca="1">O213/SUM(O:O)</f>
        <v>4.5600060800081069E-4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input_325105!A$2</f>
        <v>325105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IFERROR(VLOOKUP(B214,input_325105!L:R,7,FALSE),ROUNDDOWN(VLOOKUP(tables_325105!C214,input_325105!A:H,8,FALSE),0))</f>
        <v>720</v>
      </c>
      <c r="P214" s="48">
        <f ca="1">O214/SUM(O:O)</f>
        <v>2.4000032000042668E-5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input_325105!A$2</f>
        <v>325105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>color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IFERROR(VLOOKUP(B215,input_325105!L:R,7,FALSE),ROUNDDOWN(VLOOKUP(tables_325105!C215,input_325105!A:H,8,FALSE),0))</f>
        <v>57000</v>
      </c>
      <c r="P215" s="48">
        <f ca="1">O215/SUM(O:O)</f>
        <v>1.9000025333367112E-3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input_325105!A$2</f>
        <v>325105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>color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IFERROR(VLOOKUP(B216,input_325105!L:R,7,FALSE),ROUNDDOWN(VLOOKUP(tables_325105!C216,input_325105!A:H,8,FALSE),0))</f>
        <v>3000</v>
      </c>
      <c r="P216" s="48">
        <f ca="1">O216/SUM(O:O)</f>
        <v>1.0000013333351111E-4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input_325105!A$2</f>
        <v>325105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IFERROR(VLOOKUP(B217,input_325105!L:R,7,FALSE),ROUNDDOWN(VLOOKUP(tables_325105!C217,input_325105!A:H,8,FALSE),0))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input_325105!A$2</f>
        <v>325105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IFERROR(VLOOKUP(B218,input_325105!L:R,7,FALSE),ROUNDDOWN(VLOOKUP(tables_325105!C218,input_325105!A:H,8,FALSE),0))</f>
        <v>195021</v>
      </c>
      <c r="P218" s="48">
        <f ca="1">O218/SUM(O:O)</f>
        <v>6.5007086676115572E-3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input_325105!A$2</f>
        <v>325105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IFERROR(VLOOKUP(B219,input_325105!L:R,7,FALSE),ROUNDDOWN(VLOOKUP(tables_325105!C219,input_325105!A:H,8,FALSE),0))</f>
        <v>10264</v>
      </c>
      <c r="P219" s="48">
        <f ca="1">O219/SUM(O:O)</f>
        <v>3.4213378951171935E-4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input_325105!A$2</f>
        <v>325105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IFERROR(VLOOKUP(B220,input_325105!L:R,7,FALSE),ROUNDDOWN(VLOOKUP(tables_325105!C220,input_325105!A:H,8,FALSE),0))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input_325105!A$2</f>
        <v>325105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IFERROR(VLOOKUP(B221,input_325105!L:R,7,FALSE),ROUNDDOWN(VLOOKUP(tables_325105!C221,input_325105!A:H,8,FALSE),0))</f>
        <v>195021</v>
      </c>
      <c r="P221" s="48">
        <f ca="1">O221/SUM(O:O)</f>
        <v>6.5007086676115572E-3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input_325105!A$2</f>
        <v>325105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IFERROR(VLOOKUP(B222,input_325105!L:R,7,FALSE),ROUNDDOWN(VLOOKUP(tables_325105!C222,input_325105!A:H,8,FALSE),0))</f>
        <v>10264</v>
      </c>
      <c r="P222" s="48">
        <f ca="1">O222/SUM(O:O)</f>
        <v>3.4213378951171935E-4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input_325105!A$2</f>
        <v>325105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IFERROR(VLOOKUP(B223,input_325105!L:R,7,FALSE),ROUNDDOWN(VLOOKUP(tables_325105!C223,input_325105!A:H,8,FALSE),0))</f>
        <v>13680</v>
      </c>
      <c r="P223" s="48">
        <f ca="1">O223/SUM(O:O)</f>
        <v>4.5600060800081069E-4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input_325105!A$2</f>
        <v>325105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IFERROR(VLOOKUP(B224,input_325105!L:R,7,FALSE),ROUNDDOWN(VLOOKUP(tables_325105!C224,input_325105!A:H,8,FALSE),0))</f>
        <v>720</v>
      </c>
      <c r="P224" s="48">
        <f ca="1">O224/SUM(O:O)</f>
        <v>2.4000032000042668E-5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input_325105!A$2</f>
        <v>325105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>color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IFERROR(VLOOKUP(B225,input_325105!L:R,7,FALSE),ROUNDDOWN(VLOOKUP(tables_325105!C225,input_325105!A:H,8,FALSE),0))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input_325105!A$2</f>
        <v>325105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>color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IFERROR(VLOOKUP(B226,input_325105!L:R,7,FALSE),ROUNDDOWN(VLOOKUP(tables_325105!C226,input_325105!A:H,8,FALSE),0))</f>
        <v>910100</v>
      </c>
      <c r="P226" s="48">
        <f ca="1">O226/SUM(O:O)</f>
        <v>3.0336707115609488E-2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input_325105!A$2</f>
        <v>325105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>color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IFERROR(VLOOKUP(B227,input_325105!L:R,7,FALSE),ROUNDDOWN(VLOOKUP(tables_325105!C227,input_325105!A:H,8,FALSE),0))</f>
        <v>47900</v>
      </c>
      <c r="P227" s="48">
        <f ca="1">O227/SUM(O:O)</f>
        <v>1.596668795558394E-3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input_325105!A$2</f>
        <v>325105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IFERROR(VLOOKUP(B228,input_325105!L:R,7,FALSE),ROUNDDOWN(VLOOKUP(tables_325105!C228,input_325105!A:H,8,FALSE),0))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input_325105!A$2</f>
        <v>325105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IFERROR(VLOOKUP(B229,input_325105!L:R,7,FALSE),ROUNDDOWN(VLOOKUP(tables_325105!C229,input_325105!A:H,8,FALSE),0))</f>
        <v>195021</v>
      </c>
      <c r="P229" s="48">
        <f ca="1">O229/SUM(O:O)</f>
        <v>6.5007086676115572E-3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input_325105!A$2</f>
        <v>325105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IFERROR(VLOOKUP(B230,input_325105!L:R,7,FALSE),ROUNDDOWN(VLOOKUP(tables_325105!C230,input_325105!A:H,8,FALSE),0))</f>
        <v>10264</v>
      </c>
      <c r="P230" s="48">
        <f ca="1">O230/SUM(O:O)</f>
        <v>3.4213378951171935E-4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input_325105!A$2</f>
        <v>325105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IFERROR(VLOOKUP(B231,input_325105!L:R,7,FALSE),ROUNDDOWN(VLOOKUP(tables_325105!C231,input_325105!A:H,8,FALSE),0))</f>
        <v>13680</v>
      </c>
      <c r="P231" s="48">
        <f ca="1">O231/SUM(O:O)</f>
        <v>4.5600060800081069E-4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input_325105!A$2</f>
        <v>325105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IFERROR(VLOOKUP(B232,input_325105!L:R,7,FALSE),ROUNDDOWN(VLOOKUP(tables_325105!C232,input_325105!A:H,8,FALSE),0))</f>
        <v>720</v>
      </c>
      <c r="P232" s="48">
        <f ca="1">O232/SUM(O:O)</f>
        <v>2.4000032000042668E-5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input_325105!A$2</f>
        <v>325105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IFERROR(VLOOKUP(B233,input_325105!L:R,7,FALSE),ROUNDDOWN(VLOOKUP(tables_325105!C233,input_325105!A:H,8,FALSE),0))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input_325105!A$2</f>
        <v>325105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IFERROR(VLOOKUP(B234,input_325105!L:R,7,FALSE),ROUNDDOWN(VLOOKUP(tables_325105!C234,input_325105!A:H,8,FALSE),0))</f>
        <v>195021</v>
      </c>
      <c r="P234" s="48">
        <f ca="1">O234/SUM(O:O)</f>
        <v>6.5007086676115572E-3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input_325105!A$2</f>
        <v>325105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IFERROR(VLOOKUP(B235,input_325105!L:R,7,FALSE),ROUNDDOWN(VLOOKUP(tables_325105!C235,input_325105!A:H,8,FALSE),0))</f>
        <v>10264</v>
      </c>
      <c r="P235" s="48">
        <f ca="1">O235/SUM(O:O)</f>
        <v>3.4213378951171935E-4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input_325105!A$2</f>
        <v>325105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>color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IFERROR(VLOOKUP(B236,input_325105!L:R,7,FALSE),ROUNDDOWN(VLOOKUP(tables_325105!C236,input_325105!A:H,8,FALSE),0))</f>
        <v>57000</v>
      </c>
      <c r="P236" s="48">
        <f ca="1">O236/SUM(O:O)</f>
        <v>1.9000025333367112E-3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input_325105!A$2</f>
        <v>325105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>color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IFERROR(VLOOKUP(B237,input_325105!L:R,7,FALSE),ROUNDDOWN(VLOOKUP(tables_325105!C237,input_325105!A:H,8,FALSE),0))</f>
        <v>3000</v>
      </c>
      <c r="P237" s="48">
        <f ca="1">O237/SUM(O:O)</f>
        <v>1.0000013333351111E-4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input_325105!A$2</f>
        <v>325105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IFERROR(VLOOKUP(B238,input_325105!L:R,7,FALSE),ROUNDDOWN(VLOOKUP(tables_325105!C238,input_325105!A:H,8,FALSE),0))</f>
        <v>13680</v>
      </c>
      <c r="P238" s="48">
        <f ca="1">O238/SUM(O:O)</f>
        <v>4.5600060800081069E-4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input_325105!A$2</f>
        <v>325105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IFERROR(VLOOKUP(B239,input_325105!L:R,7,FALSE),ROUNDDOWN(VLOOKUP(tables_325105!C239,input_325105!A:H,8,FALSE),0))</f>
        <v>720</v>
      </c>
      <c r="P239" s="48">
        <f ca="1">O239/SUM(O:O)</f>
        <v>2.4000032000042668E-5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input_325105!A$2</f>
        <v>325105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IFERROR(VLOOKUP(B240,input_325105!L:R,7,FALSE),ROUNDDOWN(VLOOKUP(tables_325105!C240,input_325105!A:H,8,FALSE),0))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input_325105!A$2</f>
        <v>325105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IFERROR(VLOOKUP(B241,input_325105!L:R,7,FALSE),ROUNDDOWN(VLOOKUP(tables_325105!C241,input_325105!A:H,8,FALSE),0))</f>
        <v>195021</v>
      </c>
      <c r="P241" s="48">
        <f ca="1">O241/SUM(O:O)</f>
        <v>6.5007086676115572E-3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input_325105!A$2</f>
        <v>325105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IFERROR(VLOOKUP(B242,input_325105!L:R,7,FALSE),ROUNDDOWN(VLOOKUP(tables_325105!C242,input_325105!A:H,8,FALSE),0))</f>
        <v>10264</v>
      </c>
      <c r="P242" s="48">
        <f ca="1">O242/SUM(O:O)</f>
        <v>3.4213378951171935E-4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input_325105!A$2</f>
        <v>325105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IFERROR(VLOOKUP(B243,input_325105!L:R,7,FALSE),ROUNDDOWN(VLOOKUP(tables_325105!C243,input_325105!A:H,8,FALSE),0))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input_325105!A$2</f>
        <v>325105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IFERROR(VLOOKUP(B244,input_325105!L:R,7,FALSE),ROUNDDOWN(VLOOKUP(tables_325105!C244,input_325105!A:H,8,FALSE),0))</f>
        <v>195021</v>
      </c>
      <c r="P244" s="48">
        <f ca="1">O244/SUM(O:O)</f>
        <v>6.5007086676115572E-3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input_325105!A$2</f>
        <v>325105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IFERROR(VLOOKUP(B245,input_325105!L:R,7,FALSE),ROUNDDOWN(VLOOKUP(tables_325105!C245,input_325105!A:H,8,FALSE),0))</f>
        <v>10264</v>
      </c>
      <c r="P245" s="48">
        <f ca="1">O245/SUM(O:O)</f>
        <v>3.4213378951171935E-4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input_325105!A$2</f>
        <v>325105</v>
      </c>
      <c r="B246" s="62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>color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IFERROR(VLOOKUP(B246,input_325105!L:R,7,FALSE),ROUNDDOWN(VLOOKUP(tables_325105!C246,input_325105!A:H,8,FALSE),0))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input_325105!A$2</f>
        <v>325105</v>
      </c>
      <c r="B247" s="62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>color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IFERROR(VLOOKUP(B247,input_325105!L:R,7,FALSE),ROUNDDOWN(VLOOKUP(tables_325105!C247,input_325105!A:H,8,FALSE),0))</f>
        <v>910100</v>
      </c>
      <c r="P247" s="48">
        <f ca="1">O247/SUM(O:O)</f>
        <v>3.0336707115609488E-2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input_325105!A$2</f>
        <v>325105</v>
      </c>
      <c r="B248" s="62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>color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IFERROR(VLOOKUP(B248,input_325105!L:R,7,FALSE),ROUNDDOWN(VLOOKUP(tables_325105!C248,input_325105!A:H,8,FALSE),0))</f>
        <v>47900</v>
      </c>
      <c r="P248" s="48">
        <f ca="1">O248/SUM(O:O)</f>
        <v>1.596668795558394E-3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input_325105!A$2</f>
        <v>325105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IFERROR(VLOOKUP(B249,input_325105!L:R,7,FALSE),ROUNDDOWN(VLOOKUP(tables_325105!C249,input_325105!A:H,8,FALSE),0))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input_325105!A$2</f>
        <v>325105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IFERROR(VLOOKUP(B250,input_325105!L:R,7,FALSE),ROUNDDOWN(VLOOKUP(tables_325105!C250,input_325105!A:H,8,FALSE),0))</f>
        <v>195021</v>
      </c>
      <c r="P250" s="48">
        <f ca="1">O250/SUM(O:O)</f>
        <v>6.5007086676115572E-3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input_325105!A$2</f>
        <v>325105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IFERROR(VLOOKUP(B251,input_325105!L:R,7,FALSE),ROUNDDOWN(VLOOKUP(tables_325105!C251,input_325105!A:H,8,FALSE),0))</f>
        <v>10264</v>
      </c>
      <c r="P251" s="48">
        <f ca="1">O251/SUM(O:O)</f>
        <v>3.4213378951171935E-4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input_325105!A$2</f>
        <v>325105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IFERROR(VLOOKUP(B252,input_325105!L:R,7,FALSE),ROUNDDOWN(VLOOKUP(tables_325105!C252,input_325105!A:H,8,FALSE),0))</f>
        <v>13680</v>
      </c>
      <c r="P252" s="48">
        <f ca="1">O252/SUM(O:O)</f>
        <v>4.5600060800081069E-4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input_325105!A$2</f>
        <v>325105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IFERROR(VLOOKUP(B253,input_325105!L:R,7,FALSE),ROUNDDOWN(VLOOKUP(tables_325105!C253,input_325105!A:H,8,FALSE),0))</f>
        <v>720</v>
      </c>
      <c r="P253" s="48">
        <f ca="1">O253/SUM(O:O)</f>
        <v>2.4000032000042668E-5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input_325105!A$2</f>
        <v>325105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IFERROR(VLOOKUP(B254,input_325105!L:R,7,FALSE),ROUNDDOWN(VLOOKUP(tables_325105!C254,input_325105!A:H,8,FALSE),0))</f>
        <v>13680</v>
      </c>
      <c r="P254" s="48">
        <f ca="1">O254/SUM(O:O)</f>
        <v>4.5600060800081069E-4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input_325105!A$2</f>
        <v>325105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IFERROR(VLOOKUP(B255,input_325105!L:R,7,FALSE),ROUNDDOWN(VLOOKUP(tables_325105!C255,input_325105!A:H,8,FALSE),0))</f>
        <v>720</v>
      </c>
      <c r="P255" s="48">
        <f ca="1">O255/SUM(O:O)</f>
        <v>2.4000032000042668E-5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input_325105!A$2</f>
        <v>325105</v>
      </c>
      <c r="B256" s="62">
        <v>770</v>
      </c>
      <c r="C256" s="7" t="str">
        <f t="shared" si="9"/>
        <v>PremiumSS4color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1"/>
        <v>color</v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IFERROR(VLOOKUP(B256,input_325105!L:R,7,FALSE),ROUNDDOWN(VLOOKUP(tables_325105!C256,input_325105!A:H,8,FALSE),0))</f>
        <v>57000</v>
      </c>
      <c r="P256" s="48">
        <f ca="1">O256/SUM(O:O)</f>
        <v>1.9000025333367112E-3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input_325105!A$2</f>
        <v>325105</v>
      </c>
      <c r="B257" s="62">
        <v>771</v>
      </c>
      <c r="C257" s="7" t="str">
        <f t="shared" si="9"/>
        <v>PremiumSS5color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1"/>
        <v>color</v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IFERROR(VLOOKUP(B257,input_325105!L:R,7,FALSE),ROUNDDOWN(VLOOKUP(tables_325105!C257,input_325105!A:H,8,FALSE),0))</f>
        <v>3000</v>
      </c>
      <c r="P257" s="48">
        <f ca="1">O257/SUM(O:O)</f>
        <v>1.0000013333351111E-4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input_325105!A$2</f>
        <v>325105</v>
      </c>
      <c r="B258" s="62">
        <v>772</v>
      </c>
      <c r="C258" s="7" t="str">
        <f t="shared" ref="C258:C27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1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IFERROR(VLOOKUP(B258,input_325105!L:R,7,FALSE),ROUNDDOWN(VLOOKUP(tables_325105!C258,input_325105!A:H,8,FALSE),0))</f>
        <v>13680</v>
      </c>
      <c r="P258" s="48">
        <f ca="1">O258/SUM(O:O)</f>
        <v>4.5600060800081069E-4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input_325105!A$2</f>
        <v>325105</v>
      </c>
      <c r="B259" s="62">
        <v>773</v>
      </c>
      <c r="C259" s="7" t="str">
        <f t="shared" si="12"/>
        <v>PremiumSS5</v>
      </c>
      <c r="D259" s="7" t="str">
        <f t="shared" ref="D259:D27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4">IF(K259="red","color","")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IFERROR(VLOOKUP(B259,input_325105!L:R,7,FALSE),ROUNDDOWN(VLOOKUP(tables_325105!C259,input_325105!A:H,8,FALSE),0))</f>
        <v>720</v>
      </c>
      <c r="P259" s="48">
        <f ca="1">O259/SUM(O:O)</f>
        <v>2.4000032000042668E-5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input_325105!A$2</f>
        <v>325105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IFERROR(VLOOKUP(B260,input_325105!L:R,7,FALSE),ROUNDDOWN(VLOOKUP(tables_325105!C260,input_325105!A:H,8,FALSE),0))</f>
        <v>0</v>
      </c>
      <c r="P260" s="48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input_325105!A$2</f>
        <v>325105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IFERROR(VLOOKUP(B261,input_325105!L:R,7,FALSE),ROUNDDOWN(VLOOKUP(tables_325105!C261,input_325105!A:H,8,FALSE),0))</f>
        <v>195021</v>
      </c>
      <c r="P261" s="48">
        <f ca="1">O261/SUM(O:O)</f>
        <v>6.5007086676115572E-3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input_325105!A$2</f>
        <v>325105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IFERROR(VLOOKUP(B262,input_325105!L:R,7,FALSE),ROUNDDOWN(VLOOKUP(tables_325105!C262,input_325105!A:H,8,FALSE),0))</f>
        <v>10264</v>
      </c>
      <c r="P262" s="48">
        <f ca="1">O262/SUM(O:O)</f>
        <v>3.4213378951171935E-4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input_325105!A$2</f>
        <v>325105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IFERROR(VLOOKUP(B263,input_325105!L:R,7,FALSE),ROUNDDOWN(VLOOKUP(tables_325105!C263,input_325105!A:H,8,FALSE),0))</f>
        <v>0</v>
      </c>
      <c r="P263" s="48">
        <f ca="1">O263/SUM(O:O)</f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input_325105!A$2</f>
        <v>325105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IFERROR(VLOOKUP(B264,input_325105!L:R,7,FALSE),ROUNDDOWN(VLOOKUP(tables_325105!C264,input_325105!A:H,8,FALSE),0))</f>
        <v>195021</v>
      </c>
      <c r="P264" s="48">
        <f ca="1">O264/SUM(O:O)</f>
        <v>6.5007086676115572E-3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input_325105!A$2</f>
        <v>325105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IFERROR(VLOOKUP(B265,input_325105!L:R,7,FALSE),ROUNDDOWN(VLOOKUP(tables_325105!C265,input_325105!A:H,8,FALSE),0))</f>
        <v>10264</v>
      </c>
      <c r="P265" s="48">
        <f ca="1">O265/SUM(O:O)</f>
        <v>3.4213378951171935E-4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input_325105!A$2</f>
        <v>325105</v>
      </c>
      <c r="B266" s="62">
        <v>728</v>
      </c>
      <c r="C266" s="7" t="str">
        <f t="shared" si="12"/>
        <v>Premium4R3lesscolor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4"/>
        <v>color</v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IFERROR(VLOOKUP(B266,input_325105!L:R,7,FALSE),ROUNDDOWN(VLOOKUP(tables_325105!C266,input_325105!A:H,8,FALSE),0))</f>
        <v>659800</v>
      </c>
      <c r="P266" s="48">
        <f ca="1">O266/SUM(O:O)</f>
        <v>2.1993362657816876E-2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input_325105!A$2</f>
        <v>325105</v>
      </c>
      <c r="B267" s="62">
        <v>729</v>
      </c>
      <c r="C267" s="7" t="str">
        <f t="shared" si="12"/>
        <v>Premium5R3lesscolor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4"/>
        <v>color</v>
      </c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IFERROR(VLOOKUP(B267,input_325105!L:R,7,FALSE),ROUNDDOWN(VLOOKUP(tables_325105!C267,input_325105!A:H,8,FALSE),0))</f>
        <v>298200</v>
      </c>
      <c r="P267" s="48">
        <f ca="1">O267/SUM(O:O)</f>
        <v>9.9400132533510044E-3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input_325105!A$2</f>
        <v>325105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IFERROR(VLOOKUP(B268,input_325105!L:R,7,FALSE),ROUNDDOWN(VLOOKUP(tables_325105!C268,input_325105!A:H,8,FALSE),0))</f>
        <v>61217</v>
      </c>
      <c r="P268" s="48">
        <f ca="1">O268/SUM(O:O)</f>
        <v>2.04056938742585E-3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input_325105!A$2</f>
        <v>325105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IFERROR(VLOOKUP(B269,input_325105!L:R,7,FALSE),ROUNDDOWN(VLOOKUP(tables_325105!C269,input_325105!A:H,8,FALSE),0))</f>
        <v>144068</v>
      </c>
      <c r="P269" s="48">
        <f ca="1">O269/SUM(O:O)</f>
        <v>4.8022730696974259E-3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input_325105!A$2</f>
        <v>325105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IFERROR(VLOOKUP(B270,input_325105!L:R,7,FALSE),ROUNDDOWN(VLOOKUP(tables_325105!C270,input_325105!A:H,8,FALSE),0))</f>
        <v>14400</v>
      </c>
      <c r="P270" s="48">
        <f ca="1">O270/SUM(O:O)</f>
        <v>4.8000064000085332E-4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input_325105!A$2</f>
        <v>325105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IFERROR(VLOOKUP(B271,input_325105!L:R,7,FALSE),ROUNDDOWN(VLOOKUP(tables_325105!C271,input_325105!A:H,8,FALSE),0))</f>
        <v>14400</v>
      </c>
      <c r="P271" s="48">
        <f ca="1">O271/SUM(O:O)</f>
        <v>4.8000064000085332E-4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input_325105!A$2</f>
        <v>325105</v>
      </c>
      <c r="B272" s="62">
        <v>786</v>
      </c>
      <c r="C272" s="7" t="str">
        <f t="shared" si="12"/>
        <v>PremiumSSS5</v>
      </c>
      <c r="D272" s="7" t="str">
        <f t="shared" si="13"/>
        <v>PremiumSSS</v>
      </c>
      <c r="E272" s="7"/>
      <c r="F272" s="7" t="str">
        <f>IF(COUNTIF('R6開放'!A:A,B272)&gt;0,"R6release","")</f>
        <v/>
      </c>
      <c r="G272" s="7"/>
      <c r="H272" s="7" t="str">
        <f>VLOOKUP(B272,[1]characters!$A:$C,3,FALSE)</f>
        <v>ヘイウェイ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attack</v>
      </c>
      <c r="M272" s="7" t="str">
        <f>VLOOKUP(B272,[1]characters!$A:$M,13,FALSE)</f>
        <v>dragon</v>
      </c>
      <c r="N272" s="7" t="str">
        <f>VLOOKUP(B272,[1]characters!$A:$G,7,FALSE)</f>
        <v>男性</v>
      </c>
      <c r="O272" s="47">
        <f ca="1">IFERROR(VLOOKUP(B272,input_325105!L:R,7,FALSE),ROUNDDOWN(VLOOKUP(tables_325105!C272,input_325105!A:H,8,FALSE),0))</f>
        <v>360000</v>
      </c>
      <c r="P272" s="48">
        <f ca="1">O272/SUM(O:O)</f>
        <v>1.2000016000021334E-2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</sheetData>
  <autoFilter ref="A1:V27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R61"/>
  <sheetViews>
    <sheetView workbookViewId="0">
      <selection activeCell="A50" sqref="A5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8" x14ac:dyDescent="0.15">
      <c r="A1" s="51" t="s">
        <v>86</v>
      </c>
      <c r="B1" s="51"/>
      <c r="L1" s="40" t="s">
        <v>64</v>
      </c>
      <c r="M1" s="40"/>
    </row>
    <row r="2" spans="1:18" x14ac:dyDescent="0.15">
      <c r="A2" t="str">
        <f ca="1">RIGHT(RIGHT(CELL("filename",A2),LEN(CELL("filename",A2))-FIND("]",CELL("filename",A2))),6)</f>
        <v>325100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</row>
    <row r="3" spans="1:18" x14ac:dyDescent="0.15">
      <c r="L3" s="6"/>
      <c r="M3" s="39" t="e">
        <f>VLOOKUP(L3,[1]characters!$A:$C,3,FALSE)</f>
        <v>#N/A</v>
      </c>
      <c r="N3" s="64">
        <v>5.0000000000000001E-3</v>
      </c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VLOOKUP(L3,tables_325100!B:C,2,FALSE)</f>
        <v>#N/A</v>
      </c>
      <c r="R3" s="63">
        <f t="shared" ref="R3:R14" si="0">N3*A$49</f>
        <v>150000</v>
      </c>
    </row>
    <row r="4" spans="1:18" x14ac:dyDescent="0.15">
      <c r="A4" s="36" t="s">
        <v>55</v>
      </c>
      <c r="B4" s="36"/>
      <c r="D4" t="s">
        <v>208</v>
      </c>
      <c r="E4" t="s">
        <v>209</v>
      </c>
      <c r="F4" t="s">
        <v>215</v>
      </c>
      <c r="G4" t="s">
        <v>216</v>
      </c>
      <c r="L4" s="6"/>
      <c r="M4" s="39" t="e">
        <f>VLOOKUP(L4,[1]characters!$A:$C,3,FALSE)</f>
        <v>#N/A</v>
      </c>
      <c r="N4" s="64">
        <v>0.01</v>
      </c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VLOOKUP(L4,tables_325100!B:C,2,FALSE)</f>
        <v>#N/A</v>
      </c>
      <c r="R4" s="63">
        <f t="shared" si="0"/>
        <v>300000</v>
      </c>
    </row>
    <row r="5" spans="1:18" x14ac:dyDescent="0.15">
      <c r="A5" s="34" t="s">
        <v>71</v>
      </c>
      <c r="B5" s="35">
        <f>1-B6-B7</f>
        <v>0</v>
      </c>
      <c r="D5" t="s">
        <v>233</v>
      </c>
      <c r="E5">
        <f>E26+E28+E29</f>
        <v>25</v>
      </c>
      <c r="F5" s="56">
        <f>B11*0.4</f>
        <v>1.2E-2</v>
      </c>
      <c r="G5" s="73">
        <f>F5/E5</f>
        <v>4.8000000000000001E-4</v>
      </c>
      <c r="L5" s="6"/>
      <c r="M5" s="39" t="e">
        <f>VLOOKUP(L5,[1]characters!$A:$C,3,FALSE)</f>
        <v>#N/A</v>
      </c>
      <c r="N5" s="64">
        <v>0.01</v>
      </c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VLOOKUP(L5,tables_325100!B:C,2,FALSE)</f>
        <v>#N/A</v>
      </c>
      <c r="R5" s="63">
        <f t="shared" si="0"/>
        <v>300000</v>
      </c>
    </row>
    <row r="6" spans="1:18" x14ac:dyDescent="0.15">
      <c r="A6" s="34" t="s">
        <v>72</v>
      </c>
      <c r="B6" s="35">
        <v>0.95</v>
      </c>
      <c r="D6" t="s">
        <v>230</v>
      </c>
      <c r="E6">
        <f>E39+E41+E42</f>
        <v>9</v>
      </c>
      <c r="F6" s="56">
        <f>B11*0.6</f>
        <v>1.7999999999999999E-2</v>
      </c>
      <c r="G6" s="73">
        <f>F6/E6</f>
        <v>2E-3</v>
      </c>
      <c r="L6" s="34"/>
      <c r="M6" s="39" t="e">
        <f>VLOOKUP(L6,[1]characters!$A:$C,3,FALSE)</f>
        <v>#N/A</v>
      </c>
      <c r="N6" s="64">
        <v>5.0000000000000001E-3</v>
      </c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VLOOKUP(L6,tables_325100!B:C,2,FALSE)</f>
        <v>#N/A</v>
      </c>
      <c r="R6" s="63">
        <f t="shared" si="0"/>
        <v>150000</v>
      </c>
    </row>
    <row r="7" spans="1:18" x14ac:dyDescent="0.15">
      <c r="A7" s="34" t="s">
        <v>73</v>
      </c>
      <c r="B7" s="35">
        <v>0.05</v>
      </c>
      <c r="D7" t="s">
        <v>231</v>
      </c>
      <c r="E7">
        <f>E18+E21+E23</f>
        <v>56</v>
      </c>
      <c r="F7" s="76">
        <f>B10*0.4</f>
        <v>0.38</v>
      </c>
      <c r="G7" s="73">
        <f t="shared" ref="G7:G8" si="1">F7/E7</f>
        <v>6.7857142857142855E-3</v>
      </c>
      <c r="L7" s="34"/>
      <c r="M7" s="39" t="e">
        <f>VLOOKUP(L7,[1]characters!$A:$C,3,FALSE)</f>
        <v>#N/A</v>
      </c>
      <c r="N7" s="64">
        <v>0.01</v>
      </c>
      <c r="O7" s="39" t="e">
        <f>VLOOKUP(L7,[1]characters!$A:$I,9,FALSE)</f>
        <v>#N/A</v>
      </c>
      <c r="P7" s="39" t="e">
        <f>VLOOKUP(L7,[1]characters!$A:$J,10,FALSE)</f>
        <v>#N/A</v>
      </c>
      <c r="Q7" s="39" t="e">
        <f>VLOOKUP(L7,tables_325100!B:C,2,FALSE)</f>
        <v>#N/A</v>
      </c>
      <c r="R7" s="63">
        <f t="shared" si="0"/>
        <v>300000</v>
      </c>
    </row>
    <row r="8" spans="1:18" x14ac:dyDescent="0.15">
      <c r="D8" t="s">
        <v>232</v>
      </c>
      <c r="E8">
        <f>E31+E34+E36</f>
        <v>18</v>
      </c>
      <c r="F8" s="75">
        <f>B10*0.6</f>
        <v>0.56999999999999995</v>
      </c>
      <c r="G8" s="73">
        <f t="shared" si="1"/>
        <v>3.1666666666666662E-2</v>
      </c>
      <c r="L8" s="34"/>
      <c r="M8" s="39" t="e">
        <f>VLOOKUP(L8,[1]characters!$A:$C,3,FALSE)</f>
        <v>#N/A</v>
      </c>
      <c r="N8" s="64">
        <v>0.01</v>
      </c>
      <c r="O8" s="39" t="e">
        <f>VLOOKUP(L8,[1]characters!$A:$I,9,FALSE)</f>
        <v>#N/A</v>
      </c>
      <c r="P8" s="39" t="e">
        <f>VLOOKUP(L8,[1]characters!$A:$J,10,FALSE)</f>
        <v>#N/A</v>
      </c>
      <c r="Q8" s="39" t="e">
        <f>VLOOKUP(L8,tables_325100!B:C,2,FALSE)</f>
        <v>#N/A</v>
      </c>
      <c r="R8" s="63">
        <f t="shared" si="0"/>
        <v>300000</v>
      </c>
    </row>
    <row r="9" spans="1:18" x14ac:dyDescent="0.15">
      <c r="A9" s="37" t="s">
        <v>56</v>
      </c>
      <c r="B9" s="37"/>
      <c r="L9" s="34"/>
      <c r="M9" s="39" t="e">
        <f>VLOOKUP(L9,[1]characters!$A:$C,3,FALSE)</f>
        <v>#N/A</v>
      </c>
      <c r="N9" s="64">
        <v>5.0000000000000001E-3</v>
      </c>
      <c r="O9" s="39" t="e">
        <f>VLOOKUP(L9,[1]characters!$A:$I,9,FALSE)</f>
        <v>#N/A</v>
      </c>
      <c r="P9" s="39" t="e">
        <f>VLOOKUP(L9,[1]characters!$A:$J,10,FALSE)</f>
        <v>#N/A</v>
      </c>
      <c r="Q9" s="39" t="e">
        <f>VLOOKUP(L9,tables_325100!B:C,2,FALSE)</f>
        <v>#N/A</v>
      </c>
      <c r="R9" s="63">
        <f t="shared" si="0"/>
        <v>150000</v>
      </c>
    </row>
    <row r="10" spans="1:18" x14ac:dyDescent="0.15">
      <c r="A10" s="34" t="s">
        <v>100</v>
      </c>
      <c r="B10" s="83">
        <f>1-B11-B12</f>
        <v>0.95</v>
      </c>
      <c r="L10" s="34"/>
      <c r="M10" s="39" t="e">
        <f>VLOOKUP(L10,[1]characters!$A:$C,3,FALSE)</f>
        <v>#N/A</v>
      </c>
      <c r="N10" s="64">
        <v>0.01</v>
      </c>
      <c r="O10" s="39" t="e">
        <f>VLOOKUP(L10,[1]characters!$A:$I,9,FALSE)</f>
        <v>#N/A</v>
      </c>
      <c r="P10" s="39" t="e">
        <f>VLOOKUP(L10,[1]characters!$A:$J,10,FALSE)</f>
        <v>#N/A</v>
      </c>
      <c r="Q10" s="39" t="e">
        <f>VLOOKUP(L10,tables_325100!B:C,2,FALSE)</f>
        <v>#N/A</v>
      </c>
      <c r="R10" s="63">
        <f t="shared" si="0"/>
        <v>300000</v>
      </c>
    </row>
    <row r="11" spans="1:18" x14ac:dyDescent="0.15">
      <c r="A11" s="34" t="s">
        <v>58</v>
      </c>
      <c r="B11" s="83">
        <v>0.03</v>
      </c>
      <c r="L11" s="34"/>
      <c r="M11" s="39" t="e">
        <f>VLOOKUP(L11,[1]characters!$A:$C,3,FALSE)</f>
        <v>#N/A</v>
      </c>
      <c r="N11" s="64">
        <v>0.01</v>
      </c>
      <c r="O11" s="39" t="e">
        <f>VLOOKUP(L11,[1]characters!$A:$I,9,FALSE)</f>
        <v>#N/A</v>
      </c>
      <c r="P11" s="39" t="e">
        <f>VLOOKUP(L11,[1]characters!$A:$J,10,FALSE)</f>
        <v>#N/A</v>
      </c>
      <c r="Q11" s="39" t="e">
        <f>VLOOKUP(L11,tables_325100!B:C,2,FALSE)</f>
        <v>#N/A</v>
      </c>
      <c r="R11" s="63">
        <f t="shared" si="0"/>
        <v>300000</v>
      </c>
    </row>
    <row r="12" spans="1:18" x14ac:dyDescent="0.15">
      <c r="A12" s="34" t="s">
        <v>57</v>
      </c>
      <c r="B12" s="83">
        <v>0.02</v>
      </c>
      <c r="L12" s="34"/>
      <c r="M12" s="39" t="e">
        <f>VLOOKUP(L12,[1]characters!$A:$C,3,FALSE)</f>
        <v>#N/A</v>
      </c>
      <c r="N12" s="64">
        <v>5.0000000000000001E-3</v>
      </c>
      <c r="O12" s="39" t="e">
        <f>VLOOKUP(L12,[1]characters!$A:$I,9,FALSE)</f>
        <v>#N/A</v>
      </c>
      <c r="P12" s="39" t="e">
        <f>VLOOKUP(L12,[1]characters!$A:$J,10,FALSE)</f>
        <v>#N/A</v>
      </c>
      <c r="Q12" s="39" t="e">
        <f>VLOOKUP(L12,tables_325100!B:C,2,FALSE)</f>
        <v>#N/A</v>
      </c>
      <c r="R12" s="63">
        <f t="shared" si="0"/>
        <v>150000</v>
      </c>
    </row>
    <row r="13" spans="1:18" x14ac:dyDescent="0.15">
      <c r="L13" s="34"/>
      <c r="M13" s="39" t="e">
        <f>VLOOKUP(L13,[1]characters!$A:$C,3,FALSE)</f>
        <v>#N/A</v>
      </c>
      <c r="N13" s="64">
        <v>0.01</v>
      </c>
      <c r="O13" s="39" t="e">
        <f>VLOOKUP(L13,[1]characters!$A:$I,9,FALSE)</f>
        <v>#N/A</v>
      </c>
      <c r="P13" s="39" t="e">
        <f>VLOOKUP(L13,[1]characters!$A:$J,10,FALSE)</f>
        <v>#N/A</v>
      </c>
      <c r="Q13" s="39" t="e">
        <f>VLOOKUP(L13,tables_325100!B:C,2,FALSE)</f>
        <v>#N/A</v>
      </c>
      <c r="R13" s="63">
        <f t="shared" si="0"/>
        <v>300000</v>
      </c>
    </row>
    <row r="14" spans="1:18" x14ac:dyDescent="0.15">
      <c r="L14" s="34"/>
      <c r="M14" s="39" t="e">
        <f>VLOOKUP(L14,[1]characters!$A:$C,3,FALSE)</f>
        <v>#N/A</v>
      </c>
      <c r="N14" s="64">
        <v>0.01</v>
      </c>
      <c r="O14" s="39" t="e">
        <f>VLOOKUP(L14,[1]characters!$A:$I,9,FALSE)</f>
        <v>#N/A</v>
      </c>
      <c r="P14" s="39" t="e">
        <f>VLOOKUP(L14,[1]characters!$A:$J,10,FALSE)</f>
        <v>#N/A</v>
      </c>
      <c r="Q14" s="39" t="e">
        <f>VLOOKUP(L14,tables_325100!B:C,2,FALSE)</f>
        <v>#N/A</v>
      </c>
      <c r="R14" s="63">
        <f t="shared" si="0"/>
        <v>300000</v>
      </c>
    </row>
    <row r="15" spans="1:18" x14ac:dyDescent="0.15">
      <c r="A15" s="38" t="s">
        <v>60</v>
      </c>
      <c r="B15" s="38"/>
      <c r="C15" t="s">
        <v>87</v>
      </c>
      <c r="L15" s="40"/>
      <c r="M15" s="40"/>
    </row>
    <row r="16" spans="1:18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76</v>
      </c>
      <c r="I16" t="s">
        <v>78</v>
      </c>
      <c r="J16" t="s">
        <v>81</v>
      </c>
      <c r="K16" t="s">
        <v>236</v>
      </c>
      <c r="L16" s="58"/>
      <c r="M16" s="58"/>
      <c r="N16" s="58"/>
      <c r="O16" s="58"/>
      <c r="P16" s="58"/>
      <c r="Q16" s="58"/>
      <c r="R16" s="59"/>
    </row>
    <row r="17" spans="1:18" x14ac:dyDescent="0.15">
      <c r="A17" s="34" t="s">
        <v>198</v>
      </c>
      <c r="B17" s="78">
        <f>B$5*0.4-B19-B24</f>
        <v>0</v>
      </c>
      <c r="C17" s="50">
        <f t="shared" ref="C17:C44" si="2">SUMIF(Q:Q,A17,N:N)</f>
        <v>0</v>
      </c>
      <c r="D17" s="72">
        <f t="shared" ref="D17:D45" si="3">B17-C17</f>
        <v>0</v>
      </c>
      <c r="E17">
        <f>COUNTIF(tables_325100!C:C,input_325100!A17)-COUNTIF(Q:Q,A17)</f>
        <v>15</v>
      </c>
      <c r="F17" s="45">
        <f t="shared" ref="F17:F40" si="4">IFERROR(D17/E17,0)</f>
        <v>0</v>
      </c>
      <c r="G17">
        <f t="shared" ref="G17:G44" si="5">A$49*D17</f>
        <v>0</v>
      </c>
      <c r="H17">
        <f t="shared" ref="H17:H44" si="6">IFERROR(ROUND(G17/E17,5),0)</f>
        <v>0</v>
      </c>
      <c r="I17">
        <f t="shared" ref="I17:I44" si="7">MOD(H17,1)</f>
        <v>0</v>
      </c>
      <c r="J17">
        <f t="shared" ref="J17:J44" si="8">IFERROR(1/I17,1)</f>
        <v>1</v>
      </c>
      <c r="K17" s="82">
        <f ca="1">SUMIF(tables_325100!C:C,input_325100!A17,tables_325100!P:P)</f>
        <v>0</v>
      </c>
      <c r="L17" s="58"/>
      <c r="M17" s="58"/>
      <c r="N17" s="58"/>
      <c r="O17" s="58"/>
      <c r="P17" s="58"/>
      <c r="Q17" s="58"/>
      <c r="R17" s="71"/>
    </row>
    <row r="18" spans="1:18" x14ac:dyDescent="0.15">
      <c r="A18" s="34" t="s">
        <v>199</v>
      </c>
      <c r="B18" s="44">
        <f>G7*COUNTIF(tables_325100!C:C,input_325100!A18)-B17</f>
        <v>0.10178571428571428</v>
      </c>
      <c r="C18" s="50">
        <f t="shared" si="2"/>
        <v>0</v>
      </c>
      <c r="D18" s="72">
        <f t="shared" si="3"/>
        <v>0.10178571428571428</v>
      </c>
      <c r="E18">
        <f>COUNTIF(tables_325100!C:C,input_325100!A18)-COUNTIF(Q:Q,A18)</f>
        <v>15</v>
      </c>
      <c r="F18" s="45">
        <f t="shared" si="4"/>
        <v>6.7857142857142855E-3</v>
      </c>
      <c r="G18">
        <f t="shared" si="5"/>
        <v>3053571.4285714286</v>
      </c>
      <c r="H18">
        <f t="shared" si="6"/>
        <v>203571.42856999999</v>
      </c>
      <c r="I18">
        <f t="shared" si="7"/>
        <v>0.42856999998912215</v>
      </c>
      <c r="J18">
        <f t="shared" si="8"/>
        <v>2.3333411111962614</v>
      </c>
      <c r="K18" s="82">
        <f ca="1">SUMIF(tables_325100!C:C,input_325100!A18,tables_325100!P:P)</f>
        <v>0.10178571714286321</v>
      </c>
      <c r="L18" s="58"/>
      <c r="M18" s="58"/>
      <c r="N18" s="58"/>
      <c r="O18" s="58"/>
      <c r="P18" s="58"/>
      <c r="Q18" s="58"/>
      <c r="R18" s="71"/>
    </row>
    <row r="19" spans="1:18" x14ac:dyDescent="0.15">
      <c r="A19" s="34" t="s">
        <v>101</v>
      </c>
      <c r="B19" s="44">
        <f>G$7*COUNTIF(tables_325100!C:C,input_325100!A19)*B5</f>
        <v>0</v>
      </c>
      <c r="C19" s="50">
        <f t="shared" si="2"/>
        <v>0</v>
      </c>
      <c r="D19" s="72">
        <f t="shared" si="3"/>
        <v>0</v>
      </c>
      <c r="E19">
        <f>COUNTIF(tables_325100!C:C,input_325100!A19)-COUNTIF(Q:Q,A19)</f>
        <v>40</v>
      </c>
      <c r="F19" s="45">
        <f t="shared" si="4"/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K19" s="82">
        <f ca="1">SUMIF(tables_325100!C:C,input_325100!A19,tables_325100!P:P)</f>
        <v>0</v>
      </c>
      <c r="L19" s="58"/>
      <c r="M19" s="58"/>
      <c r="N19" s="60"/>
      <c r="O19" s="58"/>
      <c r="P19" s="58"/>
      <c r="Q19" s="58"/>
      <c r="R19" s="61"/>
    </row>
    <row r="20" spans="1:18" x14ac:dyDescent="0.15">
      <c r="A20" s="34" t="s">
        <v>102</v>
      </c>
      <c r="B20" s="44">
        <f>G$7*COUNTIF(tables_325100!C:C,input_325100!A20)*B6</f>
        <v>0.25785714285714284</v>
      </c>
      <c r="C20" s="50">
        <f t="shared" si="2"/>
        <v>0</v>
      </c>
      <c r="D20" s="72">
        <f t="shared" si="3"/>
        <v>0.25785714285714284</v>
      </c>
      <c r="E20">
        <f>COUNTIF(tables_325100!C:C,input_325100!A20)-COUNTIF(Q:Q,A20)</f>
        <v>40</v>
      </c>
      <c r="F20" s="45">
        <f t="shared" si="4"/>
        <v>6.4464285714285708E-3</v>
      </c>
      <c r="G20">
        <f t="shared" si="5"/>
        <v>7735714.2857142854</v>
      </c>
      <c r="H20">
        <f t="shared" si="6"/>
        <v>193392.85714000001</v>
      </c>
      <c r="I20">
        <f t="shared" si="7"/>
        <v>0.85714000000734814</v>
      </c>
      <c r="J20">
        <f t="shared" si="8"/>
        <v>1.1666705555585168</v>
      </c>
      <c r="K20" s="82">
        <f ca="1">SUMIF(tables_325100!C:C,input_325100!A20,tables_325100!P:P)</f>
        <v>0.2578565500939734</v>
      </c>
      <c r="L20" s="58"/>
      <c r="M20" s="58"/>
      <c r="N20" s="60"/>
      <c r="O20" s="58"/>
      <c r="P20" s="58"/>
      <c r="Q20" s="58"/>
      <c r="R20" s="61"/>
    </row>
    <row r="21" spans="1:18" x14ac:dyDescent="0.15">
      <c r="A21" s="34" t="s">
        <v>103</v>
      </c>
      <c r="B21" s="44">
        <f>G$7*COUNTIF(tables_325100!C:C,input_325100!A21)*B7</f>
        <v>1.3571428571428571E-2</v>
      </c>
      <c r="C21" s="50">
        <f t="shared" si="2"/>
        <v>0</v>
      </c>
      <c r="D21" s="72">
        <f t="shared" si="3"/>
        <v>1.3571428571428571E-2</v>
      </c>
      <c r="E21">
        <f>COUNTIF(tables_325100!C:C,input_325100!A21)-COUNTIF(Q:Q,A21)</f>
        <v>40</v>
      </c>
      <c r="F21" s="45">
        <f t="shared" si="4"/>
        <v>3.3928571428571428E-4</v>
      </c>
      <c r="G21">
        <f t="shared" si="5"/>
        <v>407142.85714285716</v>
      </c>
      <c r="H21">
        <f t="shared" si="6"/>
        <v>10178.57143</v>
      </c>
      <c r="I21">
        <f t="shared" si="7"/>
        <v>0.57142999999996391</v>
      </c>
      <c r="J21">
        <f t="shared" si="8"/>
        <v>1.749995625011048</v>
      </c>
      <c r="K21" s="82">
        <f ca="1">SUMIF(tables_325100!C:C,input_325100!A21,tables_325100!P:P)</f>
        <v>1.3570695617483997E-2</v>
      </c>
      <c r="L21" s="58"/>
      <c r="M21" s="58"/>
      <c r="N21" s="60"/>
      <c r="O21" s="58"/>
      <c r="P21" s="58"/>
      <c r="Q21" s="58"/>
      <c r="R21" s="61"/>
    </row>
    <row r="22" spans="1:18" x14ac:dyDescent="0.15">
      <c r="A22" s="34" t="s">
        <v>204</v>
      </c>
      <c r="B22" s="79">
        <f>G7*COUNTIF(tables_325100!C:C,input_325100!A22)-B23</f>
        <v>1.8691428571428522E-3</v>
      </c>
      <c r="C22" s="50">
        <f t="shared" si="2"/>
        <v>0</v>
      </c>
      <c r="D22" s="72">
        <f t="shared" si="3"/>
        <v>1.8691428571428522E-3</v>
      </c>
      <c r="E22">
        <f>COUNTIF(tables_325100!C:C,input_325100!A22)-COUNTIF(Q:Q,A22)</f>
        <v>1</v>
      </c>
      <c r="F22" s="45">
        <f t="shared" si="4"/>
        <v>1.8691428571428522E-3</v>
      </c>
      <c r="G22">
        <f t="shared" si="5"/>
        <v>56074.285714285565</v>
      </c>
      <c r="H22">
        <f t="shared" si="6"/>
        <v>56074.285709999996</v>
      </c>
      <c r="I22">
        <f t="shared" si="7"/>
        <v>0.28570999999647029</v>
      </c>
      <c r="J22">
        <f t="shared" si="8"/>
        <v>3.5000525008307521</v>
      </c>
      <c r="K22" s="82">
        <f ca="1">SUMIF(tables_325100!C:C,input_325100!A22,tables_325100!P:P)</f>
        <v>1.8691373208262845E-3</v>
      </c>
      <c r="L22" s="58"/>
      <c r="M22" s="58"/>
      <c r="N22" s="60"/>
      <c r="O22" s="58"/>
      <c r="P22" s="58"/>
      <c r="Q22" s="58"/>
      <c r="R22" s="61"/>
    </row>
    <row r="23" spans="1:18" x14ac:dyDescent="0.15">
      <c r="A23" s="34" t="s">
        <v>205</v>
      </c>
      <c r="B23" s="80">
        <f>B7*0.4-B26-B28-B29-B21</f>
        <v>4.9165714285714333E-3</v>
      </c>
      <c r="C23" s="50">
        <f t="shared" si="2"/>
        <v>0</v>
      </c>
      <c r="D23" s="72">
        <f t="shared" si="3"/>
        <v>4.9165714285714333E-3</v>
      </c>
      <c r="E23">
        <f>COUNTIF(tables_325100!C:C,input_325100!A23)-COUNTIF(Q:Q,A23)</f>
        <v>1</v>
      </c>
      <c r="F23" s="45">
        <f t="shared" si="4"/>
        <v>4.9165714285714333E-3</v>
      </c>
      <c r="G23">
        <f t="shared" si="5"/>
        <v>147497.14285714299</v>
      </c>
      <c r="H23">
        <f t="shared" si="6"/>
        <v>147497.14285999999</v>
      </c>
      <c r="I23">
        <f t="shared" si="7"/>
        <v>0.14285999999265186</v>
      </c>
      <c r="J23">
        <f t="shared" si="8"/>
        <v>6.9998600031599878</v>
      </c>
      <c r="K23" s="82">
        <f ca="1">SUMIF(tables_325100!C:C,input_325100!A23,tables_325100!P:P)</f>
        <v>4.916577155364598E-3</v>
      </c>
      <c r="L23" s="58"/>
      <c r="M23" s="58"/>
      <c r="N23" s="60"/>
      <c r="O23" s="58"/>
      <c r="P23" s="58"/>
      <c r="Q23" s="58"/>
      <c r="R23" s="61"/>
    </row>
    <row r="24" spans="1:18" x14ac:dyDescent="0.15">
      <c r="A24" s="34" t="s">
        <v>201</v>
      </c>
      <c r="B24" s="44">
        <f>G$5*COUNTIF(tables_325100!C:C,input_325100!A24)*B5</f>
        <v>0</v>
      </c>
      <c r="C24" s="50">
        <f t="shared" si="2"/>
        <v>0</v>
      </c>
      <c r="D24" s="72">
        <f t="shared" si="3"/>
        <v>0</v>
      </c>
      <c r="E24">
        <f>COUNTIF(tables_325100!C:C,input_325100!A24)-COUNTIF(Q:Q,A24)</f>
        <v>3</v>
      </c>
      <c r="F24" s="45">
        <f t="shared" si="4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K24" s="82">
        <f ca="1">SUMIF(tables_325100!C:C,input_325100!A24,tables_325100!P:P)</f>
        <v>0</v>
      </c>
      <c r="L24" s="58"/>
      <c r="M24" s="58"/>
      <c r="N24" s="60"/>
      <c r="O24" s="58"/>
      <c r="P24" s="58"/>
      <c r="Q24" s="58"/>
      <c r="R24" s="61"/>
    </row>
    <row r="25" spans="1:18" x14ac:dyDescent="0.15">
      <c r="A25" s="34" t="s">
        <v>202</v>
      </c>
      <c r="B25" s="44">
        <f>G$5*COUNTIF(tables_325100!C:C,input_325100!A25)*B6</f>
        <v>1.3680000000000001E-3</v>
      </c>
      <c r="C25" s="50">
        <f t="shared" si="2"/>
        <v>0</v>
      </c>
      <c r="D25" s="72">
        <f t="shared" si="3"/>
        <v>1.3680000000000001E-3</v>
      </c>
      <c r="E25">
        <f>COUNTIF(tables_325100!C:C,input_325100!A25)-COUNTIF(Q:Q,A25)</f>
        <v>3</v>
      </c>
      <c r="F25" s="45">
        <f t="shared" si="4"/>
        <v>4.5600000000000003E-4</v>
      </c>
      <c r="G25">
        <f t="shared" si="5"/>
        <v>41040</v>
      </c>
      <c r="H25">
        <f t="shared" si="6"/>
        <v>13680</v>
      </c>
      <c r="I25">
        <f t="shared" si="7"/>
        <v>0</v>
      </c>
      <c r="J25">
        <f t="shared" si="8"/>
        <v>1</v>
      </c>
      <c r="K25" s="82">
        <f ca="1">SUMIF(tables_325100!C:C,input_325100!A25,tables_325100!P:P)</f>
        <v>1.368002918406226E-3</v>
      </c>
      <c r="L25" s="58"/>
      <c r="M25" s="58"/>
      <c r="N25" s="60"/>
      <c r="O25" s="58"/>
      <c r="P25" s="58"/>
      <c r="Q25" s="58"/>
      <c r="R25" s="61"/>
    </row>
    <row r="26" spans="1:18" x14ac:dyDescent="0.15">
      <c r="A26" s="34" t="s">
        <v>203</v>
      </c>
      <c r="B26" s="44">
        <f>G$5*COUNTIF(tables_325100!C:C,input_325100!A26)*B7</f>
        <v>7.2000000000000002E-5</v>
      </c>
      <c r="C26" s="50">
        <f t="shared" si="2"/>
        <v>0</v>
      </c>
      <c r="D26" s="72">
        <f t="shared" si="3"/>
        <v>7.2000000000000002E-5</v>
      </c>
      <c r="E26">
        <f>COUNTIF(tables_325100!C:C,input_325100!A26)-COUNTIF(Q:Q,A26)</f>
        <v>3</v>
      </c>
      <c r="F26" s="45">
        <f t="shared" si="4"/>
        <v>2.4000000000000001E-5</v>
      </c>
      <c r="G26">
        <f t="shared" si="5"/>
        <v>2160</v>
      </c>
      <c r="H26">
        <f t="shared" si="6"/>
        <v>720</v>
      </c>
      <c r="I26">
        <f t="shared" si="7"/>
        <v>0</v>
      </c>
      <c r="J26">
        <f t="shared" si="8"/>
        <v>1</v>
      </c>
      <c r="K26" s="82">
        <f ca="1">SUMIF(tables_325100!C:C,input_325100!A26,tables_325100!P:P)</f>
        <v>7.2000153600327676E-5</v>
      </c>
      <c r="L26" s="58"/>
      <c r="M26" s="58"/>
      <c r="N26" s="60"/>
      <c r="O26" s="58"/>
      <c r="P26" s="58"/>
      <c r="Q26" s="58"/>
      <c r="R26" s="61"/>
    </row>
    <row r="27" spans="1:18" x14ac:dyDescent="0.15">
      <c r="A27" s="34" t="s">
        <v>111</v>
      </c>
      <c r="B27" s="44">
        <f>G$5*E27*(B6+B5)</f>
        <v>9.1199999999999996E-3</v>
      </c>
      <c r="C27" s="50">
        <f t="shared" si="2"/>
        <v>0</v>
      </c>
      <c r="D27" s="72">
        <f t="shared" si="3"/>
        <v>9.1199999999999996E-3</v>
      </c>
      <c r="E27">
        <f>COUNTIF(tables_325100!C:C,input_325100!A27)-COUNTIF(Q:Q,A27)</f>
        <v>20</v>
      </c>
      <c r="F27" s="45">
        <f t="shared" si="4"/>
        <v>4.5599999999999997E-4</v>
      </c>
      <c r="G27">
        <f t="shared" si="5"/>
        <v>273600</v>
      </c>
      <c r="H27">
        <f t="shared" si="6"/>
        <v>13680</v>
      </c>
      <c r="I27">
        <f t="shared" si="7"/>
        <v>0</v>
      </c>
      <c r="J27">
        <f t="shared" si="8"/>
        <v>1</v>
      </c>
      <c r="K27" s="82">
        <f ca="1">SUMIF(tables_325100!C:C,input_325100!A27,tables_325100!P:P)</f>
        <v>9.1200194560415084E-3</v>
      </c>
      <c r="L27" s="58"/>
      <c r="M27" s="58"/>
      <c r="N27" s="60"/>
      <c r="O27" s="58"/>
      <c r="P27" s="58"/>
      <c r="Q27" s="58"/>
      <c r="R27" s="61"/>
    </row>
    <row r="28" spans="1:18" x14ac:dyDescent="0.15">
      <c r="A28" s="34" t="s">
        <v>112</v>
      </c>
      <c r="B28" s="44">
        <f>G$5*B7*E28</f>
        <v>4.8000000000000001E-4</v>
      </c>
      <c r="C28" s="50">
        <f t="shared" si="2"/>
        <v>0</v>
      </c>
      <c r="D28" s="72">
        <f t="shared" si="3"/>
        <v>4.8000000000000001E-4</v>
      </c>
      <c r="E28">
        <f>COUNTIF(tables_325100!C:C,input_325100!A28)-COUNTIF(Q:Q,A28)</f>
        <v>20</v>
      </c>
      <c r="F28" s="45">
        <f>IFERROR(D28/E28,0)</f>
        <v>2.4000000000000001E-5</v>
      </c>
      <c r="G28">
        <f t="shared" si="5"/>
        <v>14400</v>
      </c>
      <c r="H28">
        <f t="shared" si="6"/>
        <v>720</v>
      </c>
      <c r="I28">
        <f t="shared" si="7"/>
        <v>0</v>
      </c>
      <c r="J28">
        <f t="shared" si="8"/>
        <v>1</v>
      </c>
      <c r="K28" s="82">
        <f ca="1">SUMIF(tables_325100!C:C,input_325100!A28,tables_325100!P:P)</f>
        <v>4.8000102400218465E-4</v>
      </c>
      <c r="L28" s="58"/>
      <c r="M28" s="58"/>
      <c r="N28" s="60"/>
      <c r="O28" s="58"/>
      <c r="P28" s="58"/>
      <c r="Q28" s="58"/>
      <c r="R28" s="61"/>
    </row>
    <row r="29" spans="1:18" x14ac:dyDescent="0.15">
      <c r="A29" s="34" t="s">
        <v>207</v>
      </c>
      <c r="B29" s="44">
        <f>G5*COUNTIF(tables_325100!C:C,input_325100!A29)</f>
        <v>9.6000000000000002E-4</v>
      </c>
      <c r="C29" s="50">
        <f t="shared" si="2"/>
        <v>0</v>
      </c>
      <c r="D29" s="72">
        <f t="shared" si="3"/>
        <v>9.6000000000000002E-4</v>
      </c>
      <c r="E29">
        <f>COUNTIF(tables_325100!C:C,input_325100!A29)-COUNTIF(Q:Q,A29)</f>
        <v>2</v>
      </c>
      <c r="F29" s="45">
        <f t="shared" si="4"/>
        <v>4.8000000000000001E-4</v>
      </c>
      <c r="G29">
        <f t="shared" si="5"/>
        <v>28800</v>
      </c>
      <c r="H29">
        <f t="shared" si="6"/>
        <v>14400</v>
      </c>
      <c r="I29">
        <f t="shared" si="7"/>
        <v>0</v>
      </c>
      <c r="J29">
        <f t="shared" si="8"/>
        <v>1</v>
      </c>
      <c r="K29" s="82">
        <f ca="1">SUMIF(tables_325100!C:C,input_325100!A29,tables_325100!P:P)</f>
        <v>9.6000204800436909E-4</v>
      </c>
      <c r="L29" s="58"/>
      <c r="M29" s="58"/>
      <c r="N29" s="60"/>
      <c r="O29" s="58"/>
      <c r="P29" s="58"/>
      <c r="Q29" s="58"/>
      <c r="R29" s="61"/>
    </row>
    <row r="30" spans="1:18" x14ac:dyDescent="0.15">
      <c r="A30" s="34" t="s">
        <v>217</v>
      </c>
      <c r="B30" s="77">
        <f>B5*0.6-B32-B37</f>
        <v>0</v>
      </c>
      <c r="C30" s="50">
        <f t="shared" si="2"/>
        <v>0</v>
      </c>
      <c r="D30" s="72">
        <f t="shared" si="3"/>
        <v>0</v>
      </c>
      <c r="E30">
        <f>COUNTIF(tables_325100!C:C,input_325100!A30)-COUNTIF(Q:Q,A30)</f>
        <v>5</v>
      </c>
      <c r="F30" s="45">
        <f t="shared" si="4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K30" s="82">
        <f ca="1">SUMIF(tables_325100!C:C,input_325100!A30,tables_325100!P:P)</f>
        <v>0</v>
      </c>
      <c r="L30" s="58"/>
      <c r="M30" s="58"/>
      <c r="N30" s="58"/>
      <c r="O30" s="58"/>
      <c r="P30" s="58"/>
      <c r="Q30" s="58"/>
      <c r="R30" s="71"/>
    </row>
    <row r="31" spans="1:18" x14ac:dyDescent="0.15">
      <c r="A31" s="34" t="s">
        <v>218</v>
      </c>
      <c r="B31" s="74">
        <f>G8*COUNTIF(tables_325100!C:C,input_325100!A31)-B30</f>
        <v>0.15833333333333333</v>
      </c>
      <c r="C31" s="50">
        <f t="shared" si="2"/>
        <v>0</v>
      </c>
      <c r="D31" s="72">
        <f t="shared" si="3"/>
        <v>0.15833333333333333</v>
      </c>
      <c r="E31">
        <f>COUNTIF(tables_325100!C:C,input_325100!A31)-COUNTIF(Q:Q,A31)</f>
        <v>5</v>
      </c>
      <c r="F31" s="45">
        <f t="shared" si="4"/>
        <v>3.1666666666666662E-2</v>
      </c>
      <c r="G31">
        <f t="shared" si="5"/>
        <v>4750000</v>
      </c>
      <c r="H31">
        <f t="shared" si="6"/>
        <v>950000</v>
      </c>
      <c r="I31">
        <f t="shared" si="7"/>
        <v>0</v>
      </c>
      <c r="J31">
        <f t="shared" si="8"/>
        <v>1</v>
      </c>
      <c r="K31" s="82">
        <f ca="1">SUMIF(tables_325100!C:C,input_325100!A31,tables_325100!P:P)</f>
        <v>0.15833367111183172</v>
      </c>
      <c r="L31" s="58"/>
      <c r="M31" s="58"/>
      <c r="N31" s="58"/>
      <c r="O31" s="58"/>
      <c r="P31" s="58"/>
      <c r="Q31" s="58"/>
      <c r="R31" s="71"/>
    </row>
    <row r="32" spans="1:18" x14ac:dyDescent="0.15">
      <c r="A32" s="34" t="s">
        <v>219</v>
      </c>
      <c r="B32" s="74">
        <f>G$8*COUNTIF(tables_325100!C:C,input_325100!A32)*B5</f>
        <v>0</v>
      </c>
      <c r="C32" s="50">
        <f t="shared" si="2"/>
        <v>0</v>
      </c>
      <c r="D32" s="72">
        <f t="shared" si="3"/>
        <v>0</v>
      </c>
      <c r="E32">
        <f>COUNTIF(tables_325100!C:C,input_325100!A32)-COUNTIF(Q:Q,A32)</f>
        <v>12</v>
      </c>
      <c r="F32" s="45">
        <f t="shared" si="4"/>
        <v>0</v>
      </c>
      <c r="G32">
        <f t="shared" si="5"/>
        <v>0</v>
      </c>
      <c r="H32">
        <f t="shared" si="6"/>
        <v>0</v>
      </c>
      <c r="I32">
        <f t="shared" si="7"/>
        <v>0</v>
      </c>
      <c r="J32">
        <f t="shared" si="8"/>
        <v>1</v>
      </c>
      <c r="K32" s="82">
        <f ca="1">SUMIF(tables_325100!C:C,input_325100!A32,tables_325100!P:P)</f>
        <v>0</v>
      </c>
      <c r="L32" s="58"/>
      <c r="M32" s="58"/>
      <c r="N32" s="60"/>
      <c r="O32" s="58"/>
      <c r="P32" s="58"/>
      <c r="Q32" s="58"/>
      <c r="R32" s="61"/>
    </row>
    <row r="33" spans="1:18" x14ac:dyDescent="0.15">
      <c r="A33" s="34" t="s">
        <v>220</v>
      </c>
      <c r="B33" s="74">
        <f>G$8*COUNTIF(tables_325100!C:C,input_325100!A33)*B6</f>
        <v>0.36099999999999993</v>
      </c>
      <c r="C33" s="50">
        <f t="shared" si="2"/>
        <v>0</v>
      </c>
      <c r="D33" s="72">
        <f t="shared" si="3"/>
        <v>0.36099999999999993</v>
      </c>
      <c r="E33">
        <f>COUNTIF(tables_325100!C:C,input_325100!A33)-COUNTIF(Q:Q,A33)</f>
        <v>12</v>
      </c>
      <c r="F33" s="45">
        <f t="shared" si="4"/>
        <v>3.0083333333333327E-2</v>
      </c>
      <c r="G33">
        <f t="shared" si="5"/>
        <v>10829999.999999998</v>
      </c>
      <c r="H33">
        <f t="shared" si="6"/>
        <v>902500</v>
      </c>
      <c r="I33">
        <f t="shared" si="7"/>
        <v>0</v>
      </c>
      <c r="J33">
        <f t="shared" si="8"/>
        <v>1</v>
      </c>
      <c r="K33" s="82">
        <f ca="1">SUMIF(tables_325100!C:C,input_325100!A33,tables_325100!P:P)</f>
        <v>0.36100077013497622</v>
      </c>
      <c r="L33" s="58"/>
      <c r="M33" s="58"/>
      <c r="N33" s="60"/>
      <c r="O33" s="58"/>
      <c r="P33" s="58"/>
      <c r="Q33" s="58"/>
      <c r="R33" s="61"/>
    </row>
    <row r="34" spans="1:18" x14ac:dyDescent="0.15">
      <c r="A34" s="34" t="s">
        <v>221</v>
      </c>
      <c r="B34" s="74">
        <f>G$8*COUNTIF(tables_325100!C:C,input_325100!A34)*B7</f>
        <v>1.9E-2</v>
      </c>
      <c r="C34" s="50">
        <f t="shared" si="2"/>
        <v>0</v>
      </c>
      <c r="D34" s="72">
        <f t="shared" si="3"/>
        <v>1.9E-2</v>
      </c>
      <c r="E34">
        <f>COUNTIF(tables_325100!C:C,input_325100!A34)-COUNTIF(Q:Q,A34)</f>
        <v>12</v>
      </c>
      <c r="F34" s="45">
        <f t="shared" si="4"/>
        <v>1.5833333333333333E-3</v>
      </c>
      <c r="G34">
        <f t="shared" si="5"/>
        <v>570000</v>
      </c>
      <c r="H34">
        <f t="shared" si="6"/>
        <v>47500</v>
      </c>
      <c r="I34">
        <f t="shared" si="7"/>
        <v>0</v>
      </c>
      <c r="J34">
        <f t="shared" si="8"/>
        <v>1</v>
      </c>
      <c r="K34" s="82">
        <f ca="1">SUMIF(tables_325100!C:C,input_325100!A34,tables_325100!P:P)</f>
        <v>1.9000040533419804E-2</v>
      </c>
      <c r="L34" s="58"/>
      <c r="M34" s="58"/>
      <c r="N34" s="60"/>
      <c r="O34" s="58"/>
      <c r="P34" s="58"/>
      <c r="Q34" s="58"/>
      <c r="R34" s="61"/>
    </row>
    <row r="35" spans="1:18" x14ac:dyDescent="0.15">
      <c r="A35" s="34" t="s">
        <v>222</v>
      </c>
      <c r="B35" s="79">
        <f>G8*E35-B36</f>
        <v>2.1566666666666661E-2</v>
      </c>
      <c r="C35" s="50">
        <f t="shared" si="2"/>
        <v>0</v>
      </c>
      <c r="D35" s="72">
        <f t="shared" si="3"/>
        <v>2.1566666666666661E-2</v>
      </c>
      <c r="E35">
        <f>COUNTIF(tables_325100!C:C,input_325100!A35)-COUNTIF(Q:Q,A35)</f>
        <v>1</v>
      </c>
      <c r="F35" s="45">
        <f t="shared" si="4"/>
        <v>2.1566666666666661E-2</v>
      </c>
      <c r="G35">
        <f t="shared" si="5"/>
        <v>646999.99999999988</v>
      </c>
      <c r="H35">
        <f t="shared" si="6"/>
        <v>647000</v>
      </c>
      <c r="I35">
        <f t="shared" si="7"/>
        <v>0</v>
      </c>
      <c r="J35">
        <f t="shared" si="8"/>
        <v>1</v>
      </c>
      <c r="K35" s="82">
        <f ca="1">SUMIF(tables_325100!C:C,input_325100!A35,tables_325100!P:P)</f>
        <v>2.1566712675653708E-2</v>
      </c>
      <c r="L35" s="58"/>
      <c r="M35" s="58"/>
      <c r="N35" s="60"/>
      <c r="O35" s="58"/>
      <c r="P35" s="58"/>
      <c r="Q35" s="58"/>
      <c r="R35" s="61"/>
    </row>
    <row r="36" spans="1:18" x14ac:dyDescent="0.15">
      <c r="A36" s="34" t="s">
        <v>223</v>
      </c>
      <c r="B36" s="80">
        <f>B7*0.6-B39-B41-B42-B34</f>
        <v>1.0100000000000001E-2</v>
      </c>
      <c r="C36" s="50">
        <f t="shared" si="2"/>
        <v>0</v>
      </c>
      <c r="D36" s="72">
        <f t="shared" si="3"/>
        <v>1.0100000000000001E-2</v>
      </c>
      <c r="E36">
        <f>COUNTIF(tables_325100!C:C,input_325100!A36)-COUNTIF(Q:Q,A36)</f>
        <v>1</v>
      </c>
      <c r="F36" s="45">
        <f t="shared" si="4"/>
        <v>1.0100000000000001E-2</v>
      </c>
      <c r="G36">
        <f t="shared" si="5"/>
        <v>303000.00000000006</v>
      </c>
      <c r="H36">
        <f t="shared" si="6"/>
        <v>303000</v>
      </c>
      <c r="I36">
        <f t="shared" si="7"/>
        <v>0</v>
      </c>
      <c r="J36">
        <f t="shared" si="8"/>
        <v>1</v>
      </c>
      <c r="K36" s="82">
        <f ca="1">SUMIF(tables_325100!C:C,input_325100!A36,tables_325100!P:P)</f>
        <v>1.0100021546712632E-2</v>
      </c>
      <c r="L36" s="58"/>
      <c r="M36" s="58"/>
      <c r="N36" s="60"/>
      <c r="O36" s="58"/>
      <c r="P36" s="58"/>
      <c r="Q36" s="58"/>
      <c r="R36" s="61"/>
    </row>
    <row r="37" spans="1:18" x14ac:dyDescent="0.15">
      <c r="A37" s="34" t="s">
        <v>224</v>
      </c>
      <c r="B37" s="44">
        <f>G$6*COUNTIF(tables_325100!C:C,input_325100!A37)*B5</f>
        <v>0</v>
      </c>
      <c r="C37" s="50">
        <f t="shared" si="2"/>
        <v>0</v>
      </c>
      <c r="D37" s="72">
        <f t="shared" si="3"/>
        <v>0</v>
      </c>
      <c r="E37">
        <f>COUNTIF(tables_325100!C:C,input_325100!A37)-COUNTIF(Q:Q,A37)</f>
        <v>1</v>
      </c>
      <c r="F37" s="45">
        <f t="shared" si="4"/>
        <v>0</v>
      </c>
      <c r="G37">
        <f t="shared" si="5"/>
        <v>0</v>
      </c>
      <c r="H37">
        <f t="shared" si="6"/>
        <v>0</v>
      </c>
      <c r="I37">
        <f t="shared" si="7"/>
        <v>0</v>
      </c>
      <c r="J37">
        <f t="shared" si="8"/>
        <v>1</v>
      </c>
      <c r="K37" s="82">
        <f ca="1">SUMIF(tables_325100!C:C,input_325100!A37,tables_325100!P:P)</f>
        <v>0</v>
      </c>
      <c r="L37" s="58"/>
      <c r="M37" s="58"/>
      <c r="N37" s="60"/>
      <c r="O37" s="58"/>
      <c r="P37" s="58"/>
      <c r="Q37" s="58"/>
      <c r="R37" s="61"/>
    </row>
    <row r="38" spans="1:18" x14ac:dyDescent="0.15">
      <c r="A38" s="34" t="s">
        <v>225</v>
      </c>
      <c r="B38" s="44">
        <f>G$6*COUNTIF(tables_325100!C:C,input_325100!A38)*B6</f>
        <v>1.9E-3</v>
      </c>
      <c r="C38" s="50">
        <f t="shared" si="2"/>
        <v>0</v>
      </c>
      <c r="D38" s="72">
        <f t="shared" si="3"/>
        <v>1.9E-3</v>
      </c>
      <c r="E38">
        <f>COUNTIF(tables_325100!C:C,input_325100!A38)-COUNTIF(Q:Q,A38)</f>
        <v>1</v>
      </c>
      <c r="F38" s="45">
        <f t="shared" si="4"/>
        <v>1.9E-3</v>
      </c>
      <c r="G38">
        <f t="shared" si="5"/>
        <v>57000</v>
      </c>
      <c r="H38">
        <f t="shared" si="6"/>
        <v>57000</v>
      </c>
      <c r="I38">
        <f t="shared" si="7"/>
        <v>0</v>
      </c>
      <c r="J38">
        <f t="shared" si="8"/>
        <v>1</v>
      </c>
      <c r="K38" s="82">
        <f ca="1">SUMIF(tables_325100!C:C,input_325100!A38,tables_325100!P:P)</f>
        <v>1.9000040533419804E-3</v>
      </c>
      <c r="L38" s="58"/>
      <c r="M38" s="58"/>
      <c r="N38" s="60"/>
      <c r="O38" s="58"/>
      <c r="P38" s="58"/>
      <c r="Q38" s="58"/>
      <c r="R38" s="61"/>
    </row>
    <row r="39" spans="1:18" x14ac:dyDescent="0.15">
      <c r="A39" s="34" t="s">
        <v>226</v>
      </c>
      <c r="B39" s="44">
        <f>G$6*COUNTIF(tables_325100!C:C,input_325100!A39)*B7</f>
        <v>1E-4</v>
      </c>
      <c r="C39" s="50">
        <f t="shared" si="2"/>
        <v>0</v>
      </c>
      <c r="D39" s="72">
        <f t="shared" si="3"/>
        <v>1E-4</v>
      </c>
      <c r="E39">
        <f>COUNTIF(tables_325100!C:C,input_325100!A39)-COUNTIF(Q:Q,A39)</f>
        <v>1</v>
      </c>
      <c r="F39" s="45">
        <f t="shared" si="4"/>
        <v>1E-4</v>
      </c>
      <c r="G39">
        <f t="shared" si="5"/>
        <v>3000</v>
      </c>
      <c r="H39">
        <f t="shared" si="6"/>
        <v>3000</v>
      </c>
      <c r="I39">
        <f t="shared" si="7"/>
        <v>0</v>
      </c>
      <c r="J39">
        <f t="shared" si="8"/>
        <v>1</v>
      </c>
      <c r="K39" s="82">
        <f ca="1">SUMIF(tables_325100!C:C,input_325100!A39,tables_325100!P:P)</f>
        <v>1.0000021333378845E-4</v>
      </c>
      <c r="L39" s="58"/>
      <c r="M39" s="58"/>
      <c r="N39" s="60"/>
      <c r="O39" s="58"/>
      <c r="P39" s="58"/>
      <c r="Q39" s="58"/>
      <c r="R39" s="61"/>
    </row>
    <row r="40" spans="1:18" x14ac:dyDescent="0.15">
      <c r="A40" s="34" t="s">
        <v>227</v>
      </c>
      <c r="B40" s="44">
        <f>G$6*COUNTIF(tables_325100!C:C,input_325100!A40)*(B6+B5)</f>
        <v>1.52E-2</v>
      </c>
      <c r="C40" s="50">
        <f t="shared" si="2"/>
        <v>0</v>
      </c>
      <c r="D40" s="72">
        <f t="shared" si="3"/>
        <v>1.52E-2</v>
      </c>
      <c r="E40">
        <f>COUNTIF(tables_325100!C:C,input_325100!A40)-COUNTIF(Q:Q,A40)</f>
        <v>8</v>
      </c>
      <c r="F40" s="45">
        <f t="shared" si="4"/>
        <v>1.9E-3</v>
      </c>
      <c r="G40">
        <f t="shared" si="5"/>
        <v>456000</v>
      </c>
      <c r="H40">
        <f t="shared" si="6"/>
        <v>57000</v>
      </c>
      <c r="I40">
        <f t="shared" si="7"/>
        <v>0</v>
      </c>
      <c r="J40">
        <f t="shared" si="8"/>
        <v>1</v>
      </c>
      <c r="K40" s="82">
        <f ca="1">SUMIF(tables_325100!C:C,input_325100!A40,tables_325100!P:P)</f>
        <v>1.5200032426735843E-2</v>
      </c>
      <c r="L40" s="58"/>
      <c r="M40" s="58"/>
      <c r="N40" s="60"/>
      <c r="O40" s="58"/>
      <c r="P40" s="58"/>
      <c r="Q40" s="58"/>
      <c r="R40" s="61"/>
    </row>
    <row r="41" spans="1:18" x14ac:dyDescent="0.15">
      <c r="A41" s="34" t="s">
        <v>228</v>
      </c>
      <c r="B41" s="44">
        <f>G$6*COUNTIF(tables_325100!C:C,input_325100!A41)*B7</f>
        <v>8.0000000000000004E-4</v>
      </c>
      <c r="C41" s="50">
        <f t="shared" si="2"/>
        <v>0</v>
      </c>
      <c r="D41" s="72">
        <f t="shared" si="3"/>
        <v>8.0000000000000004E-4</v>
      </c>
      <c r="E41">
        <f>COUNTIF(tables_325100!C:C,input_325100!A41)-COUNTIF(Q:Q,A41)</f>
        <v>8</v>
      </c>
      <c r="F41" s="45">
        <f>IFERROR(D41/E41,0)</f>
        <v>1E-4</v>
      </c>
      <c r="G41">
        <f t="shared" si="5"/>
        <v>24000</v>
      </c>
      <c r="H41">
        <f t="shared" si="6"/>
        <v>3000</v>
      </c>
      <c r="I41">
        <f t="shared" si="7"/>
        <v>0</v>
      </c>
      <c r="J41">
        <f t="shared" si="8"/>
        <v>1</v>
      </c>
      <c r="K41" s="82">
        <f ca="1">SUMIF(tables_325100!C:C,input_325100!A41,tables_325100!P:P)</f>
        <v>8.0000170667030739E-4</v>
      </c>
      <c r="L41" s="58"/>
      <c r="M41" s="58"/>
      <c r="N41" s="60"/>
      <c r="O41" s="58"/>
      <c r="P41" s="58"/>
      <c r="Q41" s="58"/>
      <c r="R41" s="61"/>
    </row>
    <row r="42" spans="1:18" x14ac:dyDescent="0.15">
      <c r="A42" s="34" t="s">
        <v>229</v>
      </c>
      <c r="B42" s="44">
        <f>G6*COUNTIF(tables_325100!C:C,input_325100!A42)</f>
        <v>0</v>
      </c>
      <c r="C42" s="50">
        <f t="shared" si="2"/>
        <v>0</v>
      </c>
      <c r="D42" s="72">
        <f t="shared" si="3"/>
        <v>0</v>
      </c>
      <c r="E42">
        <f>COUNTIF(tables_325100!C:C,input_325100!A42)-COUNTIF(Q:Q,A42)</f>
        <v>0</v>
      </c>
      <c r="F42" s="45">
        <f t="shared" ref="F42:F44" si="9">IFERROR(D42/E42,0)</f>
        <v>0</v>
      </c>
      <c r="G42">
        <f t="shared" si="5"/>
        <v>0</v>
      </c>
      <c r="H42">
        <f t="shared" si="6"/>
        <v>0</v>
      </c>
      <c r="I42">
        <f t="shared" si="7"/>
        <v>0</v>
      </c>
      <c r="J42">
        <f t="shared" si="8"/>
        <v>1</v>
      </c>
      <c r="K42" s="82">
        <f>SUMIF(tables_325100!C:C,input_325100!A42,tables_325100!P:P)</f>
        <v>0</v>
      </c>
      <c r="L42" s="58"/>
      <c r="M42" s="58"/>
      <c r="N42" s="60"/>
      <c r="O42" s="58"/>
      <c r="P42" s="58"/>
      <c r="Q42" s="58"/>
      <c r="R42" s="61"/>
    </row>
    <row r="43" spans="1:18" x14ac:dyDescent="0.15">
      <c r="A43" s="34" t="s">
        <v>115</v>
      </c>
      <c r="B43" s="57">
        <v>0</v>
      </c>
      <c r="C43" s="50">
        <f t="shared" si="2"/>
        <v>0</v>
      </c>
      <c r="D43" s="72">
        <f t="shared" si="3"/>
        <v>0</v>
      </c>
      <c r="E43">
        <f>COUNTIF(tables_325100!C:C,input_325100!A43)-COUNTIF(Q:Q,A43)</f>
        <v>0</v>
      </c>
      <c r="F43" s="45">
        <f t="shared" si="9"/>
        <v>0</v>
      </c>
      <c r="G43">
        <f t="shared" si="5"/>
        <v>0</v>
      </c>
      <c r="H43">
        <f t="shared" si="6"/>
        <v>0</v>
      </c>
      <c r="I43">
        <f t="shared" si="7"/>
        <v>0</v>
      </c>
      <c r="J43">
        <f t="shared" si="8"/>
        <v>1</v>
      </c>
      <c r="K43" s="82">
        <f>SUMIF(tables_325100!C:C,input_325100!A43,tables_325100!P:P)</f>
        <v>0</v>
      </c>
      <c r="L43" s="58"/>
      <c r="M43" s="58"/>
      <c r="N43" s="60"/>
      <c r="O43" s="58"/>
      <c r="P43" s="58"/>
      <c r="Q43" s="58"/>
      <c r="R43" s="61"/>
    </row>
    <row r="44" spans="1:18" x14ac:dyDescent="0.15">
      <c r="A44" s="34" t="s">
        <v>113</v>
      </c>
      <c r="B44" s="57">
        <f>B12</f>
        <v>0.02</v>
      </c>
      <c r="C44" s="50">
        <f t="shared" si="2"/>
        <v>0</v>
      </c>
      <c r="D44" s="72">
        <f t="shared" si="3"/>
        <v>0.02</v>
      </c>
      <c r="E44">
        <f>COUNTIF(tables_325100!C:C,input_325100!A44)-COUNTIF(Q:Q,A44)</f>
        <v>1</v>
      </c>
      <c r="F44" s="45">
        <f t="shared" si="9"/>
        <v>0.02</v>
      </c>
      <c r="G44">
        <f t="shared" si="5"/>
        <v>600000</v>
      </c>
      <c r="H44">
        <f t="shared" si="6"/>
        <v>600000</v>
      </c>
      <c r="I44">
        <f t="shared" si="7"/>
        <v>0</v>
      </c>
      <c r="J44">
        <f t="shared" si="8"/>
        <v>1</v>
      </c>
      <c r="K44" s="82">
        <f ca="1">SUMIF(tables_325100!C:C,input_325100!A44,tables_325100!P:P)</f>
        <v>2.000004266675769E-2</v>
      </c>
      <c r="L44" s="58"/>
      <c r="M44" s="58"/>
      <c r="N44" s="60"/>
      <c r="O44" s="58"/>
      <c r="P44" s="58"/>
      <c r="Q44" s="58"/>
      <c r="R44" s="61"/>
    </row>
    <row r="45" spans="1:18" x14ac:dyDescent="0.15">
      <c r="A45" s="41" t="s">
        <v>62</v>
      </c>
      <c r="B45" s="42">
        <f>SUM(B17:B44)</f>
        <v>1</v>
      </c>
      <c r="C45" s="43">
        <f>SUM(C19:C44)</f>
        <v>0</v>
      </c>
      <c r="D45" s="44">
        <f t="shared" si="3"/>
        <v>1</v>
      </c>
      <c r="L45" s="58"/>
      <c r="M45" s="58"/>
      <c r="N45" s="58"/>
      <c r="O45" s="58"/>
      <c r="P45" s="58"/>
      <c r="Q45" s="58"/>
      <c r="R45" s="61"/>
    </row>
    <row r="48" spans="1:18" x14ac:dyDescent="0.15">
      <c r="A48" t="s">
        <v>234</v>
      </c>
      <c r="H48" t="s">
        <v>235</v>
      </c>
    </row>
    <row r="49" spans="1:8" x14ac:dyDescent="0.15">
      <c r="A49" s="31">
        <f>1000000*15*2</f>
        <v>30000000</v>
      </c>
      <c r="H49" s="81">
        <f>MAX(H17:H44)</f>
        <v>950000</v>
      </c>
    </row>
    <row r="51" spans="1:8" x14ac:dyDescent="0.15">
      <c r="A51" s="49" t="s">
        <v>80</v>
      </c>
    </row>
    <row r="52" spans="1:8" x14ac:dyDescent="0.15">
      <c r="A52" s="34" t="s">
        <v>63</v>
      </c>
      <c r="B52" t="s">
        <v>77</v>
      </c>
      <c r="C52" t="s">
        <v>104</v>
      </c>
      <c r="E52" t="s">
        <v>105</v>
      </c>
      <c r="F52" t="s">
        <v>2</v>
      </c>
      <c r="G52" t="s">
        <v>66</v>
      </c>
    </row>
    <row r="53" spans="1:8" x14ac:dyDescent="0.15">
      <c r="A53" s="34" t="s">
        <v>108</v>
      </c>
      <c r="B53">
        <f ca="1">SUMIF(tables_325100!C:C,input_325100!A53,tables_325100!O:O)</f>
        <v>0</v>
      </c>
      <c r="C53" s="55">
        <f t="shared" ref="C53:C59" ca="1" si="10">B53/B$60</f>
        <v>0</v>
      </c>
      <c r="E53">
        <v>3</v>
      </c>
      <c r="F53">
        <f ca="1">SUMIF(tables_325100!J:J,input_325100!E53,tables_325100!O:O)</f>
        <v>0</v>
      </c>
      <c r="G53">
        <f ca="1">F53/A49</f>
        <v>0</v>
      </c>
    </row>
    <row r="54" spans="1:8" x14ac:dyDescent="0.15">
      <c r="A54" s="34" t="s">
        <v>109</v>
      </c>
      <c r="B54">
        <f ca="1">SUMIF(tables_325100!C:C,input_325100!A54,tables_325100!O:O)</f>
        <v>7735680</v>
      </c>
      <c r="C54" s="55">
        <f t="shared" ca="1" si="10"/>
        <v>0.85658856358240687</v>
      </c>
      <c r="E54">
        <v>4</v>
      </c>
      <c r="F54">
        <f ca="1">SUMIF(tables_325100!J:J,input_325100!E54,tables_325100!O:O)</f>
        <v>27899959</v>
      </c>
      <c r="G54">
        <f ca="1">F54/A49</f>
        <v>0.92999863333333332</v>
      </c>
    </row>
    <row r="55" spans="1:8" x14ac:dyDescent="0.15">
      <c r="A55" s="34" t="s">
        <v>111</v>
      </c>
      <c r="B55">
        <f ca="1">SUMIF(tables_325100!C:C,input_325100!A55,tables_325100!O:O)</f>
        <v>273600</v>
      </c>
      <c r="C55" s="55">
        <f t="shared" ca="1" si="10"/>
        <v>3.0296319262966737E-2</v>
      </c>
      <c r="E55">
        <v>5</v>
      </c>
      <c r="F55">
        <f ca="1">SUMIF(tables_325100!J:J,input_325100!E55,tables_325100!O:O)</f>
        <v>2099977</v>
      </c>
      <c r="G55">
        <f ca="1">F55/A49</f>
        <v>6.9999233333333327E-2</v>
      </c>
    </row>
    <row r="56" spans="1:8" x14ac:dyDescent="0.15">
      <c r="A56" s="34" t="s">
        <v>115</v>
      </c>
      <c r="B56">
        <f>SUMIF(tables_325100!C:C,input_325100!A56,tables_325100!O:O)</f>
        <v>0</v>
      </c>
      <c r="C56" s="55">
        <f t="shared" ca="1" si="10"/>
        <v>0</v>
      </c>
      <c r="F56" s="56"/>
    </row>
    <row r="57" spans="1:8" x14ac:dyDescent="0.15">
      <c r="A57" s="34" t="s">
        <v>110</v>
      </c>
      <c r="B57">
        <f ca="1">SUMIF(tables_325100!C:C,input_325100!A57,tables_325100!O:O)</f>
        <v>407120</v>
      </c>
      <c r="C57" s="55">
        <f t="shared" ca="1" si="10"/>
        <v>4.508127740620986E-2</v>
      </c>
      <c r="E57" t="s">
        <v>56</v>
      </c>
      <c r="F57" s="56"/>
    </row>
    <row r="58" spans="1:8" x14ac:dyDescent="0.15">
      <c r="A58" s="34" t="s">
        <v>112</v>
      </c>
      <c r="B58">
        <f ca="1">SUMIF(tables_325100!C:C,input_325100!A58,tables_325100!O:O)</f>
        <v>14400</v>
      </c>
      <c r="C58" s="55">
        <f t="shared" ca="1" si="10"/>
        <v>1.5945431191035123E-3</v>
      </c>
      <c r="E58" t="s">
        <v>210</v>
      </c>
      <c r="F58" s="56">
        <f ca="1">SUMIF(tables_325100!I:I,input_325100!E58,tables_325100!P:P)</f>
        <v>0.26011938825469499</v>
      </c>
    </row>
    <row r="59" spans="1:8" x14ac:dyDescent="0.15">
      <c r="A59" s="34" t="s">
        <v>113</v>
      </c>
      <c r="B59">
        <f ca="1">SUMIF(tables_325100!C:C,input_325100!A59,tables_325100!O:O)</f>
        <v>600000</v>
      </c>
      <c r="C59" s="55">
        <f t="shared" ca="1" si="10"/>
        <v>6.6439296629313013E-2</v>
      </c>
      <c r="E59" t="s">
        <v>211</v>
      </c>
      <c r="F59" s="56">
        <f ca="1">SUMIF(tables_325100!I:I,input_325100!E59,tables_325100!P:P)</f>
        <v>0.21784079806036921</v>
      </c>
    </row>
    <row r="60" spans="1:8" x14ac:dyDescent="0.15">
      <c r="A60" s="41" t="s">
        <v>62</v>
      </c>
      <c r="B60">
        <f ca="1">SUM(B53:B59)</f>
        <v>9030800</v>
      </c>
      <c r="C60" s="56">
        <f ca="1">SUM(C53:C59)</f>
        <v>1</v>
      </c>
      <c r="E60" t="s">
        <v>212</v>
      </c>
      <c r="F60" s="56">
        <f ca="1">SUMIF(tables_325100!I:I,input_325100!E60,tables_325100!P:P)</f>
        <v>0.47547971435672387</v>
      </c>
    </row>
    <row r="61" spans="1:8" x14ac:dyDescent="0.15">
      <c r="E61" t="s">
        <v>213</v>
      </c>
      <c r="F61" s="56">
        <f ca="1">SUMIF(tables_325100!I:I,input_325100!E61,tables_325100!P:P)</f>
        <v>2.6560056661454223E-2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72"/>
  <sheetViews>
    <sheetView showGridLines="0" zoomScale="75" zoomScaleNormal="75" zoomScalePageLayoutView="75" workbookViewId="0">
      <pane ySplit="1" topLeftCell="A250" activePane="bottomLeft" state="frozen"/>
      <selection activeCell="B13" sqref="B13"/>
      <selection pane="bottomLeft" activeCell="B13" sqref="B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99</v>
      </c>
      <c r="E1" s="3" t="s">
        <v>196</v>
      </c>
      <c r="F1" s="3" t="s">
        <v>197</v>
      </c>
      <c r="G1" s="3" t="s">
        <v>107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input_325100!A$2</f>
        <v>325100</v>
      </c>
      <c r="B2" s="6">
        <v>126</v>
      </c>
      <c r="C2" s="7" t="str">
        <f t="shared" ref="C2:C65" si="0">D2&amp;J2&amp;E2&amp;F2&amp;G2</f>
        <v>PremiumW3color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IFERROR(VLOOKUP(B2,input_325100!L:R,7,FALSE),ROUNDDOWN(VLOOKUP(tables_325100!C2,input_325100!A:H,8,FALSE),0))</f>
        <v>0</v>
      </c>
      <c r="P2" s="48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input_325100!A$2</f>
        <v>325100</v>
      </c>
      <c r="B3" s="6">
        <v>127</v>
      </c>
      <c r="C3" s="7" t="str">
        <f t="shared" si="0"/>
        <v>PremiumW4color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IFERROR(VLOOKUP(B3,input_325100!L:R,7,FALSE),ROUNDDOWN(VLOOKUP(tables_325100!C3,input_325100!A:H,8,FALSE),0))</f>
        <v>950000</v>
      </c>
      <c r="P3" s="48">
        <f ca="1">O3/SUM(O:O)</f>
        <v>3.1666734222366343E-2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input_325100!A$2</f>
        <v>325100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IFERROR(VLOOKUP(B4,input_325100!L:R,7,FALSE),ROUNDDOWN(VLOOKUP(tables_325100!C4,input_325100!A:H,8,FALSE),0))</f>
        <v>0</v>
      </c>
      <c r="P4" s="48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input_325100!A$2</f>
        <v>325100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IFERROR(VLOOKUP(B5,input_325100!L:R,7,FALSE),ROUNDDOWN(VLOOKUP(tables_325100!C5,input_325100!A:H,8,FALSE),0))</f>
        <v>203571</v>
      </c>
      <c r="P5" s="48">
        <f ca="1">O5/SUM(O:O)</f>
        <v>6.7857144761908827E-3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input_325100!A$2</f>
        <v>325100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IFERROR(VLOOKUP(B6,input_325100!L:R,7,FALSE),ROUNDDOWN(VLOOKUP(tables_325100!C6,input_325100!A:H,8,FALSE),0))</f>
        <v>0</v>
      </c>
      <c r="P6" s="48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input_325100!A$2</f>
        <v>325100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IFERROR(VLOOKUP(B7,input_325100!L:R,7,FALSE),ROUNDDOWN(VLOOKUP(tables_325100!C7,input_325100!A:H,8,FALSE),0))</f>
        <v>203571</v>
      </c>
      <c r="P7" s="48">
        <f ca="1">O7/SUM(O:O)</f>
        <v>6.7857144761908827E-3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input_325100!A$2</f>
        <v>325100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IFERROR(VLOOKUP(B8,input_325100!L:R,7,FALSE),ROUNDDOWN(VLOOKUP(tables_325100!C8,input_325100!A:H,8,FALSE),0))</f>
        <v>0</v>
      </c>
      <c r="P8" s="48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input_325100!A$2</f>
        <v>325100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IFERROR(VLOOKUP(B9,input_325100!L:R,7,FALSE),ROUNDDOWN(VLOOKUP(tables_325100!C9,input_325100!A:H,8,FALSE),0))</f>
        <v>203571</v>
      </c>
      <c r="P9" s="48">
        <f ca="1">O9/SUM(O:O)</f>
        <v>6.7857144761908827E-3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input_325100!A$2</f>
        <v>325100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IFERROR(VLOOKUP(B10,input_325100!L:R,7,FALSE),ROUNDDOWN(VLOOKUP(tables_325100!C10,input_325100!A:H,8,FALSE),0))</f>
        <v>0</v>
      </c>
      <c r="P10" s="48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input_325100!A$2</f>
        <v>325100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IFERROR(VLOOKUP(B11,input_325100!L:R,7,FALSE),ROUNDDOWN(VLOOKUP(tables_325100!C11,input_325100!A:H,8,FALSE),0))</f>
        <v>950000</v>
      </c>
      <c r="P11" s="48">
        <f ca="1">O11/SUM(O:O)</f>
        <v>3.1666734222366343E-2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input_325100!A$2</f>
        <v>325100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IFERROR(VLOOKUP(B12,input_325100!L:R,7,FALSE),ROUNDDOWN(VLOOKUP(tables_325100!C12,input_325100!A:H,8,FALSE),0))</f>
        <v>0</v>
      </c>
      <c r="P12" s="48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input_325100!A$2</f>
        <v>325100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IFERROR(VLOOKUP(B13,input_325100!L:R,7,FALSE),ROUNDDOWN(VLOOKUP(tables_325100!C13,input_325100!A:H,8,FALSE),0))</f>
        <v>203571</v>
      </c>
      <c r="P13" s="48">
        <f ca="1">O13/SUM(O:O)</f>
        <v>6.7857144761908827E-3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input_325100!A$2</f>
        <v>325100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IFERROR(VLOOKUP(B14,input_325100!L:R,7,FALSE),ROUNDDOWN(VLOOKUP(tables_325100!C14,input_325100!A:H,8,FALSE),0))</f>
        <v>0</v>
      </c>
      <c r="P14" s="48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input_325100!A$2</f>
        <v>325100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IFERROR(VLOOKUP(B15,input_325100!L:R,7,FALSE),ROUNDDOWN(VLOOKUP(tables_325100!C15,input_325100!A:H,8,FALSE),0))</f>
        <v>203571</v>
      </c>
      <c r="P15" s="48">
        <f ca="1">O15/SUM(O:O)</f>
        <v>6.7857144761908827E-3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input_325100!A$2</f>
        <v>325100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IFERROR(VLOOKUP(B16,input_325100!L:R,7,FALSE),ROUNDDOWN(VLOOKUP(tables_325100!C16,input_325100!A:H,8,FALSE),0))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input_325100!A$2</f>
        <v>325100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IFERROR(VLOOKUP(B17,input_325100!L:R,7,FALSE),ROUNDDOWN(VLOOKUP(tables_325100!C17,input_325100!A:H,8,FALSE),0))</f>
        <v>203571</v>
      </c>
      <c r="P17" s="48">
        <f ca="1">O17/SUM(O:O)</f>
        <v>6.7857144761908827E-3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input_325100!A$2</f>
        <v>325100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IFERROR(VLOOKUP(B18,input_325100!L:R,7,FALSE),ROUNDDOWN(VLOOKUP(tables_325100!C18,input_325100!A:H,8,FALSE),0))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input_325100!A$2</f>
        <v>325100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IFERROR(VLOOKUP(B19,input_325100!L:R,7,FALSE),ROUNDDOWN(VLOOKUP(tables_325100!C19,input_325100!A:H,8,FALSE),0))</f>
        <v>950000</v>
      </c>
      <c r="P19" s="48">
        <f ca="1">O19/SUM(O:O)</f>
        <v>3.1666734222366343E-2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input_325100!A$2</f>
        <v>325100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IFERROR(VLOOKUP(B20,input_325100!L:R,7,FALSE),ROUNDDOWN(VLOOKUP(tables_325100!C20,input_325100!A:H,8,FALSE),0))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input_325100!A$2</f>
        <v>325100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IFERROR(VLOOKUP(B21,input_325100!L:R,7,FALSE),ROUNDDOWN(VLOOKUP(tables_325100!C21,input_325100!A:H,8,FALSE),0))</f>
        <v>203571</v>
      </c>
      <c r="P21" s="48">
        <f ca="1">O21/SUM(O:O)</f>
        <v>6.7857144761908827E-3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input_325100!A$2</f>
        <v>325100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IFERROR(VLOOKUP(B22,input_325100!L:R,7,FALSE),ROUNDDOWN(VLOOKUP(tables_325100!C22,input_325100!A:H,8,FALSE),0))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input_325100!A$2</f>
        <v>325100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IFERROR(VLOOKUP(B23,input_325100!L:R,7,FALSE),ROUNDDOWN(VLOOKUP(tables_325100!C23,input_325100!A:H,8,FALSE),0))</f>
        <v>203571</v>
      </c>
      <c r="P23" s="48">
        <f ca="1">O23/SUM(O:O)</f>
        <v>6.7857144761908827E-3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input_325100!A$2</f>
        <v>325100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IFERROR(VLOOKUP(B24,input_325100!L:R,7,FALSE),ROUNDDOWN(VLOOKUP(tables_325100!C24,input_325100!A:H,8,FALSE),0))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input_325100!A$2</f>
        <v>325100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IFERROR(VLOOKUP(B25,input_325100!L:R,7,FALSE),ROUNDDOWN(VLOOKUP(tables_325100!C25,input_325100!A:H,8,FALSE),0))</f>
        <v>203571</v>
      </c>
      <c r="P25" s="48">
        <f ca="1">O25/SUM(O:O)</f>
        <v>6.7857144761908827E-3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input_325100!A$2</f>
        <v>325100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IFERROR(VLOOKUP(B26,input_325100!L:R,7,FALSE),ROUNDDOWN(VLOOKUP(tables_325100!C26,input_325100!A:H,8,FALSE),0))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input_325100!A$2</f>
        <v>325100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IFERROR(VLOOKUP(B27,input_325100!L:R,7,FALSE),ROUNDDOWN(VLOOKUP(tables_325100!C27,input_325100!A:H,8,FALSE),0))</f>
        <v>950000</v>
      </c>
      <c r="P27" s="48">
        <f ca="1">O27/SUM(O:O)</f>
        <v>3.1666734222366343E-2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input_325100!A$2</f>
        <v>325100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IFERROR(VLOOKUP(B28,input_325100!L:R,7,FALSE),ROUNDDOWN(VLOOKUP(tables_325100!C28,input_325100!A:H,8,FALSE),0))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input_325100!A$2</f>
        <v>325100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IFERROR(VLOOKUP(B29,input_325100!L:R,7,FALSE),ROUNDDOWN(VLOOKUP(tables_325100!C29,input_325100!A:H,8,FALSE),0))</f>
        <v>203571</v>
      </c>
      <c r="P29" s="48">
        <f ca="1">O29/SUM(O:O)</f>
        <v>6.7857144761908827E-3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input_325100!A$2</f>
        <v>325100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IFERROR(VLOOKUP(B30,input_325100!L:R,7,FALSE),ROUNDDOWN(VLOOKUP(tables_325100!C30,input_325100!A:H,8,FALSE),0))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input_325100!A$2</f>
        <v>325100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IFERROR(VLOOKUP(B31,input_325100!L:R,7,FALSE),ROUNDDOWN(VLOOKUP(tables_325100!C31,input_325100!A:H,8,FALSE),0))</f>
        <v>203571</v>
      </c>
      <c r="P31" s="48">
        <f ca="1">O31/SUM(O:O)</f>
        <v>6.7857144761908827E-3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input_325100!A$2</f>
        <v>325100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IFERROR(VLOOKUP(B32,input_325100!L:R,7,FALSE),ROUNDDOWN(VLOOKUP(tables_325100!C32,input_325100!A:H,8,FALSE),0))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input_325100!A$2</f>
        <v>325100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IFERROR(VLOOKUP(B33,input_325100!L:R,7,FALSE),ROUNDDOWN(VLOOKUP(tables_325100!C33,input_325100!A:H,8,FALSE),0))</f>
        <v>203571</v>
      </c>
      <c r="P33" s="48">
        <f ca="1">O33/SUM(O:O)</f>
        <v>6.7857144761908827E-3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input_325100!A$2</f>
        <v>325100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IFERROR(VLOOKUP(B34,input_325100!L:R,7,FALSE),ROUNDDOWN(VLOOKUP(tables_325100!C34,input_325100!A:H,8,FALSE),0))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input_325100!A$2</f>
        <v>325100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IFERROR(VLOOKUP(B35,input_325100!L:R,7,FALSE),ROUNDDOWN(VLOOKUP(tables_325100!C35,input_325100!A:H,8,FALSE),0))</f>
        <v>950000</v>
      </c>
      <c r="P35" s="48">
        <f ca="1">O35/SUM(O:O)</f>
        <v>3.1666734222366343E-2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input_325100!A$2</f>
        <v>325100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IFERROR(VLOOKUP(B36,input_325100!L:R,7,FALSE),ROUNDDOWN(VLOOKUP(tables_325100!C36,input_325100!A:H,8,FALSE),0))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input_325100!A$2</f>
        <v>325100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IFERROR(VLOOKUP(B37,input_325100!L:R,7,FALSE),ROUNDDOWN(VLOOKUP(tables_325100!C37,input_325100!A:H,8,FALSE),0))</f>
        <v>203571</v>
      </c>
      <c r="P37" s="48">
        <f ca="1">O37/SUM(O:O)</f>
        <v>6.7857144761908827E-3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input_325100!A$2</f>
        <v>325100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IFERROR(VLOOKUP(B38,input_325100!L:R,7,FALSE),ROUNDDOWN(VLOOKUP(tables_325100!C38,input_325100!A:H,8,FALSE),0))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input_325100!A$2</f>
        <v>325100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IFERROR(VLOOKUP(B39,input_325100!L:R,7,FALSE),ROUNDDOWN(VLOOKUP(tables_325100!C39,input_325100!A:H,8,FALSE),0))</f>
        <v>203571</v>
      </c>
      <c r="P39" s="48">
        <f ca="1">O39/SUM(O:O)</f>
        <v>6.7857144761908827E-3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input_325100!A$2</f>
        <v>325100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IFERROR(VLOOKUP(B40,input_325100!L:R,7,FALSE),ROUNDDOWN(VLOOKUP(tables_325100!C40,input_325100!A:H,8,FALSE),0))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input_325100!A$2</f>
        <v>325100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IFERROR(VLOOKUP(B41,input_325100!L:R,7,FALSE),ROUNDDOWN(VLOOKUP(tables_325100!C41,input_325100!A:H,8,FALSE),0))</f>
        <v>203571</v>
      </c>
      <c r="P41" s="48">
        <f ca="1">O41/SUM(O:O)</f>
        <v>6.7857144761908827E-3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input_325100!A$2</f>
        <v>325100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IFERROR(VLOOKUP(B42,input_325100!L:R,7,FALSE),ROUNDDOWN(VLOOKUP(tables_325100!C42,input_325100!A:H,8,FALSE),0))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input_325100!A$2</f>
        <v>325100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IFERROR(VLOOKUP(B43,input_325100!L:R,7,FALSE),ROUNDDOWN(VLOOKUP(tables_325100!C43,input_325100!A:H,8,FALSE),0))</f>
        <v>57000</v>
      </c>
      <c r="P43" s="48">
        <f ca="1">O43/SUM(O:O)</f>
        <v>1.9000040533419804E-3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input_325100!A$2</f>
        <v>325100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IFERROR(VLOOKUP(B44,input_325100!L:R,7,FALSE),ROUNDDOWN(VLOOKUP(tables_325100!C44,input_325100!A:H,8,FALSE),0))</f>
        <v>3000</v>
      </c>
      <c r="P44" s="48">
        <f ca="1">O44/SUM(O:O)</f>
        <v>1.0000021333378845E-4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input_325100!A$2</f>
        <v>325100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IFERROR(VLOOKUP(B45,input_325100!L:R,7,FALSE),ROUNDDOWN(VLOOKUP(tables_325100!C45,input_325100!A:H,8,FALSE),0))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input_325100!A$2</f>
        <v>325100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IFERROR(VLOOKUP(B46,input_325100!L:R,7,FALSE),ROUNDDOWN(VLOOKUP(tables_325100!C46,input_325100!A:H,8,FALSE),0))</f>
        <v>13680</v>
      </c>
      <c r="P46" s="48">
        <f ca="1">O46/SUM(O:O)</f>
        <v>4.560009728020753E-4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input_325100!A$2</f>
        <v>325100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IFERROR(VLOOKUP(B47,input_325100!L:R,7,FALSE),ROUNDDOWN(VLOOKUP(tables_325100!C47,input_325100!A:H,8,FALSE),0))</f>
        <v>720</v>
      </c>
      <c r="P47" s="48">
        <f ca="1">O47/SUM(O:O)</f>
        <v>2.4000051200109227E-5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input_325100!A$2</f>
        <v>325100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IFERROR(VLOOKUP(B48,input_325100!L:R,7,FALSE),ROUNDDOWN(VLOOKUP(tables_325100!C48,input_325100!A:H,8,FALSE),0))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input_325100!A$2</f>
        <v>325100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IFERROR(VLOOKUP(B49,input_325100!L:R,7,FALSE),ROUNDDOWN(VLOOKUP(tables_325100!C49,input_325100!A:H,8,FALSE),0))</f>
        <v>13680</v>
      </c>
      <c r="P49" s="48">
        <f ca="1">O49/SUM(O:O)</f>
        <v>4.560009728020753E-4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input_325100!A$2</f>
        <v>325100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IFERROR(VLOOKUP(B50,input_325100!L:R,7,FALSE),ROUNDDOWN(VLOOKUP(tables_325100!C50,input_325100!A:H,8,FALSE),0))</f>
        <v>720</v>
      </c>
      <c r="P50" s="48">
        <f ca="1">O50/SUM(O:O)</f>
        <v>2.4000051200109227E-5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input_325100!A$2</f>
        <v>325100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IFERROR(VLOOKUP(B51,input_325100!L:R,7,FALSE),ROUNDDOWN(VLOOKUP(tables_325100!C51,input_325100!A:H,8,FALSE),0))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input_325100!A$2</f>
        <v>325100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IFERROR(VLOOKUP(B52,input_325100!L:R,7,FALSE),ROUNDDOWN(VLOOKUP(tables_325100!C52,input_325100!A:H,8,FALSE),0))</f>
        <v>193392</v>
      </c>
      <c r="P52" s="48">
        <f ca="1">O52/SUM(O:O)</f>
        <v>6.446413752349338E-3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input_325100!A$2</f>
        <v>325100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IFERROR(VLOOKUP(B53,input_325100!L:R,7,FALSE),ROUNDDOWN(VLOOKUP(tables_325100!C53,input_325100!A:H,8,FALSE),0))</f>
        <v>10178</v>
      </c>
      <c r="P53" s="48">
        <f ca="1">O53/SUM(O:O)</f>
        <v>3.3926739043709962E-4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input_325100!A$2</f>
        <v>325100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IFERROR(VLOOKUP(B54,input_325100!L:R,7,FALSE),ROUNDDOWN(VLOOKUP(tables_325100!C54,input_325100!A:H,8,FALSE),0))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input_325100!A$2</f>
        <v>325100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IFERROR(VLOOKUP(B55,input_325100!L:R,7,FALSE),ROUNDDOWN(VLOOKUP(tables_325100!C55,input_325100!A:H,8,FALSE),0))</f>
        <v>902500</v>
      </c>
      <c r="P55" s="48">
        <f ca="1">O55/SUM(O:O)</f>
        <v>3.0083397511248024E-2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input_325100!A$2</f>
        <v>325100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IFERROR(VLOOKUP(B56,input_325100!L:R,7,FALSE),ROUNDDOWN(VLOOKUP(tables_325100!C56,input_325100!A:H,8,FALSE),0))</f>
        <v>47500</v>
      </c>
      <c r="P56" s="48">
        <f ca="1">O56/SUM(O:O)</f>
        <v>1.5833367111183171E-3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input_325100!A$2</f>
        <v>325100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IFERROR(VLOOKUP(B57,input_325100!L:R,7,FALSE),ROUNDDOWN(VLOOKUP(tables_325100!C57,input_325100!A:H,8,FALSE),0))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input_325100!A$2</f>
        <v>325100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IFERROR(VLOOKUP(B58,input_325100!L:R,7,FALSE),ROUNDDOWN(VLOOKUP(tables_325100!C58,input_325100!A:H,8,FALSE),0))</f>
        <v>193392</v>
      </c>
      <c r="P58" s="48">
        <f ca="1">O58/SUM(O:O)</f>
        <v>6.446413752349338E-3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input_325100!A$2</f>
        <v>325100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IFERROR(VLOOKUP(B59,input_325100!L:R,7,FALSE),ROUNDDOWN(VLOOKUP(tables_325100!C59,input_325100!A:H,8,FALSE),0))</f>
        <v>10178</v>
      </c>
      <c r="P59" s="48">
        <f ca="1">O59/SUM(O:O)</f>
        <v>3.3926739043709962E-4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input_325100!A$2</f>
        <v>325100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IFERROR(VLOOKUP(B60,input_325100!L:R,7,FALSE),ROUNDDOWN(VLOOKUP(tables_325100!C60,input_325100!A:H,8,FALSE),0))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input_325100!A$2</f>
        <v>325100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IFERROR(VLOOKUP(B61,input_325100!L:R,7,FALSE),ROUNDDOWN(VLOOKUP(tables_325100!C61,input_325100!A:H,8,FALSE),0))</f>
        <v>193392</v>
      </c>
      <c r="P61" s="48">
        <f ca="1">O61/SUM(O:O)</f>
        <v>6.446413752349338E-3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input_325100!A$2</f>
        <v>325100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IFERROR(VLOOKUP(B62,input_325100!L:R,7,FALSE),ROUNDDOWN(VLOOKUP(tables_325100!C62,input_325100!A:H,8,FALSE),0))</f>
        <v>10178</v>
      </c>
      <c r="P62" s="48">
        <f ca="1">O62/SUM(O:O)</f>
        <v>3.3926739043709962E-4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input_325100!A$2</f>
        <v>325100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IFERROR(VLOOKUP(B63,input_325100!L:R,7,FALSE),ROUNDDOWN(VLOOKUP(tables_325100!C63,input_325100!A:H,8,FALSE),0))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input_325100!A$2</f>
        <v>325100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IFERROR(VLOOKUP(B64,input_325100!L:R,7,FALSE),ROUNDDOWN(VLOOKUP(tables_325100!C64,input_325100!A:H,8,FALSE),0))</f>
        <v>193392</v>
      </c>
      <c r="P64" s="48">
        <f ca="1">O64/SUM(O:O)</f>
        <v>6.446413752349338E-3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input_325100!A$2</f>
        <v>325100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IFERROR(VLOOKUP(B65,input_325100!L:R,7,FALSE),ROUNDDOWN(VLOOKUP(tables_325100!C65,input_325100!A:H,8,FALSE),0))</f>
        <v>10178</v>
      </c>
      <c r="P65" s="48">
        <f ca="1">O65/SUM(O:O)</f>
        <v>3.3926739043709962E-4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input_325100!A$2</f>
        <v>325100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IFERROR(VLOOKUP(B66,input_325100!L:R,7,FALSE),ROUNDDOWN(VLOOKUP(tables_325100!C66,input_325100!A:H,8,FALSE),0))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input_325100!A$2</f>
        <v>325100</v>
      </c>
      <c r="B67" s="6">
        <v>191</v>
      </c>
      <c r="C67" s="7" t="str">
        <f t="shared" si="3"/>
        <v>Premium4color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5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IFERROR(VLOOKUP(B67,input_325100!L:R,7,FALSE),ROUNDDOWN(VLOOKUP(tables_325100!C67,input_325100!A:H,8,FALSE),0))</f>
        <v>902500</v>
      </c>
      <c r="P67" s="48">
        <f ca="1">O67/SUM(O:O)</f>
        <v>3.0083397511248024E-2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input_325100!A$2</f>
        <v>325100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5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IFERROR(VLOOKUP(B68,input_325100!L:R,7,FALSE),ROUNDDOWN(VLOOKUP(tables_325100!C68,input_325100!A:H,8,FALSE),0))</f>
        <v>47500</v>
      </c>
      <c r="P68" s="48">
        <f ca="1">O68/SUM(O:O)</f>
        <v>1.5833367111183171E-3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input_325100!A$2</f>
        <v>325100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IFERROR(VLOOKUP(B69,input_325100!L:R,7,FALSE),ROUNDDOWN(VLOOKUP(tables_325100!C69,input_325100!A:H,8,FALSE),0))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input_325100!A$2</f>
        <v>325100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IFERROR(VLOOKUP(B70,input_325100!L:R,7,FALSE),ROUNDDOWN(VLOOKUP(tables_325100!C70,input_325100!A:H,8,FALSE),0))</f>
        <v>193392</v>
      </c>
      <c r="P70" s="48">
        <f ca="1">O70/SUM(O:O)</f>
        <v>6.446413752349338E-3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input_325100!A$2</f>
        <v>325100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IFERROR(VLOOKUP(B71,input_325100!L:R,7,FALSE),ROUNDDOWN(VLOOKUP(tables_325100!C71,input_325100!A:H,8,FALSE),0))</f>
        <v>10178</v>
      </c>
      <c r="P71" s="48">
        <f ca="1">O71/SUM(O:O)</f>
        <v>3.3926739043709962E-4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input_325100!A$2</f>
        <v>325100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IFERROR(VLOOKUP(B72,input_325100!L:R,7,FALSE),ROUNDDOWN(VLOOKUP(tables_325100!C72,input_325100!A:H,8,FALSE),0))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input_325100!A$2</f>
        <v>325100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IFERROR(VLOOKUP(B73,input_325100!L:R,7,FALSE),ROUNDDOWN(VLOOKUP(tables_325100!C73,input_325100!A:H,8,FALSE),0))</f>
        <v>193392</v>
      </c>
      <c r="P73" s="48">
        <f ca="1">O73/SUM(O:O)</f>
        <v>6.446413752349338E-3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input_325100!A$2</f>
        <v>325100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IFERROR(VLOOKUP(B74,input_325100!L:R,7,FALSE),ROUNDDOWN(VLOOKUP(tables_325100!C74,input_325100!A:H,8,FALSE),0))</f>
        <v>10178</v>
      </c>
      <c r="P74" s="48">
        <f ca="1">O74/SUM(O:O)</f>
        <v>3.3926739043709962E-4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input_325100!A$2</f>
        <v>325100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IFERROR(VLOOKUP(B75,input_325100!L:R,7,FALSE),ROUNDDOWN(VLOOKUP(tables_325100!C75,input_325100!A:H,8,FALSE),0))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input_325100!A$2</f>
        <v>325100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IFERROR(VLOOKUP(B76,input_325100!L:R,7,FALSE),ROUNDDOWN(VLOOKUP(tables_325100!C76,input_325100!A:H,8,FALSE),0))</f>
        <v>193392</v>
      </c>
      <c r="P76" s="48">
        <f ca="1">O76/SUM(O:O)</f>
        <v>6.446413752349338E-3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input_325100!A$2</f>
        <v>325100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IFERROR(VLOOKUP(B77,input_325100!L:R,7,FALSE),ROUNDDOWN(VLOOKUP(tables_325100!C77,input_325100!A:H,8,FALSE),0))</f>
        <v>10178</v>
      </c>
      <c r="P77" s="48">
        <f ca="1">O77/SUM(O:O)</f>
        <v>3.3926739043709962E-4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input_325100!A$2</f>
        <v>325100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5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IFERROR(VLOOKUP(B78,input_325100!L:R,7,FALSE),ROUNDDOWN(VLOOKUP(tables_325100!C78,input_325100!A:H,8,FALSE),0))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input_325100!A$2</f>
        <v>325100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5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IFERROR(VLOOKUP(B79,input_325100!L:R,7,FALSE),ROUNDDOWN(VLOOKUP(tables_325100!C79,input_325100!A:H,8,FALSE),0))</f>
        <v>902500</v>
      </c>
      <c r="P79" s="48">
        <f ca="1">O79/SUM(O:O)</f>
        <v>3.0083397511248024E-2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input_325100!A$2</f>
        <v>325100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5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IFERROR(VLOOKUP(B80,input_325100!L:R,7,FALSE),ROUNDDOWN(VLOOKUP(tables_325100!C80,input_325100!A:H,8,FALSE),0))</f>
        <v>47500</v>
      </c>
      <c r="P80" s="48">
        <f ca="1">O80/SUM(O:O)</f>
        <v>1.5833367111183171E-3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input_325100!A$2</f>
        <v>325100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IFERROR(VLOOKUP(B81,input_325100!L:R,7,FALSE),ROUNDDOWN(VLOOKUP(tables_325100!C81,input_325100!A:H,8,FALSE),0))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input_325100!A$2</f>
        <v>325100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IFERROR(VLOOKUP(B82,input_325100!L:R,7,FALSE),ROUNDDOWN(VLOOKUP(tables_325100!C82,input_325100!A:H,8,FALSE),0))</f>
        <v>193392</v>
      </c>
      <c r="P82" s="48">
        <f ca="1">O82/SUM(O:O)</f>
        <v>6.446413752349338E-3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input_325100!A$2</f>
        <v>325100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IFERROR(VLOOKUP(B83,input_325100!L:R,7,FALSE),ROUNDDOWN(VLOOKUP(tables_325100!C83,input_325100!A:H,8,FALSE),0))</f>
        <v>10178</v>
      </c>
      <c r="P83" s="48">
        <f ca="1">O83/SUM(O:O)</f>
        <v>3.3926739043709962E-4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input_325100!A$2</f>
        <v>325100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IFERROR(VLOOKUP(B84,input_325100!L:R,7,FALSE),ROUNDDOWN(VLOOKUP(tables_325100!C84,input_325100!A:H,8,FALSE),0))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input_325100!A$2</f>
        <v>325100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IFERROR(VLOOKUP(B85,input_325100!L:R,7,FALSE),ROUNDDOWN(VLOOKUP(tables_325100!C85,input_325100!A:H,8,FALSE),0))</f>
        <v>193392</v>
      </c>
      <c r="P85" s="48">
        <f ca="1">O85/SUM(O:O)</f>
        <v>6.446413752349338E-3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input_325100!A$2</f>
        <v>325100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IFERROR(VLOOKUP(B86,input_325100!L:R,7,FALSE),ROUNDDOWN(VLOOKUP(tables_325100!C86,input_325100!A:H,8,FALSE),0))</f>
        <v>10178</v>
      </c>
      <c r="P86" s="48">
        <f ca="1">O86/SUM(O:O)</f>
        <v>3.3926739043709962E-4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input_325100!A$2</f>
        <v>325100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IFERROR(VLOOKUP(B87,input_325100!L:R,7,FALSE),ROUNDDOWN(VLOOKUP(tables_325100!C87,input_325100!A:H,8,FALSE),0))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input_325100!A$2</f>
        <v>325100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IFERROR(VLOOKUP(B88,input_325100!L:R,7,FALSE),ROUNDDOWN(VLOOKUP(tables_325100!C88,input_325100!A:H,8,FALSE),0))</f>
        <v>193392</v>
      </c>
      <c r="P88" s="48">
        <f ca="1">O88/SUM(O:O)</f>
        <v>6.446413752349338E-3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input_325100!A$2</f>
        <v>325100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IFERROR(VLOOKUP(B89,input_325100!L:R,7,FALSE),ROUNDDOWN(VLOOKUP(tables_325100!C89,input_325100!A:H,8,FALSE),0))</f>
        <v>10178</v>
      </c>
      <c r="P89" s="48">
        <f ca="1">O89/SUM(O:O)</f>
        <v>3.3926739043709962E-4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input_325100!A$2</f>
        <v>325100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5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IFERROR(VLOOKUP(B90,input_325100!L:R,7,FALSE),ROUNDDOWN(VLOOKUP(tables_325100!C90,input_325100!A:H,8,FALSE),0))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input_325100!A$2</f>
        <v>325100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5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IFERROR(VLOOKUP(B91,input_325100!L:R,7,FALSE),ROUNDDOWN(VLOOKUP(tables_325100!C91,input_325100!A:H,8,FALSE),0))</f>
        <v>902500</v>
      </c>
      <c r="P91" s="48">
        <f ca="1">O91/SUM(O:O)</f>
        <v>3.0083397511248024E-2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input_325100!A$2</f>
        <v>325100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5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IFERROR(VLOOKUP(B92,input_325100!L:R,7,FALSE),ROUNDDOWN(VLOOKUP(tables_325100!C92,input_325100!A:H,8,FALSE),0))</f>
        <v>47500</v>
      </c>
      <c r="P92" s="48">
        <f ca="1">O92/SUM(O:O)</f>
        <v>1.5833367111183171E-3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input_325100!A$2</f>
        <v>325100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IFERROR(VLOOKUP(B93,input_325100!L:R,7,FALSE),ROUNDDOWN(VLOOKUP(tables_325100!C93,input_325100!A:H,8,FALSE),0))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input_325100!A$2</f>
        <v>325100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IFERROR(VLOOKUP(B94,input_325100!L:R,7,FALSE),ROUNDDOWN(VLOOKUP(tables_325100!C94,input_325100!A:H,8,FALSE),0))</f>
        <v>193392</v>
      </c>
      <c r="P94" s="48">
        <f ca="1">O94/SUM(O:O)</f>
        <v>6.446413752349338E-3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input_325100!A$2</f>
        <v>325100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IFERROR(VLOOKUP(B95,input_325100!L:R,7,FALSE),ROUNDDOWN(VLOOKUP(tables_325100!C95,input_325100!A:H,8,FALSE),0))</f>
        <v>10178</v>
      </c>
      <c r="P95" s="48">
        <f ca="1">O95/SUM(O:O)</f>
        <v>3.3926739043709962E-4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input_325100!A$2</f>
        <v>325100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IFERROR(VLOOKUP(B96,input_325100!L:R,7,FALSE),ROUNDDOWN(VLOOKUP(tables_325100!C96,input_325100!A:H,8,FALSE),0))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input_325100!A$2</f>
        <v>325100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IFERROR(VLOOKUP(B97,input_325100!L:R,7,FALSE),ROUNDDOWN(VLOOKUP(tables_325100!C97,input_325100!A:H,8,FALSE),0))</f>
        <v>193392</v>
      </c>
      <c r="P97" s="48">
        <f ca="1">O97/SUM(O:O)</f>
        <v>6.446413752349338E-3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input_325100!A$2</f>
        <v>325100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IFERROR(VLOOKUP(B98,input_325100!L:R,7,FALSE),ROUNDDOWN(VLOOKUP(tables_325100!C98,input_325100!A:H,8,FALSE),0))</f>
        <v>10178</v>
      </c>
      <c r="P98" s="48">
        <f ca="1">O98/SUM(O:O)</f>
        <v>3.3926739043709962E-4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input_325100!A$2</f>
        <v>325100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IFERROR(VLOOKUP(B99,input_325100!L:R,7,FALSE),ROUNDDOWN(VLOOKUP(tables_325100!C99,input_325100!A:H,8,FALSE),0))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input_325100!A$2</f>
        <v>325100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IFERROR(VLOOKUP(B100,input_325100!L:R,7,FALSE),ROUNDDOWN(VLOOKUP(tables_325100!C100,input_325100!A:H,8,FALSE),0))</f>
        <v>193392</v>
      </c>
      <c r="P100" s="48">
        <f ca="1">O100/SUM(O:O)</f>
        <v>6.446413752349338E-3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input_325100!A$2</f>
        <v>325100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IFERROR(VLOOKUP(B101,input_325100!L:R,7,FALSE),ROUNDDOWN(VLOOKUP(tables_325100!C101,input_325100!A:H,8,FALSE),0))</f>
        <v>10178</v>
      </c>
      <c r="P101" s="48">
        <f ca="1">O101/SUM(O:O)</f>
        <v>3.3926739043709962E-4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input_325100!A$2</f>
        <v>325100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5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IFERROR(VLOOKUP(B102,input_325100!L:R,7,FALSE),ROUNDDOWN(VLOOKUP(tables_325100!C102,input_325100!A:H,8,FALSE),0))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input_325100!A$2</f>
        <v>325100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5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IFERROR(VLOOKUP(B103,input_325100!L:R,7,FALSE),ROUNDDOWN(VLOOKUP(tables_325100!C103,input_325100!A:H,8,FALSE),0))</f>
        <v>902500</v>
      </c>
      <c r="P103" s="48">
        <f ca="1">O103/SUM(O:O)</f>
        <v>3.0083397511248024E-2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input_325100!A$2</f>
        <v>325100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5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IFERROR(VLOOKUP(B104,input_325100!L:R,7,FALSE),ROUNDDOWN(VLOOKUP(tables_325100!C104,input_325100!A:H,8,FALSE),0))</f>
        <v>47500</v>
      </c>
      <c r="P104" s="48">
        <f ca="1">O104/SUM(O:O)</f>
        <v>1.5833367111183171E-3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input_325100!A$2</f>
        <v>325100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IFERROR(VLOOKUP(B105,input_325100!L:R,7,FALSE),ROUNDDOWN(VLOOKUP(tables_325100!C105,input_325100!A:H,8,FALSE),0))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input_325100!A$2</f>
        <v>325100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IFERROR(VLOOKUP(B106,input_325100!L:R,7,FALSE),ROUNDDOWN(VLOOKUP(tables_325100!C106,input_325100!A:H,8,FALSE),0))</f>
        <v>193392</v>
      </c>
      <c r="P106" s="48">
        <f ca="1">O106/SUM(O:O)</f>
        <v>6.446413752349338E-3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input_325100!A$2</f>
        <v>325100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IFERROR(VLOOKUP(B107,input_325100!L:R,7,FALSE),ROUNDDOWN(VLOOKUP(tables_325100!C107,input_325100!A:H,8,FALSE),0))</f>
        <v>10178</v>
      </c>
      <c r="P107" s="48">
        <f ca="1">O107/SUM(O:O)</f>
        <v>3.3926739043709962E-4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input_325100!A$2</f>
        <v>325100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IFERROR(VLOOKUP(B108,input_325100!L:R,7,FALSE),ROUNDDOWN(VLOOKUP(tables_325100!C108,input_325100!A:H,8,FALSE),0))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input_325100!A$2</f>
        <v>325100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IFERROR(VLOOKUP(B109,input_325100!L:R,7,FALSE),ROUNDDOWN(VLOOKUP(tables_325100!C109,input_325100!A:H,8,FALSE),0))</f>
        <v>193392</v>
      </c>
      <c r="P109" s="48">
        <f ca="1">O109/SUM(O:O)</f>
        <v>6.446413752349338E-3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input_325100!A$2</f>
        <v>325100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IFERROR(VLOOKUP(B110,input_325100!L:R,7,FALSE),ROUNDDOWN(VLOOKUP(tables_325100!C110,input_325100!A:H,8,FALSE),0))</f>
        <v>10178</v>
      </c>
      <c r="P110" s="48">
        <f ca="1">O110/SUM(O:O)</f>
        <v>3.3926739043709962E-4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input_325100!A$2</f>
        <v>325100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IFERROR(VLOOKUP(B111,input_325100!L:R,7,FALSE),ROUNDDOWN(VLOOKUP(tables_325100!C111,input_325100!A:H,8,FALSE),0))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input_325100!A$2</f>
        <v>325100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IFERROR(VLOOKUP(B112,input_325100!L:R,7,FALSE),ROUNDDOWN(VLOOKUP(tables_325100!C112,input_325100!A:H,8,FALSE),0))</f>
        <v>13680</v>
      </c>
      <c r="P112" s="48">
        <f ca="1">O112/SUM(O:O)</f>
        <v>4.560009728020753E-4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input_325100!A$2</f>
        <v>325100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IFERROR(VLOOKUP(B113,input_325100!L:R,7,FALSE),ROUNDDOWN(VLOOKUP(tables_325100!C113,input_325100!A:H,8,FALSE),0))</f>
        <v>720</v>
      </c>
      <c r="P113" s="48">
        <f ca="1">O113/SUM(O:O)</f>
        <v>2.4000051200109227E-5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input_325100!A$2</f>
        <v>325100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5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IFERROR(VLOOKUP(B114,input_325100!L:R,7,FALSE),ROUNDDOWN(VLOOKUP(tables_325100!C114,input_325100!A:H,8,FALSE),0))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input_325100!A$2</f>
        <v>325100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5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IFERROR(VLOOKUP(B115,input_325100!L:R,7,FALSE),ROUNDDOWN(VLOOKUP(tables_325100!C115,input_325100!A:H,8,FALSE),0))</f>
        <v>902500</v>
      </c>
      <c r="P115" s="48">
        <f ca="1">O115/SUM(O:O)</f>
        <v>3.0083397511248024E-2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input_325100!A$2</f>
        <v>325100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5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IFERROR(VLOOKUP(B116,input_325100!L:R,7,FALSE),ROUNDDOWN(VLOOKUP(tables_325100!C116,input_325100!A:H,8,FALSE),0))</f>
        <v>47500</v>
      </c>
      <c r="P116" s="48">
        <f ca="1">O116/SUM(O:O)</f>
        <v>1.5833367111183171E-3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input_325100!A$2</f>
        <v>325100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IFERROR(VLOOKUP(B117,input_325100!L:R,7,FALSE),ROUNDDOWN(VLOOKUP(tables_325100!C117,input_325100!A:H,8,FALSE),0))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input_325100!A$2</f>
        <v>325100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IFERROR(VLOOKUP(B118,input_325100!L:R,7,FALSE),ROUNDDOWN(VLOOKUP(tables_325100!C118,input_325100!A:H,8,FALSE),0))</f>
        <v>193392</v>
      </c>
      <c r="P118" s="48">
        <f ca="1">O118/SUM(O:O)</f>
        <v>6.446413752349338E-3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input_325100!A$2</f>
        <v>325100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IFERROR(VLOOKUP(B119,input_325100!L:R,7,FALSE),ROUNDDOWN(VLOOKUP(tables_325100!C119,input_325100!A:H,8,FALSE),0))</f>
        <v>10178</v>
      </c>
      <c r="P119" s="48">
        <f ca="1">O119/SUM(O:O)</f>
        <v>3.3926739043709962E-4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input_325100!A$2</f>
        <v>325100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IFERROR(VLOOKUP(B120,input_325100!L:R,7,FALSE),ROUNDDOWN(VLOOKUP(tables_325100!C120,input_325100!A:H,8,FALSE),0))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input_325100!A$2</f>
        <v>325100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IFERROR(VLOOKUP(B121,input_325100!L:R,7,FALSE),ROUNDDOWN(VLOOKUP(tables_325100!C121,input_325100!A:H,8,FALSE),0))</f>
        <v>193392</v>
      </c>
      <c r="P121" s="48">
        <f ca="1">O121/SUM(O:O)</f>
        <v>6.446413752349338E-3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input_325100!A$2</f>
        <v>325100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IFERROR(VLOOKUP(B122,input_325100!L:R,7,FALSE),ROUNDDOWN(VLOOKUP(tables_325100!C122,input_325100!A:H,8,FALSE),0))</f>
        <v>10178</v>
      </c>
      <c r="P122" s="48">
        <f ca="1">O122/SUM(O:O)</f>
        <v>3.3926739043709962E-4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input_325100!A$2</f>
        <v>325100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IFERROR(VLOOKUP(B123,input_325100!L:R,7,FALSE),ROUNDDOWN(VLOOKUP(tables_325100!C123,input_325100!A:H,8,FALSE),0))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input_325100!A$2</f>
        <v>325100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IFERROR(VLOOKUP(B124,input_325100!L:R,7,FALSE),ROUNDDOWN(VLOOKUP(tables_325100!C124,input_325100!A:H,8,FALSE),0))</f>
        <v>193392</v>
      </c>
      <c r="P124" s="48">
        <f ca="1">O124/SUM(O:O)</f>
        <v>6.446413752349338E-3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input_325100!A$2</f>
        <v>325100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IFERROR(VLOOKUP(B125,input_325100!L:R,7,FALSE),ROUNDDOWN(VLOOKUP(tables_325100!C125,input_325100!A:H,8,FALSE),0))</f>
        <v>10178</v>
      </c>
      <c r="P125" s="48">
        <f ca="1">O125/SUM(O:O)</f>
        <v>3.3926739043709962E-4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input_325100!A$2</f>
        <v>325100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5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IFERROR(VLOOKUP(B126,input_325100!L:R,7,FALSE),ROUNDDOWN(VLOOKUP(tables_325100!C126,input_325100!A:H,8,FALSE),0))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input_325100!A$2</f>
        <v>325100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5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IFERROR(VLOOKUP(B127,input_325100!L:R,7,FALSE),ROUNDDOWN(VLOOKUP(tables_325100!C127,input_325100!A:H,8,FALSE),0))</f>
        <v>902500</v>
      </c>
      <c r="P127" s="48">
        <f ca="1">O127/SUM(O:O)</f>
        <v>3.0083397511248024E-2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input_325100!A$2</f>
        <v>325100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5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IFERROR(VLOOKUP(B128,input_325100!L:R,7,FALSE),ROUNDDOWN(VLOOKUP(tables_325100!C128,input_325100!A:H,8,FALSE),0))</f>
        <v>47500</v>
      </c>
      <c r="P128" s="48">
        <f ca="1">O128/SUM(O:O)</f>
        <v>1.5833367111183171E-3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input_325100!A$2</f>
        <v>325100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IFERROR(VLOOKUP(B129,input_325100!L:R,7,FALSE),ROUNDDOWN(VLOOKUP(tables_325100!C129,input_325100!A:H,8,FALSE),0))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input_325100!A$2</f>
        <v>325100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5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IFERROR(VLOOKUP(B130,input_325100!L:R,7,FALSE),ROUNDDOWN(VLOOKUP(tables_325100!C130,input_325100!A:H,8,FALSE),0))</f>
        <v>193392</v>
      </c>
      <c r="P130" s="48">
        <f ca="1">O130/SUM(O:O)</f>
        <v>6.446413752349338E-3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input_325100!A$2</f>
        <v>325100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8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IFERROR(VLOOKUP(B131,input_325100!L:R,7,FALSE),ROUNDDOWN(VLOOKUP(tables_325100!C131,input_325100!A:H,8,FALSE),0))</f>
        <v>10178</v>
      </c>
      <c r="P131" s="48">
        <f ca="1">O131/SUM(O:O)</f>
        <v>3.3926739043709962E-4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input_325100!A$2</f>
        <v>325100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IFERROR(VLOOKUP(B132,input_325100!L:R,7,FALSE),ROUNDDOWN(VLOOKUP(tables_325100!C132,input_325100!A:H,8,FALSE),0))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input_325100!A$2</f>
        <v>325100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IFERROR(VLOOKUP(B133,input_325100!L:R,7,FALSE),ROUNDDOWN(VLOOKUP(tables_325100!C133,input_325100!A:H,8,FALSE),0))</f>
        <v>193392</v>
      </c>
      <c r="P133" s="48">
        <f ca="1">O133/SUM(O:O)</f>
        <v>6.446413752349338E-3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input_325100!A$2</f>
        <v>325100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IFERROR(VLOOKUP(B134,input_325100!L:R,7,FALSE),ROUNDDOWN(VLOOKUP(tables_325100!C134,input_325100!A:H,8,FALSE),0))</f>
        <v>10178</v>
      </c>
      <c r="P134" s="48">
        <f ca="1">O134/SUM(O:O)</f>
        <v>3.3926739043709962E-4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input_325100!A$2</f>
        <v>325100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IFERROR(VLOOKUP(B135,input_325100!L:R,7,FALSE),ROUNDDOWN(VLOOKUP(tables_325100!C135,input_325100!A:H,8,FALSE),0))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input_325100!A$2</f>
        <v>325100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IFERROR(VLOOKUP(B136,input_325100!L:R,7,FALSE),ROUNDDOWN(VLOOKUP(tables_325100!C136,input_325100!A:H,8,FALSE),0))</f>
        <v>193392</v>
      </c>
      <c r="P136" s="48">
        <f ca="1">O136/SUM(O:O)</f>
        <v>6.446413752349338E-3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input_325100!A$2</f>
        <v>325100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IFERROR(VLOOKUP(B137,input_325100!L:R,7,FALSE),ROUNDDOWN(VLOOKUP(tables_325100!C137,input_325100!A:H,8,FALSE),0))</f>
        <v>10178</v>
      </c>
      <c r="P137" s="48">
        <f ca="1">O137/SUM(O:O)</f>
        <v>3.3926739043709962E-4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input_325100!A$2</f>
        <v>325100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8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IFERROR(VLOOKUP(B138,input_325100!L:R,7,FALSE),ROUNDDOWN(VLOOKUP(tables_325100!C138,input_325100!A:H,8,FALSE),0))</f>
        <v>57000</v>
      </c>
      <c r="P138" s="48">
        <f ca="1">O138/SUM(O:O)</f>
        <v>1.9000040533419804E-3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input_325100!A$2</f>
        <v>325100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8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IFERROR(VLOOKUP(B139,input_325100!L:R,7,FALSE),ROUNDDOWN(VLOOKUP(tables_325100!C139,input_325100!A:H,8,FALSE),0))</f>
        <v>3000</v>
      </c>
      <c r="P139" s="48">
        <f ca="1">O139/SUM(O:O)</f>
        <v>1.0000021333378845E-4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input_325100!A$2</f>
        <v>325100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8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IFERROR(VLOOKUP(B140,input_325100!L:R,7,FALSE),ROUNDDOWN(VLOOKUP(tables_325100!C140,input_325100!A:H,8,FALSE),0))</f>
        <v>13680</v>
      </c>
      <c r="P140" s="48">
        <f ca="1">O140/SUM(O:O)</f>
        <v>4.560009728020753E-4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input_325100!A$2</f>
        <v>325100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8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IFERROR(VLOOKUP(B141,input_325100!L:R,7,FALSE),ROUNDDOWN(VLOOKUP(tables_325100!C141,input_325100!A:H,8,FALSE),0))</f>
        <v>720</v>
      </c>
      <c r="P141" s="48">
        <f ca="1">O141/SUM(O:O)</f>
        <v>2.4000051200109227E-5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input_325100!A$2</f>
        <v>325100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IFERROR(VLOOKUP(B142,input_325100!L:R,7,FALSE),ROUNDDOWN(VLOOKUP(tables_325100!C142,input_325100!A:H,8,FALSE),0))</f>
        <v>13680</v>
      </c>
      <c r="P142" s="48">
        <f ca="1">O142/SUM(O:O)</f>
        <v>4.560009728020753E-4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input_325100!A$2</f>
        <v>325100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IFERROR(VLOOKUP(B143,input_325100!L:R,7,FALSE),ROUNDDOWN(VLOOKUP(tables_325100!C143,input_325100!A:H,8,FALSE),0))</f>
        <v>720</v>
      </c>
      <c r="P143" s="48">
        <f ca="1">O143/SUM(O:O)</f>
        <v>2.4000051200109227E-5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input_325100!A$2</f>
        <v>325100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IFERROR(VLOOKUP(B144,input_325100!L:R,7,FALSE),ROUNDDOWN(VLOOKUP(tables_325100!C144,input_325100!A:H,8,FALSE),0))</f>
        <v>13680</v>
      </c>
      <c r="P144" s="48">
        <f ca="1">O144/SUM(O:O)</f>
        <v>4.560009728020753E-4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input_325100!A$2</f>
        <v>325100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IFERROR(VLOOKUP(B145,input_325100!L:R,7,FALSE),ROUNDDOWN(VLOOKUP(tables_325100!C145,input_325100!A:H,8,FALSE),0))</f>
        <v>720</v>
      </c>
      <c r="P145" s="48">
        <f ca="1">O145/SUM(O:O)</f>
        <v>2.4000051200109227E-5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input_325100!A$2</f>
        <v>325100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8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IFERROR(VLOOKUP(B146,input_325100!L:R,7,FALSE),ROUNDDOWN(VLOOKUP(tables_325100!C146,input_325100!A:H,8,FALSE),0))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input_325100!A$2</f>
        <v>325100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8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IFERROR(VLOOKUP(B147,input_325100!L:R,7,FALSE),ROUNDDOWN(VLOOKUP(tables_325100!C147,input_325100!A:H,8,FALSE),0))</f>
        <v>902500</v>
      </c>
      <c r="P147" s="48">
        <f ca="1">O147/SUM(O:O)</f>
        <v>3.0083397511248024E-2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input_325100!A$2</f>
        <v>325100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8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IFERROR(VLOOKUP(B148,input_325100!L:R,7,FALSE),ROUNDDOWN(VLOOKUP(tables_325100!C148,input_325100!A:H,8,FALSE),0))</f>
        <v>47500</v>
      </c>
      <c r="P148" s="48">
        <f ca="1">O148/SUM(O:O)</f>
        <v>1.5833367111183171E-3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input_325100!A$2</f>
        <v>325100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8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IFERROR(VLOOKUP(B149,input_325100!L:R,7,FALSE),ROUNDDOWN(VLOOKUP(tables_325100!C149,input_325100!A:H,8,FALSE),0))</f>
        <v>13680</v>
      </c>
      <c r="P149" s="48">
        <f ca="1">O149/SUM(O:O)</f>
        <v>4.560009728020753E-4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input_325100!A$2</f>
        <v>325100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8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IFERROR(VLOOKUP(B150,input_325100!L:R,7,FALSE),ROUNDDOWN(VLOOKUP(tables_325100!C150,input_325100!A:H,8,FALSE),0))</f>
        <v>720</v>
      </c>
      <c r="P150" s="48">
        <f ca="1">O150/SUM(O:O)</f>
        <v>2.4000051200109227E-5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input_325100!A$2</f>
        <v>325100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IFERROR(VLOOKUP(B151,input_325100!L:R,7,FALSE),ROUNDDOWN(VLOOKUP(tables_325100!C151,input_325100!A:H,8,FALSE),0))</f>
        <v>13680</v>
      </c>
      <c r="P151" s="48">
        <f ca="1">O151/SUM(O:O)</f>
        <v>4.560009728020753E-4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input_325100!A$2</f>
        <v>325100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IFERROR(VLOOKUP(B152,input_325100!L:R,7,FALSE),ROUNDDOWN(VLOOKUP(tables_325100!C152,input_325100!A:H,8,FALSE),0))</f>
        <v>720</v>
      </c>
      <c r="P152" s="48">
        <f ca="1">O152/SUM(O:O)</f>
        <v>2.4000051200109227E-5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input_325100!A$2</f>
        <v>325100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IFERROR(VLOOKUP(B153,input_325100!L:R,7,FALSE),ROUNDDOWN(VLOOKUP(tables_325100!C153,input_325100!A:H,8,FALSE),0))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input_325100!A$2</f>
        <v>325100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IFERROR(VLOOKUP(B154,input_325100!L:R,7,FALSE),ROUNDDOWN(VLOOKUP(tables_325100!C154,input_325100!A:H,8,FALSE),0))</f>
        <v>193392</v>
      </c>
      <c r="P154" s="48">
        <f ca="1">O154/SUM(O:O)</f>
        <v>6.446413752349338E-3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input_325100!A$2</f>
        <v>325100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IFERROR(VLOOKUP(B155,input_325100!L:R,7,FALSE),ROUNDDOWN(VLOOKUP(tables_325100!C155,input_325100!A:H,8,FALSE),0))</f>
        <v>10178</v>
      </c>
      <c r="P155" s="48">
        <f ca="1">O155/SUM(O:O)</f>
        <v>3.3926739043709962E-4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input_325100!A$2</f>
        <v>325100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8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IFERROR(VLOOKUP(B156,input_325100!L:R,7,FALSE),ROUNDDOWN(VLOOKUP(tables_325100!C156,input_325100!A:H,8,FALSE),0))</f>
        <v>57000</v>
      </c>
      <c r="P156" s="48">
        <f ca="1">O156/SUM(O:O)</f>
        <v>1.9000040533419804E-3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input_325100!A$2</f>
        <v>325100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8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IFERROR(VLOOKUP(B157,input_325100!L:R,7,FALSE),ROUNDDOWN(VLOOKUP(tables_325100!C157,input_325100!A:H,8,FALSE),0))</f>
        <v>3000</v>
      </c>
      <c r="P157" s="48">
        <f ca="1">O157/SUM(O:O)</f>
        <v>1.0000021333378845E-4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input_325100!A$2</f>
        <v>325100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8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IFERROR(VLOOKUP(B158,input_325100!L:R,7,FALSE),ROUNDDOWN(VLOOKUP(tables_325100!C158,input_325100!A:H,8,FALSE),0))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input_325100!A$2</f>
        <v>325100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8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IFERROR(VLOOKUP(B159,input_325100!L:R,7,FALSE),ROUNDDOWN(VLOOKUP(tables_325100!C159,input_325100!A:H,8,FALSE),0))</f>
        <v>193392</v>
      </c>
      <c r="P159" s="48">
        <f ca="1">O159/SUM(O:O)</f>
        <v>6.446413752349338E-3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input_325100!A$2</f>
        <v>325100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8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IFERROR(VLOOKUP(B160,input_325100!L:R,7,FALSE),ROUNDDOWN(VLOOKUP(tables_325100!C160,input_325100!A:H,8,FALSE),0))</f>
        <v>10178</v>
      </c>
      <c r="P160" s="48">
        <f ca="1">O160/SUM(O:O)</f>
        <v>3.3926739043709962E-4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input_325100!A$2</f>
        <v>325100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IFERROR(VLOOKUP(B161,input_325100!L:R,7,FALSE),ROUNDDOWN(VLOOKUP(tables_325100!C161,input_325100!A:H,8,FALSE),0))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input_325100!A$2</f>
        <v>325100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IFERROR(VLOOKUP(B162,input_325100!L:R,7,FALSE),ROUNDDOWN(VLOOKUP(tables_325100!C162,input_325100!A:H,8,FALSE),0))</f>
        <v>193392</v>
      </c>
      <c r="P162" s="48">
        <f ca="1">O162/SUM(O:O)</f>
        <v>6.446413752349338E-3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input_325100!A$2</f>
        <v>325100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IFERROR(VLOOKUP(B163,input_325100!L:R,7,FALSE),ROUNDDOWN(VLOOKUP(tables_325100!C163,input_325100!A:H,8,FALSE),0))</f>
        <v>10178</v>
      </c>
      <c r="P163" s="48">
        <f ca="1">O163/SUM(O:O)</f>
        <v>3.3926739043709962E-4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input_325100!A$2</f>
        <v>325100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IFERROR(VLOOKUP(B164,input_325100!L:R,7,FALSE),ROUNDDOWN(VLOOKUP(tables_325100!C164,input_325100!A:H,8,FALSE),0))</f>
        <v>13680</v>
      </c>
      <c r="P164" s="48">
        <f ca="1">O164/SUM(O:O)</f>
        <v>4.560009728020753E-4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input_325100!A$2</f>
        <v>325100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IFERROR(VLOOKUP(B165,input_325100!L:R,7,FALSE),ROUNDDOWN(VLOOKUP(tables_325100!C165,input_325100!A:H,8,FALSE),0))</f>
        <v>720</v>
      </c>
      <c r="P165" s="48">
        <f ca="1">O165/SUM(O:O)</f>
        <v>2.4000051200109227E-5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input_325100!A$2</f>
        <v>325100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8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IFERROR(VLOOKUP(B166,input_325100!L:R,7,FALSE),ROUNDDOWN(VLOOKUP(tables_325100!C166,input_325100!A:H,8,FALSE),0))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input_325100!A$2</f>
        <v>325100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8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IFERROR(VLOOKUP(B167,input_325100!L:R,7,FALSE),ROUNDDOWN(VLOOKUP(tables_325100!C167,input_325100!A:H,8,FALSE),0))</f>
        <v>902500</v>
      </c>
      <c r="P167" s="48">
        <f ca="1">O167/SUM(O:O)</f>
        <v>3.0083397511248024E-2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input_325100!A$2</f>
        <v>325100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8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IFERROR(VLOOKUP(B168,input_325100!L:R,7,FALSE),ROUNDDOWN(VLOOKUP(tables_325100!C168,input_325100!A:H,8,FALSE),0))</f>
        <v>47500</v>
      </c>
      <c r="P168" s="48">
        <f ca="1">O168/SUM(O:O)</f>
        <v>1.5833367111183171E-3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input_325100!A$2</f>
        <v>325100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8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IFERROR(VLOOKUP(B169,input_325100!L:R,7,FALSE),ROUNDDOWN(VLOOKUP(tables_325100!C169,input_325100!A:H,8,FALSE),0))</f>
        <v>13680</v>
      </c>
      <c r="P169" s="48">
        <f ca="1">O169/SUM(O:O)</f>
        <v>4.560009728020753E-4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input_325100!A$2</f>
        <v>325100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8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IFERROR(VLOOKUP(B170,input_325100!L:R,7,FALSE),ROUNDDOWN(VLOOKUP(tables_325100!C170,input_325100!A:H,8,FALSE),0))</f>
        <v>720</v>
      </c>
      <c r="P170" s="48">
        <f ca="1">O170/SUM(O:O)</f>
        <v>2.4000051200109227E-5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input_325100!A$2</f>
        <v>325100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IFERROR(VLOOKUP(B171,input_325100!L:R,7,FALSE),ROUNDDOWN(VLOOKUP(tables_325100!C171,input_325100!A:H,8,FALSE),0))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input_325100!A$2</f>
        <v>325100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IFERROR(VLOOKUP(B172,input_325100!L:R,7,FALSE),ROUNDDOWN(VLOOKUP(tables_325100!C172,input_325100!A:H,8,FALSE),0))</f>
        <v>193392</v>
      </c>
      <c r="P172" s="48">
        <f ca="1">O172/SUM(O:O)</f>
        <v>6.446413752349338E-3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input_325100!A$2</f>
        <v>325100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IFERROR(VLOOKUP(B173,input_325100!L:R,7,FALSE),ROUNDDOWN(VLOOKUP(tables_325100!C173,input_325100!A:H,8,FALSE),0))</f>
        <v>10178</v>
      </c>
      <c r="P173" s="48">
        <f ca="1">O173/SUM(O:O)</f>
        <v>3.3926739043709962E-4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input_325100!A$2</f>
        <v>325100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IFERROR(VLOOKUP(B174,input_325100!L:R,7,FALSE),ROUNDDOWN(VLOOKUP(tables_325100!C174,input_325100!A:H,8,FALSE),0))</f>
        <v>13680</v>
      </c>
      <c r="P174" s="48">
        <f ca="1">O174/SUM(O:O)</f>
        <v>4.560009728020753E-4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input_325100!A$2</f>
        <v>325100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IFERROR(VLOOKUP(B175,input_325100!L:R,7,FALSE),ROUNDDOWN(VLOOKUP(tables_325100!C175,input_325100!A:H,8,FALSE),0))</f>
        <v>720</v>
      </c>
      <c r="P175" s="48">
        <f ca="1">O175/SUM(O:O)</f>
        <v>2.4000051200109227E-5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input_325100!A$2</f>
        <v>325100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8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IFERROR(VLOOKUP(B176,input_325100!L:R,7,FALSE),ROUNDDOWN(VLOOKUP(tables_325100!C176,input_325100!A:H,8,FALSE),0))</f>
        <v>57000</v>
      </c>
      <c r="P176" s="48">
        <f ca="1">O176/SUM(O:O)</f>
        <v>1.9000040533419804E-3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input_325100!A$2</f>
        <v>325100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8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IFERROR(VLOOKUP(B177,input_325100!L:R,7,FALSE),ROUNDDOWN(VLOOKUP(tables_325100!C177,input_325100!A:H,8,FALSE),0))</f>
        <v>3000</v>
      </c>
      <c r="P177" s="48">
        <f ca="1">O177/SUM(O:O)</f>
        <v>1.0000021333378845E-4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input_325100!A$2</f>
        <v>325100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8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IFERROR(VLOOKUP(B178,input_325100!L:R,7,FALSE),ROUNDDOWN(VLOOKUP(tables_325100!C178,input_325100!A:H,8,FALSE),0))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input_325100!A$2</f>
        <v>325100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8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IFERROR(VLOOKUP(B179,input_325100!L:R,7,FALSE),ROUNDDOWN(VLOOKUP(tables_325100!C179,input_325100!A:H,8,FALSE),0))</f>
        <v>193392</v>
      </c>
      <c r="P179" s="48">
        <f ca="1">O179/SUM(O:O)</f>
        <v>6.446413752349338E-3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input_325100!A$2</f>
        <v>325100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8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IFERROR(VLOOKUP(B180,input_325100!L:R,7,FALSE),ROUNDDOWN(VLOOKUP(tables_325100!C180,input_325100!A:H,8,FALSE),0))</f>
        <v>10178</v>
      </c>
      <c r="P180" s="48">
        <f ca="1">O180/SUM(O:O)</f>
        <v>3.3926739043709962E-4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input_325100!A$2</f>
        <v>325100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IFERROR(VLOOKUP(B181,input_325100!L:R,7,FALSE),ROUNDDOWN(VLOOKUP(tables_325100!C181,input_325100!A:H,8,FALSE),0))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input_325100!A$2</f>
        <v>325100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IFERROR(VLOOKUP(B182,input_325100!L:R,7,FALSE),ROUNDDOWN(VLOOKUP(tables_325100!C182,input_325100!A:H,8,FALSE),0))</f>
        <v>193392</v>
      </c>
      <c r="P182" s="48">
        <f ca="1">O182/SUM(O:O)</f>
        <v>6.446413752349338E-3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input_325100!A$2</f>
        <v>325100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IFERROR(VLOOKUP(B183,input_325100!L:R,7,FALSE),ROUNDDOWN(VLOOKUP(tables_325100!C183,input_325100!A:H,8,FALSE),0))</f>
        <v>10178</v>
      </c>
      <c r="P183" s="48">
        <f ca="1">O183/SUM(O:O)</f>
        <v>3.3926739043709962E-4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input_325100!A$2</f>
        <v>325100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IFERROR(VLOOKUP(B184,input_325100!L:R,7,FALSE),ROUNDDOWN(VLOOKUP(tables_325100!C184,input_325100!A:H,8,FALSE),0))</f>
        <v>13680</v>
      </c>
      <c r="P184" s="48">
        <f ca="1">O184/SUM(O:O)</f>
        <v>4.560009728020753E-4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input_325100!A$2</f>
        <v>325100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IFERROR(VLOOKUP(B185,input_325100!L:R,7,FALSE),ROUNDDOWN(VLOOKUP(tables_325100!C185,input_325100!A:H,8,FALSE),0))</f>
        <v>720</v>
      </c>
      <c r="P185" s="48">
        <f ca="1">O185/SUM(O:O)</f>
        <v>2.4000051200109227E-5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input_325100!A$2</f>
        <v>325100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8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IFERROR(VLOOKUP(B186,input_325100!L:R,7,FALSE),ROUNDDOWN(VLOOKUP(tables_325100!C186,input_325100!A:H,8,FALSE),0))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input_325100!A$2</f>
        <v>325100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8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IFERROR(VLOOKUP(B187,input_325100!L:R,7,FALSE),ROUNDDOWN(VLOOKUP(tables_325100!C187,input_325100!A:H,8,FALSE),0))</f>
        <v>902500</v>
      </c>
      <c r="P187" s="48">
        <f ca="1">O187/SUM(O:O)</f>
        <v>3.0083397511248024E-2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input_325100!A$2</f>
        <v>325100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8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IFERROR(VLOOKUP(B188,input_325100!L:R,7,FALSE),ROUNDDOWN(VLOOKUP(tables_325100!C188,input_325100!A:H,8,FALSE),0))</f>
        <v>47500</v>
      </c>
      <c r="P188" s="48">
        <f ca="1">O188/SUM(O:O)</f>
        <v>1.5833367111183171E-3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input_325100!A$2</f>
        <v>325100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8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IFERROR(VLOOKUP(B189,input_325100!L:R,7,FALSE),ROUNDDOWN(VLOOKUP(tables_325100!C189,input_325100!A:H,8,FALSE),0))</f>
        <v>13680</v>
      </c>
      <c r="P189" s="48">
        <f ca="1">O189/SUM(O:O)</f>
        <v>4.560009728020753E-4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input_325100!A$2</f>
        <v>325100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8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IFERROR(VLOOKUP(B190,input_325100!L:R,7,FALSE),ROUNDDOWN(VLOOKUP(tables_325100!C190,input_325100!A:H,8,FALSE),0))</f>
        <v>720</v>
      </c>
      <c r="P190" s="48">
        <f ca="1">O190/SUM(O:O)</f>
        <v>2.4000051200109227E-5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input_325100!A$2</f>
        <v>325100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IFERROR(VLOOKUP(B191,input_325100!L:R,7,FALSE),ROUNDDOWN(VLOOKUP(tables_325100!C191,input_325100!A:H,8,FALSE),0))</f>
        <v>13680</v>
      </c>
      <c r="P191" s="48">
        <f ca="1">O191/SUM(O:O)</f>
        <v>4.560009728020753E-4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input_325100!A$2</f>
        <v>325100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IFERROR(VLOOKUP(B192,input_325100!L:R,7,FALSE),ROUNDDOWN(VLOOKUP(tables_325100!C192,input_325100!A:H,8,FALSE),0))</f>
        <v>720</v>
      </c>
      <c r="P192" s="48">
        <f ca="1">O192/SUM(O:O)</f>
        <v>2.4000051200109227E-5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input_325100!A$2</f>
        <v>325100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IFERROR(VLOOKUP(B193,input_325100!L:R,7,FALSE),ROUNDDOWN(VLOOKUP(tables_325100!C193,input_325100!A:H,8,FALSE),0))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input_325100!A$2</f>
        <v>325100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IFERROR(VLOOKUP(B194,input_325100!L:R,7,FALSE),ROUNDDOWN(VLOOKUP(tables_325100!C194,input_325100!A:H,8,FALSE),0))</f>
        <v>193392</v>
      </c>
      <c r="P194" s="48">
        <f ca="1">O194/SUM(O:O)</f>
        <v>6.446413752349338E-3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input_325100!A$2</f>
        <v>325100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1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IFERROR(VLOOKUP(B195,input_325100!L:R,7,FALSE),ROUNDDOWN(VLOOKUP(tables_325100!C195,input_325100!A:H,8,FALSE),0))</f>
        <v>10178</v>
      </c>
      <c r="P195" s="48">
        <f ca="1">O195/SUM(O:O)</f>
        <v>3.3926739043709962E-4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input_325100!A$2</f>
        <v>325100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1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IFERROR(VLOOKUP(B196,input_325100!L:R,7,FALSE),ROUNDDOWN(VLOOKUP(tables_325100!C196,input_325100!A:H,8,FALSE),0))</f>
        <v>57000</v>
      </c>
      <c r="P196" s="48">
        <f ca="1">O196/SUM(O:O)</f>
        <v>1.9000040533419804E-3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input_325100!A$2</f>
        <v>325100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1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IFERROR(VLOOKUP(B197,input_325100!L:R,7,FALSE),ROUNDDOWN(VLOOKUP(tables_325100!C197,input_325100!A:H,8,FALSE),0))</f>
        <v>3000</v>
      </c>
      <c r="P197" s="48">
        <f ca="1">O197/SUM(O:O)</f>
        <v>1.0000021333378845E-4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input_325100!A$2</f>
        <v>325100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1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IFERROR(VLOOKUP(B198,input_325100!L:R,7,FALSE),ROUNDDOWN(VLOOKUP(tables_325100!C198,input_325100!A:H,8,FALSE),0))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input_325100!A$2</f>
        <v>325100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1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IFERROR(VLOOKUP(B199,input_325100!L:R,7,FALSE),ROUNDDOWN(VLOOKUP(tables_325100!C199,input_325100!A:H,8,FALSE),0))</f>
        <v>193392</v>
      </c>
      <c r="P199" s="48">
        <f ca="1">O199/SUM(O:O)</f>
        <v>6.446413752349338E-3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input_325100!A$2</f>
        <v>325100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1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IFERROR(VLOOKUP(B200,input_325100!L:R,7,FALSE),ROUNDDOWN(VLOOKUP(tables_325100!C200,input_325100!A:H,8,FALSE),0))</f>
        <v>10178</v>
      </c>
      <c r="P200" s="48">
        <f ca="1">O200/SUM(O:O)</f>
        <v>3.3926739043709962E-4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input_325100!A$2</f>
        <v>325100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IFERROR(VLOOKUP(B201,input_325100!L:R,7,FALSE),ROUNDDOWN(VLOOKUP(tables_325100!C201,input_325100!A:H,8,FALSE),0))</f>
        <v>13680</v>
      </c>
      <c r="P201" s="48">
        <f ca="1">O201/SUM(O:O)</f>
        <v>4.560009728020753E-4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input_325100!A$2</f>
        <v>325100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IFERROR(VLOOKUP(B202,input_325100!L:R,7,FALSE),ROUNDDOWN(VLOOKUP(tables_325100!C202,input_325100!A:H,8,FALSE),0))</f>
        <v>720</v>
      </c>
      <c r="P202" s="48">
        <f ca="1">O202/SUM(O:O)</f>
        <v>2.4000051200109227E-5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input_325100!A$2</f>
        <v>325100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IFERROR(VLOOKUP(B203,input_325100!L:R,7,FALSE),ROUNDDOWN(VLOOKUP(tables_325100!C203,input_325100!A:H,8,FALSE),0))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input_325100!A$2</f>
        <v>325100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IFERROR(VLOOKUP(B204,input_325100!L:R,7,FALSE),ROUNDDOWN(VLOOKUP(tables_325100!C204,input_325100!A:H,8,FALSE),0))</f>
        <v>193392</v>
      </c>
      <c r="P204" s="48">
        <f ca="1">O204/SUM(O:O)</f>
        <v>6.446413752349338E-3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input_325100!A$2</f>
        <v>325100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IFERROR(VLOOKUP(B205,input_325100!L:R,7,FALSE),ROUNDDOWN(VLOOKUP(tables_325100!C205,input_325100!A:H,8,FALSE),0))</f>
        <v>10178</v>
      </c>
      <c r="P205" s="48">
        <f ca="1">O205/SUM(O:O)</f>
        <v>3.3926739043709962E-4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input_325100!A$2</f>
        <v>325100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1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IFERROR(VLOOKUP(B206,input_325100!L:R,7,FALSE),ROUNDDOWN(VLOOKUP(tables_325100!C206,input_325100!A:H,8,FALSE),0))</f>
        <v>57000</v>
      </c>
      <c r="P206" s="48">
        <f ca="1">O206/SUM(O:O)</f>
        <v>1.9000040533419804E-3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input_325100!A$2</f>
        <v>325100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1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IFERROR(VLOOKUP(B207,input_325100!L:R,7,FALSE),ROUNDDOWN(VLOOKUP(tables_325100!C207,input_325100!A:H,8,FALSE),0))</f>
        <v>3000</v>
      </c>
      <c r="P207" s="48">
        <f ca="1">O207/SUM(O:O)</f>
        <v>1.0000021333378845E-4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input_325100!A$2</f>
        <v>325100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1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IFERROR(VLOOKUP(B208,input_325100!L:R,7,FALSE),ROUNDDOWN(VLOOKUP(tables_325100!C208,input_325100!A:H,8,FALSE),0))</f>
        <v>13680</v>
      </c>
      <c r="P208" s="48">
        <f ca="1">O208/SUM(O:O)</f>
        <v>4.560009728020753E-4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input_325100!A$2</f>
        <v>325100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1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IFERROR(VLOOKUP(B209,input_325100!L:R,7,FALSE),ROUNDDOWN(VLOOKUP(tables_325100!C209,input_325100!A:H,8,FALSE),0))</f>
        <v>720</v>
      </c>
      <c r="P209" s="48">
        <f ca="1">O209/SUM(O:O)</f>
        <v>2.4000051200109227E-5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input_325100!A$2</f>
        <v>325100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IFERROR(VLOOKUP(B210,input_325100!L:R,7,FALSE),ROUNDDOWN(VLOOKUP(tables_325100!C210,input_325100!A:H,8,FALSE),0))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input_325100!A$2</f>
        <v>325100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IFERROR(VLOOKUP(B211,input_325100!L:R,7,FALSE),ROUNDDOWN(VLOOKUP(tables_325100!C211,input_325100!A:H,8,FALSE),0))</f>
        <v>193392</v>
      </c>
      <c r="P211" s="48">
        <f ca="1">O211/SUM(O:O)</f>
        <v>6.446413752349338E-3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input_325100!A$2</f>
        <v>325100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IFERROR(VLOOKUP(B212,input_325100!L:R,7,FALSE),ROUNDDOWN(VLOOKUP(tables_325100!C212,input_325100!A:H,8,FALSE),0))</f>
        <v>10178</v>
      </c>
      <c r="P212" s="48">
        <f ca="1">O212/SUM(O:O)</f>
        <v>3.3926739043709962E-4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input_325100!A$2</f>
        <v>325100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IFERROR(VLOOKUP(B213,input_325100!L:R,7,FALSE),ROUNDDOWN(VLOOKUP(tables_325100!C213,input_325100!A:H,8,FALSE),0))</f>
        <v>13680</v>
      </c>
      <c r="P213" s="48">
        <f ca="1">O213/SUM(O:O)</f>
        <v>4.560009728020753E-4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input_325100!A$2</f>
        <v>325100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IFERROR(VLOOKUP(B214,input_325100!L:R,7,FALSE),ROUNDDOWN(VLOOKUP(tables_325100!C214,input_325100!A:H,8,FALSE),0))</f>
        <v>720</v>
      </c>
      <c r="P214" s="48">
        <f ca="1">O214/SUM(O:O)</f>
        <v>2.4000051200109227E-5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input_325100!A$2</f>
        <v>325100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1"/>
        <v>color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IFERROR(VLOOKUP(B215,input_325100!L:R,7,FALSE),ROUNDDOWN(VLOOKUP(tables_325100!C215,input_325100!A:H,8,FALSE),0))</f>
        <v>57000</v>
      </c>
      <c r="P215" s="48">
        <f ca="1">O215/SUM(O:O)</f>
        <v>1.9000040533419804E-3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input_325100!A$2</f>
        <v>325100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1"/>
        <v>color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IFERROR(VLOOKUP(B216,input_325100!L:R,7,FALSE),ROUNDDOWN(VLOOKUP(tables_325100!C216,input_325100!A:H,8,FALSE),0))</f>
        <v>3000</v>
      </c>
      <c r="P216" s="48">
        <f ca="1">O216/SUM(O:O)</f>
        <v>1.0000021333378845E-4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input_325100!A$2</f>
        <v>325100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1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IFERROR(VLOOKUP(B217,input_325100!L:R,7,FALSE),ROUNDDOWN(VLOOKUP(tables_325100!C217,input_325100!A:H,8,FALSE),0))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input_325100!A$2</f>
        <v>325100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1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IFERROR(VLOOKUP(B218,input_325100!L:R,7,FALSE),ROUNDDOWN(VLOOKUP(tables_325100!C218,input_325100!A:H,8,FALSE),0))</f>
        <v>193392</v>
      </c>
      <c r="P218" s="48">
        <f ca="1">O218/SUM(O:O)</f>
        <v>6.446413752349338E-3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input_325100!A$2</f>
        <v>325100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1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IFERROR(VLOOKUP(B219,input_325100!L:R,7,FALSE),ROUNDDOWN(VLOOKUP(tables_325100!C219,input_325100!A:H,8,FALSE),0))</f>
        <v>10178</v>
      </c>
      <c r="P219" s="48">
        <f ca="1">O219/SUM(O:O)</f>
        <v>3.3926739043709962E-4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input_325100!A$2</f>
        <v>325100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IFERROR(VLOOKUP(B220,input_325100!L:R,7,FALSE),ROUNDDOWN(VLOOKUP(tables_325100!C220,input_325100!A:H,8,FALSE),0))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input_325100!A$2</f>
        <v>325100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1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IFERROR(VLOOKUP(B221,input_325100!L:R,7,FALSE),ROUNDDOWN(VLOOKUP(tables_325100!C221,input_325100!A:H,8,FALSE),0))</f>
        <v>193392</v>
      </c>
      <c r="P221" s="48">
        <f ca="1">O221/SUM(O:O)</f>
        <v>6.446413752349338E-3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input_325100!A$2</f>
        <v>325100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1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IFERROR(VLOOKUP(B222,input_325100!L:R,7,FALSE),ROUNDDOWN(VLOOKUP(tables_325100!C222,input_325100!A:H,8,FALSE),0))</f>
        <v>10178</v>
      </c>
      <c r="P222" s="48">
        <f ca="1">O222/SUM(O:O)</f>
        <v>3.3926739043709962E-4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input_325100!A$2</f>
        <v>325100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IFERROR(VLOOKUP(B223,input_325100!L:R,7,FALSE),ROUNDDOWN(VLOOKUP(tables_325100!C223,input_325100!A:H,8,FALSE),0))</f>
        <v>13680</v>
      </c>
      <c r="P223" s="48">
        <f ca="1">O223/SUM(O:O)</f>
        <v>4.560009728020753E-4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input_325100!A$2</f>
        <v>325100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IFERROR(VLOOKUP(B224,input_325100!L:R,7,FALSE),ROUNDDOWN(VLOOKUP(tables_325100!C224,input_325100!A:H,8,FALSE),0))</f>
        <v>720</v>
      </c>
      <c r="P224" s="48">
        <f ca="1">O224/SUM(O:O)</f>
        <v>2.4000051200109227E-5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input_325100!A$2</f>
        <v>325100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1"/>
        <v>color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IFERROR(VLOOKUP(B225,input_325100!L:R,7,FALSE),ROUNDDOWN(VLOOKUP(tables_325100!C225,input_325100!A:H,8,FALSE),0))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input_325100!A$2</f>
        <v>325100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1"/>
        <v>color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IFERROR(VLOOKUP(B226,input_325100!L:R,7,FALSE),ROUNDDOWN(VLOOKUP(tables_325100!C226,input_325100!A:H,8,FALSE),0))</f>
        <v>902500</v>
      </c>
      <c r="P226" s="48">
        <f ca="1">O226/SUM(O:O)</f>
        <v>3.0083397511248024E-2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input_325100!A$2</f>
        <v>325100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1"/>
        <v>color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IFERROR(VLOOKUP(B227,input_325100!L:R,7,FALSE),ROUNDDOWN(VLOOKUP(tables_325100!C227,input_325100!A:H,8,FALSE),0))</f>
        <v>47500</v>
      </c>
      <c r="P227" s="48">
        <f ca="1">O227/SUM(O:O)</f>
        <v>1.5833367111183171E-3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input_325100!A$2</f>
        <v>325100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1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IFERROR(VLOOKUP(B228,input_325100!L:R,7,FALSE),ROUNDDOWN(VLOOKUP(tables_325100!C228,input_325100!A:H,8,FALSE),0))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input_325100!A$2</f>
        <v>325100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1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IFERROR(VLOOKUP(B229,input_325100!L:R,7,FALSE),ROUNDDOWN(VLOOKUP(tables_325100!C229,input_325100!A:H,8,FALSE),0))</f>
        <v>193392</v>
      </c>
      <c r="P229" s="48">
        <f ca="1">O229/SUM(O:O)</f>
        <v>6.446413752349338E-3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input_325100!A$2</f>
        <v>325100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1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IFERROR(VLOOKUP(B230,input_325100!L:R,7,FALSE),ROUNDDOWN(VLOOKUP(tables_325100!C230,input_325100!A:H,8,FALSE),0))</f>
        <v>10178</v>
      </c>
      <c r="P230" s="48">
        <f ca="1">O230/SUM(O:O)</f>
        <v>3.3926739043709962E-4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input_325100!A$2</f>
        <v>325100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1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IFERROR(VLOOKUP(B231,input_325100!L:R,7,FALSE),ROUNDDOWN(VLOOKUP(tables_325100!C231,input_325100!A:H,8,FALSE),0))</f>
        <v>13680</v>
      </c>
      <c r="P231" s="48">
        <f ca="1">O231/SUM(O:O)</f>
        <v>4.560009728020753E-4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input_325100!A$2</f>
        <v>325100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1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IFERROR(VLOOKUP(B232,input_325100!L:R,7,FALSE),ROUNDDOWN(VLOOKUP(tables_325100!C232,input_325100!A:H,8,FALSE),0))</f>
        <v>720</v>
      </c>
      <c r="P232" s="48">
        <f ca="1">O232/SUM(O:O)</f>
        <v>2.4000051200109227E-5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input_325100!A$2</f>
        <v>325100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1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IFERROR(VLOOKUP(B233,input_325100!L:R,7,FALSE),ROUNDDOWN(VLOOKUP(tables_325100!C233,input_325100!A:H,8,FALSE),0))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input_325100!A$2</f>
        <v>325100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IFERROR(VLOOKUP(B234,input_325100!L:R,7,FALSE),ROUNDDOWN(VLOOKUP(tables_325100!C234,input_325100!A:H,8,FALSE),0))</f>
        <v>193392</v>
      </c>
      <c r="P234" s="48">
        <f ca="1">O234/SUM(O:O)</f>
        <v>6.446413752349338E-3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input_325100!A$2</f>
        <v>325100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IFERROR(VLOOKUP(B235,input_325100!L:R,7,FALSE),ROUNDDOWN(VLOOKUP(tables_325100!C235,input_325100!A:H,8,FALSE),0))</f>
        <v>10178</v>
      </c>
      <c r="P235" s="48">
        <f ca="1">O235/SUM(O:O)</f>
        <v>3.3926739043709962E-4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input_325100!A$2</f>
        <v>325100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1"/>
        <v>color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IFERROR(VLOOKUP(B236,input_325100!L:R,7,FALSE),ROUNDDOWN(VLOOKUP(tables_325100!C236,input_325100!A:H,8,FALSE),0))</f>
        <v>57000</v>
      </c>
      <c r="P236" s="48">
        <f ca="1">O236/SUM(O:O)</f>
        <v>1.9000040533419804E-3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input_325100!A$2</f>
        <v>325100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1"/>
        <v>color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IFERROR(VLOOKUP(B237,input_325100!L:R,7,FALSE),ROUNDDOWN(VLOOKUP(tables_325100!C237,input_325100!A:H,8,FALSE),0))</f>
        <v>3000</v>
      </c>
      <c r="P237" s="48">
        <f ca="1">O237/SUM(O:O)</f>
        <v>1.0000021333378845E-4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input_325100!A$2</f>
        <v>325100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1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IFERROR(VLOOKUP(B238,input_325100!L:R,7,FALSE),ROUNDDOWN(VLOOKUP(tables_325100!C238,input_325100!A:H,8,FALSE),0))</f>
        <v>13680</v>
      </c>
      <c r="P238" s="48">
        <f ca="1">O238/SUM(O:O)</f>
        <v>4.560009728020753E-4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input_325100!A$2</f>
        <v>325100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1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IFERROR(VLOOKUP(B239,input_325100!L:R,7,FALSE),ROUNDDOWN(VLOOKUP(tables_325100!C239,input_325100!A:H,8,FALSE),0))</f>
        <v>720</v>
      </c>
      <c r="P239" s="48">
        <f ca="1">O239/SUM(O:O)</f>
        <v>2.4000051200109227E-5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input_325100!A$2</f>
        <v>325100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IFERROR(VLOOKUP(B240,input_325100!L:R,7,FALSE),ROUNDDOWN(VLOOKUP(tables_325100!C240,input_325100!A:H,8,FALSE),0))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input_325100!A$2</f>
        <v>325100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IFERROR(VLOOKUP(B241,input_325100!L:R,7,FALSE),ROUNDDOWN(VLOOKUP(tables_325100!C241,input_325100!A:H,8,FALSE),0))</f>
        <v>193392</v>
      </c>
      <c r="P241" s="48">
        <f ca="1">O241/SUM(O:O)</f>
        <v>6.446413752349338E-3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input_325100!A$2</f>
        <v>325100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1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IFERROR(VLOOKUP(B242,input_325100!L:R,7,FALSE),ROUNDDOWN(VLOOKUP(tables_325100!C242,input_325100!A:H,8,FALSE),0))</f>
        <v>10178</v>
      </c>
      <c r="P242" s="48">
        <f ca="1">O242/SUM(O:O)</f>
        <v>3.3926739043709962E-4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input_325100!A$2</f>
        <v>325100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1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IFERROR(VLOOKUP(B243,input_325100!L:R,7,FALSE),ROUNDDOWN(VLOOKUP(tables_325100!C243,input_325100!A:H,8,FALSE),0))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input_325100!A$2</f>
        <v>325100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IFERROR(VLOOKUP(B244,input_325100!L:R,7,FALSE),ROUNDDOWN(VLOOKUP(tables_325100!C244,input_325100!A:H,8,FALSE),0))</f>
        <v>193392</v>
      </c>
      <c r="P244" s="48">
        <f ca="1">O244/SUM(O:O)</f>
        <v>6.446413752349338E-3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input_325100!A$2</f>
        <v>325100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IFERROR(VLOOKUP(B245,input_325100!L:R,7,FALSE),ROUNDDOWN(VLOOKUP(tables_325100!C245,input_325100!A:H,8,FALSE),0))</f>
        <v>10178</v>
      </c>
      <c r="P245" s="48">
        <f ca="1">O245/SUM(O:O)</f>
        <v>3.3926739043709962E-4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input_325100!A$2</f>
        <v>325100</v>
      </c>
      <c r="B246" s="62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1"/>
        <v>color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IFERROR(VLOOKUP(B246,input_325100!L:R,7,FALSE),ROUNDDOWN(VLOOKUP(tables_325100!C246,input_325100!A:H,8,FALSE),0))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input_325100!A$2</f>
        <v>325100</v>
      </c>
      <c r="B247" s="62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1"/>
        <v>color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IFERROR(VLOOKUP(B247,input_325100!L:R,7,FALSE),ROUNDDOWN(VLOOKUP(tables_325100!C247,input_325100!A:H,8,FALSE),0))</f>
        <v>902500</v>
      </c>
      <c r="P247" s="48">
        <f ca="1">O247/SUM(O:O)</f>
        <v>3.0083397511248024E-2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input_325100!A$2</f>
        <v>325100</v>
      </c>
      <c r="B248" s="62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1"/>
        <v>color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IFERROR(VLOOKUP(B248,input_325100!L:R,7,FALSE),ROUNDDOWN(VLOOKUP(tables_325100!C248,input_325100!A:H,8,FALSE),0))</f>
        <v>47500</v>
      </c>
      <c r="P248" s="48">
        <f ca="1">O248/SUM(O:O)</f>
        <v>1.5833367111183171E-3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input_325100!A$2</f>
        <v>325100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1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IFERROR(VLOOKUP(B249,input_325100!L:R,7,FALSE),ROUNDDOWN(VLOOKUP(tables_325100!C249,input_325100!A:H,8,FALSE),0))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input_325100!A$2</f>
        <v>325100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1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IFERROR(VLOOKUP(B250,input_325100!L:R,7,FALSE),ROUNDDOWN(VLOOKUP(tables_325100!C250,input_325100!A:H,8,FALSE),0))</f>
        <v>193392</v>
      </c>
      <c r="P250" s="48">
        <f ca="1">O250/SUM(O:O)</f>
        <v>6.446413752349338E-3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input_325100!A$2</f>
        <v>325100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1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IFERROR(VLOOKUP(B251,input_325100!L:R,7,FALSE),ROUNDDOWN(VLOOKUP(tables_325100!C251,input_325100!A:H,8,FALSE),0))</f>
        <v>10178</v>
      </c>
      <c r="P251" s="48">
        <f ca="1">O251/SUM(O:O)</f>
        <v>3.3926739043709962E-4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input_325100!A$2</f>
        <v>325100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1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IFERROR(VLOOKUP(B252,input_325100!L:R,7,FALSE),ROUNDDOWN(VLOOKUP(tables_325100!C252,input_325100!A:H,8,FALSE),0))</f>
        <v>13680</v>
      </c>
      <c r="P252" s="48">
        <f ca="1">O252/SUM(O:O)</f>
        <v>4.560009728020753E-4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input_325100!A$2</f>
        <v>325100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1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IFERROR(VLOOKUP(B253,input_325100!L:R,7,FALSE),ROUNDDOWN(VLOOKUP(tables_325100!C253,input_325100!A:H,8,FALSE),0))</f>
        <v>720</v>
      </c>
      <c r="P253" s="48">
        <f ca="1">O253/SUM(O:O)</f>
        <v>2.4000051200109227E-5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input_325100!A$2</f>
        <v>325100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1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IFERROR(VLOOKUP(B254,input_325100!L:R,7,FALSE),ROUNDDOWN(VLOOKUP(tables_325100!C254,input_325100!A:H,8,FALSE),0))</f>
        <v>13680</v>
      </c>
      <c r="P254" s="48">
        <f ca="1">O254/SUM(O:O)</f>
        <v>4.560009728020753E-4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input_325100!A$2</f>
        <v>325100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IFERROR(VLOOKUP(B255,input_325100!L:R,7,FALSE),ROUNDDOWN(VLOOKUP(tables_325100!C255,input_325100!A:H,8,FALSE),0))</f>
        <v>720</v>
      </c>
      <c r="P255" s="48">
        <f ca="1">O255/SUM(O:O)</f>
        <v>2.4000051200109227E-5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input_325100!A$2</f>
        <v>325100</v>
      </c>
      <c r="B256" s="62">
        <v>770</v>
      </c>
      <c r="C256" s="7" t="str">
        <f t="shared" si="9"/>
        <v>PremiumSS4color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tr">
        <f t="shared" si="11"/>
        <v>color</v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IFERROR(VLOOKUP(B256,input_325100!L:R,7,FALSE),ROUNDDOWN(VLOOKUP(tables_325100!C256,input_325100!A:H,8,FALSE),0))</f>
        <v>57000</v>
      </c>
      <c r="P256" s="48">
        <f ca="1">O256/SUM(O:O)</f>
        <v>1.9000040533419804E-3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input_325100!A$2</f>
        <v>325100</v>
      </c>
      <c r="B257" s="62">
        <v>771</v>
      </c>
      <c r="C257" s="7" t="str">
        <f t="shared" si="9"/>
        <v>PremiumSS5color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tr">
        <f t="shared" si="11"/>
        <v>color</v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IFERROR(VLOOKUP(B257,input_325100!L:R,7,FALSE),ROUNDDOWN(VLOOKUP(tables_325100!C257,input_325100!A:H,8,FALSE),0))</f>
        <v>3000</v>
      </c>
      <c r="P257" s="48">
        <f ca="1">O257/SUM(O:O)</f>
        <v>1.0000021333378845E-4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input_325100!A$2</f>
        <v>325100</v>
      </c>
      <c r="B258" s="62">
        <v>772</v>
      </c>
      <c r="C258" s="7" t="str">
        <f t="shared" ref="C258:C27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tr">
        <f t="shared" si="11"/>
        <v/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IFERROR(VLOOKUP(B258,input_325100!L:R,7,FALSE),ROUNDDOWN(VLOOKUP(tables_325100!C258,input_325100!A:H,8,FALSE),0))</f>
        <v>13680</v>
      </c>
      <c r="P258" s="48">
        <f ca="1">O258/SUM(O:O)</f>
        <v>4.560009728020753E-4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input_325100!A$2</f>
        <v>325100</v>
      </c>
      <c r="B259" s="62">
        <v>773</v>
      </c>
      <c r="C259" s="7" t="str">
        <f t="shared" si="12"/>
        <v>PremiumSS5</v>
      </c>
      <c r="D259" s="7" t="str">
        <f t="shared" ref="D259:D27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tr">
        <f t="shared" ref="G259:G271" si="14">IF(K259="red","color","")</f>
        <v/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IFERROR(VLOOKUP(B259,input_325100!L:R,7,FALSE),ROUNDDOWN(VLOOKUP(tables_325100!C259,input_325100!A:H,8,FALSE),0))</f>
        <v>720</v>
      </c>
      <c r="P259" s="48">
        <f ca="1">O259/SUM(O:O)</f>
        <v>2.4000051200109227E-5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input_325100!A$2</f>
        <v>325100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IFERROR(VLOOKUP(B260,input_325100!L:R,7,FALSE),ROUNDDOWN(VLOOKUP(tables_325100!C260,input_325100!A:H,8,FALSE),0))</f>
        <v>0</v>
      </c>
      <c r="P260" s="48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input_325100!A$2</f>
        <v>325100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IFERROR(VLOOKUP(B261,input_325100!L:R,7,FALSE),ROUNDDOWN(VLOOKUP(tables_325100!C261,input_325100!A:H,8,FALSE),0))</f>
        <v>193392</v>
      </c>
      <c r="P261" s="48">
        <f ca="1">O261/SUM(O:O)</f>
        <v>6.446413752349338E-3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input_325100!A$2</f>
        <v>325100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4"/>
        <v/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IFERROR(VLOOKUP(B262,input_325100!L:R,7,FALSE),ROUNDDOWN(VLOOKUP(tables_325100!C262,input_325100!A:H,8,FALSE),0))</f>
        <v>10178</v>
      </c>
      <c r="P262" s="48">
        <f ca="1">O262/SUM(O:O)</f>
        <v>3.3926739043709962E-4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input_325100!A$2</f>
        <v>325100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4"/>
        <v/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IFERROR(VLOOKUP(B263,input_325100!L:R,7,FALSE),ROUNDDOWN(VLOOKUP(tables_325100!C263,input_325100!A:H,8,FALSE),0))</f>
        <v>0</v>
      </c>
      <c r="P263" s="48">
        <f ca="1">O263/SUM(O:O)</f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input_325100!A$2</f>
        <v>325100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4"/>
        <v/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IFERROR(VLOOKUP(B264,input_325100!L:R,7,FALSE),ROUNDDOWN(VLOOKUP(tables_325100!C264,input_325100!A:H,8,FALSE),0))</f>
        <v>193392</v>
      </c>
      <c r="P264" s="48">
        <f ca="1">O264/SUM(O:O)</f>
        <v>6.446413752349338E-3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input_325100!A$2</f>
        <v>325100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4"/>
        <v/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IFERROR(VLOOKUP(B265,input_325100!L:R,7,FALSE),ROUNDDOWN(VLOOKUP(tables_325100!C265,input_325100!A:H,8,FALSE),0))</f>
        <v>10178</v>
      </c>
      <c r="P265" s="48">
        <f ca="1">O265/SUM(O:O)</f>
        <v>3.3926739043709962E-4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input_325100!A$2</f>
        <v>325100</v>
      </c>
      <c r="B266" s="62">
        <v>728</v>
      </c>
      <c r="C266" s="7" t="str">
        <f t="shared" si="12"/>
        <v>Premium4R3lesscolor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tr">
        <f t="shared" si="14"/>
        <v>color</v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IFERROR(VLOOKUP(B266,input_325100!L:R,7,FALSE),ROUNDDOWN(VLOOKUP(tables_325100!C266,input_325100!A:H,8,FALSE),0))</f>
        <v>647000</v>
      </c>
      <c r="P266" s="48">
        <f ca="1">O266/SUM(O:O)</f>
        <v>2.1566712675653708E-2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input_325100!A$2</f>
        <v>325100</v>
      </c>
      <c r="B267" s="62">
        <v>729</v>
      </c>
      <c r="C267" s="7" t="str">
        <f t="shared" si="12"/>
        <v>Premium5R3lesscolor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tr">
        <f t="shared" si="14"/>
        <v>color</v>
      </c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IFERROR(VLOOKUP(B267,input_325100!L:R,7,FALSE),ROUNDDOWN(VLOOKUP(tables_325100!C267,input_325100!A:H,8,FALSE),0))</f>
        <v>303000</v>
      </c>
      <c r="P267" s="48">
        <f ca="1">O267/SUM(O:O)</f>
        <v>1.0100021546712632E-2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input_325100!A$2</f>
        <v>325100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tr">
        <f t="shared" si="14"/>
        <v/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IFERROR(VLOOKUP(B268,input_325100!L:R,7,FALSE),ROUNDDOWN(VLOOKUP(tables_325100!C268,input_325100!A:H,8,FALSE),0))</f>
        <v>56074</v>
      </c>
      <c r="P268" s="48">
        <f ca="1">O268/SUM(O:O)</f>
        <v>1.8691373208262845E-3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input_325100!A$2</f>
        <v>325100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IFERROR(VLOOKUP(B269,input_325100!L:R,7,FALSE),ROUNDDOWN(VLOOKUP(tables_325100!C269,input_325100!A:H,8,FALSE),0))</f>
        <v>147497</v>
      </c>
      <c r="P269" s="48">
        <f ca="1">O269/SUM(O:O)</f>
        <v>4.916577155364598E-3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input_325100!A$2</f>
        <v>325100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IFERROR(VLOOKUP(B270,input_325100!L:R,7,FALSE),ROUNDDOWN(VLOOKUP(tables_325100!C270,input_325100!A:H,8,FALSE),0))</f>
        <v>14400</v>
      </c>
      <c r="P270" s="48">
        <f ca="1">O270/SUM(O:O)</f>
        <v>4.8000102400218455E-4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input_325100!A$2</f>
        <v>325100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IFERROR(VLOOKUP(B271,input_325100!L:R,7,FALSE),ROUNDDOWN(VLOOKUP(tables_325100!C271,input_325100!A:H,8,FALSE),0))</f>
        <v>14400</v>
      </c>
      <c r="P271" s="48">
        <f ca="1">O271/SUM(O:O)</f>
        <v>4.8000102400218455E-4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input_325100!A$2</f>
        <v>325100</v>
      </c>
      <c r="B272" s="62">
        <v>786</v>
      </c>
      <c r="C272" s="7" t="str">
        <f t="shared" si="12"/>
        <v>PremiumSSS5</v>
      </c>
      <c r="D272" s="7" t="str">
        <f t="shared" si="13"/>
        <v>PremiumSSS</v>
      </c>
      <c r="E272" s="7"/>
      <c r="F272" s="7" t="str">
        <f>IF(COUNTIF('R6開放'!A:A,B272)&gt;0,"R6release","")</f>
        <v/>
      </c>
      <c r="G272" s="7"/>
      <c r="H272" s="7" t="str">
        <f>VLOOKUP(B272,[1]characters!$A:$C,3,FALSE)</f>
        <v>ヘイウェイ</v>
      </c>
      <c r="I272" s="7" t="str">
        <f>VLOOKUP(B272,[1]characters!$A:$J,10,FALSE)</f>
        <v>PremiumSSS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attack</v>
      </c>
      <c r="M272" s="7" t="str">
        <f>VLOOKUP(B272,[1]characters!$A:$M,13,FALSE)</f>
        <v>dragon</v>
      </c>
      <c r="N272" s="7" t="str">
        <f>VLOOKUP(B272,[1]characters!$A:$G,7,FALSE)</f>
        <v>男性</v>
      </c>
      <c r="O272" s="47">
        <f ca="1">IFERROR(VLOOKUP(B272,input_325100!L:R,7,FALSE),ROUNDDOWN(VLOOKUP(tables_325100!C272,input_325100!A:H,8,FALSE),0))</f>
        <v>600000</v>
      </c>
      <c r="P272" s="48">
        <f ca="1">O272/SUM(O:O)</f>
        <v>2.000004266675769E-2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</sheetData>
  <autoFilter ref="A1:V27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3" t="s">
        <v>91</v>
      </c>
      <c r="H1" s="53" t="s">
        <v>92</v>
      </c>
      <c r="I1" s="54" t="s">
        <v>93</v>
      </c>
      <c r="J1" s="54" t="s">
        <v>94</v>
      </c>
      <c r="K1" s="54" t="s">
        <v>95</v>
      </c>
      <c r="L1" s="54" t="s">
        <v>96</v>
      </c>
      <c r="M1" s="54" t="s">
        <v>97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98</v>
      </c>
    </row>
  </sheetData>
  <autoFilter ref="A1:F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4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確率の考え方</vt:lpstr>
      <vt:lpstr>Sheet1</vt:lpstr>
      <vt:lpstr>output</vt:lpstr>
      <vt:lpstr>input_325101</vt:lpstr>
      <vt:lpstr>tables_325101</vt:lpstr>
      <vt:lpstr>input_325103</vt:lpstr>
      <vt:lpstr>tables_325103</vt:lpstr>
      <vt:lpstr>input_settle_325103</vt:lpstr>
      <vt:lpstr>tables_settle_325103</vt:lpstr>
      <vt:lpstr>input_325104</vt:lpstr>
      <vt:lpstr>tables_325104</vt:lpstr>
      <vt:lpstr>input_325105</vt:lpstr>
      <vt:lpstr>tables_325105</vt:lpstr>
      <vt:lpstr>input_325100</vt:lpstr>
      <vt:lpstr>tables_325100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2016-04-19T07:15:46Z</dcterms:modified>
</cp:coreProperties>
</file>