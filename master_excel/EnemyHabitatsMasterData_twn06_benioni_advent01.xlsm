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huangfuhsiang/Desktop/BULL_data/master_excel/"/>
    </mc:Choice>
  </mc:AlternateContent>
  <bookViews>
    <workbookView xWindow="320" yWindow="1000" windowWidth="21780" windowHeight="15240" tabRatio="740" firstSheet="2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3" hidden="1">enemy_habitat_S!$B$1:$AA$3</definedName>
    <definedName name="_xlnm._FilterDatabase" localSheetId="2" hidden="1">enemy_habitats!$B$1:$AJ$8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stage_hints_failure!$B$1:$M$4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11" l="1"/>
  <c r="J31" i="11"/>
  <c r="J32" i="11"/>
  <c r="J33" i="11"/>
  <c r="J34" i="11"/>
  <c r="J35" i="11"/>
  <c r="J37" i="11"/>
  <c r="J38" i="11"/>
  <c r="J39" i="11"/>
  <c r="J40" i="11"/>
  <c r="J41" i="11"/>
  <c r="J42" i="11"/>
  <c r="J44" i="11"/>
  <c r="J45" i="11"/>
  <c r="J46" i="11"/>
  <c r="J47" i="11"/>
  <c r="J48" i="11"/>
  <c r="J49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27" i="11"/>
  <c r="J28" i="11"/>
  <c r="J16" i="11"/>
  <c r="J17" i="11"/>
  <c r="J18" i="11"/>
  <c r="J19" i="11"/>
  <c r="J21" i="11"/>
  <c r="J22" i="11"/>
  <c r="J23" i="11"/>
  <c r="J24" i="11"/>
  <c r="J25" i="11"/>
  <c r="J26" i="11"/>
  <c r="D62" i="9"/>
  <c r="F34" i="9"/>
  <c r="O34" i="9"/>
  <c r="N34" i="9"/>
  <c r="M34" i="9"/>
  <c r="L34" i="9"/>
  <c r="K34" i="9"/>
  <c r="J34" i="9"/>
  <c r="I34" i="9"/>
  <c r="H34" i="9"/>
  <c r="G34" i="9"/>
  <c r="E34" i="9"/>
  <c r="D34" i="9"/>
  <c r="A34" i="9"/>
  <c r="F33" i="9"/>
  <c r="O33" i="9"/>
  <c r="N33" i="9"/>
  <c r="M33" i="9"/>
  <c r="L33" i="9"/>
  <c r="K33" i="9"/>
  <c r="J33" i="9"/>
  <c r="I33" i="9"/>
  <c r="H33" i="9"/>
  <c r="G33" i="9"/>
  <c r="E33" i="9"/>
  <c r="D33" i="9"/>
  <c r="A33" i="9"/>
  <c r="F23" i="9"/>
  <c r="O23" i="9"/>
  <c r="N23" i="9"/>
  <c r="M23" i="9"/>
  <c r="L23" i="9"/>
  <c r="K23" i="9"/>
  <c r="J23" i="9"/>
  <c r="I23" i="9"/>
  <c r="H23" i="9"/>
  <c r="G23" i="9"/>
  <c r="E23" i="9"/>
  <c r="D23" i="9"/>
  <c r="A23" i="9"/>
  <c r="F22" i="9"/>
  <c r="O22" i="9"/>
  <c r="N22" i="9"/>
  <c r="M22" i="9"/>
  <c r="L22" i="9"/>
  <c r="K22" i="9"/>
  <c r="J22" i="9"/>
  <c r="I22" i="9"/>
  <c r="H22" i="9"/>
  <c r="G22" i="9"/>
  <c r="E22" i="9"/>
  <c r="D22" i="9"/>
  <c r="A22" i="9"/>
  <c r="G27" i="10"/>
  <c r="H27" i="10"/>
  <c r="I27" i="10"/>
  <c r="K27" i="10"/>
  <c r="J27" i="10"/>
  <c r="M27" i="10"/>
  <c r="T27" i="10"/>
  <c r="U27" i="10"/>
  <c r="V27" i="10"/>
  <c r="X27" i="10"/>
  <c r="W27" i="10"/>
  <c r="G18" i="10"/>
  <c r="H18" i="10"/>
  <c r="I18" i="10"/>
  <c r="K18" i="10"/>
  <c r="J18" i="10"/>
  <c r="M18" i="10"/>
  <c r="T18" i="10"/>
  <c r="U18" i="10"/>
  <c r="V18" i="10"/>
  <c r="X18" i="10"/>
  <c r="W18" i="10"/>
  <c r="A79" i="9"/>
  <c r="A80" i="9"/>
  <c r="M30" i="10"/>
  <c r="M39" i="10"/>
  <c r="M49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N30" i="10"/>
  <c r="Q30" i="10"/>
  <c r="P30" i="10"/>
  <c r="R30" i="10"/>
  <c r="O30" i="10"/>
  <c r="S30" i="10"/>
  <c r="F36" i="9"/>
  <c r="G36" i="9"/>
  <c r="H36" i="9"/>
  <c r="I36" i="9"/>
  <c r="J36" i="9"/>
  <c r="K36" i="9"/>
  <c r="L36" i="9"/>
  <c r="M36" i="9"/>
  <c r="N36" i="9"/>
  <c r="O36" i="9"/>
  <c r="F37" i="9"/>
  <c r="G37" i="9"/>
  <c r="H37" i="9"/>
  <c r="I37" i="9"/>
  <c r="J37" i="9"/>
  <c r="K37" i="9"/>
  <c r="L37" i="9"/>
  <c r="M37" i="9"/>
  <c r="N37" i="9"/>
  <c r="O37" i="9"/>
  <c r="F38" i="9"/>
  <c r="G38" i="9"/>
  <c r="H38" i="9"/>
  <c r="I38" i="9"/>
  <c r="J38" i="9"/>
  <c r="K38" i="9"/>
  <c r="L38" i="9"/>
  <c r="M38" i="9"/>
  <c r="N38" i="9"/>
  <c r="O38" i="9"/>
  <c r="F39" i="9"/>
  <c r="G39" i="9"/>
  <c r="H39" i="9"/>
  <c r="I39" i="9"/>
  <c r="J39" i="9"/>
  <c r="K39" i="9"/>
  <c r="L39" i="9"/>
  <c r="M39" i="9"/>
  <c r="N39" i="9"/>
  <c r="O39" i="9"/>
  <c r="F40" i="9"/>
  <c r="G40" i="9"/>
  <c r="H40" i="9"/>
  <c r="I40" i="9"/>
  <c r="J40" i="9"/>
  <c r="K40" i="9"/>
  <c r="L40" i="9"/>
  <c r="M40" i="9"/>
  <c r="N40" i="9"/>
  <c r="O40" i="9"/>
  <c r="F41" i="9"/>
  <c r="G41" i="9"/>
  <c r="H41" i="9"/>
  <c r="I41" i="9"/>
  <c r="J41" i="9"/>
  <c r="K41" i="9"/>
  <c r="L41" i="9"/>
  <c r="M41" i="9"/>
  <c r="N41" i="9"/>
  <c r="O41" i="9"/>
  <c r="F42" i="9"/>
  <c r="G42" i="9"/>
  <c r="H42" i="9"/>
  <c r="I42" i="9"/>
  <c r="J42" i="9"/>
  <c r="K42" i="9"/>
  <c r="L42" i="9"/>
  <c r="M42" i="9"/>
  <c r="N42" i="9"/>
  <c r="O42" i="9"/>
  <c r="F43" i="9"/>
  <c r="G43" i="9"/>
  <c r="H43" i="9"/>
  <c r="I43" i="9"/>
  <c r="J43" i="9"/>
  <c r="K43" i="9"/>
  <c r="L43" i="9"/>
  <c r="M43" i="9"/>
  <c r="N43" i="9"/>
  <c r="O43" i="9"/>
  <c r="F44" i="9"/>
  <c r="G44" i="9"/>
  <c r="H44" i="9"/>
  <c r="I44" i="9"/>
  <c r="J44" i="9"/>
  <c r="K44" i="9"/>
  <c r="L44" i="9"/>
  <c r="M44" i="9"/>
  <c r="N44" i="9"/>
  <c r="O44" i="9"/>
  <c r="F45" i="9"/>
  <c r="G45" i="9"/>
  <c r="H45" i="9"/>
  <c r="I45" i="9"/>
  <c r="J45" i="9"/>
  <c r="K45" i="9"/>
  <c r="L45" i="9"/>
  <c r="M45" i="9"/>
  <c r="N45" i="9"/>
  <c r="O45" i="9"/>
  <c r="F46" i="9"/>
  <c r="G46" i="9"/>
  <c r="H46" i="9"/>
  <c r="I46" i="9"/>
  <c r="J46" i="9"/>
  <c r="K46" i="9"/>
  <c r="L46" i="9"/>
  <c r="M46" i="9"/>
  <c r="N46" i="9"/>
  <c r="O46" i="9"/>
  <c r="F47" i="9"/>
  <c r="G47" i="9"/>
  <c r="H47" i="9"/>
  <c r="I47" i="9"/>
  <c r="J47" i="9"/>
  <c r="K47" i="9"/>
  <c r="L47" i="9"/>
  <c r="M47" i="9"/>
  <c r="N47" i="9"/>
  <c r="O47" i="9"/>
  <c r="F48" i="9"/>
  <c r="G48" i="9"/>
  <c r="H48" i="9"/>
  <c r="I48" i="9"/>
  <c r="J48" i="9"/>
  <c r="K48" i="9"/>
  <c r="L48" i="9"/>
  <c r="M48" i="9"/>
  <c r="N48" i="9"/>
  <c r="O48" i="9"/>
  <c r="F49" i="9"/>
  <c r="G49" i="9"/>
  <c r="H49" i="9"/>
  <c r="I49" i="9"/>
  <c r="J49" i="9"/>
  <c r="K49" i="9"/>
  <c r="L49" i="9"/>
  <c r="M49" i="9"/>
  <c r="N49" i="9"/>
  <c r="O49" i="9"/>
  <c r="F50" i="9"/>
  <c r="G50" i="9"/>
  <c r="H50" i="9"/>
  <c r="I50" i="9"/>
  <c r="J50" i="9"/>
  <c r="K50" i="9"/>
  <c r="L50" i="9"/>
  <c r="M50" i="9"/>
  <c r="N50" i="9"/>
  <c r="O50" i="9"/>
  <c r="F51" i="9"/>
  <c r="G51" i="9"/>
  <c r="H51" i="9"/>
  <c r="I51" i="9"/>
  <c r="J51" i="9"/>
  <c r="K51" i="9"/>
  <c r="L51" i="9"/>
  <c r="M51" i="9"/>
  <c r="N51" i="9"/>
  <c r="O51" i="9"/>
  <c r="F52" i="9"/>
  <c r="G52" i="9"/>
  <c r="H52" i="9"/>
  <c r="I52" i="9"/>
  <c r="J52" i="9"/>
  <c r="K52" i="9"/>
  <c r="L52" i="9"/>
  <c r="M52" i="9"/>
  <c r="N52" i="9"/>
  <c r="O52" i="9"/>
  <c r="F53" i="9"/>
  <c r="G53" i="9"/>
  <c r="H53" i="9"/>
  <c r="I53" i="9"/>
  <c r="J53" i="9"/>
  <c r="K53" i="9"/>
  <c r="L53" i="9"/>
  <c r="M53" i="9"/>
  <c r="N53" i="9"/>
  <c r="O53" i="9"/>
  <c r="F54" i="9"/>
  <c r="G54" i="9"/>
  <c r="H54" i="9"/>
  <c r="I54" i="9"/>
  <c r="J54" i="9"/>
  <c r="K54" i="9"/>
  <c r="L54" i="9"/>
  <c r="M54" i="9"/>
  <c r="N54" i="9"/>
  <c r="O54" i="9"/>
  <c r="F55" i="9"/>
  <c r="G55" i="9"/>
  <c r="H55" i="9"/>
  <c r="I55" i="9"/>
  <c r="J55" i="9"/>
  <c r="K55" i="9"/>
  <c r="L55" i="9"/>
  <c r="M55" i="9"/>
  <c r="N55" i="9"/>
  <c r="O55" i="9"/>
  <c r="F56" i="9"/>
  <c r="G56" i="9"/>
  <c r="H56" i="9"/>
  <c r="I56" i="9"/>
  <c r="J56" i="9"/>
  <c r="K56" i="9"/>
  <c r="L56" i="9"/>
  <c r="M56" i="9"/>
  <c r="N56" i="9"/>
  <c r="O56" i="9"/>
  <c r="F57" i="9"/>
  <c r="G57" i="9"/>
  <c r="H57" i="9"/>
  <c r="I57" i="9"/>
  <c r="J57" i="9"/>
  <c r="K57" i="9"/>
  <c r="L57" i="9"/>
  <c r="M57" i="9"/>
  <c r="N57" i="9"/>
  <c r="O57" i="9"/>
  <c r="F58" i="9"/>
  <c r="G58" i="9"/>
  <c r="H58" i="9"/>
  <c r="I58" i="9"/>
  <c r="J58" i="9"/>
  <c r="K58" i="9"/>
  <c r="L58" i="9"/>
  <c r="M58" i="9"/>
  <c r="N58" i="9"/>
  <c r="O58" i="9"/>
  <c r="F59" i="9"/>
  <c r="G59" i="9"/>
  <c r="H59" i="9"/>
  <c r="I59" i="9"/>
  <c r="J59" i="9"/>
  <c r="K59" i="9"/>
  <c r="L59" i="9"/>
  <c r="M59" i="9"/>
  <c r="N59" i="9"/>
  <c r="O59" i="9"/>
  <c r="F60" i="9"/>
  <c r="G60" i="9"/>
  <c r="H60" i="9"/>
  <c r="I60" i="9"/>
  <c r="J60" i="9"/>
  <c r="K60" i="9"/>
  <c r="L60" i="9"/>
  <c r="M60" i="9"/>
  <c r="N60" i="9"/>
  <c r="O60" i="9"/>
  <c r="F61" i="9"/>
  <c r="G61" i="9"/>
  <c r="H61" i="9"/>
  <c r="I61" i="9"/>
  <c r="J61" i="9"/>
  <c r="K61" i="9"/>
  <c r="L61" i="9"/>
  <c r="M61" i="9"/>
  <c r="N61" i="9"/>
  <c r="O61" i="9"/>
  <c r="F62" i="9"/>
  <c r="G62" i="9"/>
  <c r="H62" i="9"/>
  <c r="I62" i="9"/>
  <c r="J62" i="9"/>
  <c r="K62" i="9"/>
  <c r="L62" i="9"/>
  <c r="M62" i="9"/>
  <c r="N62" i="9"/>
  <c r="O62" i="9"/>
  <c r="F63" i="9"/>
  <c r="G63" i="9"/>
  <c r="H63" i="9"/>
  <c r="I63" i="9"/>
  <c r="J63" i="9"/>
  <c r="K63" i="9"/>
  <c r="L63" i="9"/>
  <c r="M63" i="9"/>
  <c r="N63" i="9"/>
  <c r="O63" i="9"/>
  <c r="F64" i="9"/>
  <c r="G64" i="9"/>
  <c r="H64" i="9"/>
  <c r="I64" i="9"/>
  <c r="J64" i="9"/>
  <c r="K64" i="9"/>
  <c r="L64" i="9"/>
  <c r="M64" i="9"/>
  <c r="N64" i="9"/>
  <c r="O64" i="9"/>
  <c r="F65" i="9"/>
  <c r="G65" i="9"/>
  <c r="H65" i="9"/>
  <c r="I65" i="9"/>
  <c r="J65" i="9"/>
  <c r="K65" i="9"/>
  <c r="L65" i="9"/>
  <c r="M65" i="9"/>
  <c r="N65" i="9"/>
  <c r="O65" i="9"/>
  <c r="F66" i="9"/>
  <c r="G66" i="9"/>
  <c r="H66" i="9"/>
  <c r="I66" i="9"/>
  <c r="J66" i="9"/>
  <c r="K66" i="9"/>
  <c r="L66" i="9"/>
  <c r="M66" i="9"/>
  <c r="N66" i="9"/>
  <c r="O66" i="9"/>
  <c r="F67" i="9"/>
  <c r="G67" i="9"/>
  <c r="H67" i="9"/>
  <c r="I67" i="9"/>
  <c r="J67" i="9"/>
  <c r="K67" i="9"/>
  <c r="L67" i="9"/>
  <c r="M67" i="9"/>
  <c r="N67" i="9"/>
  <c r="O67" i="9"/>
  <c r="F68" i="9"/>
  <c r="G68" i="9"/>
  <c r="H68" i="9"/>
  <c r="I68" i="9"/>
  <c r="J68" i="9"/>
  <c r="K68" i="9"/>
  <c r="L68" i="9"/>
  <c r="M68" i="9"/>
  <c r="N68" i="9"/>
  <c r="O68" i="9"/>
  <c r="F69" i="9"/>
  <c r="G69" i="9"/>
  <c r="H69" i="9"/>
  <c r="I69" i="9"/>
  <c r="J69" i="9"/>
  <c r="K69" i="9"/>
  <c r="L69" i="9"/>
  <c r="M69" i="9"/>
  <c r="N69" i="9"/>
  <c r="O69" i="9"/>
  <c r="F70" i="9"/>
  <c r="G70" i="9"/>
  <c r="H70" i="9"/>
  <c r="I70" i="9"/>
  <c r="J70" i="9"/>
  <c r="K70" i="9"/>
  <c r="L70" i="9"/>
  <c r="M70" i="9"/>
  <c r="N70" i="9"/>
  <c r="O70" i="9"/>
  <c r="F71" i="9"/>
  <c r="G71" i="9"/>
  <c r="H71" i="9"/>
  <c r="I71" i="9"/>
  <c r="J71" i="9"/>
  <c r="K71" i="9"/>
  <c r="L71" i="9"/>
  <c r="M71" i="9"/>
  <c r="N71" i="9"/>
  <c r="O71" i="9"/>
  <c r="F72" i="9"/>
  <c r="G72" i="9"/>
  <c r="H72" i="9"/>
  <c r="I72" i="9"/>
  <c r="J72" i="9"/>
  <c r="K72" i="9"/>
  <c r="L72" i="9"/>
  <c r="M72" i="9"/>
  <c r="N72" i="9"/>
  <c r="O72" i="9"/>
  <c r="F73" i="9"/>
  <c r="G73" i="9"/>
  <c r="H73" i="9"/>
  <c r="I73" i="9"/>
  <c r="J73" i="9"/>
  <c r="K73" i="9"/>
  <c r="L73" i="9"/>
  <c r="M73" i="9"/>
  <c r="N73" i="9"/>
  <c r="O73" i="9"/>
  <c r="F74" i="9"/>
  <c r="G74" i="9"/>
  <c r="H74" i="9"/>
  <c r="I74" i="9"/>
  <c r="J74" i="9"/>
  <c r="K74" i="9"/>
  <c r="L74" i="9"/>
  <c r="M74" i="9"/>
  <c r="N74" i="9"/>
  <c r="O74" i="9"/>
  <c r="F75" i="9"/>
  <c r="G75" i="9"/>
  <c r="H75" i="9"/>
  <c r="I75" i="9"/>
  <c r="J75" i="9"/>
  <c r="K75" i="9"/>
  <c r="L75" i="9"/>
  <c r="M75" i="9"/>
  <c r="N75" i="9"/>
  <c r="O75" i="9"/>
  <c r="F76" i="9"/>
  <c r="G76" i="9"/>
  <c r="H76" i="9"/>
  <c r="I76" i="9"/>
  <c r="J76" i="9"/>
  <c r="K76" i="9"/>
  <c r="L76" i="9"/>
  <c r="M76" i="9"/>
  <c r="N76" i="9"/>
  <c r="O76" i="9"/>
  <c r="F77" i="9"/>
  <c r="G77" i="9"/>
  <c r="H77" i="9"/>
  <c r="I77" i="9"/>
  <c r="J77" i="9"/>
  <c r="K77" i="9"/>
  <c r="L77" i="9"/>
  <c r="M77" i="9"/>
  <c r="N77" i="9"/>
  <c r="O77" i="9"/>
  <c r="F78" i="9"/>
  <c r="G78" i="9"/>
  <c r="H78" i="9"/>
  <c r="I78" i="9"/>
  <c r="J78" i="9"/>
  <c r="K78" i="9"/>
  <c r="L78" i="9"/>
  <c r="M78" i="9"/>
  <c r="N78" i="9"/>
  <c r="O78" i="9"/>
  <c r="F79" i="9"/>
  <c r="G79" i="9"/>
  <c r="H79" i="9"/>
  <c r="I79" i="9"/>
  <c r="J79" i="9"/>
  <c r="K79" i="9"/>
  <c r="L79" i="9"/>
  <c r="M79" i="9"/>
  <c r="N79" i="9"/>
  <c r="O79" i="9"/>
  <c r="F80" i="9"/>
  <c r="G80" i="9"/>
  <c r="H80" i="9"/>
  <c r="I80" i="9"/>
  <c r="J80" i="9"/>
  <c r="K80" i="9"/>
  <c r="L80" i="9"/>
  <c r="M80" i="9"/>
  <c r="N80" i="9"/>
  <c r="O80" i="9"/>
  <c r="D26" i="9"/>
  <c r="D25" i="9"/>
  <c r="D55" i="9"/>
  <c r="D54" i="9"/>
  <c r="D46" i="9"/>
  <c r="D45" i="9"/>
  <c r="D37" i="9"/>
  <c r="D36" i="9"/>
  <c r="N3" i="22"/>
  <c r="G3" i="22"/>
  <c r="F3" i="22"/>
  <c r="D3" i="22"/>
  <c r="C3" i="22"/>
  <c r="A3" i="22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J3" i="11"/>
  <c r="J4" i="11"/>
  <c r="J5" i="11"/>
  <c r="J7" i="11"/>
  <c r="J8" i="11"/>
  <c r="J9" i="11"/>
  <c r="J10" i="11"/>
  <c r="J12" i="11"/>
  <c r="J13" i="11"/>
  <c r="J14" i="11"/>
  <c r="J15" i="11"/>
  <c r="E79" i="9"/>
  <c r="D79" i="9"/>
  <c r="E77" i="9"/>
  <c r="D77" i="9"/>
  <c r="A77" i="9"/>
  <c r="E67" i="9"/>
  <c r="D67" i="9"/>
  <c r="A67" i="9"/>
  <c r="E65" i="9"/>
  <c r="D65" i="9"/>
  <c r="A65" i="9"/>
  <c r="E63" i="9"/>
  <c r="D63" i="9"/>
  <c r="A63" i="9"/>
  <c r="E54" i="9"/>
  <c r="A54" i="9"/>
  <c r="E45" i="9"/>
  <c r="A45" i="9"/>
  <c r="E36" i="9"/>
  <c r="A36" i="9"/>
  <c r="F25" i="9"/>
  <c r="O25" i="9"/>
  <c r="N25" i="9"/>
  <c r="M25" i="9"/>
  <c r="L25" i="9"/>
  <c r="K25" i="9"/>
  <c r="J25" i="9"/>
  <c r="I25" i="9"/>
  <c r="H25" i="9"/>
  <c r="G25" i="9"/>
  <c r="E25" i="9"/>
  <c r="A25" i="9"/>
  <c r="F14" i="9"/>
  <c r="O14" i="9"/>
  <c r="N14" i="9"/>
  <c r="M14" i="9"/>
  <c r="L14" i="9"/>
  <c r="K14" i="9"/>
  <c r="J14" i="9"/>
  <c r="I14" i="9"/>
  <c r="H14" i="9"/>
  <c r="G14" i="9"/>
  <c r="E14" i="9"/>
  <c r="D14" i="9"/>
  <c r="A14" i="9"/>
  <c r="F7" i="9"/>
  <c r="O7" i="9"/>
  <c r="N7" i="9"/>
  <c r="M7" i="9"/>
  <c r="L7" i="9"/>
  <c r="K7" i="9"/>
  <c r="J7" i="9"/>
  <c r="I7" i="9"/>
  <c r="H7" i="9"/>
  <c r="G7" i="9"/>
  <c r="E7" i="9"/>
  <c r="D7" i="9"/>
  <c r="A7" i="9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E80" i="9"/>
  <c r="D80" i="9"/>
  <c r="E78" i="9"/>
  <c r="D78" i="9"/>
  <c r="A78" i="9"/>
  <c r="E68" i="9"/>
  <c r="D68" i="9"/>
  <c r="A68" i="9"/>
  <c r="E66" i="9"/>
  <c r="D66" i="9"/>
  <c r="A66" i="9"/>
  <c r="E64" i="9"/>
  <c r="D64" i="9"/>
  <c r="A64" i="9"/>
  <c r="F3" i="9"/>
  <c r="F4" i="9"/>
  <c r="F5" i="9"/>
  <c r="F6" i="9"/>
  <c r="F8" i="9"/>
  <c r="F9" i="9"/>
  <c r="F10" i="9"/>
  <c r="F11" i="9"/>
  <c r="F12" i="9"/>
  <c r="F13" i="9"/>
  <c r="F15" i="9"/>
  <c r="F16" i="9"/>
  <c r="F17" i="9"/>
  <c r="F18" i="9"/>
  <c r="F19" i="9"/>
  <c r="F20" i="9"/>
  <c r="F21" i="9"/>
  <c r="F24" i="9"/>
  <c r="F26" i="9"/>
  <c r="F27" i="9"/>
  <c r="F28" i="9"/>
  <c r="F29" i="9"/>
  <c r="F30" i="9"/>
  <c r="F31" i="9"/>
  <c r="F32" i="9"/>
  <c r="F35" i="9"/>
  <c r="F2" i="9"/>
  <c r="E53" i="9"/>
  <c r="D53" i="9"/>
  <c r="A53" i="9"/>
  <c r="E46" i="9"/>
  <c r="A46" i="9"/>
  <c r="E37" i="9"/>
  <c r="A37" i="9"/>
  <c r="O26" i="9"/>
  <c r="N26" i="9"/>
  <c r="M26" i="9"/>
  <c r="L26" i="9"/>
  <c r="K26" i="9"/>
  <c r="J26" i="9"/>
  <c r="I26" i="9"/>
  <c r="H26" i="9"/>
  <c r="G26" i="9"/>
  <c r="E26" i="9"/>
  <c r="A26" i="9"/>
  <c r="O15" i="9"/>
  <c r="N15" i="9"/>
  <c r="M15" i="9"/>
  <c r="L15" i="9"/>
  <c r="K15" i="9"/>
  <c r="J15" i="9"/>
  <c r="I15" i="9"/>
  <c r="H15" i="9"/>
  <c r="G15" i="9"/>
  <c r="E15" i="9"/>
  <c r="D15" i="9"/>
  <c r="A15" i="9"/>
  <c r="O8" i="9"/>
  <c r="N8" i="9"/>
  <c r="M8" i="9"/>
  <c r="L8" i="9"/>
  <c r="K8" i="9"/>
  <c r="J8" i="9"/>
  <c r="I8" i="9"/>
  <c r="H8" i="9"/>
  <c r="G8" i="9"/>
  <c r="E8" i="9"/>
  <c r="D8" i="9"/>
  <c r="A8" i="9"/>
  <c r="N2" i="22"/>
  <c r="G2" i="22"/>
  <c r="F2" i="22"/>
  <c r="D2" i="22"/>
  <c r="C2" i="22"/>
  <c r="A2" i="22"/>
  <c r="A73" i="9"/>
  <c r="A74" i="9"/>
  <c r="A75" i="9"/>
  <c r="A76" i="9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D73" i="9"/>
  <c r="E73" i="9"/>
  <c r="D74" i="9"/>
  <c r="E74" i="9"/>
  <c r="D75" i="9"/>
  <c r="E75" i="9"/>
  <c r="D76" i="9"/>
  <c r="E76" i="9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D2" i="2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E72" i="9"/>
  <c r="D72" i="9"/>
  <c r="A72" i="9"/>
  <c r="E71" i="9"/>
  <c r="D71" i="9"/>
  <c r="A71" i="9"/>
  <c r="E70" i="9"/>
  <c r="D70" i="9"/>
  <c r="A70" i="9"/>
  <c r="E69" i="9"/>
  <c r="D69" i="9"/>
  <c r="A69" i="9"/>
  <c r="E62" i="9"/>
  <c r="A62" i="9"/>
  <c r="E61" i="9"/>
  <c r="D61" i="9"/>
  <c r="A61" i="9"/>
  <c r="E60" i="9"/>
  <c r="D60" i="9"/>
  <c r="A60" i="9"/>
  <c r="E59" i="9"/>
  <c r="D59" i="9"/>
  <c r="A59" i="9"/>
  <c r="E58" i="9"/>
  <c r="D58" i="9"/>
  <c r="A58" i="9"/>
  <c r="E57" i="9"/>
  <c r="D57" i="9"/>
  <c r="A57" i="9"/>
  <c r="E56" i="9"/>
  <c r="D56" i="9"/>
  <c r="A56" i="9"/>
  <c r="E39" i="9"/>
  <c r="D39" i="9"/>
  <c r="A39" i="9"/>
  <c r="E38" i="9"/>
  <c r="D38" i="9"/>
  <c r="A38" i="9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D7" i="1"/>
  <c r="AF7" i="1"/>
  <c r="AI7" i="1"/>
  <c r="AG7" i="1"/>
  <c r="AE7" i="1"/>
  <c r="E40" i="9"/>
  <c r="E48" i="9"/>
  <c r="E47" i="9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E19" i="9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E5" i="9"/>
  <c r="E27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E13" i="9"/>
  <c r="E16" i="9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E4" i="9"/>
  <c r="E9" i="9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E2" i="9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G6" i="9"/>
  <c r="H6" i="9"/>
  <c r="I6" i="9"/>
  <c r="J6" i="9"/>
  <c r="K6" i="9"/>
  <c r="L6" i="9"/>
  <c r="M6" i="9"/>
  <c r="N6" i="9"/>
  <c r="O6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4" i="9"/>
  <c r="H24" i="9"/>
  <c r="I24" i="9"/>
  <c r="J24" i="9"/>
  <c r="K24" i="9"/>
  <c r="L24" i="9"/>
  <c r="M24" i="9"/>
  <c r="N24" i="9"/>
  <c r="O24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E12" i="9"/>
  <c r="D12" i="9"/>
  <c r="A12" i="9"/>
  <c r="E17" i="9"/>
  <c r="D17" i="9"/>
  <c r="A17" i="9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20" i="10"/>
  <c r="J20" i="10"/>
  <c r="I20" i="10"/>
  <c r="K20" i="10"/>
  <c r="H20" i="10"/>
  <c r="L20" i="10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G35" i="9"/>
  <c r="H35" i="9"/>
  <c r="I35" i="9"/>
  <c r="J35" i="9"/>
  <c r="K35" i="9"/>
  <c r="L35" i="9"/>
  <c r="M35" i="9"/>
  <c r="N35" i="9"/>
  <c r="O35" i="9"/>
  <c r="A48" i="9"/>
  <c r="D48" i="9"/>
  <c r="A49" i="9"/>
  <c r="D49" i="9"/>
  <c r="E49" i="9"/>
  <c r="A50" i="9"/>
  <c r="D50" i="9"/>
  <c r="E50" i="9"/>
  <c r="A51" i="9"/>
  <c r="D51" i="9"/>
  <c r="E51" i="9"/>
  <c r="A52" i="9"/>
  <c r="D52" i="9"/>
  <c r="E52" i="9"/>
  <c r="A55" i="9"/>
  <c r="E55" i="9"/>
  <c r="A3" i="9"/>
  <c r="D3" i="9"/>
  <c r="E3" i="9"/>
  <c r="A4" i="9"/>
  <c r="D4" i="9"/>
  <c r="A5" i="9"/>
  <c r="D5" i="9"/>
  <c r="A6" i="9"/>
  <c r="D6" i="9"/>
  <c r="E6" i="9"/>
  <c r="A9" i="9"/>
  <c r="D9" i="9"/>
  <c r="A10" i="9"/>
  <c r="D10" i="9"/>
  <c r="E10" i="9"/>
  <c r="A11" i="9"/>
  <c r="D11" i="9"/>
  <c r="E11" i="9"/>
  <c r="A13" i="9"/>
  <c r="D13" i="9"/>
  <c r="A16" i="9"/>
  <c r="D16" i="9"/>
  <c r="A18" i="9"/>
  <c r="D18" i="9"/>
  <c r="E18" i="9"/>
  <c r="A19" i="9"/>
  <c r="D19" i="9"/>
  <c r="A20" i="9"/>
  <c r="D20" i="9"/>
  <c r="E20" i="9"/>
  <c r="A21" i="9"/>
  <c r="D21" i="9"/>
  <c r="E21" i="9"/>
  <c r="A24" i="9"/>
  <c r="D24" i="9"/>
  <c r="E24" i="9"/>
  <c r="A27" i="9"/>
  <c r="D27" i="9"/>
  <c r="A28" i="9"/>
  <c r="D28" i="9"/>
  <c r="E28" i="9"/>
  <c r="A29" i="9"/>
  <c r="D29" i="9"/>
  <c r="E29" i="9"/>
  <c r="A30" i="9"/>
  <c r="D30" i="9"/>
  <c r="E30" i="9"/>
  <c r="A31" i="9"/>
  <c r="D31" i="9"/>
  <c r="E31" i="9"/>
  <c r="A32" i="9"/>
  <c r="D32" i="9"/>
  <c r="E32" i="9"/>
  <c r="A35" i="9"/>
  <c r="D35" i="9"/>
  <c r="E35" i="9"/>
  <c r="A40" i="9"/>
  <c r="D40" i="9"/>
  <c r="A41" i="9"/>
  <c r="D41" i="9"/>
  <c r="E41" i="9"/>
  <c r="A42" i="9"/>
  <c r="D42" i="9"/>
  <c r="E42" i="9"/>
  <c r="A43" i="9"/>
  <c r="D43" i="9"/>
  <c r="E43" i="9"/>
  <c r="A44" i="9"/>
  <c r="D44" i="9"/>
  <c r="E44" i="9"/>
  <c r="A47" i="9"/>
  <c r="D47" i="9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" i="10"/>
  <c r="H3" i="10"/>
  <c r="I3" i="10"/>
  <c r="J3" i="10"/>
  <c r="K3" i="10"/>
  <c r="L3" i="10"/>
  <c r="M3" i="10"/>
  <c r="M13" i="10"/>
  <c r="M25" i="10"/>
  <c r="N25" i="10"/>
  <c r="Q25" i="10"/>
  <c r="P25" i="10"/>
  <c r="R25" i="10"/>
  <c r="O25" i="10"/>
  <c r="S25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6" i="10"/>
  <c r="N26" i="10"/>
  <c r="Q26" i="10"/>
  <c r="P26" i="10"/>
  <c r="R26" i="10"/>
  <c r="O26" i="10"/>
  <c r="S26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9" i="10"/>
  <c r="N29" i="10"/>
  <c r="Q29" i="10"/>
  <c r="P29" i="10"/>
  <c r="R29" i="10"/>
  <c r="O29" i="10"/>
  <c r="S29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20" i="10"/>
  <c r="M31" i="10"/>
  <c r="N31" i="10"/>
  <c r="Q31" i="10"/>
  <c r="P31" i="10"/>
  <c r="R31" i="10"/>
  <c r="O31" i="10"/>
  <c r="S31" i="10"/>
  <c r="N20" i="10"/>
  <c r="Q20" i="10"/>
  <c r="P20" i="10"/>
  <c r="R20" i="10"/>
  <c r="O20" i="10"/>
  <c r="S20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21" i="10"/>
  <c r="N21" i="10"/>
  <c r="Q21" i="10"/>
  <c r="P21" i="10"/>
  <c r="R21" i="10"/>
  <c r="O21" i="10"/>
  <c r="S21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2" i="10"/>
  <c r="N22" i="10"/>
  <c r="Q22" i="10"/>
  <c r="P22" i="10"/>
  <c r="R22" i="10"/>
  <c r="O22" i="10"/>
  <c r="S22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3" i="10"/>
  <c r="N23" i="10"/>
  <c r="Q23" i="10"/>
  <c r="P23" i="10"/>
  <c r="R23" i="10"/>
  <c r="O23" i="10"/>
  <c r="S23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4" i="10"/>
  <c r="N24" i="10"/>
  <c r="Q24" i="10"/>
  <c r="P24" i="10"/>
  <c r="R24" i="10"/>
  <c r="O24" i="10"/>
  <c r="S24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H10" i="1"/>
  <c r="H11" i="1"/>
  <c r="H12" i="1"/>
  <c r="H13" i="1"/>
  <c r="H8" i="1"/>
  <c r="H9" i="1"/>
  <c r="B3" i="2"/>
  <c r="B4" i="2"/>
  <c r="B5" i="2"/>
  <c r="B6" i="2"/>
  <c r="B7" i="2"/>
  <c r="B8" i="2"/>
  <c r="B9" i="2"/>
  <c r="X10" i="1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X8" i="1"/>
  <c r="X9" i="1"/>
  <c r="X11" i="1"/>
  <c r="X12" i="1"/>
  <c r="X13" i="1"/>
  <c r="A10" i="1"/>
  <c r="D10" i="1"/>
  <c r="E10" i="1"/>
  <c r="F10" i="1"/>
  <c r="I10" i="1"/>
  <c r="J10" i="1"/>
  <c r="M10" i="1"/>
  <c r="N10" i="1"/>
  <c r="O10" i="1"/>
  <c r="P10" i="1"/>
  <c r="Q10" i="1"/>
  <c r="T10" i="1"/>
  <c r="V10" i="1"/>
  <c r="AD10" i="1"/>
  <c r="AE10" i="1"/>
  <c r="AF10" i="1"/>
  <c r="AG10" i="1"/>
  <c r="AI10" i="1"/>
  <c r="A11" i="1"/>
  <c r="D11" i="1"/>
  <c r="E11" i="1"/>
  <c r="F11" i="1"/>
  <c r="I11" i="1"/>
  <c r="J11" i="1"/>
  <c r="M11" i="1"/>
  <c r="N11" i="1"/>
  <c r="O11" i="1"/>
  <c r="P11" i="1"/>
  <c r="Q11" i="1"/>
  <c r="T11" i="1"/>
  <c r="V11" i="1"/>
  <c r="AD11" i="1"/>
  <c r="AE11" i="1"/>
  <c r="AF11" i="1"/>
  <c r="AG11" i="1"/>
  <c r="AI11" i="1"/>
  <c r="A12" i="1"/>
  <c r="D12" i="1"/>
  <c r="E12" i="1"/>
  <c r="F12" i="1"/>
  <c r="I12" i="1"/>
  <c r="J12" i="1"/>
  <c r="M12" i="1"/>
  <c r="N12" i="1"/>
  <c r="O12" i="1"/>
  <c r="P12" i="1"/>
  <c r="Q12" i="1"/>
  <c r="T12" i="1"/>
  <c r="V12" i="1"/>
  <c r="AD12" i="1"/>
  <c r="AE12" i="1"/>
  <c r="AF12" i="1"/>
  <c r="AG12" i="1"/>
  <c r="AI12" i="1"/>
  <c r="A13" i="1"/>
  <c r="D13" i="1"/>
  <c r="E13" i="1"/>
  <c r="F13" i="1"/>
  <c r="I13" i="1"/>
  <c r="J13" i="1"/>
  <c r="M13" i="1"/>
  <c r="N13" i="1"/>
  <c r="O13" i="1"/>
  <c r="P13" i="1"/>
  <c r="Q13" i="1"/>
  <c r="T13" i="1"/>
  <c r="V13" i="1"/>
  <c r="AD13" i="1"/>
  <c r="AE13" i="1"/>
  <c r="AF13" i="1"/>
  <c r="AG13" i="1"/>
  <c r="AI13" i="1"/>
  <c r="D6" i="2"/>
  <c r="E6" i="2"/>
  <c r="H6" i="2"/>
  <c r="D7" i="2"/>
  <c r="E7" i="2"/>
  <c r="H7" i="2"/>
  <c r="D8" i="2"/>
  <c r="E8" i="2"/>
  <c r="H8" i="2"/>
  <c r="D9" i="2"/>
  <c r="E9" i="2"/>
  <c r="H9" i="2"/>
  <c r="D3" i="2"/>
  <c r="E3" i="2"/>
  <c r="H3" i="2"/>
  <c r="D4" i="2"/>
  <c r="E4" i="2"/>
  <c r="H4" i="2"/>
  <c r="D5" i="2"/>
  <c r="E5" i="2"/>
  <c r="H5" i="2"/>
  <c r="W3" i="7"/>
  <c r="U3" i="7"/>
  <c r="V9" i="1"/>
  <c r="V8" i="1"/>
  <c r="T9" i="1"/>
  <c r="T8" i="1"/>
  <c r="C13" i="16"/>
  <c r="E13" i="16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4" i="21"/>
  <c r="I4" i="21"/>
  <c r="J4" i="21"/>
  <c r="G4" i="21"/>
  <c r="F4" i="21"/>
  <c r="D4" i="21"/>
  <c r="C4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Y3" i="7"/>
  <c r="R3" i="7"/>
  <c r="Q3" i="7"/>
  <c r="P3" i="7"/>
  <c r="O3" i="7"/>
  <c r="N3" i="7"/>
  <c r="AD9" i="1"/>
  <c r="AG9" i="1"/>
  <c r="AF9" i="1"/>
  <c r="AE9" i="1"/>
  <c r="AD8" i="1"/>
  <c r="AG8" i="1"/>
  <c r="AF8" i="1"/>
  <c r="AE8" i="1"/>
  <c r="Q9" i="1"/>
  <c r="P9" i="1"/>
  <c r="O9" i="1"/>
  <c r="N9" i="1"/>
  <c r="M9" i="1"/>
  <c r="Q8" i="1"/>
  <c r="P8" i="1"/>
  <c r="O8" i="1"/>
  <c r="N8" i="1"/>
  <c r="M8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8" i="1"/>
  <c r="H3" i="7"/>
  <c r="J3" i="7"/>
  <c r="E8" i="16"/>
  <c r="E7" i="16"/>
  <c r="E6" i="16"/>
  <c r="E5" i="16"/>
  <c r="E4" i="16"/>
  <c r="E3" i="16"/>
  <c r="E2" i="16"/>
  <c r="A9" i="1"/>
  <c r="A8" i="1"/>
  <c r="AI9" i="1"/>
  <c r="A2" i="9"/>
  <c r="J9" i="1"/>
  <c r="I9" i="1"/>
  <c r="D9" i="1"/>
  <c r="F9" i="1"/>
  <c r="E9" i="1"/>
  <c r="A3" i="7"/>
  <c r="I3" i="7"/>
  <c r="D3" i="7"/>
  <c r="F3" i="7"/>
  <c r="E3" i="7"/>
  <c r="J8" i="1"/>
  <c r="I8" i="1"/>
  <c r="E2" i="2"/>
  <c r="H2" i="2"/>
  <c r="D8" i="1"/>
  <c r="E8" i="1"/>
  <c r="F8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<sst xmlns="http://schemas.openxmlformats.org/spreadsheetml/2006/main" count="1184" uniqueCount="418">
  <si>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</si>
  <si>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</si>
  <si>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</si>
  <si>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</si>
  <si>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</si>
  <si>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</si>
  <si>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</si>
  <si>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</si>
  <si>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</si>
  <si>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</si>
  <si>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</si>
  <si>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</si>
  <si>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</si>
  <si>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</si>
  <si>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</si>
  <si>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</si>
  <si>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</si>
  <si>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</si>
  <si>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</si>
  <si>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</si>
  <si>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</si>
  <si>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</si>
  <si>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</si>
  <si>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</si>
  <si>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</si>
  <si>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</si>
  <si>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</si>
  <si>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</si>
  <si>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</si>
  <si>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</si>
  <si>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</si>
  <si>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</si>
  <si>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</si>
  <si>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</si>
  <si>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</si>
  <si>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</si>
  <si>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</si>
  <si>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</si>
  <si>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</si>
  <si>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</si>
  <si>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</si>
  <si>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</si>
  <si>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</si>
  <si>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</si>
  <si>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</si>
  <si>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</si>
  <si>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</si>
  <si>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</si>
  <si>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</si>
  <si>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</si>
  <si>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</si>
  <si>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</si>
  <si>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</si>
  <si>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</si>
  <si>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</si>
  <si>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</si>
  <si>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</si>
  <si>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</si>
  <si>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</si>
  <si>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</si>
  <si>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</si>
  <si>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</si>
  <si>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</si>
  <si>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</si>
  <si>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</si>
  <si>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</si>
  <si>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</si>
  <si>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</si>
  <si>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</si>
  <si>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</si>
  <si>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</si>
  <si>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</si>
  <si>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</si>
  <si>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</si>
  <si>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</si>
  <si>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</si>
  <si>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</si>
  <si>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</si>
  <si>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</si>
  <si>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</si>
  <si>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</si>
  <si>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</si>
  <si>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</si>
  <si>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</si>
  <si>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</si>
  <si>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</si>
  <si>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</si>
  <si>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</si>
  <si>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</si>
  <si>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</si>
  <si>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</si>
  <si>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</si>
  <si>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</si>
  <si>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</si>
  <si>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</si>
  <si>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</si>
  <si>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</si>
  <si>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</si>
  <si>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</si>
  <si>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</si>
  <si>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</si>
  <si>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</si>
  <si>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</si>
  <si>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</si>
  <si>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</si>
  <si>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</si>
  <si>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</si>
  <si>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</si>
  <si>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</si>
  <si>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</si>
  <si>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</si>
  <si>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</si>
  <si>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</si>
  <si>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</si>
  <si>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</si>
  <si>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</si>
  <si>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</si>
  <si>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</si>
  <si>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</si>
  <si>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</si>
  <si>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</si>
  <si>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</si>
  <si>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</si>
  <si>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</si>
  <si>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</si>
  <si>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</si>
  <si>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</si>
  <si>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</si>
  <si>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</si>
  <si>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</si>
  <si>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</si>
  <si>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</si>
  <si>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</si>
  <si>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</si>
  <si>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</si>
  <si>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</si>
  <si>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</si>
  <si>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</si>
  <si>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</si>
  <si>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</si>
  <si>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</si>
  <si>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</si>
  <si>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</si>
  <si>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</si>
  <si>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</si>
  <si>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</si>
  <si>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</si>
  <si>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</si>
  <si>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</si>
  <si>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</si>
  <si>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</si>
  <si>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</si>
  <si>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</si>
  <si>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</si>
  <si>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</si>
  <si>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</si>
  <si>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</si>
  <si>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</si>
  <si>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</si>
  <si>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</si>
  <si>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</si>
  <si>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</si>
  <si>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</si>
  <si>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</si>
  <si>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</si>
  <si>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</si>
  <si>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</si>
  <si>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</si>
  <si>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</si>
  <si>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</si>
  <si>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</si>
  <si>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</si>
  <si>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</si>
  <si>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</si>
  <si>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</si>
  <si>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</si>
  <si>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</si>
  <si>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</si>
  <si>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</si>
  <si>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</si>
  <si>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</si>
  <si>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</si>
  <si>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</si>
  <si>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</si>
  <si>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</si>
  <si>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</si>
  <si>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</si>
  <si>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</si>
  <si>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</si>
  <si>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</si>
  <si>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</si>
  <si>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</si>
  <si>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</si>
  <si>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</si>
  <si>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</si>
  <si>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</si>
  <si>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</si>
  <si>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</si>
  <si>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</si>
  <si>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</si>
  <si>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</si>
  <si>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</si>
  <si>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</si>
  <si>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</si>
  <si>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</si>
  <si>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</si>
  <si>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</si>
  <si>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</si>
  <si>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</si>
  <si>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</si>
  <si>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</si>
  <si>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</si>
  <si>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</si>
  <si>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</si>
  <si>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</si>
  <si>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</si>
  <si>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</si>
  <si>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</si>
  <si>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</si>
  <si>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</si>
  <si>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</si>
  <si>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</si>
  <si>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</si>
  <si>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</si>
  <si>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</si>
  <si>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2016-5-27 0:00:00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</si>
  <si>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</si>
  <si>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</si>
  <si>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</si>
  <si>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</si>
  <si>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</si>
  <si>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</si>
  <si>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</si>
  <si>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</si>
  <si>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</si>
  <si>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</si>
  <si>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</si>
  <si>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</si>
  <si>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</si>
  <si>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</si>
  <si>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</si>
  <si>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</si>
  <si>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</si>
  <si>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</si>
  <si>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</si>
  <si>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</si>
  <si>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</si>
  <si>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</si>
  <si>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</si>
  <si>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</si>
  <si>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null</t>
    <phoneticPr fontId="5"/>
  </si>
  <si>
    <t>null</t>
    <phoneticPr fontId="5"/>
  </si>
  <si>
    <t xml:space="preserve">   </t>
    <phoneticPr fontId="5"/>
  </si>
  <si>
    <t>null</t>
    <phoneticPr fontId="5"/>
  </si>
  <si>
    <t>link</t>
  </si>
  <si>
    <t>unit</t>
  </si>
  <si>
    <t>zh-Hant</t>
  </si>
  <si>
    <t>[effect:enemy_message, val1:1.2, val2:0]</t>
  </si>
  <si>
    <t>表示しない</t>
    <phoneticPr fontId="5"/>
  </si>
  <si>
    <t>攻撃力アップ！</t>
    <phoneticPr fontId="5"/>
  </si>
  <si>
    <t>攻撃力さらにアップ！</t>
    <phoneticPr fontId="5"/>
  </si>
  <si>
    <t>防御力アップ！</t>
    <phoneticPr fontId="5"/>
  </si>
  <si>
    <t>防御力さらにアップ！</t>
    <phoneticPr fontId="5"/>
  </si>
  <si>
    <t>攻撃力UP + 全体大ダメージ</t>
    <phoneticPr fontId="5"/>
  </si>
  <si>
    <t>爪攻撃（確率ウィルス）</t>
    <phoneticPr fontId="5"/>
  </si>
  <si>
    <t>3連爪攻撃（確率ウィルス）</t>
    <phoneticPr fontId="5"/>
  </si>
  <si>
    <t>攻撃力UP + 単体大ダメージ</t>
    <phoneticPr fontId="5"/>
  </si>
  <si>
    <t>青パネル全部邪魔パネルになる</t>
    <phoneticPr fontId="5"/>
  </si>
  <si>
    <t>決めセリフ</t>
    <phoneticPr fontId="5"/>
  </si>
  <si>
    <t>一撃必殺</t>
    <phoneticPr fontId="5"/>
  </si>
  <si>
    <t>邪魔パネルを全吸収して全体に特大ダメージ</t>
    <phoneticPr fontId="5"/>
  </si>
  <si>
    <t>チャージ攻撃</t>
    <phoneticPr fontId="5"/>
  </si>
  <si>
    <t>ランダムに一人行動不能になる（３ターン）</t>
    <phoneticPr fontId="5"/>
  </si>
  <si>
    <t>強力な単体攻撃</t>
    <phoneticPr fontId="5"/>
  </si>
  <si>
    <t>行動頻度は１になる</t>
    <phoneticPr fontId="5"/>
  </si>
  <si>
    <t>30%以下</t>
    <phoneticPr fontId="5"/>
  </si>
  <si>
    <t>50%以下</t>
    <phoneticPr fontId="5"/>
  </si>
  <si>
    <t>強力な全体攻撃</t>
    <phoneticPr fontId="5"/>
  </si>
  <si>
    <t>50%以下</t>
    <phoneticPr fontId="5"/>
  </si>
  <si>
    <t>30%以下</t>
    <phoneticPr fontId="5"/>
  </si>
  <si>
    <t>青パネルを吸収して回復(1回だけ)</t>
    <phoneticPr fontId="5"/>
  </si>
  <si>
    <t>everyone</t>
    <phoneticPr fontId="5"/>
  </si>
  <si>
    <t>no_continue</t>
    <phoneticPr fontId="5"/>
  </si>
  <si>
    <t>unit</t>
    <phoneticPr fontId="5"/>
  </si>
  <si>
    <t>2970-01-01 09:00:00</t>
    <phoneticPr fontId="5"/>
  </si>
  <si>
    <t>開幕セリフ（鄭成功遭遇）</t>
    <phoneticPr fontId="5"/>
  </si>
  <si>
    <t>[effect:enemy_message, val1:1.2, val2:0]</t>
    <phoneticPr fontId="5"/>
  </si>
  <si>
    <t>開幕セリフ（鄭成功遭遇）</t>
    <phoneticPr fontId="5"/>
  </si>
  <si>
    <t>鄭成功遭遇</t>
  </si>
  <si>
    <t>開幕ランダムに青パネル生成(最大5個)</t>
    <phoneticPr fontId="5"/>
  </si>
  <si>
    <t>開幕ランダムに青ボム生成(最大5個)</t>
    <phoneticPr fontId="5"/>
  </si>
  <si>
    <t>開幕スキルコスト+1</t>
    <phoneticPr fontId="5"/>
  </si>
  <si>
    <t>開幕邪魔パネルを全部ハートパネルにする</t>
    <phoneticPr fontId="5"/>
  </si>
  <si>
    <t>鄭成功遭遇(50%以下)</t>
    <phoneticPr fontId="5"/>
  </si>
  <si>
    <t>鄭成功遭遇(30%以下)</t>
    <phoneticPr fontId="5"/>
  </si>
  <si>
    <t>ランダムにハートパネルを変換+極小攻撃</t>
    <phoneticPr fontId="5"/>
  </si>
  <si>
    <t>青パネルを吸収して、何も起こらない</t>
    <phoneticPr fontId="5"/>
  </si>
  <si>
    <t>死亡セリフが違う</t>
    <phoneticPr fontId="5"/>
  </si>
  <si>
    <t>攻撃力一気にダウンしちゃった…</t>
    <phoneticPr fontId="5"/>
  </si>
  <si>
    <t>防御力一気にダウンしちゃった…</t>
    <phoneticPr fontId="5"/>
  </si>
  <si>
    <t>[effect:enhance_unit, target:myself, turn:2, status:attack, val:0.2, calc:mul],[effect:critical, val:2, animation:enemy_critical]</t>
    <phoneticPr fontId="5"/>
  </si>
  <si>
    <t>[effect:enemy_message, val1:1.2, val2:0]</t>
    <phoneticPr fontId="5"/>
  </si>
  <si>
    <t>[effect:enhance_unit, target:myself, turn:2,status:attack, val:0.2, calc:mul]</t>
    <phoneticPr fontId="5"/>
  </si>
  <si>
    <t>[effect:enhance_unit, target:myself, turn:4, status:attack, val:0.2, calc:mul]</t>
    <phoneticPr fontId="5"/>
  </si>
  <si>
    <t>[effect:enemy_message, val1:1.2, val2:0]</t>
    <phoneticPr fontId="5"/>
  </si>
  <si>
    <t>[effect:damage_abnormal, target:unit_one, val:0.5, status:virus, turn:3, rate:0.5, val_abnormal:0.1, animation:enemy_virus],[effect:damage_abnormal, target:unit_one, val:0.5, status:virus, turn:3, rate:0.5, val_abnormal:0.1, animation:enemy_virus],[effect:damage_abnormal, target:unit_one, val:0.5, status:virus, turn:3, rate:0.5, val_abnormal:0.1, animation:enemy_virus]</t>
    <phoneticPr fontId="5"/>
  </si>
  <si>
    <t>[effect:enhance_unit, target:myself, turn:-1, status:attack, val:1, calc:mul]</t>
    <phoneticPr fontId="5"/>
  </si>
  <si>
    <t>攻撃力2倍にUP</t>
    <phoneticPr fontId="5"/>
  </si>
  <si>
    <t>[effect:damage_gravity, val:1, animation:fevergauge_down]</t>
    <phoneticPr fontId="5"/>
  </si>
  <si>
    <t>[effect:break_attack, target:enemy_all, val:0.5, lowest_val:1, count:-1, color:red, block01:jammer]</t>
    <phoneticPr fontId="5"/>
  </si>
  <si>
    <t xml:space="preserve">ランダムでパネルを20個時限式ダメージパネルに変換する   </t>
    <phoneticPr fontId="5"/>
  </si>
  <si>
    <t>[effect:sleep, target:unit_one, turn:3, rate:1, animation:sleep01]</t>
    <phoneticPr fontId="5"/>
  </si>
  <si>
    <t>[effect:fix_speed, target:myself, turn:1]</t>
    <phoneticPr fontId="5"/>
  </si>
  <si>
    <t>[effect:critical, val:2, animation:enemy_critical]</t>
    <phoneticPr fontId="5"/>
  </si>
  <si>
    <t>[effect:hungup, target:unit_all, turn:3, rate:1, animation:hungup01]</t>
    <phoneticPr fontId="5"/>
  </si>
  <si>
    <t>[effect:critical, val:2, animation:enemy_critical]</t>
    <phoneticPr fontId="5"/>
  </si>
  <si>
    <t>[effect:critical, val:1, animation:enemy_critical]</t>
    <phoneticPr fontId="5"/>
  </si>
  <si>
    <t>[effect:critical, val:3, animation:enemy_critical]</t>
    <phoneticPr fontId="5"/>
  </si>
  <si>
    <t>[effect:damage_fix_absolute, target:unit_all, val:999999]</t>
    <phoneticPr fontId="5"/>
  </si>
  <si>
    <t>[effect:force_change_block, new_block:jammer, target:block_blue, count:0, val:0]</t>
    <phoneticPr fontId="5"/>
  </si>
  <si>
    <t>[effect:force_change_block, new_block:block_blue, target:block_all, ignore01:crash, ignore02:time_bomb, ignore03:jammer, ignore04:color_break, count:5, val:0]</t>
    <phoneticPr fontId="5"/>
  </si>
  <si>
    <t>[effect:force_change_block, new_block:crack_bomb, target:block_all, ignore01:crash, ignore02:time_bomb, ignore03:jammer, ignore04:color_break, color:block_blue, count:5, val:12]</t>
    <phoneticPr fontId="5"/>
  </si>
  <si>
    <t>[effect:sp_boost, target:unit_all, val:1]</t>
    <phoneticPr fontId="5"/>
  </si>
  <si>
    <t>[effect:force_change_block, new_block:block_heart, target:jammer, count:0, val:0]</t>
    <phoneticPr fontId="5"/>
  </si>
  <si>
    <t>[effect:force_change_block, new_block:block_heart, target:block_all, ignore01:crash, ignore02:crack_bomb, ignore03:time_bomb, ignore04:jammer, count:5, val:0],[effect:damage_fix_absolute, target:unit_one, val:1]</t>
    <phoneticPr fontId="5"/>
  </si>
  <si>
    <t>[effect:break_heal_ratio, target:myself, val:0, lowest_val:0, count:-1, block01:block_blue]</t>
    <phoneticPr fontId="5"/>
  </si>
  <si>
    <t>鄭成功★５対応</t>
    <phoneticPr fontId="5"/>
  </si>
  <si>
    <t>鄭成功★６対応</t>
    <phoneticPr fontId="5"/>
  </si>
  <si>
    <t>complete</t>
    <phoneticPr fontId="5"/>
  </si>
  <si>
    <t>full_member</t>
  </si>
  <si>
    <t>[effect:enhance_unit, target:myself, turn:4, status:defense, val:500, calc:add]</t>
    <phoneticPr fontId="5"/>
  </si>
  <si>
    <t>[effect:enhance_unit, target:myself, turn:2,status:defense, val:500, calc:add]</t>
    <phoneticPr fontId="5"/>
  </si>
  <si>
    <t>[effect:enhance_unit, target:myself, turn:99, status:defense, val:0, calc:mul]</t>
    <phoneticPr fontId="5"/>
  </si>
  <si>
    <t>第1ターン</t>
  </si>
  <si>
    <t>第1ターン</t>
    <phoneticPr fontId="5"/>
  </si>
  <si>
    <t>第2ターン</t>
  </si>
  <si>
    <t>第3ターン</t>
  </si>
  <si>
    <t>第4ターン</t>
  </si>
  <si>
    <t>第6ターン</t>
  </si>
  <si>
    <t>第1ターン</t>
    <phoneticPr fontId="5"/>
  </si>
  <si>
    <t>第3ターン</t>
    <phoneticPr fontId="5"/>
  </si>
  <si>
    <t>第5ターン</t>
  </si>
  <si>
    <t>第5ターン</t>
    <phoneticPr fontId="5"/>
  </si>
  <si>
    <t>先制行動</t>
  </si>
  <si>
    <t>先制行動</t>
    <phoneticPr fontId="5"/>
  </si>
  <si>
    <t>先制行動（セリフ）</t>
    <phoneticPr fontId="5"/>
  </si>
  <si>
    <t>表示しない</t>
  </si>
  <si>
    <t>先制行動</t>
    <phoneticPr fontId="5"/>
  </si>
  <si>
    <t>死亡行動（セリフ）</t>
  </si>
  <si>
    <t>死亡行動（セリフ）</t>
    <phoneticPr fontId="5"/>
  </si>
  <si>
    <t>通常行動</t>
  </si>
  <si>
    <t>通常行動</t>
    <phoneticPr fontId="5"/>
  </si>
  <si>
    <t>通常行動</t>
    <phoneticPr fontId="5"/>
  </si>
  <si>
    <t>表示しない</t>
    <phoneticPr fontId="5"/>
  </si>
  <si>
    <t>通常行動</t>
    <phoneticPr fontId="5"/>
  </si>
  <si>
    <t>50%以下</t>
    <phoneticPr fontId="5"/>
  </si>
  <si>
    <t>50%以下通常行動</t>
    <phoneticPr fontId="5"/>
  </si>
  <si>
    <t>30%以下通常行動</t>
    <phoneticPr fontId="5"/>
  </si>
  <si>
    <t>死亡行動（セリフ）</t>
    <phoneticPr fontId="5"/>
  </si>
  <si>
    <t>死亡行動（セリフ）</t>
    <phoneticPr fontId="5"/>
  </si>
  <si>
    <t>先制行動（セリフ）</t>
    <phoneticPr fontId="5"/>
  </si>
  <si>
    <t>先制行動（セリフ）</t>
    <phoneticPr fontId="5"/>
  </si>
  <si>
    <t>50%以下通常行動</t>
    <phoneticPr fontId="5"/>
  </si>
  <si>
    <t>50%以下通常行動</t>
    <phoneticPr fontId="5"/>
  </si>
  <si>
    <t>通常行動</t>
    <phoneticPr fontId="5"/>
  </si>
  <si>
    <t>50%以下通常行動</t>
    <phoneticPr fontId="5"/>
  </si>
  <si>
    <t>50%以下通常行動(1回限定)</t>
    <phoneticPr fontId="5"/>
  </si>
  <si>
    <t>全体スキルバインド（3ターン）</t>
    <phoneticPr fontId="5"/>
  </si>
  <si>
    <t>大ダメージ</t>
    <phoneticPr fontId="5"/>
  </si>
  <si>
    <t>大ダメージ</t>
    <phoneticPr fontId="5"/>
  </si>
  <si>
    <t>青パネルを邪魔パネルに</t>
    <phoneticPr fontId="5"/>
  </si>
  <si>
    <t>一撃必殺</t>
    <phoneticPr fontId="5"/>
  </si>
  <si>
    <t>zh-Hant</t>
    <phoneticPr fontId="5"/>
  </si>
  <si>
    <t>邪魔パネルx3を生成</t>
    <phoneticPr fontId="5"/>
  </si>
  <si>
    <t>[effect:force_change_block, new_block:jammer, target:block_all, ignore01:crash, ignore02:time_bomb, ignore03:crack_bomb, ignore04:color_break, count:3, val:0]</t>
    <phoneticPr fontId="5"/>
  </si>
  <si>
    <t>[effect:force_change_block, new_block:jammer, target:block_all, ignore01:crash, ignore02:time_bomb, ignore03:crack_bomb, ignore04:color_break, count:3, val:0]</t>
    <phoneticPr fontId="5"/>
  </si>
  <si>
    <t>時限ボムパネルx4を生成</t>
    <phoneticPr fontId="5"/>
  </si>
  <si>
    <t>時限ボムパネルx4を生成</t>
    <phoneticPr fontId="5"/>
  </si>
  <si>
    <t>邪魔パネルx3を生成</t>
    <phoneticPr fontId="5"/>
  </si>
  <si>
    <t>邪魔パネルx3を生成</t>
    <phoneticPr fontId="5"/>
  </si>
  <si>
    <t>第9ターン</t>
  </si>
  <si>
    <t>第9ターン</t>
    <phoneticPr fontId="5"/>
  </si>
  <si>
    <t>第10ターン</t>
  </si>
  <si>
    <t>第10ターン</t>
    <phoneticPr fontId="5"/>
  </si>
  <si>
    <t>邪魔パネルx3を生成</t>
    <phoneticPr fontId="5"/>
  </si>
  <si>
    <t>青パネルは全部邪魔パネルにする</t>
    <phoneticPr fontId="5"/>
  </si>
  <si>
    <t>邪魔パネルを吸収して特大攻撃</t>
    <phoneticPr fontId="5"/>
  </si>
  <si>
    <t>赤パネルは全部時限パネルにする</t>
    <phoneticPr fontId="5"/>
  </si>
  <si>
    <t>時限パネルを吸収して特大攻撃</t>
    <phoneticPr fontId="5"/>
  </si>
  <si>
    <t>[effect:break_attack, target:enemy_all, val:1, lowest_val:1, count:-1, color:red, block01:jammer]</t>
    <phoneticPr fontId="5"/>
  </si>
  <si>
    <t>[effect:break_attack, target:enemy_all, val:1, lowest_val:1, count:-1, color:red, block01:time_bomb]</t>
    <phoneticPr fontId="5"/>
  </si>
  <si>
    <t>[effect:force_change_block, new_block:jammer, target:block_blue, ignore01:crash, ignore02:time_bomb, ignore03:crack_bomb, ignore04:color_break, count:0, val:0]</t>
    <phoneticPr fontId="5"/>
  </si>
  <si>
    <t>[effect:force_change_block, new_block:jammer, target:block_blue, ignore01:crash, ignore02:time_bomb, ignore03:crack_bomb, ignore04:color_break, count:0, val:0]</t>
    <phoneticPr fontId="5"/>
  </si>
  <si>
    <t>死亡行動（セリフ）R5最後</t>
    <phoneticPr fontId="5"/>
  </si>
  <si>
    <t>null</t>
  </si>
  <si>
    <t>[effect:enhance_unit, target:myself, turn:99, status:attack, val:-0.9, calc:mul]</t>
    <phoneticPr fontId="5"/>
  </si>
  <si>
    <t>[effect:force_change_block, new_block:crack_bomb, target:block_all, ignore01:crash, ignore02:time_bomb, ignore03:jammer, ignore04:color_break, color:block_blue, count:5, val:12]</t>
    <phoneticPr fontId="5"/>
  </si>
  <si>
    <t>[effect:force_change_block, new_block:jammer, target:block_all, ignore01:crash, ignore02:crack_bomb, ignore03:time_bomb, ignore04:damage, count:4, val:0],[effect:critical, val:1.1, animation:enemy_critical]</t>
    <phoneticPr fontId="5"/>
  </si>
  <si>
    <t>ランダムに邪魔パネルに変換+攻撃</t>
    <phoneticPr fontId="5"/>
  </si>
  <si>
    <t>[effect:enhance_unit, target:myself, turn:2, status:attack, val:0.2, calc:mul],[effect:critical, val:1.1, animation:enemy_critical]</t>
    <phoneticPr fontId="5"/>
  </si>
  <si>
    <t>時限パネル（赤）をランダム生成</t>
    <phoneticPr fontId="5"/>
  </si>
  <si>
    <t>攻撃力UP + 単体大ダメージ</t>
    <phoneticPr fontId="5"/>
  </si>
  <si>
    <t>時限パネル（赤）をランダム生成 + 単体大ダメージ</t>
    <phoneticPr fontId="5"/>
  </si>
  <si>
    <t>[effect:charge, status:attack, val:1.5]</t>
    <phoneticPr fontId="5"/>
  </si>
  <si>
    <t>[effect:spread, val:0.7]</t>
    <phoneticPr fontId="5"/>
  </si>
  <si>
    <t>邪魔パネルを落ちる（8ターン）</t>
    <phoneticPr fontId="5"/>
  </si>
  <si>
    <t>[effect:drop_block, block_type:jammer, color:block_all, val:0, rate:0.2, turn:8, animation:jammer_influence04]</t>
    <phoneticPr fontId="5"/>
  </si>
  <si>
    <t>[effect:break_heal_ratio, target:myself, val:0.04, lowest_val:600, count:-1, block01:block_blue, animation:enemy_heal]</t>
    <phoneticPr fontId="5"/>
  </si>
  <si>
    <t>[effect:force_change_block, new_block:time_bomb, target:block_all, ignore01:crash, ignore02:time_bomb, ignore03:crack_bomb, ignore04:color_break, color:block_red, count:4, val:0.18, min_time_count:1, max_time_count:3]</t>
    <phoneticPr fontId="5"/>
  </si>
  <si>
    <t>[effect:force_change_block, new_block:time_bomb, target:block_red, ignore01:crash, ignore02:time_bomb, ignore03:crack_bomb, ignore04:color_break, color:block_red, count:0, val:0.18, min_time_count:1, max_time_count:3]</t>
    <phoneticPr fontId="5"/>
  </si>
  <si>
    <t>[effect:force_change_block, new_block:time_bomb, target:block_all, ignore01:crash, ignore02:time_bomb, ignore03:crack_bomb, ignore04:color_break, color:block_red, count:20, val:0.25, min_time_count:1, max_time_count:3]</t>
    <phoneticPr fontId="5"/>
  </si>
  <si>
    <t>[effect:force_change_block, new_block:time_bomb, target:block_all, ignore01:crash, ignore02:time_bomb, ignore03:crack_bomb, ignore04:color_break, color:block_red, count:4, val:0.25, min_time_count:1, max_time_count:3]</t>
    <phoneticPr fontId="5"/>
  </si>
  <si>
    <t>[effect:force_change_block, new_block:time_bomb, target:block_all, ignore01:crash, ignore02:time_bomb, ignore03:crack_bomb, ignore04:color_break, color:block_red, count:4, val:0.25, min_time_count:1, max_time_count:3],[effect:critical, val:1.1, animation:enemy_critical]</t>
    <phoneticPr fontId="5"/>
  </si>
  <si>
    <t>[effect:enhance_unit, target:myself, turn:2, status:attack, val:0.5, calc:mul],[effect:spread, val:0.19]</t>
    <phoneticPr fontId="5"/>
  </si>
  <si>
    <t>[effect:damage_abnormal, target:unit_one, val:1, status:virus, turn:3, rate:0.6, val_abnormal:0.1, animation:enemy_virus]</t>
    <phoneticPr fontId="5"/>
  </si>
  <si>
    <t>[effect:break_attack_fix, target:enemy_all, val:1, lowest_val:1000, count:-1, color:red, block01:crash],[effect:damage_abnormal, target:unit_one, val:1, status:virus, turn:3, rate:0.6, val_abnormal:0.1, animation:enemy_virus]</t>
    <phoneticPr fontId="5"/>
  </si>
  <si>
    <t>Cパネル吸収して攻撃(30%)+毒攻撃</t>
    <phoneticPr fontId="5"/>
  </si>
  <si>
    <t>ja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</si>
</sst>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8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4" xfId="0" applyFont="1" applyBorder="1" applyAlignment="1">
      <alignment vertical="center"/>
    </xf>
    <xf numFmtId="177" fontId="8" fillId="0" borderId="24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4" fillId="0" borderId="27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7" xfId="0" applyNumberFormat="1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16" fillId="0" borderId="23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2" xfId="0" applyBorder="1"/>
    <xf numFmtId="0" fontId="0" fillId="3" borderId="2" xfId="0" applyFill="1" applyBorder="1"/>
    <xf numFmtId="0" fontId="6" fillId="5" borderId="2" xfId="0" applyFont="1" applyFill="1" applyBorder="1" applyAlignment="1">
      <alignment vertical="center"/>
    </xf>
    <xf numFmtId="0" fontId="0" fillId="0" borderId="33" xfId="0" applyBorder="1"/>
    <xf numFmtId="0" fontId="0" fillId="3" borderId="33" xfId="0" applyFill="1" applyBorder="1"/>
    <xf numFmtId="0" fontId="6" fillId="5" borderId="33" xfId="0" applyFont="1" applyFill="1" applyBorder="1" applyAlignment="1">
      <alignment vertic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3" borderId="36" xfId="0" applyFill="1" applyBorder="1"/>
    <xf numFmtId="0" fontId="6" fillId="5" borderId="36" xfId="0" applyFont="1" applyFill="1" applyBorder="1" applyAlignment="1">
      <alignment vertical="center"/>
    </xf>
    <xf numFmtId="0" fontId="0" fillId="0" borderId="37" xfId="0" applyBorder="1"/>
    <xf numFmtId="0" fontId="0" fillId="0" borderId="38" xfId="0" applyBorder="1"/>
    <xf numFmtId="0" fontId="27" fillId="0" borderId="33" xfId="0" applyFont="1" applyFill="1" applyBorder="1"/>
    <xf numFmtId="0" fontId="0" fillId="0" borderId="39" xfId="0" applyBorder="1"/>
    <xf numFmtId="0" fontId="0" fillId="0" borderId="40" xfId="0" applyBorder="1"/>
    <xf numFmtId="0" fontId="27" fillId="0" borderId="36" xfId="0" applyFont="1" applyFill="1" applyBorder="1"/>
    <xf numFmtId="0" fontId="16" fillId="0" borderId="41" xfId="0" applyFont="1" applyBorder="1" applyAlignment="1">
      <alignment vertical="center"/>
    </xf>
    <xf numFmtId="0" fontId="6" fillId="5" borderId="4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6" fillId="0" borderId="9" xfId="0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  <xf numFmtId="0" fontId="4" fillId="6" borderId="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15" borderId="7" xfId="0" applyFont="1" applyFill="1" applyBorder="1" applyAlignment="1">
      <alignment vertical="center"/>
    </xf>
    <xf numFmtId="0" fontId="16" fillId="15" borderId="7" xfId="0" applyFont="1" applyFill="1" applyBorder="1" applyAlignment="1">
      <alignment horizontal="left" vertical="center"/>
    </xf>
    <xf numFmtId="0" fontId="16" fillId="15" borderId="7" xfId="0" applyFont="1" applyFill="1" applyBorder="1" applyAlignment="1">
      <alignment horizontal="left" vertical="center" wrapText="1"/>
    </xf>
    <xf numFmtId="0" fontId="16" fillId="15" borderId="7" xfId="0" applyNumberFormat="1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5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9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/BULL_data/master_excel/QuestMaster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/BULL_data/master_excel/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30046</v>
          </cell>
        </row>
        <row r="172">
          <cell r="A172">
            <v>39001</v>
          </cell>
        </row>
        <row r="173">
          <cell r="A173">
            <v>39002</v>
          </cell>
        </row>
        <row r="174">
          <cell r="A174">
            <v>39003</v>
          </cell>
        </row>
        <row r="175">
          <cell r="A175">
            <v>39004</v>
          </cell>
        </row>
        <row r="176">
          <cell r="A176">
            <v>39005</v>
          </cell>
        </row>
        <row r="177">
          <cell r="A177">
            <v>39006</v>
          </cell>
        </row>
        <row r="178">
          <cell r="A178">
            <v>39007</v>
          </cell>
        </row>
        <row r="179">
          <cell r="A179">
            <v>39008</v>
          </cell>
        </row>
        <row r="180">
          <cell r="A180">
            <v>40001</v>
          </cell>
        </row>
        <row r="181">
          <cell r="A181">
            <v>40002</v>
          </cell>
        </row>
        <row r="182">
          <cell r="A182">
            <v>40003</v>
          </cell>
        </row>
        <row r="183">
          <cell r="A183">
            <v>40004</v>
          </cell>
        </row>
        <row r="184">
          <cell r="A184">
            <v>40005</v>
          </cell>
        </row>
        <row r="185">
          <cell r="A185">
            <v>40006</v>
          </cell>
        </row>
        <row r="186">
          <cell r="A186">
            <v>40007</v>
          </cell>
        </row>
        <row r="187">
          <cell r="A187">
            <v>40008</v>
          </cell>
        </row>
        <row r="188">
          <cell r="A188">
            <v>40009</v>
          </cell>
        </row>
        <row r="189">
          <cell r="A189">
            <v>40010</v>
          </cell>
        </row>
        <row r="190">
          <cell r="A190">
            <v>40011</v>
          </cell>
        </row>
        <row r="191">
          <cell r="A191">
            <v>40012</v>
          </cell>
        </row>
        <row r="192">
          <cell r="A192">
            <v>40013</v>
          </cell>
        </row>
        <row r="193">
          <cell r="A193">
            <v>40014</v>
          </cell>
        </row>
        <row r="194">
          <cell r="A194">
            <v>40015</v>
          </cell>
        </row>
        <row r="195">
          <cell r="A195">
            <v>40016</v>
          </cell>
        </row>
        <row r="196">
          <cell r="A196">
            <v>40017</v>
          </cell>
        </row>
        <row r="197">
          <cell r="A197">
            <v>40018</v>
          </cell>
        </row>
        <row r="198">
          <cell r="A198">
            <v>40019</v>
          </cell>
        </row>
        <row r="199">
          <cell r="A199">
            <v>40021</v>
          </cell>
        </row>
        <row r="200">
          <cell r="A200">
            <v>40022</v>
          </cell>
        </row>
        <row r="201">
          <cell r="A201">
            <v>40023</v>
          </cell>
        </row>
        <row r="202">
          <cell r="A202">
            <v>40024</v>
          </cell>
        </row>
        <row r="203">
          <cell r="A203">
            <v>40025</v>
          </cell>
        </row>
        <row r="204">
          <cell r="A204">
            <v>40026</v>
          </cell>
        </row>
        <row r="205">
          <cell r="A205">
            <v>40027</v>
          </cell>
        </row>
        <row r="206">
          <cell r="A206">
            <v>40028</v>
          </cell>
        </row>
        <row r="207">
          <cell r="A207">
            <v>40029</v>
          </cell>
        </row>
        <row r="208">
          <cell r="A208">
            <v>40030</v>
          </cell>
        </row>
        <row r="209">
          <cell r="A209">
            <v>40031</v>
          </cell>
        </row>
        <row r="210">
          <cell r="A210">
            <v>40032</v>
          </cell>
        </row>
        <row r="211">
          <cell r="A211">
            <v>40033</v>
          </cell>
        </row>
        <row r="212">
          <cell r="A212">
            <v>40034</v>
          </cell>
        </row>
        <row r="213">
          <cell r="A213">
            <v>40035</v>
          </cell>
        </row>
        <row r="214">
          <cell r="A214">
            <v>40036</v>
          </cell>
        </row>
        <row r="215">
          <cell r="A215">
            <v>40037</v>
          </cell>
        </row>
        <row r="216">
          <cell r="A216">
            <v>40038</v>
          </cell>
        </row>
        <row r="217">
          <cell r="A217">
            <v>40039</v>
          </cell>
        </row>
        <row r="218">
          <cell r="A218">
            <v>48001</v>
          </cell>
        </row>
        <row r="219">
          <cell r="A219">
            <v>48002</v>
          </cell>
        </row>
        <row r="220">
          <cell r="A220">
            <v>48003</v>
          </cell>
        </row>
        <row r="221">
          <cell r="A221">
            <v>48004</v>
          </cell>
        </row>
        <row r="222">
          <cell r="A222">
            <v>48005</v>
          </cell>
        </row>
        <row r="223">
          <cell r="A223">
            <v>48006</v>
          </cell>
        </row>
        <row r="224">
          <cell r="A224">
            <v>48007</v>
          </cell>
        </row>
        <row r="225">
          <cell r="A225">
            <v>48008</v>
          </cell>
        </row>
        <row r="226">
          <cell r="A226">
            <v>41001</v>
          </cell>
        </row>
        <row r="227">
          <cell r="A227">
            <v>41002</v>
          </cell>
        </row>
        <row r="228">
          <cell r="A228">
            <v>41003</v>
          </cell>
        </row>
        <row r="229">
          <cell r="A229">
            <v>41004</v>
          </cell>
        </row>
        <row r="230">
          <cell r="A230">
            <v>41005</v>
          </cell>
        </row>
        <row r="231">
          <cell r="A231">
            <v>41006</v>
          </cell>
        </row>
        <row r="232">
          <cell r="A232">
            <v>41007</v>
          </cell>
        </row>
        <row r="233">
          <cell r="A233">
            <v>41008</v>
          </cell>
        </row>
        <row r="234">
          <cell r="A234">
            <v>41009</v>
          </cell>
        </row>
        <row r="235">
          <cell r="A235">
            <v>41010</v>
          </cell>
        </row>
        <row r="236">
          <cell r="A236">
            <v>41011</v>
          </cell>
        </row>
        <row r="237">
          <cell r="A237">
            <v>41012</v>
          </cell>
        </row>
        <row r="238">
          <cell r="A238">
            <v>41013</v>
          </cell>
        </row>
        <row r="239">
          <cell r="A239">
            <v>41014</v>
          </cell>
        </row>
        <row r="240">
          <cell r="A240">
            <v>41015</v>
          </cell>
        </row>
        <row r="241">
          <cell r="A241">
            <v>47001</v>
          </cell>
        </row>
        <row r="242">
          <cell r="A242">
            <v>47002</v>
          </cell>
        </row>
        <row r="243">
          <cell r="A243">
            <v>47003</v>
          </cell>
        </row>
        <row r="244">
          <cell r="A244">
            <v>49001</v>
          </cell>
        </row>
        <row r="245">
          <cell r="A245">
            <v>49002</v>
          </cell>
        </row>
        <row r="246">
          <cell r="A246">
            <v>49003</v>
          </cell>
        </row>
        <row r="247">
          <cell r="A247">
            <v>49004</v>
          </cell>
        </row>
        <row r="248">
          <cell r="A248">
            <v>49005</v>
          </cell>
        </row>
        <row r="249">
          <cell r="A249">
            <v>49006</v>
          </cell>
        </row>
        <row r="250">
          <cell r="A250">
            <v>49007</v>
          </cell>
        </row>
        <row r="251">
          <cell r="A251">
            <v>49008</v>
          </cell>
        </row>
        <row r="252">
          <cell r="A252">
            <v>50001</v>
          </cell>
        </row>
        <row r="253">
          <cell r="A253">
            <v>50002</v>
          </cell>
        </row>
        <row r="254">
          <cell r="A254">
            <v>50003</v>
          </cell>
        </row>
        <row r="255">
          <cell r="A255">
            <v>50004</v>
          </cell>
        </row>
        <row r="256">
          <cell r="A256">
            <v>50005</v>
          </cell>
        </row>
        <row r="257">
          <cell r="A257">
            <v>50006</v>
          </cell>
        </row>
        <row r="258">
          <cell r="A258">
            <v>50007</v>
          </cell>
        </row>
        <row r="259">
          <cell r="A259">
            <v>50008</v>
          </cell>
        </row>
        <row r="260">
          <cell r="A260">
            <v>50009</v>
          </cell>
        </row>
        <row r="261">
          <cell r="A261">
            <v>50010</v>
          </cell>
        </row>
        <row r="262">
          <cell r="A262">
            <v>50011</v>
          </cell>
        </row>
        <row r="263">
          <cell r="A263">
            <v>51001</v>
          </cell>
        </row>
        <row r="264">
          <cell r="A264">
            <v>51002</v>
          </cell>
        </row>
        <row r="265">
          <cell r="A265">
            <v>60001</v>
          </cell>
        </row>
        <row r="266">
          <cell r="A266">
            <v>60002</v>
          </cell>
        </row>
        <row r="267">
          <cell r="A267">
            <v>60003</v>
          </cell>
        </row>
        <row r="268">
          <cell r="A268">
            <v>60004</v>
          </cell>
        </row>
        <row r="269">
          <cell r="A269">
            <v>60005</v>
          </cell>
        </row>
        <row r="270">
          <cell r="A270">
            <v>60006</v>
          </cell>
        </row>
        <row r="271">
          <cell r="A271">
            <v>60007</v>
          </cell>
        </row>
        <row r="272">
          <cell r="A272">
            <v>60010</v>
          </cell>
        </row>
        <row r="273">
          <cell r="A273">
            <v>60011</v>
          </cell>
        </row>
        <row r="274">
          <cell r="A274">
            <v>61011</v>
          </cell>
        </row>
        <row r="275">
          <cell r="A275">
            <v>60012</v>
          </cell>
        </row>
        <row r="276">
          <cell r="A276">
            <v>60013</v>
          </cell>
        </row>
        <row r="277">
          <cell r="A277">
            <v>60014</v>
          </cell>
        </row>
        <row r="278">
          <cell r="A278">
            <v>60015</v>
          </cell>
        </row>
        <row r="279">
          <cell r="A279">
            <v>60016</v>
          </cell>
        </row>
        <row r="280">
          <cell r="A280">
            <v>60017</v>
          </cell>
        </row>
        <row r="281">
          <cell r="A281">
            <v>60018</v>
          </cell>
        </row>
        <row r="282">
          <cell r="A282">
            <v>60019</v>
          </cell>
        </row>
        <row r="283">
          <cell r="A283">
            <v>60020</v>
          </cell>
        </row>
        <row r="284">
          <cell r="A284">
            <v>65525</v>
          </cell>
        </row>
        <row r="285">
          <cell r="A285">
            <v>65526</v>
          </cell>
        </row>
        <row r="286">
          <cell r="A286">
            <v>65533</v>
          </cell>
        </row>
        <row r="287">
          <cell r="A287">
            <v>65534</v>
          </cell>
        </row>
        <row r="288">
          <cell r="A288">
            <v>65535</v>
          </cell>
        </row>
        <row r="289">
          <cell r="A289">
            <v>60021</v>
          </cell>
        </row>
        <row r="290">
          <cell r="A290">
            <v>60022</v>
          </cell>
        </row>
        <row r="291">
          <cell r="A291">
            <v>60023</v>
          </cell>
        </row>
        <row r="292">
          <cell r="A29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30046_1</v>
          </cell>
        </row>
        <row r="616">
          <cell r="A616" t="str">
            <v>30046_2</v>
          </cell>
        </row>
        <row r="617">
          <cell r="A617" t="str">
            <v>30046_3</v>
          </cell>
        </row>
        <row r="618">
          <cell r="A618" t="str">
            <v>39001_1</v>
          </cell>
        </row>
        <row r="619">
          <cell r="A619" t="str">
            <v>39001_2</v>
          </cell>
        </row>
        <row r="620">
          <cell r="A620" t="str">
            <v>39001_3</v>
          </cell>
        </row>
        <row r="621">
          <cell r="A621" t="str">
            <v>39001_4</v>
          </cell>
        </row>
        <row r="622">
          <cell r="A622" t="str">
            <v>39001_5</v>
          </cell>
        </row>
        <row r="623">
          <cell r="A623" t="str">
            <v>39002_1</v>
          </cell>
        </row>
        <row r="624">
          <cell r="A624" t="str">
            <v>39002_2</v>
          </cell>
        </row>
        <row r="625">
          <cell r="A625" t="str">
            <v>39002_3</v>
          </cell>
        </row>
        <row r="626">
          <cell r="A626" t="str">
            <v>39002_4</v>
          </cell>
        </row>
        <row r="627">
          <cell r="A627" t="str">
            <v>39003_1</v>
          </cell>
        </row>
        <row r="628">
          <cell r="A628" t="str">
            <v>39003_2</v>
          </cell>
        </row>
        <row r="629">
          <cell r="A629" t="str">
            <v>39003_3</v>
          </cell>
        </row>
        <row r="630">
          <cell r="A630" t="str">
            <v>39003_4</v>
          </cell>
        </row>
        <row r="631">
          <cell r="A631" t="str">
            <v>39004_1</v>
          </cell>
        </row>
        <row r="632">
          <cell r="A632" t="str">
            <v>39004_2</v>
          </cell>
        </row>
        <row r="633">
          <cell r="A633" t="str">
            <v>39004_3</v>
          </cell>
        </row>
        <row r="634">
          <cell r="A634" t="str">
            <v>39004_4</v>
          </cell>
        </row>
        <row r="635">
          <cell r="A635" t="str">
            <v>39005_1</v>
          </cell>
        </row>
        <row r="636">
          <cell r="A636" t="str">
            <v>39005_2</v>
          </cell>
        </row>
        <row r="637">
          <cell r="A637" t="str">
            <v>39005_3</v>
          </cell>
        </row>
        <row r="638">
          <cell r="A638" t="str">
            <v>39005_4</v>
          </cell>
        </row>
        <row r="639">
          <cell r="A639" t="str">
            <v>39005_5</v>
          </cell>
        </row>
        <row r="640">
          <cell r="A640" t="str">
            <v>39006_1</v>
          </cell>
        </row>
        <row r="641">
          <cell r="A641" t="str">
            <v>39006_2</v>
          </cell>
        </row>
        <row r="642">
          <cell r="A642" t="str">
            <v>39006_3</v>
          </cell>
        </row>
        <row r="643">
          <cell r="A643" t="str">
            <v>39006_4</v>
          </cell>
        </row>
        <row r="644">
          <cell r="A644" t="str">
            <v>39007_1</v>
          </cell>
        </row>
        <row r="645">
          <cell r="A645" t="str">
            <v>39007_2</v>
          </cell>
        </row>
        <row r="646">
          <cell r="A646" t="str">
            <v>39007_3</v>
          </cell>
        </row>
        <row r="647">
          <cell r="A647" t="str">
            <v>39007_4</v>
          </cell>
        </row>
        <row r="648">
          <cell r="A648" t="str">
            <v>39008_1</v>
          </cell>
        </row>
        <row r="649">
          <cell r="A649" t="str">
            <v>39008_2</v>
          </cell>
        </row>
        <row r="650">
          <cell r="A650" t="str">
            <v>39008_3</v>
          </cell>
        </row>
        <row r="651">
          <cell r="A651" t="str">
            <v>39008_4</v>
          </cell>
        </row>
        <row r="652">
          <cell r="A652" t="str">
            <v>39008_5</v>
          </cell>
        </row>
        <row r="653">
          <cell r="A653" t="str">
            <v>40001_1</v>
          </cell>
        </row>
        <row r="654">
          <cell r="A654" t="str">
            <v>40002_1</v>
          </cell>
        </row>
        <row r="655">
          <cell r="A655" t="str">
            <v>40002_2</v>
          </cell>
        </row>
        <row r="656">
          <cell r="A656" t="str">
            <v>40002_3</v>
          </cell>
        </row>
        <row r="657">
          <cell r="A657" t="str">
            <v>40003_1</v>
          </cell>
        </row>
        <row r="658">
          <cell r="A658" t="str">
            <v>40004_1</v>
          </cell>
        </row>
        <row r="659">
          <cell r="A659" t="str">
            <v>40005_1</v>
          </cell>
        </row>
        <row r="660">
          <cell r="A660" t="str">
            <v>40006_1</v>
          </cell>
        </row>
        <row r="661">
          <cell r="A661" t="str">
            <v>40007_1</v>
          </cell>
        </row>
        <row r="662">
          <cell r="A662" t="str">
            <v>40008_1</v>
          </cell>
        </row>
        <row r="663">
          <cell r="A663" t="str">
            <v>40009_1</v>
          </cell>
        </row>
        <row r="664">
          <cell r="A664" t="str">
            <v>40010_1</v>
          </cell>
        </row>
        <row r="665">
          <cell r="A665" t="str">
            <v>40011_1</v>
          </cell>
        </row>
        <row r="666">
          <cell r="A666" t="str">
            <v>40012_1</v>
          </cell>
        </row>
        <row r="667">
          <cell r="A667" t="str">
            <v>40013_1</v>
          </cell>
        </row>
        <row r="668">
          <cell r="A668" t="str">
            <v>40014_1</v>
          </cell>
        </row>
        <row r="669">
          <cell r="A669" t="str">
            <v>40015_1</v>
          </cell>
        </row>
        <row r="670">
          <cell r="A670" t="str">
            <v>40016_1</v>
          </cell>
        </row>
        <row r="671">
          <cell r="A671" t="str">
            <v>40016_2</v>
          </cell>
        </row>
        <row r="672">
          <cell r="A672" t="str">
            <v>40017_1</v>
          </cell>
        </row>
        <row r="673">
          <cell r="A673" t="str">
            <v>40017_2</v>
          </cell>
        </row>
        <row r="674">
          <cell r="A674" t="str">
            <v>40017_3</v>
          </cell>
        </row>
        <row r="675">
          <cell r="A675" t="str">
            <v>40018_1</v>
          </cell>
        </row>
        <row r="676">
          <cell r="A676" t="str">
            <v>40018_2</v>
          </cell>
        </row>
        <row r="677">
          <cell r="A677" t="str">
            <v>40018_3</v>
          </cell>
        </row>
        <row r="678">
          <cell r="A678" t="str">
            <v>40019_1</v>
          </cell>
        </row>
        <row r="679">
          <cell r="A679" t="str">
            <v>40019_2</v>
          </cell>
        </row>
        <row r="680">
          <cell r="A680" t="str">
            <v>40019_3</v>
          </cell>
        </row>
        <row r="681">
          <cell r="A681" t="str">
            <v>40021_1</v>
          </cell>
        </row>
        <row r="682">
          <cell r="A682" t="str">
            <v>40021_2</v>
          </cell>
        </row>
        <row r="683">
          <cell r="A683" t="str">
            <v>40022_1</v>
          </cell>
        </row>
        <row r="684">
          <cell r="A684" t="str">
            <v>40022_2</v>
          </cell>
        </row>
        <row r="685">
          <cell r="A685" t="str">
            <v>40023_1</v>
          </cell>
        </row>
        <row r="686">
          <cell r="A686" t="str">
            <v>40023_2</v>
          </cell>
        </row>
        <row r="687">
          <cell r="A687" t="str">
            <v>40024_1</v>
          </cell>
        </row>
        <row r="688">
          <cell r="A688" t="str">
            <v>40024_2</v>
          </cell>
        </row>
        <row r="689">
          <cell r="A689" t="str">
            <v>40025_1</v>
          </cell>
        </row>
        <row r="690">
          <cell r="A690" t="str">
            <v>40025_2</v>
          </cell>
        </row>
        <row r="691">
          <cell r="A691" t="str">
            <v>40026_1</v>
          </cell>
        </row>
        <row r="692">
          <cell r="A692" t="str">
            <v>40026_2</v>
          </cell>
        </row>
        <row r="693">
          <cell r="A693" t="str">
            <v>40027_1</v>
          </cell>
        </row>
        <row r="694">
          <cell r="A694" t="str">
            <v>40027_2</v>
          </cell>
        </row>
        <row r="695">
          <cell r="A695" t="str">
            <v>40028_1</v>
          </cell>
        </row>
        <row r="696">
          <cell r="A696" t="str">
            <v>40028_2</v>
          </cell>
        </row>
        <row r="697">
          <cell r="A697" t="str">
            <v>40029_1</v>
          </cell>
        </row>
        <row r="698">
          <cell r="A698" t="str">
            <v>40029_2</v>
          </cell>
        </row>
        <row r="699">
          <cell r="A699" t="str">
            <v>40030_1</v>
          </cell>
        </row>
        <row r="700">
          <cell r="A700" t="str">
            <v>40030_2</v>
          </cell>
        </row>
        <row r="701">
          <cell r="A701" t="str">
            <v>40031_1</v>
          </cell>
        </row>
        <row r="702">
          <cell r="A702" t="str">
            <v>40031_2</v>
          </cell>
        </row>
        <row r="703">
          <cell r="A703" t="str">
            <v>40032_1</v>
          </cell>
        </row>
        <row r="704">
          <cell r="A704" t="str">
            <v>40032_2</v>
          </cell>
        </row>
        <row r="705">
          <cell r="A705" t="str">
            <v>40033_1</v>
          </cell>
        </row>
        <row r="706">
          <cell r="A706" t="str">
            <v>40033_2</v>
          </cell>
        </row>
        <row r="707">
          <cell r="A707" t="str">
            <v>40034_1</v>
          </cell>
        </row>
        <row r="708">
          <cell r="A708" t="str">
            <v>40034_2</v>
          </cell>
        </row>
        <row r="709">
          <cell r="A709" t="str">
            <v>40035_1</v>
          </cell>
        </row>
        <row r="710">
          <cell r="A710" t="str">
            <v>40035_2</v>
          </cell>
        </row>
        <row r="711">
          <cell r="A711" t="str">
            <v>40036_1</v>
          </cell>
        </row>
        <row r="712">
          <cell r="A712" t="str">
            <v>40036_2</v>
          </cell>
        </row>
        <row r="713">
          <cell r="A713" t="str">
            <v>40037_1</v>
          </cell>
        </row>
        <row r="714">
          <cell r="A714" t="str">
            <v>40037_2</v>
          </cell>
        </row>
        <row r="715">
          <cell r="A715" t="str">
            <v>40038_1</v>
          </cell>
        </row>
        <row r="716">
          <cell r="A716" t="str">
            <v>40038_2</v>
          </cell>
        </row>
        <row r="717">
          <cell r="A717" t="str">
            <v>40039_1</v>
          </cell>
        </row>
        <row r="718">
          <cell r="A718" t="str">
            <v>40039_2</v>
          </cell>
        </row>
        <row r="719">
          <cell r="A719" t="str">
            <v>41001_1</v>
          </cell>
        </row>
        <row r="720">
          <cell r="A720" t="str">
            <v>41001_2</v>
          </cell>
        </row>
        <row r="721">
          <cell r="A721" t="str">
            <v>41001_3</v>
          </cell>
        </row>
        <row r="722">
          <cell r="A722" t="str">
            <v>41002_1</v>
          </cell>
        </row>
        <row r="723">
          <cell r="A723" t="str">
            <v>41002_2</v>
          </cell>
        </row>
        <row r="724">
          <cell r="A724" t="str">
            <v>41002_3</v>
          </cell>
        </row>
        <row r="725">
          <cell r="A725" t="str">
            <v>41003_1</v>
          </cell>
        </row>
        <row r="726">
          <cell r="A726" t="str">
            <v>41003_2</v>
          </cell>
        </row>
        <row r="727">
          <cell r="A727" t="str">
            <v>41003_3</v>
          </cell>
        </row>
        <row r="728">
          <cell r="A728" t="str">
            <v>41004_1</v>
          </cell>
        </row>
        <row r="729">
          <cell r="A729" t="str">
            <v>41004_2</v>
          </cell>
        </row>
        <row r="730">
          <cell r="A730" t="str">
            <v>41004_3</v>
          </cell>
        </row>
        <row r="731">
          <cell r="A731" t="str">
            <v>41005_1</v>
          </cell>
        </row>
        <row r="732">
          <cell r="A732" t="str">
            <v>41005_2</v>
          </cell>
        </row>
        <row r="733">
          <cell r="A733" t="str">
            <v>41005_3</v>
          </cell>
        </row>
        <row r="734">
          <cell r="A734" t="str">
            <v>41006_1</v>
          </cell>
        </row>
        <row r="735">
          <cell r="A735" t="str">
            <v>41006_2</v>
          </cell>
        </row>
        <row r="736">
          <cell r="A736" t="str">
            <v>41006_3</v>
          </cell>
        </row>
        <row r="737">
          <cell r="A737" t="str">
            <v>41007_1</v>
          </cell>
        </row>
        <row r="738">
          <cell r="A738" t="str">
            <v>41007_2</v>
          </cell>
        </row>
        <row r="739">
          <cell r="A739" t="str">
            <v>41007_3</v>
          </cell>
        </row>
        <row r="740">
          <cell r="A740" t="str">
            <v>41008_1</v>
          </cell>
        </row>
        <row r="741">
          <cell r="A741" t="str">
            <v>41008_2</v>
          </cell>
        </row>
        <row r="742">
          <cell r="A742" t="str">
            <v>41008_3</v>
          </cell>
        </row>
        <row r="743">
          <cell r="A743" t="str">
            <v>41009_1</v>
          </cell>
        </row>
        <row r="744">
          <cell r="A744" t="str">
            <v>41009_2</v>
          </cell>
        </row>
        <row r="745">
          <cell r="A745" t="str">
            <v>41009_3</v>
          </cell>
        </row>
        <row r="746">
          <cell r="A746" t="str">
            <v>41010_1</v>
          </cell>
        </row>
        <row r="747">
          <cell r="A747" t="str">
            <v>41010_2</v>
          </cell>
        </row>
        <row r="748">
          <cell r="A748" t="str">
            <v>41010_3</v>
          </cell>
        </row>
        <row r="749">
          <cell r="A749" t="str">
            <v>41011_1</v>
          </cell>
        </row>
        <row r="750">
          <cell r="A750" t="str">
            <v>41011_2</v>
          </cell>
        </row>
        <row r="751">
          <cell r="A751" t="str">
            <v>41012_1</v>
          </cell>
        </row>
        <row r="752">
          <cell r="A752" t="str">
            <v>41012_2</v>
          </cell>
        </row>
        <row r="753">
          <cell r="A753" t="str">
            <v>41013_1</v>
          </cell>
        </row>
        <row r="754">
          <cell r="A754" t="str">
            <v>41013_2</v>
          </cell>
        </row>
        <row r="755">
          <cell r="A755" t="str">
            <v>41014_1</v>
          </cell>
        </row>
        <row r="756">
          <cell r="A756" t="str">
            <v>41014_2</v>
          </cell>
        </row>
        <row r="757">
          <cell r="A757" t="str">
            <v>41015_1</v>
          </cell>
        </row>
        <row r="758">
          <cell r="A758" t="str">
            <v>41015_2</v>
          </cell>
        </row>
        <row r="759">
          <cell r="A759" t="str">
            <v>47001_1</v>
          </cell>
        </row>
        <row r="760">
          <cell r="A760" t="str">
            <v>47001_2</v>
          </cell>
        </row>
        <row r="761">
          <cell r="A761" t="str">
            <v>47002_1</v>
          </cell>
        </row>
        <row r="762">
          <cell r="A762" t="str">
            <v>47002_2</v>
          </cell>
        </row>
        <row r="763">
          <cell r="A763" t="str">
            <v>47003_1</v>
          </cell>
        </row>
        <row r="764">
          <cell r="A764" t="str">
            <v>47003_2</v>
          </cell>
        </row>
        <row r="765">
          <cell r="A765" t="str">
            <v>47003_3</v>
          </cell>
        </row>
        <row r="766">
          <cell r="A766" t="str">
            <v>47003_4</v>
          </cell>
        </row>
        <row r="767">
          <cell r="A767" t="str">
            <v>48001_1</v>
          </cell>
        </row>
        <row r="768">
          <cell r="A768" t="str">
            <v>48002_1</v>
          </cell>
        </row>
        <row r="769">
          <cell r="A769" t="str">
            <v>48002_2</v>
          </cell>
        </row>
        <row r="770">
          <cell r="A770" t="str">
            <v>48002_3</v>
          </cell>
        </row>
        <row r="771">
          <cell r="A771" t="str">
            <v>48003_1</v>
          </cell>
        </row>
        <row r="772">
          <cell r="A772" t="str">
            <v>48003_2</v>
          </cell>
        </row>
        <row r="773">
          <cell r="A773" t="str">
            <v>48003_3</v>
          </cell>
        </row>
        <row r="774">
          <cell r="A774" t="str">
            <v>48004_1</v>
          </cell>
        </row>
        <row r="775">
          <cell r="A775" t="str">
            <v>48004_2</v>
          </cell>
        </row>
        <row r="776">
          <cell r="A776" t="str">
            <v>48005_1</v>
          </cell>
        </row>
        <row r="777">
          <cell r="A777" t="str">
            <v>48005_2</v>
          </cell>
        </row>
        <row r="778">
          <cell r="A778" t="str">
            <v>48006_1</v>
          </cell>
        </row>
        <row r="779">
          <cell r="A779" t="str">
            <v>48006_2</v>
          </cell>
        </row>
        <row r="780">
          <cell r="A780" t="str">
            <v>48007_1</v>
          </cell>
        </row>
        <row r="781">
          <cell r="A781" t="str">
            <v>48007_2</v>
          </cell>
        </row>
        <row r="782">
          <cell r="A782" t="str">
            <v>48008_1</v>
          </cell>
        </row>
        <row r="783">
          <cell r="A783" t="str">
            <v>48008_2</v>
          </cell>
        </row>
        <row r="784">
          <cell r="A784" t="str">
            <v>49001_1</v>
          </cell>
        </row>
        <row r="785">
          <cell r="A785" t="str">
            <v>49002_1</v>
          </cell>
        </row>
        <row r="786">
          <cell r="A786" t="str">
            <v>49002_2</v>
          </cell>
        </row>
        <row r="787">
          <cell r="A787" t="str">
            <v>49003_1</v>
          </cell>
        </row>
        <row r="788">
          <cell r="A788" t="str">
            <v>49003_2</v>
          </cell>
        </row>
        <row r="789">
          <cell r="A789" t="str">
            <v>49004_1</v>
          </cell>
        </row>
        <row r="790">
          <cell r="A790" t="str">
            <v>49004_2</v>
          </cell>
        </row>
        <row r="791">
          <cell r="A791" t="str">
            <v>49004_3</v>
          </cell>
        </row>
        <row r="792">
          <cell r="A792" t="str">
            <v>49005_1</v>
          </cell>
        </row>
        <row r="793">
          <cell r="A793" t="str">
            <v>49006_1</v>
          </cell>
        </row>
        <row r="794">
          <cell r="A794" t="str">
            <v>49006_2</v>
          </cell>
        </row>
        <row r="795">
          <cell r="A795" t="str">
            <v>49007_1</v>
          </cell>
        </row>
        <row r="796">
          <cell r="A796" t="str">
            <v>49007_2</v>
          </cell>
        </row>
        <row r="797">
          <cell r="A797" t="str">
            <v>49007_3</v>
          </cell>
        </row>
        <row r="798">
          <cell r="A798" t="str">
            <v>49008_1</v>
          </cell>
        </row>
        <row r="799">
          <cell r="A799" t="str">
            <v>50001_1</v>
          </cell>
        </row>
        <row r="800">
          <cell r="A800" t="str">
            <v>50002_1</v>
          </cell>
        </row>
        <row r="801">
          <cell r="A801" t="str">
            <v>50003_1</v>
          </cell>
        </row>
        <row r="802">
          <cell r="A802" t="str">
            <v>50004_1</v>
          </cell>
        </row>
        <row r="803">
          <cell r="A803" t="str">
            <v>50005_1</v>
          </cell>
        </row>
        <row r="804">
          <cell r="A804" t="str">
            <v>50006_1</v>
          </cell>
        </row>
        <row r="805">
          <cell r="A805" t="str">
            <v>50007_1</v>
          </cell>
        </row>
        <row r="806">
          <cell r="A806" t="str">
            <v>50008_1</v>
          </cell>
        </row>
        <row r="807">
          <cell r="A807" t="str">
            <v>50009_1</v>
          </cell>
        </row>
        <row r="808">
          <cell r="A808" t="str">
            <v>50010_1</v>
          </cell>
        </row>
        <row r="809">
          <cell r="A809" t="str">
            <v>50011_1</v>
          </cell>
        </row>
        <row r="810">
          <cell r="A810" t="str">
            <v>51001_1</v>
          </cell>
        </row>
        <row r="811">
          <cell r="A811" t="str">
            <v>51002_1</v>
          </cell>
        </row>
        <row r="812">
          <cell r="A812" t="str">
            <v>60001_1</v>
          </cell>
        </row>
        <row r="813">
          <cell r="A813" t="str">
            <v>60002_1</v>
          </cell>
        </row>
        <row r="814">
          <cell r="A814" t="str">
            <v>60002_2</v>
          </cell>
        </row>
        <row r="815">
          <cell r="A815" t="str">
            <v>60003_1</v>
          </cell>
        </row>
        <row r="816">
          <cell r="A816" t="str">
            <v>60003_2</v>
          </cell>
        </row>
        <row r="817">
          <cell r="A817" t="str">
            <v>60003_3</v>
          </cell>
        </row>
        <row r="818">
          <cell r="A818" t="str">
            <v>60004_1</v>
          </cell>
        </row>
        <row r="819">
          <cell r="A819" t="str">
            <v>60005_1</v>
          </cell>
        </row>
        <row r="820">
          <cell r="A820" t="str">
            <v>60006_1</v>
          </cell>
        </row>
        <row r="821">
          <cell r="A821" t="str">
            <v>60006_2</v>
          </cell>
        </row>
        <row r="822">
          <cell r="A822" t="str">
            <v>60006_3</v>
          </cell>
        </row>
        <row r="823">
          <cell r="A823" t="str">
            <v>60007_1</v>
          </cell>
        </row>
        <row r="824">
          <cell r="A824" t="str">
            <v>60007_2</v>
          </cell>
        </row>
        <row r="825">
          <cell r="A825" t="str">
            <v>60007_3</v>
          </cell>
        </row>
        <row r="826">
          <cell r="A826" t="str">
            <v>60010_1</v>
          </cell>
        </row>
        <row r="827">
          <cell r="A827" t="str">
            <v>60011_1</v>
          </cell>
        </row>
        <row r="828">
          <cell r="A828" t="str">
            <v>60011_2</v>
          </cell>
        </row>
        <row r="829">
          <cell r="A829" t="str">
            <v>60012_1</v>
          </cell>
        </row>
        <row r="830">
          <cell r="A830" t="str">
            <v>60013_1</v>
          </cell>
        </row>
        <row r="831">
          <cell r="A831" t="str">
            <v>60013_2</v>
          </cell>
        </row>
        <row r="832">
          <cell r="A832" t="str">
            <v>60013_3</v>
          </cell>
        </row>
        <row r="833">
          <cell r="A833" t="str">
            <v>60014_1</v>
          </cell>
        </row>
        <row r="834">
          <cell r="A834" t="str">
            <v>60015_1</v>
          </cell>
        </row>
        <row r="835">
          <cell r="A835" t="str">
            <v>60016_1</v>
          </cell>
        </row>
        <row r="836">
          <cell r="A836" t="str">
            <v>60017_1</v>
          </cell>
        </row>
        <row r="837">
          <cell r="A837" t="str">
            <v>60018_1</v>
          </cell>
        </row>
        <row r="838">
          <cell r="A838" t="str">
            <v>60019_1</v>
          </cell>
        </row>
        <row r="839">
          <cell r="A839" t="str">
            <v>60020_1</v>
          </cell>
        </row>
        <row r="840">
          <cell r="A840" t="str">
            <v>60021_3</v>
          </cell>
        </row>
        <row r="841">
          <cell r="A841" t="str">
            <v>60022_3</v>
          </cell>
        </row>
        <row r="842">
          <cell r="A842" t="str">
            <v>60023_3</v>
          </cell>
        </row>
        <row r="843">
          <cell r="A843" t="str">
            <v>60024_3</v>
          </cell>
        </row>
        <row r="844">
          <cell r="A844" t="str">
            <v>61011_1</v>
          </cell>
        </row>
        <row r="845">
          <cell r="A845" t="str">
            <v>65525_1</v>
          </cell>
        </row>
        <row r="846">
          <cell r="A846" t="str">
            <v>65526_1</v>
          </cell>
        </row>
        <row r="847">
          <cell r="A847" t="str">
            <v>65533_1</v>
          </cell>
        </row>
        <row r="848">
          <cell r="A848" t="str">
            <v>65533_2</v>
          </cell>
        </row>
        <row r="849">
          <cell r="A849" t="str">
            <v>65534_1</v>
          </cell>
        </row>
        <row r="850">
          <cell r="A850" t="str">
            <v>65535_1</v>
          </cell>
        </row>
        <row r="851">
          <cell r="A851" t="str">
            <v>65535_2</v>
          </cell>
        </row>
        <row r="852">
          <cell r="A852" t="str">
            <v>65535_3</v>
          </cell>
        </row>
        <row r="853">
          <cell r="A853" t="str">
            <v>65535_4</v>
          </cell>
        </row>
        <row r="854">
          <cell r="A854" t="str">
            <v>65535_5</v>
          </cell>
        </row>
        <row r="855">
          <cell r="A855" t="str">
            <v>65535_6</v>
          </cell>
        </row>
        <row r="856">
          <cell r="A856" t="str">
            <v>65535_7</v>
          </cell>
        </row>
        <row r="857">
          <cell r="A857" t="str">
            <v>65535_8</v>
          </cell>
        </row>
        <row r="858">
          <cell r="A858" t="str">
            <v>65535_9</v>
          </cell>
        </row>
        <row r="859">
          <cell r="A859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 refreshError="1"/>
      <sheetData sheetId="1" refreshError="1"/>
      <sheetData sheetId="2" refreshError="1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13101</v>
          </cell>
        </row>
        <row r="91">
          <cell r="A91">
            <v>13300</v>
          </cell>
        </row>
        <row r="92">
          <cell r="A92">
            <v>14001</v>
          </cell>
        </row>
        <row r="93">
          <cell r="A93">
            <v>14002</v>
          </cell>
        </row>
        <row r="94">
          <cell r="A94">
            <v>14003</v>
          </cell>
        </row>
        <row r="95">
          <cell r="A95">
            <v>14004</v>
          </cell>
        </row>
        <row r="96">
          <cell r="A96">
            <v>14005</v>
          </cell>
        </row>
        <row r="97">
          <cell r="A97">
            <v>14006</v>
          </cell>
        </row>
        <row r="98">
          <cell r="A98">
            <v>15027</v>
          </cell>
        </row>
        <row r="99">
          <cell r="A99">
            <v>15028</v>
          </cell>
        </row>
        <row r="100">
          <cell r="A100">
            <v>15029</v>
          </cell>
        </row>
        <row r="101">
          <cell r="A101">
            <v>15030</v>
          </cell>
        </row>
        <row r="102">
          <cell r="A102">
            <v>15031</v>
          </cell>
        </row>
        <row r="103">
          <cell r="A103">
            <v>20001</v>
          </cell>
        </row>
        <row r="104">
          <cell r="A104">
            <v>20002</v>
          </cell>
        </row>
        <row r="105">
          <cell r="A105">
            <v>20003</v>
          </cell>
        </row>
        <row r="106">
          <cell r="A106">
            <v>20004</v>
          </cell>
        </row>
        <row r="107">
          <cell r="A107">
            <v>20005</v>
          </cell>
        </row>
        <row r="108">
          <cell r="A108">
            <v>20006</v>
          </cell>
        </row>
        <row r="109">
          <cell r="A109">
            <v>20007</v>
          </cell>
        </row>
        <row r="110">
          <cell r="A110">
            <v>20008</v>
          </cell>
        </row>
        <row r="111">
          <cell r="A111">
            <v>20009</v>
          </cell>
        </row>
        <row r="112">
          <cell r="A112">
            <v>20010</v>
          </cell>
        </row>
        <row r="113">
          <cell r="A113">
            <v>20011</v>
          </cell>
        </row>
        <row r="114">
          <cell r="A114">
            <v>20012</v>
          </cell>
        </row>
        <row r="115">
          <cell r="A115">
            <v>20013</v>
          </cell>
        </row>
        <row r="116">
          <cell r="A116">
            <v>20014</v>
          </cell>
        </row>
        <row r="117">
          <cell r="A117">
            <v>20015</v>
          </cell>
        </row>
        <row r="118">
          <cell r="A118">
            <v>20016</v>
          </cell>
        </row>
        <row r="119">
          <cell r="A119">
            <v>20017</v>
          </cell>
        </row>
        <row r="120">
          <cell r="A120">
            <v>20018</v>
          </cell>
        </row>
        <row r="121">
          <cell r="A121">
            <v>20019</v>
          </cell>
        </row>
        <row r="122">
          <cell r="A122">
            <v>20020</v>
          </cell>
        </row>
        <row r="123">
          <cell r="A123">
            <v>20021</v>
          </cell>
        </row>
        <row r="124">
          <cell r="A124">
            <v>30001</v>
          </cell>
        </row>
        <row r="125">
          <cell r="A125">
            <v>30002</v>
          </cell>
        </row>
        <row r="126">
          <cell r="A126">
            <v>30003</v>
          </cell>
        </row>
        <row r="127">
          <cell r="A127">
            <v>30004</v>
          </cell>
        </row>
        <row r="128">
          <cell r="A128">
            <v>30005</v>
          </cell>
        </row>
        <row r="129">
          <cell r="A129">
            <v>30006</v>
          </cell>
        </row>
        <row r="130">
          <cell r="A130">
            <v>30007</v>
          </cell>
        </row>
        <row r="131">
          <cell r="A131">
            <v>30008</v>
          </cell>
        </row>
        <row r="132">
          <cell r="A132">
            <v>30009</v>
          </cell>
        </row>
        <row r="133">
          <cell r="A133">
            <v>30010</v>
          </cell>
        </row>
        <row r="134">
          <cell r="A134">
            <v>30011</v>
          </cell>
        </row>
        <row r="135">
          <cell r="A135">
            <v>30012</v>
          </cell>
        </row>
        <row r="136">
          <cell r="A136">
            <v>30013</v>
          </cell>
        </row>
        <row r="137">
          <cell r="A137">
            <v>30014</v>
          </cell>
        </row>
        <row r="138">
          <cell r="A138">
            <v>30015</v>
          </cell>
        </row>
        <row r="139">
          <cell r="A139">
            <v>30016</v>
          </cell>
        </row>
        <row r="140">
          <cell r="A140">
            <v>30017</v>
          </cell>
        </row>
        <row r="141">
          <cell r="A141">
            <v>30018</v>
          </cell>
        </row>
        <row r="142">
          <cell r="A142">
            <v>30019</v>
          </cell>
        </row>
        <row r="143">
          <cell r="A143">
            <v>30020</v>
          </cell>
        </row>
        <row r="144">
          <cell r="A144">
            <v>30021</v>
          </cell>
        </row>
        <row r="145">
          <cell r="A145">
            <v>30022</v>
          </cell>
        </row>
        <row r="146">
          <cell r="A146">
            <v>30023</v>
          </cell>
        </row>
        <row r="147">
          <cell r="A147">
            <v>30024</v>
          </cell>
        </row>
        <row r="148">
          <cell r="A148">
            <v>30025</v>
          </cell>
        </row>
        <row r="149">
          <cell r="A149">
            <v>30026</v>
          </cell>
        </row>
        <row r="150">
          <cell r="A150">
            <v>30027</v>
          </cell>
        </row>
        <row r="151">
          <cell r="A151">
            <v>30028</v>
          </cell>
        </row>
        <row r="152">
          <cell r="A152">
            <v>30029</v>
          </cell>
        </row>
        <row r="153">
          <cell r="A153">
            <v>30030</v>
          </cell>
        </row>
        <row r="154">
          <cell r="A154">
            <v>30031</v>
          </cell>
        </row>
        <row r="155">
          <cell r="A155">
            <v>30032</v>
          </cell>
        </row>
        <row r="156">
          <cell r="A156">
            <v>30033</v>
          </cell>
        </row>
        <row r="157">
          <cell r="A157">
            <v>30034</v>
          </cell>
        </row>
        <row r="158">
          <cell r="A158">
            <v>30035</v>
          </cell>
        </row>
        <row r="159">
          <cell r="A159">
            <v>30036</v>
          </cell>
        </row>
        <row r="160">
          <cell r="A160">
            <v>30037</v>
          </cell>
        </row>
        <row r="161">
          <cell r="A161">
            <v>30038</v>
          </cell>
        </row>
        <row r="162">
          <cell r="A162">
            <v>30039</v>
          </cell>
        </row>
        <row r="163">
          <cell r="A163">
            <v>30040</v>
          </cell>
        </row>
        <row r="164">
          <cell r="A164">
            <v>30041</v>
          </cell>
        </row>
        <row r="165">
          <cell r="A165">
            <v>39001</v>
          </cell>
        </row>
        <row r="166">
          <cell r="A166">
            <v>39002</v>
          </cell>
        </row>
        <row r="167">
          <cell r="A167">
            <v>39003</v>
          </cell>
        </row>
        <row r="168">
          <cell r="A168">
            <v>39004</v>
          </cell>
        </row>
        <row r="169">
          <cell r="A169">
            <v>39005</v>
          </cell>
        </row>
        <row r="170">
          <cell r="A170">
            <v>39006</v>
          </cell>
        </row>
        <row r="171">
          <cell r="A171">
            <v>39007</v>
          </cell>
        </row>
        <row r="172">
          <cell r="A172">
            <v>40001</v>
          </cell>
        </row>
        <row r="173">
          <cell r="A173">
            <v>40002</v>
          </cell>
        </row>
        <row r="174">
          <cell r="A174">
            <v>40003</v>
          </cell>
        </row>
        <row r="175">
          <cell r="A175">
            <v>40004</v>
          </cell>
        </row>
        <row r="176">
          <cell r="A176">
            <v>40005</v>
          </cell>
        </row>
        <row r="177">
          <cell r="A177">
            <v>40006</v>
          </cell>
        </row>
        <row r="178">
          <cell r="A178">
            <v>40007</v>
          </cell>
        </row>
        <row r="179">
          <cell r="A179">
            <v>40008</v>
          </cell>
        </row>
        <row r="180">
          <cell r="A180">
            <v>40009</v>
          </cell>
        </row>
        <row r="181">
          <cell r="A181">
            <v>40010</v>
          </cell>
        </row>
        <row r="182">
          <cell r="A182">
            <v>40011</v>
          </cell>
        </row>
        <row r="183">
          <cell r="A183">
            <v>40012</v>
          </cell>
        </row>
        <row r="184">
          <cell r="A184">
            <v>40013</v>
          </cell>
        </row>
        <row r="185">
          <cell r="A185">
            <v>40014</v>
          </cell>
        </row>
        <row r="186">
          <cell r="A186">
            <v>40015</v>
          </cell>
        </row>
        <row r="187">
          <cell r="A187">
            <v>40016</v>
          </cell>
        </row>
        <row r="188">
          <cell r="A188">
            <v>40017</v>
          </cell>
        </row>
        <row r="189">
          <cell r="A189">
            <v>40018</v>
          </cell>
        </row>
        <row r="190">
          <cell r="A190">
            <v>40019</v>
          </cell>
        </row>
        <row r="191">
          <cell r="A191">
            <v>40021</v>
          </cell>
        </row>
        <row r="192">
          <cell r="A192">
            <v>40022</v>
          </cell>
        </row>
        <row r="193">
          <cell r="A193">
            <v>40023</v>
          </cell>
        </row>
        <row r="194">
          <cell r="A194">
            <v>40024</v>
          </cell>
        </row>
        <row r="195">
          <cell r="A195">
            <v>40025</v>
          </cell>
        </row>
        <row r="196">
          <cell r="A196">
            <v>40026</v>
          </cell>
        </row>
        <row r="197">
          <cell r="A197">
            <v>40027</v>
          </cell>
        </row>
        <row r="198">
          <cell r="A198">
            <v>40028</v>
          </cell>
        </row>
        <row r="199">
          <cell r="A199">
            <v>40029</v>
          </cell>
        </row>
        <row r="200">
          <cell r="A200">
            <v>48001</v>
          </cell>
        </row>
        <row r="201">
          <cell r="A201">
            <v>48002</v>
          </cell>
        </row>
        <row r="202">
          <cell r="A202">
            <v>48003</v>
          </cell>
        </row>
        <row r="203">
          <cell r="A203">
            <v>48004</v>
          </cell>
        </row>
        <row r="204">
          <cell r="A204">
            <v>48005</v>
          </cell>
        </row>
        <row r="205">
          <cell r="A205">
            <v>48006</v>
          </cell>
        </row>
        <row r="206">
          <cell r="A206">
            <v>41001</v>
          </cell>
        </row>
        <row r="207">
          <cell r="A207">
            <v>41002</v>
          </cell>
        </row>
        <row r="208">
          <cell r="A208">
            <v>41003</v>
          </cell>
        </row>
        <row r="209">
          <cell r="A209">
            <v>41004</v>
          </cell>
        </row>
        <row r="210">
          <cell r="A210">
            <v>41005</v>
          </cell>
        </row>
        <row r="211">
          <cell r="A211">
            <v>41006</v>
          </cell>
        </row>
        <row r="212">
          <cell r="A212">
            <v>41007</v>
          </cell>
        </row>
        <row r="213">
          <cell r="A213">
            <v>41008</v>
          </cell>
        </row>
        <row r="214">
          <cell r="A214">
            <v>41009</v>
          </cell>
        </row>
        <row r="215">
          <cell r="A215">
            <v>41010</v>
          </cell>
        </row>
        <row r="216">
          <cell r="A216">
            <v>41011</v>
          </cell>
        </row>
        <row r="217">
          <cell r="A217">
            <v>41012</v>
          </cell>
        </row>
        <row r="218">
          <cell r="A218">
            <v>41013</v>
          </cell>
        </row>
        <row r="219">
          <cell r="A219">
            <v>41014</v>
          </cell>
        </row>
        <row r="220">
          <cell r="A220">
            <v>41015</v>
          </cell>
        </row>
        <row r="221">
          <cell r="A221">
            <v>47001</v>
          </cell>
        </row>
        <row r="222">
          <cell r="A222">
            <v>47002</v>
          </cell>
        </row>
        <row r="223">
          <cell r="A223">
            <v>49001</v>
          </cell>
        </row>
        <row r="224">
          <cell r="A224">
            <v>49002</v>
          </cell>
        </row>
        <row r="225">
          <cell r="A225">
            <v>49003</v>
          </cell>
        </row>
        <row r="226">
          <cell r="A226">
            <v>49004</v>
          </cell>
        </row>
        <row r="227">
          <cell r="A227">
            <v>49005</v>
          </cell>
        </row>
        <row r="228">
          <cell r="A228">
            <v>49006</v>
          </cell>
        </row>
        <row r="229">
          <cell r="A229">
            <v>49007</v>
          </cell>
        </row>
        <row r="230">
          <cell r="A230">
            <v>50001</v>
          </cell>
        </row>
        <row r="231">
          <cell r="A231">
            <v>50002</v>
          </cell>
        </row>
        <row r="232">
          <cell r="A232">
            <v>50003</v>
          </cell>
        </row>
        <row r="233">
          <cell r="A233">
            <v>50004</v>
          </cell>
        </row>
        <row r="234">
          <cell r="A234">
            <v>50005</v>
          </cell>
        </row>
        <row r="235">
          <cell r="A235">
            <v>50006</v>
          </cell>
        </row>
        <row r="236">
          <cell r="A236">
            <v>50007</v>
          </cell>
        </row>
        <row r="237">
          <cell r="A237">
            <v>51001</v>
          </cell>
        </row>
        <row r="238">
          <cell r="A238">
            <v>51002</v>
          </cell>
        </row>
        <row r="239">
          <cell r="A239">
            <v>60001</v>
          </cell>
        </row>
        <row r="240">
          <cell r="A240">
            <v>60002</v>
          </cell>
        </row>
        <row r="241">
          <cell r="A241">
            <v>60003</v>
          </cell>
        </row>
        <row r="242">
          <cell r="A242">
            <v>60004</v>
          </cell>
        </row>
        <row r="243">
          <cell r="A243">
            <v>60005</v>
          </cell>
        </row>
        <row r="244">
          <cell r="A244">
            <v>60006</v>
          </cell>
        </row>
        <row r="245">
          <cell r="A245">
            <v>60007</v>
          </cell>
        </row>
        <row r="246">
          <cell r="A246">
            <v>60010</v>
          </cell>
        </row>
        <row r="247">
          <cell r="A247">
            <v>60011</v>
          </cell>
        </row>
        <row r="248">
          <cell r="A248">
            <v>61011</v>
          </cell>
        </row>
        <row r="249">
          <cell r="A249">
            <v>60012</v>
          </cell>
        </row>
        <row r="250">
          <cell r="A250">
            <v>60013</v>
          </cell>
        </row>
        <row r="251">
          <cell r="A251">
            <v>60014</v>
          </cell>
        </row>
        <row r="252">
          <cell r="A252">
            <v>60015</v>
          </cell>
        </row>
        <row r="253">
          <cell r="A253">
            <v>60016</v>
          </cell>
        </row>
        <row r="254">
          <cell r="A254">
            <v>65533</v>
          </cell>
        </row>
        <row r="255">
          <cell r="A255">
            <v>65534</v>
          </cell>
        </row>
        <row r="256">
          <cell r="A256">
            <v>65535</v>
          </cell>
        </row>
        <row r="257">
          <cell r="A257">
            <v>60021</v>
          </cell>
        </row>
        <row r="258">
          <cell r="A258">
            <v>60022</v>
          </cell>
        </row>
        <row r="259">
          <cell r="A259">
            <v>60023</v>
          </cell>
        </row>
        <row r="260">
          <cell r="A260">
            <v>60024</v>
          </cell>
        </row>
      </sheetData>
      <sheetData sheetId="3" refreshError="1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11227_2</v>
          </cell>
        </row>
        <row r="295">
          <cell r="A295" t="str">
            <v>12001_1</v>
          </cell>
        </row>
        <row r="296">
          <cell r="A296" t="str">
            <v>12001_2</v>
          </cell>
        </row>
        <row r="297">
          <cell r="A297" t="str">
            <v>12001_3</v>
          </cell>
        </row>
        <row r="298">
          <cell r="A298" t="str">
            <v>12002_1</v>
          </cell>
        </row>
        <row r="299">
          <cell r="A299" t="str">
            <v>12002_2</v>
          </cell>
        </row>
        <row r="300">
          <cell r="A300" t="str">
            <v>12003_1</v>
          </cell>
        </row>
        <row r="301">
          <cell r="A301" t="str">
            <v>12003_2</v>
          </cell>
        </row>
        <row r="302">
          <cell r="A302" t="str">
            <v>12003_3</v>
          </cell>
        </row>
        <row r="303">
          <cell r="A303" t="str">
            <v>12003_4</v>
          </cell>
        </row>
        <row r="304">
          <cell r="A304" t="str">
            <v>12004_1</v>
          </cell>
        </row>
        <row r="305">
          <cell r="A305" t="str">
            <v>13001_1</v>
          </cell>
        </row>
        <row r="306">
          <cell r="A306" t="str">
            <v>13001_2</v>
          </cell>
        </row>
        <row r="307">
          <cell r="A307" t="str">
            <v>13001_3</v>
          </cell>
        </row>
        <row r="308">
          <cell r="A308" t="str">
            <v>13001_4</v>
          </cell>
        </row>
        <row r="309">
          <cell r="A309" t="str">
            <v>13001_5</v>
          </cell>
        </row>
        <row r="310">
          <cell r="A310" t="str">
            <v>13001_6</v>
          </cell>
        </row>
        <row r="311">
          <cell r="A311" t="str">
            <v>13001_7</v>
          </cell>
        </row>
        <row r="312">
          <cell r="A312" t="str">
            <v>13001_8</v>
          </cell>
        </row>
        <row r="313">
          <cell r="A313" t="str">
            <v>13001_9</v>
          </cell>
        </row>
        <row r="314">
          <cell r="A314" t="str">
            <v>13001_10</v>
          </cell>
        </row>
        <row r="315">
          <cell r="A315" t="str">
            <v>13001_11</v>
          </cell>
        </row>
        <row r="316">
          <cell r="A316" t="str">
            <v>13001_12</v>
          </cell>
        </row>
        <row r="317">
          <cell r="A317" t="str">
            <v>13001_13</v>
          </cell>
        </row>
        <row r="318">
          <cell r="A318" t="str">
            <v>13001_14</v>
          </cell>
        </row>
        <row r="319">
          <cell r="A319" t="str">
            <v>13001_15</v>
          </cell>
        </row>
        <row r="320">
          <cell r="A320" t="str">
            <v>13001_16</v>
          </cell>
        </row>
        <row r="321">
          <cell r="A321" t="str">
            <v>13001_17</v>
          </cell>
        </row>
        <row r="322">
          <cell r="A322" t="str">
            <v>13001_18</v>
          </cell>
        </row>
        <row r="323">
          <cell r="A323" t="str">
            <v>13001_19</v>
          </cell>
        </row>
        <row r="324">
          <cell r="A324" t="str">
            <v>13001_20</v>
          </cell>
        </row>
        <row r="325">
          <cell r="A325" t="str">
            <v>13001_21</v>
          </cell>
        </row>
        <row r="326">
          <cell r="A326" t="str">
            <v>13001_22</v>
          </cell>
        </row>
        <row r="327">
          <cell r="A327" t="str">
            <v>13001_23</v>
          </cell>
        </row>
        <row r="328">
          <cell r="A328" t="str">
            <v>13001_24</v>
          </cell>
        </row>
        <row r="329">
          <cell r="A329" t="str">
            <v>13001_25</v>
          </cell>
        </row>
        <row r="330">
          <cell r="A330" t="str">
            <v>13101_1</v>
          </cell>
        </row>
        <row r="331">
          <cell r="A331" t="str">
            <v>13101_2</v>
          </cell>
        </row>
        <row r="332">
          <cell r="A332" t="str">
            <v>13101_3</v>
          </cell>
        </row>
        <row r="333">
          <cell r="A333" t="str">
            <v>13101_4</v>
          </cell>
        </row>
        <row r="334">
          <cell r="A334" t="str">
            <v>13101_5</v>
          </cell>
        </row>
        <row r="335">
          <cell r="A335" t="str">
            <v>13101_6</v>
          </cell>
        </row>
        <row r="336">
          <cell r="A336" t="str">
            <v>13101_7</v>
          </cell>
        </row>
        <row r="337">
          <cell r="A337" t="str">
            <v>13101_8</v>
          </cell>
        </row>
        <row r="338">
          <cell r="A338" t="str">
            <v>13101_9</v>
          </cell>
        </row>
        <row r="339">
          <cell r="A339" t="str">
            <v>13101_10</v>
          </cell>
        </row>
        <row r="340">
          <cell r="A340" t="str">
            <v>13101_11</v>
          </cell>
        </row>
        <row r="341">
          <cell r="A341" t="str">
            <v>13101_12</v>
          </cell>
        </row>
        <row r="342">
          <cell r="A342" t="str">
            <v>13101_13</v>
          </cell>
        </row>
        <row r="343">
          <cell r="A343" t="str">
            <v>13101_14</v>
          </cell>
        </row>
        <row r="344">
          <cell r="A344" t="str">
            <v>13101_15</v>
          </cell>
        </row>
        <row r="345">
          <cell r="A345" t="str">
            <v>13101_16</v>
          </cell>
        </row>
        <row r="346">
          <cell r="A346" t="str">
            <v>13101_17</v>
          </cell>
        </row>
        <row r="347">
          <cell r="A347" t="str">
            <v>13101_18</v>
          </cell>
        </row>
        <row r="348">
          <cell r="A348" t="str">
            <v>13101_19</v>
          </cell>
        </row>
        <row r="349">
          <cell r="A349" t="str">
            <v>13101_20</v>
          </cell>
        </row>
        <row r="350">
          <cell r="A350" t="str">
            <v>13101_21</v>
          </cell>
        </row>
        <row r="351">
          <cell r="A351" t="str">
            <v>13101_22</v>
          </cell>
        </row>
        <row r="352">
          <cell r="A352" t="str">
            <v>13101_23</v>
          </cell>
        </row>
        <row r="353">
          <cell r="A353" t="str">
            <v>13101_24</v>
          </cell>
        </row>
        <row r="354">
          <cell r="A354" t="str">
            <v>13101_25</v>
          </cell>
        </row>
        <row r="355">
          <cell r="A355" t="str">
            <v>13300_1</v>
          </cell>
        </row>
        <row r="356">
          <cell r="A356" t="str">
            <v>13300_2</v>
          </cell>
        </row>
        <row r="357">
          <cell r="A357" t="str">
            <v>13300_3</v>
          </cell>
        </row>
        <row r="358">
          <cell r="A358" t="str">
            <v>13300_4</v>
          </cell>
        </row>
        <row r="359">
          <cell r="A359" t="str">
            <v>13300_5</v>
          </cell>
        </row>
        <row r="360">
          <cell r="A360" t="str">
            <v>13300_6</v>
          </cell>
        </row>
        <row r="361">
          <cell r="A361" t="str">
            <v>13300_7</v>
          </cell>
        </row>
        <row r="362">
          <cell r="A362" t="str">
            <v>13300_8</v>
          </cell>
        </row>
        <row r="363">
          <cell r="A363" t="str">
            <v>13300_9</v>
          </cell>
        </row>
        <row r="364">
          <cell r="A364" t="str">
            <v>13300_10</v>
          </cell>
        </row>
        <row r="365">
          <cell r="A365" t="str">
            <v>13300_11</v>
          </cell>
        </row>
        <row r="366">
          <cell r="A366" t="str">
            <v>13300_12</v>
          </cell>
        </row>
        <row r="367">
          <cell r="A367" t="str">
            <v>13300_13</v>
          </cell>
        </row>
        <row r="368">
          <cell r="A368" t="str">
            <v>13300_14</v>
          </cell>
        </row>
        <row r="369">
          <cell r="A369" t="str">
            <v>13300_15</v>
          </cell>
        </row>
        <row r="370">
          <cell r="A370" t="str">
            <v>14001_1</v>
          </cell>
        </row>
        <row r="371">
          <cell r="A371" t="str">
            <v>14001_2</v>
          </cell>
        </row>
        <row r="372">
          <cell r="A372" t="str">
            <v>14001_3</v>
          </cell>
        </row>
        <row r="373">
          <cell r="A373" t="str">
            <v>14001_4</v>
          </cell>
        </row>
        <row r="374">
          <cell r="A374" t="str">
            <v>14001_5</v>
          </cell>
        </row>
        <row r="375">
          <cell r="A375" t="str">
            <v>14001_6</v>
          </cell>
        </row>
        <row r="376">
          <cell r="A376" t="str">
            <v>14001_7</v>
          </cell>
        </row>
        <row r="377">
          <cell r="A377" t="str">
            <v>14001_8</v>
          </cell>
        </row>
        <row r="378">
          <cell r="A378" t="str">
            <v>14002_1</v>
          </cell>
        </row>
        <row r="379">
          <cell r="A379" t="str">
            <v>14002_2</v>
          </cell>
        </row>
        <row r="380">
          <cell r="A380" t="str">
            <v>14003_1</v>
          </cell>
        </row>
        <row r="381">
          <cell r="A381" t="str">
            <v>14003_2</v>
          </cell>
        </row>
        <row r="382">
          <cell r="A382" t="str">
            <v>14003_3</v>
          </cell>
        </row>
        <row r="383">
          <cell r="A383" t="str">
            <v>14003_4</v>
          </cell>
        </row>
        <row r="384">
          <cell r="A384" t="str">
            <v>14004_1</v>
          </cell>
        </row>
        <row r="385">
          <cell r="A385" t="str">
            <v>14004_2</v>
          </cell>
        </row>
        <row r="386">
          <cell r="A386" t="str">
            <v>14004_3</v>
          </cell>
        </row>
        <row r="387">
          <cell r="A387" t="str">
            <v>14004_4</v>
          </cell>
        </row>
        <row r="388">
          <cell r="A388" t="str">
            <v>14005_1</v>
          </cell>
        </row>
        <row r="389">
          <cell r="A389" t="str">
            <v>14006_1</v>
          </cell>
        </row>
        <row r="390">
          <cell r="A390" t="str">
            <v>15027_1</v>
          </cell>
        </row>
        <row r="391">
          <cell r="A391" t="str">
            <v>15027_2</v>
          </cell>
        </row>
        <row r="392">
          <cell r="A392" t="str">
            <v>15027_3</v>
          </cell>
        </row>
        <row r="393">
          <cell r="A393" t="str">
            <v>15027_4</v>
          </cell>
        </row>
        <row r="394">
          <cell r="A394" t="str">
            <v>15028_1</v>
          </cell>
        </row>
        <row r="395">
          <cell r="A395" t="str">
            <v>15028_2</v>
          </cell>
        </row>
        <row r="396">
          <cell r="A396" t="str">
            <v>15028_3</v>
          </cell>
        </row>
        <row r="397">
          <cell r="A397" t="str">
            <v>15028_4</v>
          </cell>
        </row>
        <row r="398">
          <cell r="A398" t="str">
            <v>15029_1</v>
          </cell>
        </row>
        <row r="399">
          <cell r="A399" t="str">
            <v>15029_2</v>
          </cell>
        </row>
        <row r="400">
          <cell r="A400" t="str">
            <v>15029_3</v>
          </cell>
        </row>
        <row r="401">
          <cell r="A401" t="str">
            <v>15029_4</v>
          </cell>
        </row>
        <row r="402">
          <cell r="A402" t="str">
            <v>15030_1</v>
          </cell>
        </row>
        <row r="403">
          <cell r="A403" t="str">
            <v>15030_2</v>
          </cell>
        </row>
        <row r="404">
          <cell r="A404" t="str">
            <v>15030_3</v>
          </cell>
        </row>
        <row r="405">
          <cell r="A405" t="str">
            <v>15030_4</v>
          </cell>
        </row>
        <row r="406">
          <cell r="A406" t="str">
            <v>15031_1</v>
          </cell>
        </row>
        <row r="407">
          <cell r="A407" t="str">
            <v>15031_2</v>
          </cell>
        </row>
        <row r="408">
          <cell r="A408" t="str">
            <v>15031_3</v>
          </cell>
        </row>
        <row r="409">
          <cell r="A409" t="str">
            <v>15031_4</v>
          </cell>
        </row>
        <row r="410">
          <cell r="A410" t="str">
            <v>20001_1</v>
          </cell>
        </row>
        <row r="411">
          <cell r="A411" t="str">
            <v>20001_2</v>
          </cell>
        </row>
        <row r="412">
          <cell r="A412" t="str">
            <v>20001_3</v>
          </cell>
        </row>
        <row r="413">
          <cell r="A413" t="str">
            <v>20002_1</v>
          </cell>
        </row>
        <row r="414">
          <cell r="A414" t="str">
            <v>20002_2</v>
          </cell>
        </row>
        <row r="415">
          <cell r="A415" t="str">
            <v>20002_3</v>
          </cell>
        </row>
        <row r="416">
          <cell r="A416" t="str">
            <v>20003_1</v>
          </cell>
        </row>
        <row r="417">
          <cell r="A417" t="str">
            <v>20003_2</v>
          </cell>
        </row>
        <row r="418">
          <cell r="A418" t="str">
            <v>20003_3</v>
          </cell>
        </row>
        <row r="419">
          <cell r="A419" t="str">
            <v>20004_1</v>
          </cell>
        </row>
        <row r="420">
          <cell r="A420" t="str">
            <v>20004_2</v>
          </cell>
        </row>
        <row r="421">
          <cell r="A421" t="str">
            <v>20004_3</v>
          </cell>
        </row>
        <row r="422">
          <cell r="A422" t="str">
            <v>20005_1</v>
          </cell>
        </row>
        <row r="423">
          <cell r="A423" t="str">
            <v>20005_2</v>
          </cell>
        </row>
        <row r="424">
          <cell r="A424" t="str">
            <v>20005_3</v>
          </cell>
        </row>
        <row r="425">
          <cell r="A425" t="str">
            <v>20006_1</v>
          </cell>
        </row>
        <row r="426">
          <cell r="A426" t="str">
            <v>20006_2</v>
          </cell>
        </row>
        <row r="427">
          <cell r="A427" t="str">
            <v>20006_3</v>
          </cell>
        </row>
        <row r="428">
          <cell r="A428" t="str">
            <v>20007_1</v>
          </cell>
        </row>
        <row r="429">
          <cell r="A429" t="str">
            <v>20007_2</v>
          </cell>
        </row>
        <row r="430">
          <cell r="A430" t="str">
            <v>20007_3</v>
          </cell>
        </row>
        <row r="431">
          <cell r="A431" t="str">
            <v>20008_1</v>
          </cell>
        </row>
        <row r="432">
          <cell r="A432" t="str">
            <v>20008_2</v>
          </cell>
        </row>
        <row r="433">
          <cell r="A433" t="str">
            <v>20008_3</v>
          </cell>
        </row>
        <row r="434">
          <cell r="A434" t="str">
            <v>20009_1</v>
          </cell>
        </row>
        <row r="435">
          <cell r="A435" t="str">
            <v>20009_2</v>
          </cell>
        </row>
        <row r="436">
          <cell r="A436" t="str">
            <v>20009_3</v>
          </cell>
        </row>
        <row r="437">
          <cell r="A437" t="str">
            <v>20010_1</v>
          </cell>
        </row>
        <row r="438">
          <cell r="A438" t="str">
            <v>20010_2</v>
          </cell>
        </row>
        <row r="439">
          <cell r="A439" t="str">
            <v>20010_3</v>
          </cell>
        </row>
        <row r="440">
          <cell r="A440" t="str">
            <v>20011_1</v>
          </cell>
        </row>
        <row r="441">
          <cell r="A441" t="str">
            <v>20011_2</v>
          </cell>
        </row>
        <row r="442">
          <cell r="A442" t="str">
            <v>20011_3</v>
          </cell>
        </row>
        <row r="443">
          <cell r="A443" t="str">
            <v>20012_1</v>
          </cell>
        </row>
        <row r="444">
          <cell r="A444" t="str">
            <v>20012_2</v>
          </cell>
        </row>
        <row r="445">
          <cell r="A445" t="str">
            <v>20012_3</v>
          </cell>
        </row>
        <row r="446">
          <cell r="A446" t="str">
            <v>20013_1</v>
          </cell>
        </row>
        <row r="447">
          <cell r="A447" t="str">
            <v>20013_2</v>
          </cell>
        </row>
        <row r="448">
          <cell r="A448" t="str">
            <v>20013_3</v>
          </cell>
        </row>
        <row r="449">
          <cell r="A449" t="str">
            <v>20014_1</v>
          </cell>
        </row>
        <row r="450">
          <cell r="A450" t="str">
            <v>20014_2</v>
          </cell>
        </row>
        <row r="451">
          <cell r="A451" t="str">
            <v>20014_3</v>
          </cell>
        </row>
        <row r="452">
          <cell r="A452" t="str">
            <v>20015_1</v>
          </cell>
        </row>
        <row r="453">
          <cell r="A453" t="str">
            <v>20015_2</v>
          </cell>
        </row>
        <row r="454">
          <cell r="A454" t="str">
            <v>20015_3</v>
          </cell>
        </row>
        <row r="455">
          <cell r="A455" t="str">
            <v>20016_1</v>
          </cell>
        </row>
        <row r="456">
          <cell r="A456" t="str">
            <v>20016_2</v>
          </cell>
        </row>
        <row r="457">
          <cell r="A457" t="str">
            <v>20016_3</v>
          </cell>
        </row>
        <row r="458">
          <cell r="A458" t="str">
            <v>20017_1</v>
          </cell>
        </row>
        <row r="459">
          <cell r="A459" t="str">
            <v>20017_2</v>
          </cell>
        </row>
        <row r="460">
          <cell r="A460" t="str">
            <v>20017_3</v>
          </cell>
        </row>
        <row r="461">
          <cell r="A461" t="str">
            <v>20018_1</v>
          </cell>
        </row>
        <row r="462">
          <cell r="A462" t="str">
            <v>20018_2</v>
          </cell>
        </row>
        <row r="463">
          <cell r="A463" t="str">
            <v>20018_3</v>
          </cell>
        </row>
        <row r="464">
          <cell r="A464" t="str">
            <v>20019_1</v>
          </cell>
        </row>
        <row r="465">
          <cell r="A465" t="str">
            <v>20019_2</v>
          </cell>
        </row>
        <row r="466">
          <cell r="A466" t="str">
            <v>20019_3</v>
          </cell>
        </row>
        <row r="467">
          <cell r="A467" t="str">
            <v>20020_1</v>
          </cell>
        </row>
        <row r="468">
          <cell r="A468" t="str">
            <v>20020_2</v>
          </cell>
        </row>
        <row r="469">
          <cell r="A469" t="str">
            <v>20020_3</v>
          </cell>
        </row>
        <row r="470">
          <cell r="A470" t="str">
            <v>20021_1</v>
          </cell>
        </row>
        <row r="471">
          <cell r="A471" t="str">
            <v>20021_2</v>
          </cell>
        </row>
        <row r="472">
          <cell r="A472" t="str">
            <v>20021_3</v>
          </cell>
        </row>
        <row r="473">
          <cell r="A473" t="str">
            <v>30001_1</v>
          </cell>
        </row>
        <row r="474">
          <cell r="A474" t="str">
            <v>30001_2</v>
          </cell>
        </row>
        <row r="475">
          <cell r="A475" t="str">
            <v>30001_3</v>
          </cell>
        </row>
        <row r="476">
          <cell r="A476" t="str">
            <v>30002_1</v>
          </cell>
        </row>
        <row r="477">
          <cell r="A477" t="str">
            <v>30002_2</v>
          </cell>
        </row>
        <row r="478">
          <cell r="A478" t="str">
            <v>30002_3</v>
          </cell>
        </row>
        <row r="479">
          <cell r="A479" t="str">
            <v>30003_1</v>
          </cell>
        </row>
        <row r="480">
          <cell r="A480" t="str">
            <v>30003_2</v>
          </cell>
        </row>
        <row r="481">
          <cell r="A481" t="str">
            <v>30003_3</v>
          </cell>
        </row>
        <row r="482">
          <cell r="A482" t="str">
            <v>30004_1</v>
          </cell>
        </row>
        <row r="483">
          <cell r="A483" t="str">
            <v>30004_2</v>
          </cell>
        </row>
        <row r="484">
          <cell r="A484" t="str">
            <v>30004_3</v>
          </cell>
        </row>
        <row r="485">
          <cell r="A485" t="str">
            <v>30005_1</v>
          </cell>
        </row>
        <row r="486">
          <cell r="A486" t="str">
            <v>30005_2</v>
          </cell>
        </row>
        <row r="487">
          <cell r="A487" t="str">
            <v>30005_3</v>
          </cell>
        </row>
        <row r="488">
          <cell r="A488" t="str">
            <v>30006_1</v>
          </cell>
        </row>
        <row r="489">
          <cell r="A489" t="str">
            <v>30006_2</v>
          </cell>
        </row>
        <row r="490">
          <cell r="A490" t="str">
            <v>30006_3</v>
          </cell>
        </row>
        <row r="491">
          <cell r="A491" t="str">
            <v>30007_1</v>
          </cell>
        </row>
        <row r="492">
          <cell r="A492" t="str">
            <v>30007_2</v>
          </cell>
        </row>
        <row r="493">
          <cell r="A493" t="str">
            <v>30007_3</v>
          </cell>
        </row>
        <row r="494">
          <cell r="A494" t="str">
            <v>30008_1</v>
          </cell>
        </row>
        <row r="495">
          <cell r="A495" t="str">
            <v>30008_2</v>
          </cell>
        </row>
        <row r="496">
          <cell r="A496" t="str">
            <v>30008_3</v>
          </cell>
        </row>
        <row r="497">
          <cell r="A497" t="str">
            <v>30009_3</v>
          </cell>
        </row>
        <row r="498">
          <cell r="A498" t="str">
            <v>30009_1</v>
          </cell>
        </row>
        <row r="499">
          <cell r="A499" t="str">
            <v>30009_2</v>
          </cell>
        </row>
        <row r="500">
          <cell r="A500" t="str">
            <v>30010_1</v>
          </cell>
        </row>
        <row r="501">
          <cell r="A501" t="str">
            <v>30010_2</v>
          </cell>
        </row>
        <row r="502">
          <cell r="A502" t="str">
            <v>30010_3</v>
          </cell>
        </row>
        <row r="503">
          <cell r="A503" t="str">
            <v>30011_1</v>
          </cell>
        </row>
        <row r="504">
          <cell r="A504" t="str">
            <v>30011_2</v>
          </cell>
        </row>
        <row r="505">
          <cell r="A505" t="str">
            <v>30011_3</v>
          </cell>
        </row>
        <row r="506">
          <cell r="A506" t="str">
            <v>30012_1</v>
          </cell>
        </row>
        <row r="507">
          <cell r="A507" t="str">
            <v>30012_2</v>
          </cell>
        </row>
        <row r="508">
          <cell r="A508" t="str">
            <v>30012_3</v>
          </cell>
        </row>
        <row r="509">
          <cell r="A509" t="str">
            <v>30013_1</v>
          </cell>
        </row>
        <row r="510">
          <cell r="A510" t="str">
            <v>30013_2</v>
          </cell>
        </row>
        <row r="511">
          <cell r="A511" t="str">
            <v>30014_1</v>
          </cell>
        </row>
        <row r="512">
          <cell r="A512" t="str">
            <v>30014_2</v>
          </cell>
        </row>
        <row r="513">
          <cell r="A513" t="str">
            <v>30015_1</v>
          </cell>
        </row>
        <row r="514">
          <cell r="A514" t="str">
            <v>30015_2</v>
          </cell>
        </row>
        <row r="515">
          <cell r="A515" t="str">
            <v>30016_1</v>
          </cell>
        </row>
        <row r="516">
          <cell r="A516" t="str">
            <v>30016_2</v>
          </cell>
        </row>
        <row r="517">
          <cell r="A517" t="str">
            <v>30017_1</v>
          </cell>
        </row>
        <row r="518">
          <cell r="A518" t="str">
            <v>30017_2</v>
          </cell>
        </row>
        <row r="519">
          <cell r="A519" t="str">
            <v>30018_1</v>
          </cell>
        </row>
        <row r="520">
          <cell r="A520" t="str">
            <v>30018_2</v>
          </cell>
        </row>
        <row r="521">
          <cell r="A521" t="str">
            <v>30019_1</v>
          </cell>
        </row>
        <row r="522">
          <cell r="A522" t="str">
            <v>30019_2</v>
          </cell>
        </row>
        <row r="523">
          <cell r="A523" t="str">
            <v>30020_1</v>
          </cell>
        </row>
        <row r="524">
          <cell r="A524" t="str">
            <v>30020_2</v>
          </cell>
        </row>
        <row r="525">
          <cell r="A525" t="str">
            <v>30021_1</v>
          </cell>
        </row>
        <row r="526">
          <cell r="A526" t="str">
            <v>30021_2</v>
          </cell>
        </row>
        <row r="527">
          <cell r="A527" t="str">
            <v>30021_3</v>
          </cell>
        </row>
        <row r="528">
          <cell r="A528" t="str">
            <v>30022_1</v>
          </cell>
        </row>
        <row r="529">
          <cell r="A529" t="str">
            <v>30022_2</v>
          </cell>
        </row>
        <row r="530">
          <cell r="A530" t="str">
            <v>30023_1</v>
          </cell>
        </row>
        <row r="531">
          <cell r="A531" t="str">
            <v>30023_2</v>
          </cell>
        </row>
        <row r="532">
          <cell r="A532" t="str">
            <v>30023_3</v>
          </cell>
        </row>
        <row r="533">
          <cell r="A533" t="str">
            <v>30024_1</v>
          </cell>
        </row>
        <row r="534">
          <cell r="A534" t="str">
            <v>30024_2</v>
          </cell>
        </row>
        <row r="535">
          <cell r="A535" t="str">
            <v>30024_3</v>
          </cell>
        </row>
        <row r="536">
          <cell r="A536" t="str">
            <v>30025_1</v>
          </cell>
        </row>
        <row r="537">
          <cell r="A537" t="str">
            <v>30025_2</v>
          </cell>
        </row>
        <row r="538">
          <cell r="A538" t="str">
            <v>30025_3</v>
          </cell>
        </row>
        <row r="539">
          <cell r="A539" t="str">
            <v>30026_1</v>
          </cell>
        </row>
        <row r="540">
          <cell r="A540" t="str">
            <v>30026_2</v>
          </cell>
        </row>
        <row r="541">
          <cell r="A541" t="str">
            <v>30026_3</v>
          </cell>
        </row>
        <row r="542">
          <cell r="A542" t="str">
            <v>30027_1</v>
          </cell>
        </row>
        <row r="543">
          <cell r="A543" t="str">
            <v>30027_2</v>
          </cell>
        </row>
        <row r="544">
          <cell r="A544" t="str">
            <v>30027_3</v>
          </cell>
        </row>
        <row r="545">
          <cell r="A545" t="str">
            <v>30028_1</v>
          </cell>
        </row>
        <row r="546">
          <cell r="A546" t="str">
            <v>30028_2</v>
          </cell>
        </row>
        <row r="547">
          <cell r="A547" t="str">
            <v>30028_3</v>
          </cell>
        </row>
        <row r="548">
          <cell r="A548" t="str">
            <v>30029_1</v>
          </cell>
        </row>
        <row r="549">
          <cell r="A549" t="str">
            <v>30029_2</v>
          </cell>
        </row>
        <row r="550">
          <cell r="A550" t="str">
            <v>30029_3</v>
          </cell>
        </row>
        <row r="551">
          <cell r="A551" t="str">
            <v>30030_1</v>
          </cell>
        </row>
        <row r="552">
          <cell r="A552" t="str">
            <v>30030_2</v>
          </cell>
        </row>
        <row r="553">
          <cell r="A553" t="str">
            <v>30030_3</v>
          </cell>
        </row>
        <row r="554">
          <cell r="A554" t="str">
            <v>30031_1</v>
          </cell>
        </row>
        <row r="555">
          <cell r="A555" t="str">
            <v>30031_2</v>
          </cell>
        </row>
        <row r="556">
          <cell r="A556" t="str">
            <v>30031_3</v>
          </cell>
        </row>
        <row r="557">
          <cell r="A557" t="str">
            <v>30032_1</v>
          </cell>
        </row>
        <row r="558">
          <cell r="A558" t="str">
            <v>30032_2</v>
          </cell>
        </row>
        <row r="559">
          <cell r="A559" t="str">
            <v>30032_3</v>
          </cell>
        </row>
        <row r="560">
          <cell r="A560" t="str">
            <v>30033_1</v>
          </cell>
        </row>
        <row r="561">
          <cell r="A561" t="str">
            <v>30033_2</v>
          </cell>
        </row>
        <row r="562">
          <cell r="A562" t="str">
            <v>30033_3</v>
          </cell>
        </row>
        <row r="563">
          <cell r="A563" t="str">
            <v>30034_1</v>
          </cell>
        </row>
        <row r="564">
          <cell r="A564" t="str">
            <v>30034_2</v>
          </cell>
        </row>
        <row r="565">
          <cell r="A565" t="str">
            <v>30034_3</v>
          </cell>
        </row>
        <row r="566">
          <cell r="A566" t="str">
            <v>30035_1</v>
          </cell>
        </row>
        <row r="567">
          <cell r="A567" t="str">
            <v>30035_2</v>
          </cell>
        </row>
        <row r="568">
          <cell r="A568" t="str">
            <v>30035_3</v>
          </cell>
        </row>
        <row r="569">
          <cell r="A569" t="str">
            <v>30036_1</v>
          </cell>
        </row>
        <row r="570">
          <cell r="A570" t="str">
            <v>30036_2</v>
          </cell>
        </row>
        <row r="571">
          <cell r="A571" t="str">
            <v>30036_3</v>
          </cell>
        </row>
        <row r="572">
          <cell r="A572" t="str">
            <v>30037_1</v>
          </cell>
        </row>
        <row r="573">
          <cell r="A573" t="str">
            <v>30037_2</v>
          </cell>
        </row>
        <row r="574">
          <cell r="A574" t="str">
            <v>30037_3</v>
          </cell>
        </row>
        <row r="575">
          <cell r="A575" t="str">
            <v>30038_1</v>
          </cell>
        </row>
        <row r="576">
          <cell r="A576" t="str">
            <v>30038_2</v>
          </cell>
        </row>
        <row r="577">
          <cell r="A577" t="str">
            <v>30038_3</v>
          </cell>
        </row>
        <row r="578">
          <cell r="A578" t="str">
            <v>30039_1</v>
          </cell>
        </row>
        <row r="579">
          <cell r="A579" t="str">
            <v>30039_2</v>
          </cell>
        </row>
        <row r="580">
          <cell r="A580" t="str">
            <v>30039_3</v>
          </cell>
        </row>
        <row r="581">
          <cell r="A581" t="str">
            <v>30040_1</v>
          </cell>
        </row>
        <row r="582">
          <cell r="A582" t="str">
            <v>30040_2</v>
          </cell>
        </row>
        <row r="583">
          <cell r="A583" t="str">
            <v>30040_3</v>
          </cell>
        </row>
        <row r="584">
          <cell r="A584" t="str">
            <v>30041_1</v>
          </cell>
        </row>
        <row r="585">
          <cell r="A585" t="str">
            <v>30041_2</v>
          </cell>
        </row>
        <row r="586">
          <cell r="A586" t="str">
            <v>30041_3</v>
          </cell>
        </row>
        <row r="587">
          <cell r="A587" t="str">
            <v>39001_1</v>
          </cell>
        </row>
        <row r="588">
          <cell r="A588" t="str">
            <v>39001_2</v>
          </cell>
        </row>
        <row r="589">
          <cell r="A589" t="str">
            <v>39001_3</v>
          </cell>
        </row>
        <row r="590">
          <cell r="A590" t="str">
            <v>39001_4</v>
          </cell>
        </row>
        <row r="591">
          <cell r="A591" t="str">
            <v>39001_5</v>
          </cell>
        </row>
        <row r="592">
          <cell r="A592" t="str">
            <v>39002_1</v>
          </cell>
        </row>
        <row r="593">
          <cell r="A593" t="str">
            <v>39002_2</v>
          </cell>
        </row>
        <row r="594">
          <cell r="A594" t="str">
            <v>39002_3</v>
          </cell>
        </row>
        <row r="595">
          <cell r="A595" t="str">
            <v>39002_4</v>
          </cell>
        </row>
        <row r="596">
          <cell r="A596" t="str">
            <v>39003_1</v>
          </cell>
        </row>
        <row r="597">
          <cell r="A597" t="str">
            <v>39003_2</v>
          </cell>
        </row>
        <row r="598">
          <cell r="A598" t="str">
            <v>39003_3</v>
          </cell>
        </row>
        <row r="599">
          <cell r="A599" t="str">
            <v>39003_4</v>
          </cell>
        </row>
        <row r="600">
          <cell r="A600" t="str">
            <v>39004_1</v>
          </cell>
        </row>
        <row r="601">
          <cell r="A601" t="str">
            <v>39004_2</v>
          </cell>
        </row>
        <row r="602">
          <cell r="A602" t="str">
            <v>39004_3</v>
          </cell>
        </row>
        <row r="603">
          <cell r="A603" t="str">
            <v>39004_4</v>
          </cell>
        </row>
        <row r="604">
          <cell r="A604" t="str">
            <v>39005_1</v>
          </cell>
        </row>
        <row r="605">
          <cell r="A605" t="str">
            <v>39005_2</v>
          </cell>
        </row>
        <row r="606">
          <cell r="A606" t="str">
            <v>39005_3</v>
          </cell>
        </row>
        <row r="607">
          <cell r="A607" t="str">
            <v>39005_4</v>
          </cell>
        </row>
        <row r="608">
          <cell r="A608" t="str">
            <v>39005_5</v>
          </cell>
        </row>
        <row r="609">
          <cell r="A609" t="str">
            <v>39006_1</v>
          </cell>
        </row>
        <row r="610">
          <cell r="A610" t="str">
            <v>39006_2</v>
          </cell>
        </row>
        <row r="611">
          <cell r="A611" t="str">
            <v>39006_3</v>
          </cell>
        </row>
        <row r="612">
          <cell r="A612" t="str">
            <v>39006_4</v>
          </cell>
        </row>
        <row r="613">
          <cell r="A613" t="str">
            <v>39007_1</v>
          </cell>
        </row>
        <row r="614">
          <cell r="A614" t="str">
            <v>39007_2</v>
          </cell>
        </row>
        <row r="615">
          <cell r="A615" t="str">
            <v>39007_3</v>
          </cell>
        </row>
        <row r="616">
          <cell r="A616" t="str">
            <v>39007_4</v>
          </cell>
        </row>
        <row r="617">
          <cell r="A617" t="str">
            <v>40001_1</v>
          </cell>
        </row>
        <row r="618">
          <cell r="A618" t="str">
            <v>40002_1</v>
          </cell>
        </row>
        <row r="619">
          <cell r="A619" t="str">
            <v>40002_2</v>
          </cell>
        </row>
        <row r="620">
          <cell r="A620" t="str">
            <v>40002_3</v>
          </cell>
        </row>
        <row r="621">
          <cell r="A621" t="str">
            <v>40003_1</v>
          </cell>
        </row>
        <row r="622">
          <cell r="A622" t="str">
            <v>40004_1</v>
          </cell>
        </row>
        <row r="623">
          <cell r="A623" t="str">
            <v>40005_1</v>
          </cell>
        </row>
        <row r="624">
          <cell r="A624" t="str">
            <v>40006_1</v>
          </cell>
        </row>
        <row r="625">
          <cell r="A625" t="str">
            <v>40007_1</v>
          </cell>
        </row>
        <row r="626">
          <cell r="A626" t="str">
            <v>40008_1</v>
          </cell>
        </row>
        <row r="627">
          <cell r="A627" t="str">
            <v>40009_1</v>
          </cell>
        </row>
        <row r="628">
          <cell r="A628" t="str">
            <v>40010_1</v>
          </cell>
        </row>
        <row r="629">
          <cell r="A629" t="str">
            <v>40011_1</v>
          </cell>
        </row>
        <row r="630">
          <cell r="A630" t="str">
            <v>40012_1</v>
          </cell>
        </row>
        <row r="631">
          <cell r="A631" t="str">
            <v>40013_1</v>
          </cell>
        </row>
        <row r="632">
          <cell r="A632" t="str">
            <v>40014_1</v>
          </cell>
        </row>
        <row r="633">
          <cell r="A633" t="str">
            <v>40015_1</v>
          </cell>
        </row>
        <row r="634">
          <cell r="A634" t="str">
            <v>40016_1</v>
          </cell>
        </row>
        <row r="635">
          <cell r="A635" t="str">
            <v>40016_2</v>
          </cell>
        </row>
        <row r="636">
          <cell r="A636" t="str">
            <v>40017_1</v>
          </cell>
        </row>
        <row r="637">
          <cell r="A637" t="str">
            <v>40017_2</v>
          </cell>
        </row>
        <row r="638">
          <cell r="A638" t="str">
            <v>40017_3</v>
          </cell>
        </row>
        <row r="639">
          <cell r="A639" t="str">
            <v>40018_1</v>
          </cell>
        </row>
        <row r="640">
          <cell r="A640" t="str">
            <v>40018_2</v>
          </cell>
        </row>
        <row r="641">
          <cell r="A641" t="str">
            <v>40018_3</v>
          </cell>
        </row>
        <row r="642">
          <cell r="A642" t="str">
            <v>40019_1</v>
          </cell>
        </row>
        <row r="643">
          <cell r="A643" t="str">
            <v>40019_2</v>
          </cell>
        </row>
        <row r="644">
          <cell r="A644" t="str">
            <v>40019_3</v>
          </cell>
        </row>
        <row r="645">
          <cell r="A645" t="str">
            <v>40021_1</v>
          </cell>
        </row>
        <row r="646">
          <cell r="A646" t="str">
            <v>40021_2</v>
          </cell>
        </row>
        <row r="647">
          <cell r="A647" t="str">
            <v>40022_1</v>
          </cell>
        </row>
        <row r="648">
          <cell r="A648" t="str">
            <v>40022_2</v>
          </cell>
        </row>
        <row r="649">
          <cell r="A649" t="str">
            <v>40023_1</v>
          </cell>
        </row>
        <row r="650">
          <cell r="A650" t="str">
            <v>40023_2</v>
          </cell>
        </row>
        <row r="651">
          <cell r="A651" t="str">
            <v>40024_1</v>
          </cell>
        </row>
        <row r="652">
          <cell r="A652" t="str">
            <v>40024_2</v>
          </cell>
        </row>
        <row r="653">
          <cell r="A653" t="str">
            <v>40025_1</v>
          </cell>
        </row>
        <row r="654">
          <cell r="A654" t="str">
            <v>40025_2</v>
          </cell>
        </row>
        <row r="655">
          <cell r="A655" t="str">
            <v>40026_1</v>
          </cell>
        </row>
        <row r="656">
          <cell r="A656" t="str">
            <v>40026_2</v>
          </cell>
        </row>
        <row r="657">
          <cell r="A657" t="str">
            <v>40027_1</v>
          </cell>
        </row>
        <row r="658">
          <cell r="A658" t="str">
            <v>40027_2</v>
          </cell>
        </row>
        <row r="659">
          <cell r="A659" t="str">
            <v>40028_1</v>
          </cell>
        </row>
        <row r="660">
          <cell r="A660" t="str">
            <v>40028_2</v>
          </cell>
        </row>
        <row r="661">
          <cell r="A661" t="str">
            <v>40029_1</v>
          </cell>
        </row>
        <row r="662">
          <cell r="A662" t="str">
            <v>40029_2</v>
          </cell>
        </row>
        <row r="663">
          <cell r="A663" t="str">
            <v>48001_1</v>
          </cell>
        </row>
        <row r="664">
          <cell r="A664" t="str">
            <v>48002_1</v>
          </cell>
        </row>
        <row r="665">
          <cell r="A665" t="str">
            <v>48002_2</v>
          </cell>
        </row>
        <row r="666">
          <cell r="A666" t="str">
            <v>48002_3</v>
          </cell>
        </row>
        <row r="667">
          <cell r="A667" t="str">
            <v>48003_1</v>
          </cell>
        </row>
        <row r="668">
          <cell r="A668" t="str">
            <v>48003_2</v>
          </cell>
        </row>
        <row r="669">
          <cell r="A669" t="str">
            <v>48003_3</v>
          </cell>
        </row>
        <row r="670">
          <cell r="A670" t="str">
            <v>48004_1</v>
          </cell>
        </row>
        <row r="671">
          <cell r="A671" t="str">
            <v>48004_2</v>
          </cell>
        </row>
        <row r="672">
          <cell r="A672" t="str">
            <v>48004_3</v>
          </cell>
        </row>
        <row r="673">
          <cell r="A673" t="str">
            <v>48005_1</v>
          </cell>
        </row>
        <row r="674">
          <cell r="A674" t="str">
            <v>48005_2</v>
          </cell>
        </row>
        <row r="675">
          <cell r="A675" t="str">
            <v>48006_1</v>
          </cell>
        </row>
        <row r="676">
          <cell r="A676" t="str">
            <v>48006_2</v>
          </cell>
        </row>
        <row r="677">
          <cell r="A677" t="str">
            <v>41001_1</v>
          </cell>
        </row>
        <row r="678">
          <cell r="A678" t="str">
            <v>41001_2</v>
          </cell>
        </row>
        <row r="679">
          <cell r="A679" t="str">
            <v>41001_3</v>
          </cell>
        </row>
        <row r="680">
          <cell r="A680" t="str">
            <v>41002_1</v>
          </cell>
        </row>
        <row r="681">
          <cell r="A681" t="str">
            <v>41002_2</v>
          </cell>
        </row>
        <row r="682">
          <cell r="A682" t="str">
            <v>41002_3</v>
          </cell>
        </row>
        <row r="683">
          <cell r="A683" t="str">
            <v>41003_1</v>
          </cell>
        </row>
        <row r="684">
          <cell r="A684" t="str">
            <v>41003_2</v>
          </cell>
        </row>
        <row r="685">
          <cell r="A685" t="str">
            <v>41003_3</v>
          </cell>
        </row>
        <row r="686">
          <cell r="A686" t="str">
            <v>41004_1</v>
          </cell>
        </row>
        <row r="687">
          <cell r="A687" t="str">
            <v>41004_2</v>
          </cell>
        </row>
        <row r="688">
          <cell r="A688" t="str">
            <v>41004_3</v>
          </cell>
        </row>
        <row r="689">
          <cell r="A689" t="str">
            <v>41005_1</v>
          </cell>
        </row>
        <row r="690">
          <cell r="A690" t="str">
            <v>41005_2</v>
          </cell>
        </row>
        <row r="691">
          <cell r="A691" t="str">
            <v>41005_3</v>
          </cell>
        </row>
        <row r="692">
          <cell r="A692" t="str">
            <v>41006_1</v>
          </cell>
        </row>
        <row r="693">
          <cell r="A693" t="str">
            <v>41006_2</v>
          </cell>
        </row>
        <row r="694">
          <cell r="A694" t="str">
            <v>41006_3</v>
          </cell>
        </row>
        <row r="695">
          <cell r="A695" t="str">
            <v>41007_1</v>
          </cell>
        </row>
        <row r="696">
          <cell r="A696" t="str">
            <v>41007_2</v>
          </cell>
        </row>
        <row r="697">
          <cell r="A697" t="str">
            <v>41007_3</v>
          </cell>
        </row>
        <row r="698">
          <cell r="A698" t="str">
            <v>41008_1</v>
          </cell>
        </row>
        <row r="699">
          <cell r="A699" t="str">
            <v>41008_2</v>
          </cell>
        </row>
        <row r="700">
          <cell r="A700" t="str">
            <v>41008_3</v>
          </cell>
        </row>
        <row r="701">
          <cell r="A701" t="str">
            <v>41009_1</v>
          </cell>
        </row>
        <row r="702">
          <cell r="A702" t="str">
            <v>41009_2</v>
          </cell>
        </row>
        <row r="703">
          <cell r="A703" t="str">
            <v>41009_3</v>
          </cell>
        </row>
        <row r="704">
          <cell r="A704" t="str">
            <v>41010_1</v>
          </cell>
        </row>
        <row r="705">
          <cell r="A705" t="str">
            <v>41010_2</v>
          </cell>
        </row>
        <row r="706">
          <cell r="A706" t="str">
            <v>41010_3</v>
          </cell>
        </row>
        <row r="707">
          <cell r="A707" t="str">
            <v>41011_1</v>
          </cell>
        </row>
        <row r="708">
          <cell r="A708" t="str">
            <v>41011_2</v>
          </cell>
        </row>
        <row r="709">
          <cell r="A709" t="str">
            <v>41012_1</v>
          </cell>
        </row>
        <row r="710">
          <cell r="A710" t="str">
            <v>41012_2</v>
          </cell>
        </row>
        <row r="711">
          <cell r="A711" t="str">
            <v>41013_1</v>
          </cell>
        </row>
        <row r="712">
          <cell r="A712" t="str">
            <v>41013_2</v>
          </cell>
        </row>
        <row r="713">
          <cell r="A713" t="str">
            <v>41014_1</v>
          </cell>
        </row>
        <row r="714">
          <cell r="A714" t="str">
            <v>41014_2</v>
          </cell>
        </row>
        <row r="715">
          <cell r="A715" t="str">
            <v>41015_1</v>
          </cell>
        </row>
        <row r="716">
          <cell r="A716" t="str">
            <v>41015_2</v>
          </cell>
        </row>
        <row r="717">
          <cell r="A717" t="str">
            <v>47001_1</v>
          </cell>
        </row>
        <row r="718">
          <cell r="A718" t="str">
            <v>47001_2</v>
          </cell>
        </row>
        <row r="719">
          <cell r="A719" t="str">
            <v>47002_1</v>
          </cell>
        </row>
        <row r="720">
          <cell r="A720" t="str">
            <v>47002_2</v>
          </cell>
        </row>
        <row r="721">
          <cell r="A721" t="str">
            <v>49001_1</v>
          </cell>
        </row>
        <row r="722">
          <cell r="A722" t="str">
            <v>49002_1</v>
          </cell>
        </row>
        <row r="723">
          <cell r="A723" t="str">
            <v>49002_2</v>
          </cell>
        </row>
        <row r="724">
          <cell r="A724" t="str">
            <v>49003_1</v>
          </cell>
        </row>
        <row r="725">
          <cell r="A725" t="str">
            <v>49003_2</v>
          </cell>
        </row>
        <row r="726">
          <cell r="A726" t="str">
            <v>49004_1</v>
          </cell>
        </row>
        <row r="727">
          <cell r="A727" t="str">
            <v>49004_2</v>
          </cell>
        </row>
        <row r="728">
          <cell r="A728" t="str">
            <v>49004_3</v>
          </cell>
        </row>
        <row r="729">
          <cell r="A729" t="str">
            <v>49005_1</v>
          </cell>
        </row>
        <row r="730">
          <cell r="A730" t="str">
            <v>49006_1</v>
          </cell>
        </row>
        <row r="731">
          <cell r="A731" t="str">
            <v>49006_2</v>
          </cell>
        </row>
        <row r="732">
          <cell r="A732" t="str">
            <v>49007_1</v>
          </cell>
        </row>
        <row r="733">
          <cell r="A733" t="str">
            <v>49007_2</v>
          </cell>
        </row>
        <row r="734">
          <cell r="A734" t="str">
            <v>49007_3</v>
          </cell>
        </row>
        <row r="735">
          <cell r="A735" t="str">
            <v>50001_1</v>
          </cell>
        </row>
        <row r="736">
          <cell r="A736" t="str">
            <v>50002_1</v>
          </cell>
        </row>
        <row r="737">
          <cell r="A737" t="str">
            <v>50003_1</v>
          </cell>
        </row>
        <row r="738">
          <cell r="A738" t="str">
            <v>50004_1</v>
          </cell>
        </row>
        <row r="739">
          <cell r="A739" t="str">
            <v>50005_1</v>
          </cell>
        </row>
        <row r="740">
          <cell r="A740" t="str">
            <v>50006_1</v>
          </cell>
        </row>
        <row r="741">
          <cell r="A741" t="str">
            <v>50007_1</v>
          </cell>
        </row>
        <row r="742">
          <cell r="A742" t="str">
            <v>51001_1</v>
          </cell>
        </row>
        <row r="743">
          <cell r="A743" t="str">
            <v>51002_1</v>
          </cell>
        </row>
        <row r="744">
          <cell r="A744" t="str">
            <v>60001_1</v>
          </cell>
        </row>
        <row r="745">
          <cell r="A745" t="str">
            <v>60002_1</v>
          </cell>
        </row>
        <row r="746">
          <cell r="A746" t="str">
            <v>60002_2</v>
          </cell>
        </row>
        <row r="747">
          <cell r="A747" t="str">
            <v>60003_1</v>
          </cell>
        </row>
        <row r="748">
          <cell r="A748" t="str">
            <v>60003_2</v>
          </cell>
        </row>
        <row r="749">
          <cell r="A749" t="str">
            <v>60003_3</v>
          </cell>
        </row>
        <row r="750">
          <cell r="A750" t="str">
            <v>60004_1</v>
          </cell>
        </row>
        <row r="751">
          <cell r="A751" t="str">
            <v>60005_1</v>
          </cell>
        </row>
        <row r="752">
          <cell r="A752" t="str">
            <v>60006_1</v>
          </cell>
        </row>
        <row r="753">
          <cell r="A753" t="str">
            <v>60006_2</v>
          </cell>
        </row>
        <row r="754">
          <cell r="A754" t="str">
            <v>60006_3</v>
          </cell>
        </row>
        <row r="755">
          <cell r="A755" t="str">
            <v>60007_1</v>
          </cell>
        </row>
        <row r="756">
          <cell r="A756" t="str">
            <v>60007_2</v>
          </cell>
        </row>
        <row r="757">
          <cell r="A757" t="str">
            <v>60007_3</v>
          </cell>
        </row>
        <row r="758">
          <cell r="A758" t="str">
            <v>60010_1</v>
          </cell>
        </row>
        <row r="759">
          <cell r="A759" t="str">
            <v>60011_1</v>
          </cell>
        </row>
        <row r="760">
          <cell r="A760" t="str">
            <v>60011_2</v>
          </cell>
        </row>
        <row r="761">
          <cell r="A761" t="str">
            <v>61011_1</v>
          </cell>
        </row>
        <row r="762">
          <cell r="A762" t="str">
            <v>60012_1</v>
          </cell>
        </row>
        <row r="763">
          <cell r="A763" t="str">
            <v>60013_1</v>
          </cell>
        </row>
        <row r="764">
          <cell r="A764" t="str">
            <v>60013_2</v>
          </cell>
        </row>
        <row r="765">
          <cell r="A765" t="str">
            <v>60013_3</v>
          </cell>
        </row>
        <row r="766">
          <cell r="A766" t="str">
            <v>60014_1</v>
          </cell>
        </row>
        <row r="767">
          <cell r="A767" t="str">
            <v>60015_1</v>
          </cell>
        </row>
        <row r="768">
          <cell r="A768" t="str">
            <v>60016_1</v>
          </cell>
        </row>
        <row r="769">
          <cell r="A769" t="str">
            <v>65533_1</v>
          </cell>
        </row>
        <row r="770">
          <cell r="A770" t="str">
            <v>65533_2</v>
          </cell>
        </row>
        <row r="771">
          <cell r="A771" t="str">
            <v>65534_1</v>
          </cell>
        </row>
        <row r="772">
          <cell r="A772" t="str">
            <v>65535_1</v>
          </cell>
        </row>
        <row r="773">
          <cell r="A773" t="str">
            <v>65535_2</v>
          </cell>
        </row>
        <row r="774">
          <cell r="A774" t="str">
            <v>65535_3</v>
          </cell>
        </row>
        <row r="775">
          <cell r="A775" t="str">
            <v>65535_4</v>
          </cell>
        </row>
        <row r="776">
          <cell r="A776" t="str">
            <v>65535_5</v>
          </cell>
        </row>
        <row r="777">
          <cell r="A777" t="str">
            <v>65535_6</v>
          </cell>
        </row>
        <row r="778">
          <cell r="A778" t="str">
            <v>65535_7</v>
          </cell>
        </row>
        <row r="779">
          <cell r="A779" t="str">
            <v>65535_8</v>
          </cell>
        </row>
        <row r="780">
          <cell r="A780" t="str">
            <v>60021_3</v>
          </cell>
        </row>
        <row r="781">
          <cell r="A781" t="str">
            <v>60022_3</v>
          </cell>
        </row>
        <row r="782">
          <cell r="A782" t="str">
            <v>60023_3</v>
          </cell>
        </row>
        <row r="783">
          <cell r="A783" t="str">
            <v>60024_3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1179</v>
          </cell>
        </row>
        <row r="1147">
          <cell r="A1147">
            <v>1185</v>
          </cell>
        </row>
        <row r="1148">
          <cell r="A1148">
            <v>6001</v>
          </cell>
        </row>
        <row r="1149">
          <cell r="A1149">
            <v>6002</v>
          </cell>
        </row>
        <row r="1150">
          <cell r="A1150">
            <v>6003</v>
          </cell>
        </row>
        <row r="1151">
          <cell r="A1151">
            <v>6004</v>
          </cell>
        </row>
        <row r="1152">
          <cell r="A1152">
            <v>6005</v>
          </cell>
        </row>
        <row r="1153">
          <cell r="A1153">
            <v>6006</v>
          </cell>
        </row>
        <row r="1154">
          <cell r="A1154">
            <v>6007</v>
          </cell>
        </row>
        <row r="1155">
          <cell r="A1155">
            <v>6008</v>
          </cell>
        </row>
        <row r="1156">
          <cell r="A1156">
            <v>6009</v>
          </cell>
        </row>
        <row r="1157">
          <cell r="A1157">
            <v>6010</v>
          </cell>
        </row>
        <row r="1158">
          <cell r="A1158">
            <v>6011</v>
          </cell>
        </row>
        <row r="1159">
          <cell r="A1159">
            <v>6012</v>
          </cell>
        </row>
        <row r="1160">
          <cell r="A1160">
            <v>6013</v>
          </cell>
        </row>
        <row r="1161">
          <cell r="A1161">
            <v>6014</v>
          </cell>
        </row>
        <row r="1162">
          <cell r="A1162">
            <v>6015</v>
          </cell>
        </row>
        <row r="1163">
          <cell r="A1163">
            <v>6016</v>
          </cell>
        </row>
        <row r="1164">
          <cell r="A1164">
            <v>6017</v>
          </cell>
        </row>
        <row r="1165">
          <cell r="A1165">
            <v>6018</v>
          </cell>
        </row>
        <row r="1166">
          <cell r="A1166">
            <v>6019</v>
          </cell>
        </row>
        <row r="1167">
          <cell r="A1167">
            <v>6020</v>
          </cell>
        </row>
        <row r="1168">
          <cell r="A1168">
            <v>8001</v>
          </cell>
        </row>
        <row r="1169">
          <cell r="A1169">
            <v>8002</v>
          </cell>
        </row>
        <row r="1170">
          <cell r="A1170">
            <v>8003</v>
          </cell>
        </row>
        <row r="1171">
          <cell r="A1171">
            <v>8004</v>
          </cell>
        </row>
        <row r="1172">
          <cell r="A1172">
            <v>8005</v>
          </cell>
        </row>
        <row r="1173">
          <cell r="A1173">
            <v>8006</v>
          </cell>
        </row>
        <row r="1174">
          <cell r="A1174">
            <v>8007</v>
          </cell>
        </row>
        <row r="1175">
          <cell r="A1175">
            <v>8008</v>
          </cell>
        </row>
        <row r="1176">
          <cell r="A1176">
            <v>8009</v>
          </cell>
        </row>
        <row r="1177">
          <cell r="A1177">
            <v>8010</v>
          </cell>
        </row>
        <row r="1178">
          <cell r="A1178">
            <v>8011</v>
          </cell>
        </row>
        <row r="1179">
          <cell r="A1179">
            <v>8012</v>
          </cell>
        </row>
        <row r="1180">
          <cell r="A1180">
            <v>8013</v>
          </cell>
        </row>
        <row r="1181">
          <cell r="A1181">
            <v>8014</v>
          </cell>
        </row>
        <row r="1182">
          <cell r="A1182">
            <v>8015</v>
          </cell>
        </row>
        <row r="1183">
          <cell r="A1183">
            <v>8016</v>
          </cell>
        </row>
        <row r="1184">
          <cell r="A1184">
            <v>8017</v>
          </cell>
        </row>
        <row r="1185">
          <cell r="A1185">
            <v>8018</v>
          </cell>
        </row>
        <row r="1186">
          <cell r="A1186">
            <v>8019</v>
          </cell>
        </row>
        <row r="1187">
          <cell r="A1187">
            <v>8020</v>
          </cell>
        </row>
        <row r="1188">
          <cell r="A1188">
            <v>8021</v>
          </cell>
        </row>
        <row r="1189">
          <cell r="A1189">
            <v>8022</v>
          </cell>
        </row>
        <row r="1190">
          <cell r="A1190">
            <v>8023</v>
          </cell>
        </row>
        <row r="1191">
          <cell r="A1191">
            <v>8024</v>
          </cell>
        </row>
        <row r="1192">
          <cell r="A1192">
            <v>8025</v>
          </cell>
        </row>
        <row r="1193">
          <cell r="A1193">
            <v>8026</v>
          </cell>
        </row>
        <row r="1194">
          <cell r="A1194">
            <v>8027</v>
          </cell>
        </row>
        <row r="1195">
          <cell r="A1195">
            <v>8028</v>
          </cell>
        </row>
        <row r="1196">
          <cell r="A1196">
            <v>8029</v>
          </cell>
        </row>
        <row r="1197">
          <cell r="A1197">
            <v>8030</v>
          </cell>
        </row>
        <row r="1198">
          <cell r="A1198">
            <v>8031</v>
          </cell>
        </row>
        <row r="1199">
          <cell r="A1199">
            <v>8032</v>
          </cell>
        </row>
        <row r="1200">
          <cell r="A1200">
            <v>8033</v>
          </cell>
        </row>
        <row r="1201">
          <cell r="A1201">
            <v>8034</v>
          </cell>
        </row>
        <row r="1202">
          <cell r="A1202">
            <v>8035</v>
          </cell>
        </row>
        <row r="1203">
          <cell r="A1203">
            <v>8036</v>
          </cell>
        </row>
        <row r="1204">
          <cell r="A1204">
            <v>8037</v>
          </cell>
        </row>
        <row r="1205">
          <cell r="A1205">
            <v>8038</v>
          </cell>
        </row>
        <row r="1206">
          <cell r="A1206">
            <v>8039</v>
          </cell>
        </row>
        <row r="1207">
          <cell r="A1207">
            <v>8040</v>
          </cell>
        </row>
        <row r="1208">
          <cell r="A1208">
            <v>8041</v>
          </cell>
        </row>
        <row r="1209">
          <cell r="A1209">
            <v>8042</v>
          </cell>
        </row>
        <row r="1210">
          <cell r="A1210">
            <v>8043</v>
          </cell>
        </row>
        <row r="1211">
          <cell r="A1211">
            <v>8044</v>
          </cell>
        </row>
        <row r="1212">
          <cell r="A1212">
            <v>8045</v>
          </cell>
        </row>
        <row r="1213">
          <cell r="A1213">
            <v>8046</v>
          </cell>
        </row>
        <row r="1214">
          <cell r="A1214">
            <v>8047</v>
          </cell>
        </row>
        <row r="1215">
          <cell r="A1215">
            <v>8048</v>
          </cell>
        </row>
        <row r="1216">
          <cell r="A1216">
            <v>8049</v>
          </cell>
        </row>
        <row r="1217">
          <cell r="A1217">
            <v>8050</v>
          </cell>
        </row>
        <row r="1218">
          <cell r="A1218">
            <v>8051</v>
          </cell>
        </row>
        <row r="1219">
          <cell r="A1219">
            <v>8052</v>
          </cell>
        </row>
        <row r="1220">
          <cell r="A1220">
            <v>8053</v>
          </cell>
        </row>
        <row r="1221">
          <cell r="A1221">
            <v>8054</v>
          </cell>
        </row>
        <row r="1222">
          <cell r="A1222">
            <v>8055</v>
          </cell>
        </row>
        <row r="1223">
          <cell r="A1223">
            <v>8056</v>
          </cell>
        </row>
        <row r="1224">
          <cell r="A1224">
            <v>8057</v>
          </cell>
        </row>
        <row r="1225">
          <cell r="A1225">
            <v>8058</v>
          </cell>
        </row>
        <row r="1226">
          <cell r="A1226">
            <v>8059</v>
          </cell>
        </row>
        <row r="1227">
          <cell r="A1227">
            <v>8060</v>
          </cell>
        </row>
        <row r="1228">
          <cell r="A1228">
            <v>8061</v>
          </cell>
        </row>
        <row r="1229">
          <cell r="A1229">
            <v>8062</v>
          </cell>
        </row>
        <row r="1230">
          <cell r="A1230">
            <v>8063</v>
          </cell>
        </row>
        <row r="1231">
          <cell r="A1231">
            <v>8064</v>
          </cell>
        </row>
        <row r="1232">
          <cell r="A1232">
            <v>8065</v>
          </cell>
        </row>
        <row r="1233">
          <cell r="A1233">
            <v>8066</v>
          </cell>
        </row>
        <row r="1234">
          <cell r="A1234">
            <v>8067</v>
          </cell>
        </row>
        <row r="1235">
          <cell r="A1235">
            <v>8068</v>
          </cell>
        </row>
        <row r="1236">
          <cell r="A1236">
            <v>8069</v>
          </cell>
        </row>
        <row r="1237">
          <cell r="A1237">
            <v>8070</v>
          </cell>
        </row>
        <row r="1238">
          <cell r="A1238">
            <v>8071</v>
          </cell>
        </row>
        <row r="1239">
          <cell r="A1239">
            <v>8072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16" sqref="D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249</v>
      </c>
      <c r="B2" s="55" t="s">
        <v>105</v>
      </c>
      <c r="C2" s="60">
        <v>48007</v>
      </c>
      <c r="D2" s="55" t="s">
        <v>106</v>
      </c>
      <c r="E2" s="54" t="str">
        <f>B2&amp;C2&amp;D2</f>
        <v>floors_48007.tmp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249</v>
      </c>
      <c r="B3" s="55" t="s">
        <v>108</v>
      </c>
      <c r="C3" s="60">
        <f>C$2</f>
        <v>48007</v>
      </c>
      <c r="D3" s="55" t="s">
        <v>106</v>
      </c>
      <c r="E3" s="54" t="str">
        <f>B3&amp;C3&amp;D3</f>
        <v>enemy_habitats_48007.tmp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176</v>
      </c>
    </row>
    <row r="4" spans="1:30" x14ac:dyDescent="0.15">
      <c r="A4" s="59" t="s">
        <v>249</v>
      </c>
      <c r="B4" s="55" t="s">
        <v>110</v>
      </c>
      <c r="C4" s="60">
        <f t="shared" ref="C4:C13" si="0">C$2</f>
        <v>48007</v>
      </c>
      <c r="D4" s="55" t="s">
        <v>106</v>
      </c>
      <c r="E4" s="54" t="str">
        <f>B4&amp;C4&amp;D4</f>
        <v>enemy_habitat_S_48007.tmp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249</v>
      </c>
      <c r="B5" s="55" t="s">
        <v>112</v>
      </c>
      <c r="C5" s="60">
        <f t="shared" si="0"/>
        <v>48007</v>
      </c>
      <c r="D5" s="55" t="s">
        <v>106</v>
      </c>
      <c r="E5" s="54" t="str">
        <f>B5&amp;C5&amp;D5</f>
        <v>enemy_skill_sets_48007.tmp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249</v>
      </c>
      <c r="B6" s="55" t="s">
        <v>114</v>
      </c>
      <c r="C6" s="60">
        <f t="shared" si="0"/>
        <v>48007</v>
      </c>
      <c r="D6" s="55" t="s">
        <v>115</v>
      </c>
      <c r="E6" s="54" t="str">
        <f t="shared" ref="E6:E10" si="1">B6&amp;C6&amp;D6</f>
        <v>enemy_skills_tmp_48007.tmp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249</v>
      </c>
      <c r="B7" s="55" t="s">
        <v>116</v>
      </c>
      <c r="C7" s="60">
        <f t="shared" si="0"/>
        <v>48007</v>
      </c>
      <c r="D7" s="55" t="s">
        <v>106</v>
      </c>
      <c r="E7" s="54" t="str">
        <f>B7&amp;C7&amp;D7</f>
        <v>enemy_skills_i18n_48007.tmp</v>
      </c>
      <c r="F7" s="55" t="s">
        <v>117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249</v>
      </c>
      <c r="B8" s="55" t="s">
        <v>118</v>
      </c>
      <c r="C8" s="60">
        <f t="shared" si="0"/>
        <v>48007</v>
      </c>
      <c r="D8" s="55" t="s">
        <v>119</v>
      </c>
      <c r="E8" s="54" t="str">
        <f t="shared" si="1"/>
        <v>enemy_skill_triggers_48007.tmp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249</v>
      </c>
      <c r="B9" s="65" t="s">
        <v>175</v>
      </c>
      <c r="C9" s="60">
        <f t="shared" si="0"/>
        <v>48007</v>
      </c>
      <c r="D9" s="65" t="s">
        <v>169</v>
      </c>
      <c r="E9" s="66" t="str">
        <f t="shared" si="1"/>
        <v>stage_bug_bonuses_48007.tmp</v>
      </c>
      <c r="F9" s="65" t="s">
        <v>170</v>
      </c>
      <c r="G9" s="62" t="s">
        <v>148</v>
      </c>
      <c r="H9" s="62" t="s">
        <v>171</v>
      </c>
      <c r="I9" s="62" t="s">
        <v>172</v>
      </c>
      <c r="J9" s="64" t="s">
        <v>173</v>
      </c>
      <c r="K9" s="62" t="s">
        <v>174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249</v>
      </c>
      <c r="B10" s="65" t="s">
        <v>198</v>
      </c>
      <c r="C10" s="60">
        <f>C$2</f>
        <v>48007</v>
      </c>
      <c r="D10" s="65" t="s">
        <v>178</v>
      </c>
      <c r="E10" s="66" t="str">
        <f t="shared" si="1"/>
        <v>stage_hints_data_c_48007.tmp</v>
      </c>
      <c r="F10" s="65" t="s">
        <v>206</v>
      </c>
      <c r="G10" s="70" t="s">
        <v>179</v>
      </c>
      <c r="H10" s="70" t="s">
        <v>171</v>
      </c>
      <c r="I10" s="71" t="s">
        <v>180</v>
      </c>
      <c r="J10" s="64" t="s">
        <v>181</v>
      </c>
      <c r="K10" s="64" t="s">
        <v>182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2" customFormat="1" x14ac:dyDescent="0.15">
      <c r="A11" s="59" t="s">
        <v>249</v>
      </c>
      <c r="B11" s="65" t="s">
        <v>199</v>
      </c>
      <c r="C11" s="60">
        <f t="shared" si="0"/>
        <v>48007</v>
      </c>
      <c r="D11" s="65" t="s">
        <v>169</v>
      </c>
      <c r="E11" s="66" t="str">
        <f t="shared" ref="E11:E13" si="2">B11&amp;C11&amp;D11</f>
        <v>stage_hints_data_f_48007.tmp</v>
      </c>
      <c r="F11" s="65" t="s">
        <v>208</v>
      </c>
      <c r="G11" s="70" t="s">
        <v>179</v>
      </c>
      <c r="H11" s="70" t="s">
        <v>171</v>
      </c>
      <c r="I11" s="71" t="s">
        <v>180</v>
      </c>
      <c r="J11" s="64" t="s">
        <v>181</v>
      </c>
      <c r="K11" s="64" t="s">
        <v>182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2" customFormat="1" x14ac:dyDescent="0.15">
      <c r="A12" s="59" t="s">
        <v>249</v>
      </c>
      <c r="B12" s="65" t="s">
        <v>200</v>
      </c>
      <c r="C12" s="60">
        <f t="shared" si="0"/>
        <v>48007</v>
      </c>
      <c r="D12" s="65" t="s">
        <v>169</v>
      </c>
      <c r="E12" s="66" t="str">
        <f t="shared" si="2"/>
        <v>stage_hints_i18n_48007.tmp</v>
      </c>
      <c r="F12" s="65" t="s">
        <v>209</v>
      </c>
      <c r="G12" s="71" t="s">
        <v>201</v>
      </c>
      <c r="H12" s="92" t="s">
        <v>202</v>
      </c>
      <c r="I12" s="70" t="s">
        <v>203</v>
      </c>
      <c r="J12" s="100" t="s">
        <v>204</v>
      </c>
      <c r="K12" s="64" t="s">
        <v>205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2" customFormat="1" x14ac:dyDescent="0.15">
      <c r="A13" s="59" t="s">
        <v>249</v>
      </c>
      <c r="B13" s="65" t="s">
        <v>246</v>
      </c>
      <c r="C13" s="60">
        <f t="shared" si="0"/>
        <v>48007</v>
      </c>
      <c r="D13" s="65" t="s">
        <v>227</v>
      </c>
      <c r="E13" s="66" t="str">
        <f t="shared" si="2"/>
        <v>stage_bonuses_48007.tmp</v>
      </c>
      <c r="F13" s="65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C12" sqref="C12"/>
    </sheetView>
  </sheetViews>
  <sheetFormatPr baseColWidth="12" defaultColWidth="13" defaultRowHeight="21" customHeight="1" outlineLevelCol="1" x14ac:dyDescent="0.15"/>
  <cols>
    <col min="1" max="1" width="8.6640625" style="19" bestFit="1" customWidth="1"/>
    <col min="2" max="2" width="5.83203125" style="19" bestFit="1" customWidth="1"/>
    <col min="3" max="3" width="7" style="3" bestFit="1" customWidth="1"/>
    <col min="4" max="4" width="13.1640625" style="3" bestFit="1" customWidth="1" outlineLevel="1"/>
    <col min="5" max="5" width="10.6640625" style="3" bestFit="1" customWidth="1" outlineLevel="1"/>
    <col min="6" max="6" width="6.83203125" style="3" bestFit="1" customWidth="1"/>
    <col min="7" max="7" width="9.1640625" style="19" bestFit="1" customWidth="1" outlineLevel="1"/>
    <col min="8" max="8" width="21.83203125" style="3" bestFit="1" customWidth="1" outlineLevel="1"/>
    <col min="9" max="9" width="6.1640625" style="3" bestFit="1" customWidth="1"/>
    <col min="10" max="10" width="10.6640625" style="3" bestFit="1" customWidth="1"/>
    <col min="11" max="11" width="11.16406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48007_1-1</v>
      </c>
      <c r="B2" s="16" t="str">
        <f>IF(COUNTIF(enemy_habitats!$H:$H,A2),"OK","NG")</f>
        <v>OK</v>
      </c>
      <c r="C2" s="7">
        <v>48007</v>
      </c>
      <c r="D2" s="11" t="str">
        <f ca="1">VLOOKUP($C2,OFFSET([2]quests!$A$1,0,0,COUNTA([2]quests!$A:$A),MATCH(D$1,[2]quests!$1:$1,0)-MATCH($C$1,[2]quests!$1:$1,0)+1),MATCH(D$1,[2]quests!$1:$1,0)-MATCH($C$1,[2]quests!$1:$1,0)+1,FALSE)</f>
        <v>紅鬼襲来！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台湾版降臨8</v>
      </c>
      <c r="F2" s="21">
        <v>1</v>
      </c>
      <c r="G2" s="23" t="str">
        <f>C2&amp;"_"&amp;F2</f>
        <v>48007_1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【超絶級】紅鬼襲来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48007_1-2</v>
      </c>
      <c r="B3" s="16" t="str">
        <f>IF(COUNTIF(enemy_habitats!$H:$H,A3),"OK","NG")</f>
        <v>OK</v>
      </c>
      <c r="C3" s="7">
        <v>48007</v>
      </c>
      <c r="D3" s="11" t="str">
        <f ca="1">VLOOKUP($C3,OFFSET([2]quests!$A$1,0,0,COUNTA([2]quests!$A:$A),MATCH(D$1,[2]quests!$1:$1,0)-MATCH($C$1,[2]quests!$1:$1,0)+1),MATCH(D$1,[2]quests!$1:$1,0)-MATCH($C$1,[2]quests!$1:$1,0)+1,FALSE)</f>
        <v>紅鬼襲来！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台湾版降臨8</v>
      </c>
      <c r="F3" s="21">
        <v>1</v>
      </c>
      <c r="G3" s="23" t="str">
        <f t="shared" ref="G3:G5" si="1">C3&amp;"_"&amp;F3</f>
        <v>48007_1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【超絶級】紅鬼襲来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48007_1-3</v>
      </c>
      <c r="B4" s="16" t="str">
        <f>IF(COUNTIF(enemy_habitats!$H:$H,A4),"OK","NG")</f>
        <v>OK</v>
      </c>
      <c r="C4" s="7">
        <v>48007</v>
      </c>
      <c r="D4" s="11" t="str">
        <f ca="1">VLOOKUP($C4,OFFSET([2]quests!$A$1,0,0,COUNTA([2]quests!$A:$A),MATCH(D$1,[2]quests!$1:$1,0)-MATCH($C$1,[2]quests!$1:$1,0)+1),MATCH(D$1,[2]quests!$1:$1,0)-MATCH($C$1,[2]quests!$1:$1,0)+1,FALSE)</f>
        <v>紅鬼襲来！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台湾版降臨8</v>
      </c>
      <c r="F4" s="21">
        <v>1</v>
      </c>
      <c r="G4" s="23" t="str">
        <f t="shared" si="1"/>
        <v>48007_1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【超絶級】紅鬼襲来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48007_1-4</v>
      </c>
      <c r="B5" s="16" t="str">
        <f>IF(COUNTIF(enemy_habitats!$H:$H,A5),"OK","NG")</f>
        <v>OK</v>
      </c>
      <c r="C5" s="7">
        <v>48007</v>
      </c>
      <c r="D5" s="11" t="str">
        <f ca="1">VLOOKUP($C5,OFFSET([2]quests!$A$1,0,0,COUNTA([2]quests!$A:$A),MATCH(D$1,[2]quests!$1:$1,0)-MATCH($C$1,[2]quests!$1:$1,0)+1),MATCH(D$1,[2]quests!$1:$1,0)-MATCH($C$1,[2]quests!$1:$1,0)+1,FALSE)</f>
        <v>紅鬼襲来！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台湾版降臨8</v>
      </c>
      <c r="F5" s="21">
        <v>1</v>
      </c>
      <c r="G5" s="23" t="str">
        <f t="shared" si="1"/>
        <v>48007_1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【超絶級】紅鬼襲来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ref="A6:A9" si="2">G6&amp;"-"&amp;I6</f>
        <v>48007_2-1</v>
      </c>
      <c r="B6" s="16" t="str">
        <f>IF(COUNTIF(enemy_habitats!$H:$H,A6),"OK","NG")</f>
        <v>OK</v>
      </c>
      <c r="C6" s="7">
        <v>48007</v>
      </c>
      <c r="D6" s="11" t="str">
        <f ca="1">VLOOKUP($C6,OFFSET([2]quests!$A$1,0,0,COUNTA([2]quests!$A:$A),MATCH(D$1,[2]quests!$1:$1,0)-MATCH($C$1,[2]quests!$1:$1,0)+1),MATCH(D$1,[2]quests!$1:$1,0)-MATCH($C$1,[2]quests!$1:$1,0)+1,FALSE)</f>
        <v>紅鬼襲来！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台湾版降臨8</v>
      </c>
      <c r="F6" s="21">
        <v>2</v>
      </c>
      <c r="G6" s="23" t="str">
        <f t="shared" ref="G6:G9" si="3">C6&amp;"_"&amp;F6</f>
        <v>48007_2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【ウィザード級】紅鬼襲来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2"/>
        <v>48007_2-2</v>
      </c>
      <c r="B7" s="16" t="str">
        <f>IF(COUNTIF(enemy_habitats!$H:$H,A7),"OK","NG")</f>
        <v>OK</v>
      </c>
      <c r="C7" s="7">
        <v>48007</v>
      </c>
      <c r="D7" s="11" t="str">
        <f ca="1">VLOOKUP($C7,OFFSET([2]quests!$A$1,0,0,COUNTA([2]quests!$A:$A),MATCH(D$1,[2]quests!$1:$1,0)-MATCH($C$1,[2]quests!$1:$1,0)+1),MATCH(D$1,[2]quests!$1:$1,0)-MATCH($C$1,[2]quests!$1:$1,0)+1,FALSE)</f>
        <v>紅鬼襲来！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台湾版降臨8</v>
      </c>
      <c r="F7" s="21">
        <v>2</v>
      </c>
      <c r="G7" s="23" t="str">
        <f t="shared" si="3"/>
        <v>48007_2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【ウィザード級】紅鬼襲来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48007_2-3</v>
      </c>
      <c r="B8" s="16" t="str">
        <f>IF(COUNTIF(enemy_habitats!$H:$H,A8),"OK","NG")</f>
        <v>OK</v>
      </c>
      <c r="C8" s="7">
        <v>48007</v>
      </c>
      <c r="D8" s="11" t="str">
        <f ca="1">VLOOKUP($C8,OFFSET([2]quests!$A$1,0,0,COUNTA([2]quests!$A:$A),MATCH(D$1,[2]quests!$1:$1,0)-MATCH($C$1,[2]quests!$1:$1,0)+1),MATCH(D$1,[2]quests!$1:$1,0)-MATCH($C$1,[2]quests!$1:$1,0)+1,FALSE)</f>
        <v>紅鬼襲来！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台湾版降臨8</v>
      </c>
      <c r="F8" s="21">
        <v>2</v>
      </c>
      <c r="G8" s="23" t="str">
        <f t="shared" si="3"/>
        <v>48007_2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【ウィザード級】紅鬼襲来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48007_2-4</v>
      </c>
      <c r="B9" s="16" t="str">
        <f>IF(COUNTIF(enemy_habitats!$H:$H,A9),"OK","NG")</f>
        <v>OK</v>
      </c>
      <c r="C9" s="7">
        <v>48007</v>
      </c>
      <c r="D9" s="11" t="str">
        <f ca="1">VLOOKUP($C9,OFFSET([2]quests!$A$1,0,0,COUNTA([2]quests!$A:$A),MATCH(D$1,[2]quests!$1:$1,0)-MATCH($C$1,[2]quests!$1:$1,0)+1),MATCH(D$1,[2]quests!$1:$1,0)-MATCH($C$1,[2]quests!$1:$1,0)+1,FALSE)</f>
        <v>紅鬼襲来！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台湾版降臨8</v>
      </c>
      <c r="F9" s="21">
        <v>2</v>
      </c>
      <c r="G9" s="23" t="str">
        <f t="shared" si="3"/>
        <v>48007_2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【ウィザード級】紅鬼襲来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3"/>
  <sheetViews>
    <sheetView showGridLines="0" zoomScale="94" zoomScaleNormal="94" zoomScalePageLayoutView="94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U12" sqref="U12"/>
    </sheetView>
  </sheetViews>
  <sheetFormatPr baseColWidth="12" defaultColWidth="13" defaultRowHeight="21" customHeight="1" outlineLevelCol="1" x14ac:dyDescent="0.15"/>
  <cols>
    <col min="1" max="1" width="15.832031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9" customWidth="1"/>
    <col min="12" max="12" width="13.5" style="9" bestFit="1" customWidth="1"/>
    <col min="13" max="13" width="23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 collapsed="1"/>
    <col min="31" max="31" width="17.83203125" style="13" hidden="1" customWidth="1" outlineLevel="1"/>
    <col min="32" max="32" width="8" style="14" hidden="1" customWidth="1" outlineLevel="1"/>
    <col min="33" max="33" width="12" style="14" hidden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155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247</v>
      </c>
      <c r="U1" s="26" t="s">
        <v>50</v>
      </c>
      <c r="V1" s="101" t="s">
        <v>248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>B2&amp;"_"&amp;C2&amp;"-"&amp;G2&amp;"/"&amp;L2&amp;"&lt;lv"&amp;R2&amp;"&gt;s"&amp;AC2</f>
        <v>48007_1-1/50&lt;lv80&gt;s1</v>
      </c>
      <c r="B2" s="22">
        <v>48007</v>
      </c>
      <c r="C2" s="21">
        <v>1</v>
      </c>
      <c r="D2" s="2" t="str">
        <f>B2&amp;"_"&amp;C2</f>
        <v>48007_1</v>
      </c>
      <c r="E2" s="4" t="str">
        <f ca="1">VLOOKUP($B2,OFFSET([2]quests!$A$1,0,0,COUNTA([2]quests!$A:$A),MATCH(E$1,[2]quests!$1:$1,0)-MATCH($B$1,[2]quests!$1:$1,0)+1),MATCH(E$1,[2]quests!$1:$1,0)-MATCH($B$1,[2]quests!$1:$1,0)+1,FALSE)</f>
        <v>紅鬼襲来！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【超絶級】紅鬼襲来</v>
      </c>
      <c r="G2" s="21">
        <v>1</v>
      </c>
      <c r="H2" s="15" t="str">
        <f>B2&amp;"_"&amp;C2&amp;"-"&amp;G2</f>
        <v>48007_1-1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156" t="s">
        <v>53</v>
      </c>
      <c r="L2" s="20">
        <v>50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炎銃のレジスタンス ヨシタカ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80</v>
      </c>
      <c r="S2" s="25">
        <v>1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73316</v>
      </c>
      <c r="U2" s="25">
        <v>1.5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10576.5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2" s="159">
        <v>48007100</v>
      </c>
      <c r="Z2" s="6">
        <v>1</v>
      </c>
      <c r="AA2" s="6">
        <v>100</v>
      </c>
      <c r="AB2" s="6">
        <v>0</v>
      </c>
      <c r="AC2" s="153">
        <v>1</v>
      </c>
      <c r="AD2" s="24">
        <f>L2</f>
        <v>50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ca="1">AF2</f>
        <v>3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6" t="str">
        <f>B3&amp;"_"&amp;C3&amp;"-"&amp;G3&amp;"/"&amp;L3&amp;"&lt;lv"&amp;R3&amp;"&gt;s"&amp;AC3</f>
        <v>48007_1-1/54&lt;lv80&gt;s1</v>
      </c>
      <c r="B3" s="22">
        <v>48007</v>
      </c>
      <c r="C3" s="21">
        <v>1</v>
      </c>
      <c r="D3" s="2" t="str">
        <f>B3&amp;"_"&amp;C3</f>
        <v>48007_1</v>
      </c>
      <c r="E3" s="4" t="str">
        <f ca="1">VLOOKUP($B3,OFFSET([2]quests!$A$1,0,0,COUNTA([2]quests!$A:$A),MATCH(E$1,[2]quests!$1:$1,0)-MATCH($B$1,[2]quests!$1:$1,0)+1),MATCH(E$1,[2]quests!$1:$1,0)-MATCH($B$1,[2]quests!$1:$1,0)+1,FALSE)</f>
        <v>紅鬼襲来！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【超絶級】紅鬼襲来</v>
      </c>
      <c r="G3" s="21">
        <v>1</v>
      </c>
      <c r="H3" s="15" t="str">
        <f>B3&amp;"_"&amp;C3&amp;"-"&amp;G3</f>
        <v>48007_1-1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56" t="s">
        <v>53</v>
      </c>
      <c r="L3" s="20">
        <v>54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蒼斬のレジスタンス ケンジ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1.5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75844.5</v>
      </c>
      <c r="U3" s="25">
        <v>0.5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3985</v>
      </c>
      <c r="W3" s="5">
        <v>100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3" s="160">
        <v>48007105</v>
      </c>
      <c r="Z3" s="6">
        <v>1</v>
      </c>
      <c r="AA3" s="6">
        <v>100</v>
      </c>
      <c r="AB3" s="6">
        <v>0</v>
      </c>
      <c r="AC3" s="153">
        <v>1</v>
      </c>
      <c r="AD3" s="24">
        <f>L3</f>
        <v>54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蒼斬のレジスタンス ケンジ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ca="1">AF3</f>
        <v>3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6" t="str">
        <f t="shared" ref="A4:A7" si="0">B4&amp;"_"&amp;C4&amp;"-"&amp;G4&amp;"/"&amp;L4&amp;"&lt;lv"&amp;R4&amp;"&gt;s"&amp;AC4</f>
        <v>48007_1-2/502&lt;lv80&gt;s1</v>
      </c>
      <c r="B4" s="22">
        <v>48007</v>
      </c>
      <c r="C4" s="21">
        <v>1</v>
      </c>
      <c r="D4" s="2" t="str">
        <f t="shared" ref="D4:D7" si="1">B4&amp;"_"&amp;C4</f>
        <v>48007_1</v>
      </c>
      <c r="E4" s="4" t="str">
        <f ca="1">VLOOKUP($B4,OFFSET([2]quests!$A$1,0,0,COUNTA([2]quests!$A:$A),MATCH(E$1,[2]quests!$1:$1,0)-MATCH($B$1,[2]quests!$1:$1,0)+1),MATCH(E$1,[2]quests!$1:$1,0)-MATCH($B$1,[2]quests!$1:$1,0)+1,FALSE)</f>
        <v>紅鬼襲来！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【超絶級】紅鬼襲来</v>
      </c>
      <c r="G4" s="21">
        <v>2</v>
      </c>
      <c r="H4" s="15" t="str">
        <f t="shared" ref="H4:H7" si="2">B4&amp;"_"&amp;C4&amp;"-"&amp;G4</f>
        <v>48007_1-2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56" t="s">
        <v>53</v>
      </c>
      <c r="L4" s="20">
        <v>502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テラベル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5">
        <v>2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199186</v>
      </c>
      <c r="U4" s="25">
        <v>0.3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3329.7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邪魔パネルx3を生成</v>
      </c>
      <c r="Y4" s="161">
        <v>48007110</v>
      </c>
      <c r="Z4" s="6">
        <v>1</v>
      </c>
      <c r="AA4" s="6">
        <v>100</v>
      </c>
      <c r="AB4" s="6">
        <v>0</v>
      </c>
      <c r="AC4" s="153">
        <v>1</v>
      </c>
      <c r="AD4" s="24">
        <f t="shared" ref="AD4:AD7" si="3">L4</f>
        <v>502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テラベル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ref="AI4:AI7" ca="1" si="4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6" t="str">
        <f t="shared" si="0"/>
        <v>48007_1-2/263&lt;lv80&gt;s1</v>
      </c>
      <c r="B5" s="22">
        <v>48007</v>
      </c>
      <c r="C5" s="21">
        <v>1</v>
      </c>
      <c r="D5" s="2" t="str">
        <f t="shared" si="1"/>
        <v>48007_1</v>
      </c>
      <c r="E5" s="4" t="str">
        <f ca="1">VLOOKUP($B5,OFFSET([2]quests!$A$1,0,0,COUNTA([2]quests!$A:$A),MATCH(E$1,[2]quests!$1:$1,0)-MATCH($B$1,[2]quests!$1:$1,0)+1),MATCH(E$1,[2]quests!$1:$1,0)-MATCH($B$1,[2]quests!$1:$1,0)+1,FALSE)</f>
        <v>紅鬼襲来！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【超絶級】紅鬼襲来</v>
      </c>
      <c r="G5" s="21">
        <v>2</v>
      </c>
      <c r="H5" s="15" t="str">
        <f t="shared" si="2"/>
        <v>48007_1-2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56" t="s">
        <v>53</v>
      </c>
      <c r="L5" s="20">
        <v>263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鉤爪姫 アシュリー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2.7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286065</v>
      </c>
      <c r="U5" s="25">
        <v>0.3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3699.6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時限ボムパネルx4を生成</v>
      </c>
      <c r="Y5" s="162">
        <v>48007119</v>
      </c>
      <c r="Z5" s="6">
        <v>1</v>
      </c>
      <c r="AA5" s="6">
        <v>100</v>
      </c>
      <c r="AB5" s="6">
        <v>0</v>
      </c>
      <c r="AC5" s="153">
        <v>1</v>
      </c>
      <c r="AD5" s="24">
        <f t="shared" si="3"/>
        <v>263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鉤爪姫 アシュリー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Drop2W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6" t="str">
        <f t="shared" si="0"/>
        <v>48007_1-3/382&lt;lv80&gt;s2</v>
      </c>
      <c r="B6" s="22">
        <v>48007</v>
      </c>
      <c r="C6" s="21">
        <v>1</v>
      </c>
      <c r="D6" s="2" t="str">
        <f t="shared" si="1"/>
        <v>48007_1</v>
      </c>
      <c r="E6" s="4" t="str">
        <f ca="1">VLOOKUP($B6,OFFSET([2]quests!$A$1,0,0,COUNTA([2]quests!$A:$A),MATCH(E$1,[2]quests!$1:$1,0)-MATCH($B$1,[2]quests!$1:$1,0)+1),MATCH(E$1,[2]quests!$1:$1,0)-MATCH($B$1,[2]quests!$1:$1,0)+1,FALSE)</f>
        <v>紅鬼襲来！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【超絶級】紅鬼襲来</v>
      </c>
      <c r="G6" s="21">
        <v>3</v>
      </c>
      <c r="H6" s="15" t="str">
        <f t="shared" si="2"/>
        <v>48007_1-3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56" t="s">
        <v>53</v>
      </c>
      <c r="L6" s="20">
        <v>382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激情の愛炎 バハムート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80</v>
      </c>
      <c r="S6" s="25">
        <v>4.3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616615.69999999995</v>
      </c>
      <c r="U6" s="25">
        <v>0.8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7189.6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青パネル全部邪魔パネルになる</v>
      </c>
      <c r="Y6" s="160">
        <v>48007128</v>
      </c>
      <c r="Z6" s="6">
        <v>1</v>
      </c>
      <c r="AA6" s="6">
        <v>100</v>
      </c>
      <c r="AB6" s="6">
        <v>1</v>
      </c>
      <c r="AC6" s="153">
        <v>2</v>
      </c>
      <c r="AD6" s="24">
        <f t="shared" si="3"/>
        <v>382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激情の愛炎 バハムート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  <row r="7" spans="1:42" s="130" customFormat="1" ht="21" customHeight="1" thickBot="1" x14ac:dyDescent="0.2">
      <c r="A7" s="116" t="str">
        <f t="shared" si="0"/>
        <v>48007_1-4/8079&lt;lv80&gt;s2</v>
      </c>
      <c r="B7" s="22">
        <v>48007</v>
      </c>
      <c r="C7" s="117">
        <v>1</v>
      </c>
      <c r="D7" s="118" t="str">
        <f t="shared" si="1"/>
        <v>48007_1</v>
      </c>
      <c r="E7" s="119" t="str">
        <f ca="1">VLOOKUP($B7,OFFSET([2]quests!$A$1,0,0,COUNTA([2]quests!$A:$A),MATCH(E$1,[2]quests!$1:$1,0)-MATCH($B$1,[2]quests!$1:$1,0)+1),MATCH(E$1,[2]quests!$1:$1,0)-MATCH($B$1,[2]quests!$1:$1,0)+1,FALSE)</f>
        <v>紅鬼襲来！</v>
      </c>
      <c r="F7" s="119" t="str">
        <f ca="1">VLOOKUP($D7,OFFSET([2]stages!$A$1,0,0,COUNTA([2]stages!$A:$A),MATCH(F$1,[2]stages!$2:$2,0)-MATCH($D$1,[2]stages!$2:$2,0)+1),MATCH(F$1,[2]stages!$2:$2,0)-MATCH($D$1,[2]stages!$2:$2,0)+1,FALSE)</f>
        <v>【超絶級】紅鬼襲来</v>
      </c>
      <c r="G7" s="117">
        <v>4</v>
      </c>
      <c r="H7" s="118" t="str">
        <f t="shared" si="2"/>
        <v>48007_1-4</v>
      </c>
      <c r="I7" s="119">
        <f ca="1">VLOOKUP($H7,OFFSET(floors!$A$1,0,0,COUNTA(floors!$A:$A),MATCH(I$1,floors!$1:$1,0)-MATCH($H$1,floors!$1:$1,0)+1),MATCH(I$1,floors!$1:$1,0)-MATCH($H$1,floors!$1:$1,0)+1,FALSE)</f>
        <v>60</v>
      </c>
      <c r="J7" s="119">
        <f ca="1">VLOOKUP($H7,OFFSET(floors!$A$1,0,0,COUNTA(floors!$A:$A),MATCH(J$1,floors!$1:$1,0)-MATCH($H$1,floors!$1:$1,0)+1),MATCH(J$1,floors!$1:$1,0)-MATCH($H$1,floors!$1:$1,0)+1,FALSE)</f>
        <v>60</v>
      </c>
      <c r="K7" s="157">
        <v>1</v>
      </c>
      <c r="L7" s="120">
        <v>8079</v>
      </c>
      <c r="M7" s="121" t="str">
        <f ca="1">VLOOKUP($L7,OFFSET([3]enemies!$A$1,0,0,COUNTA([3]enemies!$A:$A),MATCH(M$1,[3]enemies!$1:$1,0)-MATCH($L$1,[3]enemies!$1:$1,0)+1),MATCH(M$1,[3]enemies!$1:$1,0)-MATCH($L$1,[3]enemies!$1:$1,0)+1,FALSE)</f>
        <v>赤鬼</v>
      </c>
      <c r="N7" s="121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21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21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21">
        <f ca="1">VLOOKUP($L7,OFFSET([3]enemies!$A$1,0,0,COUNTA([3]enemies!$A:$A),MATCH(Q$1,[3]enemies!$1:$1,0)-MATCH($L$1,[3]enemies!$1:$1,0)+1),MATCH(Q$1,[3]enemies!$1:$1,0)-MATCH($L$1,[3]enemies!$1:$1,0)+1,FALSE)</f>
        <v>60</v>
      </c>
      <c r="R7" s="122">
        <v>80</v>
      </c>
      <c r="S7" s="123">
        <v>6</v>
      </c>
      <c r="T7" s="12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123">
        <v>1.1000000000000001</v>
      </c>
      <c r="V7" s="12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122">
        <v>0</v>
      </c>
      <c r="X7" s="119" t="str">
        <f ca="1">VLOOKUP($Y7,OFFSET(enemy_skill_sets!$B$1,0,0,COUNTA(enemy_skill_sets!$B:$B),MATCH(M$1,enemy_skill_sets!$1:$1,0)-MATCH($Y$1,enemy_skill_sets!$1:$1,0)+2),MATCH(M$1,enemy_skill_sets!$1:$1,0)-MATCH($Y$1,enemy_skill_sets!$1:$1,0)+2,FALSE)</f>
        <v>邪魔パネルを全吸収して全体に特大ダメージ</v>
      </c>
      <c r="Y7" s="159">
        <v>48007135</v>
      </c>
      <c r="Z7" s="125">
        <v>1</v>
      </c>
      <c r="AA7" s="125">
        <v>100</v>
      </c>
      <c r="AB7" s="125">
        <v>1</v>
      </c>
      <c r="AC7" s="154">
        <v>2</v>
      </c>
      <c r="AD7" s="126">
        <f t="shared" si="3"/>
        <v>8079</v>
      </c>
      <c r="AE7" s="119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赤鬼</v>
      </c>
      <c r="AF7" s="119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19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27">
        <v>1</v>
      </c>
      <c r="AI7" s="126">
        <f t="shared" ca="1" si="4"/>
        <v>5</v>
      </c>
      <c r="AJ7" s="128">
        <v>15</v>
      </c>
      <c r="AK7" s="127">
        <v>0</v>
      </c>
      <c r="AL7" s="127">
        <v>0</v>
      </c>
      <c r="AM7" s="127">
        <v>0</v>
      </c>
      <c r="AN7" s="127">
        <v>0</v>
      </c>
      <c r="AO7" s="127">
        <v>1</v>
      </c>
      <c r="AP7" s="129">
        <v>1</v>
      </c>
    </row>
    <row r="8" spans="1:42" ht="21" customHeight="1" thickTop="1" x14ac:dyDescent="0.15">
      <c r="A8" s="16" t="str">
        <f>B8&amp;"_"&amp;C8&amp;"-"&amp;G8&amp;"/"&amp;L8&amp;"&lt;lv"&amp;R8&amp;"&gt;s"&amp;AC8</f>
        <v>48007_2-1/50&lt;lv90&gt;s1</v>
      </c>
      <c r="B8" s="22">
        <v>48007</v>
      </c>
      <c r="C8" s="104">
        <v>2</v>
      </c>
      <c r="D8" s="105" t="str">
        <f>B8&amp;"_"&amp;C8</f>
        <v>48007_2</v>
      </c>
      <c r="E8" s="4" t="str">
        <f ca="1">VLOOKUP($B8,OFFSET([2]quests!$A$1,0,0,COUNTA([2]quests!$A:$A),MATCH(E$1,[2]quests!$1:$1,0)-MATCH($B$1,[2]quests!$1:$1,0)+1),MATCH(E$1,[2]quests!$1:$1,0)-MATCH($B$1,[2]quests!$1:$1,0)+1,FALSE)</f>
        <v>紅鬼襲来！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【ウィザード級】紅鬼襲来</v>
      </c>
      <c r="G8" s="104">
        <v>1</v>
      </c>
      <c r="H8" s="105" t="str">
        <f>B8&amp;"_"&amp;C8&amp;"-"&amp;G8</f>
        <v>48007_2-1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58" t="s">
        <v>53</v>
      </c>
      <c r="L8" s="20">
        <v>50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炎銃のレジスタンス ヨシタカ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108">
        <v>90</v>
      </c>
      <c r="S8" s="109">
        <v>1.1000000000000001</v>
      </c>
      <c r="T8" s="110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90543.200000000012</v>
      </c>
      <c r="U8" s="109">
        <v>1.7</v>
      </c>
      <c r="V8" s="110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13458.9</v>
      </c>
      <c r="W8" s="108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8" s="159">
        <v>48007100</v>
      </c>
      <c r="Z8" s="111">
        <v>1</v>
      </c>
      <c r="AA8" s="111">
        <v>100</v>
      </c>
      <c r="AB8" s="111">
        <v>0</v>
      </c>
      <c r="AC8" s="153">
        <v>1</v>
      </c>
      <c r="AD8" s="112">
        <f>L8</f>
        <v>50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113">
        <v>1</v>
      </c>
      <c r="AI8" s="112">
        <f ca="1">AF8</f>
        <v>3</v>
      </c>
      <c r="AJ8" s="114">
        <v>20</v>
      </c>
      <c r="AK8" s="113">
        <v>0</v>
      </c>
      <c r="AL8" s="113">
        <v>0</v>
      </c>
      <c r="AM8" s="113">
        <v>0</v>
      </c>
      <c r="AN8" s="113">
        <v>0</v>
      </c>
      <c r="AO8" s="113">
        <v>1</v>
      </c>
      <c r="AP8" s="115">
        <v>1</v>
      </c>
    </row>
    <row r="9" spans="1:42" ht="21" customHeight="1" x14ac:dyDescent="0.15">
      <c r="A9" s="16" t="str">
        <f>B9&amp;"_"&amp;C9&amp;"-"&amp;G9&amp;"/"&amp;L9&amp;"&lt;lv"&amp;R9&amp;"&gt;s"&amp;AC9</f>
        <v>48007_2-1/54&lt;lv90&gt;s1</v>
      </c>
      <c r="B9" s="22">
        <v>48007</v>
      </c>
      <c r="C9" s="21">
        <v>2</v>
      </c>
      <c r="D9" s="2" t="str">
        <f>B9&amp;"_"&amp;C9</f>
        <v>48007_2</v>
      </c>
      <c r="E9" s="4" t="str">
        <f ca="1">VLOOKUP($B9,OFFSET([2]quests!$A$1,0,0,COUNTA([2]quests!$A:$A),MATCH(E$1,[2]quests!$1:$1,0)-MATCH($B$1,[2]quests!$1:$1,0)+1),MATCH(E$1,[2]quests!$1:$1,0)-MATCH($B$1,[2]quests!$1:$1,0)+1,FALSE)</f>
        <v>紅鬼襲来！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【ウィザード級】紅鬼襲来</v>
      </c>
      <c r="G9" s="21">
        <v>1</v>
      </c>
      <c r="H9" s="15" t="str">
        <f>B9&amp;"_"&amp;C9&amp;"-"&amp;G9</f>
        <v>48007_2-1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156" t="s">
        <v>53</v>
      </c>
      <c r="L9" s="20">
        <v>54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蒼斬のレジスタンス ケンジ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90</v>
      </c>
      <c r="S9" s="25">
        <v>1.8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102180.6</v>
      </c>
      <c r="U9" s="25">
        <v>0.8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7158.4000000000005</v>
      </c>
      <c r="W9" s="5">
        <v>100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9" s="160">
        <v>48007105</v>
      </c>
      <c r="Z9" s="6">
        <v>1</v>
      </c>
      <c r="AA9" s="6">
        <v>100</v>
      </c>
      <c r="AB9" s="6">
        <v>0</v>
      </c>
      <c r="AC9" s="153">
        <v>1</v>
      </c>
      <c r="AD9" s="24">
        <f>L9</f>
        <v>54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蒼斬のレジスタンス ケンジ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4">
        <f ca="1">AF9</f>
        <v>3</v>
      </c>
      <c r="AJ9" s="8">
        <v>20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7">
        <v>1</v>
      </c>
    </row>
    <row r="10" spans="1:42" ht="21" customHeight="1" x14ac:dyDescent="0.15">
      <c r="A10" s="16" t="str">
        <f t="shared" ref="A10:A13" si="5">B10&amp;"_"&amp;C10&amp;"-"&amp;G10&amp;"/"&amp;L10&amp;"&lt;lv"&amp;R10&amp;"&gt;s"&amp;AC10</f>
        <v>48007_2-2/502&lt;lv90&gt;s1</v>
      </c>
      <c r="B10" s="22">
        <v>48007</v>
      </c>
      <c r="C10" s="21">
        <v>2</v>
      </c>
      <c r="D10" s="2" t="str">
        <f t="shared" ref="D10:D13" si="6">B10&amp;"_"&amp;C10</f>
        <v>48007_2</v>
      </c>
      <c r="E10" s="4" t="str">
        <f ca="1">VLOOKUP($B10,OFFSET([2]quests!$A$1,0,0,COUNTA([2]quests!$A:$A),MATCH(E$1,[2]quests!$1:$1,0)-MATCH($B$1,[2]quests!$1:$1,0)+1),MATCH(E$1,[2]quests!$1:$1,0)-MATCH($B$1,[2]quests!$1:$1,0)+1,FALSE)</f>
        <v>紅鬼襲来！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【ウィザード級】紅鬼襲来</v>
      </c>
      <c r="G10" s="21">
        <v>2</v>
      </c>
      <c r="H10" s="15" t="str">
        <f t="shared" ref="H10:H13" si="7">B10&amp;"_"&amp;C10&amp;"-"&amp;G10</f>
        <v>48007_2-2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156" t="s">
        <v>53</v>
      </c>
      <c r="L10" s="20">
        <v>502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テラベル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90</v>
      </c>
      <c r="S10" s="25">
        <v>2.2000000000000002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245988.6</v>
      </c>
      <c r="U10" s="25">
        <v>0.5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6230.5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邪魔パネルx3を生成</v>
      </c>
      <c r="Y10" s="161">
        <v>48007110</v>
      </c>
      <c r="Z10" s="6">
        <v>1</v>
      </c>
      <c r="AA10" s="6">
        <v>100</v>
      </c>
      <c r="AB10" s="6">
        <v>0</v>
      </c>
      <c r="AC10" s="153">
        <v>1</v>
      </c>
      <c r="AD10" s="24">
        <f t="shared" ref="AD10:AD13" si="8">L10</f>
        <v>502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テラベル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ref="AI10:AI13" ca="1" si="9">AF10</f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7">
        <v>1</v>
      </c>
    </row>
    <row r="11" spans="1:42" ht="21" customHeight="1" x14ac:dyDescent="0.15">
      <c r="A11" s="16" t="str">
        <f t="shared" si="5"/>
        <v>48007_2-2/263&lt;lv90&gt;s1</v>
      </c>
      <c r="B11" s="22">
        <v>48007</v>
      </c>
      <c r="C11" s="21">
        <v>2</v>
      </c>
      <c r="D11" s="2" t="str">
        <f t="shared" si="6"/>
        <v>48007_2</v>
      </c>
      <c r="E11" s="4" t="str">
        <f ca="1">VLOOKUP($B11,OFFSET([2]quests!$A$1,0,0,COUNTA([2]quests!$A:$A),MATCH(E$1,[2]quests!$1:$1,0)-MATCH($B$1,[2]quests!$1:$1,0)+1),MATCH(E$1,[2]quests!$1:$1,0)-MATCH($B$1,[2]quests!$1:$1,0)+1,FALSE)</f>
        <v>紅鬼襲来！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【ウィザード級】紅鬼襲来</v>
      </c>
      <c r="G11" s="21">
        <v>2</v>
      </c>
      <c r="H11" s="15" t="str">
        <f t="shared" si="7"/>
        <v>48007_2-2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156" t="s">
        <v>53</v>
      </c>
      <c r="L11" s="20">
        <v>263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鉤爪姫 アシュリー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90</v>
      </c>
      <c r="S11" s="25">
        <v>3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356850</v>
      </c>
      <c r="U11" s="25">
        <v>0.5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6922.5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時限ボムパネルx4を生成</v>
      </c>
      <c r="Y11" s="162">
        <v>48007119</v>
      </c>
      <c r="Z11" s="6">
        <v>1</v>
      </c>
      <c r="AA11" s="6">
        <v>100</v>
      </c>
      <c r="AB11" s="6">
        <v>0</v>
      </c>
      <c r="AC11" s="153">
        <v>1</v>
      </c>
      <c r="AD11" s="24">
        <f t="shared" si="8"/>
        <v>263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鉤爪姫 アシュリー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Drop2W</v>
      </c>
      <c r="AH11" s="7">
        <v>1</v>
      </c>
      <c r="AI11" s="24">
        <f t="shared" ca="1" si="9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7">
        <v>1</v>
      </c>
    </row>
    <row r="12" spans="1:42" ht="21" customHeight="1" x14ac:dyDescent="0.15">
      <c r="A12" s="16" t="str">
        <f t="shared" si="5"/>
        <v>48007_2-3/382&lt;lv90&gt;s2</v>
      </c>
      <c r="B12" s="22">
        <v>48007</v>
      </c>
      <c r="C12" s="21">
        <v>2</v>
      </c>
      <c r="D12" s="2" t="str">
        <f t="shared" si="6"/>
        <v>48007_2</v>
      </c>
      <c r="E12" s="4" t="str">
        <f ca="1">VLOOKUP($B12,OFFSET([2]quests!$A$1,0,0,COUNTA([2]quests!$A:$A),MATCH(E$1,[2]quests!$1:$1,0)-MATCH($B$1,[2]quests!$1:$1,0)+1),MATCH(E$1,[2]quests!$1:$1,0)-MATCH($B$1,[2]quests!$1:$1,0)+1,FALSE)</f>
        <v>紅鬼襲来！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【ウィザード級】紅鬼襲来</v>
      </c>
      <c r="G12" s="21">
        <v>3</v>
      </c>
      <c r="H12" s="15" t="str">
        <f t="shared" si="7"/>
        <v>48007_2-3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156" t="s">
        <v>53</v>
      </c>
      <c r="L12" s="20">
        <v>382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激情の愛炎 バハムート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90</v>
      </c>
      <c r="S12" s="25">
        <v>4.5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724473</v>
      </c>
      <c r="U12" s="25">
        <v>1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10090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青パネル全部邪魔パネルになる</v>
      </c>
      <c r="Y12" s="160">
        <v>48007128</v>
      </c>
      <c r="Z12" s="6">
        <v>1</v>
      </c>
      <c r="AA12" s="6">
        <v>100</v>
      </c>
      <c r="AB12" s="6">
        <v>1</v>
      </c>
      <c r="AC12" s="153">
        <v>2</v>
      </c>
      <c r="AD12" s="24">
        <f t="shared" si="8"/>
        <v>382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激情の愛炎 バハムート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2" s="7">
        <v>1</v>
      </c>
      <c r="AI12" s="24">
        <f t="shared" ca="1" si="9"/>
        <v>5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7">
        <v>1</v>
      </c>
    </row>
    <row r="13" spans="1:42" ht="21" customHeight="1" x14ac:dyDescent="0.15">
      <c r="A13" s="16" t="str">
        <f t="shared" si="5"/>
        <v>48007_2-4/8079&lt;lv90&gt;s2</v>
      </c>
      <c r="B13" s="22">
        <v>48007</v>
      </c>
      <c r="C13" s="21">
        <v>2</v>
      </c>
      <c r="D13" s="2" t="str">
        <f t="shared" si="6"/>
        <v>48007_2</v>
      </c>
      <c r="E13" s="4" t="str">
        <f ca="1">VLOOKUP($B13,OFFSET([2]quests!$A$1,0,0,COUNTA([2]quests!$A:$A),MATCH(E$1,[2]quests!$1:$1,0)-MATCH($B$1,[2]quests!$1:$1,0)+1),MATCH(E$1,[2]quests!$1:$1,0)-MATCH($B$1,[2]quests!$1:$1,0)+1,FALSE)</f>
        <v>紅鬼襲来！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【ウィザード級】紅鬼襲来</v>
      </c>
      <c r="G13" s="21">
        <v>4</v>
      </c>
      <c r="H13" s="15" t="str">
        <f t="shared" si="7"/>
        <v>48007_2-4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17">
        <f ca="1">VLOOKUP($H13,OFFSET(floors!$A$1,0,0,COUNTA(floors!$A:$A),MATCH(J$1,floors!$1:$1,0)-MATCH($H$1,floors!$1:$1,0)+1),MATCH(J$1,floors!$1:$1,0)-MATCH($H$1,floors!$1:$1,0)+1,FALSE)</f>
        <v>60</v>
      </c>
      <c r="K13" s="156">
        <v>1</v>
      </c>
      <c r="L13" s="152">
        <v>8079</v>
      </c>
      <c r="M13" s="151" t="str">
        <f ca="1">VLOOKUP($L13,OFFSET([3]enemies!$A$1,0,0,COUNTA([3]enemies!$A:$A),MATCH(M$1,[3]enemies!$1:$1,0)-MATCH($L$1,[3]enemies!$1:$1,0)+1),MATCH(M$1,[3]enemies!$1:$1,0)-MATCH($L$1,[3]enemies!$1:$1,0)+1,FALSE)</f>
        <v>赤鬼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90</v>
      </c>
      <c r="S13" s="25">
        <v>6.5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25">
        <v>1.2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邪魔パネルを全吸収して全体に特大ダメージ</v>
      </c>
      <c r="Y13" s="159">
        <v>48007135</v>
      </c>
      <c r="Z13" s="6">
        <v>1</v>
      </c>
      <c r="AA13" s="6">
        <v>100</v>
      </c>
      <c r="AB13" s="6">
        <v>1</v>
      </c>
      <c r="AC13" s="153">
        <v>2</v>
      </c>
      <c r="AD13" s="24">
        <f t="shared" si="8"/>
        <v>8079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赤鬼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9"/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7">
        <v>1</v>
      </c>
    </row>
    <row r="23" spans="2:2" ht="21" customHeight="1" x14ac:dyDescent="0.15">
      <c r="B23" s="3" t="s">
        <v>252</v>
      </c>
    </row>
  </sheetData>
  <sheetProtection selectLockedCells="1" selectUnlockedCells="1"/>
  <autoFilter ref="B1:AJ8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93" zoomScaleNormal="93" zoomScalePageLayoutView="93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T12" sqref="T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247</v>
      </c>
      <c r="V1" s="26" t="s">
        <v>50</v>
      </c>
      <c r="W1" s="101" t="s">
        <v>248</v>
      </c>
      <c r="X1" s="26" t="s">
        <v>52</v>
      </c>
      <c r="Y1" s="28" t="s">
        <v>127</v>
      </c>
      <c r="Z1" s="29" t="s">
        <v>126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48007_1-4/8079&lt;lv65&gt;sq1st2</v>
      </c>
      <c r="B2" s="22">
        <v>48007</v>
      </c>
      <c r="C2" s="21">
        <v>1</v>
      </c>
      <c r="D2" s="2" t="str">
        <f>B2&amp;"_"&amp;C2</f>
        <v>48007_1</v>
      </c>
      <c r="E2" s="4" t="str">
        <f ca="1">VLOOKUP($B2,OFFSET([2]quests!$A$1,0,0,COUNTA([2]quests!$A:$A),MATCH(E$1,[2]quests!$1:$1,0)-MATCH($B$1,[2]quests!$1:$1,0)+1),MATCH(E$1,[2]quests!$1:$1,0)-MATCH($B$1,[2]quests!$1:$1,0)+1,FALSE)</f>
        <v>紅鬼襲来！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【超絶級】紅鬼襲来</v>
      </c>
      <c r="G2" s="21">
        <v>4</v>
      </c>
      <c r="H2" s="15" t="str">
        <f>B2&amp;"_"&amp;C2&amp;"-"&amp;G2</f>
        <v>48007_1-4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8079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赤鬼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65</v>
      </c>
      <c r="T2" s="25">
        <v>6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5">
        <v>0.75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61">
        <v>48007142</v>
      </c>
      <c r="AA2" s="164">
        <v>2</v>
      </c>
    </row>
    <row r="3" spans="1:27" ht="21" customHeight="1" x14ac:dyDescent="0.15">
      <c r="A3" s="16" t="str">
        <f>B3&amp;"_"&amp;C3&amp;"-"&amp;G3&amp;"/"&amp;M3&amp;"&lt;lv"&amp;S3&amp;"&gt;sq"&amp;K3&amp;"st"&amp;L3</f>
        <v>48007_2-4/8079&lt;lv85&gt;sq1st2</v>
      </c>
      <c r="B3" s="22">
        <v>48007</v>
      </c>
      <c r="C3" s="104">
        <v>2</v>
      </c>
      <c r="D3" s="105" t="str">
        <f>B3&amp;"_"&amp;C3</f>
        <v>48007_2</v>
      </c>
      <c r="E3" s="4" t="str">
        <f ca="1">VLOOKUP($B3,OFFSET([2]quests!$A$1,0,0,COUNTA([2]quests!$A:$A),MATCH(E$1,[2]quests!$1:$1,0)-MATCH($B$1,[2]quests!$1:$1,0)+1),MATCH(E$1,[2]quests!$1:$1,0)-MATCH($B$1,[2]quests!$1:$1,0)+1,FALSE)</f>
        <v>紅鬼襲来！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【ウィザード級】紅鬼襲来</v>
      </c>
      <c r="G3" s="104">
        <v>4</v>
      </c>
      <c r="H3" s="105" t="str">
        <f>B3&amp;"_"&amp;C3&amp;"-"&amp;G3</f>
        <v>48007_2-4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06">
        <v>1</v>
      </c>
      <c r="L3" s="106">
        <v>2</v>
      </c>
      <c r="M3" s="107">
        <v>8079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赤鬼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108">
        <v>85</v>
      </c>
      <c r="T3" s="109">
        <v>6</v>
      </c>
      <c r="U3" s="11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109">
        <v>0.75</v>
      </c>
      <c r="W3" s="11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108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61">
        <v>48007142</v>
      </c>
      <c r="AA3" s="165">
        <v>2</v>
      </c>
    </row>
    <row r="4" spans="1:27" ht="21" customHeight="1" x14ac:dyDescent="0.15">
      <c r="A4" s="16" t="str">
        <f>B4&amp;"_"&amp;C4&amp;"-"&amp;G4&amp;"/"&amp;M4&amp;"&lt;lv"&amp;S4&amp;"&gt;sq"&amp;K4&amp;"st"&amp;L4</f>
        <v>48007_2-4/8080&lt;lv85&gt;sq1st3</v>
      </c>
      <c r="B4" s="22">
        <v>48007</v>
      </c>
      <c r="C4" s="21">
        <v>2</v>
      </c>
      <c r="D4" s="2" t="str">
        <f>B4&amp;"_"&amp;C4</f>
        <v>48007_2</v>
      </c>
      <c r="E4" s="4" t="str">
        <f ca="1">VLOOKUP($B4,OFFSET([2]quests!$A$1,0,0,COUNTA([2]quests!$A:$A),MATCH(E$1,[2]quests!$1:$1,0)-MATCH($B$1,[2]quests!$1:$1,0)+1),MATCH(E$1,[2]quests!$1:$1,0)-MATCH($B$1,[2]quests!$1:$1,0)+1,FALSE)</f>
        <v>紅鬼襲来！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【ウィザード級】紅鬼襲来</v>
      </c>
      <c r="G4" s="21">
        <v>4</v>
      </c>
      <c r="H4" s="15" t="str">
        <f>B4&amp;"_"&amp;C4&amp;"-"&amp;G4</f>
        <v>48007_2-4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8080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レア６赤鬼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85</v>
      </c>
      <c r="T4" s="25">
        <v>7.2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5">
        <v>0.9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60">
        <v>48007149</v>
      </c>
      <c r="AA4" s="164">
        <v>1</v>
      </c>
    </row>
  </sheetData>
  <sheetProtection selectLockedCells="1" selectUnlockedCells="1"/>
  <autoFilter ref="B1:AA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0"/>
  <sheetViews>
    <sheetView showGridLines="0" tabSelected="1" workbookViewId="0">
      <pane xSplit="5" ySplit="1" topLeftCell="F40" activePane="bottomRight" state="frozen"/>
      <selection pane="topRight"/>
      <selection pane="bottomLeft"/>
      <selection pane="bottomRight" activeCell="C65" sqref="C65:C68"/>
    </sheetView>
  </sheetViews>
  <sheetFormatPr baseColWidth="12" defaultColWidth="12.83203125" defaultRowHeight="21" customHeight="1" outlineLevelCol="1" x14ac:dyDescent="0.15"/>
  <cols>
    <col min="1" max="1" width="20.33203125" style="39" customWidth="1"/>
    <col min="2" max="2" width="18.6640625" style="48" customWidth="1"/>
    <col min="3" max="3" width="22.5" style="48" customWidth="1"/>
    <col min="4" max="4" width="23.5" style="48" customWidth="1" outlineLevel="1"/>
    <col min="5" max="5" width="44.1640625" style="48" customWidth="1" outlineLevel="1"/>
    <col min="6" max="6" width="10.83203125" style="48" bestFit="1" customWidth="1"/>
    <col min="7" max="7" width="8.33203125" style="48" customWidth="1" outlineLevel="1"/>
    <col min="8" max="9" width="12.83203125" style="48" customWidth="1" outlineLevel="1"/>
    <col min="10" max="10" width="17.6640625" style="48" customWidth="1" outlineLevel="1"/>
    <col min="11" max="15" width="12.83203125" style="48" customWidth="1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163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3" t="s">
        <v>71</v>
      </c>
      <c r="L1" s="43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163" t="str">
        <f t="shared" ref="A2" si="0">B2&amp;"_"&amp;C2</f>
        <v>48007100_48007100</v>
      </c>
      <c r="B2" s="159">
        <v>48007100</v>
      </c>
      <c r="C2" s="159">
        <v>48007100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先制行動（セリフ）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" s="46">
        <f>C2</f>
        <v>48007100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163" t="str">
        <f t="shared" ref="A3:A47" si="1">B3&amp;"_"&amp;C3</f>
        <v>48007100_48007101</v>
      </c>
      <c r="B3" s="159">
        <v>48007100</v>
      </c>
      <c r="C3" s="159">
        <v>48007101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第1ターン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攻撃力アップ！</v>
      </c>
      <c r="F3" s="46">
        <f t="shared" ref="F3:F76" si="2">C3</f>
        <v>48007101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163" t="str">
        <f t="shared" si="1"/>
        <v>48007100_48007102</v>
      </c>
      <c r="B4" s="159">
        <v>48007100</v>
      </c>
      <c r="C4" s="159">
        <v>48007102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第3ターン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攻撃力さらにアップ！</v>
      </c>
      <c r="F4" s="46">
        <f t="shared" si="2"/>
        <v>48007102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163" t="str">
        <f t="shared" si="1"/>
        <v>48007100_48007103</v>
      </c>
      <c r="B5" s="159">
        <v>48007100</v>
      </c>
      <c r="C5" s="159">
        <v>48007103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第5ターン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攻撃力一気にダウンしちゃった…</v>
      </c>
      <c r="F5" s="46">
        <f t="shared" si="2"/>
        <v>48007103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163" t="str">
        <f t="shared" si="1"/>
        <v>48007100_48007104</v>
      </c>
      <c r="B6" s="159">
        <v>48007100</v>
      </c>
      <c r="C6" s="159">
        <v>48007104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死亡行動（セリフ）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" s="46">
        <f t="shared" si="2"/>
        <v>48007104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163" t="str">
        <f t="shared" si="1"/>
        <v>48007100_48007180</v>
      </c>
      <c r="B7" s="159">
        <v>48007100</v>
      </c>
      <c r="C7" s="159">
        <v>48007180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" s="46">
        <f t="shared" ref="F7" si="3">C7</f>
        <v>48007180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163" t="str">
        <f t="shared" ref="A8" si="4">B8&amp;"_"&amp;C8</f>
        <v>48007100_48007181</v>
      </c>
      <c r="B8" s="159">
        <v>48007100</v>
      </c>
      <c r="C8" s="159">
        <v>48007181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" s="46">
        <f t="shared" si="2"/>
        <v>48007181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163" t="str">
        <f t="shared" si="1"/>
        <v>48007105_48007105</v>
      </c>
      <c r="B9" s="160">
        <v>48007105</v>
      </c>
      <c r="C9" s="160">
        <v>48007105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先制行動（セリフ）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" s="46">
        <f t="shared" si="2"/>
        <v>48007105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163" t="str">
        <f t="shared" si="1"/>
        <v>48007105_48007106</v>
      </c>
      <c r="B10" s="160">
        <v>48007105</v>
      </c>
      <c r="C10" s="160">
        <v>48007106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第2ターン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防御力アップ！</v>
      </c>
      <c r="F10" s="46">
        <f t="shared" si="2"/>
        <v>48007106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163" t="str">
        <f t="shared" si="1"/>
        <v>48007105_48007107</v>
      </c>
      <c r="B11" s="160">
        <v>48007105</v>
      </c>
      <c r="C11" s="160">
        <v>48007107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第4ターン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防御力さらにアップ！</v>
      </c>
      <c r="F11" s="46">
        <f t="shared" si="2"/>
        <v>48007107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163" t="str">
        <f t="shared" ref="A12" si="5">B12&amp;"_"&amp;C12</f>
        <v>48007105_48007108</v>
      </c>
      <c r="B12" s="160">
        <v>48007105</v>
      </c>
      <c r="C12" s="160">
        <v>48007108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第6ターン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防御力一気にダウンしちゃった…</v>
      </c>
      <c r="F12" s="46">
        <f t="shared" si="2"/>
        <v>48007108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163" t="str">
        <f t="shared" si="1"/>
        <v>48007105_48007109</v>
      </c>
      <c r="B13" s="160">
        <v>48007105</v>
      </c>
      <c r="C13" s="160">
        <v>48007109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死亡行動（セリフ）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3" s="46">
        <f t="shared" si="2"/>
        <v>48007109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163" t="str">
        <f t="shared" si="1"/>
        <v>48007105_48007182</v>
      </c>
      <c r="B14" s="160">
        <v>48007105</v>
      </c>
      <c r="C14" s="160">
        <v>48007182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4" s="46">
        <f t="shared" ref="F14" si="6">C14</f>
        <v>48007182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163" t="str">
        <f t="shared" ref="A15" si="7">B15&amp;"_"&amp;C15</f>
        <v>48007105_48007183</v>
      </c>
      <c r="B15" s="160">
        <v>48007105</v>
      </c>
      <c r="C15" s="160">
        <v>48007183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5" s="46">
        <f t="shared" si="2"/>
        <v>48007183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163" t="str">
        <f t="shared" si="1"/>
        <v>48007110_48007110</v>
      </c>
      <c r="B16" s="161">
        <v>48007110</v>
      </c>
      <c r="C16" s="161">
        <v>48007110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先制行動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邪魔パネルx3を生成</v>
      </c>
      <c r="F16" s="46">
        <f t="shared" si="2"/>
        <v>48007110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163" t="str">
        <f t="shared" ref="A17" si="8">B17&amp;"_"&amp;C17</f>
        <v>48007110_48007111</v>
      </c>
      <c r="B17" s="161">
        <v>48007110</v>
      </c>
      <c r="C17" s="161">
        <v>48007111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第1ターン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邪魔パネルx3を生成</v>
      </c>
      <c r="F17" s="46">
        <f t="shared" si="2"/>
        <v>48007111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163" t="str">
        <f>B18&amp;"_"&amp;C18</f>
        <v>48007110_48007112</v>
      </c>
      <c r="B18" s="161">
        <v>48007110</v>
      </c>
      <c r="C18" s="161">
        <v>48007112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第3ターン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邪魔パネルx3を生成</v>
      </c>
      <c r="F18" s="46">
        <f t="shared" si="2"/>
        <v>48007112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163" t="str">
        <f t="shared" si="1"/>
        <v>48007110_48007113</v>
      </c>
      <c r="B19" s="161">
        <v>48007110</v>
      </c>
      <c r="C19" s="161">
        <v>48007113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第5ターン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邪魔パネルx3を生成</v>
      </c>
      <c r="F19" s="46">
        <f t="shared" si="2"/>
        <v>48007113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163" t="str">
        <f t="shared" si="1"/>
        <v>48007110_48007114</v>
      </c>
      <c r="B20" s="161">
        <v>48007110</v>
      </c>
      <c r="C20" s="161">
        <v>48007114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通常行動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攻撃力UP + 単体大ダメージ</v>
      </c>
      <c r="F20" s="46">
        <f t="shared" si="2"/>
        <v>48007114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0" s="46"/>
      <c r="Q20" s="46"/>
      <c r="R20" s="46"/>
    </row>
    <row r="21" spans="1:18" ht="21" customHeight="1" x14ac:dyDescent="0.15">
      <c r="A21" s="163" t="str">
        <f t="shared" si="1"/>
        <v>48007110_48007115</v>
      </c>
      <c r="B21" s="161">
        <v>48007110</v>
      </c>
      <c r="C21" s="161">
        <v>48007115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通常行動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攻撃力UP + 全体大ダメージ</v>
      </c>
      <c r="F21" s="46">
        <f t="shared" si="2"/>
        <v>48007115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6"/>
      <c r="Q21" s="46"/>
      <c r="R21" s="46"/>
    </row>
    <row r="22" spans="1:18" ht="21" customHeight="1" x14ac:dyDescent="0.15">
      <c r="A22" s="163" t="str">
        <f t="shared" ref="A22:A23" si="9">B22&amp;"_"&amp;C22</f>
        <v>48007110_48007116</v>
      </c>
      <c r="B22" s="161">
        <v>48007110</v>
      </c>
      <c r="C22" s="161">
        <v>48007116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第9ターン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青パネルは全部邪魔パネルにする</v>
      </c>
      <c r="F22" s="46">
        <f t="shared" ref="F22:F23" si="10">C22</f>
        <v>48007116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s="150" customFormat="1" ht="21" customHeight="1" thickBot="1" x14ac:dyDescent="0.2">
      <c r="A23" s="163" t="str">
        <f t="shared" si="9"/>
        <v>48007110_48007117</v>
      </c>
      <c r="B23" s="161">
        <v>48007110</v>
      </c>
      <c r="C23" s="161">
        <v>48007117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第10ターン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邪魔パネルを吸収して特大攻撃</v>
      </c>
      <c r="F23" s="46">
        <f t="shared" si="10"/>
        <v>48007117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thickTop="1" x14ac:dyDescent="0.15">
      <c r="A24" s="163" t="str">
        <f t="shared" si="1"/>
        <v>48007110_48007118</v>
      </c>
      <c r="B24" s="161">
        <v>48007110</v>
      </c>
      <c r="C24" s="161">
        <v>48007118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死亡行動（セリフ）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4" s="46">
        <f t="shared" si="2"/>
        <v>48007118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s="150" customFormat="1" ht="21" customHeight="1" thickBot="1" x14ac:dyDescent="0.2">
      <c r="A25" s="163" t="str">
        <f t="shared" si="1"/>
        <v>48007110_48007184</v>
      </c>
      <c r="B25" s="161">
        <v>48007110</v>
      </c>
      <c r="C25" s="161">
        <v>48007184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開幕ランダムに青パネル生成(最大5個)</v>
      </c>
      <c r="F25" s="46">
        <f t="shared" ref="F25" si="11">C25</f>
        <v>48007184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s="150" customFormat="1" ht="21" customHeight="1" thickTop="1" thickBot="1" x14ac:dyDescent="0.2">
      <c r="A26" s="163" t="str">
        <f t="shared" ref="A26" si="12">B26&amp;"_"&amp;C26</f>
        <v>48007110_48007185</v>
      </c>
      <c r="B26" s="161">
        <v>48007110</v>
      </c>
      <c r="C26" s="161">
        <v>48007185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開幕ランダムに青パネル生成(最大5個)</v>
      </c>
      <c r="F26" s="46">
        <f t="shared" si="2"/>
        <v>48007185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thickTop="1" x14ac:dyDescent="0.15">
      <c r="A27" s="163" t="str">
        <f t="shared" si="1"/>
        <v>48007119_48007119</v>
      </c>
      <c r="B27" s="162">
        <v>48007119</v>
      </c>
      <c r="C27" s="162">
        <v>48007119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先制行動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時限ボムパネルx4を生成</v>
      </c>
      <c r="F27" s="46">
        <f t="shared" si="2"/>
        <v>48007119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163" t="str">
        <f t="shared" si="1"/>
        <v>48007119_48007120</v>
      </c>
      <c r="B28" s="162">
        <v>48007119</v>
      </c>
      <c r="C28" s="162">
        <v>48007120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第2ターン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時限ボムパネルx4を生成</v>
      </c>
      <c r="F28" s="46">
        <f t="shared" si="2"/>
        <v>48007120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163" t="str">
        <f t="shared" si="1"/>
        <v>48007119_48007121</v>
      </c>
      <c r="B29" s="162">
        <v>48007119</v>
      </c>
      <c r="C29" s="162">
        <v>48007121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第4ターン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時限ボムパネルx4を生成</v>
      </c>
      <c r="F29" s="46">
        <f t="shared" si="2"/>
        <v>48007121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163" t="str">
        <f t="shared" si="1"/>
        <v>48007119_48007122</v>
      </c>
      <c r="B30" s="162">
        <v>48007119</v>
      </c>
      <c r="C30" s="162">
        <v>48007122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第6ターン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時限ボムパネルx4を生成</v>
      </c>
      <c r="F30" s="46">
        <f t="shared" si="2"/>
        <v>48007122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163" t="str">
        <f t="shared" si="1"/>
        <v>48007119_48007123</v>
      </c>
      <c r="B31" s="162">
        <v>48007119</v>
      </c>
      <c r="C31" s="162">
        <v>48007123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通常行動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爪攻撃（確率ウィルス）</v>
      </c>
      <c r="F31" s="46">
        <f t="shared" si="2"/>
        <v>48007123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1" s="46"/>
      <c r="Q31" s="46"/>
      <c r="R31" s="46"/>
    </row>
    <row r="32" spans="1:18" ht="21" customHeight="1" x14ac:dyDescent="0.15">
      <c r="A32" s="163" t="str">
        <f t="shared" si="1"/>
        <v>48007119_48007124</v>
      </c>
      <c r="B32" s="162">
        <v>48007119</v>
      </c>
      <c r="C32" s="162">
        <v>48007124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通常行動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3連爪攻撃（確率ウィルス）</v>
      </c>
      <c r="F32" s="46">
        <f t="shared" si="2"/>
        <v>48007124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2" s="46"/>
      <c r="Q32" s="46"/>
      <c r="R32" s="46"/>
    </row>
    <row r="33" spans="1:18" s="150" customFormat="1" ht="21" customHeight="1" thickBot="1" x14ac:dyDescent="0.2">
      <c r="A33" s="163" t="str">
        <f t="shared" ref="A33:A34" si="13">B33&amp;"_"&amp;C33</f>
        <v>48007119_48007125</v>
      </c>
      <c r="B33" s="162">
        <v>48007119</v>
      </c>
      <c r="C33" s="162">
        <v>48007125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第9ターン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赤パネルは全部時限パネルにする</v>
      </c>
      <c r="F33" s="46">
        <f t="shared" ref="F33:F34" si="14">C33</f>
        <v>48007125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thickTop="1" x14ac:dyDescent="0.15">
      <c r="A34" s="163" t="str">
        <f t="shared" si="13"/>
        <v>48007119_48007126</v>
      </c>
      <c r="B34" s="162">
        <v>48007119</v>
      </c>
      <c r="C34" s="162">
        <v>48007126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第10ターン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時限パネルを吸収して特大攻撃</v>
      </c>
      <c r="F34" s="46">
        <f t="shared" si="14"/>
        <v>48007126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s="150" customFormat="1" ht="21" customHeight="1" thickBot="1" x14ac:dyDescent="0.2">
      <c r="A35" s="163" t="str">
        <f t="shared" si="1"/>
        <v>48007119_48007127</v>
      </c>
      <c r="B35" s="162">
        <v>48007119</v>
      </c>
      <c r="C35" s="162">
        <v>48007127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死亡行動（セリフ）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35" s="46">
        <f t="shared" si="2"/>
        <v>48007127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thickTop="1" x14ac:dyDescent="0.15">
      <c r="A36" s="163" t="str">
        <f t="shared" si="1"/>
        <v>48007119_48007186</v>
      </c>
      <c r="B36" s="162">
        <v>48007119</v>
      </c>
      <c r="C36" s="162">
        <v>48007186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開幕ランダムに青ボム生成(最大5個)</v>
      </c>
      <c r="F36" s="46">
        <f t="shared" ref="F36" si="15">C36</f>
        <v>48007186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163" t="str">
        <f t="shared" ref="A37" si="16">B37&amp;"_"&amp;C37</f>
        <v>48007119_48007187</v>
      </c>
      <c r="B37" s="162">
        <v>48007119</v>
      </c>
      <c r="C37" s="162">
        <v>48007187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開幕ランダムに青ボム生成(最大5個)</v>
      </c>
      <c r="F37" s="46">
        <f t="shared" si="2"/>
        <v>48007187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163" t="str">
        <f t="shared" ref="A38:A39" si="17">B38&amp;"_"&amp;C38</f>
        <v>48007128_48007128</v>
      </c>
      <c r="B38" s="160">
        <v>48007128</v>
      </c>
      <c r="C38" s="160">
        <v>48007128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先制行動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青パネル全部邪魔パネルになる</v>
      </c>
      <c r="F38" s="46">
        <f t="shared" si="2"/>
        <v>48007128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163" t="str">
        <f t="shared" si="17"/>
        <v>48007128_48007129</v>
      </c>
      <c r="B39" s="160">
        <v>48007128</v>
      </c>
      <c r="C39" s="160">
        <v>48007129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通常行動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Cパネル吸収して攻撃(30%)+毒攻撃</v>
      </c>
      <c r="F39" s="46">
        <f t="shared" si="2"/>
        <v>48007129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9" s="46"/>
      <c r="Q39" s="46"/>
      <c r="R39" s="46"/>
    </row>
    <row r="40" spans="1:18" ht="21" customHeight="1" x14ac:dyDescent="0.15">
      <c r="A40" s="163" t="str">
        <f t="shared" si="1"/>
        <v>48007128_48007130</v>
      </c>
      <c r="B40" s="160">
        <v>48007128</v>
      </c>
      <c r="C40" s="160">
        <v>48007130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50%以下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攻撃力2倍にUP</v>
      </c>
      <c r="F40" s="46">
        <f t="shared" si="2"/>
        <v>48007130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163" t="str">
        <f t="shared" si="1"/>
        <v>48007128_48007131</v>
      </c>
      <c r="B41" s="160">
        <v>48007128</v>
      </c>
      <c r="C41" s="160">
        <v>48007131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50%以下通常行動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ランダムに邪魔パネルに変換+攻撃</v>
      </c>
      <c r="F41" s="46">
        <f t="shared" si="2"/>
        <v>48007131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7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46"/>
      <c r="Q41" s="46"/>
      <c r="R41" s="46"/>
    </row>
    <row r="42" spans="1:18" ht="21" customHeight="1" x14ac:dyDescent="0.15">
      <c r="A42" s="163" t="str">
        <f t="shared" si="1"/>
        <v>48007128_48007132</v>
      </c>
      <c r="B42" s="160">
        <v>48007128</v>
      </c>
      <c r="C42" s="160">
        <v>48007132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30%以下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決めセリフ</v>
      </c>
      <c r="F42" s="46">
        <f t="shared" si="2"/>
        <v>48007132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163" t="str">
        <f t="shared" si="1"/>
        <v>48007128_48007133</v>
      </c>
      <c r="B43" s="160">
        <v>48007128</v>
      </c>
      <c r="C43" s="160">
        <v>48007133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30%以下通常行動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一撃必殺</v>
      </c>
      <c r="F43" s="46">
        <f t="shared" si="2"/>
        <v>48007133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163" t="str">
        <f t="shared" si="1"/>
        <v>48007128_48007134</v>
      </c>
      <c r="B44" s="160">
        <v>48007128</v>
      </c>
      <c r="C44" s="160">
        <v>48007134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死亡行動（セリフ）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4" s="46">
        <f t="shared" si="2"/>
        <v>48007134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163" t="str">
        <f t="shared" si="1"/>
        <v>48007128_48007188</v>
      </c>
      <c r="B45" s="160">
        <v>48007128</v>
      </c>
      <c r="C45" s="160">
        <v>48007188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開幕スキルコスト+1</v>
      </c>
      <c r="F45" s="46">
        <f t="shared" ref="F45" si="18">C45</f>
        <v>48007188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163" t="str">
        <f t="shared" ref="A46" si="19">B46&amp;"_"&amp;C46</f>
        <v>48007128_48007189</v>
      </c>
      <c r="B46" s="160">
        <v>48007128</v>
      </c>
      <c r="C46" s="160">
        <v>48007189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開幕スキルコスト+1</v>
      </c>
      <c r="F46" s="46">
        <f t="shared" si="2"/>
        <v>48007189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163" t="str">
        <f t="shared" si="1"/>
        <v>48007135_48007135</v>
      </c>
      <c r="B47" s="159">
        <v>48007135</v>
      </c>
      <c r="C47" s="159">
        <v>48007135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先制行動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邪魔パネルを全吸収して全体に特大ダメージ</v>
      </c>
      <c r="F47" s="46">
        <f t="shared" si="2"/>
        <v>48007135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163" t="str">
        <f t="shared" ref="A48:A55" si="20">B48&amp;"_"&amp;C48</f>
        <v>48007135_48007136</v>
      </c>
      <c r="B48" s="159">
        <v>48007135</v>
      </c>
      <c r="C48" s="159">
        <v>48007136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通常行動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時限パネル（赤）をランダム生成</v>
      </c>
      <c r="F48" s="46">
        <f t="shared" si="2"/>
        <v>48007136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8" s="47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8" s="46"/>
      <c r="Q48" s="46"/>
      <c r="R48" s="46"/>
    </row>
    <row r="49" spans="1:18" ht="21" customHeight="1" x14ac:dyDescent="0.15">
      <c r="A49" s="163" t="str">
        <f t="shared" si="20"/>
        <v>48007135_48007137</v>
      </c>
      <c r="B49" s="159">
        <v>48007135</v>
      </c>
      <c r="C49" s="159">
        <v>48007137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50%以下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 xml:space="preserve">ランダムでパネルを20個時限式ダメージパネルに変換する   </v>
      </c>
      <c r="F49" s="46">
        <f t="shared" si="2"/>
        <v>48007137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163" t="str">
        <f t="shared" si="20"/>
        <v>48007135_48007138</v>
      </c>
      <c r="B50" s="159">
        <v>48007135</v>
      </c>
      <c r="C50" s="159">
        <v>48007138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50%以下通常行動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時限パネル（赤）をランダム生成 + 単体大ダメージ</v>
      </c>
      <c r="F50" s="46">
        <f t="shared" si="2"/>
        <v>48007138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0" s="4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0" s="46"/>
      <c r="Q50" s="46"/>
      <c r="R50" s="46"/>
    </row>
    <row r="51" spans="1:18" ht="21" customHeight="1" x14ac:dyDescent="0.15">
      <c r="A51" s="163" t="str">
        <f t="shared" si="20"/>
        <v>48007135_48007139</v>
      </c>
      <c r="B51" s="159">
        <v>48007135</v>
      </c>
      <c r="C51" s="159">
        <v>48007139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50%以下通常行動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チャージ攻撃</v>
      </c>
      <c r="F51" s="46">
        <f t="shared" si="2"/>
        <v>48007139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1" s="47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1" s="46"/>
      <c r="Q51" s="46"/>
      <c r="R51" s="46"/>
    </row>
    <row r="52" spans="1:18" ht="21" customHeight="1" x14ac:dyDescent="0.15">
      <c r="A52" s="163" t="str">
        <f t="shared" si="20"/>
        <v>48007135_48007140</v>
      </c>
      <c r="B52" s="159">
        <v>48007135</v>
      </c>
      <c r="C52" s="159">
        <v>48007140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50%以下通常行動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攻撃力UP + 単体大ダメージ</v>
      </c>
      <c r="F52" s="46">
        <f t="shared" si="2"/>
        <v>48007140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2" s="4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2" s="46"/>
      <c r="Q52" s="46"/>
      <c r="R52" s="46"/>
    </row>
    <row r="53" spans="1:18" s="131" customFormat="1" ht="21" customHeight="1" thickBot="1" x14ac:dyDescent="0.2">
      <c r="A53" s="163" t="str">
        <f t="shared" ref="A53:A54" si="21">B53&amp;"_"&amp;C53</f>
        <v>48007135_48007141</v>
      </c>
      <c r="B53" s="159">
        <v>48007135</v>
      </c>
      <c r="C53" s="159">
        <v>48007141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死亡行動（セリフ）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3" s="46">
        <f t="shared" si="2"/>
        <v>48007141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s="131" customFormat="1" ht="21" customHeight="1" thickTop="1" thickBot="1" x14ac:dyDescent="0.2">
      <c r="A54" s="163" t="str">
        <f t="shared" si="21"/>
        <v>48007135_48007190</v>
      </c>
      <c r="B54" s="159">
        <v>48007135</v>
      </c>
      <c r="C54" s="159">
        <v>48007190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開幕邪魔パネルを全部ハートパネルにする</v>
      </c>
      <c r="F54" s="46">
        <f t="shared" ref="F54" si="22">C54</f>
        <v>48007190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  <row r="55" spans="1:18" s="131" customFormat="1" ht="21" customHeight="1" thickTop="1" thickBot="1" x14ac:dyDescent="0.2">
      <c r="A55" s="163" t="str">
        <f t="shared" si="20"/>
        <v>48007135_48007191</v>
      </c>
      <c r="B55" s="159">
        <v>48007135</v>
      </c>
      <c r="C55" s="159">
        <v>48007191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開幕邪魔パネルを全部ハートパネルにする</v>
      </c>
      <c r="F55" s="46">
        <f t="shared" si="2"/>
        <v>48007191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ht="21" customHeight="1" thickTop="1" x14ac:dyDescent="0.15">
      <c r="A56" s="163" t="str">
        <f t="shared" ref="A56:A59" si="23">B56&amp;"_"&amp;C56</f>
        <v>48007142_48007142</v>
      </c>
      <c r="B56" s="161">
        <v>48007142</v>
      </c>
      <c r="C56" s="161">
        <v>48007142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先制行動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ランダムに一人行動不能になる（３ターン）</v>
      </c>
      <c r="F56" s="46">
        <f t="shared" si="2"/>
        <v>48007142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163" t="str">
        <f t="shared" si="23"/>
        <v>48007142_48007143</v>
      </c>
      <c r="B57" s="161">
        <v>48007142</v>
      </c>
      <c r="C57" s="161">
        <v>48007143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通常行動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強力な単体攻撃</v>
      </c>
      <c r="F57" s="46">
        <f t="shared" si="2"/>
        <v>48007143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7" s="46"/>
      <c r="Q57" s="46"/>
      <c r="R57" s="46"/>
    </row>
    <row r="58" spans="1:18" ht="21" customHeight="1" x14ac:dyDescent="0.15">
      <c r="A58" s="163" t="str">
        <f t="shared" si="23"/>
        <v>48007142_48007144</v>
      </c>
      <c r="B58" s="161">
        <v>48007142</v>
      </c>
      <c r="C58" s="161">
        <v>48007144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通常行動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58" s="46">
        <f t="shared" si="2"/>
        <v>48007144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8" s="46"/>
      <c r="Q58" s="46"/>
      <c r="R58" s="46"/>
    </row>
    <row r="59" spans="1:18" s="131" customFormat="1" ht="21" customHeight="1" thickBot="1" x14ac:dyDescent="0.2">
      <c r="A59" s="163" t="str">
        <f t="shared" si="23"/>
        <v>48007142_48007145</v>
      </c>
      <c r="B59" s="161">
        <v>48007142</v>
      </c>
      <c r="C59" s="161">
        <v>48007145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50%以下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行動頻度は１になる</v>
      </c>
      <c r="F59" s="46">
        <f t="shared" si="2"/>
        <v>48007145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thickTop="1" x14ac:dyDescent="0.15">
      <c r="A60" s="163" t="str">
        <f t="shared" ref="A60:A79" si="24">B60&amp;"_"&amp;C60</f>
        <v>48007142_48007146</v>
      </c>
      <c r="B60" s="161">
        <v>48007142</v>
      </c>
      <c r="C60" s="161">
        <v>48007146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50%以下通常行動(1回限定)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邪魔パネルを落ちる（8ターン）</v>
      </c>
      <c r="F60" s="46">
        <f t="shared" si="2"/>
        <v>48007146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7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163" t="str">
        <f t="shared" si="24"/>
        <v>48007142_48007147</v>
      </c>
      <c r="B61" s="161">
        <v>48007142</v>
      </c>
      <c r="C61" s="161">
        <v>48007147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30%以下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青パネルを吸収して回復(1回だけ)</v>
      </c>
      <c r="F61" s="46">
        <f t="shared" si="2"/>
        <v>48007147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ht="21" customHeight="1" x14ac:dyDescent="0.15">
      <c r="A62" s="163" t="str">
        <f t="shared" si="24"/>
        <v>48007142_48007148</v>
      </c>
      <c r="B62" s="161">
        <v>48007142</v>
      </c>
      <c r="C62" s="161">
        <v>48007148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死亡行動（セリフ）R5最後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2" s="46">
        <f t="shared" si="2"/>
        <v>48007148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7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ht="21" customHeight="1" x14ac:dyDescent="0.15">
      <c r="A63" s="163" t="str">
        <f t="shared" si="24"/>
        <v>48007142_48007192</v>
      </c>
      <c r="B63" s="161">
        <v>48007142</v>
      </c>
      <c r="C63" s="161">
        <v>48007192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3" s="46">
        <f t="shared" si="2"/>
        <v>48007192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7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ht="21" customHeight="1" x14ac:dyDescent="0.15">
      <c r="A64" s="163" t="str">
        <f>B64&amp;"_"&amp;C64</f>
        <v>48007142_48007193</v>
      </c>
      <c r="B64" s="161">
        <v>48007142</v>
      </c>
      <c r="C64" s="161">
        <v>48007193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4" s="46">
        <f>C64</f>
        <v>48007193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7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  <row r="65" spans="1:18" ht="21" customHeight="1" x14ac:dyDescent="0.15">
      <c r="A65" s="163" t="str">
        <f t="shared" si="24"/>
        <v>48007142_48007194</v>
      </c>
      <c r="B65" s="161">
        <v>48007142</v>
      </c>
      <c r="C65" s="161">
        <v>48007194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鄭成功遭遇(50%以下)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ランダムにハートパネルを変換+極小攻撃</v>
      </c>
      <c r="F65" s="46">
        <f t="shared" si="2"/>
        <v>48007194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7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7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6"/>
      <c r="R65" s="46"/>
    </row>
    <row r="66" spans="1:18" ht="21" customHeight="1" x14ac:dyDescent="0.15">
      <c r="A66" s="163" t="str">
        <f>B66&amp;"_"&amp;C66</f>
        <v>48007142_48007195</v>
      </c>
      <c r="B66" s="161">
        <v>48007142</v>
      </c>
      <c r="C66" s="161">
        <v>48007195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鄭成功遭遇(50%以下)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ランダムにハートパネルを変換+極小攻撃</v>
      </c>
      <c r="F66" s="46">
        <f>C66</f>
        <v>48007195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ht="21" customHeight="1" x14ac:dyDescent="0.15">
      <c r="A67" s="163" t="str">
        <f t="shared" si="24"/>
        <v>48007142_48007196</v>
      </c>
      <c r="B67" s="161">
        <v>48007142</v>
      </c>
      <c r="C67" s="161">
        <v>48007196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鄭成功遭遇(30%以下)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青パネルを吸収して、何も起こらない</v>
      </c>
      <c r="F67" s="46">
        <f t="shared" si="2"/>
        <v>48007196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7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7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6"/>
      <c r="R67" s="46"/>
    </row>
    <row r="68" spans="1:18" ht="21" customHeight="1" x14ac:dyDescent="0.15">
      <c r="A68" s="163" t="str">
        <f t="shared" ref="A68" si="25">B68&amp;"_"&amp;C68</f>
        <v>48007142_48007197</v>
      </c>
      <c r="B68" s="161">
        <v>48007142</v>
      </c>
      <c r="C68" s="161">
        <v>48007197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鄭成功遭遇(30%以下)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青パネルを吸収して、何も起こらない</v>
      </c>
      <c r="F68" s="46">
        <f t="shared" ref="F68" si="26">C68</f>
        <v>48007197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7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6"/>
      <c r="R68" s="46"/>
    </row>
    <row r="69" spans="1:18" ht="21" customHeight="1" x14ac:dyDescent="0.15">
      <c r="A69" s="163" t="str">
        <f t="shared" si="24"/>
        <v>48007149_48007149</v>
      </c>
      <c r="B69" s="160">
        <v>48007149</v>
      </c>
      <c r="C69" s="160">
        <v>48007149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先制行動（セリフ）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9" s="46">
        <f t="shared" si="2"/>
        <v>48007149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6"/>
      <c r="Q69" s="46"/>
      <c r="R69" s="46"/>
    </row>
    <row r="70" spans="1:18" ht="21" customHeight="1" x14ac:dyDescent="0.15">
      <c r="A70" s="163" t="str">
        <f t="shared" si="24"/>
        <v>48007149_48007150</v>
      </c>
      <c r="B70" s="160">
        <v>48007149</v>
      </c>
      <c r="C70" s="160">
        <v>48007150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第1ターン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全体スキルバインド（3ターン）</v>
      </c>
      <c r="F70" s="46">
        <f t="shared" si="2"/>
        <v>48007150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7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7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6"/>
      <c r="R70" s="46"/>
    </row>
    <row r="71" spans="1:18" ht="21" customHeight="1" x14ac:dyDescent="0.15">
      <c r="A71" s="163" t="str">
        <f t="shared" si="24"/>
        <v>48007149_48007151</v>
      </c>
      <c r="B71" s="160">
        <v>48007149</v>
      </c>
      <c r="C71" s="160">
        <v>48007151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第2ターン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大ダメージ</v>
      </c>
      <c r="F71" s="46">
        <f t="shared" si="2"/>
        <v>48007151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7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1" s="47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6"/>
      <c r="R71" s="46"/>
    </row>
    <row r="72" spans="1:18" ht="21" customHeight="1" x14ac:dyDescent="0.15">
      <c r="A72" s="163" t="str">
        <f t="shared" si="24"/>
        <v>48007149_48007152</v>
      </c>
      <c r="B72" s="160">
        <v>48007149</v>
      </c>
      <c r="C72" s="160">
        <v>48007152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第3ターン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大ダメージ</v>
      </c>
      <c r="F72" s="46">
        <f t="shared" si="2"/>
        <v>48007152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7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2" s="47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ht="21" customHeight="1" x14ac:dyDescent="0.15">
      <c r="A73" s="163" t="str">
        <f t="shared" si="24"/>
        <v>48007149_48007153</v>
      </c>
      <c r="B73" s="160">
        <v>48007149</v>
      </c>
      <c r="C73" s="160">
        <v>48007153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第4ターン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大ダメージ</v>
      </c>
      <c r="F73" s="46">
        <f t="shared" si="2"/>
        <v>48007153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7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3" s="4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ht="21" customHeight="1" x14ac:dyDescent="0.15">
      <c r="A74" s="163" t="str">
        <f t="shared" si="24"/>
        <v>48007149_48007154</v>
      </c>
      <c r="B74" s="160">
        <v>48007149</v>
      </c>
      <c r="C74" s="160">
        <v>48007154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第5ターン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青パネルを邪魔パネルに</v>
      </c>
      <c r="F74" s="46">
        <f t="shared" si="2"/>
        <v>48007154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7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4" s="47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ht="21" customHeight="1" x14ac:dyDescent="0.15">
      <c r="A75" s="163" t="str">
        <f t="shared" si="24"/>
        <v>48007149_48007155</v>
      </c>
      <c r="B75" s="160">
        <v>48007149</v>
      </c>
      <c r="C75" s="160">
        <v>48007155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第6ターン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一撃必殺</v>
      </c>
      <c r="F75" s="46">
        <f t="shared" si="2"/>
        <v>48007155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7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75" s="4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ht="21" customHeight="1" x14ac:dyDescent="0.15">
      <c r="A76" s="163" t="str">
        <f t="shared" si="24"/>
        <v>48007149_48007156</v>
      </c>
      <c r="B76" s="160">
        <v>48007149</v>
      </c>
      <c r="C76" s="160">
        <v>48007156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死亡行動（セリフ）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6" s="46">
        <f t="shared" si="2"/>
        <v>48007156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7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7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8080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ht="21" customHeight="1" x14ac:dyDescent="0.15">
      <c r="A77" s="163" t="str">
        <f t="shared" si="24"/>
        <v>48007149_48007198</v>
      </c>
      <c r="B77" s="160">
        <v>48007149</v>
      </c>
      <c r="C77" s="160">
        <v>48007198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7" s="46">
        <f t="shared" ref="F77" si="27">C77</f>
        <v>48007198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7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7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6"/>
      <c r="R77" s="46"/>
    </row>
    <row r="78" spans="1:18" ht="21" customHeight="1" x14ac:dyDescent="0.15">
      <c r="A78" s="163" t="str">
        <f t="shared" ref="A78:A80" si="28">B78&amp;"_"&amp;C78</f>
        <v>48007149_48007199</v>
      </c>
      <c r="B78" s="160">
        <v>48007149</v>
      </c>
      <c r="C78" s="160">
        <v>48007199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開幕セリフ（鄭成功遭遇）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8" s="46">
        <f t="shared" ref="F78:F80" si="29">C78</f>
        <v>48007199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7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7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6"/>
      <c r="Q78" s="46"/>
      <c r="R78" s="46"/>
    </row>
    <row r="79" spans="1:18" ht="21" customHeight="1" x14ac:dyDescent="0.15">
      <c r="A79" s="163" t="str">
        <f t="shared" si="24"/>
        <v>48007149_48007200</v>
      </c>
      <c r="B79" s="160">
        <v>48007149</v>
      </c>
      <c r="C79" s="160">
        <v>48007200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鄭成功遭遇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死亡セリフが違う</v>
      </c>
      <c r="F79" s="46">
        <f t="shared" ref="F79" si="30">C79</f>
        <v>48007200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7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7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8077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6"/>
      <c r="Q79" s="46"/>
      <c r="R79" s="46"/>
    </row>
    <row r="80" spans="1:18" ht="21" customHeight="1" x14ac:dyDescent="0.15">
      <c r="A80" s="163" t="str">
        <f t="shared" si="28"/>
        <v>48007149_48007201</v>
      </c>
      <c r="B80" s="160">
        <v>48007149</v>
      </c>
      <c r="C80" s="160">
        <v>48007201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鄭成功遭遇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死亡セリフが違う</v>
      </c>
      <c r="F80" s="46">
        <f t="shared" si="29"/>
        <v>48007201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0" s="47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7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8078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6"/>
      <c r="Q80" s="46"/>
      <c r="R80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0"/>
  <sheetViews>
    <sheetView showGridLines="0" zoomScale="115" zoomScaleNormal="115" zoomScalePageLayoutView="115" workbookViewId="0">
      <pane ySplit="1" topLeftCell="A71" activePane="bottomLeft" state="frozenSplit"/>
      <selection pane="bottomLeft" activeCell="D2" sqref="D2:D80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48.83203125" style="48" customWidth="1"/>
    <col min="3" max="4" width="12.83203125" style="48"/>
    <col min="5" max="5" width="28.83203125" style="48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62">
        <v>48007100</v>
      </c>
      <c r="B2" s="162" t="s">
        <v>304</v>
      </c>
      <c r="C2" s="166">
        <v>3</v>
      </c>
      <c r="D2" s="166" t="s">
        <v>417</v>
      </c>
      <c r="E2" s="167" t="s">
        <v>345</v>
      </c>
      <c r="F2" s="167" t="s">
        <v>353</v>
      </c>
      <c r="G2" s="61" t="str">
        <f>IFERROR(LEFT(B2,FIND("],",B2)),B2)</f>
        <v>[effect:enemy_message, val1:1.2, val2:0]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IFERROR(VLOOKUP(MID(G2,J2,K2-J2),[6]skilldef!$C:$D,2,FALSE),"-") &amp; " / " &amp; IFERROR(VLOOKUP(MID(G2,H2,I2-H2),[6]skilldef!$A:$B,2,FALSE),"-")</f>
        <v>- / -</v>
      </c>
      <c r="M2" s="61" t="str">
        <f>IFERROR(RIGHT(B2,LEN(B2)-FIND("],",B2)-1),"none")</f>
        <v>none</v>
      </c>
      <c r="N2" s="47" t="str">
        <f>IFERROR(LEFT(M2,FIND("],",M2)+S12),M2)</f>
        <v>none</v>
      </c>
      <c r="O2" s="61" t="e">
        <f>FIND("effect:",N2)+7</f>
        <v>#VALUE!</v>
      </c>
      <c r="P2" s="61">
        <f>IFERROR(FIND(",",N2),LEN(N2))</f>
        <v>4</v>
      </c>
      <c r="Q2" s="61" t="e">
        <f>FIND("target:",N2)+7</f>
        <v>#VALUE!</v>
      </c>
      <c r="R2" s="61" t="e">
        <f>FIND(",",N2,P2+1)</f>
        <v>#VALUE!</v>
      </c>
      <c r="S2" s="61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9"/>
      <c r="AA2" s="50"/>
      <c r="AB2" s="49"/>
    </row>
    <row r="3" spans="1:28" ht="21" customHeight="1" x14ac:dyDescent="0.15">
      <c r="A3" s="162">
        <v>48007101</v>
      </c>
      <c r="B3" s="162" t="s">
        <v>303</v>
      </c>
      <c r="C3" s="166">
        <v>3</v>
      </c>
      <c r="D3" s="166" t="s">
        <v>417</v>
      </c>
      <c r="E3" s="167" t="s">
        <v>334</v>
      </c>
      <c r="F3" s="167" t="s">
        <v>259</v>
      </c>
      <c r="G3" s="61" t="str">
        <f t="shared" ref="G3:G31" si="0">IFERROR(LEFT(B3,FIND("],",B3)),B3)</f>
        <v>[effect:enhance_unit, target:myself, turn:4, status:attack, val:0.2, calc:mul]</v>
      </c>
      <c r="H3" s="61">
        <f t="shared" ref="H3:H38" si="1">FIND("effect:",G3)+7</f>
        <v>9</v>
      </c>
      <c r="I3" s="61">
        <f t="shared" ref="I3:I31" si="2">IFERROR(FIND(",",G3),LEN(G3))</f>
        <v>21</v>
      </c>
      <c r="J3" s="61">
        <f t="shared" ref="J3:J31" si="3">FIND("target:",G3)+7</f>
        <v>30</v>
      </c>
      <c r="K3" s="61">
        <f t="shared" ref="K3:K31" si="4">FIND(",",G3,I3+1)</f>
        <v>36</v>
      </c>
      <c r="L3" s="61" t="str">
        <f>IFERROR(VLOOKUP(MID(G3,J3,K3-J3),[6]skilldef!$C:$D,2,FALSE),"-") &amp; " / " &amp; IFERROR(VLOOKUP(MID(G3,H3,I3-H3),[6]skilldef!$A:$B,2,FALSE),"-")</f>
        <v>自分自身に / -</v>
      </c>
      <c r="M3" s="61" t="str">
        <f t="shared" ref="M3:M31" si="5">IFERROR(RIGHT(B3,LEN(B3)-FIND("],",B3)-1),"none")</f>
        <v>none</v>
      </c>
      <c r="N3" s="47" t="str">
        <f>IFERROR(LEFT(M3,FIND("],",M3)+S13),M3)</f>
        <v>none</v>
      </c>
      <c r="O3" s="61" t="e">
        <f t="shared" ref="O3:O38" si="6">FIND("effect:",N3)+7</f>
        <v>#VALUE!</v>
      </c>
      <c r="P3" s="61">
        <f t="shared" ref="P3:P31" si="7">IFERROR(FIND(",",N3),LEN(N3))</f>
        <v>4</v>
      </c>
      <c r="Q3" s="61" t="e">
        <f t="shared" ref="Q3:Q31" si="8">FIND("target:",N3)+7</f>
        <v>#VALUE!</v>
      </c>
      <c r="R3" s="61" t="e">
        <f t="shared" ref="R3:R31" si="9">FIND(",",N3,P3+1)</f>
        <v>#VALUE!</v>
      </c>
      <c r="S3" s="61" t="str">
        <f>IFERROR(VLOOKUP(MID(N3,Q3,R3-Q3),[6]skilldef!$C:$D,2,FALSE),"-") &amp; " / " &amp; IFERROR(VLOOKUP(MID(N3,O3,P3-O3),[6]skilldef!$A:$B,2,FALSE),"-")</f>
        <v>- / -</v>
      </c>
      <c r="T3" s="47" t="str">
        <f t="shared" ref="T3:T31" si="10">IFERROR(RIGHT(M3,LEN(M3)-FIND("],",M3)-1),"none")</f>
        <v>none</v>
      </c>
      <c r="U3" s="61" t="e">
        <f t="shared" ref="U3:U38" si="11">FIND("effect:",T3)+7</f>
        <v>#VALUE!</v>
      </c>
      <c r="V3" s="61">
        <f t="shared" ref="V3:V31" si="12">IFERROR(FIND(",",T3),LEN(T3))</f>
        <v>4</v>
      </c>
      <c r="W3" s="61" t="e">
        <f t="shared" ref="W3:W31" si="13">FIND("target:",T3)+7</f>
        <v>#VALUE!</v>
      </c>
      <c r="X3" s="61" t="e">
        <f t="shared" ref="X3:X31" si="14"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9"/>
      <c r="AA3" s="50"/>
      <c r="AB3" s="49"/>
    </row>
    <row r="4" spans="1:28" ht="21" customHeight="1" x14ac:dyDescent="0.15">
      <c r="A4" s="162">
        <v>48007102</v>
      </c>
      <c r="B4" s="162" t="s">
        <v>302</v>
      </c>
      <c r="C4" s="166">
        <v>3</v>
      </c>
      <c r="D4" s="166" t="s">
        <v>417</v>
      </c>
      <c r="E4" s="167" t="s">
        <v>340</v>
      </c>
      <c r="F4" s="167" t="s">
        <v>260</v>
      </c>
      <c r="G4" s="61" t="str">
        <f t="shared" si="0"/>
        <v>[effect:enhance_unit, target:myself, turn:2,status:attack, val:0.2, calc:mul]</v>
      </c>
      <c r="H4" s="61">
        <f t="shared" si="1"/>
        <v>9</v>
      </c>
      <c r="I4" s="61">
        <f t="shared" si="2"/>
        <v>21</v>
      </c>
      <c r="J4" s="61">
        <f t="shared" si="3"/>
        <v>30</v>
      </c>
      <c r="K4" s="61">
        <f t="shared" si="4"/>
        <v>36</v>
      </c>
      <c r="L4" s="61" t="str">
        <f>IFERROR(VLOOKUP(MID(G4,J4,K4-J4),[6]skilldef!$C:$D,2,FALSE),"-") &amp; " / " &amp; IFERROR(VLOOKUP(MID(G4,H4,I4-H4),[6]skilldef!$A:$B,2,FALSE),"-")</f>
        <v>自分自身に / -</v>
      </c>
      <c r="M4" s="61" t="str">
        <f t="shared" si="5"/>
        <v>none</v>
      </c>
      <c r="N4" s="47" t="str">
        <f>IFERROR(LEFT(M4,FIND("],",M4)+S14),M4)</f>
        <v>none</v>
      </c>
      <c r="O4" s="61" t="e">
        <f t="shared" si="6"/>
        <v>#VALUE!</v>
      </c>
      <c r="P4" s="61">
        <f t="shared" si="7"/>
        <v>4</v>
      </c>
      <c r="Q4" s="61" t="e">
        <f t="shared" si="8"/>
        <v>#VALUE!</v>
      </c>
      <c r="R4" s="61" t="e">
        <f t="shared" si="9"/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7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9"/>
      <c r="AA4" s="50"/>
      <c r="AB4" s="49"/>
    </row>
    <row r="5" spans="1:28" ht="21" customHeight="1" x14ac:dyDescent="0.15">
      <c r="A5" s="162">
        <v>48007103</v>
      </c>
      <c r="B5" s="162" t="s">
        <v>395</v>
      </c>
      <c r="C5" s="166">
        <v>3</v>
      </c>
      <c r="D5" s="166" t="s">
        <v>417</v>
      </c>
      <c r="E5" s="167" t="s">
        <v>342</v>
      </c>
      <c r="F5" s="167" t="s">
        <v>298</v>
      </c>
      <c r="G5" s="61" t="str">
        <f t="shared" si="0"/>
        <v>[effect:enhance_unit, target:myself, turn:99, status:attack, val:-0.9, calc:mul]</v>
      </c>
      <c r="H5" s="61">
        <f t="shared" si="1"/>
        <v>9</v>
      </c>
      <c r="I5" s="61">
        <f t="shared" si="2"/>
        <v>21</v>
      </c>
      <c r="J5" s="61">
        <f t="shared" si="3"/>
        <v>30</v>
      </c>
      <c r="K5" s="61">
        <f t="shared" si="4"/>
        <v>36</v>
      </c>
      <c r="L5" s="61" t="str">
        <f>IFERROR(VLOOKUP(MID(G5,J5,K5-J5),[6]skilldef!$C:$D,2,FALSE),"-") &amp; " / " &amp; IFERROR(VLOOKUP(MID(G5,H5,I5-H5),[6]skilldef!$A:$B,2,FALSE),"-")</f>
        <v>自分自身に / -</v>
      </c>
      <c r="M5" s="61" t="str">
        <f t="shared" si="5"/>
        <v>none</v>
      </c>
      <c r="N5" s="47" t="str">
        <f>IFERROR(LEFT(M5,FIND("],",M5)+S15),M5)</f>
        <v>none</v>
      </c>
      <c r="O5" s="61" t="e">
        <f t="shared" si="6"/>
        <v>#VALUE!</v>
      </c>
      <c r="P5" s="61">
        <f t="shared" si="7"/>
        <v>4</v>
      </c>
      <c r="Q5" s="61" t="e">
        <f t="shared" si="8"/>
        <v>#VALUE!</v>
      </c>
      <c r="R5" s="61" t="e">
        <f t="shared" si="9"/>
        <v>#VALUE!</v>
      </c>
      <c r="S5" s="61" t="str">
        <f>IFERROR(VLOOKUP(MID(N5,Q5,R5-Q5),[6]skilldef!$C:$D,2,FALSE),"-") &amp; " / " &amp; IFERROR(VLOOKUP(MID(N5,O5,P5-O5),[6]skilldef!$A:$B,2,FALSE),"-")</f>
        <v>- / -</v>
      </c>
      <c r="T5" s="47" t="str">
        <f t="shared" si="10"/>
        <v>none</v>
      </c>
      <c r="U5" s="61" t="e">
        <f t="shared" si="11"/>
        <v>#VALUE!</v>
      </c>
      <c r="V5" s="61">
        <f t="shared" si="12"/>
        <v>4</v>
      </c>
      <c r="W5" s="61" t="e">
        <f t="shared" si="13"/>
        <v>#VALUE!</v>
      </c>
      <c r="X5" s="61" t="e">
        <f t="shared" si="14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9"/>
      <c r="AA5" s="50"/>
      <c r="AB5" s="49"/>
    </row>
    <row r="6" spans="1:28" ht="21" customHeight="1" x14ac:dyDescent="0.15">
      <c r="A6" s="162">
        <v>48007104</v>
      </c>
      <c r="B6" s="162" t="s">
        <v>257</v>
      </c>
      <c r="C6" s="166">
        <v>3</v>
      </c>
      <c r="D6" s="166" t="s">
        <v>417</v>
      </c>
      <c r="E6" s="167" t="s">
        <v>349</v>
      </c>
      <c r="F6" s="167" t="s">
        <v>346</v>
      </c>
      <c r="G6" s="61" t="str">
        <f t="shared" si="0"/>
        <v>[effect:enemy_message, val1:1.2, val2:0]</v>
      </c>
      <c r="H6" s="61">
        <f t="shared" si="1"/>
        <v>9</v>
      </c>
      <c r="I6" s="61">
        <f t="shared" si="2"/>
        <v>22</v>
      </c>
      <c r="J6" s="61" t="e">
        <f t="shared" si="3"/>
        <v>#VALUE!</v>
      </c>
      <c r="K6" s="61">
        <f t="shared" si="4"/>
        <v>32</v>
      </c>
      <c r="L6" s="61" t="str">
        <f>IFERROR(VLOOKUP(MID(G6,J6,K6-J6),[6]skilldef!$C:$D,2,FALSE),"-") &amp; " / " &amp; IFERROR(VLOOKUP(MID(G6,H6,I6-H6),[6]skilldef!$A:$B,2,FALSE),"-")</f>
        <v>- / -</v>
      </c>
      <c r="M6" s="61" t="str">
        <f t="shared" si="5"/>
        <v>none</v>
      </c>
      <c r="N6" s="47" t="str">
        <f>IFERROR(LEFT(M6,FIND("],",M6)+S16),M6)</f>
        <v>none</v>
      </c>
      <c r="O6" s="61" t="e">
        <f t="shared" si="6"/>
        <v>#VALUE!</v>
      </c>
      <c r="P6" s="61">
        <f t="shared" si="7"/>
        <v>4</v>
      </c>
      <c r="Q6" s="61" t="e">
        <f t="shared" si="8"/>
        <v>#VALUE!</v>
      </c>
      <c r="R6" s="61" t="e">
        <f t="shared" si="9"/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7" t="str">
        <f t="shared" si="10"/>
        <v>none</v>
      </c>
      <c r="U6" s="61" t="e">
        <f t="shared" si="11"/>
        <v>#VALUE!</v>
      </c>
      <c r="V6" s="61">
        <f t="shared" si="12"/>
        <v>4</v>
      </c>
      <c r="W6" s="61" t="e">
        <f t="shared" si="13"/>
        <v>#VALUE!</v>
      </c>
      <c r="X6" s="61" t="e">
        <f t="shared" si="14"/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9"/>
      <c r="AA6" s="50"/>
      <c r="AB6" s="49"/>
    </row>
    <row r="7" spans="1:28" ht="21" customHeight="1" x14ac:dyDescent="0.15">
      <c r="A7" s="161">
        <v>48007105</v>
      </c>
      <c r="B7" s="161" t="s">
        <v>257</v>
      </c>
      <c r="C7" s="170">
        <v>3</v>
      </c>
      <c r="D7" s="166" t="s">
        <v>417</v>
      </c>
      <c r="E7" s="171" t="s">
        <v>360</v>
      </c>
      <c r="F7" s="171" t="s">
        <v>346</v>
      </c>
      <c r="G7" s="61" t="str">
        <f t="shared" si="0"/>
        <v>[effect:enemy_message, val1:1.2, val2:0]</v>
      </c>
      <c r="H7" s="61">
        <f t="shared" si="1"/>
        <v>9</v>
      </c>
      <c r="I7" s="61">
        <f t="shared" si="2"/>
        <v>22</v>
      </c>
      <c r="J7" s="61" t="e">
        <f t="shared" si="3"/>
        <v>#VALUE!</v>
      </c>
      <c r="K7" s="61">
        <f t="shared" si="4"/>
        <v>32</v>
      </c>
      <c r="L7" s="61" t="str">
        <f>IFERROR(VLOOKUP(MID(G7,J7,K7-J7),[6]skilldef!$C:$D,2,FALSE),"-") &amp; " / " &amp; IFERROR(VLOOKUP(MID(G7,H7,I7-H7),[6]skilldef!$A:$B,2,FALSE),"-")</f>
        <v>- / -</v>
      </c>
      <c r="M7" s="61" t="str">
        <f t="shared" si="5"/>
        <v>none</v>
      </c>
      <c r="N7" s="47" t="str">
        <f t="shared" ref="N7:N31" si="15">IFERROR(LEFT(M7,FIND("],",M7)+S17),M7)</f>
        <v>none</v>
      </c>
      <c r="O7" s="61" t="e">
        <f t="shared" si="6"/>
        <v>#VALUE!</v>
      </c>
      <c r="P7" s="61">
        <f t="shared" si="7"/>
        <v>4</v>
      </c>
      <c r="Q7" s="61" t="e">
        <f t="shared" si="8"/>
        <v>#VALUE!</v>
      </c>
      <c r="R7" s="61" t="e">
        <f t="shared" si="9"/>
        <v>#VALUE!</v>
      </c>
      <c r="S7" s="61" t="str">
        <f>IFERROR(VLOOKUP(MID(N7,Q7,R7-Q7),[6]skilldef!$C:$D,2,FALSE),"-") &amp; " / " &amp; IFERROR(VLOOKUP(MID(N7,O7,P7-O7),[6]skilldef!$A:$B,2,FALSE),"-")</f>
        <v>- / -</v>
      </c>
      <c r="T7" s="47" t="str">
        <f t="shared" si="10"/>
        <v>none</v>
      </c>
      <c r="U7" s="61" t="e">
        <f t="shared" si="11"/>
        <v>#VALUE!</v>
      </c>
      <c r="V7" s="61">
        <f t="shared" si="12"/>
        <v>4</v>
      </c>
      <c r="W7" s="61" t="e">
        <f t="shared" si="13"/>
        <v>#VALUE!</v>
      </c>
      <c r="X7" s="61" t="e">
        <f t="shared" si="14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9"/>
      <c r="AA7" s="50"/>
      <c r="AB7" s="49"/>
    </row>
    <row r="8" spans="1:28" ht="21" customHeight="1" x14ac:dyDescent="0.15">
      <c r="A8" s="161">
        <v>48007106</v>
      </c>
      <c r="B8" s="161" t="s">
        <v>330</v>
      </c>
      <c r="C8" s="170">
        <v>3</v>
      </c>
      <c r="D8" s="166" t="s">
        <v>417</v>
      </c>
      <c r="E8" s="171" t="s">
        <v>335</v>
      </c>
      <c r="F8" s="171" t="s">
        <v>261</v>
      </c>
      <c r="G8" s="61" t="str">
        <f t="shared" si="0"/>
        <v>[effect:enhance_unit, target:myself, turn:4, status:defense, val:500, calc:add]</v>
      </c>
      <c r="H8" s="61">
        <f t="shared" si="1"/>
        <v>9</v>
      </c>
      <c r="I8" s="61">
        <f t="shared" si="2"/>
        <v>21</v>
      </c>
      <c r="J8" s="61">
        <f t="shared" si="3"/>
        <v>30</v>
      </c>
      <c r="K8" s="61">
        <f t="shared" si="4"/>
        <v>36</v>
      </c>
      <c r="L8" s="61" t="str">
        <f>IFERROR(VLOOKUP(MID(G8,J8,K8-J8),[6]skilldef!$C:$D,2,FALSE),"-") &amp; " / " &amp; IFERROR(VLOOKUP(MID(G8,H8,I8-H8),[6]skilldef!$A:$B,2,FALSE),"-")</f>
        <v>自分自身に / -</v>
      </c>
      <c r="M8" s="61" t="str">
        <f t="shared" si="5"/>
        <v>none</v>
      </c>
      <c r="N8" s="47" t="str">
        <f>IFERROR(LEFT(M8,FIND("],",M8)+S20),M8)</f>
        <v>none</v>
      </c>
      <c r="O8" s="61" t="e">
        <f t="shared" si="6"/>
        <v>#VALUE!</v>
      </c>
      <c r="P8" s="61">
        <f t="shared" si="7"/>
        <v>4</v>
      </c>
      <c r="Q8" s="61" t="e">
        <f t="shared" si="8"/>
        <v>#VALUE!</v>
      </c>
      <c r="R8" s="61" t="e">
        <f t="shared" si="9"/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7" t="str">
        <f t="shared" si="10"/>
        <v>none</v>
      </c>
      <c r="U8" s="61" t="e">
        <f t="shared" si="11"/>
        <v>#VALUE!</v>
      </c>
      <c r="V8" s="61">
        <f t="shared" si="12"/>
        <v>4</v>
      </c>
      <c r="W8" s="61" t="e">
        <f t="shared" si="13"/>
        <v>#VALUE!</v>
      </c>
      <c r="X8" s="61" t="e">
        <f t="shared" si="14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9"/>
      <c r="AA8" s="50"/>
      <c r="AB8" s="49"/>
    </row>
    <row r="9" spans="1:28" ht="21" customHeight="1" x14ac:dyDescent="0.15">
      <c r="A9" s="161">
        <v>48007107</v>
      </c>
      <c r="B9" s="161" t="s">
        <v>331</v>
      </c>
      <c r="C9" s="170">
        <v>3</v>
      </c>
      <c r="D9" s="166" t="s">
        <v>417</v>
      </c>
      <c r="E9" s="171" t="s">
        <v>337</v>
      </c>
      <c r="F9" s="171" t="s">
        <v>262</v>
      </c>
      <c r="G9" s="61" t="str">
        <f t="shared" si="0"/>
        <v>[effect:enhance_unit, target:myself, turn:2,status:defense, val:500, calc:add]</v>
      </c>
      <c r="H9" s="61">
        <f t="shared" si="1"/>
        <v>9</v>
      </c>
      <c r="I9" s="61">
        <f t="shared" si="2"/>
        <v>21</v>
      </c>
      <c r="J9" s="61">
        <f t="shared" si="3"/>
        <v>30</v>
      </c>
      <c r="K9" s="61">
        <f t="shared" si="4"/>
        <v>36</v>
      </c>
      <c r="L9" s="61" t="str">
        <f>IFERROR(VLOOKUP(MID(G9,J9,K9-J9),[6]skilldef!$C:$D,2,FALSE),"-") &amp; " / " &amp; IFERROR(VLOOKUP(MID(G9,H9,I9-H9),[6]skilldef!$A:$B,2,FALSE),"-")</f>
        <v>自分自身に / -</v>
      </c>
      <c r="M9" s="61" t="str">
        <f t="shared" si="5"/>
        <v>none</v>
      </c>
      <c r="N9" s="47" t="str">
        <f>IFERROR(LEFT(M9,FIND("],",M9)+S21),M9)</f>
        <v>none</v>
      </c>
      <c r="O9" s="61" t="e">
        <f t="shared" si="6"/>
        <v>#VALUE!</v>
      </c>
      <c r="P9" s="61">
        <f t="shared" si="7"/>
        <v>4</v>
      </c>
      <c r="Q9" s="61" t="e">
        <f t="shared" si="8"/>
        <v>#VALUE!</v>
      </c>
      <c r="R9" s="61" t="e">
        <f t="shared" si="9"/>
        <v>#VALUE!</v>
      </c>
      <c r="S9" s="61" t="str">
        <f>IFERROR(VLOOKUP(MID(N9,Q9,R9-Q9),[6]skilldef!$C:$D,2,FALSE),"-") &amp; " / " &amp; IFERROR(VLOOKUP(MID(N9,O9,P9-O9),[6]skilldef!$A:$B,2,FALSE),"-")</f>
        <v>- / -</v>
      </c>
      <c r="T9" s="47" t="str">
        <f t="shared" si="10"/>
        <v>none</v>
      </c>
      <c r="U9" s="61" t="e">
        <f t="shared" si="11"/>
        <v>#VALUE!</v>
      </c>
      <c r="V9" s="61">
        <f t="shared" si="12"/>
        <v>4</v>
      </c>
      <c r="W9" s="61" t="e">
        <f t="shared" si="13"/>
        <v>#VALUE!</v>
      </c>
      <c r="X9" s="61" t="e">
        <f t="shared" si="14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9"/>
      <c r="AA9" s="50"/>
      <c r="AB9" s="49"/>
    </row>
    <row r="10" spans="1:28" ht="21" customHeight="1" x14ac:dyDescent="0.15">
      <c r="A10" s="161">
        <v>48007108</v>
      </c>
      <c r="B10" s="161" t="s">
        <v>332</v>
      </c>
      <c r="C10" s="170">
        <v>3</v>
      </c>
      <c r="D10" s="166" t="s">
        <v>417</v>
      </c>
      <c r="E10" s="171" t="s">
        <v>338</v>
      </c>
      <c r="F10" s="171" t="s">
        <v>299</v>
      </c>
      <c r="G10" s="61" t="str">
        <f t="shared" si="0"/>
        <v>[effect:enhance_unit, target:myself, turn:99, status:defense, val:0, calc:mul]</v>
      </c>
      <c r="H10" s="61">
        <f t="shared" si="1"/>
        <v>9</v>
      </c>
      <c r="I10" s="61">
        <f t="shared" si="2"/>
        <v>21</v>
      </c>
      <c r="J10" s="61">
        <f t="shared" si="3"/>
        <v>30</v>
      </c>
      <c r="K10" s="61">
        <f t="shared" si="4"/>
        <v>36</v>
      </c>
      <c r="L10" s="61" t="str">
        <f>IFERROR(VLOOKUP(MID(G10,J10,K10-J10),[6]skilldef!$C:$D,2,FALSE),"-") &amp; " / " &amp; IFERROR(VLOOKUP(MID(G10,H10,I10-H10),[6]skilldef!$A:$B,2,FALSE),"-")</f>
        <v>自分自身に / -</v>
      </c>
      <c r="M10" s="61" t="str">
        <f t="shared" si="5"/>
        <v>none</v>
      </c>
      <c r="N10" s="47" t="str">
        <f>IFERROR(LEFT(M10,FIND("],",M10)+S22),M10)</f>
        <v>none</v>
      </c>
      <c r="O10" s="61" t="e">
        <f t="shared" si="6"/>
        <v>#VALUE!</v>
      </c>
      <c r="P10" s="61">
        <f t="shared" si="7"/>
        <v>4</v>
      </c>
      <c r="Q10" s="61" t="e">
        <f t="shared" si="8"/>
        <v>#VALUE!</v>
      </c>
      <c r="R10" s="61" t="e">
        <f t="shared" si="9"/>
        <v>#VALUE!</v>
      </c>
      <c r="S10" s="61" t="str">
        <f>IFERROR(VLOOKUP(MID(N10,Q10,R10-Q10),[6]skilldef!$C:$D,2,FALSE),"-") &amp; " / " &amp; IFERROR(VLOOKUP(MID(N10,O10,P10-O10),[6]skilldef!$A:$B,2,FALSE),"-")</f>
        <v>- / -</v>
      </c>
      <c r="T10" s="47" t="str">
        <f t="shared" si="10"/>
        <v>none</v>
      </c>
      <c r="U10" s="61" t="e">
        <f t="shared" si="11"/>
        <v>#VALUE!</v>
      </c>
      <c r="V10" s="61">
        <f t="shared" si="12"/>
        <v>4</v>
      </c>
      <c r="W10" s="61" t="e">
        <f t="shared" si="13"/>
        <v>#VALUE!</v>
      </c>
      <c r="X10" s="61" t="e">
        <f t="shared" si="14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9"/>
      <c r="AA10" s="50"/>
      <c r="AB10" s="49"/>
    </row>
    <row r="11" spans="1:28" ht="21" customHeight="1" x14ac:dyDescent="0.15">
      <c r="A11" s="161">
        <v>48007109</v>
      </c>
      <c r="B11" s="161" t="s">
        <v>301</v>
      </c>
      <c r="C11" s="170">
        <v>3</v>
      </c>
      <c r="D11" s="166" t="s">
        <v>417</v>
      </c>
      <c r="E11" s="171" t="s">
        <v>348</v>
      </c>
      <c r="F11" s="171" t="s">
        <v>258</v>
      </c>
      <c r="G11" s="61" t="str">
        <f t="shared" si="0"/>
        <v>[effect:enemy_message, val1:1.2, val2:0]</v>
      </c>
      <c r="H11" s="61">
        <f t="shared" si="1"/>
        <v>9</v>
      </c>
      <c r="I11" s="61">
        <f t="shared" si="2"/>
        <v>22</v>
      </c>
      <c r="J11" s="61" t="e">
        <f t="shared" si="3"/>
        <v>#VALUE!</v>
      </c>
      <c r="K11" s="61">
        <f t="shared" si="4"/>
        <v>32</v>
      </c>
      <c r="L11" s="61" t="str">
        <f>IFERROR(VLOOKUP(MID(G11,J11,K11-J11),[6]skilldef!$C:$D,2,FALSE),"-") &amp; " / " &amp; IFERROR(VLOOKUP(MID(G11,H11,I11-H11),[6]skilldef!$A:$B,2,FALSE),"-")</f>
        <v>- / -</v>
      </c>
      <c r="M11" s="61" t="str">
        <f t="shared" si="5"/>
        <v>none</v>
      </c>
      <c r="N11" s="47" t="str">
        <f>IFERROR(LEFT(M11,FIND("],",M11)+S23),M11)</f>
        <v>none</v>
      </c>
      <c r="O11" s="61" t="e">
        <f t="shared" si="6"/>
        <v>#VALUE!</v>
      </c>
      <c r="P11" s="61">
        <f t="shared" si="7"/>
        <v>4</v>
      </c>
      <c r="Q11" s="61" t="e">
        <f t="shared" si="8"/>
        <v>#VALUE!</v>
      </c>
      <c r="R11" s="61" t="e">
        <f t="shared" si="9"/>
        <v>#VALUE!</v>
      </c>
      <c r="S11" s="61" t="str">
        <f>IFERROR(VLOOKUP(MID(N11,Q11,R11-Q11),[6]skilldef!$C:$D,2,FALSE),"-") &amp; " / " &amp; IFERROR(VLOOKUP(MID(N11,O11,P11-O11),[6]skilldef!$A:$B,2,FALSE),"-")</f>
        <v>- / -</v>
      </c>
      <c r="T11" s="47" t="str">
        <f t="shared" si="10"/>
        <v>none</v>
      </c>
      <c r="U11" s="61" t="e">
        <f t="shared" si="11"/>
        <v>#VALUE!</v>
      </c>
      <c r="V11" s="61">
        <f t="shared" si="12"/>
        <v>4</v>
      </c>
      <c r="W11" s="61" t="e">
        <f t="shared" si="13"/>
        <v>#VALUE!</v>
      </c>
      <c r="X11" s="61" t="e">
        <f t="shared" si="14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9"/>
      <c r="AA11" s="50"/>
      <c r="AB11" s="49"/>
    </row>
    <row r="12" spans="1:28" ht="21" customHeight="1" x14ac:dyDescent="0.15">
      <c r="A12" s="160">
        <v>48007110</v>
      </c>
      <c r="B12" s="160" t="s">
        <v>374</v>
      </c>
      <c r="C12" s="168">
        <v>3</v>
      </c>
      <c r="D12" s="166" t="s">
        <v>417</v>
      </c>
      <c r="E12" s="169" t="s">
        <v>344</v>
      </c>
      <c r="F12" s="169" t="s">
        <v>379</v>
      </c>
      <c r="G12" s="61" t="str">
        <f t="shared" si="0"/>
        <v>[effect:force_change_block, new_block:jammer, target:block_all, ignore01:crash, ignore02:time_bomb, ignore03:crack_bomb, ignore04:color_break, count:3, val:0]</v>
      </c>
      <c r="H12" s="61">
        <f t="shared" si="1"/>
        <v>9</v>
      </c>
      <c r="I12" s="61">
        <f t="shared" si="2"/>
        <v>27</v>
      </c>
      <c r="J12" s="61">
        <f t="shared" si="3"/>
        <v>54</v>
      </c>
      <c r="K12" s="61">
        <f t="shared" si="4"/>
        <v>45</v>
      </c>
      <c r="L12" s="61" t="str">
        <f>IFERROR(VLOOKUP(MID(G12,J12,K12-J12),[6]skilldef!$C:$D,2,FALSE),"-") &amp; " / " &amp; IFERROR(VLOOKUP(MID(G12,H12,I12-H12),[6]skilldef!$A:$B,2,FALSE),"-")</f>
        <v>- / -</v>
      </c>
      <c r="M12" s="61" t="str">
        <f t="shared" si="5"/>
        <v>none</v>
      </c>
      <c r="N12" s="47" t="str">
        <f>IFERROR(LEFT(M12,FIND("],",M12)+S24),M12)</f>
        <v>none</v>
      </c>
      <c r="O12" s="61" t="e">
        <f t="shared" si="6"/>
        <v>#VALUE!</v>
      </c>
      <c r="P12" s="61">
        <f t="shared" si="7"/>
        <v>4</v>
      </c>
      <c r="Q12" s="61" t="e">
        <f t="shared" si="8"/>
        <v>#VALUE!</v>
      </c>
      <c r="R12" s="61" t="e">
        <f t="shared" si="9"/>
        <v>#VALUE!</v>
      </c>
      <c r="S12" s="61" t="str">
        <f>IFERROR(VLOOKUP(MID(N12,Q12,R12-Q12),[6]skilldef!$C:$D,2,FALSE),"-") &amp; " / " &amp; IFERROR(VLOOKUP(MID(N12,O12,P12-O12),[6]skilldef!$A:$B,2,FALSE),"-")</f>
        <v>- / -</v>
      </c>
      <c r="T12" s="47" t="str">
        <f t="shared" si="10"/>
        <v>none</v>
      </c>
      <c r="U12" s="61" t="e">
        <f t="shared" si="11"/>
        <v>#VALUE!</v>
      </c>
      <c r="V12" s="61">
        <f t="shared" si="12"/>
        <v>4</v>
      </c>
      <c r="W12" s="61" t="e">
        <f t="shared" si="13"/>
        <v>#VALUE!</v>
      </c>
      <c r="X12" s="61" t="e">
        <f t="shared" si="14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9"/>
      <c r="AA12" s="50"/>
      <c r="AB12" s="49"/>
    </row>
    <row r="13" spans="1:28" ht="21" customHeight="1" x14ac:dyDescent="0.15">
      <c r="A13" s="160">
        <v>48007111</v>
      </c>
      <c r="B13" s="160" t="s">
        <v>374</v>
      </c>
      <c r="C13" s="168">
        <v>3</v>
      </c>
      <c r="D13" s="166" t="s">
        <v>417</v>
      </c>
      <c r="E13" s="169" t="s">
        <v>333</v>
      </c>
      <c r="F13" s="169" t="s">
        <v>378</v>
      </c>
      <c r="G13" s="61" t="str">
        <f t="shared" si="0"/>
        <v>[effect:force_change_block, new_block:jammer, target:block_all, ignore01:crash, ignore02:time_bomb, ignore03:crack_bomb, ignore04:color_break, count:3, val:0]</v>
      </c>
      <c r="H13" s="61">
        <f t="shared" si="1"/>
        <v>9</v>
      </c>
      <c r="I13" s="61">
        <f t="shared" si="2"/>
        <v>27</v>
      </c>
      <c r="J13" s="61">
        <f t="shared" si="3"/>
        <v>54</v>
      </c>
      <c r="K13" s="61">
        <f t="shared" si="4"/>
        <v>45</v>
      </c>
      <c r="L13" s="61" t="str">
        <f>IFERROR(VLOOKUP(MID(G13,J13,K13-J13),[6]skilldef!$C:$D,2,FALSE),"-") &amp; " / " &amp; IFERROR(VLOOKUP(MID(G13,H13,I13-H13),[6]skilldef!$A:$B,2,FALSE),"-")</f>
        <v>- / -</v>
      </c>
      <c r="M13" s="61" t="str">
        <f t="shared" si="5"/>
        <v>none</v>
      </c>
      <c r="N13" s="47" t="str">
        <f>IFERROR(LEFT(M13,FIND("],",M13)+S25),M13)</f>
        <v>none</v>
      </c>
      <c r="O13" s="61" t="e">
        <f t="shared" si="6"/>
        <v>#VALUE!</v>
      </c>
      <c r="P13" s="61">
        <f t="shared" si="7"/>
        <v>4</v>
      </c>
      <c r="Q13" s="61" t="e">
        <f t="shared" si="8"/>
        <v>#VALUE!</v>
      </c>
      <c r="R13" s="61" t="e">
        <f t="shared" si="9"/>
        <v>#VALUE!</v>
      </c>
      <c r="S13" s="61" t="str">
        <f>IFERROR(VLOOKUP(MID(N13,Q13,R13-Q13),[6]skilldef!$C:$D,2,FALSE),"-") &amp; " / " &amp; IFERROR(VLOOKUP(MID(N13,O13,P13-O13),[6]skilldef!$A:$B,2,FALSE),"-")</f>
        <v>- / -</v>
      </c>
      <c r="T13" s="47" t="str">
        <f t="shared" si="10"/>
        <v>none</v>
      </c>
      <c r="U13" s="61" t="e">
        <f t="shared" si="11"/>
        <v>#VALUE!</v>
      </c>
      <c r="V13" s="61">
        <f t="shared" si="12"/>
        <v>4</v>
      </c>
      <c r="W13" s="61" t="e">
        <f t="shared" si="13"/>
        <v>#VALUE!</v>
      </c>
      <c r="X13" s="61" t="e">
        <f t="shared" si="14"/>
        <v>#VALUE!</v>
      </c>
      <c r="Y13" s="61" t="str">
        <f>IFERROR(VLOOKUP(MID(T13,W13,X13-W13),[6]skilldef!$C:$D,2,FALSE),"-") &amp; " / " &amp; IFERROR(VLOOKUP(MID(T13,U13,V13-U13),[6]skilldef!$A:$B,2,FALSE),"-")</f>
        <v>- / -</v>
      </c>
      <c r="Z13" s="49"/>
      <c r="AA13" s="50"/>
      <c r="AB13" s="49"/>
    </row>
    <row r="14" spans="1:28" ht="21" customHeight="1" x14ac:dyDescent="0.15">
      <c r="A14" s="160">
        <v>48007112</v>
      </c>
      <c r="B14" s="160" t="s">
        <v>375</v>
      </c>
      <c r="C14" s="168">
        <v>3</v>
      </c>
      <c r="D14" s="166" t="s">
        <v>417</v>
      </c>
      <c r="E14" s="169" t="s">
        <v>336</v>
      </c>
      <c r="F14" s="169" t="s">
        <v>373</v>
      </c>
      <c r="G14" s="61" t="str">
        <f t="shared" si="0"/>
        <v>[effect:force_change_block, new_block:jammer, target:block_all, ignore01:crash, ignore02:time_bomb, ignore03:crack_bomb, ignore04:color_break, count:3, val:0]</v>
      </c>
      <c r="H14" s="61">
        <f t="shared" si="1"/>
        <v>9</v>
      </c>
      <c r="I14" s="61">
        <f t="shared" si="2"/>
        <v>27</v>
      </c>
      <c r="J14" s="61">
        <f t="shared" si="3"/>
        <v>54</v>
      </c>
      <c r="K14" s="61">
        <f t="shared" si="4"/>
        <v>45</v>
      </c>
      <c r="L14" s="61" t="str">
        <f>IFERROR(VLOOKUP(MID(G14,J14,K14-J14),[6]skilldef!$C:$D,2,FALSE),"-") &amp; " / " &amp; IFERROR(VLOOKUP(MID(G14,H14,I14-H14),[6]skilldef!$A:$B,2,FALSE),"-")</f>
        <v>- / -</v>
      </c>
      <c r="M14" s="61" t="str">
        <f t="shared" si="5"/>
        <v>none</v>
      </c>
      <c r="N14" s="47" t="str">
        <f>IFERROR(LEFT(M14,FIND("],",M14)+S26),M14)</f>
        <v>none</v>
      </c>
      <c r="O14" s="61" t="e">
        <f t="shared" si="6"/>
        <v>#VALUE!</v>
      </c>
      <c r="P14" s="61">
        <f t="shared" si="7"/>
        <v>4</v>
      </c>
      <c r="Q14" s="61" t="e">
        <f t="shared" si="8"/>
        <v>#VALUE!</v>
      </c>
      <c r="R14" s="61" t="e">
        <f t="shared" si="9"/>
        <v>#VALUE!</v>
      </c>
      <c r="S14" s="61" t="str">
        <f>IFERROR(VLOOKUP(MID(N14,Q14,R14-Q14),[6]skilldef!$C:$D,2,FALSE),"-") &amp; " / " &amp; IFERROR(VLOOKUP(MID(N14,O14,P14-O14),[6]skilldef!$A:$B,2,FALSE),"-")</f>
        <v>- / -</v>
      </c>
      <c r="T14" s="47" t="str">
        <f t="shared" si="10"/>
        <v>none</v>
      </c>
      <c r="U14" s="61" t="e">
        <f t="shared" si="11"/>
        <v>#VALUE!</v>
      </c>
      <c r="V14" s="61">
        <f t="shared" si="12"/>
        <v>4</v>
      </c>
      <c r="W14" s="61" t="e">
        <f t="shared" si="13"/>
        <v>#VALUE!</v>
      </c>
      <c r="X14" s="61" t="e">
        <f t="shared" si="14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9"/>
      <c r="AA14" s="50"/>
      <c r="AB14" s="49"/>
    </row>
    <row r="15" spans="1:28" ht="21" customHeight="1" x14ac:dyDescent="0.15">
      <c r="A15" s="160">
        <v>48007113</v>
      </c>
      <c r="B15" s="160" t="s">
        <v>374</v>
      </c>
      <c r="C15" s="168">
        <v>3</v>
      </c>
      <c r="D15" s="166" t="s">
        <v>417</v>
      </c>
      <c r="E15" s="169" t="s">
        <v>341</v>
      </c>
      <c r="F15" s="169" t="s">
        <v>384</v>
      </c>
      <c r="G15" s="61" t="str">
        <f t="shared" si="0"/>
        <v>[effect:force_change_block, new_block:jammer, target:block_all, ignore01:crash, ignore02:time_bomb, ignore03:crack_bomb, ignore04:color_break, count:3, val:0]</v>
      </c>
      <c r="H15" s="61">
        <f t="shared" si="1"/>
        <v>9</v>
      </c>
      <c r="I15" s="61">
        <f t="shared" si="2"/>
        <v>27</v>
      </c>
      <c r="J15" s="61">
        <f t="shared" si="3"/>
        <v>54</v>
      </c>
      <c r="K15" s="61">
        <f t="shared" si="4"/>
        <v>45</v>
      </c>
      <c r="L15" s="61" t="str">
        <f>IFERROR(VLOOKUP(MID(G15,J15,K15-J15),[6]skilldef!$C:$D,2,FALSE),"-") &amp; " / " &amp; IFERROR(VLOOKUP(MID(G15,H15,I15-H15),[6]skilldef!$A:$B,2,FALSE),"-")</f>
        <v>- / -</v>
      </c>
      <c r="M15" s="61" t="str">
        <f t="shared" si="5"/>
        <v>none</v>
      </c>
      <c r="N15" s="47" t="str">
        <f>IFERROR(LEFT(M15,FIND("],",M15)+S29),M15)</f>
        <v>none</v>
      </c>
      <c r="O15" s="61" t="e">
        <f t="shared" si="6"/>
        <v>#VALUE!</v>
      </c>
      <c r="P15" s="61">
        <f t="shared" si="7"/>
        <v>4</v>
      </c>
      <c r="Q15" s="61" t="e">
        <f t="shared" si="8"/>
        <v>#VALUE!</v>
      </c>
      <c r="R15" s="61" t="e">
        <f t="shared" si="9"/>
        <v>#VALUE!</v>
      </c>
      <c r="S15" s="61" t="str">
        <f>IFERROR(VLOOKUP(MID(N15,Q15,R15-Q15),[6]skilldef!$C:$D,2,FALSE),"-") &amp; " / " &amp; IFERROR(VLOOKUP(MID(N15,O15,P15-O15),[6]skilldef!$A:$B,2,FALSE),"-")</f>
        <v>- / -</v>
      </c>
      <c r="T15" s="47" t="str">
        <f t="shared" si="10"/>
        <v>none</v>
      </c>
      <c r="U15" s="61" t="e">
        <f t="shared" si="11"/>
        <v>#VALUE!</v>
      </c>
      <c r="V15" s="61">
        <f t="shared" si="12"/>
        <v>4</v>
      </c>
      <c r="W15" s="61" t="e">
        <f t="shared" si="13"/>
        <v>#VALUE!</v>
      </c>
      <c r="X15" s="61" t="e">
        <f t="shared" si="14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9"/>
      <c r="AA15" s="50"/>
      <c r="AB15" s="49"/>
    </row>
    <row r="16" spans="1:28" ht="21" customHeight="1" x14ac:dyDescent="0.15">
      <c r="A16" s="160">
        <v>48007114</v>
      </c>
      <c r="B16" s="160" t="s">
        <v>300</v>
      </c>
      <c r="C16" s="168">
        <v>3</v>
      </c>
      <c r="D16" s="166" t="s">
        <v>417</v>
      </c>
      <c r="E16" s="169" t="s">
        <v>352</v>
      </c>
      <c r="F16" s="169" t="s">
        <v>266</v>
      </c>
      <c r="G16" s="61" t="str">
        <f t="shared" si="0"/>
        <v>[effect:enhance_unit, target:myself, turn:2, status:attack, val:0.2, calc:mul]</v>
      </c>
      <c r="H16" s="61">
        <f t="shared" si="1"/>
        <v>9</v>
      </c>
      <c r="I16" s="61">
        <f t="shared" si="2"/>
        <v>21</v>
      </c>
      <c r="J16" s="61">
        <f t="shared" si="3"/>
        <v>30</v>
      </c>
      <c r="K16" s="61">
        <f t="shared" si="4"/>
        <v>36</v>
      </c>
      <c r="L16" s="61" t="str">
        <f>IFERROR(VLOOKUP(MID(G16,J16,K16-J16),[6]skilldef!$C:$D,2,FALSE),"-") &amp; " / " &amp; IFERROR(VLOOKUP(MID(G16,H16,I16-H16),[6]skilldef!$A:$B,2,FALSE),"-")</f>
        <v>自分自身に / -</v>
      </c>
      <c r="M16" s="61" t="str">
        <f t="shared" si="5"/>
        <v>[effect:critical, val:2, animation:enemy_critical]</v>
      </c>
      <c r="N16" s="47" t="str">
        <f>IFERROR(LEFT(M16,FIND("],",M16)+S30),M16)</f>
        <v>[effect:critical, val:2, animation:enemy_critical]</v>
      </c>
      <c r="O16" s="61">
        <f t="shared" si="6"/>
        <v>9</v>
      </c>
      <c r="P16" s="61">
        <f t="shared" si="7"/>
        <v>17</v>
      </c>
      <c r="Q16" s="61" t="e">
        <f t="shared" si="8"/>
        <v>#VALUE!</v>
      </c>
      <c r="R16" s="61">
        <f t="shared" si="9"/>
        <v>24</v>
      </c>
      <c r="S16" s="61" t="str">
        <f>IFERROR(VLOOKUP(MID(N16,Q16,R16-Q16),[6]skilldef!$C:$D,2,FALSE),"-") &amp; " / " &amp; IFERROR(VLOOKUP(MID(N16,O16,P16-O16),[6]skilldef!$A:$B,2,FALSE),"-")</f>
        <v>- / 大攻撃</v>
      </c>
      <c r="T16" s="47" t="str">
        <f t="shared" si="10"/>
        <v>none</v>
      </c>
      <c r="U16" s="61" t="e">
        <f t="shared" si="11"/>
        <v>#VALUE!</v>
      </c>
      <c r="V16" s="61">
        <f t="shared" si="12"/>
        <v>4</v>
      </c>
      <c r="W16" s="61" t="e">
        <f t="shared" si="13"/>
        <v>#VALUE!</v>
      </c>
      <c r="X16" s="61" t="e">
        <f t="shared" si="14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9"/>
      <c r="AA16" s="50"/>
      <c r="AB16" s="49"/>
    </row>
    <row r="17" spans="1:28" ht="21" customHeight="1" x14ac:dyDescent="0.15">
      <c r="A17" s="160">
        <v>48007115</v>
      </c>
      <c r="B17" s="160" t="s">
        <v>413</v>
      </c>
      <c r="C17" s="168">
        <v>3</v>
      </c>
      <c r="D17" s="166" t="s">
        <v>417</v>
      </c>
      <c r="E17" s="169" t="s">
        <v>350</v>
      </c>
      <c r="F17" s="169" t="s">
        <v>263</v>
      </c>
      <c r="G17" s="61" t="str">
        <f t="shared" si="0"/>
        <v>[effect:enhance_unit, target:myself, turn:2, status:attack, val:0.5, calc:mul]</v>
      </c>
      <c r="H17" s="61">
        <f t="shared" si="1"/>
        <v>9</v>
      </c>
      <c r="I17" s="61">
        <f t="shared" si="2"/>
        <v>21</v>
      </c>
      <c r="J17" s="61">
        <f t="shared" si="3"/>
        <v>30</v>
      </c>
      <c r="K17" s="61">
        <f t="shared" si="4"/>
        <v>36</v>
      </c>
      <c r="L17" s="61" t="str">
        <f>IFERROR(VLOOKUP(MID(G17,J17,K17-J17),[6]skilldef!$C:$D,2,FALSE),"-") &amp; " / " &amp; IFERROR(VLOOKUP(MID(G17,H17,I17-H17),[6]skilldef!$A:$B,2,FALSE),"-")</f>
        <v>自分自身に / -</v>
      </c>
      <c r="M17" s="61" t="str">
        <f t="shared" si="5"/>
        <v>[effect:spread, val:0.19]</v>
      </c>
      <c r="N17" s="47" t="str">
        <f>IFERROR(LEFT(M17,FIND("],",M17)+#REF!),M17)</f>
        <v>[effect:spread, val:0.19]</v>
      </c>
      <c r="O17" s="61">
        <f t="shared" si="6"/>
        <v>9</v>
      </c>
      <c r="P17" s="61">
        <f t="shared" si="7"/>
        <v>15</v>
      </c>
      <c r="Q17" s="61" t="e">
        <f t="shared" si="8"/>
        <v>#VALUE!</v>
      </c>
      <c r="R17" s="61" t="e">
        <f t="shared" si="9"/>
        <v>#VALUE!</v>
      </c>
      <c r="S17" s="61" t="str">
        <f>IFERROR(VLOOKUP(MID(N17,Q17,R17-Q17),[6]skilldef!$C:$D,2,FALSE),"-") &amp; " / " &amp; IFERROR(VLOOKUP(MID(N17,O17,P17-O17),[6]skilldef!$A:$B,2,FALSE),"-")</f>
        <v>- / 全体攻撃</v>
      </c>
      <c r="T17" s="47" t="str">
        <f t="shared" si="10"/>
        <v>none</v>
      </c>
      <c r="U17" s="61" t="e">
        <f t="shared" si="11"/>
        <v>#VALUE!</v>
      </c>
      <c r="V17" s="61">
        <f t="shared" si="12"/>
        <v>4</v>
      </c>
      <c r="W17" s="61" t="e">
        <f t="shared" si="13"/>
        <v>#VALUE!</v>
      </c>
      <c r="X17" s="61" t="e">
        <f t="shared" si="14"/>
        <v>#VALUE!</v>
      </c>
      <c r="Y17" s="61" t="str">
        <f>IFERROR(VLOOKUP(MID(T17,W17,X17-W17),[6]skilldef!$C:$D,2,FALSE),"-") &amp; " / " &amp; IFERROR(VLOOKUP(MID(T17,U17,V17-U17),[6]skilldef!$A:$B,2,FALSE),"-")</f>
        <v>- / -</v>
      </c>
      <c r="Z17" s="49"/>
      <c r="AA17" s="50"/>
      <c r="AB17" s="49"/>
    </row>
    <row r="18" spans="1:28" ht="21" customHeight="1" x14ac:dyDescent="0.15">
      <c r="A18" s="160">
        <v>48007116</v>
      </c>
      <c r="B18" s="160" t="s">
        <v>392</v>
      </c>
      <c r="C18" s="168">
        <v>3</v>
      </c>
      <c r="D18" s="166" t="s">
        <v>417</v>
      </c>
      <c r="E18" s="169" t="s">
        <v>381</v>
      </c>
      <c r="F18" s="169" t="s">
        <v>385</v>
      </c>
      <c r="G18" s="61" t="str">
        <f t="shared" si="0"/>
        <v>[effect:force_change_block, new_block:jammer, target:block_blue, ignore01:crash, ignore02:time_bomb, ignore03:crack_bomb, ignore04:color_break, count:0, val:0]</v>
      </c>
      <c r="H18" s="61">
        <f t="shared" si="1"/>
        <v>9</v>
      </c>
      <c r="I18" s="61">
        <f t="shared" si="2"/>
        <v>27</v>
      </c>
      <c r="J18" s="61">
        <f t="shared" si="3"/>
        <v>54</v>
      </c>
      <c r="K18" s="61">
        <f t="shared" si="4"/>
        <v>45</v>
      </c>
      <c r="L18" s="61"/>
      <c r="M18" s="61" t="str">
        <f t="shared" si="5"/>
        <v>none</v>
      </c>
      <c r="N18" s="47"/>
      <c r="O18" s="61"/>
      <c r="P18" s="61"/>
      <c r="Q18" s="61"/>
      <c r="R18" s="61"/>
      <c r="S18" s="61"/>
      <c r="T18" s="47" t="str">
        <f t="shared" si="10"/>
        <v>none</v>
      </c>
      <c r="U18" s="61" t="e">
        <f t="shared" si="11"/>
        <v>#VALUE!</v>
      </c>
      <c r="V18" s="61">
        <f t="shared" si="12"/>
        <v>4</v>
      </c>
      <c r="W18" s="61" t="e">
        <f t="shared" si="13"/>
        <v>#VALUE!</v>
      </c>
      <c r="X18" s="61" t="e">
        <f t="shared" si="14"/>
        <v>#VALUE!</v>
      </c>
      <c r="Y18" s="61"/>
      <c r="Z18" s="49"/>
      <c r="AA18" s="50"/>
      <c r="AB18" s="49"/>
    </row>
    <row r="19" spans="1:28" ht="21" customHeight="1" x14ac:dyDescent="0.15">
      <c r="A19" s="160">
        <v>48007117</v>
      </c>
      <c r="B19" s="160" t="s">
        <v>389</v>
      </c>
      <c r="C19" s="168">
        <v>3</v>
      </c>
      <c r="D19" s="166" t="s">
        <v>417</v>
      </c>
      <c r="E19" s="169" t="s">
        <v>383</v>
      </c>
      <c r="F19" s="169" t="s">
        <v>386</v>
      </c>
      <c r="G19" s="61"/>
      <c r="H19" s="61"/>
      <c r="I19" s="61"/>
      <c r="J19" s="61"/>
      <c r="K19" s="61"/>
      <c r="L19" s="61"/>
      <c r="M19" s="61"/>
      <c r="N19" s="47"/>
      <c r="O19" s="61"/>
      <c r="P19" s="61"/>
      <c r="Q19" s="61"/>
      <c r="R19" s="61"/>
      <c r="S19" s="61"/>
      <c r="T19" s="47"/>
      <c r="U19" s="61"/>
      <c r="V19" s="61"/>
      <c r="W19" s="61"/>
      <c r="X19" s="61"/>
      <c r="Y19" s="61"/>
      <c r="Z19" s="49"/>
      <c r="AA19" s="50"/>
      <c r="AB19" s="49"/>
    </row>
    <row r="20" spans="1:28" ht="21" customHeight="1" x14ac:dyDescent="0.15">
      <c r="A20" s="160">
        <v>48007118</v>
      </c>
      <c r="B20" s="160" t="s">
        <v>257</v>
      </c>
      <c r="C20" s="168">
        <v>3</v>
      </c>
      <c r="D20" s="166" t="s">
        <v>417</v>
      </c>
      <c r="E20" s="169" t="s">
        <v>348</v>
      </c>
      <c r="F20" s="169" t="s">
        <v>258</v>
      </c>
      <c r="G20" s="61" t="str">
        <f t="shared" si="0"/>
        <v>[effect:enemy_message, val1:1.2, val2:0]</v>
      </c>
      <c r="H20" s="61">
        <f t="shared" si="1"/>
        <v>9</v>
      </c>
      <c r="I20" s="61">
        <f t="shared" si="2"/>
        <v>22</v>
      </c>
      <c r="J20" s="61" t="e">
        <f t="shared" si="3"/>
        <v>#VALUE!</v>
      </c>
      <c r="K20" s="61">
        <f t="shared" si="4"/>
        <v>32</v>
      </c>
      <c r="L20" s="61" t="str">
        <f>IFERROR(VLOOKUP(MID(G20,J20,K20-J20),[6]skilldef!$C:$D,2,FALSE),"-") &amp; " / " &amp; IFERROR(VLOOKUP(MID(G20,H20,I20-H20),[6]skilldef!$A:$B,2,FALSE),"-")</f>
        <v>- / -</v>
      </c>
      <c r="M20" s="61" t="str">
        <f t="shared" si="5"/>
        <v>none</v>
      </c>
      <c r="N20" s="47" t="str">
        <f>IFERROR(LEFT(M20,FIND("],",M20)+S31),M20)</f>
        <v>none</v>
      </c>
      <c r="O20" s="61" t="e">
        <f t="shared" si="6"/>
        <v>#VALUE!</v>
      </c>
      <c r="P20" s="61">
        <f t="shared" si="7"/>
        <v>4</v>
      </c>
      <c r="Q20" s="61" t="e">
        <f t="shared" si="8"/>
        <v>#VALUE!</v>
      </c>
      <c r="R20" s="61" t="e">
        <f t="shared" si="9"/>
        <v>#VALUE!</v>
      </c>
      <c r="S20" s="61" t="str">
        <f>IFERROR(VLOOKUP(MID(N20,Q20,R20-Q20),[6]skilldef!$C:$D,2,FALSE),"-") &amp; " / " &amp; IFERROR(VLOOKUP(MID(N20,O20,P20-O20),[6]skilldef!$A:$B,2,FALSE),"-")</f>
        <v>- / -</v>
      </c>
      <c r="T20" s="47" t="str">
        <f t="shared" si="10"/>
        <v>none</v>
      </c>
      <c r="U20" s="61" t="e">
        <f t="shared" si="11"/>
        <v>#VALUE!</v>
      </c>
      <c r="V20" s="61">
        <f t="shared" si="12"/>
        <v>4</v>
      </c>
      <c r="W20" s="61" t="e">
        <f t="shared" si="13"/>
        <v>#VALUE!</v>
      </c>
      <c r="X20" s="61" t="e">
        <f t="shared" si="14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9"/>
      <c r="AA20" s="50"/>
      <c r="AB20" s="49"/>
    </row>
    <row r="21" spans="1:28" ht="21" customHeight="1" x14ac:dyDescent="0.15">
      <c r="A21" s="172">
        <v>48007119</v>
      </c>
      <c r="B21" s="172" t="s">
        <v>408</v>
      </c>
      <c r="C21" s="173">
        <v>3</v>
      </c>
      <c r="D21" s="166" t="s">
        <v>417</v>
      </c>
      <c r="E21" s="174" t="s">
        <v>343</v>
      </c>
      <c r="F21" s="174" t="s">
        <v>376</v>
      </c>
      <c r="G21" s="61" t="str">
        <f>IFERROR(LEFT(B23,FIND("],",B23)),B23)</f>
        <v>[effect:force_change_block, new_block:time_bomb, target:block_all, ignore01:crash, ignore02:time_bomb, ignore03:crack_bomb, ignore04:color_break, color:block_red, count:4, val:0.18, min_time_count:1, max_time_count:3]</v>
      </c>
      <c r="H21" s="61">
        <f t="shared" si="1"/>
        <v>9</v>
      </c>
      <c r="I21" s="61">
        <f t="shared" si="2"/>
        <v>27</v>
      </c>
      <c r="J21" s="61">
        <f t="shared" si="3"/>
        <v>57</v>
      </c>
      <c r="K21" s="61">
        <f t="shared" si="4"/>
        <v>48</v>
      </c>
      <c r="L21" s="61" t="str">
        <f>IFERROR(VLOOKUP(MID(G21,J21,K21-J21),[6]skilldef!$C:$D,2,FALSE),"-") &amp; " / " &amp; IFERROR(VLOOKUP(MID(G21,H21,I21-H21),[6]skilldef!$A:$B,2,FALSE),"-")</f>
        <v>- / -</v>
      </c>
      <c r="M21" s="61" t="str">
        <f>IFERROR(RIGHT(B23,LEN(B23)-FIND("],",B23)-1),"none")</f>
        <v>none</v>
      </c>
      <c r="N21" s="47" t="str">
        <f>IFERROR(LEFT(M21,FIND("],",M21)+S32),M21)</f>
        <v>none</v>
      </c>
      <c r="O21" s="61" t="e">
        <f t="shared" si="6"/>
        <v>#VALUE!</v>
      </c>
      <c r="P21" s="61">
        <f t="shared" si="7"/>
        <v>4</v>
      </c>
      <c r="Q21" s="61" t="e">
        <f t="shared" si="8"/>
        <v>#VALUE!</v>
      </c>
      <c r="R21" s="61" t="e">
        <f t="shared" si="9"/>
        <v>#VALUE!</v>
      </c>
      <c r="S21" s="61" t="str">
        <f>IFERROR(VLOOKUP(MID(N21,Q21,R21-Q21),[6]skilldef!$C:$D,2,FALSE),"-") &amp; " / " &amp; IFERROR(VLOOKUP(MID(N21,O21,P21-O21),[6]skilldef!$A:$B,2,FALSE),"-")</f>
        <v>- / -</v>
      </c>
      <c r="T21" s="47" t="str">
        <f t="shared" si="10"/>
        <v>none</v>
      </c>
      <c r="U21" s="61" t="e">
        <f t="shared" si="11"/>
        <v>#VALUE!</v>
      </c>
      <c r="V21" s="61">
        <f t="shared" si="12"/>
        <v>4</v>
      </c>
      <c r="W21" s="61" t="e">
        <f t="shared" si="13"/>
        <v>#VALUE!</v>
      </c>
      <c r="X21" s="61" t="e">
        <f t="shared" si="14"/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9"/>
      <c r="AA21" s="50"/>
      <c r="AB21" s="49"/>
    </row>
    <row r="22" spans="1:28" ht="21" customHeight="1" x14ac:dyDescent="0.15">
      <c r="A22" s="172">
        <v>48007120</v>
      </c>
      <c r="B22" s="172" t="s">
        <v>408</v>
      </c>
      <c r="C22" s="173">
        <v>3</v>
      </c>
      <c r="D22" s="166" t="s">
        <v>417</v>
      </c>
      <c r="E22" s="174" t="s">
        <v>335</v>
      </c>
      <c r="F22" s="175" t="s">
        <v>377</v>
      </c>
      <c r="G22" s="61" t="str">
        <f t="shared" si="0"/>
        <v>[effect:force_change_block, new_block:time_bomb, target:block_all, ignore01:crash, ignore02:time_bomb, ignore03:crack_bomb, ignore04:color_break, color:block_red, count:4, val:0.18, min_time_count:1, max_time_count:3]</v>
      </c>
      <c r="H22" s="61">
        <f t="shared" si="1"/>
        <v>9</v>
      </c>
      <c r="I22" s="61">
        <f t="shared" si="2"/>
        <v>27</v>
      </c>
      <c r="J22" s="61">
        <f t="shared" si="3"/>
        <v>57</v>
      </c>
      <c r="K22" s="61">
        <f t="shared" si="4"/>
        <v>48</v>
      </c>
      <c r="L22" s="61" t="str">
        <f>IFERROR(VLOOKUP(MID(G22,J22,K22-J22),[6]skilldef!$C:$D,2,FALSE),"-") &amp; " / " &amp; IFERROR(VLOOKUP(MID(G22,H22,I22-H22),[6]skilldef!$A:$B,2,FALSE),"-")</f>
        <v>- / -</v>
      </c>
      <c r="M22" s="61" t="str">
        <f t="shared" si="5"/>
        <v>none</v>
      </c>
      <c r="N22" s="47" t="str">
        <f>IFERROR(LEFT(M22,FIND("],",M22)+S33),M22)</f>
        <v>none</v>
      </c>
      <c r="O22" s="61" t="e">
        <f t="shared" si="6"/>
        <v>#VALUE!</v>
      </c>
      <c r="P22" s="61">
        <f t="shared" si="7"/>
        <v>4</v>
      </c>
      <c r="Q22" s="61" t="e">
        <f t="shared" si="8"/>
        <v>#VALUE!</v>
      </c>
      <c r="R22" s="61" t="e">
        <f t="shared" si="9"/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7" t="str">
        <f t="shared" si="10"/>
        <v>none</v>
      </c>
      <c r="U22" s="61" t="e">
        <f t="shared" si="11"/>
        <v>#VALUE!</v>
      </c>
      <c r="V22" s="61">
        <f t="shared" si="12"/>
        <v>4</v>
      </c>
      <c r="W22" s="61" t="e">
        <f t="shared" si="13"/>
        <v>#VALUE!</v>
      </c>
      <c r="X22" s="61" t="e">
        <f t="shared" si="14"/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9"/>
      <c r="AA22" s="50"/>
      <c r="AB22" s="49"/>
    </row>
    <row r="23" spans="1:28" ht="21" customHeight="1" x14ac:dyDescent="0.15">
      <c r="A23" s="172">
        <v>48007121</v>
      </c>
      <c r="B23" s="172" t="s">
        <v>408</v>
      </c>
      <c r="C23" s="173">
        <v>3</v>
      </c>
      <c r="D23" s="166" t="s">
        <v>417</v>
      </c>
      <c r="E23" s="174" t="s">
        <v>337</v>
      </c>
      <c r="F23" s="175" t="s">
        <v>377</v>
      </c>
      <c r="G23" s="61" t="e">
        <f>IFERROR(LEFT(#REF!,FIND("],",#REF!)),#REF!)</f>
        <v>#REF!</v>
      </c>
      <c r="H23" s="61" t="e">
        <f t="shared" si="1"/>
        <v>#REF!</v>
      </c>
      <c r="I23" s="61" t="e">
        <f t="shared" si="2"/>
        <v>#REF!</v>
      </c>
      <c r="J23" s="61" t="e">
        <f t="shared" si="3"/>
        <v>#REF!</v>
      </c>
      <c r="K23" s="61" t="e">
        <f t="shared" si="4"/>
        <v>#REF!</v>
      </c>
      <c r="L23" s="61" t="str">
        <f>IFERROR(VLOOKUP(MID(G23,J23,K23-J23),[6]skilldef!$C:$D,2,FALSE),"-") &amp; " / " &amp; IFERROR(VLOOKUP(MID(G23,H23,I23-H23),[6]skilldef!$A:$B,2,FALSE),"-")</f>
        <v>- / -</v>
      </c>
      <c r="M23" s="61" t="str">
        <f>IFERROR(RIGHT(#REF!,LEN(#REF!)-FIND("],",#REF!)-1),"none")</f>
        <v>none</v>
      </c>
      <c r="N23" s="47" t="str">
        <f>IFERROR(LEFT(M23,FIND("],",M23)+S34),M23)</f>
        <v>none</v>
      </c>
      <c r="O23" s="61" t="e">
        <f t="shared" si="6"/>
        <v>#VALUE!</v>
      </c>
      <c r="P23" s="61">
        <f t="shared" si="7"/>
        <v>4</v>
      </c>
      <c r="Q23" s="61" t="e">
        <f t="shared" si="8"/>
        <v>#VALUE!</v>
      </c>
      <c r="R23" s="61" t="e">
        <f t="shared" si="9"/>
        <v>#VALUE!</v>
      </c>
      <c r="S23" s="61" t="str">
        <f>IFERROR(VLOOKUP(MID(N23,Q23,R23-Q23),[6]skilldef!$C:$D,2,FALSE),"-") &amp; " / " &amp; IFERROR(VLOOKUP(MID(N23,O23,P23-O23),[6]skilldef!$A:$B,2,FALSE),"-")</f>
        <v>- / -</v>
      </c>
      <c r="T23" s="47" t="str">
        <f t="shared" si="10"/>
        <v>none</v>
      </c>
      <c r="U23" s="61" t="e">
        <f t="shared" si="11"/>
        <v>#VALUE!</v>
      </c>
      <c r="V23" s="61">
        <f t="shared" si="12"/>
        <v>4</v>
      </c>
      <c r="W23" s="61" t="e">
        <f t="shared" si="13"/>
        <v>#VALUE!</v>
      </c>
      <c r="X23" s="61" t="e">
        <f t="shared" si="14"/>
        <v>#VALUE!</v>
      </c>
      <c r="Y23" s="61" t="str">
        <f>IFERROR(VLOOKUP(MID(T23,W23,X23-W23),[6]skilldef!$C:$D,2,FALSE),"-") &amp; " / " &amp; IFERROR(VLOOKUP(MID(T23,U23,V23-U23),[6]skilldef!$A:$B,2,FALSE),"-")</f>
        <v>- / -</v>
      </c>
      <c r="Z23" s="49"/>
      <c r="AA23" s="50"/>
      <c r="AB23" s="49"/>
    </row>
    <row r="24" spans="1:28" ht="21" customHeight="1" x14ac:dyDescent="0.15">
      <c r="A24" s="172">
        <v>48007122</v>
      </c>
      <c r="B24" s="172" t="s">
        <v>408</v>
      </c>
      <c r="C24" s="173">
        <v>3</v>
      </c>
      <c r="D24" s="166" t="s">
        <v>417</v>
      </c>
      <c r="E24" s="174" t="s">
        <v>338</v>
      </c>
      <c r="F24" s="175" t="s">
        <v>377</v>
      </c>
      <c r="G24" s="61" t="str">
        <f t="shared" si="0"/>
        <v>[effect:force_change_block, new_block:time_bomb, target:block_all, ignore01:crash, ignore02:time_bomb, ignore03:crack_bomb, ignore04:color_break, color:block_red, count:4, val:0.18, min_time_count:1, max_time_count:3]</v>
      </c>
      <c r="H24" s="61">
        <f t="shared" si="1"/>
        <v>9</v>
      </c>
      <c r="I24" s="61">
        <f t="shared" si="2"/>
        <v>27</v>
      </c>
      <c r="J24" s="61">
        <f t="shared" si="3"/>
        <v>57</v>
      </c>
      <c r="K24" s="61">
        <f t="shared" si="4"/>
        <v>48</v>
      </c>
      <c r="L24" s="61" t="str">
        <f>IFERROR(VLOOKUP(MID(G24,J24,K24-J24),[6]skilldef!$C:$D,2,FALSE),"-") &amp; " / " &amp; IFERROR(VLOOKUP(MID(G24,H24,I24-H24),[6]skilldef!$A:$B,2,FALSE),"-")</f>
        <v>- / -</v>
      </c>
      <c r="M24" s="61" t="str">
        <f t="shared" si="5"/>
        <v>none</v>
      </c>
      <c r="N24" s="47" t="str">
        <f>IFERROR(LEFT(M24,FIND("],",M24)+S35),M24)</f>
        <v>none</v>
      </c>
      <c r="O24" s="61" t="e">
        <f t="shared" si="6"/>
        <v>#VALUE!</v>
      </c>
      <c r="P24" s="61">
        <f t="shared" si="7"/>
        <v>4</v>
      </c>
      <c r="Q24" s="61" t="e">
        <f t="shared" si="8"/>
        <v>#VALUE!</v>
      </c>
      <c r="R24" s="61" t="e">
        <f t="shared" si="9"/>
        <v>#VALUE!</v>
      </c>
      <c r="S24" s="61" t="str">
        <f>IFERROR(VLOOKUP(MID(N24,Q24,R24-Q24),[6]skilldef!$C:$D,2,FALSE),"-") &amp; " / " &amp; IFERROR(VLOOKUP(MID(N24,O24,P24-O24),[6]skilldef!$A:$B,2,FALSE),"-")</f>
        <v>- / -</v>
      </c>
      <c r="T24" s="47" t="str">
        <f t="shared" si="10"/>
        <v>none</v>
      </c>
      <c r="U24" s="61" t="e">
        <f t="shared" si="11"/>
        <v>#VALUE!</v>
      </c>
      <c r="V24" s="61">
        <f t="shared" si="12"/>
        <v>4</v>
      </c>
      <c r="W24" s="61" t="e">
        <f t="shared" si="13"/>
        <v>#VALUE!</v>
      </c>
      <c r="X24" s="61" t="e">
        <f t="shared" si="14"/>
        <v>#VALUE!</v>
      </c>
      <c r="Y24" s="61" t="str">
        <f>IFERROR(VLOOKUP(MID(T24,W24,X24-W24),[6]skilldef!$C:$D,2,FALSE),"-") &amp; " / " &amp; IFERROR(VLOOKUP(MID(T24,U24,V24-U24),[6]skilldef!$A:$B,2,FALSE),"-")</f>
        <v>- / -</v>
      </c>
      <c r="Z24" s="49"/>
      <c r="AA24" s="50"/>
      <c r="AB24" s="49"/>
    </row>
    <row r="25" spans="1:28" ht="21" customHeight="1" x14ac:dyDescent="0.15">
      <c r="A25" s="172">
        <v>48007123</v>
      </c>
      <c r="B25" s="172" t="s">
        <v>414</v>
      </c>
      <c r="C25" s="173">
        <v>3</v>
      </c>
      <c r="D25" s="166" t="s">
        <v>417</v>
      </c>
      <c r="E25" s="174" t="s">
        <v>350</v>
      </c>
      <c r="F25" s="174" t="s">
        <v>264</v>
      </c>
      <c r="G25" s="61" t="str">
        <f t="shared" si="0"/>
        <v>[effect:damage_abnormal, target:unit_one, val:1, status:virus, turn:3, rate:0.6, val_abnormal:0.1, animation:enemy_virus]</v>
      </c>
      <c r="H25" s="61">
        <f t="shared" si="1"/>
        <v>9</v>
      </c>
      <c r="I25" s="61">
        <f t="shared" si="2"/>
        <v>24</v>
      </c>
      <c r="J25" s="61">
        <f t="shared" si="3"/>
        <v>33</v>
      </c>
      <c r="K25" s="61">
        <f t="shared" si="4"/>
        <v>41</v>
      </c>
      <c r="L25" s="61" t="str">
        <f>IFERROR(VLOOKUP(MID(G25,J25,K25-J25),[6]skilldef!$C:$D,2,FALSE),"-") &amp; " / " &amp; IFERROR(VLOOKUP(MID(G25,H25,I25-H25),[6]skilldef!$A:$B,2,FALSE),"-")</f>
        <v>味方単体に / -</v>
      </c>
      <c r="M25" s="61" t="str">
        <f t="shared" si="5"/>
        <v>none</v>
      </c>
      <c r="N25" s="47" t="str">
        <f>IFERROR(LEFT(M25,FIND("],",M25)+S36),M25)</f>
        <v>none</v>
      </c>
      <c r="O25" s="61" t="e">
        <f t="shared" si="6"/>
        <v>#VALUE!</v>
      </c>
      <c r="P25" s="61">
        <f t="shared" si="7"/>
        <v>4</v>
      </c>
      <c r="Q25" s="61" t="e">
        <f t="shared" si="8"/>
        <v>#VALUE!</v>
      </c>
      <c r="R25" s="61" t="e">
        <f t="shared" si="9"/>
        <v>#VALUE!</v>
      </c>
      <c r="S25" s="61" t="str">
        <f>IFERROR(VLOOKUP(MID(N25,Q25,R25-Q25),[6]skilldef!$C:$D,2,FALSE),"-") &amp; " / " &amp; IFERROR(VLOOKUP(MID(N25,O25,P25-O25),[6]skilldef!$A:$B,2,FALSE),"-")</f>
        <v>- / -</v>
      </c>
      <c r="T25" s="47" t="str">
        <f t="shared" si="10"/>
        <v>none</v>
      </c>
      <c r="U25" s="61" t="e">
        <f t="shared" si="11"/>
        <v>#VALUE!</v>
      </c>
      <c r="V25" s="61">
        <f t="shared" si="12"/>
        <v>4</v>
      </c>
      <c r="W25" s="61" t="e">
        <f t="shared" si="13"/>
        <v>#VALUE!</v>
      </c>
      <c r="X25" s="61" t="e">
        <f t="shared" si="14"/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9"/>
      <c r="AA25" s="50"/>
      <c r="AB25" s="49"/>
    </row>
    <row r="26" spans="1:28" ht="21" customHeight="1" x14ac:dyDescent="0.15">
      <c r="A26" s="172">
        <v>48007124</v>
      </c>
      <c r="B26" s="172" t="s">
        <v>305</v>
      </c>
      <c r="C26" s="173">
        <v>3</v>
      </c>
      <c r="D26" s="166" t="s">
        <v>417</v>
      </c>
      <c r="E26" s="174" t="s">
        <v>354</v>
      </c>
      <c r="F26" s="174" t="s">
        <v>265</v>
      </c>
      <c r="G26" s="61" t="str">
        <f t="shared" si="0"/>
        <v>[effect:damage_abnormal, target:unit_one, val:0.5, status:virus, turn:3, rate:0.5, val_abnormal:0.1, animation:enemy_virus]</v>
      </c>
      <c r="H26" s="61">
        <f t="shared" si="1"/>
        <v>9</v>
      </c>
      <c r="I26" s="61">
        <f t="shared" si="2"/>
        <v>24</v>
      </c>
      <c r="J26" s="61">
        <f t="shared" si="3"/>
        <v>33</v>
      </c>
      <c r="K26" s="61">
        <f t="shared" si="4"/>
        <v>41</v>
      </c>
      <c r="L26" s="61" t="str">
        <f>IFERROR(VLOOKUP(MID(G26,J26,K26-J26),[6]skilldef!$C:$D,2,FALSE),"-") &amp; " / " &amp; IFERROR(VLOOKUP(MID(G26,H26,I26-H26),[6]skilldef!$A:$B,2,FALSE),"-")</f>
        <v>味方単体に / -</v>
      </c>
      <c r="M26" s="61" t="str">
        <f t="shared" si="5"/>
        <v>[effect:damage_abnormal, target:unit_one, val:0.5, status:virus, turn:3, rate:0.5, val_abnormal:0.1, animation:enemy_virus],[effect:damage_abnormal, target:unit_one, val:0.5, status:virus, turn:3, rate:0.5, val_abnormal:0.1, animation:enemy_virus]</v>
      </c>
      <c r="N26" s="47" t="str">
        <f>IFERROR(LEFT(M26,FIND("],",M26)+S37),M26)</f>
        <v>[effect:damage_abnormal, target:unit_one, val:0.5, status:virus, turn:3, rate:0.5, val_abnormal:0.1, animation:enemy_virus],[effect:damage_abnormal, target:unit_one, val:0.5, status:virus, turn:3, rate:0.5, val_abnormal:0.1, animation:enemy_virus]</v>
      </c>
      <c r="O26" s="61">
        <f t="shared" si="6"/>
        <v>9</v>
      </c>
      <c r="P26" s="61">
        <f t="shared" si="7"/>
        <v>24</v>
      </c>
      <c r="Q26" s="61">
        <f t="shared" si="8"/>
        <v>33</v>
      </c>
      <c r="R26" s="61">
        <f t="shared" si="9"/>
        <v>41</v>
      </c>
      <c r="S26" s="61" t="str">
        <f>IFERROR(VLOOKUP(MID(N26,Q26,R26-Q26),[6]skilldef!$C:$D,2,FALSE),"-") &amp; " / " &amp; IFERROR(VLOOKUP(MID(N26,O26,P26-O26),[6]skilldef!$A:$B,2,FALSE),"-")</f>
        <v>味方単体に / -</v>
      </c>
      <c r="T26" s="47" t="str">
        <f t="shared" si="10"/>
        <v>[effect:damage_abnormal, target:unit_one, val:0.5, status:virus, turn:3, rate:0.5, val_abnormal:0.1, animation:enemy_virus]</v>
      </c>
      <c r="U26" s="61">
        <f t="shared" si="11"/>
        <v>9</v>
      </c>
      <c r="V26" s="61">
        <f t="shared" si="12"/>
        <v>24</v>
      </c>
      <c r="W26" s="61">
        <f t="shared" si="13"/>
        <v>33</v>
      </c>
      <c r="X26" s="61">
        <f t="shared" si="14"/>
        <v>41</v>
      </c>
      <c r="Y26" s="61" t="str">
        <f>IFERROR(VLOOKUP(MID(T26,W26,X26-W26),[6]skilldef!$C:$D,2,FALSE),"-") &amp; " / " &amp; IFERROR(VLOOKUP(MID(T26,U26,V26-U26),[6]skilldef!$A:$B,2,FALSE),"-")</f>
        <v>味方単体に / -</v>
      </c>
      <c r="Z26" s="49"/>
      <c r="AA26" s="50"/>
      <c r="AB26" s="49"/>
    </row>
    <row r="27" spans="1:28" ht="21" customHeight="1" x14ac:dyDescent="0.15">
      <c r="A27" s="172">
        <v>48007125</v>
      </c>
      <c r="B27" s="172" t="s">
        <v>409</v>
      </c>
      <c r="C27" s="173">
        <v>3</v>
      </c>
      <c r="D27" s="166" t="s">
        <v>417</v>
      </c>
      <c r="E27" s="174" t="s">
        <v>380</v>
      </c>
      <c r="F27" s="174" t="s">
        <v>387</v>
      </c>
      <c r="G27" s="61" t="str">
        <f t="shared" si="0"/>
        <v>[effect:force_change_block, new_block:time_bomb, target:block_red, ignore01:crash, ignore02:time_bomb, ignore03:crack_bomb, ignore04:color_break, color:block_red, count:0, val:0.18, min_time_count:1, max_time_count:3]</v>
      </c>
      <c r="H27" s="61">
        <f t="shared" si="1"/>
        <v>9</v>
      </c>
      <c r="I27" s="61">
        <f t="shared" si="2"/>
        <v>27</v>
      </c>
      <c r="J27" s="61">
        <f t="shared" si="3"/>
        <v>57</v>
      </c>
      <c r="K27" s="61">
        <f t="shared" si="4"/>
        <v>48</v>
      </c>
      <c r="L27" s="61"/>
      <c r="M27" s="61" t="str">
        <f t="shared" si="5"/>
        <v>none</v>
      </c>
      <c r="N27" s="47"/>
      <c r="O27" s="61"/>
      <c r="P27" s="61"/>
      <c r="Q27" s="61"/>
      <c r="R27" s="61"/>
      <c r="S27" s="61"/>
      <c r="T27" s="47" t="str">
        <f t="shared" si="10"/>
        <v>none</v>
      </c>
      <c r="U27" s="61" t="e">
        <f t="shared" si="11"/>
        <v>#VALUE!</v>
      </c>
      <c r="V27" s="61">
        <f t="shared" si="12"/>
        <v>4</v>
      </c>
      <c r="W27" s="61" t="e">
        <f t="shared" si="13"/>
        <v>#VALUE!</v>
      </c>
      <c r="X27" s="61" t="e">
        <f t="shared" si="14"/>
        <v>#VALUE!</v>
      </c>
      <c r="Y27" s="61"/>
      <c r="Z27" s="49"/>
      <c r="AA27" s="50"/>
      <c r="AB27" s="49"/>
    </row>
    <row r="28" spans="1:28" ht="21" customHeight="1" x14ac:dyDescent="0.15">
      <c r="A28" s="172">
        <v>48007126</v>
      </c>
      <c r="B28" s="172" t="s">
        <v>390</v>
      </c>
      <c r="C28" s="173">
        <v>3</v>
      </c>
      <c r="D28" s="166" t="s">
        <v>417</v>
      </c>
      <c r="E28" s="174" t="s">
        <v>382</v>
      </c>
      <c r="F28" s="174" t="s">
        <v>388</v>
      </c>
      <c r="G28" s="61"/>
      <c r="H28" s="61"/>
      <c r="I28" s="61"/>
      <c r="J28" s="61"/>
      <c r="K28" s="61"/>
      <c r="L28" s="61"/>
      <c r="M28" s="61"/>
      <c r="N28" s="47"/>
      <c r="O28" s="61"/>
      <c r="P28" s="61"/>
      <c r="Q28" s="61"/>
      <c r="R28" s="61"/>
      <c r="S28" s="61"/>
      <c r="T28" s="47"/>
      <c r="U28" s="61"/>
      <c r="V28" s="61"/>
      <c r="W28" s="61"/>
      <c r="X28" s="61"/>
      <c r="Y28" s="61"/>
      <c r="Z28" s="49"/>
      <c r="AA28" s="50"/>
      <c r="AB28" s="49"/>
    </row>
    <row r="29" spans="1:28" ht="21" customHeight="1" x14ac:dyDescent="0.15">
      <c r="A29" s="172">
        <v>48007127</v>
      </c>
      <c r="B29" s="172" t="s">
        <v>257</v>
      </c>
      <c r="C29" s="173">
        <v>3</v>
      </c>
      <c r="D29" s="166" t="s">
        <v>417</v>
      </c>
      <c r="E29" s="174" t="s">
        <v>358</v>
      </c>
      <c r="F29" s="174" t="s">
        <v>258</v>
      </c>
      <c r="G29" s="61" t="str">
        <f t="shared" si="0"/>
        <v>[effect:enemy_message, val1:1.2, val2:0]</v>
      </c>
      <c r="H29" s="61">
        <f t="shared" si="1"/>
        <v>9</v>
      </c>
      <c r="I29" s="61">
        <f t="shared" si="2"/>
        <v>22</v>
      </c>
      <c r="J29" s="61" t="e">
        <f t="shared" si="3"/>
        <v>#VALUE!</v>
      </c>
      <c r="K29" s="61">
        <f t="shared" si="4"/>
        <v>32</v>
      </c>
      <c r="L29" s="61" t="str">
        <f>IFERROR(VLOOKUP(MID(G29,J29,K29-J29),[6]skilldef!$C:$D,2,FALSE),"-") &amp; " / " &amp; IFERROR(VLOOKUP(MID(G29,H29,I29-H29),[6]skilldef!$A:$B,2,FALSE),"-")</f>
        <v>- / -</v>
      </c>
      <c r="M29" s="61" t="str">
        <f t="shared" si="5"/>
        <v>none</v>
      </c>
      <c r="N29" s="47" t="str">
        <f t="shared" ref="N29:N30" si="16">IFERROR(LEFT(M29,FIND("],",M29)+S38),M29)</f>
        <v>none</v>
      </c>
      <c r="O29" s="61" t="e">
        <f t="shared" si="6"/>
        <v>#VALUE!</v>
      </c>
      <c r="P29" s="61">
        <f t="shared" si="7"/>
        <v>4</v>
      </c>
      <c r="Q29" s="61" t="e">
        <f t="shared" si="8"/>
        <v>#VALUE!</v>
      </c>
      <c r="R29" s="61" t="e">
        <f t="shared" si="9"/>
        <v>#VALUE!</v>
      </c>
      <c r="S29" s="61" t="str">
        <f>IFERROR(VLOOKUP(MID(N29,Q29,R29-Q29),[6]skilldef!$C:$D,2,FALSE),"-") &amp; " / " &amp; IFERROR(VLOOKUP(MID(N29,O29,P29-O29),[6]skilldef!$A:$B,2,FALSE),"-")</f>
        <v>- / -</v>
      </c>
      <c r="T29" s="47" t="str">
        <f t="shared" si="10"/>
        <v>none</v>
      </c>
      <c r="U29" s="61" t="e">
        <f t="shared" si="11"/>
        <v>#VALUE!</v>
      </c>
      <c r="V29" s="61">
        <f t="shared" si="12"/>
        <v>4</v>
      </c>
      <c r="W29" s="61" t="e">
        <f t="shared" si="13"/>
        <v>#VALUE!</v>
      </c>
      <c r="X29" s="61" t="e">
        <f t="shared" si="14"/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9"/>
      <c r="AA29" s="50"/>
      <c r="AB29" s="49"/>
    </row>
    <row r="30" spans="1:28" ht="21" customHeight="1" x14ac:dyDescent="0.15">
      <c r="A30" s="159">
        <v>48007128</v>
      </c>
      <c r="B30" s="159" t="s">
        <v>391</v>
      </c>
      <c r="C30" s="176">
        <v>3</v>
      </c>
      <c r="D30" s="166" t="s">
        <v>417</v>
      </c>
      <c r="E30" s="177" t="s">
        <v>347</v>
      </c>
      <c r="F30" s="177" t="s">
        <v>267</v>
      </c>
      <c r="G30" s="61" t="str">
        <f t="shared" si="0"/>
        <v>[effect:force_change_block, new_block:jammer, target:block_blue, ignore01:crash, ignore02:time_bomb, ignore03:crack_bomb, ignore04:color_break, count:0, val:0]</v>
      </c>
      <c r="H30" s="61">
        <f t="shared" si="1"/>
        <v>9</v>
      </c>
      <c r="I30" s="61">
        <f t="shared" si="2"/>
        <v>27</v>
      </c>
      <c r="J30" s="61">
        <f t="shared" si="3"/>
        <v>54</v>
      </c>
      <c r="K30" s="61">
        <f t="shared" si="4"/>
        <v>45</v>
      </c>
      <c r="L30" s="61" t="str">
        <f>IFERROR(VLOOKUP(MID(G30,J30,K30-J30),[6]skilldef!$C:$D,2,FALSE),"-") &amp; " / " &amp; IFERROR(VLOOKUP(MID(G30,H30,I30-H30),[6]skilldef!$A:$B,2,FALSE),"-")</f>
        <v>- / -</v>
      </c>
      <c r="M30" s="61" t="str">
        <f t="shared" si="5"/>
        <v>none</v>
      </c>
      <c r="N30" s="47" t="str">
        <f t="shared" si="16"/>
        <v>none</v>
      </c>
      <c r="O30" s="61" t="e">
        <f t="shared" si="6"/>
        <v>#VALUE!</v>
      </c>
      <c r="P30" s="61">
        <f t="shared" si="7"/>
        <v>4</v>
      </c>
      <c r="Q30" s="61" t="e">
        <f t="shared" si="8"/>
        <v>#VALUE!</v>
      </c>
      <c r="R30" s="61" t="e">
        <f t="shared" si="9"/>
        <v>#VALUE!</v>
      </c>
      <c r="S30" s="61" t="str">
        <f>IFERROR(VLOOKUP(MID(N30,Q30,R30-Q30),[6]skilldef!$C:$D,2,FALSE),"-") &amp; " / " &amp; IFERROR(VLOOKUP(MID(N30,O30,P30-O30),[6]skilldef!$A:$B,2,FALSE),"-")</f>
        <v>- / -</v>
      </c>
      <c r="T30" s="47" t="str">
        <f t="shared" si="10"/>
        <v>none</v>
      </c>
      <c r="U30" s="61" t="e">
        <f t="shared" si="11"/>
        <v>#VALUE!</v>
      </c>
      <c r="V30" s="61">
        <f t="shared" si="12"/>
        <v>4</v>
      </c>
      <c r="W30" s="61" t="e">
        <f t="shared" si="13"/>
        <v>#VALUE!</v>
      </c>
      <c r="X30" s="61" t="e">
        <f t="shared" si="14"/>
        <v>#VALUE!</v>
      </c>
      <c r="Y30" s="61" t="str">
        <f>IFERROR(VLOOKUP(MID(T30,W30,X30-W30),[6]skilldef!$C:$D,2,FALSE),"-") &amp; " / " &amp; IFERROR(VLOOKUP(MID(T30,U30,V30-U30),[6]skilldef!$A:$B,2,FALSE),"-")</f>
        <v>- / -</v>
      </c>
      <c r="Z30" s="49"/>
      <c r="AA30" s="50"/>
      <c r="AB30" s="49"/>
    </row>
    <row r="31" spans="1:28" ht="21" customHeight="1" x14ac:dyDescent="0.15">
      <c r="A31" s="159">
        <v>48007129</v>
      </c>
      <c r="B31" s="159" t="s">
        <v>415</v>
      </c>
      <c r="C31" s="176">
        <v>3</v>
      </c>
      <c r="D31" s="166" t="s">
        <v>417</v>
      </c>
      <c r="E31" s="177" t="s">
        <v>352</v>
      </c>
      <c r="F31" s="177" t="s">
        <v>416</v>
      </c>
      <c r="G31" s="61" t="str">
        <f t="shared" si="0"/>
        <v>[effect:break_attack_fix, target:enemy_all, val:1, lowest_val:1000, count:-1, color:red, block01:crash]</v>
      </c>
      <c r="H31" s="61">
        <f t="shared" si="1"/>
        <v>9</v>
      </c>
      <c r="I31" s="61">
        <f t="shared" si="2"/>
        <v>25</v>
      </c>
      <c r="J31" s="61">
        <f t="shared" si="3"/>
        <v>34</v>
      </c>
      <c r="K31" s="61">
        <f t="shared" si="4"/>
        <v>43</v>
      </c>
      <c r="L31" s="61" t="str">
        <f>IFERROR(VLOOKUP(MID(G31,J31,K31-J31),[6]skilldef!$C:$D,2,FALSE),"-") &amp; " / " &amp; IFERROR(VLOOKUP(MID(G31,H31,I31-H31),[6]skilldef!$A:$B,2,FALSE),"-")</f>
        <v>敵全体に / -</v>
      </c>
      <c r="M31" s="61" t="str">
        <f t="shared" si="5"/>
        <v>[effect:damage_abnormal, target:unit_one, val:1, status:virus, turn:3, rate:0.6, val_abnormal:0.1, animation:enemy_virus]</v>
      </c>
      <c r="N31" s="47" t="str">
        <f t="shared" si="15"/>
        <v>[effect:damage_abnormal, target:unit_one, val:1, status:virus, turn:3, rate:0.6, val_abnormal:0.1, animation:enemy_virus]</v>
      </c>
      <c r="O31" s="61">
        <f t="shared" si="6"/>
        <v>9</v>
      </c>
      <c r="P31" s="61">
        <f t="shared" si="7"/>
        <v>24</v>
      </c>
      <c r="Q31" s="61">
        <f t="shared" si="8"/>
        <v>33</v>
      </c>
      <c r="R31" s="61">
        <f t="shared" si="9"/>
        <v>41</v>
      </c>
      <c r="S31" s="61" t="str">
        <f>IFERROR(VLOOKUP(MID(N31,Q31,R31-Q31),[6]skilldef!$C:$D,2,FALSE),"-") &amp; " / " &amp; IFERROR(VLOOKUP(MID(N31,O31,P31-O31),[6]skilldef!$A:$B,2,FALSE),"-")</f>
        <v>味方単体に / -</v>
      </c>
      <c r="T31" s="47" t="str">
        <f t="shared" si="10"/>
        <v>none</v>
      </c>
      <c r="U31" s="61" t="e">
        <f t="shared" si="11"/>
        <v>#VALUE!</v>
      </c>
      <c r="V31" s="61">
        <f t="shared" si="12"/>
        <v>4</v>
      </c>
      <c r="W31" s="61" t="e">
        <f t="shared" si="13"/>
        <v>#VALUE!</v>
      </c>
      <c r="X31" s="61" t="e">
        <f t="shared" si="14"/>
        <v>#VALUE!</v>
      </c>
      <c r="Y31" s="61" t="str">
        <f>IFERROR(VLOOKUP(MID(T31,W31,X31-W31),[6]skilldef!$C:$D,2,FALSE),"-") &amp; " / " &amp; IFERROR(VLOOKUP(MID(T31,U31,V31-U31),[6]skilldef!$A:$B,2,FALSE),"-")</f>
        <v>- / -</v>
      </c>
      <c r="Z31" s="49"/>
      <c r="AA31" s="50"/>
      <c r="AB31" s="49"/>
    </row>
    <row r="32" spans="1:28" ht="21" customHeight="1" x14ac:dyDescent="0.15">
      <c r="A32" s="159">
        <v>48007130</v>
      </c>
      <c r="B32" s="159" t="s">
        <v>306</v>
      </c>
      <c r="C32" s="176">
        <v>3</v>
      </c>
      <c r="D32" s="166" t="s">
        <v>417</v>
      </c>
      <c r="E32" s="177" t="s">
        <v>355</v>
      </c>
      <c r="F32" s="177" t="s">
        <v>307</v>
      </c>
      <c r="G32" s="61" t="str">
        <f t="shared" ref="G32:G35" si="17">IFERROR(LEFT(B32,FIND("],",B32)),B32)</f>
        <v>[effect:enhance_unit, target:myself, turn:-1, status:attack, val:1, calc:mul]</v>
      </c>
      <c r="H32" s="61">
        <f t="shared" si="1"/>
        <v>9</v>
      </c>
      <c r="I32" s="61">
        <f t="shared" ref="I32:I35" si="18">IFERROR(FIND(",",G32),LEN(G32))</f>
        <v>21</v>
      </c>
      <c r="J32" s="61">
        <f t="shared" ref="J32:J35" si="19">FIND("target:",G32)+7</f>
        <v>30</v>
      </c>
      <c r="K32" s="61">
        <f t="shared" ref="K32:K35" si="20">FIND(",",G32,I32+1)</f>
        <v>36</v>
      </c>
      <c r="L32" s="61" t="str">
        <f>IFERROR(VLOOKUP(MID(G32,J32,K32-J32),[6]skilldef!$C:$D,2,FALSE),"-") &amp; " / " &amp; IFERROR(VLOOKUP(MID(G32,H32,I32-H32),[6]skilldef!$A:$B,2,FALSE),"-")</f>
        <v>自分自身に / -</v>
      </c>
      <c r="M32" s="61" t="str">
        <f t="shared" ref="M32:M35" si="21">IFERROR(RIGHT(B32,LEN(B32)-FIND("],",B32)-1),"none")</f>
        <v>none</v>
      </c>
      <c r="N32" s="47" t="str">
        <f>IFERROR(LEFT(M32,FIND("],",M32)+#REF!),M32)</f>
        <v>none</v>
      </c>
      <c r="O32" s="61" t="e">
        <f t="shared" si="6"/>
        <v>#VALUE!</v>
      </c>
      <c r="P32" s="61">
        <f t="shared" ref="P32:P35" si="22">IFERROR(FIND(",",N32),LEN(N32))</f>
        <v>4</v>
      </c>
      <c r="Q32" s="61" t="e">
        <f t="shared" ref="Q32:Q35" si="23">FIND("target:",N32)+7</f>
        <v>#VALUE!</v>
      </c>
      <c r="R32" s="61" t="e">
        <f t="shared" ref="R32:R35" si="24">FIND(",",N32,P32+1)</f>
        <v>#VALUE!</v>
      </c>
      <c r="S32" s="61" t="str">
        <f>IFERROR(VLOOKUP(MID(N32,Q32,R32-Q32),[6]skilldef!$C:$D,2,FALSE),"-") &amp; " / " &amp; IFERROR(VLOOKUP(MID(N32,O32,P32-O32),[6]skilldef!$A:$B,2,FALSE),"-")</f>
        <v>- / -</v>
      </c>
      <c r="T32" s="47" t="str">
        <f t="shared" ref="T32:T35" si="25">IFERROR(RIGHT(M32,LEN(M32)-FIND("],",M32)-1),"none")</f>
        <v>none</v>
      </c>
      <c r="U32" s="61" t="e">
        <f t="shared" si="11"/>
        <v>#VALUE!</v>
      </c>
      <c r="V32" s="61">
        <f t="shared" ref="V32:V35" si="26">IFERROR(FIND(",",T32),LEN(T32))</f>
        <v>4</v>
      </c>
      <c r="W32" s="61" t="e">
        <f t="shared" ref="W32:W35" si="27">FIND("target:",T32)+7</f>
        <v>#VALUE!</v>
      </c>
      <c r="X32" s="61" t="e">
        <f t="shared" ref="X32:X35" si="28">FIND(",",T32,V32+1)</f>
        <v>#VALUE!</v>
      </c>
      <c r="Y32" s="61" t="str">
        <f>IFERROR(VLOOKUP(MID(T32,W32,X32-W32),[6]skilldef!$C:$D,2,FALSE),"-") &amp; " / " &amp; IFERROR(VLOOKUP(MID(T32,U32,V32-U32),[6]skilldef!$A:$B,2,FALSE),"-")</f>
        <v>- / -</v>
      </c>
      <c r="Z32" s="49"/>
      <c r="AA32" s="50"/>
      <c r="AB32" s="49"/>
    </row>
    <row r="33" spans="1:28" ht="21" customHeight="1" x14ac:dyDescent="0.15">
      <c r="A33" s="159">
        <v>48007131</v>
      </c>
      <c r="B33" s="159" t="s">
        <v>397</v>
      </c>
      <c r="C33" s="176">
        <v>3</v>
      </c>
      <c r="D33" s="166" t="s">
        <v>417</v>
      </c>
      <c r="E33" s="177" t="s">
        <v>362</v>
      </c>
      <c r="F33" s="177" t="s">
        <v>398</v>
      </c>
      <c r="G33" s="61" t="str">
        <f t="shared" si="17"/>
        <v>[effect:force_change_block, new_block:jammer, target:block_all, ignore01:crash, ignore02:crack_bomb, ignore03:time_bomb, ignore04:damage, count:4, val:0]</v>
      </c>
      <c r="H33" s="61">
        <f t="shared" si="1"/>
        <v>9</v>
      </c>
      <c r="I33" s="61">
        <f t="shared" si="18"/>
        <v>27</v>
      </c>
      <c r="J33" s="61">
        <f t="shared" si="19"/>
        <v>54</v>
      </c>
      <c r="K33" s="61">
        <f t="shared" si="20"/>
        <v>45</v>
      </c>
      <c r="L33" s="61" t="str">
        <f>IFERROR(VLOOKUP(MID(G33,J33,K33-J33),[6]skilldef!$C:$D,2,FALSE),"-") &amp; " / " &amp; IFERROR(VLOOKUP(MID(G33,H33,I33-H33),[6]skilldef!$A:$B,2,FALSE),"-")</f>
        <v>- / -</v>
      </c>
      <c r="M33" s="61" t="str">
        <f t="shared" si="21"/>
        <v>[effect:critical, val:1.1, animation:enemy_critical]</v>
      </c>
      <c r="N33" s="47" t="str">
        <f t="shared" ref="N33:N41" si="29">IFERROR(LEFT(M33,FIND("],",M33)+S43),M33)</f>
        <v>[effect:critical, val:1.1, animation:enemy_critical]</v>
      </c>
      <c r="O33" s="61">
        <f t="shared" si="6"/>
        <v>9</v>
      </c>
      <c r="P33" s="61">
        <f t="shared" si="22"/>
        <v>17</v>
      </c>
      <c r="Q33" s="61" t="e">
        <f t="shared" si="23"/>
        <v>#VALUE!</v>
      </c>
      <c r="R33" s="61">
        <f t="shared" si="24"/>
        <v>26</v>
      </c>
      <c r="S33" s="61" t="str">
        <f>IFERROR(VLOOKUP(MID(N33,Q33,R33-Q33),[6]skilldef!$C:$D,2,FALSE),"-") &amp; " / " &amp; IFERROR(VLOOKUP(MID(N33,O33,P33-O33),[6]skilldef!$A:$B,2,FALSE),"-")</f>
        <v>- / 大攻撃</v>
      </c>
      <c r="T33" s="47" t="str">
        <f t="shared" si="25"/>
        <v>none</v>
      </c>
      <c r="U33" s="61" t="e">
        <f t="shared" si="11"/>
        <v>#VALUE!</v>
      </c>
      <c r="V33" s="61">
        <f t="shared" si="26"/>
        <v>4</v>
      </c>
      <c r="W33" s="61" t="e">
        <f t="shared" si="27"/>
        <v>#VALUE!</v>
      </c>
      <c r="X33" s="61" t="e">
        <f t="shared" si="28"/>
        <v>#VALUE!</v>
      </c>
      <c r="Y33" s="61" t="str">
        <f>IFERROR(VLOOKUP(MID(T33,W33,X33-W33),[6]skilldef!$C:$D,2,FALSE),"-") &amp; " / " &amp; IFERROR(VLOOKUP(MID(T33,U33,V33-U33),[6]skilldef!$A:$B,2,FALSE),"-")</f>
        <v>- / -</v>
      </c>
      <c r="Z33" s="49"/>
      <c r="AA33" s="50"/>
      <c r="AB33" s="49"/>
    </row>
    <row r="34" spans="1:28" ht="21" customHeight="1" x14ac:dyDescent="0.15">
      <c r="A34" s="159">
        <v>48007132</v>
      </c>
      <c r="B34" s="159" t="s">
        <v>257</v>
      </c>
      <c r="C34" s="176">
        <v>3</v>
      </c>
      <c r="D34" s="166" t="s">
        <v>417</v>
      </c>
      <c r="E34" s="177" t="s">
        <v>275</v>
      </c>
      <c r="F34" s="177" t="s">
        <v>268</v>
      </c>
      <c r="G34" s="61" t="str">
        <f t="shared" si="17"/>
        <v>[effect:enemy_message, val1:1.2, val2:0]</v>
      </c>
      <c r="H34" s="61">
        <f t="shared" si="1"/>
        <v>9</v>
      </c>
      <c r="I34" s="61">
        <f t="shared" si="18"/>
        <v>22</v>
      </c>
      <c r="J34" s="61" t="e">
        <f t="shared" si="19"/>
        <v>#VALUE!</v>
      </c>
      <c r="K34" s="61">
        <f t="shared" si="20"/>
        <v>32</v>
      </c>
      <c r="L34" s="61" t="str">
        <f>IFERROR(VLOOKUP(MID(G34,J34,K34-J34),[6]skilldef!$C:$D,2,FALSE),"-") &amp; " / " &amp; IFERROR(VLOOKUP(MID(G34,H34,I34-H34),[6]skilldef!$A:$B,2,FALSE),"-")</f>
        <v>- / -</v>
      </c>
      <c r="M34" s="61" t="str">
        <f t="shared" si="21"/>
        <v>none</v>
      </c>
      <c r="N34" s="47" t="str">
        <f t="shared" si="29"/>
        <v>none</v>
      </c>
      <c r="O34" s="61" t="e">
        <f t="shared" si="6"/>
        <v>#VALUE!</v>
      </c>
      <c r="P34" s="61">
        <f t="shared" si="22"/>
        <v>4</v>
      </c>
      <c r="Q34" s="61" t="e">
        <f t="shared" si="23"/>
        <v>#VALUE!</v>
      </c>
      <c r="R34" s="61" t="e">
        <f t="shared" si="24"/>
        <v>#VALUE!</v>
      </c>
      <c r="S34" s="61" t="str">
        <f>IFERROR(VLOOKUP(MID(N34,Q34,R34-Q34),[6]skilldef!$C:$D,2,FALSE),"-") &amp; " / " &amp; IFERROR(VLOOKUP(MID(N34,O34,P34-O34),[6]skilldef!$A:$B,2,FALSE),"-")</f>
        <v>- / -</v>
      </c>
      <c r="T34" s="47" t="str">
        <f t="shared" si="25"/>
        <v>none</v>
      </c>
      <c r="U34" s="61" t="e">
        <f t="shared" si="11"/>
        <v>#VALUE!</v>
      </c>
      <c r="V34" s="61">
        <f t="shared" si="26"/>
        <v>4</v>
      </c>
      <c r="W34" s="61" t="e">
        <f t="shared" si="27"/>
        <v>#VALUE!</v>
      </c>
      <c r="X34" s="61" t="e">
        <f t="shared" si="28"/>
        <v>#VALUE!</v>
      </c>
      <c r="Y34" s="61" t="str">
        <f>IFERROR(VLOOKUP(MID(T34,W34,X34-W34),[6]skilldef!$C:$D,2,FALSE),"-") &amp; " / " &amp; IFERROR(VLOOKUP(MID(T34,U34,V34-U34),[6]skilldef!$A:$B,2,FALSE),"-")</f>
        <v>- / -</v>
      </c>
      <c r="Z34" s="49"/>
      <c r="AA34" s="50"/>
      <c r="AB34" s="49"/>
    </row>
    <row r="35" spans="1:28" ht="21" customHeight="1" x14ac:dyDescent="0.15">
      <c r="A35" s="159">
        <v>48007133</v>
      </c>
      <c r="B35" s="159" t="s">
        <v>308</v>
      </c>
      <c r="C35" s="176">
        <v>3</v>
      </c>
      <c r="D35" s="166" t="s">
        <v>417</v>
      </c>
      <c r="E35" s="177" t="s">
        <v>357</v>
      </c>
      <c r="F35" s="177" t="s">
        <v>269</v>
      </c>
      <c r="G35" s="61" t="str">
        <f t="shared" si="17"/>
        <v>[effect:damage_gravity, val:1, animation:fevergauge_down]</v>
      </c>
      <c r="H35" s="61">
        <f t="shared" si="1"/>
        <v>9</v>
      </c>
      <c r="I35" s="61">
        <f t="shared" si="18"/>
        <v>23</v>
      </c>
      <c r="J35" s="61" t="e">
        <f t="shared" si="19"/>
        <v>#VALUE!</v>
      </c>
      <c r="K35" s="61">
        <f t="shared" si="20"/>
        <v>30</v>
      </c>
      <c r="L35" s="61" t="str">
        <f>IFERROR(VLOOKUP(MID(G35,J35,K35-J35),[6]skilldef!$C:$D,2,FALSE),"-") &amp; " / " &amp; IFERROR(VLOOKUP(MID(G35,H35,I35-H35),[6]skilldef!$A:$B,2,FALSE),"-")</f>
        <v>- / 割合ダメージ</v>
      </c>
      <c r="M35" s="61" t="str">
        <f t="shared" si="21"/>
        <v>none</v>
      </c>
      <c r="N35" s="47" t="str">
        <f t="shared" si="29"/>
        <v>none</v>
      </c>
      <c r="O35" s="61" t="e">
        <f t="shared" si="6"/>
        <v>#VALUE!</v>
      </c>
      <c r="P35" s="61">
        <f t="shared" si="22"/>
        <v>4</v>
      </c>
      <c r="Q35" s="61" t="e">
        <f t="shared" si="23"/>
        <v>#VALUE!</v>
      </c>
      <c r="R35" s="61" t="e">
        <f t="shared" si="24"/>
        <v>#VALUE!</v>
      </c>
      <c r="S35" s="61" t="str">
        <f>IFERROR(VLOOKUP(MID(N35,Q35,R35-Q35),[6]skilldef!$C:$D,2,FALSE),"-") &amp; " / " &amp; IFERROR(VLOOKUP(MID(N35,O35,P35-O35),[6]skilldef!$A:$B,2,FALSE),"-")</f>
        <v>- / -</v>
      </c>
      <c r="T35" s="47" t="str">
        <f t="shared" si="25"/>
        <v>none</v>
      </c>
      <c r="U35" s="61" t="e">
        <f t="shared" si="11"/>
        <v>#VALUE!</v>
      </c>
      <c r="V35" s="61">
        <f t="shared" si="26"/>
        <v>4</v>
      </c>
      <c r="W35" s="61" t="e">
        <f t="shared" si="27"/>
        <v>#VALUE!</v>
      </c>
      <c r="X35" s="61" t="e">
        <f t="shared" si="28"/>
        <v>#VALUE!</v>
      </c>
      <c r="Y35" s="61" t="str">
        <f>IFERROR(VLOOKUP(MID(T35,W35,X35-W35),[6]skilldef!$C:$D,2,FALSE),"-") &amp; " / " &amp; IFERROR(VLOOKUP(MID(T35,U35,V35-U35),[6]skilldef!$A:$B,2,FALSE),"-")</f>
        <v>- / -</v>
      </c>
      <c r="Z35" s="49"/>
      <c r="AA35" s="50"/>
      <c r="AB35" s="49"/>
    </row>
    <row r="36" spans="1:28" ht="21" customHeight="1" x14ac:dyDescent="0.15">
      <c r="A36" s="159">
        <v>48007134</v>
      </c>
      <c r="B36" s="159" t="s">
        <v>257</v>
      </c>
      <c r="C36" s="176">
        <v>3</v>
      </c>
      <c r="D36" s="166" t="s">
        <v>417</v>
      </c>
      <c r="E36" s="177" t="s">
        <v>359</v>
      </c>
      <c r="F36" s="177" t="s">
        <v>258</v>
      </c>
      <c r="G36" s="61" t="str">
        <f t="shared" ref="G36:G38" si="30">IFERROR(LEFT(B36,FIND("],",B36)),B36)</f>
        <v>[effect:enemy_message, val1:1.2, val2:0]</v>
      </c>
      <c r="H36" s="61">
        <f t="shared" si="1"/>
        <v>9</v>
      </c>
      <c r="I36" s="61">
        <f t="shared" ref="I36:I38" si="31">IFERROR(FIND(",",G36),LEN(G36))</f>
        <v>22</v>
      </c>
      <c r="J36" s="61" t="e">
        <f t="shared" ref="J36:J38" si="32">FIND("target:",G36)+7</f>
        <v>#VALUE!</v>
      </c>
      <c r="K36" s="61">
        <f t="shared" ref="K36:K38" si="33">FIND(",",G36,I36+1)</f>
        <v>32</v>
      </c>
      <c r="L36" s="61" t="str">
        <f>IFERROR(VLOOKUP(MID(G36,J36,K36-J36),[6]skilldef!$C:$D,2,FALSE),"-") &amp; " / " &amp; IFERROR(VLOOKUP(MID(G36,H36,I36-H36),[6]skilldef!$A:$B,2,FALSE),"-")</f>
        <v>- / -</v>
      </c>
      <c r="M36" s="61" t="str">
        <f t="shared" ref="M36:M38" si="34">IFERROR(RIGHT(B36,LEN(B36)-FIND("],",B36)-1),"none")</f>
        <v>none</v>
      </c>
      <c r="N36" s="47" t="str">
        <f t="shared" si="29"/>
        <v>none</v>
      </c>
      <c r="O36" s="61" t="e">
        <f t="shared" si="6"/>
        <v>#VALUE!</v>
      </c>
      <c r="P36" s="61">
        <f t="shared" ref="P36:P38" si="35">IFERROR(FIND(",",N36),LEN(N36))</f>
        <v>4</v>
      </c>
      <c r="Q36" s="61" t="e">
        <f t="shared" ref="Q36:Q38" si="36">FIND("target:",N36)+7</f>
        <v>#VALUE!</v>
      </c>
      <c r="R36" s="61" t="e">
        <f t="shared" ref="R36:R38" si="37">FIND(",",N36,P36+1)</f>
        <v>#VALUE!</v>
      </c>
      <c r="S36" s="61" t="str">
        <f>IFERROR(VLOOKUP(MID(N36,Q36,R36-Q36),[6]skilldef!$C:$D,2,FALSE),"-") &amp; " / " &amp; IFERROR(VLOOKUP(MID(N36,O36,P36-O36),[6]skilldef!$A:$B,2,FALSE),"-")</f>
        <v>- / -</v>
      </c>
      <c r="T36" s="47" t="str">
        <f t="shared" ref="T36:T38" si="38">IFERROR(RIGHT(M36,LEN(M36)-FIND("],",M36)-1),"none")</f>
        <v>none</v>
      </c>
      <c r="U36" s="61" t="e">
        <f t="shared" si="11"/>
        <v>#VALUE!</v>
      </c>
      <c r="V36" s="61">
        <f t="shared" ref="V36:V38" si="39">IFERROR(FIND(",",T36),LEN(T36))</f>
        <v>4</v>
      </c>
      <c r="W36" s="61" t="e">
        <f t="shared" ref="W36:W38" si="40">FIND("target:",T36)+7</f>
        <v>#VALUE!</v>
      </c>
      <c r="X36" s="61" t="e">
        <f t="shared" ref="X36:X38" si="41">FIND(",",T36,V36+1)</f>
        <v>#VALUE!</v>
      </c>
      <c r="Y36" s="61" t="str">
        <f>IFERROR(VLOOKUP(MID(T36,W36,X36-W36),[6]skilldef!$C:$D,2,FALSE),"-") &amp; " / " &amp; IFERROR(VLOOKUP(MID(T36,U36,V36-U36),[6]skilldef!$A:$B,2,FALSE),"-")</f>
        <v>- / -</v>
      </c>
      <c r="Z36" s="49"/>
      <c r="AA36" s="50"/>
      <c r="AB36" s="49"/>
    </row>
    <row r="37" spans="1:28" ht="21" customHeight="1" x14ac:dyDescent="0.15">
      <c r="A37" s="178">
        <v>48007135</v>
      </c>
      <c r="B37" s="178" t="s">
        <v>309</v>
      </c>
      <c r="C37" s="179">
        <v>3</v>
      </c>
      <c r="D37" s="166" t="s">
        <v>417</v>
      </c>
      <c r="E37" s="180" t="s">
        <v>343</v>
      </c>
      <c r="F37" s="180" t="s">
        <v>270</v>
      </c>
      <c r="G37" s="61" t="str">
        <f t="shared" si="30"/>
        <v>[effect:break_attack, target:enemy_all, val:0.5, lowest_val:1, count:-1, color:red, block01:jammer]</v>
      </c>
      <c r="H37" s="61">
        <f t="shared" si="1"/>
        <v>9</v>
      </c>
      <c r="I37" s="61">
        <f t="shared" si="31"/>
        <v>21</v>
      </c>
      <c r="J37" s="61">
        <f t="shared" si="32"/>
        <v>30</v>
      </c>
      <c r="K37" s="61">
        <f t="shared" si="33"/>
        <v>39</v>
      </c>
      <c r="L37" s="61" t="str">
        <f>IFERROR(VLOOKUP(MID(G37,J37,K37-J37),[6]skilldef!$C:$D,2,FALSE),"-") &amp; " / " &amp; IFERROR(VLOOKUP(MID(G37,H37,I37-H37),[6]skilldef!$A:$B,2,FALSE),"-")</f>
        <v>敵全体に / -</v>
      </c>
      <c r="M37" s="61" t="str">
        <f t="shared" si="34"/>
        <v>none</v>
      </c>
      <c r="N37" s="47" t="str">
        <f t="shared" si="29"/>
        <v>none</v>
      </c>
      <c r="O37" s="61" t="e">
        <f t="shared" si="6"/>
        <v>#VALUE!</v>
      </c>
      <c r="P37" s="61">
        <f t="shared" si="35"/>
        <v>4</v>
      </c>
      <c r="Q37" s="61" t="e">
        <f t="shared" si="36"/>
        <v>#VALUE!</v>
      </c>
      <c r="R37" s="61" t="e">
        <f t="shared" si="37"/>
        <v>#VALUE!</v>
      </c>
      <c r="S37" s="61" t="str">
        <f>IFERROR(VLOOKUP(MID(N37,Q37,R37-Q37),[6]skilldef!$C:$D,2,FALSE),"-") &amp; " / " &amp; IFERROR(VLOOKUP(MID(N37,O37,P37-O37),[6]skilldef!$A:$B,2,FALSE),"-")</f>
        <v>- / -</v>
      </c>
      <c r="T37" s="47" t="str">
        <f t="shared" si="38"/>
        <v>none</v>
      </c>
      <c r="U37" s="61" t="e">
        <f t="shared" si="11"/>
        <v>#VALUE!</v>
      </c>
      <c r="V37" s="61">
        <f t="shared" si="39"/>
        <v>4</v>
      </c>
      <c r="W37" s="61" t="e">
        <f t="shared" si="40"/>
        <v>#VALUE!</v>
      </c>
      <c r="X37" s="61" t="e">
        <f t="shared" si="41"/>
        <v>#VALUE!</v>
      </c>
      <c r="Y37" s="61" t="str">
        <f>IFERROR(VLOOKUP(MID(T37,W37,X37-W37),[6]skilldef!$C:$D,2,FALSE),"-") &amp; " / " &amp; IFERROR(VLOOKUP(MID(T37,U37,V37-U37),[6]skilldef!$A:$B,2,FALSE),"-")</f>
        <v>- / -</v>
      </c>
      <c r="Z37" s="49"/>
      <c r="AA37" s="50"/>
      <c r="AB37" s="49"/>
    </row>
    <row r="38" spans="1:28" ht="21" customHeight="1" x14ac:dyDescent="0.15">
      <c r="A38" s="178">
        <v>48007136</v>
      </c>
      <c r="B38" s="178" t="s">
        <v>411</v>
      </c>
      <c r="C38" s="179">
        <v>3</v>
      </c>
      <c r="D38" s="166" t="s">
        <v>417</v>
      </c>
      <c r="E38" s="180" t="s">
        <v>364</v>
      </c>
      <c r="F38" s="180" t="s">
        <v>400</v>
      </c>
      <c r="G38" s="61" t="str">
        <f t="shared" si="30"/>
        <v>[effect:force_change_block, new_block:time_bomb, target:block_all, ignore01:crash, ignore02:time_bomb, ignore03:crack_bomb, ignore04:color_break, color:block_red, count:4, val:0.25, min_time_count:1, max_time_count:3]</v>
      </c>
      <c r="H38" s="61">
        <f t="shared" si="1"/>
        <v>9</v>
      </c>
      <c r="I38" s="61">
        <f t="shared" si="31"/>
        <v>27</v>
      </c>
      <c r="J38" s="61">
        <f t="shared" si="32"/>
        <v>57</v>
      </c>
      <c r="K38" s="61">
        <f t="shared" si="33"/>
        <v>48</v>
      </c>
      <c r="L38" s="61" t="str">
        <f>IFERROR(VLOOKUP(MID(G38,J38,K38-J38),[6]skilldef!$C:$D,2,FALSE),"-") &amp; " / " &amp; IFERROR(VLOOKUP(MID(G38,H38,I38-H38),[6]skilldef!$A:$B,2,FALSE),"-")</f>
        <v>- / -</v>
      </c>
      <c r="M38" s="61" t="str">
        <f t="shared" si="34"/>
        <v>none</v>
      </c>
      <c r="N38" s="47" t="str">
        <f t="shared" si="29"/>
        <v>none</v>
      </c>
      <c r="O38" s="61" t="e">
        <f t="shared" si="6"/>
        <v>#VALUE!</v>
      </c>
      <c r="P38" s="61">
        <f t="shared" si="35"/>
        <v>4</v>
      </c>
      <c r="Q38" s="61" t="e">
        <f t="shared" si="36"/>
        <v>#VALUE!</v>
      </c>
      <c r="R38" s="61" t="e">
        <f t="shared" si="37"/>
        <v>#VALUE!</v>
      </c>
      <c r="S38" s="61" t="str">
        <f>IFERROR(VLOOKUP(MID(N38,Q38,R38-Q38),[6]skilldef!$C:$D,2,FALSE),"-") &amp; " / " &amp; IFERROR(VLOOKUP(MID(N38,O38,P38-O38),[6]skilldef!$A:$B,2,FALSE),"-")</f>
        <v>- / -</v>
      </c>
      <c r="T38" s="47" t="str">
        <f t="shared" si="38"/>
        <v>none</v>
      </c>
      <c r="U38" s="61" t="e">
        <f t="shared" si="11"/>
        <v>#VALUE!</v>
      </c>
      <c r="V38" s="61">
        <f t="shared" si="39"/>
        <v>4</v>
      </c>
      <c r="W38" s="61" t="e">
        <f t="shared" si="40"/>
        <v>#VALUE!</v>
      </c>
      <c r="X38" s="61" t="e">
        <f t="shared" si="41"/>
        <v>#VALUE!</v>
      </c>
      <c r="Y38" s="61" t="str">
        <f>IFERROR(VLOOKUP(MID(T38,W38,X38-W38),[6]skilldef!$C:$D,2,FALSE),"-") &amp; " / " &amp; IFERROR(VLOOKUP(MID(T38,U38,V38-U38),[6]skilldef!$A:$B,2,FALSE),"-")</f>
        <v>- / -</v>
      </c>
      <c r="Z38" s="49"/>
      <c r="AA38" s="50"/>
      <c r="AB38" s="49"/>
    </row>
    <row r="39" spans="1:28" ht="21" customHeight="1" x14ac:dyDescent="0.15">
      <c r="A39" s="178">
        <v>48007137</v>
      </c>
      <c r="B39" s="178" t="s">
        <v>410</v>
      </c>
      <c r="C39" s="179">
        <v>3</v>
      </c>
      <c r="D39" s="166" t="s">
        <v>417</v>
      </c>
      <c r="E39" s="180" t="s">
        <v>276</v>
      </c>
      <c r="F39" s="180" t="s">
        <v>310</v>
      </c>
      <c r="G39" s="61" t="str">
        <f t="shared" ref="G39:G41" si="42">IFERROR(LEFT(B39,FIND("],",B39)),B39)</f>
        <v>[effect:force_change_block, new_block:time_bomb, target:block_all, ignore01:crash, ignore02:time_bomb, ignore03:crack_bomb, ignore04:color_break, color:block_red, count:20, val:0.25, min_time_count:1, max_time_count:3]</v>
      </c>
      <c r="H39" s="61">
        <f t="shared" ref="H39:H41" si="43">FIND("effect:",G39)+7</f>
        <v>9</v>
      </c>
      <c r="I39" s="61">
        <f t="shared" ref="I39:I41" si="44">IFERROR(FIND(",",G39),LEN(G39))</f>
        <v>27</v>
      </c>
      <c r="J39" s="61">
        <f t="shared" ref="J39:J41" si="45">FIND("target:",G39)+7</f>
        <v>57</v>
      </c>
      <c r="K39" s="61">
        <f t="shared" ref="K39:K41" si="46">FIND(",",G39,I39+1)</f>
        <v>48</v>
      </c>
      <c r="L39" s="61" t="str">
        <f>IFERROR(VLOOKUP(MID(G39,J39,K39-J39),[6]skilldef!$C:$D,2,FALSE),"-") &amp; " / " &amp; IFERROR(VLOOKUP(MID(G39,H39,I39-H39),[6]skilldef!$A:$B,2,FALSE),"-")</f>
        <v>- / -</v>
      </c>
      <c r="M39" s="61" t="str">
        <f t="shared" ref="M39:M41" si="47">IFERROR(RIGHT(B39,LEN(B39)-FIND("],",B39)-1),"none")</f>
        <v>none</v>
      </c>
      <c r="N39" s="47" t="str">
        <f t="shared" si="29"/>
        <v>none</v>
      </c>
      <c r="O39" s="61" t="e">
        <f t="shared" ref="O39:O41" si="48">FIND("effect:",N39)+7</f>
        <v>#VALUE!</v>
      </c>
      <c r="P39" s="61">
        <f t="shared" ref="P39:P41" si="49">IFERROR(FIND(",",N39),LEN(N39))</f>
        <v>4</v>
      </c>
      <c r="Q39" s="61" t="e">
        <f t="shared" ref="Q39:Q41" si="50">FIND("target:",N39)+7</f>
        <v>#VALUE!</v>
      </c>
      <c r="R39" s="61" t="e">
        <f t="shared" ref="R39:R41" si="51">FIND(",",N39,P39+1)</f>
        <v>#VALUE!</v>
      </c>
      <c r="S39" s="61" t="str">
        <f>IFERROR(VLOOKUP(MID(N39,Q39,R39-Q39),[6]skilldef!$C:$D,2,FALSE),"-") &amp; " / " &amp; IFERROR(VLOOKUP(MID(N39,O39,P39-O39),[6]skilldef!$A:$B,2,FALSE),"-")</f>
        <v>- / -</v>
      </c>
      <c r="T39" s="47" t="str">
        <f t="shared" ref="T39:T41" si="52">IFERROR(RIGHT(M39,LEN(M39)-FIND("],",M39)-1),"none")</f>
        <v>none</v>
      </c>
      <c r="U39" s="61" t="e">
        <f t="shared" ref="U39:U41" si="53">FIND("effect:",T39)+7</f>
        <v>#VALUE!</v>
      </c>
      <c r="V39" s="61">
        <f t="shared" ref="V39:V41" si="54">IFERROR(FIND(",",T39),LEN(T39))</f>
        <v>4</v>
      </c>
      <c r="W39" s="61" t="e">
        <f t="shared" ref="W39:W41" si="55">FIND("target:",T39)+7</f>
        <v>#VALUE!</v>
      </c>
      <c r="X39" s="61" t="e">
        <f t="shared" ref="X39:X41" si="56">FIND(",",T39,V39+1)</f>
        <v>#VALUE!</v>
      </c>
      <c r="Y39" s="61" t="str">
        <f>IFERROR(VLOOKUP(MID(T39,W39,X39-W39),[6]skilldef!$C:$D,2,FALSE),"-") &amp; " / " &amp; IFERROR(VLOOKUP(MID(T39,U39,V39-U39),[6]skilldef!$A:$B,2,FALSE),"-")</f>
        <v>- / -</v>
      </c>
      <c r="Z39" s="49"/>
      <c r="AA39" s="50"/>
      <c r="AB39" s="49"/>
    </row>
    <row r="40" spans="1:28" ht="21" customHeight="1" x14ac:dyDescent="0.15">
      <c r="A40" s="178">
        <v>48007138</v>
      </c>
      <c r="B40" s="178" t="s">
        <v>412</v>
      </c>
      <c r="C40" s="179">
        <v>3</v>
      </c>
      <c r="D40" s="166" t="s">
        <v>417</v>
      </c>
      <c r="E40" s="180" t="s">
        <v>363</v>
      </c>
      <c r="F40" s="180" t="s">
        <v>402</v>
      </c>
      <c r="G40" s="61" t="str">
        <f t="shared" si="42"/>
        <v>[effect:force_change_block, new_block:time_bomb, target:block_all, ignore01:crash, ignore02:time_bomb, ignore03:crack_bomb, ignore04:color_break, color:block_red, count:4, val:0.25, min_time_count:1, max_time_count:3]</v>
      </c>
      <c r="H40" s="61">
        <f t="shared" si="43"/>
        <v>9</v>
      </c>
      <c r="I40" s="61">
        <f t="shared" si="44"/>
        <v>27</v>
      </c>
      <c r="J40" s="61">
        <f t="shared" si="45"/>
        <v>57</v>
      </c>
      <c r="K40" s="61">
        <f t="shared" si="46"/>
        <v>48</v>
      </c>
      <c r="L40" s="61" t="str">
        <f>IFERROR(VLOOKUP(MID(G40,J40,K40-J40),[6]skilldef!$C:$D,2,FALSE),"-") &amp; " / " &amp; IFERROR(VLOOKUP(MID(G40,H40,I40-H40),[6]skilldef!$A:$B,2,FALSE),"-")</f>
        <v>- / -</v>
      </c>
      <c r="M40" s="61" t="str">
        <f t="shared" si="47"/>
        <v>[effect:critical, val:1.1, animation:enemy_critical]</v>
      </c>
      <c r="N40" s="47" t="str">
        <f t="shared" si="29"/>
        <v>[effect:critical, val:1.1, animation:enemy_critical]</v>
      </c>
      <c r="O40" s="61">
        <f t="shared" si="48"/>
        <v>9</v>
      </c>
      <c r="P40" s="61">
        <f t="shared" si="49"/>
        <v>17</v>
      </c>
      <c r="Q40" s="61" t="e">
        <f t="shared" si="50"/>
        <v>#VALUE!</v>
      </c>
      <c r="R40" s="61">
        <f t="shared" si="51"/>
        <v>26</v>
      </c>
      <c r="S40" s="61" t="str">
        <f>IFERROR(VLOOKUP(MID(N40,Q40,R40-Q40),[6]skilldef!$C:$D,2,FALSE),"-") &amp; " / " &amp; IFERROR(VLOOKUP(MID(N40,O40,P40-O40),[6]skilldef!$A:$B,2,FALSE),"-")</f>
        <v>- / 大攻撃</v>
      </c>
      <c r="T40" s="47" t="str">
        <f t="shared" si="52"/>
        <v>none</v>
      </c>
      <c r="U40" s="61" t="e">
        <f t="shared" si="53"/>
        <v>#VALUE!</v>
      </c>
      <c r="V40" s="61">
        <f t="shared" si="54"/>
        <v>4</v>
      </c>
      <c r="W40" s="61" t="e">
        <f t="shared" si="55"/>
        <v>#VALUE!</v>
      </c>
      <c r="X40" s="61" t="e">
        <f t="shared" si="56"/>
        <v>#VALUE!</v>
      </c>
      <c r="Y40" s="61" t="str">
        <f>IFERROR(VLOOKUP(MID(T40,W40,X40-W40),[6]skilldef!$C:$D,2,FALSE),"-") &amp; " / " &amp; IFERROR(VLOOKUP(MID(T40,U40,V40-U40),[6]skilldef!$A:$B,2,FALSE),"-")</f>
        <v>- / -</v>
      </c>
      <c r="Z40" s="49"/>
      <c r="AA40" s="50"/>
      <c r="AB40" s="49"/>
    </row>
    <row r="41" spans="1:28" ht="21" customHeight="1" x14ac:dyDescent="0.15">
      <c r="A41" s="178">
        <v>48007139</v>
      </c>
      <c r="B41" s="178" t="s">
        <v>403</v>
      </c>
      <c r="C41" s="179">
        <v>3</v>
      </c>
      <c r="D41" s="166" t="s">
        <v>417</v>
      </c>
      <c r="E41" s="180" t="s">
        <v>356</v>
      </c>
      <c r="F41" s="180" t="s">
        <v>271</v>
      </c>
      <c r="G41" s="61" t="str">
        <f t="shared" si="42"/>
        <v>[effect:charge, status:attack, val:1.5]</v>
      </c>
      <c r="H41" s="61">
        <f t="shared" si="43"/>
        <v>9</v>
      </c>
      <c r="I41" s="61">
        <f t="shared" si="44"/>
        <v>15</v>
      </c>
      <c r="J41" s="61" t="e">
        <f t="shared" si="45"/>
        <v>#VALUE!</v>
      </c>
      <c r="K41" s="61">
        <f t="shared" si="46"/>
        <v>30</v>
      </c>
      <c r="L41" s="61" t="str">
        <f>IFERROR(VLOOKUP(MID(G41,J41,K41-J41),[6]skilldef!$C:$D,2,FALSE),"-") &amp; " / " &amp; IFERROR(VLOOKUP(MID(G41,H41,I41-H41),[6]skilldef!$A:$B,2,FALSE),"-")</f>
        <v>- / 溜め</v>
      </c>
      <c r="M41" s="61" t="str">
        <f t="shared" si="47"/>
        <v>none</v>
      </c>
      <c r="N41" s="47" t="str">
        <f t="shared" si="29"/>
        <v>none</v>
      </c>
      <c r="O41" s="61" t="e">
        <f t="shared" si="48"/>
        <v>#VALUE!</v>
      </c>
      <c r="P41" s="61">
        <f t="shared" si="49"/>
        <v>4</v>
      </c>
      <c r="Q41" s="61" t="e">
        <f t="shared" si="50"/>
        <v>#VALUE!</v>
      </c>
      <c r="R41" s="61" t="e">
        <f t="shared" si="51"/>
        <v>#VALUE!</v>
      </c>
      <c r="S41" s="61" t="str">
        <f>IFERROR(VLOOKUP(MID(N41,Q41,R41-Q41),[6]skilldef!$C:$D,2,FALSE),"-") &amp; " / " &amp; IFERROR(VLOOKUP(MID(N41,O41,P41-O41),[6]skilldef!$A:$B,2,FALSE),"-")</f>
        <v>- / -</v>
      </c>
      <c r="T41" s="47" t="str">
        <f t="shared" si="52"/>
        <v>none</v>
      </c>
      <c r="U41" s="61" t="e">
        <f t="shared" si="53"/>
        <v>#VALUE!</v>
      </c>
      <c r="V41" s="61">
        <f t="shared" si="54"/>
        <v>4</v>
      </c>
      <c r="W41" s="61" t="e">
        <f t="shared" si="55"/>
        <v>#VALUE!</v>
      </c>
      <c r="X41" s="61" t="e">
        <f t="shared" si="56"/>
        <v>#VALUE!</v>
      </c>
      <c r="Y41" s="61" t="str">
        <f>IFERROR(VLOOKUP(MID(T41,W41,X41-W41),[6]skilldef!$C:$D,2,FALSE),"-") &amp; " / " &amp; IFERROR(VLOOKUP(MID(T41,U41,V41-U41),[6]skilldef!$A:$B,2,FALSE),"-")</f>
        <v>- / -</v>
      </c>
      <c r="Z41" s="49"/>
      <c r="AA41" s="50"/>
      <c r="AB41" s="49"/>
    </row>
    <row r="42" spans="1:28" ht="21" customHeight="1" x14ac:dyDescent="0.15">
      <c r="A42" s="178">
        <v>48007140</v>
      </c>
      <c r="B42" s="178" t="s">
        <v>399</v>
      </c>
      <c r="C42" s="179">
        <v>3</v>
      </c>
      <c r="D42" s="166" t="s">
        <v>417</v>
      </c>
      <c r="E42" s="180" t="s">
        <v>365</v>
      </c>
      <c r="F42" s="180" t="s">
        <v>401</v>
      </c>
      <c r="G42" s="61" t="str">
        <f t="shared" ref="G42:G43" si="57">IFERROR(LEFT(B42,FIND("],",B42)),B42)</f>
        <v>[effect:enhance_unit, target:myself, turn:2, status:attack, val:0.2, calc:mul]</v>
      </c>
      <c r="H42" s="61">
        <f t="shared" ref="H42:H43" si="58">FIND("effect:",G42)+7</f>
        <v>9</v>
      </c>
      <c r="I42" s="61">
        <f t="shared" ref="I42:I43" si="59">IFERROR(FIND(",",G42),LEN(G42))</f>
        <v>21</v>
      </c>
      <c r="J42" s="61">
        <f t="shared" ref="J42:J43" si="60">FIND("target:",G42)+7</f>
        <v>30</v>
      </c>
      <c r="K42" s="61">
        <f t="shared" ref="K42:K43" si="61">FIND(",",G42,I42+1)</f>
        <v>36</v>
      </c>
      <c r="L42" s="61" t="str">
        <f>IFERROR(VLOOKUP(MID(G42,J42,K42-J42),[6]skilldef!$C:$D,2,FALSE),"-") &amp; " / " &amp; IFERROR(VLOOKUP(MID(G42,H42,I42-H42),[6]skilldef!$A:$B,2,FALSE),"-")</f>
        <v>自分自身に / -</v>
      </c>
      <c r="M42" s="61" t="str">
        <f t="shared" ref="M42:M43" si="62">IFERROR(RIGHT(B42,LEN(B42)-FIND("],",B42)-1),"none")</f>
        <v>[effect:critical, val:1.1, animation:enemy_critical]</v>
      </c>
      <c r="N42" s="47" t="str">
        <f t="shared" ref="N42" si="63">IFERROR(LEFT(M42,FIND("],",M42)+S52),M42)</f>
        <v>[effect:critical, val:1.1, animation:enemy_critical]</v>
      </c>
      <c r="O42" s="61">
        <f t="shared" ref="O42:O43" si="64">FIND("effect:",N42)+7</f>
        <v>9</v>
      </c>
      <c r="P42" s="61">
        <f t="shared" ref="P42:P43" si="65">IFERROR(FIND(",",N42),LEN(N42))</f>
        <v>17</v>
      </c>
      <c r="Q42" s="61" t="e">
        <f t="shared" ref="Q42:Q43" si="66">FIND("target:",N42)+7</f>
        <v>#VALUE!</v>
      </c>
      <c r="R42" s="61">
        <f t="shared" ref="R42:R43" si="67">FIND(",",N42,P42+1)</f>
        <v>26</v>
      </c>
      <c r="S42" s="61" t="str">
        <f>IFERROR(VLOOKUP(MID(N42,Q42,R42-Q42),[6]skilldef!$C:$D,2,FALSE),"-") &amp; " / " &amp; IFERROR(VLOOKUP(MID(N42,O42,P42-O42),[6]skilldef!$A:$B,2,FALSE),"-")</f>
        <v>- / 大攻撃</v>
      </c>
      <c r="T42" s="47" t="str">
        <f t="shared" ref="T42:T43" si="68">IFERROR(RIGHT(M42,LEN(M42)-FIND("],",M42)-1),"none")</f>
        <v>none</v>
      </c>
      <c r="U42" s="61" t="e">
        <f t="shared" ref="U42:U43" si="69">FIND("effect:",T42)+7</f>
        <v>#VALUE!</v>
      </c>
      <c r="V42" s="61">
        <f t="shared" ref="V42:V43" si="70">IFERROR(FIND(",",T42),LEN(T42))</f>
        <v>4</v>
      </c>
      <c r="W42" s="61" t="e">
        <f t="shared" ref="W42:W43" si="71">FIND("target:",T42)+7</f>
        <v>#VALUE!</v>
      </c>
      <c r="X42" s="61" t="e">
        <f t="shared" ref="X42:X43" si="72">FIND(",",T42,V42+1)</f>
        <v>#VALUE!</v>
      </c>
      <c r="Y42" s="61" t="str">
        <f>IFERROR(VLOOKUP(MID(T42,W42,X42-W42),[6]skilldef!$C:$D,2,FALSE),"-") &amp; " / " &amp; IFERROR(VLOOKUP(MID(T42,U42,V42-U42),[6]skilldef!$A:$B,2,FALSE),"-")</f>
        <v>- / -</v>
      </c>
      <c r="Z42" s="49"/>
      <c r="AA42" s="50"/>
      <c r="AB42" s="49"/>
    </row>
    <row r="43" spans="1:28" ht="21" customHeight="1" x14ac:dyDescent="0.15">
      <c r="A43" s="178">
        <v>48007141</v>
      </c>
      <c r="B43" s="178" t="s">
        <v>286</v>
      </c>
      <c r="C43" s="179">
        <v>3</v>
      </c>
      <c r="D43" s="166" t="s">
        <v>417</v>
      </c>
      <c r="E43" s="180" t="s">
        <v>348</v>
      </c>
      <c r="F43" s="180" t="s">
        <v>258</v>
      </c>
      <c r="G43" s="61" t="str">
        <f t="shared" si="57"/>
        <v>[effect:enemy_message, val1:1.2, val2:0]</v>
      </c>
      <c r="H43" s="61">
        <f t="shared" si="58"/>
        <v>9</v>
      </c>
      <c r="I43" s="61">
        <f t="shared" si="59"/>
        <v>22</v>
      </c>
      <c r="J43" s="61" t="e">
        <f t="shared" si="60"/>
        <v>#VALUE!</v>
      </c>
      <c r="K43" s="61">
        <f t="shared" si="61"/>
        <v>32</v>
      </c>
      <c r="L43" s="61" t="str">
        <f>IFERROR(VLOOKUP(MID(G43,J43,K43-J43),[6]skilldef!$C:$D,2,FALSE),"-") &amp; " / " &amp; IFERROR(VLOOKUP(MID(G43,H43,I43-H43),[6]skilldef!$A:$B,2,FALSE),"-")</f>
        <v>- / -</v>
      </c>
      <c r="M43" s="61" t="str">
        <f t="shared" si="62"/>
        <v>none</v>
      </c>
      <c r="N43" s="47" t="str">
        <f t="shared" ref="N43" si="73">IFERROR(LEFT(M43,FIND("],",M43)+S53),M43)</f>
        <v>none</v>
      </c>
      <c r="O43" s="61" t="e">
        <f t="shared" si="64"/>
        <v>#VALUE!</v>
      </c>
      <c r="P43" s="61">
        <f t="shared" si="65"/>
        <v>4</v>
      </c>
      <c r="Q43" s="61" t="e">
        <f t="shared" si="66"/>
        <v>#VALUE!</v>
      </c>
      <c r="R43" s="61" t="e">
        <f t="shared" si="67"/>
        <v>#VALUE!</v>
      </c>
      <c r="S43" s="61" t="str">
        <f>IFERROR(VLOOKUP(MID(N43,Q43,R43-Q43),[6]skilldef!$C:$D,2,FALSE),"-") &amp; " / " &amp; IFERROR(VLOOKUP(MID(N43,O43,P43-O43),[6]skilldef!$A:$B,2,FALSE),"-")</f>
        <v>- / -</v>
      </c>
      <c r="T43" s="47" t="str">
        <f t="shared" si="68"/>
        <v>none</v>
      </c>
      <c r="U43" s="61" t="e">
        <f t="shared" si="69"/>
        <v>#VALUE!</v>
      </c>
      <c r="V43" s="61">
        <f t="shared" si="70"/>
        <v>4</v>
      </c>
      <c r="W43" s="61" t="e">
        <f t="shared" si="71"/>
        <v>#VALUE!</v>
      </c>
      <c r="X43" s="61" t="e">
        <f t="shared" si="72"/>
        <v>#VALUE!</v>
      </c>
      <c r="Y43" s="61" t="str">
        <f>IFERROR(VLOOKUP(MID(T43,W43,X43-W43),[6]skilldef!$C:$D,2,FALSE),"-") &amp; " / " &amp; IFERROR(VLOOKUP(MID(T43,U43,V43-U43),[6]skilldef!$A:$B,2,FALSE),"-")</f>
        <v>- / -</v>
      </c>
      <c r="Z43" s="49"/>
      <c r="AA43" s="50"/>
      <c r="AB43" s="49"/>
    </row>
    <row r="44" spans="1:28" ht="21" customHeight="1" x14ac:dyDescent="0.15">
      <c r="A44" s="162">
        <v>48007142</v>
      </c>
      <c r="B44" s="181" t="s">
        <v>311</v>
      </c>
      <c r="C44" s="166">
        <v>3</v>
      </c>
      <c r="D44" s="166" t="s">
        <v>417</v>
      </c>
      <c r="E44" s="167" t="s">
        <v>343</v>
      </c>
      <c r="F44" s="167" t="s">
        <v>272</v>
      </c>
      <c r="G44" s="61" t="str">
        <f>IFERROR(LEFT(B45,FIND("],",B45)),B45)</f>
        <v>[effect:critical, val:2, animation:enemy_critical]</v>
      </c>
      <c r="H44" s="61">
        <f t="shared" ref="H44:H51" si="74">FIND("effect:",G44)+7</f>
        <v>9</v>
      </c>
      <c r="I44" s="61">
        <f t="shared" ref="I44:I51" si="75">IFERROR(FIND(",",G44),LEN(G44))</f>
        <v>17</v>
      </c>
      <c r="J44" s="61" t="e">
        <f t="shared" ref="J44:J51" si="76">FIND("target:",G44)+7</f>
        <v>#VALUE!</v>
      </c>
      <c r="K44" s="61">
        <f t="shared" ref="K44:K51" si="77">FIND(",",G44,I44+1)</f>
        <v>24</v>
      </c>
      <c r="L44" s="61" t="str">
        <f>IFERROR(VLOOKUP(MID(G44,J44,K44-J44),[6]skilldef!$C:$D,2,FALSE),"-") &amp; " / " &amp; IFERROR(VLOOKUP(MID(G44,H44,I44-H44),[6]skilldef!$A:$B,2,FALSE),"-")</f>
        <v>- / 大攻撃</v>
      </c>
      <c r="M44" s="61" t="str">
        <f>IFERROR(RIGHT(B45,LEN(B45)-FIND("],",B45)-1),"none")</f>
        <v>none</v>
      </c>
      <c r="N44" s="47" t="str">
        <f t="shared" ref="N44:N48" si="78">IFERROR(LEFT(M44,FIND("],",M44)+S54),M44)</f>
        <v>none</v>
      </c>
      <c r="O44" s="61" t="e">
        <f t="shared" ref="O44:O51" si="79">FIND("effect:",N44)+7</f>
        <v>#VALUE!</v>
      </c>
      <c r="P44" s="61">
        <f t="shared" ref="P44:P51" si="80">IFERROR(FIND(",",N44),LEN(N44))</f>
        <v>4</v>
      </c>
      <c r="Q44" s="61" t="e">
        <f t="shared" ref="Q44:Q51" si="81">FIND("target:",N44)+7</f>
        <v>#VALUE!</v>
      </c>
      <c r="R44" s="61" t="e">
        <f t="shared" ref="R44:R51" si="82">FIND(",",N44,P44+1)</f>
        <v>#VALUE!</v>
      </c>
      <c r="S44" s="61" t="str">
        <f>IFERROR(VLOOKUP(MID(N44,Q44,R44-Q44),[6]skilldef!$C:$D,2,FALSE),"-") &amp; " / " &amp; IFERROR(VLOOKUP(MID(N44,O44,P44-O44),[6]skilldef!$A:$B,2,FALSE),"-")</f>
        <v>- / -</v>
      </c>
      <c r="T44" s="47" t="str">
        <f t="shared" ref="T44:T51" si="83">IFERROR(RIGHT(M44,LEN(M44)-FIND("],",M44)-1),"none")</f>
        <v>none</v>
      </c>
      <c r="U44" s="61" t="e">
        <f t="shared" ref="U44:U51" si="84">FIND("effect:",T44)+7</f>
        <v>#VALUE!</v>
      </c>
      <c r="V44" s="61">
        <f t="shared" ref="V44:V51" si="85">IFERROR(FIND(",",T44),LEN(T44))</f>
        <v>4</v>
      </c>
      <c r="W44" s="61" t="e">
        <f t="shared" ref="W44:W51" si="86">FIND("target:",T44)+7</f>
        <v>#VALUE!</v>
      </c>
      <c r="X44" s="61" t="e">
        <f t="shared" ref="X44:X51" si="87">FIND(",",T44,V44+1)</f>
        <v>#VALUE!</v>
      </c>
      <c r="Y44" s="61" t="str">
        <f>IFERROR(VLOOKUP(MID(T44,W44,X44-W44),[6]skilldef!$C:$D,2,FALSE),"-") &amp; " / " &amp; IFERROR(VLOOKUP(MID(T44,U44,V44-U44),[6]skilldef!$A:$B,2,FALSE),"-")</f>
        <v>- / -</v>
      </c>
      <c r="Z44" s="49"/>
      <c r="AA44" s="50"/>
      <c r="AB44" s="49"/>
    </row>
    <row r="45" spans="1:28" ht="21" customHeight="1" x14ac:dyDescent="0.15">
      <c r="A45" s="162">
        <v>48007143</v>
      </c>
      <c r="B45" s="162" t="s">
        <v>313</v>
      </c>
      <c r="C45" s="166">
        <v>3</v>
      </c>
      <c r="D45" s="166" t="s">
        <v>417</v>
      </c>
      <c r="E45" s="167" t="s">
        <v>351</v>
      </c>
      <c r="F45" s="167" t="s">
        <v>273</v>
      </c>
      <c r="G45" s="61" t="e">
        <f>IFERROR(LEFT(#REF!,FIND("],",#REF!)),#REF!)</f>
        <v>#REF!</v>
      </c>
      <c r="H45" s="61" t="e">
        <f t="shared" si="74"/>
        <v>#REF!</v>
      </c>
      <c r="I45" s="61" t="e">
        <f t="shared" si="75"/>
        <v>#REF!</v>
      </c>
      <c r="J45" s="61" t="e">
        <f t="shared" si="76"/>
        <v>#REF!</v>
      </c>
      <c r="K45" s="61" t="e">
        <f t="shared" si="77"/>
        <v>#REF!</v>
      </c>
      <c r="L45" s="61" t="str">
        <f>IFERROR(VLOOKUP(MID(G45,J45,K45-J45),[6]skilldef!$C:$D,2,FALSE),"-") &amp; " / " &amp; IFERROR(VLOOKUP(MID(G45,H45,I45-H45),[6]skilldef!$A:$B,2,FALSE),"-")</f>
        <v>- / -</v>
      </c>
      <c r="M45" s="61" t="str">
        <f>IFERROR(RIGHT(#REF!,LEN(#REF!)-FIND("],",#REF!)-1),"none")</f>
        <v>none</v>
      </c>
      <c r="N45" s="47" t="str">
        <f t="shared" si="78"/>
        <v>none</v>
      </c>
      <c r="O45" s="61" t="e">
        <f t="shared" si="79"/>
        <v>#VALUE!</v>
      </c>
      <c r="P45" s="61">
        <f t="shared" si="80"/>
        <v>4</v>
      </c>
      <c r="Q45" s="61" t="e">
        <f t="shared" si="81"/>
        <v>#VALUE!</v>
      </c>
      <c r="R45" s="61" t="e">
        <f t="shared" si="82"/>
        <v>#VALUE!</v>
      </c>
      <c r="S45" s="61" t="str">
        <f>IFERROR(VLOOKUP(MID(N45,Q45,R45-Q45),[6]skilldef!$C:$D,2,FALSE),"-") &amp; " / " &amp; IFERROR(VLOOKUP(MID(N45,O45,P45-O45),[6]skilldef!$A:$B,2,FALSE),"-")</f>
        <v>- / -</v>
      </c>
      <c r="T45" s="47" t="str">
        <f t="shared" si="83"/>
        <v>none</v>
      </c>
      <c r="U45" s="61" t="e">
        <f t="shared" si="84"/>
        <v>#VALUE!</v>
      </c>
      <c r="V45" s="61">
        <f t="shared" si="85"/>
        <v>4</v>
      </c>
      <c r="W45" s="61" t="e">
        <f t="shared" si="86"/>
        <v>#VALUE!</v>
      </c>
      <c r="X45" s="61" t="e">
        <f t="shared" si="87"/>
        <v>#VALUE!</v>
      </c>
      <c r="Y45" s="61" t="str">
        <f>IFERROR(VLOOKUP(MID(T45,W45,X45-W45),[6]skilldef!$C:$D,2,FALSE),"-") &amp; " / " &amp; IFERROR(VLOOKUP(MID(T45,U45,V45-U45),[6]skilldef!$A:$B,2,FALSE),"-")</f>
        <v>- / -</v>
      </c>
      <c r="Z45" s="49"/>
      <c r="AA45" s="50"/>
      <c r="AB45" s="49"/>
    </row>
    <row r="46" spans="1:28" ht="21" customHeight="1" x14ac:dyDescent="0.15">
      <c r="A46" s="162">
        <v>48007144</v>
      </c>
      <c r="B46" s="162" t="s">
        <v>404</v>
      </c>
      <c r="C46" s="166">
        <v>3</v>
      </c>
      <c r="D46" s="166" t="s">
        <v>417</v>
      </c>
      <c r="E46" s="167" t="s">
        <v>352</v>
      </c>
      <c r="F46" s="167" t="s">
        <v>277</v>
      </c>
      <c r="G46" s="61" t="str">
        <f t="shared" ref="G46:G51" si="88">IFERROR(LEFT(B46,FIND("],",B46)),B46)</f>
        <v>[effect:spread, val:0.7]</v>
      </c>
      <c r="H46" s="61">
        <f t="shared" si="74"/>
        <v>9</v>
      </c>
      <c r="I46" s="61">
        <f t="shared" si="75"/>
        <v>15</v>
      </c>
      <c r="J46" s="61" t="e">
        <f t="shared" si="76"/>
        <v>#VALUE!</v>
      </c>
      <c r="K46" s="61" t="e">
        <f t="shared" si="77"/>
        <v>#VALUE!</v>
      </c>
      <c r="L46" s="61" t="str">
        <f>IFERROR(VLOOKUP(MID(G46,J46,K46-J46),[6]skilldef!$C:$D,2,FALSE),"-") &amp; " / " &amp; IFERROR(VLOOKUP(MID(G46,H46,I46-H46),[6]skilldef!$A:$B,2,FALSE),"-")</f>
        <v>- / 全体攻撃</v>
      </c>
      <c r="M46" s="61" t="str">
        <f t="shared" ref="M46:M51" si="89">IFERROR(RIGHT(B46,LEN(B46)-FIND("],",B46)-1),"none")</f>
        <v>none</v>
      </c>
      <c r="N46" s="47" t="str">
        <f t="shared" si="78"/>
        <v>none</v>
      </c>
      <c r="O46" s="61" t="e">
        <f t="shared" si="79"/>
        <v>#VALUE!</v>
      </c>
      <c r="P46" s="61">
        <f t="shared" si="80"/>
        <v>4</v>
      </c>
      <c r="Q46" s="61" t="e">
        <f t="shared" si="81"/>
        <v>#VALUE!</v>
      </c>
      <c r="R46" s="61" t="e">
        <f t="shared" si="82"/>
        <v>#VALUE!</v>
      </c>
      <c r="S46" s="61" t="str">
        <f>IFERROR(VLOOKUP(MID(N46,Q46,R46-Q46),[6]skilldef!$C:$D,2,FALSE),"-") &amp; " / " &amp; IFERROR(VLOOKUP(MID(N46,O46,P46-O46),[6]skilldef!$A:$B,2,FALSE),"-")</f>
        <v>- / -</v>
      </c>
      <c r="T46" s="47" t="str">
        <f t="shared" si="83"/>
        <v>none</v>
      </c>
      <c r="U46" s="61" t="e">
        <f t="shared" si="84"/>
        <v>#VALUE!</v>
      </c>
      <c r="V46" s="61">
        <f t="shared" si="85"/>
        <v>4</v>
      </c>
      <c r="W46" s="61" t="e">
        <f t="shared" si="86"/>
        <v>#VALUE!</v>
      </c>
      <c r="X46" s="61" t="e">
        <f t="shared" si="87"/>
        <v>#VALUE!</v>
      </c>
      <c r="Y46" s="61" t="str">
        <f>IFERROR(VLOOKUP(MID(T46,W46,X46-W46),[6]skilldef!$C:$D,2,FALSE),"-") &amp; " / " &amp; IFERROR(VLOOKUP(MID(T46,U46,V46-U46),[6]skilldef!$A:$B,2,FALSE),"-")</f>
        <v>- / -</v>
      </c>
      <c r="Z46" s="49"/>
      <c r="AA46" s="50"/>
      <c r="AB46" s="49"/>
    </row>
    <row r="47" spans="1:28" ht="21" customHeight="1" x14ac:dyDescent="0.15">
      <c r="A47" s="162">
        <v>48007145</v>
      </c>
      <c r="B47" s="162" t="s">
        <v>312</v>
      </c>
      <c r="C47" s="166">
        <v>3</v>
      </c>
      <c r="D47" s="166" t="s">
        <v>417</v>
      </c>
      <c r="E47" s="167" t="s">
        <v>278</v>
      </c>
      <c r="F47" s="167" t="s">
        <v>274</v>
      </c>
      <c r="G47" s="61" t="str">
        <f t="shared" si="88"/>
        <v>[effect:fix_speed, target:myself, turn:1]</v>
      </c>
      <c r="H47" s="61">
        <f t="shared" si="74"/>
        <v>9</v>
      </c>
      <c r="I47" s="61">
        <f t="shared" si="75"/>
        <v>18</v>
      </c>
      <c r="J47" s="61">
        <f t="shared" si="76"/>
        <v>27</v>
      </c>
      <c r="K47" s="61">
        <f t="shared" si="77"/>
        <v>33</v>
      </c>
      <c r="L47" s="61" t="str">
        <f>IFERROR(VLOOKUP(MID(G47,J47,K47-J47),[6]skilldef!$C:$D,2,FALSE),"-") &amp; " / " &amp; IFERROR(VLOOKUP(MID(G47,H47,I47-H47),[6]skilldef!$A:$B,2,FALSE),"-")</f>
        <v>自分自身に / 行動値設定</v>
      </c>
      <c r="M47" s="61" t="str">
        <f t="shared" si="89"/>
        <v>none</v>
      </c>
      <c r="N47" s="47" t="str">
        <f t="shared" si="78"/>
        <v>none</v>
      </c>
      <c r="O47" s="61" t="e">
        <f t="shared" si="79"/>
        <v>#VALUE!</v>
      </c>
      <c r="P47" s="61">
        <f t="shared" si="80"/>
        <v>4</v>
      </c>
      <c r="Q47" s="61" t="e">
        <f t="shared" si="81"/>
        <v>#VALUE!</v>
      </c>
      <c r="R47" s="61" t="e">
        <f t="shared" si="82"/>
        <v>#VALUE!</v>
      </c>
      <c r="S47" s="61" t="str">
        <f>IFERROR(VLOOKUP(MID(N47,Q47,R47-Q47),[6]skilldef!$C:$D,2,FALSE),"-") &amp; " / " &amp; IFERROR(VLOOKUP(MID(N47,O47,P47-O47),[6]skilldef!$A:$B,2,FALSE),"-")</f>
        <v>- / -</v>
      </c>
      <c r="T47" s="47" t="str">
        <f t="shared" si="83"/>
        <v>none</v>
      </c>
      <c r="U47" s="61" t="e">
        <f t="shared" si="84"/>
        <v>#VALUE!</v>
      </c>
      <c r="V47" s="61">
        <f t="shared" si="85"/>
        <v>4</v>
      </c>
      <c r="W47" s="61" t="e">
        <f t="shared" si="86"/>
        <v>#VALUE!</v>
      </c>
      <c r="X47" s="61" t="e">
        <f t="shared" si="87"/>
        <v>#VALUE!</v>
      </c>
      <c r="Y47" s="61" t="str">
        <f>IFERROR(VLOOKUP(MID(T47,W47,X47-W47),[6]skilldef!$C:$D,2,FALSE),"-") &amp; " / " &amp; IFERROR(VLOOKUP(MID(T47,U47,V47-U47),[6]skilldef!$A:$B,2,FALSE),"-")</f>
        <v>- / -</v>
      </c>
      <c r="Z47" s="49"/>
      <c r="AA47" s="50"/>
      <c r="AB47" s="49"/>
    </row>
    <row r="48" spans="1:28" ht="21" customHeight="1" x14ac:dyDescent="0.15">
      <c r="A48" s="162">
        <v>48007146</v>
      </c>
      <c r="B48" s="162" t="s">
        <v>406</v>
      </c>
      <c r="C48" s="166">
        <v>3</v>
      </c>
      <c r="D48" s="166" t="s">
        <v>417</v>
      </c>
      <c r="E48" s="167" t="s">
        <v>366</v>
      </c>
      <c r="F48" s="167" t="s">
        <v>405</v>
      </c>
      <c r="G48" s="61" t="str">
        <f t="shared" si="88"/>
        <v>[effect:drop_block, block_type:jammer, color:block_all, val:0, rate:0.2, turn:8, animation:jammer_influence04]</v>
      </c>
      <c r="H48" s="61">
        <f t="shared" si="74"/>
        <v>9</v>
      </c>
      <c r="I48" s="61">
        <f t="shared" si="75"/>
        <v>19</v>
      </c>
      <c r="J48" s="61" t="e">
        <f t="shared" si="76"/>
        <v>#VALUE!</v>
      </c>
      <c r="K48" s="61">
        <f t="shared" si="77"/>
        <v>38</v>
      </c>
      <c r="L48" s="61" t="str">
        <f>IFERROR(VLOOKUP(MID(G48,J48,K48-J48),[6]skilldef!$C:$D,2,FALSE),"-") &amp; " / " &amp; IFERROR(VLOOKUP(MID(G48,H48,I48-H48),[6]skilldef!$A:$B,2,FALSE),"-")</f>
        <v>- / 特定ブロックの割合ドロップ</v>
      </c>
      <c r="M48" s="61" t="str">
        <f t="shared" si="89"/>
        <v>none</v>
      </c>
      <c r="N48" s="47" t="str">
        <f t="shared" si="78"/>
        <v>none</v>
      </c>
      <c r="O48" s="61" t="e">
        <f t="shared" si="79"/>
        <v>#VALUE!</v>
      </c>
      <c r="P48" s="61">
        <f t="shared" si="80"/>
        <v>4</v>
      </c>
      <c r="Q48" s="61" t="e">
        <f t="shared" si="81"/>
        <v>#VALUE!</v>
      </c>
      <c r="R48" s="61" t="e">
        <f t="shared" si="82"/>
        <v>#VALUE!</v>
      </c>
      <c r="S48" s="61" t="str">
        <f>IFERROR(VLOOKUP(MID(N48,Q48,R48-Q48),[6]skilldef!$C:$D,2,FALSE),"-") &amp; " / " &amp; IFERROR(VLOOKUP(MID(N48,O48,P48-O48),[6]skilldef!$A:$B,2,FALSE),"-")</f>
        <v>- / -</v>
      </c>
      <c r="T48" s="47" t="str">
        <f t="shared" si="83"/>
        <v>none</v>
      </c>
      <c r="U48" s="61" t="e">
        <f t="shared" si="84"/>
        <v>#VALUE!</v>
      </c>
      <c r="V48" s="61">
        <f t="shared" si="85"/>
        <v>4</v>
      </c>
      <c r="W48" s="61" t="e">
        <f t="shared" si="86"/>
        <v>#VALUE!</v>
      </c>
      <c r="X48" s="61" t="e">
        <f t="shared" si="87"/>
        <v>#VALUE!</v>
      </c>
      <c r="Y48" s="61" t="str">
        <f>IFERROR(VLOOKUP(MID(T48,W48,X48-W48),[6]skilldef!$C:$D,2,FALSE),"-") &amp; " / " &amp; IFERROR(VLOOKUP(MID(T48,U48,V48-U48),[6]skilldef!$A:$B,2,FALSE),"-")</f>
        <v>- / -</v>
      </c>
      <c r="Z48" s="49"/>
      <c r="AA48" s="50"/>
      <c r="AB48" s="49"/>
    </row>
    <row r="49" spans="1:28" ht="21" customHeight="1" x14ac:dyDescent="0.15">
      <c r="A49" s="162">
        <v>48007147</v>
      </c>
      <c r="B49" s="162" t="s">
        <v>407</v>
      </c>
      <c r="C49" s="166">
        <v>3</v>
      </c>
      <c r="D49" s="166" t="s">
        <v>417</v>
      </c>
      <c r="E49" s="167" t="s">
        <v>279</v>
      </c>
      <c r="F49" s="167" t="s">
        <v>280</v>
      </c>
      <c r="G49" s="61" t="str">
        <f t="shared" si="88"/>
        <v>[effect:break_heal_ratio, target:myself, val:0.04, lowest_val:600, count:-1, block01:block_blue, animation:enemy_heal]</v>
      </c>
      <c r="H49" s="61">
        <f t="shared" si="74"/>
        <v>9</v>
      </c>
      <c r="I49" s="61">
        <f t="shared" si="75"/>
        <v>25</v>
      </c>
      <c r="J49" s="61">
        <f t="shared" si="76"/>
        <v>34</v>
      </c>
      <c r="K49" s="61">
        <f t="shared" si="77"/>
        <v>40</v>
      </c>
      <c r="L49" s="61" t="str">
        <f>IFERROR(VLOOKUP(MID(G49,J49,K49-J49),[6]skilldef!$C:$D,2,FALSE),"-") &amp; " / " &amp; IFERROR(VLOOKUP(MID(G49,H49,I49-H49),[6]skilldef!$A:$B,2,FALSE),"-")</f>
        <v>自分自身に / -</v>
      </c>
      <c r="M49" s="61" t="str">
        <f t="shared" si="89"/>
        <v>none</v>
      </c>
      <c r="N49" s="47" t="str">
        <f>IFERROR(LEFT(M49,FIND("],",M49)+#REF!),M49)</f>
        <v>none</v>
      </c>
      <c r="O49" s="61" t="e">
        <f t="shared" si="79"/>
        <v>#VALUE!</v>
      </c>
      <c r="P49" s="61">
        <f t="shared" si="80"/>
        <v>4</v>
      </c>
      <c r="Q49" s="61" t="e">
        <f t="shared" si="81"/>
        <v>#VALUE!</v>
      </c>
      <c r="R49" s="61" t="e">
        <f t="shared" si="82"/>
        <v>#VALUE!</v>
      </c>
      <c r="S49" s="61" t="str">
        <f>IFERROR(VLOOKUP(MID(N49,Q49,R49-Q49),[6]skilldef!$C:$D,2,FALSE),"-") &amp; " / " &amp; IFERROR(VLOOKUP(MID(N49,O49,P49-O49),[6]skilldef!$A:$B,2,FALSE),"-")</f>
        <v>- / -</v>
      </c>
      <c r="T49" s="47" t="str">
        <f t="shared" si="83"/>
        <v>none</v>
      </c>
      <c r="U49" s="61" t="e">
        <f t="shared" si="84"/>
        <v>#VALUE!</v>
      </c>
      <c r="V49" s="61">
        <f t="shared" si="85"/>
        <v>4</v>
      </c>
      <c r="W49" s="61" t="e">
        <f t="shared" si="86"/>
        <v>#VALUE!</v>
      </c>
      <c r="X49" s="61" t="e">
        <f t="shared" si="87"/>
        <v>#VALUE!</v>
      </c>
      <c r="Y49" s="61" t="str">
        <f>IFERROR(VLOOKUP(MID(T49,W49,X49-W49),[6]skilldef!$C:$D,2,FALSE),"-") &amp; " / " &amp; IFERROR(VLOOKUP(MID(T49,U49,V49-U49),[6]skilldef!$A:$B,2,FALSE),"-")</f>
        <v>- / -</v>
      </c>
      <c r="Z49" s="49"/>
      <c r="AA49" s="50"/>
      <c r="AB49" s="49"/>
    </row>
    <row r="50" spans="1:28" ht="21" customHeight="1" x14ac:dyDescent="0.15">
      <c r="A50" s="162">
        <v>48007148</v>
      </c>
      <c r="B50" s="162" t="s">
        <v>257</v>
      </c>
      <c r="C50" s="166">
        <v>3</v>
      </c>
      <c r="D50" s="166" t="s">
        <v>417</v>
      </c>
      <c r="E50" s="167" t="s">
        <v>393</v>
      </c>
      <c r="F50" s="167" t="s">
        <v>258</v>
      </c>
      <c r="G50" s="61" t="str">
        <f t="shared" si="88"/>
        <v>[effect:enemy_message, val1:1.2, val2:0]</v>
      </c>
      <c r="H50" s="61">
        <f t="shared" si="74"/>
        <v>9</v>
      </c>
      <c r="I50" s="61">
        <f t="shared" si="75"/>
        <v>22</v>
      </c>
      <c r="J50" s="61" t="e">
        <f t="shared" si="76"/>
        <v>#VALUE!</v>
      </c>
      <c r="K50" s="61">
        <f t="shared" si="77"/>
        <v>32</v>
      </c>
      <c r="L50" s="61" t="str">
        <f>IFERROR(VLOOKUP(MID(G50,J50,K50-J50),[6]skilldef!$C:$D,2,FALSE),"-") &amp; " / " &amp; IFERROR(VLOOKUP(MID(G50,H50,I50-H50),[6]skilldef!$A:$B,2,FALSE),"-")</f>
        <v>- / -</v>
      </c>
      <c r="M50" s="61" t="str">
        <f t="shared" si="89"/>
        <v>none</v>
      </c>
      <c r="N50" s="47" t="str">
        <f>IFERROR(LEFT(M50,FIND("],",M50)+#REF!),M50)</f>
        <v>none</v>
      </c>
      <c r="O50" s="61" t="e">
        <f t="shared" si="79"/>
        <v>#VALUE!</v>
      </c>
      <c r="P50" s="61">
        <f t="shared" si="80"/>
        <v>4</v>
      </c>
      <c r="Q50" s="61" t="e">
        <f t="shared" si="81"/>
        <v>#VALUE!</v>
      </c>
      <c r="R50" s="61" t="e">
        <f t="shared" si="82"/>
        <v>#VALUE!</v>
      </c>
      <c r="S50" s="61" t="str">
        <f>IFERROR(VLOOKUP(MID(N50,Q50,R50-Q50),[6]skilldef!$C:$D,2,FALSE),"-") &amp; " / " &amp; IFERROR(VLOOKUP(MID(N50,O50,P50-O50),[6]skilldef!$A:$B,2,FALSE),"-")</f>
        <v>- / -</v>
      </c>
      <c r="T50" s="47" t="str">
        <f t="shared" si="83"/>
        <v>none</v>
      </c>
      <c r="U50" s="61" t="e">
        <f t="shared" si="84"/>
        <v>#VALUE!</v>
      </c>
      <c r="V50" s="61">
        <f t="shared" si="85"/>
        <v>4</v>
      </c>
      <c r="W50" s="61" t="e">
        <f t="shared" si="86"/>
        <v>#VALUE!</v>
      </c>
      <c r="X50" s="61" t="e">
        <f t="shared" si="87"/>
        <v>#VALUE!</v>
      </c>
      <c r="Y50" s="61" t="str">
        <f>IFERROR(VLOOKUP(MID(T50,W50,X50-W50),[6]skilldef!$C:$D,2,FALSE),"-") &amp; " / " &amp; IFERROR(VLOOKUP(MID(T50,U50,V50-U50),[6]skilldef!$A:$B,2,FALSE),"-")</f>
        <v>- / -</v>
      </c>
      <c r="Z50" s="49"/>
      <c r="AA50" s="50"/>
      <c r="AB50" s="49"/>
    </row>
    <row r="51" spans="1:28" ht="21" customHeight="1" x14ac:dyDescent="0.15">
      <c r="A51" s="161">
        <v>48007149</v>
      </c>
      <c r="B51" s="161" t="s">
        <v>257</v>
      </c>
      <c r="C51" s="170">
        <v>3</v>
      </c>
      <c r="D51" s="166" t="s">
        <v>417</v>
      </c>
      <c r="E51" s="171" t="s">
        <v>361</v>
      </c>
      <c r="F51" s="171" t="s">
        <v>258</v>
      </c>
      <c r="G51" s="61" t="str">
        <f t="shared" si="88"/>
        <v>[effect:enemy_message, val1:1.2, val2:0]</v>
      </c>
      <c r="H51" s="61">
        <f t="shared" si="74"/>
        <v>9</v>
      </c>
      <c r="I51" s="61">
        <f t="shared" si="75"/>
        <v>22</v>
      </c>
      <c r="J51" s="61" t="e">
        <f t="shared" si="76"/>
        <v>#VALUE!</v>
      </c>
      <c r="K51" s="61">
        <f t="shared" si="77"/>
        <v>32</v>
      </c>
      <c r="L51" s="61" t="str">
        <f>IFERROR(VLOOKUP(MID(G51,J51,K51-J51),[6]skilldef!$C:$D,2,FALSE),"-") &amp; " / " &amp; IFERROR(VLOOKUP(MID(G51,H51,I51-H51),[6]skilldef!$A:$B,2,FALSE),"-")</f>
        <v>- / -</v>
      </c>
      <c r="M51" s="61" t="str">
        <f t="shared" si="89"/>
        <v>none</v>
      </c>
      <c r="N51" s="47" t="str">
        <f>IFERROR(LEFT(M51,FIND("],",M51)+#REF!),M51)</f>
        <v>none</v>
      </c>
      <c r="O51" s="61" t="e">
        <f t="shared" si="79"/>
        <v>#VALUE!</v>
      </c>
      <c r="P51" s="61">
        <f t="shared" si="80"/>
        <v>4</v>
      </c>
      <c r="Q51" s="61" t="e">
        <f t="shared" si="81"/>
        <v>#VALUE!</v>
      </c>
      <c r="R51" s="61" t="e">
        <f t="shared" si="82"/>
        <v>#VALUE!</v>
      </c>
      <c r="S51" s="61" t="str">
        <f>IFERROR(VLOOKUP(MID(N51,Q51,R51-Q51),[6]skilldef!$C:$D,2,FALSE),"-") &amp; " / " &amp; IFERROR(VLOOKUP(MID(N51,O51,P51-O51),[6]skilldef!$A:$B,2,FALSE),"-")</f>
        <v>- / -</v>
      </c>
      <c r="T51" s="47" t="str">
        <f t="shared" si="83"/>
        <v>none</v>
      </c>
      <c r="U51" s="61" t="e">
        <f t="shared" si="84"/>
        <v>#VALUE!</v>
      </c>
      <c r="V51" s="61">
        <f t="shared" si="85"/>
        <v>4</v>
      </c>
      <c r="W51" s="61" t="e">
        <f t="shared" si="86"/>
        <v>#VALUE!</v>
      </c>
      <c r="X51" s="61" t="e">
        <f t="shared" si="87"/>
        <v>#VALUE!</v>
      </c>
      <c r="Y51" s="61" t="str">
        <f>IFERROR(VLOOKUP(MID(T51,W51,X51-W51),[6]skilldef!$C:$D,2,FALSE),"-") &amp; " / " &amp; IFERROR(VLOOKUP(MID(T51,U51,V51-U51),[6]skilldef!$A:$B,2,FALSE),"-")</f>
        <v>- / -</v>
      </c>
      <c r="Z51" s="49"/>
      <c r="AA51" s="50"/>
      <c r="AB51" s="49"/>
    </row>
    <row r="52" spans="1:28" ht="21" customHeight="1" x14ac:dyDescent="0.15">
      <c r="A52" s="161">
        <v>48007150</v>
      </c>
      <c r="B52" s="161" t="s">
        <v>314</v>
      </c>
      <c r="C52" s="170">
        <v>3</v>
      </c>
      <c r="D52" s="166" t="s">
        <v>417</v>
      </c>
      <c r="E52" s="171" t="s">
        <v>339</v>
      </c>
      <c r="F52" s="171" t="s">
        <v>367</v>
      </c>
      <c r="G52" s="61" t="str">
        <f t="shared" ref="G52:G53" si="90">IFERROR(LEFT(B52,FIND("],",B52)),B52)</f>
        <v>[effect:hungup, target:unit_all, turn:3, rate:1, animation:hungup01]</v>
      </c>
      <c r="H52" s="61">
        <f t="shared" ref="H52:H53" si="91">FIND("effect:",G52)+7</f>
        <v>9</v>
      </c>
      <c r="I52" s="61">
        <f t="shared" ref="I52:I53" si="92">IFERROR(FIND(",",G52),LEN(G52))</f>
        <v>15</v>
      </c>
      <c r="J52" s="61">
        <f t="shared" ref="J52:J53" si="93">FIND("target:",G52)+7</f>
        <v>24</v>
      </c>
      <c r="K52" s="61">
        <f t="shared" ref="K52:K53" si="94">FIND(",",G52,I52+1)</f>
        <v>32</v>
      </c>
      <c r="L52" s="61" t="str">
        <f>IFERROR(VLOOKUP(MID(G52,J52,K52-J52),[6]skilldef!$C:$D,2,FALSE),"-") &amp; " / " &amp; IFERROR(VLOOKUP(MID(G52,H52,I52-H52),[6]skilldef!$A:$B,2,FALSE),"-")</f>
        <v>味方全体に / ハングアップ</v>
      </c>
      <c r="M52" s="61" t="str">
        <f t="shared" ref="M52:M53" si="95">IFERROR(RIGHT(B52,LEN(B52)-FIND("],",B52)-1),"none")</f>
        <v>none</v>
      </c>
      <c r="N52" s="47" t="str">
        <f>IFERROR(LEFT(M52,FIND("],",M52)+#REF!),M52)</f>
        <v>none</v>
      </c>
      <c r="O52" s="61" t="e">
        <f t="shared" ref="O52:O53" si="96">FIND("effect:",N52)+7</f>
        <v>#VALUE!</v>
      </c>
      <c r="P52" s="61">
        <f t="shared" ref="P52:P53" si="97">IFERROR(FIND(",",N52),LEN(N52))</f>
        <v>4</v>
      </c>
      <c r="Q52" s="61" t="e">
        <f t="shared" ref="Q52:Q53" si="98">FIND("target:",N52)+7</f>
        <v>#VALUE!</v>
      </c>
      <c r="R52" s="61" t="e">
        <f t="shared" ref="R52:R53" si="99">FIND(",",N52,P52+1)</f>
        <v>#VALUE!</v>
      </c>
      <c r="S52" s="61" t="str">
        <f>IFERROR(VLOOKUP(MID(N52,Q52,R52-Q52),[6]skilldef!$C:$D,2,FALSE),"-") &amp; " / " &amp; IFERROR(VLOOKUP(MID(N52,O52,P52-O52),[6]skilldef!$A:$B,2,FALSE),"-")</f>
        <v>- / -</v>
      </c>
      <c r="T52" s="47" t="str">
        <f t="shared" ref="T52:T53" si="100">IFERROR(RIGHT(M52,LEN(M52)-FIND("],",M52)-1),"none")</f>
        <v>none</v>
      </c>
      <c r="U52" s="61" t="e">
        <f t="shared" ref="U52:U53" si="101">FIND("effect:",T52)+7</f>
        <v>#VALUE!</v>
      </c>
      <c r="V52" s="61">
        <f t="shared" ref="V52:V53" si="102">IFERROR(FIND(",",T52),LEN(T52))</f>
        <v>4</v>
      </c>
      <c r="W52" s="61" t="e">
        <f t="shared" ref="W52:W53" si="103">FIND("target:",T52)+7</f>
        <v>#VALUE!</v>
      </c>
      <c r="X52" s="61" t="e">
        <f t="shared" ref="X52:X53" si="104">FIND(",",T52,V52+1)</f>
        <v>#VALUE!</v>
      </c>
      <c r="Y52" s="61" t="str">
        <f>IFERROR(VLOOKUP(MID(T52,W52,X52-W52),[6]skilldef!$C:$D,2,FALSE),"-") &amp; " / " &amp; IFERROR(VLOOKUP(MID(T52,U52,V52-U52),[6]skilldef!$A:$B,2,FALSE),"-")</f>
        <v>- / -</v>
      </c>
      <c r="Z52" s="49"/>
      <c r="AA52" s="50"/>
      <c r="AB52" s="49"/>
    </row>
    <row r="53" spans="1:28" ht="21" customHeight="1" x14ac:dyDescent="0.15">
      <c r="A53" s="161">
        <v>48007151</v>
      </c>
      <c r="B53" s="161" t="s">
        <v>316</v>
      </c>
      <c r="C53" s="170">
        <v>3</v>
      </c>
      <c r="D53" s="166" t="s">
        <v>417</v>
      </c>
      <c r="E53" s="171" t="s">
        <v>335</v>
      </c>
      <c r="F53" s="171" t="s">
        <v>368</v>
      </c>
      <c r="G53" s="61" t="str">
        <f t="shared" si="90"/>
        <v>[effect:critical, val:1, animation:enemy_critical]</v>
      </c>
      <c r="H53" s="61">
        <f t="shared" si="91"/>
        <v>9</v>
      </c>
      <c r="I53" s="61">
        <f t="shared" si="92"/>
        <v>17</v>
      </c>
      <c r="J53" s="61" t="e">
        <f t="shared" si="93"/>
        <v>#VALUE!</v>
      </c>
      <c r="K53" s="61">
        <f t="shared" si="94"/>
        <v>24</v>
      </c>
      <c r="L53" s="61" t="str">
        <f>IFERROR(VLOOKUP(MID(G53,J53,K53-J53),[6]skilldef!$C:$D,2,FALSE),"-") &amp; " / " &amp; IFERROR(VLOOKUP(MID(G53,H53,I53-H53),[6]skilldef!$A:$B,2,FALSE),"-")</f>
        <v>- / 大攻撃</v>
      </c>
      <c r="M53" s="61" t="str">
        <f t="shared" si="95"/>
        <v>none</v>
      </c>
      <c r="N53" s="47" t="str">
        <f>IFERROR(LEFT(M53,FIND("],",M53)+#REF!),M53)</f>
        <v>none</v>
      </c>
      <c r="O53" s="61" t="e">
        <f t="shared" si="96"/>
        <v>#VALUE!</v>
      </c>
      <c r="P53" s="61">
        <f t="shared" si="97"/>
        <v>4</v>
      </c>
      <c r="Q53" s="61" t="e">
        <f t="shared" si="98"/>
        <v>#VALUE!</v>
      </c>
      <c r="R53" s="61" t="e">
        <f t="shared" si="99"/>
        <v>#VALUE!</v>
      </c>
      <c r="S53" s="61" t="str">
        <f>IFERROR(VLOOKUP(MID(N53,Q53,R53-Q53),[6]skilldef!$C:$D,2,FALSE),"-") &amp; " / " &amp; IFERROR(VLOOKUP(MID(N53,O53,P53-O53),[6]skilldef!$A:$B,2,FALSE),"-")</f>
        <v>- / -</v>
      </c>
      <c r="T53" s="47" t="str">
        <f t="shared" si="100"/>
        <v>none</v>
      </c>
      <c r="U53" s="61" t="e">
        <f t="shared" si="101"/>
        <v>#VALUE!</v>
      </c>
      <c r="V53" s="61">
        <f t="shared" si="102"/>
        <v>4</v>
      </c>
      <c r="W53" s="61" t="e">
        <f t="shared" si="103"/>
        <v>#VALUE!</v>
      </c>
      <c r="X53" s="61" t="e">
        <f t="shared" si="104"/>
        <v>#VALUE!</v>
      </c>
      <c r="Y53" s="61" t="str">
        <f>IFERROR(VLOOKUP(MID(T53,W53,X53-W53),[6]skilldef!$C:$D,2,FALSE),"-") &amp; " / " &amp; IFERROR(VLOOKUP(MID(T53,U53,V53-U53),[6]skilldef!$A:$B,2,FALSE),"-")</f>
        <v>- / -</v>
      </c>
      <c r="Z53" s="49"/>
      <c r="AA53" s="50"/>
      <c r="AB53" s="49"/>
    </row>
    <row r="54" spans="1:28" ht="21" customHeight="1" x14ac:dyDescent="0.15">
      <c r="A54" s="161">
        <v>48007152</v>
      </c>
      <c r="B54" s="161" t="s">
        <v>315</v>
      </c>
      <c r="C54" s="170">
        <v>3</v>
      </c>
      <c r="D54" s="166" t="s">
        <v>417</v>
      </c>
      <c r="E54" s="171" t="s">
        <v>336</v>
      </c>
      <c r="F54" s="171" t="s">
        <v>368</v>
      </c>
      <c r="G54" s="61" t="str">
        <f t="shared" ref="G54:G58" si="105">IFERROR(LEFT(B54,FIND("],",B54)),B54)</f>
        <v>[effect:critical, val:2, animation:enemy_critical]</v>
      </c>
      <c r="H54" s="61">
        <f t="shared" ref="H54:H58" si="106">FIND("effect:",G54)+7</f>
        <v>9</v>
      </c>
      <c r="I54" s="61">
        <f t="shared" ref="I54:I58" si="107">IFERROR(FIND(",",G54),LEN(G54))</f>
        <v>17</v>
      </c>
      <c r="J54" s="61" t="e">
        <f t="shared" ref="J54:J58" si="108">FIND("target:",G54)+7</f>
        <v>#VALUE!</v>
      </c>
      <c r="K54" s="61">
        <f t="shared" ref="K54:K58" si="109">FIND(",",G54,I54+1)</f>
        <v>24</v>
      </c>
      <c r="L54" s="61" t="str">
        <f>IFERROR(VLOOKUP(MID(G54,J54,K54-J54),[6]skilldef!$C:$D,2,FALSE),"-") &amp; " / " &amp; IFERROR(VLOOKUP(MID(G54,H54,I54-H54),[6]skilldef!$A:$B,2,FALSE),"-")</f>
        <v>- / 大攻撃</v>
      </c>
      <c r="M54" s="61" t="str">
        <f t="shared" ref="M54:M58" si="110">IFERROR(RIGHT(B54,LEN(B54)-FIND("],",B54)-1),"none")</f>
        <v>none</v>
      </c>
      <c r="N54" s="47" t="str">
        <f>IFERROR(LEFT(M54,FIND("],",M54)+#REF!),M54)</f>
        <v>none</v>
      </c>
      <c r="O54" s="61" t="e">
        <f t="shared" ref="O54:O58" si="111">FIND("effect:",N54)+7</f>
        <v>#VALUE!</v>
      </c>
      <c r="P54" s="61">
        <f t="shared" ref="P54:P58" si="112">IFERROR(FIND(",",N54),LEN(N54))</f>
        <v>4</v>
      </c>
      <c r="Q54" s="61" t="e">
        <f t="shared" ref="Q54:Q58" si="113">FIND("target:",N54)+7</f>
        <v>#VALUE!</v>
      </c>
      <c r="R54" s="61" t="e">
        <f t="shared" ref="R54:R58" si="114">FIND(",",N54,P54+1)</f>
        <v>#VALUE!</v>
      </c>
      <c r="S54" s="61" t="str">
        <f>IFERROR(VLOOKUP(MID(N54,Q54,R54-Q54),[6]skilldef!$C:$D,2,FALSE),"-") &amp; " / " &amp; IFERROR(VLOOKUP(MID(N54,O54,P54-O54),[6]skilldef!$A:$B,2,FALSE),"-")</f>
        <v>- / -</v>
      </c>
      <c r="T54" s="47" t="str">
        <f t="shared" ref="T54:T58" si="115">IFERROR(RIGHT(M54,LEN(M54)-FIND("],",M54)-1),"none")</f>
        <v>none</v>
      </c>
      <c r="U54" s="61" t="e">
        <f t="shared" ref="U54:U58" si="116">FIND("effect:",T54)+7</f>
        <v>#VALUE!</v>
      </c>
      <c r="V54" s="61">
        <f t="shared" ref="V54:V58" si="117">IFERROR(FIND(",",T54),LEN(T54))</f>
        <v>4</v>
      </c>
      <c r="W54" s="61" t="e">
        <f t="shared" ref="W54:W58" si="118">FIND("target:",T54)+7</f>
        <v>#VALUE!</v>
      </c>
      <c r="X54" s="61" t="e">
        <f t="shared" ref="X54:X58" si="119">FIND(",",T54,V54+1)</f>
        <v>#VALUE!</v>
      </c>
      <c r="Y54" s="61" t="str">
        <f>IFERROR(VLOOKUP(MID(T54,W54,X54-W54),[6]skilldef!$C:$D,2,FALSE),"-") &amp; " / " &amp; IFERROR(VLOOKUP(MID(T54,U54,V54-U54),[6]skilldef!$A:$B,2,FALSE),"-")</f>
        <v>- / -</v>
      </c>
      <c r="Z54" s="49"/>
      <c r="AA54" s="50"/>
      <c r="AB54" s="49"/>
    </row>
    <row r="55" spans="1:28" ht="21" customHeight="1" x14ac:dyDescent="0.15">
      <c r="A55" s="161">
        <v>48007153</v>
      </c>
      <c r="B55" s="161" t="s">
        <v>317</v>
      </c>
      <c r="C55" s="170">
        <v>3</v>
      </c>
      <c r="D55" s="166" t="s">
        <v>417</v>
      </c>
      <c r="E55" s="171" t="s">
        <v>337</v>
      </c>
      <c r="F55" s="171" t="s">
        <v>369</v>
      </c>
      <c r="G55" s="61" t="str">
        <f t="shared" si="105"/>
        <v>[effect:critical, val:3, animation:enemy_critical]</v>
      </c>
      <c r="H55" s="61">
        <f t="shared" si="106"/>
        <v>9</v>
      </c>
      <c r="I55" s="61">
        <f t="shared" si="107"/>
        <v>17</v>
      </c>
      <c r="J55" s="61" t="e">
        <f t="shared" si="108"/>
        <v>#VALUE!</v>
      </c>
      <c r="K55" s="61">
        <f t="shared" si="109"/>
        <v>24</v>
      </c>
      <c r="L55" s="61" t="str">
        <f>IFERROR(VLOOKUP(MID(G55,J55,K55-J55),[6]skilldef!$C:$D,2,FALSE),"-") &amp; " / " &amp; IFERROR(VLOOKUP(MID(G55,H55,I55-H55),[6]skilldef!$A:$B,2,FALSE),"-")</f>
        <v>- / 大攻撃</v>
      </c>
      <c r="M55" s="61" t="str">
        <f t="shared" si="110"/>
        <v>none</v>
      </c>
      <c r="N55" s="47" t="str">
        <f>IFERROR(LEFT(M55,FIND("],",M55)+#REF!),M55)</f>
        <v>none</v>
      </c>
      <c r="O55" s="61" t="e">
        <f t="shared" si="111"/>
        <v>#VALUE!</v>
      </c>
      <c r="P55" s="61">
        <f t="shared" si="112"/>
        <v>4</v>
      </c>
      <c r="Q55" s="61" t="e">
        <f t="shared" si="113"/>
        <v>#VALUE!</v>
      </c>
      <c r="R55" s="61" t="e">
        <f t="shared" si="114"/>
        <v>#VALUE!</v>
      </c>
      <c r="S55" s="61" t="str">
        <f>IFERROR(VLOOKUP(MID(N55,Q55,R55-Q55),[6]skilldef!$C:$D,2,FALSE),"-") &amp; " / " &amp; IFERROR(VLOOKUP(MID(N55,O55,P55-O55),[6]skilldef!$A:$B,2,FALSE),"-")</f>
        <v>- / -</v>
      </c>
      <c r="T55" s="47" t="str">
        <f t="shared" si="115"/>
        <v>none</v>
      </c>
      <c r="U55" s="61" t="e">
        <f t="shared" si="116"/>
        <v>#VALUE!</v>
      </c>
      <c r="V55" s="61">
        <f t="shared" si="117"/>
        <v>4</v>
      </c>
      <c r="W55" s="61" t="e">
        <f t="shared" si="118"/>
        <v>#VALUE!</v>
      </c>
      <c r="X55" s="61" t="e">
        <f t="shared" si="119"/>
        <v>#VALUE!</v>
      </c>
      <c r="Y55" s="61" t="str">
        <f>IFERROR(VLOOKUP(MID(T55,W55,X55-W55),[6]skilldef!$C:$D,2,FALSE),"-") &amp; " / " &amp; IFERROR(VLOOKUP(MID(T55,U55,V55-U55),[6]skilldef!$A:$B,2,FALSE),"-")</f>
        <v>- / -</v>
      </c>
      <c r="Z55" s="49"/>
      <c r="AA55" s="50"/>
      <c r="AB55" s="49"/>
    </row>
    <row r="56" spans="1:28" ht="21" customHeight="1" x14ac:dyDescent="0.15">
      <c r="A56" s="161">
        <v>48007154</v>
      </c>
      <c r="B56" s="161" t="s">
        <v>319</v>
      </c>
      <c r="C56" s="170">
        <v>3</v>
      </c>
      <c r="D56" s="166" t="s">
        <v>417</v>
      </c>
      <c r="E56" s="171" t="s">
        <v>341</v>
      </c>
      <c r="F56" s="171" t="s">
        <v>370</v>
      </c>
      <c r="G56" s="61" t="str">
        <f t="shared" si="105"/>
        <v>[effect:force_change_block, new_block:jammer, target:block_blue, count:0, val:0]</v>
      </c>
      <c r="H56" s="61">
        <f t="shared" si="106"/>
        <v>9</v>
      </c>
      <c r="I56" s="61">
        <f t="shared" si="107"/>
        <v>27</v>
      </c>
      <c r="J56" s="61">
        <f t="shared" si="108"/>
        <v>54</v>
      </c>
      <c r="K56" s="61">
        <f t="shared" si="109"/>
        <v>45</v>
      </c>
      <c r="L56" s="61" t="str">
        <f>IFERROR(VLOOKUP(MID(G56,J56,K56-J56),[6]skilldef!$C:$D,2,FALSE),"-") &amp; " / " &amp; IFERROR(VLOOKUP(MID(G56,H56,I56-H56),[6]skilldef!$A:$B,2,FALSE),"-")</f>
        <v>- / -</v>
      </c>
      <c r="M56" s="61" t="str">
        <f t="shared" si="110"/>
        <v>none</v>
      </c>
      <c r="N56" s="47" t="str">
        <f>IFERROR(LEFT(M56,FIND("],",M56)+#REF!),M56)</f>
        <v>none</v>
      </c>
      <c r="O56" s="61" t="e">
        <f t="shared" si="111"/>
        <v>#VALUE!</v>
      </c>
      <c r="P56" s="61">
        <f t="shared" si="112"/>
        <v>4</v>
      </c>
      <c r="Q56" s="61" t="e">
        <f t="shared" si="113"/>
        <v>#VALUE!</v>
      </c>
      <c r="R56" s="61" t="e">
        <f t="shared" si="114"/>
        <v>#VALUE!</v>
      </c>
      <c r="S56" s="61" t="str">
        <f>IFERROR(VLOOKUP(MID(N56,Q56,R56-Q56),[6]skilldef!$C:$D,2,FALSE),"-") &amp; " / " &amp; IFERROR(VLOOKUP(MID(N56,O56,P56-O56),[6]skilldef!$A:$B,2,FALSE),"-")</f>
        <v>- / -</v>
      </c>
      <c r="T56" s="47" t="str">
        <f t="shared" si="115"/>
        <v>none</v>
      </c>
      <c r="U56" s="61" t="e">
        <f t="shared" si="116"/>
        <v>#VALUE!</v>
      </c>
      <c r="V56" s="61">
        <f t="shared" si="117"/>
        <v>4</v>
      </c>
      <c r="W56" s="61" t="e">
        <f t="shared" si="118"/>
        <v>#VALUE!</v>
      </c>
      <c r="X56" s="61" t="e">
        <f t="shared" si="119"/>
        <v>#VALUE!</v>
      </c>
      <c r="Y56" s="61" t="str">
        <f>IFERROR(VLOOKUP(MID(T56,W56,X56-W56),[6]skilldef!$C:$D,2,FALSE),"-") &amp; " / " &amp; IFERROR(VLOOKUP(MID(T56,U56,V56-U56),[6]skilldef!$A:$B,2,FALSE),"-")</f>
        <v>- / -</v>
      </c>
      <c r="Z56" s="49"/>
      <c r="AA56" s="50"/>
      <c r="AB56" s="49"/>
    </row>
    <row r="57" spans="1:28" ht="21" customHeight="1" x14ac:dyDescent="0.15">
      <c r="A57" s="161">
        <v>48007155</v>
      </c>
      <c r="B57" s="161" t="s">
        <v>318</v>
      </c>
      <c r="C57" s="170">
        <v>3</v>
      </c>
      <c r="D57" s="166" t="s">
        <v>417</v>
      </c>
      <c r="E57" s="171" t="s">
        <v>338</v>
      </c>
      <c r="F57" s="171" t="s">
        <v>371</v>
      </c>
      <c r="G57" s="61" t="str">
        <f t="shared" si="105"/>
        <v>[effect:damage_fix_absolute, target:unit_all, val:999999]</v>
      </c>
      <c r="H57" s="61">
        <f t="shared" si="106"/>
        <v>9</v>
      </c>
      <c r="I57" s="61">
        <f t="shared" si="107"/>
        <v>28</v>
      </c>
      <c r="J57" s="61">
        <f t="shared" si="108"/>
        <v>37</v>
      </c>
      <c r="K57" s="61">
        <f t="shared" si="109"/>
        <v>45</v>
      </c>
      <c r="L57" s="61" t="str">
        <f>IFERROR(VLOOKUP(MID(G57,J57,K57-J57),[6]skilldef!$C:$D,2,FALSE),"-") &amp; " / " &amp; IFERROR(VLOOKUP(MID(G57,H57,I57-H57),[6]skilldef!$A:$B,2,FALSE),"-")</f>
        <v>味方全体に / -</v>
      </c>
      <c r="M57" s="61" t="str">
        <f t="shared" si="110"/>
        <v>none</v>
      </c>
      <c r="N57" s="47" t="str">
        <f>IFERROR(LEFT(M57,FIND("],",M57)+S59),M57)</f>
        <v>none</v>
      </c>
      <c r="O57" s="61" t="e">
        <f t="shared" si="111"/>
        <v>#VALUE!</v>
      </c>
      <c r="P57" s="61">
        <f t="shared" si="112"/>
        <v>4</v>
      </c>
      <c r="Q57" s="61" t="e">
        <f t="shared" si="113"/>
        <v>#VALUE!</v>
      </c>
      <c r="R57" s="61" t="e">
        <f t="shared" si="114"/>
        <v>#VALUE!</v>
      </c>
      <c r="S57" s="61" t="str">
        <f>IFERROR(VLOOKUP(MID(N57,Q57,R57-Q57),[6]skilldef!$C:$D,2,FALSE),"-") &amp; " / " &amp; IFERROR(VLOOKUP(MID(N57,O57,P57-O57),[6]skilldef!$A:$B,2,FALSE),"-")</f>
        <v>- / -</v>
      </c>
      <c r="T57" s="47" t="str">
        <f t="shared" si="115"/>
        <v>none</v>
      </c>
      <c r="U57" s="61" t="e">
        <f t="shared" si="116"/>
        <v>#VALUE!</v>
      </c>
      <c r="V57" s="61">
        <f t="shared" si="117"/>
        <v>4</v>
      </c>
      <c r="W57" s="61" t="e">
        <f t="shared" si="118"/>
        <v>#VALUE!</v>
      </c>
      <c r="X57" s="61" t="e">
        <f t="shared" si="119"/>
        <v>#VALUE!</v>
      </c>
      <c r="Y57" s="61" t="str">
        <f>IFERROR(VLOOKUP(MID(T57,W57,X57-W57),[6]skilldef!$C:$D,2,FALSE),"-") &amp; " / " &amp; IFERROR(VLOOKUP(MID(T57,U57,V57-U57),[6]skilldef!$A:$B,2,FALSE),"-")</f>
        <v>- / -</v>
      </c>
      <c r="Z57" s="49"/>
      <c r="AA57" s="50"/>
      <c r="AB57" s="49"/>
    </row>
    <row r="58" spans="1:28" ht="21" customHeight="1" x14ac:dyDescent="0.15">
      <c r="A58" s="161">
        <v>48007156</v>
      </c>
      <c r="B58" s="161" t="s">
        <v>257</v>
      </c>
      <c r="C58" s="170">
        <v>3</v>
      </c>
      <c r="D58" s="166" t="s">
        <v>417</v>
      </c>
      <c r="E58" s="171" t="s">
        <v>348</v>
      </c>
      <c r="F58" s="171" t="s">
        <v>258</v>
      </c>
      <c r="G58" s="61" t="str">
        <f t="shared" si="105"/>
        <v>[effect:enemy_message, val1:1.2, val2:0]</v>
      </c>
      <c r="H58" s="61">
        <f t="shared" si="106"/>
        <v>9</v>
      </c>
      <c r="I58" s="61">
        <f t="shared" si="107"/>
        <v>22</v>
      </c>
      <c r="J58" s="61" t="e">
        <f t="shared" si="108"/>
        <v>#VALUE!</v>
      </c>
      <c r="K58" s="61">
        <f t="shared" si="109"/>
        <v>32</v>
      </c>
      <c r="L58" s="61" t="str">
        <f>IFERROR(VLOOKUP(MID(G58,J58,K58-J58),[6]skilldef!$C:$D,2,FALSE),"-") &amp; " / " &amp; IFERROR(VLOOKUP(MID(G58,H58,I58-H58),[6]skilldef!$A:$B,2,FALSE),"-")</f>
        <v>- / -</v>
      </c>
      <c r="M58" s="61" t="str">
        <f t="shared" si="110"/>
        <v>none</v>
      </c>
      <c r="N58" s="47" t="str">
        <f>IFERROR(LEFT(M58,FIND("],",M58)+S61),M58)</f>
        <v>none</v>
      </c>
      <c r="O58" s="61" t="e">
        <f t="shared" si="111"/>
        <v>#VALUE!</v>
      </c>
      <c r="P58" s="61">
        <f t="shared" si="112"/>
        <v>4</v>
      </c>
      <c r="Q58" s="61" t="e">
        <f t="shared" si="113"/>
        <v>#VALUE!</v>
      </c>
      <c r="R58" s="61" t="e">
        <f t="shared" si="114"/>
        <v>#VALUE!</v>
      </c>
      <c r="S58" s="61" t="str">
        <f>IFERROR(VLOOKUP(MID(N58,Q58,R58-Q58),[6]skilldef!$C:$D,2,FALSE),"-") &amp; " / " &amp; IFERROR(VLOOKUP(MID(N58,O58,P58-O58),[6]skilldef!$A:$B,2,FALSE),"-")</f>
        <v>- / -</v>
      </c>
      <c r="T58" s="47" t="str">
        <f t="shared" si="115"/>
        <v>none</v>
      </c>
      <c r="U58" s="61" t="e">
        <f t="shared" si="116"/>
        <v>#VALUE!</v>
      </c>
      <c r="V58" s="61">
        <f t="shared" si="117"/>
        <v>4</v>
      </c>
      <c r="W58" s="61" t="e">
        <f t="shared" si="118"/>
        <v>#VALUE!</v>
      </c>
      <c r="X58" s="61" t="e">
        <f t="shared" si="119"/>
        <v>#VALUE!</v>
      </c>
      <c r="Y58" s="61" t="str">
        <f>IFERROR(VLOOKUP(MID(T58,W58,X58-W58),[6]skilldef!$C:$D,2,FALSE),"-") &amp; " / " &amp; IFERROR(VLOOKUP(MID(T58,U58,V58-U58),[6]skilldef!$A:$B,2,FALSE),"-")</f>
        <v>- / -</v>
      </c>
      <c r="Z58" s="49"/>
      <c r="AA58" s="50"/>
      <c r="AB58" s="49"/>
    </row>
    <row r="59" spans="1:28" ht="21" customHeight="1" x14ac:dyDescent="0.15">
      <c r="A59" s="162">
        <v>48007180</v>
      </c>
      <c r="B59" s="162" t="s">
        <v>257</v>
      </c>
      <c r="C59" s="166">
        <v>3</v>
      </c>
      <c r="D59" s="166" t="s">
        <v>417</v>
      </c>
      <c r="E59" s="167" t="s">
        <v>285</v>
      </c>
      <c r="F59" s="167" t="s">
        <v>258</v>
      </c>
      <c r="G59" s="61" t="str">
        <f>IFERROR(LEFT(B59,FIND("],",B59)),B59)</f>
        <v>[effect:enemy_message, val1:1.2, val2:0]</v>
      </c>
      <c r="H59" s="61">
        <f>FIND("effect:",G59)+7</f>
        <v>9</v>
      </c>
      <c r="I59" s="61">
        <f>IFERROR(FIND(",",G59),LEN(G59))</f>
        <v>22</v>
      </c>
      <c r="J59" s="61" t="e">
        <f>FIND("target:",G59)+7</f>
        <v>#VALUE!</v>
      </c>
      <c r="K59" s="61">
        <f>FIND(",",G59,I59+1)</f>
        <v>32</v>
      </c>
      <c r="L59" s="61" t="str">
        <f>IFERROR(VLOOKUP(MID(G59,J59,K59-J59),[6]skilldef!$C:$D,2,FALSE),"-") &amp; " / " &amp; IFERROR(VLOOKUP(MID(G59,H59,I59-H59),[6]skilldef!$A:$B,2,FALSE),"-")</f>
        <v>- / -</v>
      </c>
      <c r="M59" s="61" t="str">
        <f>IFERROR(RIGHT(B59,LEN(B59)-FIND("],",B59)-1),"none")</f>
        <v>none</v>
      </c>
      <c r="N59" s="47" t="str">
        <f>IFERROR(LEFT(M59,FIND("],",M59)+#REF!),M59)</f>
        <v>none</v>
      </c>
      <c r="O59" s="61" t="e">
        <f>FIND("effect:",N59)+7</f>
        <v>#VALUE!</v>
      </c>
      <c r="P59" s="61">
        <f>IFERROR(FIND(",",N59),LEN(N59))</f>
        <v>4</v>
      </c>
      <c r="Q59" s="61" t="e">
        <f>FIND("target:",N59)+7</f>
        <v>#VALUE!</v>
      </c>
      <c r="R59" s="61" t="e">
        <f>FIND(",",N59,P59+1)</f>
        <v>#VALUE!</v>
      </c>
      <c r="S59" s="61" t="str">
        <f>IFERROR(VLOOKUP(MID(N59,Q59,R59-Q59),[6]skilldef!$C:$D,2,FALSE),"-") &amp; " / " &amp; IFERROR(VLOOKUP(MID(N59,O59,P59-O59),[6]skilldef!$A:$B,2,FALSE),"-")</f>
        <v>- / -</v>
      </c>
      <c r="T59" s="47" t="str">
        <f>IFERROR(RIGHT(M59,LEN(M59)-FIND("],",M59)-1),"none")</f>
        <v>none</v>
      </c>
      <c r="U59" s="61" t="e">
        <f>FIND("effect:",T59)+7</f>
        <v>#VALUE!</v>
      </c>
      <c r="V59" s="61">
        <f>IFERROR(FIND(",",T59),LEN(T59))</f>
        <v>4</v>
      </c>
      <c r="W59" s="61" t="e">
        <f>FIND("target:",T59)+7</f>
        <v>#VALUE!</v>
      </c>
      <c r="X59" s="61" t="e">
        <f>FIND(",",T59,V59+1)</f>
        <v>#VALUE!</v>
      </c>
      <c r="Y59" s="61" t="str">
        <f>IFERROR(VLOOKUP(MID(T59,W59,X59-W59),[6]skilldef!$C:$D,2,FALSE),"-") &amp; " / " &amp; IFERROR(VLOOKUP(MID(T59,U59,V59-U59),[6]skilldef!$A:$B,2,FALSE),"-")</f>
        <v>- / -</v>
      </c>
      <c r="Z59" s="49"/>
      <c r="AA59" s="50"/>
      <c r="AB59" s="49" t="s">
        <v>326</v>
      </c>
    </row>
    <row r="60" spans="1:28" ht="21" customHeight="1" x14ac:dyDescent="0.15">
      <c r="A60" s="162">
        <v>48007181</v>
      </c>
      <c r="B60" s="162" t="s">
        <v>257</v>
      </c>
      <c r="C60" s="166">
        <v>3</v>
      </c>
      <c r="D60" s="166" t="s">
        <v>417</v>
      </c>
      <c r="E60" s="167" t="s">
        <v>285</v>
      </c>
      <c r="F60" s="167" t="s">
        <v>258</v>
      </c>
      <c r="G60" s="61" t="str">
        <f>IFERROR(LEFT(B60,FIND("],",B60)),B60)</f>
        <v>[effect:enemy_message, val1:1.2, val2:0]</v>
      </c>
      <c r="H60" s="61">
        <f>FIND("effect:",G60)+7</f>
        <v>9</v>
      </c>
      <c r="I60" s="61">
        <f>IFERROR(FIND(",",G60),LEN(G60))</f>
        <v>22</v>
      </c>
      <c r="J60" s="61" t="e">
        <f>FIND("target:",G60)+7</f>
        <v>#VALUE!</v>
      </c>
      <c r="K60" s="61">
        <f>FIND(",",G60,I60+1)</f>
        <v>32</v>
      </c>
      <c r="L60" s="61" t="str">
        <f>IFERROR(VLOOKUP(MID(G60,J60,K60-J60),[6]skilldef!$C:$D,2,FALSE),"-") &amp; " / " &amp; IFERROR(VLOOKUP(MID(G60,H60,I60-H60),[6]skilldef!$A:$B,2,FALSE),"-")</f>
        <v>- / -</v>
      </c>
      <c r="M60" s="61" t="str">
        <f>IFERROR(RIGHT(B60,LEN(B60)-FIND("],",B60)-1),"none")</f>
        <v>none</v>
      </c>
      <c r="N60" s="47" t="str">
        <f>IFERROR(LEFT(M60,FIND("],",M60)+#REF!),M60)</f>
        <v>none</v>
      </c>
      <c r="O60" s="61" t="e">
        <f>FIND("effect:",N60)+7</f>
        <v>#VALUE!</v>
      </c>
      <c r="P60" s="61">
        <f>IFERROR(FIND(",",N60),LEN(N60))</f>
        <v>4</v>
      </c>
      <c r="Q60" s="61" t="e">
        <f>FIND("target:",N60)+7</f>
        <v>#VALUE!</v>
      </c>
      <c r="R60" s="61" t="e">
        <f>FIND(",",N60,P60+1)</f>
        <v>#VALUE!</v>
      </c>
      <c r="S60" s="61" t="str">
        <f>IFERROR(VLOOKUP(MID(N60,Q60,R60-Q60),[6]skilldef!$C:$D,2,FALSE),"-") &amp; " / " &amp; IFERROR(VLOOKUP(MID(N60,O60,P60-O60),[6]skilldef!$A:$B,2,FALSE),"-")</f>
        <v>- / -</v>
      </c>
      <c r="T60" s="47" t="str">
        <f>IFERROR(RIGHT(M60,LEN(M60)-FIND("],",M60)-1),"none")</f>
        <v>none</v>
      </c>
      <c r="U60" s="61" t="e">
        <f>FIND("effect:",T60)+7</f>
        <v>#VALUE!</v>
      </c>
      <c r="V60" s="61">
        <f>IFERROR(FIND(",",T60),LEN(T60))</f>
        <v>4</v>
      </c>
      <c r="W60" s="61" t="e">
        <f>FIND("target:",T60)+7</f>
        <v>#VALUE!</v>
      </c>
      <c r="X60" s="61" t="e">
        <f>FIND(",",T60,V60+1)</f>
        <v>#VALUE!</v>
      </c>
      <c r="Y60" s="61" t="str">
        <f>IFERROR(VLOOKUP(MID(T60,W60,X60-W60),[6]skilldef!$C:$D,2,FALSE),"-") &amp; " / " &amp; IFERROR(VLOOKUP(MID(T60,U60,V60-U60),[6]skilldef!$A:$B,2,FALSE),"-")</f>
        <v>- / -</v>
      </c>
      <c r="Z60" s="49"/>
      <c r="AA60" s="50"/>
      <c r="AB60" s="49" t="s">
        <v>327</v>
      </c>
    </row>
    <row r="61" spans="1:28" ht="21" customHeight="1" x14ac:dyDescent="0.15">
      <c r="A61" s="161">
        <v>48007182</v>
      </c>
      <c r="B61" s="161" t="s">
        <v>286</v>
      </c>
      <c r="C61" s="170">
        <v>3</v>
      </c>
      <c r="D61" s="166" t="s">
        <v>417</v>
      </c>
      <c r="E61" s="171" t="s">
        <v>287</v>
      </c>
      <c r="F61" s="171" t="s">
        <v>258</v>
      </c>
      <c r="G61" s="61" t="str">
        <f t="shared" ref="G61:G69" si="120">IFERROR(LEFT(B61,FIND("],",B61)),B61)</f>
        <v>[effect:enemy_message, val1:1.2, val2:0]</v>
      </c>
      <c r="H61" s="61">
        <f t="shared" ref="H61:H69" si="121">FIND("effect:",G61)+7</f>
        <v>9</v>
      </c>
      <c r="I61" s="61">
        <f t="shared" ref="I61:I69" si="122">IFERROR(FIND(",",G61),LEN(G61))</f>
        <v>22</v>
      </c>
      <c r="J61" s="61" t="e">
        <f t="shared" ref="J61:J69" si="123">FIND("target:",G61)+7</f>
        <v>#VALUE!</v>
      </c>
      <c r="K61" s="61">
        <f t="shared" ref="K61:K69" si="124">FIND(",",G61,I61+1)</f>
        <v>32</v>
      </c>
      <c r="L61" s="61" t="str">
        <f>IFERROR(VLOOKUP(MID(G61,J61,K61-J61),[6]skilldef!$C:$D,2,FALSE),"-") &amp; " / " &amp; IFERROR(VLOOKUP(MID(G61,H61,I61-H61),[6]skilldef!$A:$B,2,FALSE),"-")</f>
        <v>- / -</v>
      </c>
      <c r="M61" s="61" t="str">
        <f t="shared" ref="M61:M69" si="125">IFERROR(RIGHT(B61,LEN(B61)-FIND("],",B61)-1),"none")</f>
        <v>none</v>
      </c>
      <c r="N61" s="47" t="str">
        <f>IFERROR(LEFT(M61,FIND("],",M61)+S79),M61)</f>
        <v>none</v>
      </c>
      <c r="O61" s="61" t="e">
        <f t="shared" ref="O61:O69" si="126">FIND("effect:",N61)+7</f>
        <v>#VALUE!</v>
      </c>
      <c r="P61" s="61">
        <f t="shared" ref="P61:P69" si="127">IFERROR(FIND(",",N61),LEN(N61))</f>
        <v>4</v>
      </c>
      <c r="Q61" s="61" t="e">
        <f t="shared" ref="Q61:Q69" si="128">FIND("target:",N61)+7</f>
        <v>#VALUE!</v>
      </c>
      <c r="R61" s="61" t="e">
        <f t="shared" ref="R61:R69" si="129">FIND(",",N61,P61+1)</f>
        <v>#VALUE!</v>
      </c>
      <c r="S61" s="61" t="str">
        <f>IFERROR(VLOOKUP(MID(N61,Q61,R61-Q61),[6]skilldef!$C:$D,2,FALSE),"-") &amp; " / " &amp; IFERROR(VLOOKUP(MID(N61,O61,P61-O61),[6]skilldef!$A:$B,2,FALSE),"-")</f>
        <v>- / -</v>
      </c>
      <c r="T61" s="47" t="str">
        <f t="shared" ref="T61:T69" si="130">IFERROR(RIGHT(M61,LEN(M61)-FIND("],",M61)-1),"none")</f>
        <v>none</v>
      </c>
      <c r="U61" s="61" t="e">
        <f t="shared" ref="U61:U69" si="131">FIND("effect:",T61)+7</f>
        <v>#VALUE!</v>
      </c>
      <c r="V61" s="61">
        <f t="shared" ref="V61:V69" si="132">IFERROR(FIND(",",T61),LEN(T61))</f>
        <v>4</v>
      </c>
      <c r="W61" s="61" t="e">
        <f t="shared" ref="W61:W69" si="133">FIND("target:",T61)+7</f>
        <v>#VALUE!</v>
      </c>
      <c r="X61" s="61" t="e">
        <f t="shared" ref="X61:X69" si="134">FIND(",",T61,V61+1)</f>
        <v>#VALUE!</v>
      </c>
      <c r="Y61" s="61" t="str">
        <f>IFERROR(VLOOKUP(MID(T61,W61,X61-W61),[6]skilldef!$C:$D,2,FALSE),"-") &amp; " / " &amp; IFERROR(VLOOKUP(MID(T61,U61,V61-U61),[6]skilldef!$A:$B,2,FALSE),"-")</f>
        <v>- / -</v>
      </c>
      <c r="Z61" s="49"/>
      <c r="AA61" s="50"/>
      <c r="AB61" s="49" t="s">
        <v>326</v>
      </c>
    </row>
    <row r="62" spans="1:28" ht="21" customHeight="1" x14ac:dyDescent="0.15">
      <c r="A62" s="161">
        <v>48007183</v>
      </c>
      <c r="B62" s="161" t="s">
        <v>286</v>
      </c>
      <c r="C62" s="170">
        <v>3</v>
      </c>
      <c r="D62" s="166" t="s">
        <v>417</v>
      </c>
      <c r="E62" s="171" t="s">
        <v>287</v>
      </c>
      <c r="F62" s="171" t="s">
        <v>258</v>
      </c>
      <c r="G62" s="61" t="str">
        <f t="shared" ref="G62" si="135">IFERROR(LEFT(B62,FIND("],",B62)),B62)</f>
        <v>[effect:enemy_message, val1:1.2, val2:0]</v>
      </c>
      <c r="H62" s="61">
        <f t="shared" ref="H62" si="136">FIND("effect:",G62)+7</f>
        <v>9</v>
      </c>
      <c r="I62" s="61">
        <f t="shared" ref="I62" si="137">IFERROR(FIND(",",G62),LEN(G62))</f>
        <v>22</v>
      </c>
      <c r="J62" s="61" t="e">
        <f t="shared" ref="J62" si="138">FIND("target:",G62)+7</f>
        <v>#VALUE!</v>
      </c>
      <c r="K62" s="61">
        <f t="shared" ref="K62" si="139">FIND(",",G62,I62+1)</f>
        <v>32</v>
      </c>
      <c r="L62" s="61" t="str">
        <f>IFERROR(VLOOKUP(MID(G62,J62,K62-J62),[6]skilldef!$C:$D,2,FALSE),"-") &amp; " / " &amp; IFERROR(VLOOKUP(MID(G62,H62,I62-H62),[6]skilldef!$A:$B,2,FALSE),"-")</f>
        <v>- / -</v>
      </c>
      <c r="M62" s="61" t="str">
        <f t="shared" ref="M62" si="140">IFERROR(RIGHT(B62,LEN(B62)-FIND("],",B62)-1),"none")</f>
        <v>none</v>
      </c>
      <c r="N62" s="47" t="str">
        <f>IFERROR(LEFT(M62,FIND("],",M62)+S80),M62)</f>
        <v>none</v>
      </c>
      <c r="O62" s="61" t="e">
        <f t="shared" ref="O62" si="141">FIND("effect:",N62)+7</f>
        <v>#VALUE!</v>
      </c>
      <c r="P62" s="61">
        <f t="shared" ref="P62" si="142">IFERROR(FIND(",",N62),LEN(N62))</f>
        <v>4</v>
      </c>
      <c r="Q62" s="61" t="e">
        <f t="shared" ref="Q62" si="143">FIND("target:",N62)+7</f>
        <v>#VALUE!</v>
      </c>
      <c r="R62" s="61" t="e">
        <f t="shared" ref="R62" si="144">FIND(",",N62,P62+1)</f>
        <v>#VALUE!</v>
      </c>
      <c r="S62" s="61" t="str">
        <f>IFERROR(VLOOKUP(MID(N62,Q62,R62-Q62),[6]skilldef!$C:$D,2,FALSE),"-") &amp; " / " &amp; IFERROR(VLOOKUP(MID(N62,O62,P62-O62),[6]skilldef!$A:$B,2,FALSE),"-")</f>
        <v>- / -</v>
      </c>
      <c r="T62" s="47" t="str">
        <f t="shared" ref="T62" si="145">IFERROR(RIGHT(M62,LEN(M62)-FIND("],",M62)-1),"none")</f>
        <v>none</v>
      </c>
      <c r="U62" s="61" t="e">
        <f t="shared" ref="U62" si="146">FIND("effect:",T62)+7</f>
        <v>#VALUE!</v>
      </c>
      <c r="V62" s="61">
        <f t="shared" ref="V62" si="147">IFERROR(FIND(",",T62),LEN(T62))</f>
        <v>4</v>
      </c>
      <c r="W62" s="61" t="e">
        <f t="shared" ref="W62" si="148">FIND("target:",T62)+7</f>
        <v>#VALUE!</v>
      </c>
      <c r="X62" s="61" t="e">
        <f t="shared" ref="X62" si="149">FIND(",",T62,V62+1)</f>
        <v>#VALUE!</v>
      </c>
      <c r="Y62" s="61" t="str">
        <f>IFERROR(VLOOKUP(MID(T62,W62,X62-W62),[6]skilldef!$C:$D,2,FALSE),"-") &amp; " / " &amp; IFERROR(VLOOKUP(MID(T62,U62,V62-U62),[6]skilldef!$A:$B,2,FALSE),"-")</f>
        <v>- / -</v>
      </c>
      <c r="Z62" s="49"/>
      <c r="AA62" s="50"/>
      <c r="AB62" s="49" t="s">
        <v>327</v>
      </c>
    </row>
    <row r="63" spans="1:28" ht="21" customHeight="1" x14ac:dyDescent="0.15">
      <c r="A63" s="160">
        <v>48007184</v>
      </c>
      <c r="B63" s="160" t="s">
        <v>320</v>
      </c>
      <c r="C63" s="168">
        <v>3</v>
      </c>
      <c r="D63" s="166" t="s">
        <v>417</v>
      </c>
      <c r="E63" s="169" t="s">
        <v>285</v>
      </c>
      <c r="F63" s="169" t="s">
        <v>289</v>
      </c>
      <c r="G63" s="61" t="str">
        <f t="shared" si="120"/>
        <v>[effect:force_change_block, new_block:block_blue, target:block_all, ignore01:crash, ignore02:time_bomb, ignore03:jammer, ignore04:color_break, count:5, val:0]</v>
      </c>
      <c r="H63" s="61">
        <f t="shared" si="121"/>
        <v>9</v>
      </c>
      <c r="I63" s="61">
        <f t="shared" si="122"/>
        <v>27</v>
      </c>
      <c r="J63" s="61">
        <f t="shared" si="123"/>
        <v>58</v>
      </c>
      <c r="K63" s="61">
        <f t="shared" si="124"/>
        <v>49</v>
      </c>
      <c r="L63" s="61" t="str">
        <f>IFERROR(VLOOKUP(MID(G63,J63,K63-J63),[6]skilldef!$C:$D,2,FALSE),"-") &amp; " / " &amp; IFERROR(VLOOKUP(MID(G63,H63,I63-H63),[6]skilldef!$A:$B,2,FALSE),"-")</f>
        <v>- / -</v>
      </c>
      <c r="M63" s="61" t="str">
        <f t="shared" si="125"/>
        <v>none</v>
      </c>
      <c r="N63" s="47" t="str">
        <f>IFERROR(LEFT(M63,FIND("],",M63)+#REF!),M63)</f>
        <v>none</v>
      </c>
      <c r="O63" s="61" t="e">
        <f t="shared" si="126"/>
        <v>#VALUE!</v>
      </c>
      <c r="P63" s="61">
        <f t="shared" si="127"/>
        <v>4</v>
      </c>
      <c r="Q63" s="61" t="e">
        <f t="shared" si="128"/>
        <v>#VALUE!</v>
      </c>
      <c r="R63" s="61" t="e">
        <f t="shared" si="129"/>
        <v>#VALUE!</v>
      </c>
      <c r="S63" s="61" t="str">
        <f>IFERROR(VLOOKUP(MID(N63,Q63,R63-Q63),[6]skilldef!$C:$D,2,FALSE),"-") &amp; " / " &amp; IFERROR(VLOOKUP(MID(N63,O63,P63-O63),[6]skilldef!$A:$B,2,FALSE),"-")</f>
        <v>- / -</v>
      </c>
      <c r="T63" s="47" t="str">
        <f t="shared" si="130"/>
        <v>none</v>
      </c>
      <c r="U63" s="61" t="e">
        <f t="shared" si="131"/>
        <v>#VALUE!</v>
      </c>
      <c r="V63" s="61">
        <f t="shared" si="132"/>
        <v>4</v>
      </c>
      <c r="W63" s="61" t="e">
        <f t="shared" si="133"/>
        <v>#VALUE!</v>
      </c>
      <c r="X63" s="61" t="e">
        <f t="shared" si="134"/>
        <v>#VALUE!</v>
      </c>
      <c r="Y63" s="61" t="str">
        <f>IFERROR(VLOOKUP(MID(T63,W63,X63-W63),[6]skilldef!$C:$D,2,FALSE),"-") &amp; " / " &amp; IFERROR(VLOOKUP(MID(T63,U63,V63-U63),[6]skilldef!$A:$B,2,FALSE),"-")</f>
        <v>- / -</v>
      </c>
      <c r="Z63" s="49"/>
      <c r="AA63" s="50"/>
      <c r="AB63" s="49" t="s">
        <v>326</v>
      </c>
    </row>
    <row r="64" spans="1:28" ht="21" customHeight="1" x14ac:dyDescent="0.15">
      <c r="A64" s="160">
        <v>48007185</v>
      </c>
      <c r="B64" s="160" t="s">
        <v>320</v>
      </c>
      <c r="C64" s="168">
        <v>3</v>
      </c>
      <c r="D64" s="166" t="s">
        <v>417</v>
      </c>
      <c r="E64" s="169" t="s">
        <v>285</v>
      </c>
      <c r="F64" s="169" t="s">
        <v>289</v>
      </c>
      <c r="G64" s="61" t="str">
        <f t="shared" ref="G64" si="150">IFERROR(LEFT(B64,FIND("],",B64)),B64)</f>
        <v>[effect:force_change_block, new_block:block_blue, target:block_all, ignore01:crash, ignore02:time_bomb, ignore03:jammer, ignore04:color_break, count:5, val:0]</v>
      </c>
      <c r="H64" s="61">
        <f t="shared" ref="H64" si="151">FIND("effect:",G64)+7</f>
        <v>9</v>
      </c>
      <c r="I64" s="61">
        <f t="shared" ref="I64" si="152">IFERROR(FIND(",",G64),LEN(G64))</f>
        <v>27</v>
      </c>
      <c r="J64" s="61">
        <f t="shared" ref="J64" si="153">FIND("target:",G64)+7</f>
        <v>58</v>
      </c>
      <c r="K64" s="61">
        <f t="shared" ref="K64" si="154">FIND(",",G64,I64+1)</f>
        <v>49</v>
      </c>
      <c r="L64" s="61" t="str">
        <f>IFERROR(VLOOKUP(MID(G64,J64,K64-J64),[6]skilldef!$C:$D,2,FALSE),"-") &amp; " / " &amp; IFERROR(VLOOKUP(MID(G64,H64,I64-H64),[6]skilldef!$A:$B,2,FALSE),"-")</f>
        <v>- / -</v>
      </c>
      <c r="M64" s="61" t="str">
        <f t="shared" ref="M64" si="155">IFERROR(RIGHT(B64,LEN(B64)-FIND("],",B64)-1),"none")</f>
        <v>none</v>
      </c>
      <c r="N64" s="47" t="str">
        <f>IFERROR(LEFT(M64,FIND("],",M64)+#REF!),M64)</f>
        <v>none</v>
      </c>
      <c r="O64" s="61" t="e">
        <f t="shared" ref="O64" si="156">FIND("effect:",N64)+7</f>
        <v>#VALUE!</v>
      </c>
      <c r="P64" s="61">
        <f t="shared" ref="P64" si="157">IFERROR(FIND(",",N64),LEN(N64))</f>
        <v>4</v>
      </c>
      <c r="Q64" s="61" t="e">
        <f t="shared" ref="Q64" si="158">FIND("target:",N64)+7</f>
        <v>#VALUE!</v>
      </c>
      <c r="R64" s="61" t="e">
        <f t="shared" ref="R64" si="159">FIND(",",N64,P64+1)</f>
        <v>#VALUE!</v>
      </c>
      <c r="S64" s="61" t="str">
        <f>IFERROR(VLOOKUP(MID(N64,Q64,R64-Q64),[6]skilldef!$C:$D,2,FALSE),"-") &amp; " / " &amp; IFERROR(VLOOKUP(MID(N64,O64,P64-O64),[6]skilldef!$A:$B,2,FALSE),"-")</f>
        <v>- / -</v>
      </c>
      <c r="T64" s="47" t="str">
        <f t="shared" ref="T64" si="160">IFERROR(RIGHT(M64,LEN(M64)-FIND("],",M64)-1),"none")</f>
        <v>none</v>
      </c>
      <c r="U64" s="61" t="e">
        <f t="shared" ref="U64" si="161">FIND("effect:",T64)+7</f>
        <v>#VALUE!</v>
      </c>
      <c r="V64" s="61">
        <f t="shared" ref="V64" si="162">IFERROR(FIND(",",T64),LEN(T64))</f>
        <v>4</v>
      </c>
      <c r="W64" s="61" t="e">
        <f t="shared" ref="W64" si="163">FIND("target:",T64)+7</f>
        <v>#VALUE!</v>
      </c>
      <c r="X64" s="61" t="e">
        <f t="shared" ref="X64" si="164">FIND(",",T64,V64+1)</f>
        <v>#VALUE!</v>
      </c>
      <c r="Y64" s="61" t="str">
        <f>IFERROR(VLOOKUP(MID(T64,W64,X64-W64),[6]skilldef!$C:$D,2,FALSE),"-") &amp; " / " &amp; IFERROR(VLOOKUP(MID(T64,U64,V64-U64),[6]skilldef!$A:$B,2,FALSE),"-")</f>
        <v>- / -</v>
      </c>
      <c r="Z64" s="49"/>
      <c r="AA64" s="50"/>
      <c r="AB64" s="49" t="s">
        <v>327</v>
      </c>
    </row>
    <row r="65" spans="1:28" ht="21" customHeight="1" x14ac:dyDescent="0.15">
      <c r="A65" s="172">
        <v>48007186</v>
      </c>
      <c r="B65" s="172" t="s">
        <v>396</v>
      </c>
      <c r="C65" s="173">
        <v>3</v>
      </c>
      <c r="D65" s="166" t="s">
        <v>417</v>
      </c>
      <c r="E65" s="174" t="s">
        <v>285</v>
      </c>
      <c r="F65" s="174" t="s">
        <v>290</v>
      </c>
      <c r="G65" s="61" t="str">
        <f t="shared" si="120"/>
        <v>[effect:force_change_block, new_block:crack_bomb, target:block_all, ignore01:crash, ignore02:time_bomb, ignore03:jammer, ignore04:color_break, color:block_blue, count:5, val:12]</v>
      </c>
      <c r="H65" s="61">
        <f t="shared" si="121"/>
        <v>9</v>
      </c>
      <c r="I65" s="61">
        <f t="shared" si="122"/>
        <v>27</v>
      </c>
      <c r="J65" s="61">
        <f t="shared" si="123"/>
        <v>58</v>
      </c>
      <c r="K65" s="61">
        <f t="shared" si="124"/>
        <v>49</v>
      </c>
      <c r="L65" s="61" t="str">
        <f>IFERROR(VLOOKUP(MID(G65,J65,K65-J65),[6]skilldef!$C:$D,2,FALSE),"-") &amp; " / " &amp; IFERROR(VLOOKUP(MID(G65,H65,I65-H65),[6]skilldef!$A:$B,2,FALSE),"-")</f>
        <v>- / -</v>
      </c>
      <c r="M65" s="61" t="str">
        <f t="shared" si="125"/>
        <v>none</v>
      </c>
      <c r="N65" s="47" t="str">
        <f>IFERROR(LEFT(M65,FIND("],",M65)+#REF!),M65)</f>
        <v>none</v>
      </c>
      <c r="O65" s="61" t="e">
        <f t="shared" si="126"/>
        <v>#VALUE!</v>
      </c>
      <c r="P65" s="61">
        <f t="shared" si="127"/>
        <v>4</v>
      </c>
      <c r="Q65" s="61" t="e">
        <f t="shared" si="128"/>
        <v>#VALUE!</v>
      </c>
      <c r="R65" s="61" t="e">
        <f t="shared" si="129"/>
        <v>#VALUE!</v>
      </c>
      <c r="S65" s="61" t="str">
        <f>IFERROR(VLOOKUP(MID(N65,Q65,R65-Q65),[6]skilldef!$C:$D,2,FALSE),"-") &amp; " / " &amp; IFERROR(VLOOKUP(MID(N65,O65,P65-O65),[6]skilldef!$A:$B,2,FALSE),"-")</f>
        <v>- / -</v>
      </c>
      <c r="T65" s="47" t="str">
        <f t="shared" si="130"/>
        <v>none</v>
      </c>
      <c r="U65" s="61" t="e">
        <f t="shared" si="131"/>
        <v>#VALUE!</v>
      </c>
      <c r="V65" s="61">
        <f t="shared" si="132"/>
        <v>4</v>
      </c>
      <c r="W65" s="61" t="e">
        <f t="shared" si="133"/>
        <v>#VALUE!</v>
      </c>
      <c r="X65" s="61" t="e">
        <f t="shared" si="134"/>
        <v>#VALUE!</v>
      </c>
      <c r="Y65" s="61" t="str">
        <f>IFERROR(VLOOKUP(MID(T65,W65,X65-W65),[6]skilldef!$C:$D,2,FALSE),"-") &amp; " / " &amp; IFERROR(VLOOKUP(MID(T65,U65,V65-U65),[6]skilldef!$A:$B,2,FALSE),"-")</f>
        <v>- / -</v>
      </c>
      <c r="Z65" s="49"/>
      <c r="AA65" s="50"/>
      <c r="AB65" s="49" t="s">
        <v>326</v>
      </c>
    </row>
    <row r="66" spans="1:28" ht="21" customHeight="1" x14ac:dyDescent="0.15">
      <c r="A66" s="172">
        <v>48007187</v>
      </c>
      <c r="B66" s="172" t="s">
        <v>321</v>
      </c>
      <c r="C66" s="173">
        <v>3</v>
      </c>
      <c r="D66" s="166" t="s">
        <v>417</v>
      </c>
      <c r="E66" s="174" t="s">
        <v>285</v>
      </c>
      <c r="F66" s="174" t="s">
        <v>290</v>
      </c>
      <c r="G66" s="61" t="str">
        <f t="shared" ref="G66" si="165">IFERROR(LEFT(B66,FIND("],",B66)),B66)</f>
        <v>[effect:force_change_block, new_block:crack_bomb, target:block_all, ignore01:crash, ignore02:time_bomb, ignore03:jammer, ignore04:color_break, color:block_blue, count:5, val:12]</v>
      </c>
      <c r="H66" s="61">
        <f t="shared" ref="H66" si="166">FIND("effect:",G66)+7</f>
        <v>9</v>
      </c>
      <c r="I66" s="61">
        <f t="shared" ref="I66" si="167">IFERROR(FIND(",",G66),LEN(G66))</f>
        <v>27</v>
      </c>
      <c r="J66" s="61">
        <f t="shared" ref="J66" si="168">FIND("target:",G66)+7</f>
        <v>58</v>
      </c>
      <c r="K66" s="61">
        <f t="shared" ref="K66" si="169">FIND(",",G66,I66+1)</f>
        <v>49</v>
      </c>
      <c r="L66" s="61" t="str">
        <f>IFERROR(VLOOKUP(MID(G66,J66,K66-J66),[6]skilldef!$C:$D,2,FALSE),"-") &amp; " / " &amp; IFERROR(VLOOKUP(MID(G66,H66,I66-H66),[6]skilldef!$A:$B,2,FALSE),"-")</f>
        <v>- / -</v>
      </c>
      <c r="M66" s="61" t="str">
        <f t="shared" ref="M66" si="170">IFERROR(RIGHT(B66,LEN(B66)-FIND("],",B66)-1),"none")</f>
        <v>none</v>
      </c>
      <c r="N66" s="47" t="str">
        <f>IFERROR(LEFT(M66,FIND("],",M66)+#REF!),M66)</f>
        <v>none</v>
      </c>
      <c r="O66" s="61" t="e">
        <f t="shared" ref="O66" si="171">FIND("effect:",N66)+7</f>
        <v>#VALUE!</v>
      </c>
      <c r="P66" s="61">
        <f t="shared" ref="P66" si="172">IFERROR(FIND(",",N66),LEN(N66))</f>
        <v>4</v>
      </c>
      <c r="Q66" s="61" t="e">
        <f t="shared" ref="Q66" si="173">FIND("target:",N66)+7</f>
        <v>#VALUE!</v>
      </c>
      <c r="R66" s="61" t="e">
        <f t="shared" ref="R66" si="174">FIND(",",N66,P66+1)</f>
        <v>#VALUE!</v>
      </c>
      <c r="S66" s="61" t="str">
        <f>IFERROR(VLOOKUP(MID(N66,Q66,R66-Q66),[6]skilldef!$C:$D,2,FALSE),"-") &amp; " / " &amp; IFERROR(VLOOKUP(MID(N66,O66,P66-O66),[6]skilldef!$A:$B,2,FALSE),"-")</f>
        <v>- / -</v>
      </c>
      <c r="T66" s="47" t="str">
        <f t="shared" ref="T66" si="175">IFERROR(RIGHT(M66,LEN(M66)-FIND("],",M66)-1),"none")</f>
        <v>none</v>
      </c>
      <c r="U66" s="61" t="e">
        <f t="shared" ref="U66" si="176">FIND("effect:",T66)+7</f>
        <v>#VALUE!</v>
      </c>
      <c r="V66" s="61">
        <f t="shared" ref="V66" si="177">IFERROR(FIND(",",T66),LEN(T66))</f>
        <v>4</v>
      </c>
      <c r="W66" s="61" t="e">
        <f t="shared" ref="W66" si="178">FIND("target:",T66)+7</f>
        <v>#VALUE!</v>
      </c>
      <c r="X66" s="61" t="e">
        <f t="shared" ref="X66" si="179">FIND(",",T66,V66+1)</f>
        <v>#VALUE!</v>
      </c>
      <c r="Y66" s="61" t="str">
        <f>IFERROR(VLOOKUP(MID(T66,W66,X66-W66),[6]skilldef!$C:$D,2,FALSE),"-") &amp; " / " &amp; IFERROR(VLOOKUP(MID(T66,U66,V66-U66),[6]skilldef!$A:$B,2,FALSE),"-")</f>
        <v>- / -</v>
      </c>
      <c r="Z66" s="49"/>
      <c r="AA66" s="50"/>
      <c r="AB66" s="49" t="s">
        <v>327</v>
      </c>
    </row>
    <row r="67" spans="1:28" ht="21" customHeight="1" x14ac:dyDescent="0.15">
      <c r="A67" s="159">
        <v>48007188</v>
      </c>
      <c r="B67" s="159" t="s">
        <v>322</v>
      </c>
      <c r="C67" s="176">
        <v>3</v>
      </c>
      <c r="D67" s="166" t="s">
        <v>417</v>
      </c>
      <c r="E67" s="177" t="s">
        <v>285</v>
      </c>
      <c r="F67" s="177" t="s">
        <v>291</v>
      </c>
      <c r="G67" s="61" t="str">
        <f t="shared" si="120"/>
        <v>[effect:sp_boost, target:unit_all, val:1]</v>
      </c>
      <c r="H67" s="61">
        <f t="shared" si="121"/>
        <v>9</v>
      </c>
      <c r="I67" s="61">
        <f t="shared" si="122"/>
        <v>17</v>
      </c>
      <c r="J67" s="61">
        <f t="shared" si="123"/>
        <v>26</v>
      </c>
      <c r="K67" s="61">
        <f t="shared" si="124"/>
        <v>34</v>
      </c>
      <c r="L67" s="61" t="str">
        <f>IFERROR(VLOOKUP(MID(G67,J67,K67-J67),[6]skilldef!$C:$D,2,FALSE),"-") &amp; " / " &amp; IFERROR(VLOOKUP(MID(G67,H67,I67-H67),[6]skilldef!$A:$B,2,FALSE),"-")</f>
        <v>味方全体に / -</v>
      </c>
      <c r="M67" s="61" t="str">
        <f t="shared" si="125"/>
        <v>none</v>
      </c>
      <c r="N67" s="47" t="str">
        <f>IFERROR(LEFT(M67,FIND("],",M67)+S80),M67)</f>
        <v>none</v>
      </c>
      <c r="O67" s="61" t="e">
        <f t="shared" si="126"/>
        <v>#VALUE!</v>
      </c>
      <c r="P67" s="61">
        <f t="shared" si="127"/>
        <v>4</v>
      </c>
      <c r="Q67" s="61" t="e">
        <f t="shared" si="128"/>
        <v>#VALUE!</v>
      </c>
      <c r="R67" s="61" t="e">
        <f t="shared" si="129"/>
        <v>#VALUE!</v>
      </c>
      <c r="S67" s="61" t="str">
        <f>IFERROR(VLOOKUP(MID(N67,Q67,R67-Q67),[6]skilldef!$C:$D,2,FALSE),"-") &amp; " / " &amp; IFERROR(VLOOKUP(MID(N67,O67,P67-O67),[6]skilldef!$A:$B,2,FALSE),"-")</f>
        <v>- / -</v>
      </c>
      <c r="T67" s="47" t="str">
        <f t="shared" si="130"/>
        <v>none</v>
      </c>
      <c r="U67" s="61" t="e">
        <f t="shared" si="131"/>
        <v>#VALUE!</v>
      </c>
      <c r="V67" s="61">
        <f t="shared" si="132"/>
        <v>4</v>
      </c>
      <c r="W67" s="61" t="e">
        <f t="shared" si="133"/>
        <v>#VALUE!</v>
      </c>
      <c r="X67" s="61" t="e">
        <f t="shared" si="134"/>
        <v>#VALUE!</v>
      </c>
      <c r="Y67" s="61" t="str">
        <f>IFERROR(VLOOKUP(MID(T67,W67,X67-W67),[6]skilldef!$C:$D,2,FALSE),"-") &amp; " / " &amp; IFERROR(VLOOKUP(MID(T67,U67,V67-U67),[6]skilldef!$A:$B,2,FALSE),"-")</f>
        <v>- / -</v>
      </c>
      <c r="Z67" s="49"/>
      <c r="AA67" s="50"/>
      <c r="AB67" s="49" t="s">
        <v>326</v>
      </c>
    </row>
    <row r="68" spans="1:28" ht="21" customHeight="1" x14ac:dyDescent="0.15">
      <c r="A68" s="159">
        <v>48007189</v>
      </c>
      <c r="B68" s="159" t="s">
        <v>322</v>
      </c>
      <c r="C68" s="176">
        <v>3</v>
      </c>
      <c r="D68" s="166" t="s">
        <v>417</v>
      </c>
      <c r="E68" s="177" t="s">
        <v>285</v>
      </c>
      <c r="F68" s="177" t="s">
        <v>291</v>
      </c>
      <c r="G68" s="61" t="str">
        <f t="shared" ref="G68" si="180">IFERROR(LEFT(B68,FIND("],",B68)),B68)</f>
        <v>[effect:sp_boost, target:unit_all, val:1]</v>
      </c>
      <c r="H68" s="61">
        <f t="shared" ref="H68" si="181">FIND("effect:",G68)+7</f>
        <v>9</v>
      </c>
      <c r="I68" s="61">
        <f t="shared" ref="I68" si="182">IFERROR(FIND(",",G68),LEN(G68))</f>
        <v>17</v>
      </c>
      <c r="J68" s="61">
        <f t="shared" ref="J68" si="183">FIND("target:",G68)+7</f>
        <v>26</v>
      </c>
      <c r="K68" s="61">
        <f t="shared" ref="K68" si="184">FIND(",",G68,I68+1)</f>
        <v>34</v>
      </c>
      <c r="L68" s="61" t="str">
        <f>IFERROR(VLOOKUP(MID(G68,J68,K68-J68),[6]skilldef!$C:$D,2,FALSE),"-") &amp; " / " &amp; IFERROR(VLOOKUP(MID(G68,H68,I68-H68),[6]skilldef!$A:$B,2,FALSE),"-")</f>
        <v>味方全体に / -</v>
      </c>
      <c r="M68" s="61" t="str">
        <f t="shared" ref="M68" si="185">IFERROR(RIGHT(B68,LEN(B68)-FIND("],",B68)-1),"none")</f>
        <v>none</v>
      </c>
      <c r="N68" s="47" t="str">
        <f>IFERROR(LEFT(M68,FIND("],",M68)+S81),M68)</f>
        <v>none</v>
      </c>
      <c r="O68" s="61" t="e">
        <f t="shared" ref="O68" si="186">FIND("effect:",N68)+7</f>
        <v>#VALUE!</v>
      </c>
      <c r="P68" s="61">
        <f t="shared" ref="P68" si="187">IFERROR(FIND(",",N68),LEN(N68))</f>
        <v>4</v>
      </c>
      <c r="Q68" s="61" t="e">
        <f t="shared" ref="Q68" si="188">FIND("target:",N68)+7</f>
        <v>#VALUE!</v>
      </c>
      <c r="R68" s="61" t="e">
        <f t="shared" ref="R68" si="189">FIND(",",N68,P68+1)</f>
        <v>#VALUE!</v>
      </c>
      <c r="S68" s="61" t="str">
        <f>IFERROR(VLOOKUP(MID(N68,Q68,R68-Q68),[6]skilldef!$C:$D,2,FALSE),"-") &amp; " / " &amp; IFERROR(VLOOKUP(MID(N68,O68,P68-O68),[6]skilldef!$A:$B,2,FALSE),"-")</f>
        <v>- / -</v>
      </c>
      <c r="T68" s="47" t="str">
        <f t="shared" ref="T68" si="190">IFERROR(RIGHT(M68,LEN(M68)-FIND("],",M68)-1),"none")</f>
        <v>none</v>
      </c>
      <c r="U68" s="61" t="e">
        <f t="shared" ref="U68" si="191">FIND("effect:",T68)+7</f>
        <v>#VALUE!</v>
      </c>
      <c r="V68" s="61">
        <f t="shared" ref="V68" si="192">IFERROR(FIND(",",T68),LEN(T68))</f>
        <v>4</v>
      </c>
      <c r="W68" s="61" t="e">
        <f t="shared" ref="W68" si="193">FIND("target:",T68)+7</f>
        <v>#VALUE!</v>
      </c>
      <c r="X68" s="61" t="e">
        <f t="shared" ref="X68" si="194">FIND(",",T68,V68+1)</f>
        <v>#VALUE!</v>
      </c>
      <c r="Y68" s="61" t="str">
        <f>IFERROR(VLOOKUP(MID(T68,W68,X68-W68),[6]skilldef!$C:$D,2,FALSE),"-") &amp; " / " &amp; IFERROR(VLOOKUP(MID(T68,U68,V68-U68),[6]skilldef!$A:$B,2,FALSE),"-")</f>
        <v>- / -</v>
      </c>
      <c r="Z68" s="49"/>
      <c r="AA68" s="50"/>
      <c r="AB68" s="49" t="s">
        <v>327</v>
      </c>
    </row>
    <row r="69" spans="1:28" ht="21" customHeight="1" x14ac:dyDescent="0.15">
      <c r="A69" s="178">
        <v>48007190</v>
      </c>
      <c r="B69" s="178" t="s">
        <v>323</v>
      </c>
      <c r="C69" s="179">
        <v>3</v>
      </c>
      <c r="D69" s="166" t="s">
        <v>417</v>
      </c>
      <c r="E69" s="180" t="s">
        <v>285</v>
      </c>
      <c r="F69" s="180" t="s">
        <v>292</v>
      </c>
      <c r="G69" s="61" t="str">
        <f t="shared" si="120"/>
        <v>[effect:force_change_block, new_block:block_heart, target:jammer, count:0, val:0]</v>
      </c>
      <c r="H69" s="61">
        <f t="shared" si="121"/>
        <v>9</v>
      </c>
      <c r="I69" s="61">
        <f t="shared" si="122"/>
        <v>27</v>
      </c>
      <c r="J69" s="61">
        <f t="shared" si="123"/>
        <v>59</v>
      </c>
      <c r="K69" s="61">
        <f t="shared" si="124"/>
        <v>50</v>
      </c>
      <c r="L69" s="61" t="str">
        <f>IFERROR(VLOOKUP(MID(G69,J69,K69-J69),[6]skilldef!$C:$D,2,FALSE),"-") &amp; " / " &amp; IFERROR(VLOOKUP(MID(G69,H69,I69-H69),[6]skilldef!$A:$B,2,FALSE),"-")</f>
        <v>- / -</v>
      </c>
      <c r="M69" s="61" t="str">
        <f t="shared" si="125"/>
        <v>none</v>
      </c>
      <c r="N69" s="47" t="str">
        <f>IFERROR(LEFT(M69,FIND("],",M69)+S81),M69)</f>
        <v>none</v>
      </c>
      <c r="O69" s="61" t="e">
        <f t="shared" si="126"/>
        <v>#VALUE!</v>
      </c>
      <c r="P69" s="61">
        <f t="shared" si="127"/>
        <v>4</v>
      </c>
      <c r="Q69" s="61" t="e">
        <f t="shared" si="128"/>
        <v>#VALUE!</v>
      </c>
      <c r="R69" s="61" t="e">
        <f t="shared" si="129"/>
        <v>#VALUE!</v>
      </c>
      <c r="S69" s="61" t="str">
        <f>IFERROR(VLOOKUP(MID(N69,Q69,R69-Q69),[6]skilldef!$C:$D,2,FALSE),"-") &amp; " / " &amp; IFERROR(VLOOKUP(MID(N69,O69,P69-O69),[6]skilldef!$A:$B,2,FALSE),"-")</f>
        <v>- / -</v>
      </c>
      <c r="T69" s="47" t="str">
        <f t="shared" si="130"/>
        <v>none</v>
      </c>
      <c r="U69" s="61" t="e">
        <f t="shared" si="131"/>
        <v>#VALUE!</v>
      </c>
      <c r="V69" s="61">
        <f t="shared" si="132"/>
        <v>4</v>
      </c>
      <c r="W69" s="61" t="e">
        <f t="shared" si="133"/>
        <v>#VALUE!</v>
      </c>
      <c r="X69" s="61" t="e">
        <f t="shared" si="134"/>
        <v>#VALUE!</v>
      </c>
      <c r="Y69" s="61" t="str">
        <f>IFERROR(VLOOKUP(MID(T69,W69,X69-W69),[6]skilldef!$C:$D,2,FALSE),"-") &amp; " / " &amp; IFERROR(VLOOKUP(MID(T69,U69,V69-U69),[6]skilldef!$A:$B,2,FALSE),"-")</f>
        <v>- / -</v>
      </c>
      <c r="Z69" s="49"/>
      <c r="AA69" s="50"/>
      <c r="AB69" s="49" t="s">
        <v>326</v>
      </c>
    </row>
    <row r="70" spans="1:28" ht="21" customHeight="1" x14ac:dyDescent="0.15">
      <c r="A70" s="178">
        <v>48007191</v>
      </c>
      <c r="B70" s="178" t="s">
        <v>323</v>
      </c>
      <c r="C70" s="179">
        <v>3</v>
      </c>
      <c r="D70" s="166" t="s">
        <v>417</v>
      </c>
      <c r="E70" s="180" t="s">
        <v>285</v>
      </c>
      <c r="F70" s="180" t="s">
        <v>292</v>
      </c>
      <c r="G70" s="61" t="str">
        <f t="shared" ref="G70" si="195">IFERROR(LEFT(B70,FIND("],",B70)),B70)</f>
        <v>[effect:force_change_block, new_block:block_heart, target:jammer, count:0, val:0]</v>
      </c>
      <c r="H70" s="61">
        <f t="shared" ref="H70" si="196">FIND("effect:",G70)+7</f>
        <v>9</v>
      </c>
      <c r="I70" s="61">
        <f t="shared" ref="I70" si="197">IFERROR(FIND(",",G70),LEN(G70))</f>
        <v>27</v>
      </c>
      <c r="J70" s="61">
        <f t="shared" ref="J70" si="198">FIND("target:",G70)+7</f>
        <v>59</v>
      </c>
      <c r="K70" s="61">
        <f t="shared" ref="K70" si="199">FIND(",",G70,I70+1)</f>
        <v>50</v>
      </c>
      <c r="L70" s="61" t="str">
        <f>IFERROR(VLOOKUP(MID(G70,J70,K70-J70),[6]skilldef!$C:$D,2,FALSE),"-") &amp; " / " &amp; IFERROR(VLOOKUP(MID(G70,H70,I70-H70),[6]skilldef!$A:$B,2,FALSE),"-")</f>
        <v>- / -</v>
      </c>
      <c r="M70" s="61" t="str">
        <f t="shared" ref="M70" si="200">IFERROR(RIGHT(B70,LEN(B70)-FIND("],",B70)-1),"none")</f>
        <v>none</v>
      </c>
      <c r="N70" s="47" t="str">
        <f>IFERROR(LEFT(M70,FIND("],",M70)+S82),M70)</f>
        <v>none</v>
      </c>
      <c r="O70" s="61" t="e">
        <f t="shared" ref="O70" si="201">FIND("effect:",N70)+7</f>
        <v>#VALUE!</v>
      </c>
      <c r="P70" s="61">
        <f t="shared" ref="P70" si="202">IFERROR(FIND(",",N70),LEN(N70))</f>
        <v>4</v>
      </c>
      <c r="Q70" s="61" t="e">
        <f t="shared" ref="Q70" si="203">FIND("target:",N70)+7</f>
        <v>#VALUE!</v>
      </c>
      <c r="R70" s="61" t="e">
        <f t="shared" ref="R70" si="204">FIND(",",N70,P70+1)</f>
        <v>#VALUE!</v>
      </c>
      <c r="S70" s="61" t="str">
        <f>IFERROR(VLOOKUP(MID(N70,Q70,R70-Q70),[6]skilldef!$C:$D,2,FALSE),"-") &amp; " / " &amp; IFERROR(VLOOKUP(MID(N70,O70,P70-O70),[6]skilldef!$A:$B,2,FALSE),"-")</f>
        <v>- / -</v>
      </c>
      <c r="T70" s="47" t="str">
        <f t="shared" ref="T70" si="205">IFERROR(RIGHT(M70,LEN(M70)-FIND("],",M70)-1),"none")</f>
        <v>none</v>
      </c>
      <c r="U70" s="61" t="e">
        <f t="shared" ref="U70" si="206">FIND("effect:",T70)+7</f>
        <v>#VALUE!</v>
      </c>
      <c r="V70" s="61">
        <f t="shared" ref="V70" si="207">IFERROR(FIND(",",T70),LEN(T70))</f>
        <v>4</v>
      </c>
      <c r="W70" s="61" t="e">
        <f t="shared" ref="W70" si="208">FIND("target:",T70)+7</f>
        <v>#VALUE!</v>
      </c>
      <c r="X70" s="61" t="e">
        <f t="shared" ref="X70" si="209">FIND(",",T70,V70+1)</f>
        <v>#VALUE!</v>
      </c>
      <c r="Y70" s="61" t="str">
        <f>IFERROR(VLOOKUP(MID(T70,W70,X70-W70),[6]skilldef!$C:$D,2,FALSE),"-") &amp; " / " &amp; IFERROR(VLOOKUP(MID(T70,U70,V70-U70),[6]skilldef!$A:$B,2,FALSE),"-")</f>
        <v>- / -</v>
      </c>
      <c r="Z70" s="49"/>
      <c r="AA70" s="50"/>
      <c r="AB70" s="49" t="s">
        <v>327</v>
      </c>
    </row>
    <row r="71" spans="1:28" ht="21" customHeight="1" x14ac:dyDescent="0.15">
      <c r="A71" s="162">
        <v>48007192</v>
      </c>
      <c r="B71" s="162" t="s">
        <v>286</v>
      </c>
      <c r="C71" s="166">
        <v>3</v>
      </c>
      <c r="D71" s="166" t="s">
        <v>417</v>
      </c>
      <c r="E71" s="167" t="s">
        <v>287</v>
      </c>
      <c r="F71" s="167" t="s">
        <v>258</v>
      </c>
      <c r="G71" s="61" t="str">
        <f t="shared" ref="G71:G79" si="210">IFERROR(LEFT(B71,FIND("],",B71)),B71)</f>
        <v>[effect:enemy_message, val1:1.2, val2:0]</v>
      </c>
      <c r="H71" s="61">
        <f t="shared" ref="H71:H79" si="211">FIND("effect:",G71)+7</f>
        <v>9</v>
      </c>
      <c r="I71" s="61">
        <f t="shared" ref="I71:I79" si="212">IFERROR(FIND(",",G71),LEN(G71))</f>
        <v>22</v>
      </c>
      <c r="J71" s="61" t="e">
        <f t="shared" ref="J71:J79" si="213">FIND("target:",G71)+7</f>
        <v>#VALUE!</v>
      </c>
      <c r="K71" s="61">
        <f t="shared" ref="K71:K79" si="214">FIND(",",G71,I71+1)</f>
        <v>32</v>
      </c>
      <c r="L71" s="61" t="str">
        <f>IFERROR(VLOOKUP(MID(G71,J71,K71-J71),[6]skilldef!$C:$D,2,FALSE),"-") &amp; " / " &amp; IFERROR(VLOOKUP(MID(G71,H71,I71-H71),[6]skilldef!$A:$B,2,FALSE),"-")</f>
        <v>- / -</v>
      </c>
      <c r="M71" s="61" t="str">
        <f t="shared" ref="M71:M79" si="215">IFERROR(RIGHT(B71,LEN(B71)-FIND("],",B71)-1),"none")</f>
        <v>none</v>
      </c>
      <c r="N71" s="47" t="str">
        <f>IFERROR(LEFT(M71,FIND("],",M71)+S82),M71)</f>
        <v>none</v>
      </c>
      <c r="O71" s="61" t="e">
        <f t="shared" ref="O71:O79" si="216">FIND("effect:",N71)+7</f>
        <v>#VALUE!</v>
      </c>
      <c r="P71" s="61">
        <f t="shared" ref="P71:P79" si="217">IFERROR(FIND(",",N71),LEN(N71))</f>
        <v>4</v>
      </c>
      <c r="Q71" s="61" t="e">
        <f t="shared" ref="Q71:Q79" si="218">FIND("target:",N71)+7</f>
        <v>#VALUE!</v>
      </c>
      <c r="R71" s="61" t="e">
        <f t="shared" ref="R71:R79" si="219">FIND(",",N71,P71+1)</f>
        <v>#VALUE!</v>
      </c>
      <c r="S71" s="61" t="str">
        <f>IFERROR(VLOOKUP(MID(N71,Q71,R71-Q71),[6]skilldef!$C:$D,2,FALSE),"-") &amp; " / " &amp; IFERROR(VLOOKUP(MID(N71,O71,P71-O71),[6]skilldef!$A:$B,2,FALSE),"-")</f>
        <v>- / -</v>
      </c>
      <c r="T71" s="47" t="str">
        <f t="shared" ref="T71:T79" si="220">IFERROR(RIGHT(M71,LEN(M71)-FIND("],",M71)-1),"none")</f>
        <v>none</v>
      </c>
      <c r="U71" s="61" t="e">
        <f t="shared" ref="U71:U79" si="221">FIND("effect:",T71)+7</f>
        <v>#VALUE!</v>
      </c>
      <c r="V71" s="61">
        <f t="shared" ref="V71:V79" si="222">IFERROR(FIND(",",T71),LEN(T71))</f>
        <v>4</v>
      </c>
      <c r="W71" s="61" t="e">
        <f t="shared" ref="W71:W79" si="223">FIND("target:",T71)+7</f>
        <v>#VALUE!</v>
      </c>
      <c r="X71" s="61" t="e">
        <f t="shared" ref="X71:X79" si="224">FIND(",",T71,V71+1)</f>
        <v>#VALUE!</v>
      </c>
      <c r="Y71" s="61" t="str">
        <f>IFERROR(VLOOKUP(MID(T71,W71,X71-W71),[6]skilldef!$C:$D,2,FALSE),"-") &amp; " / " &amp; IFERROR(VLOOKUP(MID(T71,U71,V71-U71),[6]skilldef!$A:$B,2,FALSE),"-")</f>
        <v>- / -</v>
      </c>
      <c r="Z71" s="49"/>
      <c r="AA71" s="50"/>
      <c r="AB71" s="49" t="s">
        <v>326</v>
      </c>
    </row>
    <row r="72" spans="1:28" ht="21" customHeight="1" x14ac:dyDescent="0.15">
      <c r="A72" s="162">
        <v>48007193</v>
      </c>
      <c r="B72" s="162" t="s">
        <v>286</v>
      </c>
      <c r="C72" s="166">
        <v>3</v>
      </c>
      <c r="D72" s="166" t="s">
        <v>417</v>
      </c>
      <c r="E72" s="167" t="s">
        <v>287</v>
      </c>
      <c r="F72" s="167" t="s">
        <v>258</v>
      </c>
      <c r="G72" s="61" t="str">
        <f t="shared" ref="G72" si="225">IFERROR(LEFT(B72,FIND("],",B72)),B72)</f>
        <v>[effect:enemy_message, val1:1.2, val2:0]</v>
      </c>
      <c r="H72" s="61">
        <f t="shared" ref="H72" si="226">FIND("effect:",G72)+7</f>
        <v>9</v>
      </c>
      <c r="I72" s="61">
        <f t="shared" ref="I72" si="227">IFERROR(FIND(",",G72),LEN(G72))</f>
        <v>22</v>
      </c>
      <c r="J72" s="61" t="e">
        <f t="shared" ref="J72" si="228">FIND("target:",G72)+7</f>
        <v>#VALUE!</v>
      </c>
      <c r="K72" s="61">
        <f t="shared" ref="K72" si="229">FIND(",",G72,I72+1)</f>
        <v>32</v>
      </c>
      <c r="L72" s="61" t="str">
        <f>IFERROR(VLOOKUP(MID(G72,J72,K72-J72),[6]skilldef!$C:$D,2,FALSE),"-") &amp; " / " &amp; IFERROR(VLOOKUP(MID(G72,H72,I72-H72),[6]skilldef!$A:$B,2,FALSE),"-")</f>
        <v>- / -</v>
      </c>
      <c r="M72" s="61" t="str">
        <f t="shared" ref="M72" si="230">IFERROR(RIGHT(B72,LEN(B72)-FIND("],",B72)-1),"none")</f>
        <v>none</v>
      </c>
      <c r="N72" s="47" t="str">
        <f>IFERROR(LEFT(M72,FIND("],",M72)+S83),M72)</f>
        <v>none</v>
      </c>
      <c r="O72" s="61" t="e">
        <f t="shared" ref="O72" si="231">FIND("effect:",N72)+7</f>
        <v>#VALUE!</v>
      </c>
      <c r="P72" s="61">
        <f t="shared" ref="P72" si="232">IFERROR(FIND(",",N72),LEN(N72))</f>
        <v>4</v>
      </c>
      <c r="Q72" s="61" t="e">
        <f t="shared" ref="Q72" si="233">FIND("target:",N72)+7</f>
        <v>#VALUE!</v>
      </c>
      <c r="R72" s="61" t="e">
        <f t="shared" ref="R72" si="234">FIND(",",N72,P72+1)</f>
        <v>#VALUE!</v>
      </c>
      <c r="S72" s="61" t="str">
        <f>IFERROR(VLOOKUP(MID(N72,Q72,R72-Q72),[6]skilldef!$C:$D,2,FALSE),"-") &amp; " / " &amp; IFERROR(VLOOKUP(MID(N72,O72,P72-O72),[6]skilldef!$A:$B,2,FALSE),"-")</f>
        <v>- / -</v>
      </c>
      <c r="T72" s="47" t="str">
        <f t="shared" ref="T72" si="235">IFERROR(RIGHT(M72,LEN(M72)-FIND("],",M72)-1),"none")</f>
        <v>none</v>
      </c>
      <c r="U72" s="61" t="e">
        <f t="shared" ref="U72" si="236">FIND("effect:",T72)+7</f>
        <v>#VALUE!</v>
      </c>
      <c r="V72" s="61">
        <f t="shared" ref="V72" si="237">IFERROR(FIND(",",T72),LEN(T72))</f>
        <v>4</v>
      </c>
      <c r="W72" s="61" t="e">
        <f t="shared" ref="W72" si="238">FIND("target:",T72)+7</f>
        <v>#VALUE!</v>
      </c>
      <c r="X72" s="61" t="e">
        <f t="shared" ref="X72" si="239">FIND(",",T72,V72+1)</f>
        <v>#VALUE!</v>
      </c>
      <c r="Y72" s="61" t="str">
        <f>IFERROR(VLOOKUP(MID(T72,W72,X72-W72),[6]skilldef!$C:$D,2,FALSE),"-") &amp; " / " &amp; IFERROR(VLOOKUP(MID(T72,U72,V72-U72),[6]skilldef!$A:$B,2,FALSE),"-")</f>
        <v>- / -</v>
      </c>
      <c r="Z72" s="49"/>
      <c r="AA72" s="50"/>
      <c r="AB72" s="49" t="s">
        <v>327</v>
      </c>
    </row>
    <row r="73" spans="1:28" ht="21" customHeight="1" x14ac:dyDescent="0.15">
      <c r="A73" s="162">
        <v>48007194</v>
      </c>
      <c r="B73" s="162" t="s">
        <v>324</v>
      </c>
      <c r="C73" s="166">
        <v>3</v>
      </c>
      <c r="D73" s="166" t="s">
        <v>417</v>
      </c>
      <c r="E73" s="167" t="s">
        <v>293</v>
      </c>
      <c r="F73" s="167" t="s">
        <v>295</v>
      </c>
      <c r="G73" s="61" t="str">
        <f t="shared" si="210"/>
        <v>[effect:force_change_block, new_block:block_heart, target:block_all, ignore01:crash, ignore02:crack_bomb, ignore03:time_bomb, ignore04:jammer, count:5, val:0]</v>
      </c>
      <c r="H73" s="61">
        <f t="shared" si="211"/>
        <v>9</v>
      </c>
      <c r="I73" s="61">
        <f t="shared" si="212"/>
        <v>27</v>
      </c>
      <c r="J73" s="61">
        <f t="shared" si="213"/>
        <v>59</v>
      </c>
      <c r="K73" s="61">
        <f t="shared" si="214"/>
        <v>50</v>
      </c>
      <c r="L73" s="61" t="str">
        <f>IFERROR(VLOOKUP(MID(G73,J73,K73-J73),[6]skilldef!$C:$D,2,FALSE),"-") &amp; " / " &amp; IFERROR(VLOOKUP(MID(G73,H73,I73-H73),[6]skilldef!$A:$B,2,FALSE),"-")</f>
        <v>- / -</v>
      </c>
      <c r="M73" s="61" t="str">
        <f t="shared" si="215"/>
        <v>[effect:damage_fix_absolute, target:unit_one, val:1]</v>
      </c>
      <c r="N73" s="47" t="str">
        <f>IFERROR(LEFT(M73,FIND("],",M73)+S83),M73)</f>
        <v>[effect:damage_fix_absolute, target:unit_one, val:1]</v>
      </c>
      <c r="O73" s="61">
        <f t="shared" si="216"/>
        <v>9</v>
      </c>
      <c r="P73" s="61">
        <f t="shared" si="217"/>
        <v>28</v>
      </c>
      <c r="Q73" s="61">
        <f t="shared" si="218"/>
        <v>37</v>
      </c>
      <c r="R73" s="61">
        <f t="shared" si="219"/>
        <v>45</v>
      </c>
      <c r="S73" s="61" t="str">
        <f>IFERROR(VLOOKUP(MID(N73,Q73,R73-Q73),[6]skilldef!$C:$D,2,FALSE),"-") &amp; " / " &amp; IFERROR(VLOOKUP(MID(N73,O73,P73-O73),[6]skilldef!$A:$B,2,FALSE),"-")</f>
        <v>味方単体に / -</v>
      </c>
      <c r="T73" s="47" t="str">
        <f t="shared" si="220"/>
        <v>none</v>
      </c>
      <c r="U73" s="61" t="e">
        <f t="shared" si="221"/>
        <v>#VALUE!</v>
      </c>
      <c r="V73" s="61">
        <f t="shared" si="222"/>
        <v>4</v>
      </c>
      <c r="W73" s="61" t="e">
        <f t="shared" si="223"/>
        <v>#VALUE!</v>
      </c>
      <c r="X73" s="61" t="e">
        <f t="shared" si="224"/>
        <v>#VALUE!</v>
      </c>
      <c r="Y73" s="61" t="str">
        <f>IFERROR(VLOOKUP(MID(T73,W73,X73-W73),[6]skilldef!$C:$D,2,FALSE),"-") &amp; " / " &amp; IFERROR(VLOOKUP(MID(T73,U73,V73-U73),[6]skilldef!$A:$B,2,FALSE),"-")</f>
        <v>- / -</v>
      </c>
      <c r="Z73" s="49"/>
      <c r="AA73" s="50"/>
      <c r="AB73" s="49" t="s">
        <v>326</v>
      </c>
    </row>
    <row r="74" spans="1:28" ht="21" customHeight="1" x14ac:dyDescent="0.15">
      <c r="A74" s="162">
        <v>48007195</v>
      </c>
      <c r="B74" s="162" t="s">
        <v>324</v>
      </c>
      <c r="C74" s="166">
        <v>3</v>
      </c>
      <c r="D74" s="166" t="s">
        <v>417</v>
      </c>
      <c r="E74" s="167" t="s">
        <v>293</v>
      </c>
      <c r="F74" s="167" t="s">
        <v>295</v>
      </c>
      <c r="G74" s="61" t="str">
        <f t="shared" ref="G74" si="240">IFERROR(LEFT(B74,FIND("],",B74)),B74)</f>
        <v>[effect:force_change_block, new_block:block_heart, target:block_all, ignore01:crash, ignore02:crack_bomb, ignore03:time_bomb, ignore04:jammer, count:5, val:0]</v>
      </c>
      <c r="H74" s="61">
        <f t="shared" ref="H74" si="241">FIND("effect:",G74)+7</f>
        <v>9</v>
      </c>
      <c r="I74" s="61">
        <f t="shared" ref="I74" si="242">IFERROR(FIND(",",G74),LEN(G74))</f>
        <v>27</v>
      </c>
      <c r="J74" s="61">
        <f t="shared" ref="J74" si="243">FIND("target:",G74)+7</f>
        <v>59</v>
      </c>
      <c r="K74" s="61">
        <f t="shared" ref="K74" si="244">FIND(",",G74,I74+1)</f>
        <v>50</v>
      </c>
      <c r="L74" s="61" t="str">
        <f>IFERROR(VLOOKUP(MID(G74,J74,K74-J74),[6]skilldef!$C:$D,2,FALSE),"-") &amp; " / " &amp; IFERROR(VLOOKUP(MID(G74,H74,I74-H74),[6]skilldef!$A:$B,2,FALSE),"-")</f>
        <v>- / -</v>
      </c>
      <c r="M74" s="61" t="str">
        <f t="shared" ref="M74" si="245">IFERROR(RIGHT(B74,LEN(B74)-FIND("],",B74)-1),"none")</f>
        <v>[effect:damage_fix_absolute, target:unit_one, val:1]</v>
      </c>
      <c r="N74" s="47" t="str">
        <f>IFERROR(LEFT(M74,FIND("],",M74)+S84),M74)</f>
        <v>[effect:damage_fix_absolute, target:unit_one, val:1]</v>
      </c>
      <c r="O74" s="61">
        <f t="shared" ref="O74" si="246">FIND("effect:",N74)+7</f>
        <v>9</v>
      </c>
      <c r="P74" s="61">
        <f t="shared" ref="P74" si="247">IFERROR(FIND(",",N74),LEN(N74))</f>
        <v>28</v>
      </c>
      <c r="Q74" s="61">
        <f t="shared" ref="Q74" si="248">FIND("target:",N74)+7</f>
        <v>37</v>
      </c>
      <c r="R74" s="61">
        <f t="shared" ref="R74" si="249">FIND(",",N74,P74+1)</f>
        <v>45</v>
      </c>
      <c r="S74" s="61" t="str">
        <f>IFERROR(VLOOKUP(MID(N74,Q74,R74-Q74),[6]skilldef!$C:$D,2,FALSE),"-") &amp; " / " &amp; IFERROR(VLOOKUP(MID(N74,O74,P74-O74),[6]skilldef!$A:$B,2,FALSE),"-")</f>
        <v>味方単体に / -</v>
      </c>
      <c r="T74" s="47" t="str">
        <f t="shared" ref="T74" si="250">IFERROR(RIGHT(M74,LEN(M74)-FIND("],",M74)-1),"none")</f>
        <v>none</v>
      </c>
      <c r="U74" s="61" t="e">
        <f t="shared" ref="U74" si="251">FIND("effect:",T74)+7</f>
        <v>#VALUE!</v>
      </c>
      <c r="V74" s="61">
        <f t="shared" ref="V74" si="252">IFERROR(FIND(",",T74),LEN(T74))</f>
        <v>4</v>
      </c>
      <c r="W74" s="61" t="e">
        <f t="shared" ref="W74" si="253">FIND("target:",T74)+7</f>
        <v>#VALUE!</v>
      </c>
      <c r="X74" s="61" t="e">
        <f t="shared" ref="X74" si="254">FIND(",",T74,V74+1)</f>
        <v>#VALUE!</v>
      </c>
      <c r="Y74" s="61" t="str">
        <f>IFERROR(VLOOKUP(MID(T74,W74,X74-W74),[6]skilldef!$C:$D,2,FALSE),"-") &amp; " / " &amp; IFERROR(VLOOKUP(MID(T74,U74,V74-U74),[6]skilldef!$A:$B,2,FALSE),"-")</f>
        <v>- / -</v>
      </c>
      <c r="Z74" s="49"/>
      <c r="AA74" s="50"/>
      <c r="AB74" s="49" t="s">
        <v>327</v>
      </c>
    </row>
    <row r="75" spans="1:28" ht="21" customHeight="1" x14ac:dyDescent="0.15">
      <c r="A75" s="162">
        <v>48007196</v>
      </c>
      <c r="B75" s="162" t="s">
        <v>325</v>
      </c>
      <c r="C75" s="166">
        <v>3</v>
      </c>
      <c r="D75" s="166" t="s">
        <v>417</v>
      </c>
      <c r="E75" s="167" t="s">
        <v>294</v>
      </c>
      <c r="F75" s="167" t="s">
        <v>296</v>
      </c>
      <c r="G75" s="61" t="str">
        <f t="shared" si="210"/>
        <v>[effect:break_heal_ratio, target:myself, val:0, lowest_val:0, count:-1, block01:block_blue]</v>
      </c>
      <c r="H75" s="61">
        <f t="shared" si="211"/>
        <v>9</v>
      </c>
      <c r="I75" s="61">
        <f t="shared" si="212"/>
        <v>25</v>
      </c>
      <c r="J75" s="61">
        <f t="shared" si="213"/>
        <v>34</v>
      </c>
      <c r="K75" s="61">
        <f t="shared" si="214"/>
        <v>40</v>
      </c>
      <c r="L75" s="61" t="str">
        <f>IFERROR(VLOOKUP(MID(G75,J75,K75-J75),[6]skilldef!$C:$D,2,FALSE),"-") &amp; " / " &amp; IFERROR(VLOOKUP(MID(G75,H75,I75-H75),[6]skilldef!$A:$B,2,FALSE),"-")</f>
        <v>自分自身に / -</v>
      </c>
      <c r="M75" s="61" t="str">
        <f t="shared" si="215"/>
        <v>none</v>
      </c>
      <c r="N75" s="47" t="str">
        <f>IFERROR(LEFT(M75,FIND("],",M75)+S84),M75)</f>
        <v>none</v>
      </c>
      <c r="O75" s="61" t="e">
        <f t="shared" si="216"/>
        <v>#VALUE!</v>
      </c>
      <c r="P75" s="61">
        <f t="shared" si="217"/>
        <v>4</v>
      </c>
      <c r="Q75" s="61" t="e">
        <f t="shared" si="218"/>
        <v>#VALUE!</v>
      </c>
      <c r="R75" s="61" t="e">
        <f t="shared" si="219"/>
        <v>#VALUE!</v>
      </c>
      <c r="S75" s="61" t="str">
        <f>IFERROR(VLOOKUP(MID(N75,Q75,R75-Q75),[6]skilldef!$C:$D,2,FALSE),"-") &amp; " / " &amp; IFERROR(VLOOKUP(MID(N75,O75,P75-O75),[6]skilldef!$A:$B,2,FALSE),"-")</f>
        <v>- / -</v>
      </c>
      <c r="T75" s="47" t="str">
        <f t="shared" si="220"/>
        <v>none</v>
      </c>
      <c r="U75" s="61" t="e">
        <f t="shared" si="221"/>
        <v>#VALUE!</v>
      </c>
      <c r="V75" s="61">
        <f t="shared" si="222"/>
        <v>4</v>
      </c>
      <c r="W75" s="61" t="e">
        <f t="shared" si="223"/>
        <v>#VALUE!</v>
      </c>
      <c r="X75" s="61" t="e">
        <f t="shared" si="224"/>
        <v>#VALUE!</v>
      </c>
      <c r="Y75" s="61" t="str">
        <f>IFERROR(VLOOKUP(MID(T75,W75,X75-W75),[6]skilldef!$C:$D,2,FALSE),"-") &amp; " / " &amp; IFERROR(VLOOKUP(MID(T75,U75,V75-U75),[6]skilldef!$A:$B,2,FALSE),"-")</f>
        <v>- / -</v>
      </c>
      <c r="Z75" s="49"/>
      <c r="AA75" s="50"/>
      <c r="AB75" s="49" t="s">
        <v>326</v>
      </c>
    </row>
    <row r="76" spans="1:28" ht="21" customHeight="1" x14ac:dyDescent="0.15">
      <c r="A76" s="162">
        <v>48007197</v>
      </c>
      <c r="B76" s="162" t="s">
        <v>325</v>
      </c>
      <c r="C76" s="166">
        <v>3</v>
      </c>
      <c r="D76" s="166" t="s">
        <v>417</v>
      </c>
      <c r="E76" s="167" t="s">
        <v>294</v>
      </c>
      <c r="F76" s="167" t="s">
        <v>296</v>
      </c>
      <c r="G76" s="61" t="str">
        <f t="shared" ref="G76" si="255">IFERROR(LEFT(B76,FIND("],",B76)),B76)</f>
        <v>[effect:break_heal_ratio, target:myself, val:0, lowest_val:0, count:-1, block01:block_blue]</v>
      </c>
      <c r="H76" s="61">
        <f t="shared" ref="H76" si="256">FIND("effect:",G76)+7</f>
        <v>9</v>
      </c>
      <c r="I76" s="61">
        <f t="shared" ref="I76" si="257">IFERROR(FIND(",",G76),LEN(G76))</f>
        <v>25</v>
      </c>
      <c r="J76" s="61">
        <f t="shared" ref="J76" si="258">FIND("target:",G76)+7</f>
        <v>34</v>
      </c>
      <c r="K76" s="61">
        <f t="shared" ref="K76" si="259">FIND(",",G76,I76+1)</f>
        <v>40</v>
      </c>
      <c r="L76" s="61" t="str">
        <f>IFERROR(VLOOKUP(MID(G76,J76,K76-J76),[6]skilldef!$C:$D,2,FALSE),"-") &amp; " / " &amp; IFERROR(VLOOKUP(MID(G76,H76,I76-H76),[6]skilldef!$A:$B,2,FALSE),"-")</f>
        <v>自分自身に / -</v>
      </c>
      <c r="M76" s="61" t="str">
        <f t="shared" ref="M76" si="260">IFERROR(RIGHT(B76,LEN(B76)-FIND("],",B76)-1),"none")</f>
        <v>none</v>
      </c>
      <c r="N76" s="47" t="str">
        <f>IFERROR(LEFT(M76,FIND("],",M76)+S85),M76)</f>
        <v>none</v>
      </c>
      <c r="O76" s="61" t="e">
        <f t="shared" ref="O76" si="261">FIND("effect:",N76)+7</f>
        <v>#VALUE!</v>
      </c>
      <c r="P76" s="61">
        <f t="shared" ref="P76" si="262">IFERROR(FIND(",",N76),LEN(N76))</f>
        <v>4</v>
      </c>
      <c r="Q76" s="61" t="e">
        <f t="shared" ref="Q76" si="263">FIND("target:",N76)+7</f>
        <v>#VALUE!</v>
      </c>
      <c r="R76" s="61" t="e">
        <f t="shared" ref="R76" si="264">FIND(",",N76,P76+1)</f>
        <v>#VALUE!</v>
      </c>
      <c r="S76" s="61" t="str">
        <f>IFERROR(VLOOKUP(MID(N76,Q76,R76-Q76),[6]skilldef!$C:$D,2,FALSE),"-") &amp; " / " &amp; IFERROR(VLOOKUP(MID(N76,O76,P76-O76),[6]skilldef!$A:$B,2,FALSE),"-")</f>
        <v>- / -</v>
      </c>
      <c r="T76" s="47" t="str">
        <f t="shared" ref="T76" si="265">IFERROR(RIGHT(M76,LEN(M76)-FIND("],",M76)-1),"none")</f>
        <v>none</v>
      </c>
      <c r="U76" s="61" t="e">
        <f t="shared" ref="U76" si="266">FIND("effect:",T76)+7</f>
        <v>#VALUE!</v>
      </c>
      <c r="V76" s="61">
        <f t="shared" ref="V76" si="267">IFERROR(FIND(",",T76),LEN(T76))</f>
        <v>4</v>
      </c>
      <c r="W76" s="61" t="e">
        <f t="shared" ref="W76" si="268">FIND("target:",T76)+7</f>
        <v>#VALUE!</v>
      </c>
      <c r="X76" s="61" t="e">
        <f t="shared" ref="X76" si="269">FIND(",",T76,V76+1)</f>
        <v>#VALUE!</v>
      </c>
      <c r="Y76" s="61" t="str">
        <f>IFERROR(VLOOKUP(MID(T76,W76,X76-W76),[6]skilldef!$C:$D,2,FALSE),"-") &amp; " / " &amp; IFERROR(VLOOKUP(MID(T76,U76,V76-U76),[6]skilldef!$A:$B,2,FALSE),"-")</f>
        <v>- / -</v>
      </c>
      <c r="Z76" s="49"/>
      <c r="AA76" s="50"/>
      <c r="AB76" s="49" t="s">
        <v>327</v>
      </c>
    </row>
    <row r="77" spans="1:28" ht="21" customHeight="1" x14ac:dyDescent="0.15">
      <c r="A77" s="161">
        <v>48007198</v>
      </c>
      <c r="B77" s="161" t="s">
        <v>286</v>
      </c>
      <c r="C77" s="170">
        <v>3</v>
      </c>
      <c r="D77" s="166" t="s">
        <v>417</v>
      </c>
      <c r="E77" s="171" t="s">
        <v>285</v>
      </c>
      <c r="F77" s="171" t="s">
        <v>258</v>
      </c>
      <c r="G77" s="61" t="str">
        <f t="shared" si="210"/>
        <v>[effect:enemy_message, val1:1.2, val2:0]</v>
      </c>
      <c r="H77" s="61">
        <f t="shared" si="211"/>
        <v>9</v>
      </c>
      <c r="I77" s="61">
        <f t="shared" si="212"/>
        <v>22</v>
      </c>
      <c r="J77" s="61" t="e">
        <f t="shared" si="213"/>
        <v>#VALUE!</v>
      </c>
      <c r="K77" s="61">
        <f t="shared" si="214"/>
        <v>32</v>
      </c>
      <c r="L77" s="61" t="str">
        <f>IFERROR(VLOOKUP(MID(G77,J77,K77-J77),[6]skilldef!$C:$D,2,FALSE),"-") &amp; " / " &amp; IFERROR(VLOOKUP(MID(G77,H77,I77-H77),[6]skilldef!$A:$B,2,FALSE),"-")</f>
        <v>- / -</v>
      </c>
      <c r="M77" s="61" t="str">
        <f t="shared" si="215"/>
        <v>none</v>
      </c>
      <c r="N77" s="47" t="str">
        <f>IFERROR(LEFT(M77,FIND("],",M77)+S85),M77)</f>
        <v>none</v>
      </c>
      <c r="O77" s="61" t="e">
        <f t="shared" si="216"/>
        <v>#VALUE!</v>
      </c>
      <c r="P77" s="61">
        <f t="shared" si="217"/>
        <v>4</v>
      </c>
      <c r="Q77" s="61" t="e">
        <f t="shared" si="218"/>
        <v>#VALUE!</v>
      </c>
      <c r="R77" s="61" t="e">
        <f t="shared" si="219"/>
        <v>#VALUE!</v>
      </c>
      <c r="S77" s="61" t="str">
        <f>IFERROR(VLOOKUP(MID(N77,Q77,R77-Q77),[6]skilldef!$C:$D,2,FALSE),"-") &amp; " / " &amp; IFERROR(VLOOKUP(MID(N77,O77,P77-O77),[6]skilldef!$A:$B,2,FALSE),"-")</f>
        <v>- / -</v>
      </c>
      <c r="T77" s="47" t="str">
        <f t="shared" si="220"/>
        <v>none</v>
      </c>
      <c r="U77" s="61" t="e">
        <f t="shared" si="221"/>
        <v>#VALUE!</v>
      </c>
      <c r="V77" s="61">
        <f t="shared" si="222"/>
        <v>4</v>
      </c>
      <c r="W77" s="61" t="e">
        <f t="shared" si="223"/>
        <v>#VALUE!</v>
      </c>
      <c r="X77" s="61" t="e">
        <f t="shared" si="224"/>
        <v>#VALUE!</v>
      </c>
      <c r="Y77" s="61" t="str">
        <f>IFERROR(VLOOKUP(MID(T77,W77,X77-W77),[6]skilldef!$C:$D,2,FALSE),"-") &amp; " / " &amp; IFERROR(VLOOKUP(MID(T77,U77,V77-U77),[6]skilldef!$A:$B,2,FALSE),"-")</f>
        <v>- / -</v>
      </c>
      <c r="Z77" s="49"/>
      <c r="AA77" s="50"/>
      <c r="AB77" s="49" t="s">
        <v>326</v>
      </c>
    </row>
    <row r="78" spans="1:28" ht="21" customHeight="1" x14ac:dyDescent="0.15">
      <c r="A78" s="161">
        <v>48007199</v>
      </c>
      <c r="B78" s="161" t="s">
        <v>286</v>
      </c>
      <c r="C78" s="170">
        <v>3</v>
      </c>
      <c r="D78" s="166" t="s">
        <v>417</v>
      </c>
      <c r="E78" s="171" t="s">
        <v>285</v>
      </c>
      <c r="F78" s="171" t="s">
        <v>258</v>
      </c>
      <c r="G78" s="61" t="str">
        <f t="shared" ref="G78" si="270">IFERROR(LEFT(B78,FIND("],",B78)),B78)</f>
        <v>[effect:enemy_message, val1:1.2, val2:0]</v>
      </c>
      <c r="H78" s="61">
        <f t="shared" ref="H78" si="271">FIND("effect:",G78)+7</f>
        <v>9</v>
      </c>
      <c r="I78" s="61">
        <f t="shared" ref="I78" si="272">IFERROR(FIND(",",G78),LEN(G78))</f>
        <v>22</v>
      </c>
      <c r="J78" s="61" t="e">
        <f t="shared" ref="J78" si="273">FIND("target:",G78)+7</f>
        <v>#VALUE!</v>
      </c>
      <c r="K78" s="61">
        <f t="shared" ref="K78" si="274">FIND(",",G78,I78+1)</f>
        <v>32</v>
      </c>
      <c r="L78" s="61" t="str">
        <f>IFERROR(VLOOKUP(MID(G78,J78,K78-J78),[6]skilldef!$C:$D,2,FALSE),"-") &amp; " / " &amp; IFERROR(VLOOKUP(MID(G78,H78,I78-H78),[6]skilldef!$A:$B,2,FALSE),"-")</f>
        <v>- / -</v>
      </c>
      <c r="M78" s="61" t="str">
        <f t="shared" ref="M78" si="275">IFERROR(RIGHT(B78,LEN(B78)-FIND("],",B78)-1),"none")</f>
        <v>none</v>
      </c>
      <c r="N78" s="47" t="str">
        <f>IFERROR(LEFT(M78,FIND("],",M78)+S86),M78)</f>
        <v>none</v>
      </c>
      <c r="O78" s="61" t="e">
        <f t="shared" ref="O78" si="276">FIND("effect:",N78)+7</f>
        <v>#VALUE!</v>
      </c>
      <c r="P78" s="61">
        <f t="shared" ref="P78" si="277">IFERROR(FIND(",",N78),LEN(N78))</f>
        <v>4</v>
      </c>
      <c r="Q78" s="61" t="e">
        <f t="shared" ref="Q78" si="278">FIND("target:",N78)+7</f>
        <v>#VALUE!</v>
      </c>
      <c r="R78" s="61" t="e">
        <f t="shared" ref="R78" si="279">FIND(",",N78,P78+1)</f>
        <v>#VALUE!</v>
      </c>
      <c r="S78" s="61" t="str">
        <f>IFERROR(VLOOKUP(MID(N78,Q78,R78-Q78),[6]skilldef!$C:$D,2,FALSE),"-") &amp; " / " &amp; IFERROR(VLOOKUP(MID(N78,O78,P78-O78),[6]skilldef!$A:$B,2,FALSE),"-")</f>
        <v>- / -</v>
      </c>
      <c r="T78" s="47" t="str">
        <f t="shared" ref="T78" si="280">IFERROR(RIGHT(M78,LEN(M78)-FIND("],",M78)-1),"none")</f>
        <v>none</v>
      </c>
      <c r="U78" s="61" t="e">
        <f t="shared" ref="U78" si="281">FIND("effect:",T78)+7</f>
        <v>#VALUE!</v>
      </c>
      <c r="V78" s="61">
        <f t="shared" ref="V78" si="282">IFERROR(FIND(",",T78),LEN(T78))</f>
        <v>4</v>
      </c>
      <c r="W78" s="61" t="e">
        <f t="shared" ref="W78" si="283">FIND("target:",T78)+7</f>
        <v>#VALUE!</v>
      </c>
      <c r="X78" s="61" t="e">
        <f t="shared" ref="X78" si="284">FIND(",",T78,V78+1)</f>
        <v>#VALUE!</v>
      </c>
      <c r="Y78" s="61" t="str">
        <f>IFERROR(VLOOKUP(MID(T78,W78,X78-W78),[6]skilldef!$C:$D,2,FALSE),"-") &amp; " / " &amp; IFERROR(VLOOKUP(MID(T78,U78,V78-U78),[6]skilldef!$A:$B,2,FALSE),"-")</f>
        <v>- / -</v>
      </c>
      <c r="Z78" s="49"/>
      <c r="AA78" s="50"/>
      <c r="AB78" s="49" t="s">
        <v>327</v>
      </c>
    </row>
    <row r="79" spans="1:28" ht="21" customHeight="1" x14ac:dyDescent="0.15">
      <c r="A79" s="161">
        <v>48007200</v>
      </c>
      <c r="B79" s="161" t="s">
        <v>286</v>
      </c>
      <c r="C79" s="170">
        <v>3</v>
      </c>
      <c r="D79" s="166" t="s">
        <v>417</v>
      </c>
      <c r="E79" s="171" t="s">
        <v>288</v>
      </c>
      <c r="F79" s="171" t="s">
        <v>297</v>
      </c>
      <c r="G79" s="61" t="str">
        <f t="shared" si="210"/>
        <v>[effect:enemy_message, val1:1.2, val2:0]</v>
      </c>
      <c r="H79" s="61">
        <f t="shared" si="211"/>
        <v>9</v>
      </c>
      <c r="I79" s="61">
        <f t="shared" si="212"/>
        <v>22</v>
      </c>
      <c r="J79" s="61" t="e">
        <f t="shared" si="213"/>
        <v>#VALUE!</v>
      </c>
      <c r="K79" s="61">
        <f t="shared" si="214"/>
        <v>32</v>
      </c>
      <c r="L79" s="61" t="str">
        <f>IFERROR(VLOOKUP(MID(G79,J79,K79-J79),[6]skilldef!$C:$D,2,FALSE),"-") &amp; " / " &amp; IFERROR(VLOOKUP(MID(G79,H79,I79-H79),[6]skilldef!$A:$B,2,FALSE),"-")</f>
        <v>- / -</v>
      </c>
      <c r="M79" s="61" t="str">
        <f t="shared" si="215"/>
        <v>none</v>
      </c>
      <c r="N79" s="47" t="str">
        <f t="shared" ref="N79" si="285">IFERROR(LEFT(M79,FIND("],",M79)+S87),M79)</f>
        <v>none</v>
      </c>
      <c r="O79" s="61" t="e">
        <f t="shared" si="216"/>
        <v>#VALUE!</v>
      </c>
      <c r="P79" s="61">
        <f t="shared" si="217"/>
        <v>4</v>
      </c>
      <c r="Q79" s="61" t="e">
        <f t="shared" si="218"/>
        <v>#VALUE!</v>
      </c>
      <c r="R79" s="61" t="e">
        <f t="shared" si="219"/>
        <v>#VALUE!</v>
      </c>
      <c r="S79" s="61" t="str">
        <f>IFERROR(VLOOKUP(MID(N79,Q79,R79-Q79),[6]skilldef!$C:$D,2,FALSE),"-") &amp; " / " &amp; IFERROR(VLOOKUP(MID(N79,O79,P79-O79),[6]skilldef!$A:$B,2,FALSE),"-")</f>
        <v>- / -</v>
      </c>
      <c r="T79" s="47" t="str">
        <f t="shared" si="220"/>
        <v>none</v>
      </c>
      <c r="U79" s="61" t="e">
        <f t="shared" si="221"/>
        <v>#VALUE!</v>
      </c>
      <c r="V79" s="61">
        <f t="shared" si="222"/>
        <v>4</v>
      </c>
      <c r="W79" s="61" t="e">
        <f t="shared" si="223"/>
        <v>#VALUE!</v>
      </c>
      <c r="X79" s="61" t="e">
        <f t="shared" si="224"/>
        <v>#VALUE!</v>
      </c>
      <c r="Y79" s="61" t="str">
        <f>IFERROR(VLOOKUP(MID(T79,W79,X79-W79),[6]skilldef!$C:$D,2,FALSE),"-") &amp; " / " &amp; IFERROR(VLOOKUP(MID(T79,U79,V79-U79),[6]skilldef!$A:$B,2,FALSE),"-")</f>
        <v>- / -</v>
      </c>
      <c r="Z79" s="49"/>
      <c r="AA79" s="50"/>
      <c r="AB79" s="49" t="s">
        <v>326</v>
      </c>
    </row>
    <row r="80" spans="1:28" ht="21" customHeight="1" x14ac:dyDescent="0.15">
      <c r="A80" s="161">
        <v>48007201</v>
      </c>
      <c r="B80" s="161" t="s">
        <v>286</v>
      </c>
      <c r="C80" s="170">
        <v>3</v>
      </c>
      <c r="D80" s="166" t="s">
        <v>417</v>
      </c>
      <c r="E80" s="171" t="s">
        <v>288</v>
      </c>
      <c r="F80" s="171" t="s">
        <v>297</v>
      </c>
      <c r="G80" s="61" t="str">
        <f t="shared" ref="G80" si="286">IFERROR(LEFT(B80,FIND("],",B80)),B80)</f>
        <v>[effect:enemy_message, val1:1.2, val2:0]</v>
      </c>
      <c r="H80" s="61">
        <f t="shared" ref="H80" si="287">FIND("effect:",G80)+7</f>
        <v>9</v>
      </c>
      <c r="I80" s="61">
        <f t="shared" ref="I80" si="288">IFERROR(FIND(",",G80),LEN(G80))</f>
        <v>22</v>
      </c>
      <c r="J80" s="61" t="e">
        <f t="shared" ref="J80" si="289">FIND("target:",G80)+7</f>
        <v>#VALUE!</v>
      </c>
      <c r="K80" s="61">
        <f t="shared" ref="K80" si="290">FIND(",",G80,I80+1)</f>
        <v>32</v>
      </c>
      <c r="L80" s="61" t="str">
        <f>IFERROR(VLOOKUP(MID(G80,J80,K80-J80),[6]skilldef!$C:$D,2,FALSE),"-") &amp; " / " &amp; IFERROR(VLOOKUP(MID(G80,H80,I80-H80),[6]skilldef!$A:$B,2,FALSE),"-")</f>
        <v>- / -</v>
      </c>
      <c r="M80" s="61" t="str">
        <f t="shared" ref="M80" si="291">IFERROR(RIGHT(B80,LEN(B80)-FIND("],",B80)-1),"none")</f>
        <v>none</v>
      </c>
      <c r="N80" s="47" t="str">
        <f t="shared" ref="N80" si="292">IFERROR(LEFT(M80,FIND("],",M80)+S88),M80)</f>
        <v>none</v>
      </c>
      <c r="O80" s="61" t="e">
        <f t="shared" ref="O80" si="293">FIND("effect:",N80)+7</f>
        <v>#VALUE!</v>
      </c>
      <c r="P80" s="61">
        <f t="shared" ref="P80" si="294">IFERROR(FIND(",",N80),LEN(N80))</f>
        <v>4</v>
      </c>
      <c r="Q80" s="61" t="e">
        <f t="shared" ref="Q80" si="295">FIND("target:",N80)+7</f>
        <v>#VALUE!</v>
      </c>
      <c r="R80" s="61" t="e">
        <f t="shared" ref="R80" si="296">FIND(",",N80,P80+1)</f>
        <v>#VALUE!</v>
      </c>
      <c r="S80" s="61" t="str">
        <f>IFERROR(VLOOKUP(MID(N80,Q80,R80-Q80),[6]skilldef!$C:$D,2,FALSE),"-") &amp; " / " &amp; IFERROR(VLOOKUP(MID(N80,O80,P80-O80),[6]skilldef!$A:$B,2,FALSE),"-")</f>
        <v>- / -</v>
      </c>
      <c r="T80" s="47" t="str">
        <f t="shared" ref="T80" si="297">IFERROR(RIGHT(M80,LEN(M80)-FIND("],",M80)-1),"none")</f>
        <v>none</v>
      </c>
      <c r="U80" s="61" t="e">
        <f t="shared" ref="U80" si="298">FIND("effect:",T80)+7</f>
        <v>#VALUE!</v>
      </c>
      <c r="V80" s="61">
        <f t="shared" ref="V80" si="299">IFERROR(FIND(",",T80),LEN(T80))</f>
        <v>4</v>
      </c>
      <c r="W80" s="61" t="e">
        <f t="shared" ref="W80" si="300">FIND("target:",T80)+7</f>
        <v>#VALUE!</v>
      </c>
      <c r="X80" s="61" t="e">
        <f t="shared" ref="X80" si="301">FIND(",",T80,V80+1)</f>
        <v>#VALUE!</v>
      </c>
      <c r="Y80" s="61" t="str">
        <f>IFERROR(VLOOKUP(MID(T80,W80,X80-W80),[6]skilldef!$C:$D,2,FALSE),"-") &amp; " / " &amp; IFERROR(VLOOKUP(MID(T80,U80,V80-U80),[6]skilldef!$A:$B,2,FALSE),"-")</f>
        <v>- / -</v>
      </c>
      <c r="Z80" s="49"/>
      <c r="AA80" s="50"/>
      <c r="AB80" s="49" t="s">
        <v>327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0"/>
  <sheetViews>
    <sheetView showGridLines="0" zoomScale="116" zoomScaleNormal="116" zoomScalePageLayoutView="116" workbookViewId="0">
      <pane ySplit="1" topLeftCell="A23" activePane="bottomLeft" state="frozenSplit"/>
      <selection pane="bottomLeft" activeCell="G52" sqref="G5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9" bestFit="1" customWidth="1"/>
    <col min="12" max="16384" width="12.83203125" style="44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1" t="s">
        <v>71</v>
      </c>
      <c r="G1" s="51" t="s">
        <v>72</v>
      </c>
      <c r="H1" s="42" t="s">
        <v>73</v>
      </c>
      <c r="I1" s="42" t="s">
        <v>74</v>
      </c>
      <c r="J1" s="42" t="s">
        <v>75</v>
      </c>
      <c r="K1" s="52" t="s">
        <v>88</v>
      </c>
    </row>
    <row r="2" spans="1:11" ht="21" customHeight="1" x14ac:dyDescent="0.15">
      <c r="A2" s="46">
        <v>48007100</v>
      </c>
      <c r="B2" s="46">
        <v>1</v>
      </c>
      <c r="C2" s="46">
        <v>100</v>
      </c>
      <c r="D2" s="46">
        <v>100</v>
      </c>
      <c r="E2" s="46" t="s">
        <v>251</v>
      </c>
      <c r="F2" s="46" t="s">
        <v>251</v>
      </c>
      <c r="G2" s="46">
        <v>1</v>
      </c>
      <c r="H2" s="46" t="s">
        <v>251</v>
      </c>
      <c r="I2" s="46" t="s">
        <v>251</v>
      </c>
      <c r="J2" s="47">
        <f t="shared" ref="J2:J78" si="0">D2</f>
        <v>100</v>
      </c>
    </row>
    <row r="3" spans="1:11" ht="21" customHeight="1" x14ac:dyDescent="0.15">
      <c r="A3" s="46">
        <v>48007101</v>
      </c>
      <c r="B3" s="46">
        <v>0</v>
      </c>
      <c r="C3" s="46">
        <v>102</v>
      </c>
      <c r="D3" s="46">
        <v>100</v>
      </c>
      <c r="E3" s="46" t="s">
        <v>53</v>
      </c>
      <c r="F3" s="46" t="s">
        <v>53</v>
      </c>
      <c r="G3" s="46">
        <v>1</v>
      </c>
      <c r="H3" s="46">
        <v>2</v>
      </c>
      <c r="I3" s="46" t="s">
        <v>53</v>
      </c>
      <c r="J3" s="47">
        <f t="shared" si="0"/>
        <v>100</v>
      </c>
    </row>
    <row r="4" spans="1:11" ht="21" customHeight="1" x14ac:dyDescent="0.15">
      <c r="A4" s="46">
        <v>48007102</v>
      </c>
      <c r="B4" s="46">
        <v>0</v>
      </c>
      <c r="C4" s="46">
        <v>101</v>
      </c>
      <c r="D4" s="46">
        <v>100</v>
      </c>
      <c r="E4" s="46" t="s">
        <v>53</v>
      </c>
      <c r="F4" s="46" t="s">
        <v>53</v>
      </c>
      <c r="G4" s="46">
        <v>1</v>
      </c>
      <c r="H4" s="46">
        <v>2</v>
      </c>
      <c r="I4" s="46" t="s">
        <v>53</v>
      </c>
      <c r="J4" s="47">
        <f t="shared" si="0"/>
        <v>100</v>
      </c>
    </row>
    <row r="5" spans="1:11" ht="21" customHeight="1" x14ac:dyDescent="0.15">
      <c r="A5" s="46">
        <v>48007103</v>
      </c>
      <c r="B5" s="46">
        <v>0</v>
      </c>
      <c r="C5" s="46">
        <v>100</v>
      </c>
      <c r="D5" s="46">
        <v>100</v>
      </c>
      <c r="E5" s="46" t="s">
        <v>53</v>
      </c>
      <c r="F5" s="46" t="s">
        <v>53</v>
      </c>
      <c r="G5" s="46">
        <v>1</v>
      </c>
      <c r="H5" s="46">
        <v>2</v>
      </c>
      <c r="I5" s="46" t="s">
        <v>53</v>
      </c>
      <c r="J5" s="47">
        <f t="shared" si="0"/>
        <v>100</v>
      </c>
    </row>
    <row r="6" spans="1:11" ht="21" customHeight="1" x14ac:dyDescent="0.15">
      <c r="A6" s="46">
        <v>48007104</v>
      </c>
      <c r="B6" s="46">
        <v>0</v>
      </c>
      <c r="C6" s="46" t="s">
        <v>394</v>
      </c>
      <c r="D6" s="46">
        <v>100</v>
      </c>
      <c r="E6" s="46" t="s">
        <v>394</v>
      </c>
      <c r="F6" s="46" t="s">
        <v>394</v>
      </c>
      <c r="G6" s="46">
        <v>0</v>
      </c>
      <c r="H6" s="46" t="s">
        <v>394</v>
      </c>
      <c r="I6" s="46">
        <v>0</v>
      </c>
      <c r="J6" s="47">
        <v>100</v>
      </c>
    </row>
    <row r="7" spans="1:11" ht="21" customHeight="1" x14ac:dyDescent="0.15">
      <c r="A7" s="46">
        <v>48007105</v>
      </c>
      <c r="B7" s="46">
        <v>1</v>
      </c>
      <c r="C7" s="46">
        <v>100</v>
      </c>
      <c r="D7" s="46">
        <v>100</v>
      </c>
      <c r="E7" s="46" t="s">
        <v>250</v>
      </c>
      <c r="F7" s="46" t="s">
        <v>250</v>
      </c>
      <c r="G7" s="46">
        <v>1</v>
      </c>
      <c r="H7" s="46" t="s">
        <v>250</v>
      </c>
      <c r="I7" s="46" t="s">
        <v>250</v>
      </c>
      <c r="J7" s="47">
        <f t="shared" si="0"/>
        <v>100</v>
      </c>
    </row>
    <row r="8" spans="1:11" ht="21" customHeight="1" x14ac:dyDescent="0.15">
      <c r="A8" s="46">
        <v>48007106</v>
      </c>
      <c r="B8" s="46">
        <v>0</v>
      </c>
      <c r="C8" s="46">
        <v>102</v>
      </c>
      <c r="D8" s="46">
        <v>100</v>
      </c>
      <c r="E8" s="46" t="s">
        <v>53</v>
      </c>
      <c r="F8" s="46" t="s">
        <v>53</v>
      </c>
      <c r="G8" s="46">
        <v>1</v>
      </c>
      <c r="H8" s="46">
        <v>2</v>
      </c>
      <c r="I8" s="46" t="s">
        <v>53</v>
      </c>
      <c r="J8" s="47">
        <f t="shared" si="0"/>
        <v>100</v>
      </c>
    </row>
    <row r="9" spans="1:11" ht="21" customHeight="1" x14ac:dyDescent="0.15">
      <c r="A9" s="46">
        <v>48007107</v>
      </c>
      <c r="B9" s="46">
        <v>0</v>
      </c>
      <c r="C9" s="46">
        <v>101</v>
      </c>
      <c r="D9" s="46">
        <v>100</v>
      </c>
      <c r="E9" s="46" t="s">
        <v>53</v>
      </c>
      <c r="F9" s="46" t="s">
        <v>53</v>
      </c>
      <c r="G9" s="46">
        <v>1</v>
      </c>
      <c r="H9" s="46">
        <v>2</v>
      </c>
      <c r="I9" s="46" t="s">
        <v>53</v>
      </c>
      <c r="J9" s="47">
        <f t="shared" si="0"/>
        <v>100</v>
      </c>
    </row>
    <row r="10" spans="1:11" ht="21" customHeight="1" x14ac:dyDescent="0.15">
      <c r="A10" s="46">
        <v>48007108</v>
      </c>
      <c r="B10" s="46">
        <v>0</v>
      </c>
      <c r="C10" s="46">
        <v>100</v>
      </c>
      <c r="D10" s="46">
        <v>100</v>
      </c>
      <c r="E10" s="46" t="s">
        <v>53</v>
      </c>
      <c r="F10" s="46" t="s">
        <v>53</v>
      </c>
      <c r="G10" s="46">
        <v>1</v>
      </c>
      <c r="H10" s="46">
        <v>2</v>
      </c>
      <c r="I10" s="46" t="s">
        <v>53</v>
      </c>
      <c r="J10" s="47">
        <f t="shared" si="0"/>
        <v>100</v>
      </c>
    </row>
    <row r="11" spans="1:11" ht="21" customHeight="1" x14ac:dyDescent="0.15">
      <c r="A11" s="46">
        <v>48007109</v>
      </c>
      <c r="B11" s="46">
        <v>0</v>
      </c>
      <c r="C11" s="46" t="s">
        <v>394</v>
      </c>
      <c r="D11" s="46">
        <v>100</v>
      </c>
      <c r="E11" s="46" t="s">
        <v>394</v>
      </c>
      <c r="F11" s="46" t="s">
        <v>394</v>
      </c>
      <c r="G11" s="46">
        <v>0</v>
      </c>
      <c r="H11" s="46" t="s">
        <v>394</v>
      </c>
      <c r="I11" s="46">
        <v>0</v>
      </c>
      <c r="J11" s="47">
        <v>100</v>
      </c>
    </row>
    <row r="12" spans="1:11" ht="21" customHeight="1" x14ac:dyDescent="0.15">
      <c r="A12" s="46">
        <v>48007110</v>
      </c>
      <c r="B12" s="46">
        <v>1</v>
      </c>
      <c r="C12" s="46">
        <v>100</v>
      </c>
      <c r="D12" s="46">
        <v>100</v>
      </c>
      <c r="E12" s="46" t="s">
        <v>250</v>
      </c>
      <c r="F12" s="46" t="s">
        <v>250</v>
      </c>
      <c r="G12" s="46">
        <v>1</v>
      </c>
      <c r="H12" s="46" t="s">
        <v>250</v>
      </c>
      <c r="I12" s="46" t="s">
        <v>250</v>
      </c>
      <c r="J12" s="47">
        <f t="shared" si="0"/>
        <v>100</v>
      </c>
    </row>
    <row r="13" spans="1:11" ht="21" customHeight="1" x14ac:dyDescent="0.15">
      <c r="A13" s="46">
        <v>48007111</v>
      </c>
      <c r="B13" s="46">
        <v>0</v>
      </c>
      <c r="C13" s="46">
        <v>102</v>
      </c>
      <c r="D13" s="46">
        <v>100</v>
      </c>
      <c r="E13" s="46" t="s">
        <v>250</v>
      </c>
      <c r="F13" s="46" t="s">
        <v>250</v>
      </c>
      <c r="G13" s="46">
        <v>1</v>
      </c>
      <c r="H13" s="46">
        <v>1</v>
      </c>
      <c r="I13" s="46" t="s">
        <v>250</v>
      </c>
      <c r="J13" s="47">
        <f t="shared" si="0"/>
        <v>100</v>
      </c>
    </row>
    <row r="14" spans="1:11" ht="21" customHeight="1" x14ac:dyDescent="0.15">
      <c r="A14" s="46">
        <v>48007112</v>
      </c>
      <c r="B14" s="46">
        <v>0</v>
      </c>
      <c r="C14" s="46">
        <v>101</v>
      </c>
      <c r="D14" s="46">
        <v>100</v>
      </c>
      <c r="E14" s="46" t="s">
        <v>250</v>
      </c>
      <c r="F14" s="46" t="s">
        <v>250</v>
      </c>
      <c r="G14" s="46">
        <v>1</v>
      </c>
      <c r="H14" s="46">
        <v>1</v>
      </c>
      <c r="I14" s="46" t="s">
        <v>250</v>
      </c>
      <c r="J14" s="47">
        <f t="shared" si="0"/>
        <v>100</v>
      </c>
    </row>
    <row r="15" spans="1:11" ht="21" customHeight="1" x14ac:dyDescent="0.15">
      <c r="A15" s="46">
        <v>48007113</v>
      </c>
      <c r="B15" s="46">
        <v>0</v>
      </c>
      <c r="C15" s="46">
        <v>100</v>
      </c>
      <c r="D15" s="46">
        <v>100</v>
      </c>
      <c r="E15" s="46" t="s">
        <v>250</v>
      </c>
      <c r="F15" s="46" t="s">
        <v>250</v>
      </c>
      <c r="G15" s="46">
        <v>1</v>
      </c>
      <c r="H15" s="46">
        <v>1</v>
      </c>
      <c r="I15" s="46" t="s">
        <v>250</v>
      </c>
      <c r="J15" s="47">
        <f t="shared" si="0"/>
        <v>100</v>
      </c>
    </row>
    <row r="16" spans="1:11" ht="21" customHeight="1" x14ac:dyDescent="0.15">
      <c r="A16" s="46">
        <v>48007114</v>
      </c>
      <c r="B16" s="46">
        <v>0</v>
      </c>
      <c r="C16" s="46">
        <v>90</v>
      </c>
      <c r="D16" s="46">
        <v>70</v>
      </c>
      <c r="E16" s="46" t="s">
        <v>250</v>
      </c>
      <c r="F16" s="46" t="s">
        <v>250</v>
      </c>
      <c r="G16" s="46" t="s">
        <v>250</v>
      </c>
      <c r="H16" s="46" t="s">
        <v>250</v>
      </c>
      <c r="I16" s="46" t="s">
        <v>250</v>
      </c>
      <c r="J16" s="47">
        <f t="shared" si="0"/>
        <v>70</v>
      </c>
    </row>
    <row r="17" spans="1:10" ht="21" customHeight="1" x14ac:dyDescent="0.15">
      <c r="A17" s="46">
        <v>48007115</v>
      </c>
      <c r="B17" s="46">
        <v>0</v>
      </c>
      <c r="C17" s="46">
        <v>91</v>
      </c>
      <c r="D17" s="46">
        <v>50</v>
      </c>
      <c r="E17" s="46" t="s">
        <v>250</v>
      </c>
      <c r="F17" s="46" t="s">
        <v>250</v>
      </c>
      <c r="G17" s="46" t="s">
        <v>250</v>
      </c>
      <c r="H17" s="46" t="s">
        <v>250</v>
      </c>
      <c r="I17" s="46" t="s">
        <v>250</v>
      </c>
      <c r="J17" s="47">
        <f t="shared" si="0"/>
        <v>50</v>
      </c>
    </row>
    <row r="18" spans="1:10" ht="21" customHeight="1" x14ac:dyDescent="0.15">
      <c r="A18" s="46">
        <v>48007116</v>
      </c>
      <c r="B18" s="46">
        <v>0</v>
      </c>
      <c r="C18" s="46">
        <v>100</v>
      </c>
      <c r="D18" s="46">
        <v>100</v>
      </c>
      <c r="E18" s="46" t="s">
        <v>250</v>
      </c>
      <c r="F18" s="46" t="s">
        <v>250</v>
      </c>
      <c r="G18" s="46">
        <v>1</v>
      </c>
      <c r="H18" s="46">
        <v>9</v>
      </c>
      <c r="I18" s="46" t="s">
        <v>250</v>
      </c>
      <c r="J18" s="47">
        <f t="shared" si="0"/>
        <v>100</v>
      </c>
    </row>
    <row r="19" spans="1:10" ht="21" customHeight="1" x14ac:dyDescent="0.15">
      <c r="A19" s="46">
        <v>48007117</v>
      </c>
      <c r="B19" s="46">
        <v>0</v>
      </c>
      <c r="C19" s="46">
        <v>100</v>
      </c>
      <c r="D19" s="46">
        <v>100</v>
      </c>
      <c r="E19" s="46" t="s">
        <v>250</v>
      </c>
      <c r="F19" s="46" t="s">
        <v>250</v>
      </c>
      <c r="G19" s="46">
        <v>1</v>
      </c>
      <c r="H19" s="46">
        <v>10</v>
      </c>
      <c r="I19" s="46" t="s">
        <v>250</v>
      </c>
      <c r="J19" s="47">
        <f t="shared" si="0"/>
        <v>100</v>
      </c>
    </row>
    <row r="20" spans="1:10" ht="21" customHeight="1" x14ac:dyDescent="0.15">
      <c r="A20" s="46">
        <v>48007118</v>
      </c>
      <c r="B20" s="46">
        <v>0</v>
      </c>
      <c r="C20" s="46" t="s">
        <v>394</v>
      </c>
      <c r="D20" s="46">
        <v>100</v>
      </c>
      <c r="E20" s="46" t="s">
        <v>394</v>
      </c>
      <c r="F20" s="46" t="s">
        <v>394</v>
      </c>
      <c r="G20" s="46">
        <v>0</v>
      </c>
      <c r="H20" s="46" t="s">
        <v>394</v>
      </c>
      <c r="I20" s="46">
        <v>0</v>
      </c>
      <c r="J20" s="47">
        <v>100</v>
      </c>
    </row>
    <row r="21" spans="1:10" ht="21" customHeight="1" x14ac:dyDescent="0.15">
      <c r="A21" s="46">
        <v>48007119</v>
      </c>
      <c r="B21" s="46">
        <v>1</v>
      </c>
      <c r="C21" s="46">
        <v>100</v>
      </c>
      <c r="D21" s="46">
        <v>100</v>
      </c>
      <c r="E21" s="46" t="s">
        <v>250</v>
      </c>
      <c r="F21" s="46" t="s">
        <v>250</v>
      </c>
      <c r="G21" s="46">
        <v>1</v>
      </c>
      <c r="H21" s="46" t="s">
        <v>250</v>
      </c>
      <c r="I21" s="46" t="s">
        <v>250</v>
      </c>
      <c r="J21" s="47">
        <f t="shared" si="0"/>
        <v>100</v>
      </c>
    </row>
    <row r="22" spans="1:10" ht="21" customHeight="1" x14ac:dyDescent="0.15">
      <c r="A22" s="46">
        <v>48007120</v>
      </c>
      <c r="B22" s="46">
        <v>0</v>
      </c>
      <c r="C22" s="46">
        <v>102</v>
      </c>
      <c r="D22" s="46">
        <v>100</v>
      </c>
      <c r="E22" s="46" t="s">
        <v>250</v>
      </c>
      <c r="F22" s="46" t="s">
        <v>250</v>
      </c>
      <c r="G22" s="46">
        <v>1</v>
      </c>
      <c r="H22" s="46">
        <v>2</v>
      </c>
      <c r="I22" s="46" t="s">
        <v>250</v>
      </c>
      <c r="J22" s="47">
        <f t="shared" si="0"/>
        <v>100</v>
      </c>
    </row>
    <row r="23" spans="1:10" ht="21" customHeight="1" x14ac:dyDescent="0.15">
      <c r="A23" s="46">
        <v>48007121</v>
      </c>
      <c r="B23" s="46">
        <v>0</v>
      </c>
      <c r="C23" s="46">
        <v>101</v>
      </c>
      <c r="D23" s="46">
        <v>100</v>
      </c>
      <c r="E23" s="46" t="s">
        <v>250</v>
      </c>
      <c r="F23" s="46" t="s">
        <v>250</v>
      </c>
      <c r="G23" s="46">
        <v>1</v>
      </c>
      <c r="H23" s="46">
        <v>2</v>
      </c>
      <c r="I23" s="46" t="s">
        <v>250</v>
      </c>
      <c r="J23" s="47">
        <f t="shared" si="0"/>
        <v>100</v>
      </c>
    </row>
    <row r="24" spans="1:10" ht="21" customHeight="1" x14ac:dyDescent="0.15">
      <c r="A24" s="46">
        <v>48007122</v>
      </c>
      <c r="B24" s="46">
        <v>0</v>
      </c>
      <c r="C24" s="46">
        <v>100</v>
      </c>
      <c r="D24" s="46">
        <v>100</v>
      </c>
      <c r="E24" s="46" t="s">
        <v>250</v>
      </c>
      <c r="F24" s="46" t="s">
        <v>250</v>
      </c>
      <c r="G24" s="46">
        <v>1</v>
      </c>
      <c r="H24" s="46">
        <v>2</v>
      </c>
      <c r="I24" s="46" t="s">
        <v>250</v>
      </c>
      <c r="J24" s="47">
        <f t="shared" si="0"/>
        <v>100</v>
      </c>
    </row>
    <row r="25" spans="1:10" ht="21" customHeight="1" x14ac:dyDescent="0.15">
      <c r="A25" s="46">
        <v>48007123</v>
      </c>
      <c r="B25" s="46">
        <v>0</v>
      </c>
      <c r="C25" s="46">
        <v>90</v>
      </c>
      <c r="D25" s="46">
        <v>70</v>
      </c>
      <c r="E25" s="46" t="s">
        <v>250</v>
      </c>
      <c r="F25" s="46" t="s">
        <v>250</v>
      </c>
      <c r="G25" s="46" t="s">
        <v>250</v>
      </c>
      <c r="H25" s="46" t="s">
        <v>250</v>
      </c>
      <c r="I25" s="46" t="s">
        <v>250</v>
      </c>
      <c r="J25" s="47">
        <f t="shared" si="0"/>
        <v>70</v>
      </c>
    </row>
    <row r="26" spans="1:10" ht="21" customHeight="1" x14ac:dyDescent="0.15">
      <c r="A26" s="46">
        <v>48007124</v>
      </c>
      <c r="B26" s="46">
        <v>0</v>
      </c>
      <c r="C26" s="46">
        <v>91</v>
      </c>
      <c r="D26" s="46">
        <v>50</v>
      </c>
      <c r="E26" s="46" t="s">
        <v>250</v>
      </c>
      <c r="F26" s="46" t="s">
        <v>250</v>
      </c>
      <c r="G26" s="46" t="s">
        <v>250</v>
      </c>
      <c r="H26" s="46" t="s">
        <v>250</v>
      </c>
      <c r="I26" s="46" t="s">
        <v>250</v>
      </c>
      <c r="J26" s="47">
        <f t="shared" si="0"/>
        <v>50</v>
      </c>
    </row>
    <row r="27" spans="1:10" ht="21" customHeight="1" x14ac:dyDescent="0.15">
      <c r="A27" s="46">
        <v>48007125</v>
      </c>
      <c r="B27" s="46">
        <v>0</v>
      </c>
      <c r="C27" s="46">
        <v>100</v>
      </c>
      <c r="D27" s="46">
        <v>100</v>
      </c>
      <c r="E27" s="46" t="s">
        <v>250</v>
      </c>
      <c r="F27" s="46" t="s">
        <v>250</v>
      </c>
      <c r="G27" s="46">
        <v>1</v>
      </c>
      <c r="H27" s="46">
        <v>9</v>
      </c>
      <c r="I27" s="46" t="s">
        <v>250</v>
      </c>
      <c r="J27" s="47">
        <f t="shared" si="0"/>
        <v>100</v>
      </c>
    </row>
    <row r="28" spans="1:10" ht="21" customHeight="1" x14ac:dyDescent="0.15">
      <c r="A28" s="46">
        <v>48007126</v>
      </c>
      <c r="B28" s="46">
        <v>0</v>
      </c>
      <c r="C28" s="46">
        <v>100</v>
      </c>
      <c r="D28" s="46">
        <v>100</v>
      </c>
      <c r="E28" s="46" t="s">
        <v>250</v>
      </c>
      <c r="F28" s="46" t="s">
        <v>250</v>
      </c>
      <c r="G28" s="46">
        <v>1</v>
      </c>
      <c r="H28" s="46">
        <v>10</v>
      </c>
      <c r="I28" s="46" t="s">
        <v>250</v>
      </c>
      <c r="J28" s="47">
        <f t="shared" si="0"/>
        <v>100</v>
      </c>
    </row>
    <row r="29" spans="1:10" ht="21" customHeight="1" x14ac:dyDescent="0.15">
      <c r="A29" s="46">
        <v>48007127</v>
      </c>
      <c r="B29" s="46">
        <v>0</v>
      </c>
      <c r="C29" s="46" t="s">
        <v>394</v>
      </c>
      <c r="D29" s="46">
        <v>100</v>
      </c>
      <c r="E29" s="46" t="s">
        <v>394</v>
      </c>
      <c r="F29" s="46" t="s">
        <v>394</v>
      </c>
      <c r="G29" s="46">
        <v>0</v>
      </c>
      <c r="H29" s="46" t="s">
        <v>394</v>
      </c>
      <c r="I29" s="46">
        <v>0</v>
      </c>
      <c r="J29" s="47">
        <v>100</v>
      </c>
    </row>
    <row r="30" spans="1:10" ht="21" customHeight="1" x14ac:dyDescent="0.15">
      <c r="A30" s="46">
        <v>48007128</v>
      </c>
      <c r="B30" s="46">
        <v>1</v>
      </c>
      <c r="C30" s="46">
        <v>100</v>
      </c>
      <c r="D30" s="46">
        <v>100</v>
      </c>
      <c r="E30" s="46" t="s">
        <v>250</v>
      </c>
      <c r="F30" s="46" t="s">
        <v>250</v>
      </c>
      <c r="G30" s="46">
        <v>1</v>
      </c>
      <c r="H30" s="46" t="s">
        <v>250</v>
      </c>
      <c r="I30" s="46" t="s">
        <v>250</v>
      </c>
      <c r="J30" s="47">
        <f t="shared" si="0"/>
        <v>100</v>
      </c>
    </row>
    <row r="31" spans="1:10" ht="21" customHeight="1" x14ac:dyDescent="0.15">
      <c r="A31" s="46">
        <v>48007129</v>
      </c>
      <c r="B31" s="46">
        <v>0</v>
      </c>
      <c r="C31" s="46">
        <v>90</v>
      </c>
      <c r="D31" s="46">
        <v>50</v>
      </c>
      <c r="E31" s="46" t="s">
        <v>250</v>
      </c>
      <c r="F31" s="46" t="s">
        <v>250</v>
      </c>
      <c r="G31" s="46" t="s">
        <v>250</v>
      </c>
      <c r="H31" s="46" t="s">
        <v>250</v>
      </c>
      <c r="I31" s="46" t="s">
        <v>250</v>
      </c>
      <c r="J31" s="47">
        <f t="shared" si="0"/>
        <v>50</v>
      </c>
    </row>
    <row r="32" spans="1:10" ht="21" customHeight="1" x14ac:dyDescent="0.15">
      <c r="A32" s="46">
        <v>48007130</v>
      </c>
      <c r="B32" s="46">
        <v>0</v>
      </c>
      <c r="C32" s="46">
        <v>100</v>
      </c>
      <c r="D32" s="46">
        <v>100</v>
      </c>
      <c r="E32" s="46">
        <v>50</v>
      </c>
      <c r="F32" s="46" t="s">
        <v>250</v>
      </c>
      <c r="G32" s="46">
        <v>1</v>
      </c>
      <c r="H32" s="46" t="s">
        <v>250</v>
      </c>
      <c r="I32" s="46" t="s">
        <v>250</v>
      </c>
      <c r="J32" s="47">
        <f t="shared" si="0"/>
        <v>100</v>
      </c>
    </row>
    <row r="33" spans="1:10" ht="21" customHeight="1" x14ac:dyDescent="0.15">
      <c r="A33" s="46">
        <v>48007131</v>
      </c>
      <c r="B33" s="46">
        <v>0</v>
      </c>
      <c r="C33" s="46">
        <v>91</v>
      </c>
      <c r="D33" s="46">
        <v>50</v>
      </c>
      <c r="E33" s="46">
        <v>50</v>
      </c>
      <c r="F33" s="46" t="s">
        <v>250</v>
      </c>
      <c r="G33" s="46" t="s">
        <v>250</v>
      </c>
      <c r="H33" s="46" t="s">
        <v>250</v>
      </c>
      <c r="I33" s="46" t="s">
        <v>250</v>
      </c>
      <c r="J33" s="47">
        <f t="shared" si="0"/>
        <v>50</v>
      </c>
    </row>
    <row r="34" spans="1:10" ht="21" customHeight="1" x14ac:dyDescent="0.15">
      <c r="A34" s="46">
        <v>48007132</v>
      </c>
      <c r="B34" s="46">
        <v>0</v>
      </c>
      <c r="C34" s="46">
        <v>101</v>
      </c>
      <c r="D34" s="46">
        <v>100</v>
      </c>
      <c r="E34" s="46">
        <v>30</v>
      </c>
      <c r="F34" s="46" t="s">
        <v>250</v>
      </c>
      <c r="G34" s="46">
        <v>1</v>
      </c>
      <c r="H34" s="46">
        <v>1</v>
      </c>
      <c r="I34" s="46" t="s">
        <v>250</v>
      </c>
      <c r="J34" s="47">
        <f t="shared" si="0"/>
        <v>100</v>
      </c>
    </row>
    <row r="35" spans="1:10" ht="21" customHeight="1" x14ac:dyDescent="0.15">
      <c r="A35" s="46">
        <v>48007133</v>
      </c>
      <c r="B35" s="46">
        <v>0</v>
      </c>
      <c r="C35" s="46">
        <v>100</v>
      </c>
      <c r="D35" s="46">
        <v>100</v>
      </c>
      <c r="E35" s="46">
        <v>30</v>
      </c>
      <c r="F35" s="46" t="s">
        <v>250</v>
      </c>
      <c r="G35" s="46">
        <v>1</v>
      </c>
      <c r="H35" s="46">
        <v>1</v>
      </c>
      <c r="I35" s="46" t="s">
        <v>250</v>
      </c>
      <c r="J35" s="47">
        <f t="shared" si="0"/>
        <v>100</v>
      </c>
    </row>
    <row r="36" spans="1:10" ht="21" customHeight="1" x14ac:dyDescent="0.15">
      <c r="A36" s="46">
        <v>48007134</v>
      </c>
      <c r="B36" s="46">
        <v>0</v>
      </c>
      <c r="C36" s="46" t="s">
        <v>394</v>
      </c>
      <c r="D36" s="46">
        <v>100</v>
      </c>
      <c r="E36" s="46" t="s">
        <v>394</v>
      </c>
      <c r="F36" s="46" t="s">
        <v>394</v>
      </c>
      <c r="G36" s="46">
        <v>0</v>
      </c>
      <c r="H36" s="46" t="s">
        <v>394</v>
      </c>
      <c r="I36" s="46">
        <v>0</v>
      </c>
      <c r="J36" s="47">
        <v>100</v>
      </c>
    </row>
    <row r="37" spans="1:10" ht="21" customHeight="1" x14ac:dyDescent="0.15">
      <c r="A37" s="46">
        <v>48007135</v>
      </c>
      <c r="B37" s="46">
        <v>1</v>
      </c>
      <c r="C37" s="46">
        <v>100</v>
      </c>
      <c r="D37" s="46">
        <v>100</v>
      </c>
      <c r="E37" s="46" t="s">
        <v>250</v>
      </c>
      <c r="F37" s="46" t="s">
        <v>250</v>
      </c>
      <c r="G37" s="46">
        <v>1</v>
      </c>
      <c r="H37" s="46" t="s">
        <v>250</v>
      </c>
      <c r="I37" s="46" t="s">
        <v>250</v>
      </c>
      <c r="J37" s="47">
        <f t="shared" si="0"/>
        <v>100</v>
      </c>
    </row>
    <row r="38" spans="1:10" ht="21" customHeight="1" x14ac:dyDescent="0.15">
      <c r="A38" s="46">
        <v>48007136</v>
      </c>
      <c r="B38" s="46">
        <v>0</v>
      </c>
      <c r="C38" s="46">
        <v>100</v>
      </c>
      <c r="D38" s="46">
        <v>50</v>
      </c>
      <c r="E38" s="46">
        <v>100</v>
      </c>
      <c r="F38" s="46" t="s">
        <v>250</v>
      </c>
      <c r="G38" s="46" t="s">
        <v>250</v>
      </c>
      <c r="H38" s="46" t="s">
        <v>250</v>
      </c>
      <c r="I38" s="46" t="s">
        <v>250</v>
      </c>
      <c r="J38" s="47">
        <f t="shared" si="0"/>
        <v>50</v>
      </c>
    </row>
    <row r="39" spans="1:10" ht="21" customHeight="1" x14ac:dyDescent="0.15">
      <c r="A39" s="46">
        <v>48007137</v>
      </c>
      <c r="B39" s="46">
        <v>0</v>
      </c>
      <c r="C39" s="46">
        <v>100</v>
      </c>
      <c r="D39" s="46">
        <v>100</v>
      </c>
      <c r="E39" s="46">
        <v>50</v>
      </c>
      <c r="F39" s="46" t="s">
        <v>250</v>
      </c>
      <c r="G39" s="46">
        <v>1</v>
      </c>
      <c r="H39" s="46" t="s">
        <v>250</v>
      </c>
      <c r="I39" s="46" t="s">
        <v>250</v>
      </c>
      <c r="J39" s="47">
        <f t="shared" si="0"/>
        <v>100</v>
      </c>
    </row>
    <row r="40" spans="1:10" ht="21" customHeight="1" x14ac:dyDescent="0.15">
      <c r="A40" s="46">
        <v>48007138</v>
      </c>
      <c r="B40" s="46">
        <v>0</v>
      </c>
      <c r="C40" s="46">
        <v>101</v>
      </c>
      <c r="D40" s="46">
        <v>20</v>
      </c>
      <c r="E40" s="46">
        <v>50</v>
      </c>
      <c r="F40" s="46" t="s">
        <v>250</v>
      </c>
      <c r="G40" s="46">
        <v>1</v>
      </c>
      <c r="H40" s="46">
        <v>1</v>
      </c>
      <c r="I40" s="46" t="s">
        <v>250</v>
      </c>
      <c r="J40" s="47">
        <f t="shared" si="0"/>
        <v>20</v>
      </c>
    </row>
    <row r="41" spans="1:10" ht="21" customHeight="1" x14ac:dyDescent="0.15">
      <c r="A41" s="46">
        <v>48007139</v>
      </c>
      <c r="B41" s="46">
        <v>0</v>
      </c>
      <c r="C41" s="46">
        <v>101</v>
      </c>
      <c r="D41" s="46">
        <v>50</v>
      </c>
      <c r="E41" s="46">
        <v>50</v>
      </c>
      <c r="F41" s="46" t="s">
        <v>250</v>
      </c>
      <c r="G41" s="46" t="s">
        <v>250</v>
      </c>
      <c r="H41" s="46" t="s">
        <v>250</v>
      </c>
      <c r="I41" s="46" t="s">
        <v>250</v>
      </c>
      <c r="J41" s="47">
        <f t="shared" si="0"/>
        <v>50</v>
      </c>
    </row>
    <row r="42" spans="1:10" ht="21" customHeight="1" x14ac:dyDescent="0.15">
      <c r="A42" s="46">
        <v>48007140</v>
      </c>
      <c r="B42" s="46">
        <v>0</v>
      </c>
      <c r="C42" s="46">
        <v>101</v>
      </c>
      <c r="D42" s="46">
        <v>50</v>
      </c>
      <c r="E42" s="46">
        <v>50</v>
      </c>
      <c r="F42" s="46" t="s">
        <v>250</v>
      </c>
      <c r="G42" s="46" t="s">
        <v>250</v>
      </c>
      <c r="H42" s="46" t="s">
        <v>250</v>
      </c>
      <c r="I42" s="46" t="s">
        <v>250</v>
      </c>
      <c r="J42" s="47">
        <f t="shared" si="0"/>
        <v>50</v>
      </c>
    </row>
    <row r="43" spans="1:10" ht="21" customHeight="1" x14ac:dyDescent="0.15">
      <c r="A43" s="46">
        <v>48007141</v>
      </c>
      <c r="B43" s="46">
        <v>0</v>
      </c>
      <c r="C43" s="46" t="s">
        <v>394</v>
      </c>
      <c r="D43" s="46">
        <v>100</v>
      </c>
      <c r="E43" s="46" t="s">
        <v>394</v>
      </c>
      <c r="F43" s="46" t="s">
        <v>394</v>
      </c>
      <c r="G43" s="46">
        <v>0</v>
      </c>
      <c r="H43" s="46" t="s">
        <v>394</v>
      </c>
      <c r="I43" s="46">
        <v>0</v>
      </c>
      <c r="J43" s="47">
        <v>100</v>
      </c>
    </row>
    <row r="44" spans="1:10" ht="21" customHeight="1" x14ac:dyDescent="0.15">
      <c r="A44" s="46">
        <v>48007142</v>
      </c>
      <c r="B44" s="46">
        <v>1</v>
      </c>
      <c r="C44" s="46">
        <v>100</v>
      </c>
      <c r="D44" s="46">
        <v>100</v>
      </c>
      <c r="E44" s="46" t="s">
        <v>250</v>
      </c>
      <c r="F44" s="46" t="s">
        <v>250</v>
      </c>
      <c r="G44" s="46">
        <v>1</v>
      </c>
      <c r="H44" s="46" t="s">
        <v>250</v>
      </c>
      <c r="I44" s="46" t="s">
        <v>250</v>
      </c>
      <c r="J44" s="47">
        <f t="shared" si="0"/>
        <v>100</v>
      </c>
    </row>
    <row r="45" spans="1:10" ht="21" customHeight="1" x14ac:dyDescent="0.15">
      <c r="A45" s="46">
        <v>48007143</v>
      </c>
      <c r="B45" s="46">
        <v>0</v>
      </c>
      <c r="C45" s="46">
        <v>90</v>
      </c>
      <c r="D45" s="46">
        <v>50</v>
      </c>
      <c r="E45" s="46" t="s">
        <v>250</v>
      </c>
      <c r="F45" s="46" t="s">
        <v>250</v>
      </c>
      <c r="G45" s="46" t="s">
        <v>250</v>
      </c>
      <c r="H45" s="46" t="s">
        <v>250</v>
      </c>
      <c r="I45" s="46" t="s">
        <v>250</v>
      </c>
      <c r="J45" s="47">
        <f t="shared" si="0"/>
        <v>50</v>
      </c>
    </row>
    <row r="46" spans="1:10" ht="21" customHeight="1" x14ac:dyDescent="0.15">
      <c r="A46" s="46">
        <v>48007144</v>
      </c>
      <c r="B46" s="46">
        <v>0</v>
      </c>
      <c r="C46" s="46">
        <v>90</v>
      </c>
      <c r="D46" s="46">
        <v>50</v>
      </c>
      <c r="E46" s="46" t="s">
        <v>250</v>
      </c>
      <c r="F46" s="46" t="s">
        <v>250</v>
      </c>
      <c r="G46" s="46" t="s">
        <v>250</v>
      </c>
      <c r="H46" s="46" t="s">
        <v>250</v>
      </c>
      <c r="I46" s="46" t="s">
        <v>250</v>
      </c>
      <c r="J46" s="47">
        <f t="shared" si="0"/>
        <v>50</v>
      </c>
    </row>
    <row r="47" spans="1:10" ht="21" customHeight="1" x14ac:dyDescent="0.15">
      <c r="A47" s="46">
        <v>48007145</v>
      </c>
      <c r="B47" s="46">
        <v>0</v>
      </c>
      <c r="C47" s="46">
        <v>100</v>
      </c>
      <c r="D47" s="46">
        <v>100</v>
      </c>
      <c r="E47" s="46">
        <v>50</v>
      </c>
      <c r="F47" s="46" t="s">
        <v>250</v>
      </c>
      <c r="G47" s="46">
        <v>1</v>
      </c>
      <c r="H47" s="46" t="s">
        <v>250</v>
      </c>
      <c r="I47" s="46" t="s">
        <v>250</v>
      </c>
      <c r="J47" s="47">
        <f t="shared" si="0"/>
        <v>100</v>
      </c>
    </row>
    <row r="48" spans="1:10" ht="21" customHeight="1" x14ac:dyDescent="0.15">
      <c r="A48" s="46">
        <v>48007146</v>
      </c>
      <c r="B48" s="46">
        <v>0</v>
      </c>
      <c r="C48" s="46">
        <v>90</v>
      </c>
      <c r="D48" s="46">
        <v>100</v>
      </c>
      <c r="E48" s="46">
        <v>50</v>
      </c>
      <c r="F48" s="46" t="s">
        <v>250</v>
      </c>
      <c r="G48" s="46">
        <v>1</v>
      </c>
      <c r="H48" s="46">
        <v>1</v>
      </c>
      <c r="I48" s="46" t="s">
        <v>250</v>
      </c>
      <c r="J48" s="47">
        <f t="shared" si="0"/>
        <v>100</v>
      </c>
    </row>
    <row r="49" spans="1:10" ht="21" customHeight="1" x14ac:dyDescent="0.15">
      <c r="A49" s="46">
        <v>48007147</v>
      </c>
      <c r="B49" s="46">
        <v>0</v>
      </c>
      <c r="C49" s="46">
        <v>100</v>
      </c>
      <c r="D49" s="46">
        <v>100</v>
      </c>
      <c r="E49" s="46">
        <v>30</v>
      </c>
      <c r="F49" s="46" t="s">
        <v>250</v>
      </c>
      <c r="G49" s="46">
        <v>1</v>
      </c>
      <c r="H49" s="46" t="s">
        <v>250</v>
      </c>
      <c r="I49" s="46" t="s">
        <v>250</v>
      </c>
      <c r="J49" s="47">
        <f t="shared" si="0"/>
        <v>100</v>
      </c>
    </row>
    <row r="50" spans="1:10" ht="21" customHeight="1" x14ac:dyDescent="0.15">
      <c r="A50" s="46">
        <v>48007148</v>
      </c>
      <c r="B50" s="46">
        <v>0</v>
      </c>
      <c r="C50" s="46" t="s">
        <v>394</v>
      </c>
      <c r="D50" s="46">
        <v>100</v>
      </c>
      <c r="E50" s="46" t="s">
        <v>394</v>
      </c>
      <c r="F50" s="46" t="s">
        <v>394</v>
      </c>
      <c r="G50" s="46">
        <v>0</v>
      </c>
      <c r="H50" s="46" t="s">
        <v>394</v>
      </c>
      <c r="I50" s="46">
        <v>0</v>
      </c>
      <c r="J50" s="47">
        <v>100</v>
      </c>
    </row>
    <row r="51" spans="1:10" ht="21" customHeight="1" x14ac:dyDescent="0.15">
      <c r="A51" s="46">
        <v>48007149</v>
      </c>
      <c r="B51" s="46">
        <v>1</v>
      </c>
      <c r="C51" s="46">
        <v>100</v>
      </c>
      <c r="D51" s="46">
        <v>100</v>
      </c>
      <c r="E51" s="46" t="s">
        <v>250</v>
      </c>
      <c r="F51" s="46" t="s">
        <v>250</v>
      </c>
      <c r="G51" s="46">
        <v>1</v>
      </c>
      <c r="H51" s="46" t="s">
        <v>250</v>
      </c>
      <c r="I51" s="46" t="s">
        <v>250</v>
      </c>
      <c r="J51" s="47">
        <f t="shared" si="0"/>
        <v>100</v>
      </c>
    </row>
    <row r="52" spans="1:10" ht="21" customHeight="1" x14ac:dyDescent="0.15">
      <c r="A52" s="46">
        <v>48007150</v>
      </c>
      <c r="B52" s="46">
        <v>0</v>
      </c>
      <c r="C52" s="46">
        <v>100</v>
      </c>
      <c r="D52" s="46">
        <v>100</v>
      </c>
      <c r="E52" s="46" t="s">
        <v>250</v>
      </c>
      <c r="F52" s="46" t="s">
        <v>250</v>
      </c>
      <c r="G52" s="46">
        <v>1</v>
      </c>
      <c r="H52" s="46">
        <v>1</v>
      </c>
      <c r="I52" s="46" t="s">
        <v>250</v>
      </c>
      <c r="J52" s="47">
        <f t="shared" si="0"/>
        <v>100</v>
      </c>
    </row>
    <row r="53" spans="1:10" ht="21" customHeight="1" x14ac:dyDescent="0.15">
      <c r="A53" s="46">
        <v>48007151</v>
      </c>
      <c r="B53" s="46">
        <v>0</v>
      </c>
      <c r="C53" s="46">
        <v>101</v>
      </c>
      <c r="D53" s="46">
        <v>100</v>
      </c>
      <c r="E53" s="46" t="s">
        <v>250</v>
      </c>
      <c r="F53" s="46" t="s">
        <v>250</v>
      </c>
      <c r="G53" s="46">
        <v>1</v>
      </c>
      <c r="H53" s="46">
        <v>2</v>
      </c>
      <c r="I53" s="46" t="s">
        <v>250</v>
      </c>
      <c r="J53" s="47">
        <f t="shared" si="0"/>
        <v>100</v>
      </c>
    </row>
    <row r="54" spans="1:10" ht="21" customHeight="1" x14ac:dyDescent="0.15">
      <c r="A54" s="46">
        <v>48007152</v>
      </c>
      <c r="B54" s="46">
        <v>0</v>
      </c>
      <c r="C54" s="46">
        <v>102</v>
      </c>
      <c r="D54" s="46">
        <v>100</v>
      </c>
      <c r="E54" s="46" t="s">
        <v>250</v>
      </c>
      <c r="F54" s="46" t="s">
        <v>250</v>
      </c>
      <c r="G54" s="46">
        <v>1</v>
      </c>
      <c r="H54" s="46">
        <v>3</v>
      </c>
      <c r="I54" s="46" t="s">
        <v>250</v>
      </c>
      <c r="J54" s="47">
        <f t="shared" si="0"/>
        <v>100</v>
      </c>
    </row>
    <row r="55" spans="1:10" ht="21" customHeight="1" x14ac:dyDescent="0.15">
      <c r="A55" s="46">
        <v>48007153</v>
      </c>
      <c r="B55" s="46">
        <v>0</v>
      </c>
      <c r="C55" s="46">
        <v>103</v>
      </c>
      <c r="D55" s="46">
        <v>100</v>
      </c>
      <c r="E55" s="46" t="s">
        <v>250</v>
      </c>
      <c r="F55" s="46" t="s">
        <v>250</v>
      </c>
      <c r="G55" s="46">
        <v>1</v>
      </c>
      <c r="H55" s="46">
        <v>4</v>
      </c>
      <c r="I55" s="46" t="s">
        <v>250</v>
      </c>
      <c r="J55" s="47">
        <f t="shared" si="0"/>
        <v>100</v>
      </c>
    </row>
    <row r="56" spans="1:10" ht="21" customHeight="1" x14ac:dyDescent="0.15">
      <c r="A56" s="46">
        <v>48007154</v>
      </c>
      <c r="B56" s="46">
        <v>0</v>
      </c>
      <c r="C56" s="46">
        <v>104</v>
      </c>
      <c r="D56" s="46">
        <v>100</v>
      </c>
      <c r="E56" s="46" t="s">
        <v>250</v>
      </c>
      <c r="F56" s="46" t="s">
        <v>250</v>
      </c>
      <c r="G56" s="46">
        <v>1</v>
      </c>
      <c r="H56" s="46">
        <v>5</v>
      </c>
      <c r="I56" s="46" t="s">
        <v>250</v>
      </c>
      <c r="J56" s="47">
        <f t="shared" si="0"/>
        <v>100</v>
      </c>
    </row>
    <row r="57" spans="1:10" ht="21" customHeight="1" x14ac:dyDescent="0.15">
      <c r="A57" s="46">
        <v>48007155</v>
      </c>
      <c r="B57" s="46">
        <v>0</v>
      </c>
      <c r="C57" s="46">
        <v>105</v>
      </c>
      <c r="D57" s="46">
        <v>100</v>
      </c>
      <c r="E57" s="46" t="s">
        <v>250</v>
      </c>
      <c r="F57" s="46" t="s">
        <v>250</v>
      </c>
      <c r="G57" s="46">
        <v>1</v>
      </c>
      <c r="H57" s="46">
        <v>6</v>
      </c>
      <c r="I57" s="46" t="s">
        <v>250</v>
      </c>
      <c r="J57" s="47">
        <f t="shared" si="0"/>
        <v>100</v>
      </c>
    </row>
    <row r="58" spans="1:10" ht="21" customHeight="1" x14ac:dyDescent="0.15">
      <c r="A58" s="46">
        <v>48007156</v>
      </c>
      <c r="B58" s="46">
        <v>0</v>
      </c>
      <c r="C58" s="46">
        <v>100</v>
      </c>
      <c r="D58" s="46">
        <v>100</v>
      </c>
      <c r="E58" s="46" t="s">
        <v>250</v>
      </c>
      <c r="F58" s="46" t="s">
        <v>250</v>
      </c>
      <c r="G58" s="46">
        <v>0</v>
      </c>
      <c r="H58" s="46" t="s">
        <v>250</v>
      </c>
      <c r="I58" s="46">
        <v>8080</v>
      </c>
      <c r="J58" s="47">
        <f t="shared" si="0"/>
        <v>100</v>
      </c>
    </row>
    <row r="59" spans="1:10" ht="21" customHeight="1" x14ac:dyDescent="0.15">
      <c r="A59" s="46">
        <v>48007180</v>
      </c>
      <c r="B59" s="46">
        <v>1</v>
      </c>
      <c r="C59" s="46">
        <v>102</v>
      </c>
      <c r="D59" s="46">
        <v>100</v>
      </c>
      <c r="E59" s="46" t="s">
        <v>250</v>
      </c>
      <c r="F59" s="46" t="s">
        <v>250</v>
      </c>
      <c r="G59" s="46">
        <v>1</v>
      </c>
      <c r="H59" s="46" t="s">
        <v>250</v>
      </c>
      <c r="I59" s="46">
        <v>8077</v>
      </c>
      <c r="J59" s="47">
        <f t="shared" si="0"/>
        <v>100</v>
      </c>
    </row>
    <row r="60" spans="1:10" ht="21" customHeight="1" x14ac:dyDescent="0.15">
      <c r="A60" s="46">
        <v>48007181</v>
      </c>
      <c r="B60" s="46">
        <v>1</v>
      </c>
      <c r="C60" s="46">
        <v>101</v>
      </c>
      <c r="D60" s="46">
        <v>100</v>
      </c>
      <c r="E60" s="46" t="s">
        <v>250</v>
      </c>
      <c r="F60" s="46" t="s">
        <v>250</v>
      </c>
      <c r="G60" s="46">
        <v>1</v>
      </c>
      <c r="H60" s="46" t="s">
        <v>250</v>
      </c>
      <c r="I60" s="46">
        <v>8078</v>
      </c>
      <c r="J60" s="47">
        <f t="shared" si="0"/>
        <v>100</v>
      </c>
    </row>
    <row r="61" spans="1:10" ht="21" customHeight="1" x14ac:dyDescent="0.15">
      <c r="A61" s="46">
        <v>48007182</v>
      </c>
      <c r="B61" s="46">
        <v>1</v>
      </c>
      <c r="C61" s="46">
        <v>102</v>
      </c>
      <c r="D61" s="46">
        <v>100</v>
      </c>
      <c r="E61" s="46" t="s">
        <v>250</v>
      </c>
      <c r="F61" s="46" t="s">
        <v>250</v>
      </c>
      <c r="G61" s="46">
        <v>1</v>
      </c>
      <c r="H61" s="46" t="s">
        <v>250</v>
      </c>
      <c r="I61" s="46">
        <v>8077</v>
      </c>
      <c r="J61" s="47">
        <f t="shared" si="0"/>
        <v>100</v>
      </c>
    </row>
    <row r="62" spans="1:10" ht="21" customHeight="1" x14ac:dyDescent="0.15">
      <c r="A62" s="46">
        <v>48007183</v>
      </c>
      <c r="B62" s="46">
        <v>1</v>
      </c>
      <c r="C62" s="46">
        <v>101</v>
      </c>
      <c r="D62" s="46">
        <v>100</v>
      </c>
      <c r="E62" s="46" t="s">
        <v>250</v>
      </c>
      <c r="F62" s="46" t="s">
        <v>250</v>
      </c>
      <c r="G62" s="46">
        <v>1</v>
      </c>
      <c r="H62" s="46" t="s">
        <v>250</v>
      </c>
      <c r="I62" s="46">
        <v>8078</v>
      </c>
      <c r="J62" s="47">
        <f t="shared" si="0"/>
        <v>100</v>
      </c>
    </row>
    <row r="63" spans="1:10" ht="21" customHeight="1" x14ac:dyDescent="0.15">
      <c r="A63" s="46">
        <v>48007184</v>
      </c>
      <c r="B63" s="46">
        <v>1</v>
      </c>
      <c r="C63" s="46">
        <v>102</v>
      </c>
      <c r="D63" s="46">
        <v>100</v>
      </c>
      <c r="E63" s="46" t="s">
        <v>250</v>
      </c>
      <c r="F63" s="46" t="s">
        <v>250</v>
      </c>
      <c r="G63" s="46">
        <v>1</v>
      </c>
      <c r="H63" s="46" t="s">
        <v>250</v>
      </c>
      <c r="I63" s="46">
        <v>8077</v>
      </c>
      <c r="J63" s="47">
        <f t="shared" si="0"/>
        <v>100</v>
      </c>
    </row>
    <row r="64" spans="1:10" ht="21" customHeight="1" x14ac:dyDescent="0.15">
      <c r="A64" s="46">
        <v>48007185</v>
      </c>
      <c r="B64" s="46">
        <v>1</v>
      </c>
      <c r="C64" s="46">
        <v>101</v>
      </c>
      <c r="D64" s="46">
        <v>100</v>
      </c>
      <c r="E64" s="46" t="s">
        <v>250</v>
      </c>
      <c r="F64" s="46" t="s">
        <v>250</v>
      </c>
      <c r="G64" s="46">
        <v>1</v>
      </c>
      <c r="H64" s="46" t="s">
        <v>250</v>
      </c>
      <c r="I64" s="46">
        <v>8078</v>
      </c>
      <c r="J64" s="47">
        <f t="shared" si="0"/>
        <v>100</v>
      </c>
    </row>
    <row r="65" spans="1:10" ht="21" customHeight="1" x14ac:dyDescent="0.15">
      <c r="A65" s="46">
        <v>48007186</v>
      </c>
      <c r="B65" s="46">
        <v>1</v>
      </c>
      <c r="C65" s="46">
        <v>102</v>
      </c>
      <c r="D65" s="46">
        <v>100</v>
      </c>
      <c r="E65" s="46" t="s">
        <v>250</v>
      </c>
      <c r="F65" s="46" t="s">
        <v>250</v>
      </c>
      <c r="G65" s="46">
        <v>1</v>
      </c>
      <c r="H65" s="46" t="s">
        <v>250</v>
      </c>
      <c r="I65" s="46">
        <v>8077</v>
      </c>
      <c r="J65" s="47">
        <f t="shared" si="0"/>
        <v>100</v>
      </c>
    </row>
    <row r="66" spans="1:10" ht="21" customHeight="1" x14ac:dyDescent="0.15">
      <c r="A66" s="46">
        <v>48007187</v>
      </c>
      <c r="B66" s="46">
        <v>1</v>
      </c>
      <c r="C66" s="46">
        <v>101</v>
      </c>
      <c r="D66" s="46">
        <v>100</v>
      </c>
      <c r="E66" s="46" t="s">
        <v>250</v>
      </c>
      <c r="F66" s="46" t="s">
        <v>250</v>
      </c>
      <c r="G66" s="46">
        <v>1</v>
      </c>
      <c r="H66" s="46" t="s">
        <v>250</v>
      </c>
      <c r="I66" s="46">
        <v>8078</v>
      </c>
      <c r="J66" s="47">
        <f t="shared" si="0"/>
        <v>100</v>
      </c>
    </row>
    <row r="67" spans="1:10" ht="21" customHeight="1" x14ac:dyDescent="0.15">
      <c r="A67" s="46">
        <v>48007188</v>
      </c>
      <c r="B67" s="46">
        <v>1</v>
      </c>
      <c r="C67" s="46">
        <v>102</v>
      </c>
      <c r="D67" s="46">
        <v>100</v>
      </c>
      <c r="E67" s="46" t="s">
        <v>250</v>
      </c>
      <c r="F67" s="46" t="s">
        <v>250</v>
      </c>
      <c r="G67" s="46">
        <v>1</v>
      </c>
      <c r="H67" s="46" t="s">
        <v>250</v>
      </c>
      <c r="I67" s="46">
        <v>8077</v>
      </c>
      <c r="J67" s="47">
        <f t="shared" si="0"/>
        <v>100</v>
      </c>
    </row>
    <row r="68" spans="1:10" ht="21" customHeight="1" x14ac:dyDescent="0.15">
      <c r="A68" s="46">
        <v>48007189</v>
      </c>
      <c r="B68" s="46">
        <v>1</v>
      </c>
      <c r="C68" s="46">
        <v>101</v>
      </c>
      <c r="D68" s="46">
        <v>100</v>
      </c>
      <c r="E68" s="46" t="s">
        <v>250</v>
      </c>
      <c r="F68" s="46" t="s">
        <v>250</v>
      </c>
      <c r="G68" s="46">
        <v>1</v>
      </c>
      <c r="H68" s="46" t="s">
        <v>250</v>
      </c>
      <c r="I68" s="46">
        <v>8078</v>
      </c>
      <c r="J68" s="47">
        <f t="shared" si="0"/>
        <v>100</v>
      </c>
    </row>
    <row r="69" spans="1:10" ht="21" customHeight="1" x14ac:dyDescent="0.15">
      <c r="A69" s="46">
        <v>48007190</v>
      </c>
      <c r="B69" s="46">
        <v>1</v>
      </c>
      <c r="C69" s="46">
        <v>102</v>
      </c>
      <c r="D69" s="46">
        <v>100</v>
      </c>
      <c r="E69" s="46" t="s">
        <v>250</v>
      </c>
      <c r="F69" s="46" t="s">
        <v>250</v>
      </c>
      <c r="G69" s="46">
        <v>1</v>
      </c>
      <c r="H69" s="46" t="s">
        <v>250</v>
      </c>
      <c r="I69" s="46">
        <v>8077</v>
      </c>
      <c r="J69" s="47">
        <f t="shared" si="0"/>
        <v>100</v>
      </c>
    </row>
    <row r="70" spans="1:10" ht="21" customHeight="1" x14ac:dyDescent="0.15">
      <c r="A70" s="46">
        <v>48007191</v>
      </c>
      <c r="B70" s="46">
        <v>1</v>
      </c>
      <c r="C70" s="46">
        <v>101</v>
      </c>
      <c r="D70" s="46">
        <v>100</v>
      </c>
      <c r="E70" s="46" t="s">
        <v>250</v>
      </c>
      <c r="F70" s="46" t="s">
        <v>250</v>
      </c>
      <c r="G70" s="46">
        <v>1</v>
      </c>
      <c r="H70" s="46" t="s">
        <v>250</v>
      </c>
      <c r="I70" s="46">
        <v>8078</v>
      </c>
      <c r="J70" s="47">
        <f t="shared" si="0"/>
        <v>100</v>
      </c>
    </row>
    <row r="71" spans="1:10" ht="21" customHeight="1" x14ac:dyDescent="0.15">
      <c r="A71" s="46">
        <v>48007192</v>
      </c>
      <c r="B71" s="46">
        <v>1</v>
      </c>
      <c r="C71" s="46">
        <v>102</v>
      </c>
      <c r="D71" s="46">
        <v>100</v>
      </c>
      <c r="E71" s="46" t="s">
        <v>250</v>
      </c>
      <c r="F71" s="46" t="s">
        <v>250</v>
      </c>
      <c r="G71" s="46">
        <v>1</v>
      </c>
      <c r="H71" s="46" t="s">
        <v>250</v>
      </c>
      <c r="I71" s="46">
        <v>8077</v>
      </c>
      <c r="J71" s="47">
        <f t="shared" si="0"/>
        <v>100</v>
      </c>
    </row>
    <row r="72" spans="1:10" ht="21" customHeight="1" x14ac:dyDescent="0.15">
      <c r="A72" s="46">
        <v>48007193</v>
      </c>
      <c r="B72" s="46">
        <v>1</v>
      </c>
      <c r="C72" s="46">
        <v>101</v>
      </c>
      <c r="D72" s="46">
        <v>100</v>
      </c>
      <c r="E72" s="46" t="s">
        <v>250</v>
      </c>
      <c r="F72" s="46" t="s">
        <v>250</v>
      </c>
      <c r="G72" s="46">
        <v>1</v>
      </c>
      <c r="H72" s="46" t="s">
        <v>250</v>
      </c>
      <c r="I72" s="46">
        <v>8078</v>
      </c>
      <c r="J72" s="47">
        <f t="shared" si="0"/>
        <v>100</v>
      </c>
    </row>
    <row r="73" spans="1:10" ht="21" customHeight="1" x14ac:dyDescent="0.15">
      <c r="A73" s="46">
        <v>48007194</v>
      </c>
      <c r="B73" s="46">
        <v>0</v>
      </c>
      <c r="C73" s="46">
        <v>103</v>
      </c>
      <c r="D73" s="46">
        <v>100</v>
      </c>
      <c r="E73" s="46">
        <v>50</v>
      </c>
      <c r="F73" s="46" t="s">
        <v>250</v>
      </c>
      <c r="G73" s="46">
        <v>1</v>
      </c>
      <c r="H73" s="46" t="s">
        <v>250</v>
      </c>
      <c r="I73" s="46">
        <v>8077</v>
      </c>
      <c r="J73" s="47">
        <f t="shared" si="0"/>
        <v>100</v>
      </c>
    </row>
    <row r="74" spans="1:10" ht="21" customHeight="1" x14ac:dyDescent="0.15">
      <c r="A74" s="46">
        <v>48007195</v>
      </c>
      <c r="B74" s="46">
        <v>0</v>
      </c>
      <c r="C74" s="46">
        <v>103</v>
      </c>
      <c r="D74" s="46">
        <v>100</v>
      </c>
      <c r="E74" s="46">
        <v>50</v>
      </c>
      <c r="F74" s="46" t="s">
        <v>250</v>
      </c>
      <c r="G74" s="46">
        <v>1</v>
      </c>
      <c r="H74" s="46" t="s">
        <v>250</v>
      </c>
      <c r="I74" s="46">
        <v>8078</v>
      </c>
      <c r="J74" s="47">
        <f t="shared" si="0"/>
        <v>100</v>
      </c>
    </row>
    <row r="75" spans="1:10" ht="21" customHeight="1" x14ac:dyDescent="0.15">
      <c r="A75" s="46">
        <v>48007196</v>
      </c>
      <c r="B75" s="46">
        <v>0</v>
      </c>
      <c r="C75" s="46">
        <v>104</v>
      </c>
      <c r="D75" s="46">
        <v>100</v>
      </c>
      <c r="E75" s="46">
        <v>30</v>
      </c>
      <c r="F75" s="46" t="s">
        <v>250</v>
      </c>
      <c r="G75" s="46">
        <v>1</v>
      </c>
      <c r="H75" s="46" t="s">
        <v>250</v>
      </c>
      <c r="I75" s="46">
        <v>8077</v>
      </c>
      <c r="J75" s="47">
        <f t="shared" si="0"/>
        <v>100</v>
      </c>
    </row>
    <row r="76" spans="1:10" ht="21" customHeight="1" x14ac:dyDescent="0.15">
      <c r="A76" s="46">
        <v>48007197</v>
      </c>
      <c r="B76" s="46">
        <v>0</v>
      </c>
      <c r="C76" s="46">
        <v>104</v>
      </c>
      <c r="D76" s="46">
        <v>100</v>
      </c>
      <c r="E76" s="46">
        <v>30</v>
      </c>
      <c r="F76" s="46" t="s">
        <v>250</v>
      </c>
      <c r="G76" s="46">
        <v>1</v>
      </c>
      <c r="H76" s="46" t="s">
        <v>250</v>
      </c>
      <c r="I76" s="46">
        <v>8078</v>
      </c>
      <c r="J76" s="47">
        <f t="shared" si="0"/>
        <v>100</v>
      </c>
    </row>
    <row r="77" spans="1:10" ht="21" customHeight="1" x14ac:dyDescent="0.15">
      <c r="A77" s="46">
        <v>48007198</v>
      </c>
      <c r="B77" s="46">
        <v>1</v>
      </c>
      <c r="C77" s="46">
        <v>100</v>
      </c>
      <c r="D77" s="46">
        <v>100</v>
      </c>
      <c r="E77" s="46" t="s">
        <v>250</v>
      </c>
      <c r="F77" s="46" t="s">
        <v>250</v>
      </c>
      <c r="G77" s="46">
        <v>1</v>
      </c>
      <c r="H77" s="46" t="s">
        <v>250</v>
      </c>
      <c r="I77" s="46">
        <v>8077</v>
      </c>
      <c r="J77" s="47">
        <f t="shared" si="0"/>
        <v>100</v>
      </c>
    </row>
    <row r="78" spans="1:10" ht="21" customHeight="1" x14ac:dyDescent="0.15">
      <c r="A78" s="46">
        <v>48007199</v>
      </c>
      <c r="B78" s="46">
        <v>1</v>
      </c>
      <c r="C78" s="46">
        <v>100</v>
      </c>
      <c r="D78" s="46">
        <v>100</v>
      </c>
      <c r="E78" s="46" t="s">
        <v>250</v>
      </c>
      <c r="F78" s="46" t="s">
        <v>250</v>
      </c>
      <c r="G78" s="46">
        <v>1</v>
      </c>
      <c r="H78" s="46" t="s">
        <v>250</v>
      </c>
      <c r="I78" s="46">
        <v>8078</v>
      </c>
      <c r="J78" s="47">
        <f t="shared" si="0"/>
        <v>100</v>
      </c>
    </row>
    <row r="79" spans="1:10" ht="21" customHeight="1" x14ac:dyDescent="0.15">
      <c r="A79" s="46">
        <v>48007200</v>
      </c>
      <c r="B79" s="46">
        <v>0</v>
      </c>
      <c r="C79" s="46">
        <v>100</v>
      </c>
      <c r="D79" s="46">
        <v>100</v>
      </c>
      <c r="E79" s="46" t="s">
        <v>250</v>
      </c>
      <c r="F79" s="46" t="s">
        <v>250</v>
      </c>
      <c r="G79" s="46">
        <v>0</v>
      </c>
      <c r="H79" s="46" t="s">
        <v>250</v>
      </c>
      <c r="I79" s="46">
        <v>8077</v>
      </c>
      <c r="J79" s="47">
        <f t="shared" ref="J79:J80" si="1">D79</f>
        <v>100</v>
      </c>
    </row>
    <row r="80" spans="1:10" ht="21" customHeight="1" x14ac:dyDescent="0.15">
      <c r="A80" s="46">
        <v>48007201</v>
      </c>
      <c r="B80" s="46">
        <v>0</v>
      </c>
      <c r="C80" s="46">
        <v>100</v>
      </c>
      <c r="D80" s="46">
        <v>100</v>
      </c>
      <c r="E80" s="46" t="s">
        <v>250</v>
      </c>
      <c r="F80" s="46" t="s">
        <v>250</v>
      </c>
      <c r="G80" s="46">
        <v>0</v>
      </c>
      <c r="H80" s="46" t="s">
        <v>250</v>
      </c>
      <c r="I80" s="46">
        <v>8078</v>
      </c>
      <c r="J80" s="47">
        <f t="shared" si="1"/>
        <v>100</v>
      </c>
    </row>
  </sheetData>
  <autoFilter ref="A1:G1"/>
  <phoneticPr fontId="5"/>
  <conditionalFormatting sqref="K80:K1048576 K1:K58 K60 K62 K64 K66 K68 K70 K72 K74 K76 K78">
    <cfRule type="duplicateValues" dxfId="11" priority="13"/>
  </conditionalFormatting>
  <conditionalFormatting sqref="K59">
    <cfRule type="duplicateValues" dxfId="10" priority="12"/>
  </conditionalFormatting>
  <conditionalFormatting sqref="K61">
    <cfRule type="duplicateValues" dxfId="9" priority="11"/>
  </conditionalFormatting>
  <conditionalFormatting sqref="K63">
    <cfRule type="duplicateValues" dxfId="8" priority="10"/>
  </conditionalFormatting>
  <conditionalFormatting sqref="K65">
    <cfRule type="duplicateValues" dxfId="7" priority="9"/>
  </conditionalFormatting>
  <conditionalFormatting sqref="K67">
    <cfRule type="duplicateValues" dxfId="6" priority="8"/>
  </conditionalFormatting>
  <conditionalFormatting sqref="K69">
    <cfRule type="duplicateValues" dxfId="5" priority="7"/>
  </conditionalFormatting>
  <conditionalFormatting sqref="K71">
    <cfRule type="duplicateValues" dxfId="4" priority="6"/>
  </conditionalFormatting>
  <conditionalFormatting sqref="K73">
    <cfRule type="duplicateValues" dxfId="3" priority="5"/>
  </conditionalFormatting>
  <conditionalFormatting sqref="K75">
    <cfRule type="duplicateValues" dxfId="2" priority="4"/>
  </conditionalFormatting>
  <conditionalFormatting sqref="K77">
    <cfRule type="duplicateValues" dxfId="1" priority="3"/>
  </conditionalFormatting>
  <conditionalFormatting sqref="K7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G21" sqref="G2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48007</v>
      </c>
      <c r="B2" s="55">
        <v>1</v>
      </c>
      <c r="C2" s="68" t="str">
        <f>A2&amp; "_"&amp;B2</f>
        <v>48007_1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1</v>
      </c>
      <c r="F2" s="55" t="s">
        <v>166</v>
      </c>
      <c r="G2" s="55">
        <v>40000</v>
      </c>
      <c r="H2" s="55" t="s">
        <v>253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150</v>
      </c>
      <c r="Q2" s="55" t="s">
        <v>167</v>
      </c>
      <c r="R2" s="55" t="s">
        <v>168</v>
      </c>
    </row>
    <row r="3" spans="1:18" x14ac:dyDescent="0.15">
      <c r="A3" s="55">
        <v>48007</v>
      </c>
      <c r="B3" s="55">
        <v>1</v>
      </c>
      <c r="C3" s="68" t="str">
        <f t="shared" ref="C3:C18" si="0">A3&amp; "_"&amp;B3</f>
        <v>48007_1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2</v>
      </c>
      <c r="F3" s="55" t="s">
        <v>254</v>
      </c>
      <c r="G3" s="55">
        <v>30</v>
      </c>
      <c r="H3" s="55" t="s">
        <v>250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150</v>
      </c>
      <c r="Q3" s="55" t="s">
        <v>167</v>
      </c>
      <c r="R3" s="55" t="s">
        <v>168</v>
      </c>
    </row>
    <row r="4" spans="1:18" x14ac:dyDescent="0.15">
      <c r="A4" s="55">
        <v>48007</v>
      </c>
      <c r="B4" s="55">
        <v>1</v>
      </c>
      <c r="C4" s="68" t="str">
        <f t="shared" si="0"/>
        <v>48007_1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3</v>
      </c>
      <c r="F4" s="55" t="s">
        <v>255</v>
      </c>
      <c r="G4" s="55">
        <v>333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28</v>
      </c>
      <c r="Q4" s="55" t="s">
        <v>167</v>
      </c>
      <c r="R4" s="55" t="s">
        <v>168</v>
      </c>
    </row>
    <row r="5" spans="1:18" x14ac:dyDescent="0.15">
      <c r="A5" s="55">
        <v>48007</v>
      </c>
      <c r="B5" s="55">
        <v>1</v>
      </c>
      <c r="C5" s="68" t="str">
        <f t="shared" si="0"/>
        <v>48007_1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4</v>
      </c>
      <c r="F5" s="55" t="s">
        <v>255</v>
      </c>
      <c r="G5" s="55">
        <v>334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112</v>
      </c>
      <c r="Q5" s="55" t="s">
        <v>167</v>
      </c>
      <c r="R5" s="55" t="s">
        <v>168</v>
      </c>
    </row>
    <row r="6" spans="1:18" x14ac:dyDescent="0.15">
      <c r="A6" s="55">
        <v>48007</v>
      </c>
      <c r="B6" s="55">
        <v>1</v>
      </c>
      <c r="C6" s="68" t="str">
        <f t="shared" si="0"/>
        <v>48007_1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5</v>
      </c>
      <c r="F6" s="55" t="s">
        <v>255</v>
      </c>
      <c r="G6" s="55">
        <v>121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100</v>
      </c>
      <c r="Q6" s="55" t="s">
        <v>167</v>
      </c>
      <c r="R6" s="55" t="s">
        <v>168</v>
      </c>
    </row>
    <row r="7" spans="1:18" x14ac:dyDescent="0.15">
      <c r="A7" s="55">
        <v>48007</v>
      </c>
      <c r="B7" s="55">
        <v>1</v>
      </c>
      <c r="C7" s="68" t="str">
        <f t="shared" si="0"/>
        <v>48007_1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6</v>
      </c>
      <c r="F7" s="55" t="s">
        <v>255</v>
      </c>
      <c r="G7" s="55">
        <v>122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100</v>
      </c>
      <c r="Q7" s="55" t="s">
        <v>167</v>
      </c>
      <c r="R7" s="55" t="s">
        <v>168</v>
      </c>
    </row>
    <row r="8" spans="1:18" x14ac:dyDescent="0.15">
      <c r="A8" s="55">
        <v>48007</v>
      </c>
      <c r="B8" s="55">
        <v>1</v>
      </c>
      <c r="C8" s="68" t="str">
        <f t="shared" si="0"/>
        <v>48007_1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5">
        <v>7</v>
      </c>
      <c r="F8" s="55" t="s">
        <v>255</v>
      </c>
      <c r="G8" s="55">
        <v>123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100</v>
      </c>
      <c r="Q8" s="55" t="s">
        <v>167</v>
      </c>
      <c r="R8" s="55" t="s">
        <v>168</v>
      </c>
    </row>
    <row r="9" spans="1:18" x14ac:dyDescent="0.15">
      <c r="A9" s="55">
        <v>48007</v>
      </c>
      <c r="B9" s="55">
        <v>1</v>
      </c>
      <c r="C9" s="68" t="str">
        <f t="shared" si="0"/>
        <v>48007_1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5">
        <v>8</v>
      </c>
      <c r="F9" s="55" t="s">
        <v>255</v>
      </c>
      <c r="G9" s="55">
        <v>125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10</v>
      </c>
      <c r="Q9" s="55" t="s">
        <v>167</v>
      </c>
      <c r="R9" s="55" t="s">
        <v>168</v>
      </c>
    </row>
    <row r="10" spans="1:18" x14ac:dyDescent="0.15">
      <c r="A10" s="55">
        <v>48007</v>
      </c>
      <c r="B10" s="55">
        <v>1</v>
      </c>
      <c r="C10" s="68" t="str">
        <f t="shared" si="0"/>
        <v>48007_1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5">
        <v>9</v>
      </c>
      <c r="F10" s="55" t="s">
        <v>255</v>
      </c>
      <c r="G10" s="55">
        <v>8079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100</v>
      </c>
      <c r="Q10" s="55" t="s">
        <v>167</v>
      </c>
      <c r="R10" s="55" t="s">
        <v>168</v>
      </c>
    </row>
    <row r="11" spans="1:18" ht="16" thickBot="1" x14ac:dyDescent="0.2">
      <c r="A11" s="133">
        <v>48007</v>
      </c>
      <c r="B11" s="133">
        <v>1</v>
      </c>
      <c r="C11" s="134" t="str">
        <f t="shared" si="0"/>
        <v>48007_1</v>
      </c>
      <c r="D11" s="13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33">
        <v>10</v>
      </c>
      <c r="F11" s="133" t="s">
        <v>255</v>
      </c>
      <c r="G11" s="133">
        <v>348</v>
      </c>
      <c r="H11" s="133">
        <v>1</v>
      </c>
      <c r="I11" s="133">
        <v>1</v>
      </c>
      <c r="J11" s="133">
        <v>1</v>
      </c>
      <c r="K11" s="133">
        <v>0</v>
      </c>
      <c r="L11" s="133">
        <v>0</v>
      </c>
      <c r="M11" s="133">
        <v>0</v>
      </c>
      <c r="N11" s="133">
        <v>0</v>
      </c>
      <c r="O11" s="133">
        <v>1</v>
      </c>
      <c r="P11" s="133">
        <v>150</v>
      </c>
      <c r="Q11" s="133" t="s">
        <v>167</v>
      </c>
      <c r="R11" s="133" t="s">
        <v>168</v>
      </c>
    </row>
    <row r="12" spans="1:18" x14ac:dyDescent="0.15">
      <c r="A12" s="145">
        <v>48007</v>
      </c>
      <c r="B12" s="136">
        <v>2</v>
      </c>
      <c r="C12" s="137" t="str">
        <f t="shared" si="0"/>
        <v>48007_2</v>
      </c>
      <c r="D12" s="13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46">
        <v>1</v>
      </c>
      <c r="F12" s="146" t="s">
        <v>224</v>
      </c>
      <c r="G12" s="146">
        <v>334</v>
      </c>
      <c r="H12" s="146">
        <v>1</v>
      </c>
      <c r="I12" s="146">
        <v>1</v>
      </c>
      <c r="J12" s="146">
        <v>1</v>
      </c>
      <c r="K12" s="146">
        <v>0</v>
      </c>
      <c r="L12" s="146">
        <v>0</v>
      </c>
      <c r="M12" s="146">
        <v>0</v>
      </c>
      <c r="N12" s="146">
        <v>0</v>
      </c>
      <c r="O12" s="146">
        <v>1</v>
      </c>
      <c r="P12" s="136">
        <v>50</v>
      </c>
      <c r="Q12" s="136" t="s">
        <v>167</v>
      </c>
      <c r="R12" s="139" t="s">
        <v>168</v>
      </c>
    </row>
    <row r="13" spans="1:18" x14ac:dyDescent="0.15">
      <c r="A13" s="147">
        <v>48007</v>
      </c>
      <c r="B13" s="55">
        <v>2</v>
      </c>
      <c r="C13" s="68" t="str">
        <f t="shared" si="0"/>
        <v>48007_2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8">
        <v>2</v>
      </c>
      <c r="F13" s="78" t="s">
        <v>224</v>
      </c>
      <c r="G13" s="78">
        <v>348</v>
      </c>
      <c r="H13" s="78">
        <v>1</v>
      </c>
      <c r="I13" s="78">
        <v>1</v>
      </c>
      <c r="J13" s="78">
        <v>1</v>
      </c>
      <c r="K13" s="78">
        <v>0</v>
      </c>
      <c r="L13" s="78">
        <v>0</v>
      </c>
      <c r="M13" s="78">
        <v>0</v>
      </c>
      <c r="N13" s="78">
        <v>0</v>
      </c>
      <c r="O13" s="78">
        <v>1</v>
      </c>
      <c r="P13" s="55">
        <v>120</v>
      </c>
      <c r="Q13" s="55" t="s">
        <v>167</v>
      </c>
      <c r="R13" s="140" t="s">
        <v>168</v>
      </c>
    </row>
    <row r="14" spans="1:18" x14ac:dyDescent="0.15">
      <c r="A14" s="147">
        <v>48007</v>
      </c>
      <c r="B14" s="55">
        <v>2</v>
      </c>
      <c r="C14" s="68" t="str">
        <f t="shared" si="0"/>
        <v>48007_2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8">
        <v>3</v>
      </c>
      <c r="F14" s="78" t="s">
        <v>224</v>
      </c>
      <c r="G14" s="78">
        <v>607</v>
      </c>
      <c r="H14" s="78">
        <v>1</v>
      </c>
      <c r="I14" s="78">
        <v>1</v>
      </c>
      <c r="J14" s="78">
        <v>1</v>
      </c>
      <c r="K14" s="78">
        <v>0</v>
      </c>
      <c r="L14" s="78">
        <v>0</v>
      </c>
      <c r="M14" s="78">
        <v>0</v>
      </c>
      <c r="N14" s="78">
        <v>0</v>
      </c>
      <c r="O14" s="78">
        <v>1</v>
      </c>
      <c r="P14" s="55">
        <v>100</v>
      </c>
      <c r="Q14" s="55" t="s">
        <v>167</v>
      </c>
      <c r="R14" s="140" t="s">
        <v>168</v>
      </c>
    </row>
    <row r="15" spans="1:18" x14ac:dyDescent="0.15">
      <c r="A15" s="147">
        <v>48007</v>
      </c>
      <c r="B15" s="55">
        <v>2</v>
      </c>
      <c r="C15" s="68" t="str">
        <f t="shared" si="0"/>
        <v>48007_2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8">
        <v>4</v>
      </c>
      <c r="F15" s="78" t="s">
        <v>224</v>
      </c>
      <c r="G15" s="78">
        <v>608</v>
      </c>
      <c r="H15" s="78">
        <v>1</v>
      </c>
      <c r="I15" s="78">
        <v>1</v>
      </c>
      <c r="J15" s="78">
        <v>1</v>
      </c>
      <c r="K15" s="78">
        <v>0</v>
      </c>
      <c r="L15" s="78">
        <v>0</v>
      </c>
      <c r="M15" s="78">
        <v>0</v>
      </c>
      <c r="N15" s="78">
        <v>0</v>
      </c>
      <c r="O15" s="78">
        <v>1</v>
      </c>
      <c r="P15" s="55">
        <v>100</v>
      </c>
      <c r="Q15" s="55" t="s">
        <v>167</v>
      </c>
      <c r="R15" s="140" t="s">
        <v>168</v>
      </c>
    </row>
    <row r="16" spans="1:18" x14ac:dyDescent="0.15">
      <c r="A16" s="147">
        <v>48007</v>
      </c>
      <c r="B16" s="55">
        <v>2</v>
      </c>
      <c r="C16" s="68" t="str">
        <f t="shared" si="0"/>
        <v>48007_2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8">
        <v>5</v>
      </c>
      <c r="F16" s="78" t="s">
        <v>224</v>
      </c>
      <c r="G16" s="78">
        <v>609</v>
      </c>
      <c r="H16" s="78">
        <v>1</v>
      </c>
      <c r="I16" s="78">
        <v>1</v>
      </c>
      <c r="J16" s="78">
        <v>1</v>
      </c>
      <c r="K16" s="78">
        <v>0</v>
      </c>
      <c r="L16" s="78">
        <v>0</v>
      </c>
      <c r="M16" s="78">
        <v>0</v>
      </c>
      <c r="N16" s="78">
        <v>0</v>
      </c>
      <c r="O16" s="78">
        <v>1</v>
      </c>
      <c r="P16" s="55">
        <v>100</v>
      </c>
      <c r="Q16" s="55" t="s">
        <v>167</v>
      </c>
      <c r="R16" s="140" t="s">
        <v>168</v>
      </c>
    </row>
    <row r="17" spans="1:18" x14ac:dyDescent="0.15">
      <c r="A17" s="147">
        <v>48007</v>
      </c>
      <c r="B17" s="55">
        <v>2</v>
      </c>
      <c r="C17" s="68" t="str">
        <f t="shared" si="0"/>
        <v>48007_2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8">
        <v>6</v>
      </c>
      <c r="F17" s="78" t="s">
        <v>224</v>
      </c>
      <c r="G17" s="78">
        <v>125</v>
      </c>
      <c r="H17" s="78">
        <v>1</v>
      </c>
      <c r="I17" s="78">
        <v>1</v>
      </c>
      <c r="J17" s="78">
        <v>1</v>
      </c>
      <c r="K17" s="78">
        <v>0</v>
      </c>
      <c r="L17" s="78">
        <v>0</v>
      </c>
      <c r="M17" s="78">
        <v>0</v>
      </c>
      <c r="N17" s="78">
        <v>0</v>
      </c>
      <c r="O17" s="78">
        <v>1</v>
      </c>
      <c r="P17" s="55">
        <v>30</v>
      </c>
      <c r="Q17" s="55" t="s">
        <v>167</v>
      </c>
      <c r="R17" s="140" t="s">
        <v>168</v>
      </c>
    </row>
    <row r="18" spans="1:18" ht="16" thickBot="1" x14ac:dyDescent="0.2">
      <c r="A18" s="148">
        <v>48007</v>
      </c>
      <c r="B18" s="141">
        <v>2</v>
      </c>
      <c r="C18" s="142" t="str">
        <f t="shared" si="0"/>
        <v>48007_2</v>
      </c>
      <c r="D18" s="143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49">
        <v>7</v>
      </c>
      <c r="F18" s="149" t="s">
        <v>224</v>
      </c>
      <c r="G18" s="149">
        <v>8079</v>
      </c>
      <c r="H18" s="149">
        <v>1</v>
      </c>
      <c r="I18" s="149">
        <v>1</v>
      </c>
      <c r="J18" s="149">
        <v>1</v>
      </c>
      <c r="K18" s="149">
        <v>0</v>
      </c>
      <c r="L18" s="149">
        <v>0</v>
      </c>
      <c r="M18" s="149">
        <v>0</v>
      </c>
      <c r="N18" s="149">
        <v>0</v>
      </c>
      <c r="O18" s="149">
        <v>1</v>
      </c>
      <c r="P18" s="141">
        <v>500</v>
      </c>
      <c r="Q18" s="141" t="s">
        <v>167</v>
      </c>
      <c r="R18" s="144" t="s">
        <v>168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J2" sqref="J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27.6640625" bestFit="1" customWidth="1"/>
    <col min="12" max="12" width="81.5" bestFit="1" customWidth="1"/>
  </cols>
  <sheetData>
    <row r="1" spans="1:13" x14ac:dyDescent="0.15">
      <c r="A1" s="73" t="s">
        <v>185</v>
      </c>
      <c r="B1" s="70" t="s">
        <v>186</v>
      </c>
      <c r="C1" s="74" t="s">
        <v>187</v>
      </c>
      <c r="D1" s="74" t="s">
        <v>33</v>
      </c>
      <c r="E1" s="70" t="s">
        <v>188</v>
      </c>
      <c r="F1" s="74" t="s">
        <v>189</v>
      </c>
      <c r="G1" s="74" t="s">
        <v>33</v>
      </c>
      <c r="H1" s="70" t="s">
        <v>190</v>
      </c>
      <c r="I1" s="88" t="s">
        <v>192</v>
      </c>
      <c r="J1" s="76" t="s">
        <v>125</v>
      </c>
      <c r="K1" s="75" t="s">
        <v>184</v>
      </c>
      <c r="L1" s="89" t="s">
        <v>183</v>
      </c>
      <c r="M1" s="77" t="s">
        <v>193</v>
      </c>
    </row>
    <row r="2" spans="1:13" x14ac:dyDescent="0.15">
      <c r="A2" s="78" t="s">
        <v>197</v>
      </c>
      <c r="B2" s="79">
        <f>floors!$C$2</f>
        <v>48007</v>
      </c>
      <c r="C2" s="80" t="str">
        <f ca="1">VLOOKUP($B2,OFFSET([2]quests!$A$1,0,0,COUNTA([2]quests!$A:$A),MATCH(C$1,[2]quests!$1:$1,0)-MATCH($B$1,[2]quests!$1:$1,0)+1),MATCH(C$1,[2]quests!$1:$1,0)-MATCH($B$1,[2]quests!$1:$1,0)+1,FALSE)</f>
        <v>紅鬼襲来！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台湾版降臨8</v>
      </c>
      <c r="E2" s="84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【超絶級】紅鬼襲来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台湾版降臨8</v>
      </c>
      <c r="H2" s="82">
        <v>0</v>
      </c>
      <c r="I2">
        <v>12</v>
      </c>
      <c r="J2" s="81" t="s">
        <v>256</v>
      </c>
      <c r="K2" s="90" t="str">
        <f>VLOOKUP(I2,[7]stage_hints!$A:$C,3,FALSE)</f>
        <v>ユニットのお気に入り登録</v>
      </c>
      <c r="L2" s="91" t="str">
        <f>VLOOKUP(I2,[7]stage_hints!$A:$D,4,FALSE)</f>
        <v>大事なユニットを誤って消さないように_x000D_フォルダから「お気に入り登録」しましょう</v>
      </c>
      <c r="M2" s="55" t="s">
        <v>207</v>
      </c>
    </row>
    <row r="3" spans="1:13" x14ac:dyDescent="0.15">
      <c r="A3" s="78" t="s">
        <v>197</v>
      </c>
      <c r="B3" s="79">
        <f>floors!$C$2</f>
        <v>48007</v>
      </c>
      <c r="C3" s="80" t="str">
        <f ca="1">VLOOKUP($B3,OFFSET([2]quests!$A$1,0,0,COUNTA([2]quests!$A:$A),MATCH(C$1,[2]quests!$1:$1,0)-MATCH($B$1,[2]quests!$1:$1,0)+1),MATCH(C$1,[2]quests!$1:$1,0)-MATCH($B$1,[2]quests!$1:$1,0)+1,FALSE)</f>
        <v>紅鬼襲来！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台湾版降臨8</v>
      </c>
      <c r="E3" s="84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【超絶級】紅鬼襲来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台湾版降臨8</v>
      </c>
      <c r="H3" s="82">
        <v>0</v>
      </c>
      <c r="I3">
        <v>17</v>
      </c>
      <c r="J3" s="81" t="s">
        <v>256</v>
      </c>
      <c r="K3" s="90" t="str">
        <f>VLOOKUP(I3,[7]stage_hints!$A:$C,3,FALSE)</f>
        <v>リンクガチャ</v>
      </c>
      <c r="L3" s="91" t="str">
        <f>VLOOKUP(I3,[7]stage_hints!$A:$D,4,FALSE)</f>
        <v>無料のリンクガチャを回して_x000D_経験値素材や売却素材を獲得しましょう</v>
      </c>
      <c r="M3" s="55" t="s">
        <v>207</v>
      </c>
    </row>
    <row r="4" spans="1:13" x14ac:dyDescent="0.15">
      <c r="A4" s="78" t="s">
        <v>197</v>
      </c>
      <c r="B4" s="79">
        <f>floors!$C$2</f>
        <v>48007</v>
      </c>
      <c r="C4" s="80" t="str">
        <f ca="1">VLOOKUP($B4,OFFSET([2]quests!$A$1,0,0,COUNTA([2]quests!$A:$A),MATCH(C$1,[2]quests!$1:$1,0)-MATCH($B$1,[2]quests!$1:$1,0)+1),MATCH(C$1,[2]quests!$1:$1,0)-MATCH($B$1,[2]quests!$1:$1,0)+1,FALSE)</f>
        <v>紅鬼襲来！</v>
      </c>
      <c r="D4" s="80" t="str">
        <f ca="1">VLOOKUP($B4,OFFSET([2]quests!$A$1,0,0,COUNTA([2]quests!$A:$A),MATCH(D$1,[2]quests!$1:$1,0)-MATCH($B$1,[2]quests!$1:$1,0)+1),MATCH(D$1,[2]quests!$1:$1,0)-MATCH($B$1,[2]quests!$1:$1,0)+1,FALSE)</f>
        <v>台湾版降臨8</v>
      </c>
      <c r="E4" s="84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【超絶級】紅鬼襲来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台湾版降臨8</v>
      </c>
      <c r="H4" s="82">
        <v>0</v>
      </c>
      <c r="I4">
        <v>19</v>
      </c>
      <c r="J4" s="81" t="s">
        <v>256</v>
      </c>
      <c r="K4" s="90" t="str">
        <f>VLOOKUP(I4,[7]stage_hints!$A:$C,3,FALSE)</f>
        <v>ソロ専用タワーオブザクイーン</v>
      </c>
      <c r="L4" s="91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55" t="s">
        <v>207</v>
      </c>
    </row>
    <row r="5" spans="1:13" x14ac:dyDescent="0.15">
      <c r="A5" s="78" t="s">
        <v>197</v>
      </c>
      <c r="B5" s="79">
        <f>floors!$C$2</f>
        <v>48007</v>
      </c>
      <c r="C5" s="80" t="str">
        <f ca="1">VLOOKUP($B5,OFFSET([2]quests!$A$1,0,0,COUNTA([2]quests!$A:$A),MATCH(C$1,[2]quests!$1:$1,0)-MATCH($B$1,[2]quests!$1:$1,0)+1),MATCH(C$1,[2]quests!$1:$1,0)-MATCH($B$1,[2]quests!$1:$1,0)+1,FALSE)</f>
        <v>紅鬼襲来！</v>
      </c>
      <c r="D5" s="80" t="str">
        <f ca="1">VLOOKUP($B5,OFFSET([2]quests!$A$1,0,0,COUNTA([2]quests!$A:$A),MATCH(D$1,[2]quests!$1:$1,0)-MATCH($B$1,[2]quests!$1:$1,0)+1),MATCH(D$1,[2]quests!$1:$1,0)-MATCH($B$1,[2]quests!$1:$1,0)+1,FALSE)</f>
        <v>台湾版降臨8</v>
      </c>
      <c r="E5" s="84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【超絶級】紅鬼襲来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台湾版降臨8</v>
      </c>
      <c r="H5" s="82">
        <v>0</v>
      </c>
      <c r="I5">
        <v>21</v>
      </c>
      <c r="J5" s="81" t="s">
        <v>256</v>
      </c>
      <c r="K5" s="90" t="str">
        <f>VLOOKUP(I5,[7]stage_hints!$A:$C,3,FALSE)</f>
        <v>スキルを有効に</v>
      </c>
      <c r="L5" s="91" t="str">
        <f>VLOOKUP(I5,[7]stage_hints!$A:$D,4,FALSE)</f>
        <v>ターン経過でユニットのスキルが使えます_x000D_強力スキルでバトルを有利に進めましょう</v>
      </c>
      <c r="M5" s="55" t="s">
        <v>207</v>
      </c>
    </row>
    <row r="6" spans="1:13" x14ac:dyDescent="0.15">
      <c r="A6" s="78" t="s">
        <v>197</v>
      </c>
      <c r="B6" s="79">
        <f>floors!$C$2</f>
        <v>48007</v>
      </c>
      <c r="C6" s="80" t="str">
        <f ca="1">VLOOKUP($B6,OFFSET([2]quests!$A$1,0,0,COUNTA([2]quests!$A:$A),MATCH(C$1,[2]quests!$1:$1,0)-MATCH($B$1,[2]quests!$1:$1,0)+1),MATCH(C$1,[2]quests!$1:$1,0)-MATCH($B$1,[2]quests!$1:$1,0)+1,FALSE)</f>
        <v>紅鬼襲来！</v>
      </c>
      <c r="D6" s="80" t="str">
        <f ca="1">VLOOKUP($B6,OFFSET([2]quests!$A$1,0,0,COUNTA([2]quests!$A:$A),MATCH(D$1,[2]quests!$1:$1,0)-MATCH($B$1,[2]quests!$1:$1,0)+1),MATCH(D$1,[2]quests!$1:$1,0)-MATCH($B$1,[2]quests!$1:$1,0)+1,FALSE)</f>
        <v>台湾版降臨8</v>
      </c>
      <c r="E6" s="84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【超絶級】紅鬼襲来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台湾版降臨8</v>
      </c>
      <c r="H6" s="82">
        <v>0</v>
      </c>
      <c r="I6">
        <v>29</v>
      </c>
      <c r="J6" s="81" t="s">
        <v>256</v>
      </c>
      <c r="K6" s="90" t="str">
        <f>VLOOKUP(I6,[7]stage_hints!$A:$C,3,FALSE)</f>
        <v>「バグ」のメリット</v>
      </c>
      <c r="L6" s="91" t="str">
        <f>VLOOKUP(I6,[7]stage_hints!$A:$D,4,FALSE)</f>
        <v>ユニットの「バグ」を増やすと_x000D_報酬をもらえる確率がアップします</v>
      </c>
      <c r="M6" s="55" t="s">
        <v>207</v>
      </c>
    </row>
    <row r="7" spans="1:13" x14ac:dyDescent="0.15">
      <c r="A7" s="78" t="s">
        <v>328</v>
      </c>
      <c r="B7" s="79">
        <f>floors!$C$2</f>
        <v>48007</v>
      </c>
      <c r="C7" s="80" t="str">
        <f ca="1">VLOOKUP($B7,OFFSET([2]quests!$A$1,0,0,COUNTA([2]quests!$A:$A),MATCH(C$1,[2]quests!$1:$1,0)-MATCH($B$1,[2]quests!$1:$1,0)+1),MATCH(C$1,[2]quests!$1:$1,0)-MATCH($B$1,[2]quests!$1:$1,0)+1,FALSE)</f>
        <v>紅鬼襲来！</v>
      </c>
      <c r="D7" s="80" t="str">
        <f ca="1">VLOOKUP($B7,OFFSET([2]quests!$A$1,0,0,COUNTA([2]quests!$A:$A),MATCH(D$1,[2]quests!$1:$1,0)-MATCH($B$1,[2]quests!$1:$1,0)+1),MATCH(D$1,[2]quests!$1:$1,0)-MATCH($B$1,[2]quests!$1:$1,0)+1,FALSE)</f>
        <v>台湾版降臨8</v>
      </c>
      <c r="E7" s="84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【超絶級】紅鬼襲来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台湾版降臨8</v>
      </c>
      <c r="H7" s="82">
        <v>0</v>
      </c>
      <c r="I7">
        <v>30</v>
      </c>
      <c r="J7" s="81" t="s">
        <v>256</v>
      </c>
      <c r="K7" s="90" t="str">
        <f>VLOOKUP(I7,[7]stage_hints!$A:$C,3,FALSE)</f>
        <v>「バグ」の増やし方</v>
      </c>
      <c r="L7" s="91" t="str">
        <f>VLOOKUP(I7,[7]stage_hints!$A:$D,4,FALSE)</f>
        <v>同じユニット同士を強化で合成すると_x000D_「バグ」を増やすことができます</v>
      </c>
      <c r="M7" s="55" t="s">
        <v>207</v>
      </c>
    </row>
    <row r="8" spans="1:13" x14ac:dyDescent="0.15">
      <c r="A8" s="78" t="s">
        <v>197</v>
      </c>
      <c r="B8" s="79">
        <f>floors!$C$2</f>
        <v>48007</v>
      </c>
      <c r="C8" s="80" t="str">
        <f ca="1">VLOOKUP($B8,OFFSET([2]quests!$A$1,0,0,COUNTA([2]quests!$A:$A),MATCH(C$1,[2]quests!$1:$1,0)-MATCH($B$1,[2]quests!$1:$1,0)+1),MATCH(C$1,[2]quests!$1:$1,0)-MATCH($B$1,[2]quests!$1:$1,0)+1,FALSE)</f>
        <v>紅鬼襲来！</v>
      </c>
      <c r="D8" s="80" t="str">
        <f ca="1">VLOOKUP($B8,OFFSET([2]quests!$A$1,0,0,COUNTA([2]quests!$A:$A),MATCH(D$1,[2]quests!$1:$1,0)-MATCH($B$1,[2]quests!$1:$1,0)+1),MATCH(D$1,[2]quests!$1:$1,0)-MATCH($B$1,[2]quests!$1:$1,0)+1,FALSE)</f>
        <v>台湾版降臨8</v>
      </c>
      <c r="E8" s="84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【超絶級】紅鬼襲来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台湾版降臨8</v>
      </c>
      <c r="H8" s="82">
        <v>0</v>
      </c>
      <c r="I8">
        <v>32</v>
      </c>
      <c r="J8" s="81" t="s">
        <v>256</v>
      </c>
      <c r="K8" s="90" t="str">
        <f>VLOOKUP(I8,[7]stage_hints!$A:$C,3,FALSE)</f>
        <v>敵の連続攻撃には</v>
      </c>
      <c r="L8" s="91" t="str">
        <f>VLOOKUP(I8,[7]stage_hints!$A:$D,4,FALSE)</f>
        <v>カウンタースキルを持つユニットがいれば_x000D_ダメージ回数分の反撃ができます</v>
      </c>
      <c r="M8" s="55" t="s">
        <v>207</v>
      </c>
    </row>
    <row r="9" spans="1:13" x14ac:dyDescent="0.15">
      <c r="A9" s="78" t="s">
        <v>197</v>
      </c>
      <c r="B9" s="79">
        <f>floors!$C$2</f>
        <v>48007</v>
      </c>
      <c r="C9" s="80" t="str">
        <f ca="1">VLOOKUP($B9,OFFSET([2]quests!$A$1,0,0,COUNTA([2]quests!$A:$A),MATCH(C$1,[2]quests!$1:$1,0)-MATCH($B$1,[2]quests!$1:$1,0)+1),MATCH(C$1,[2]quests!$1:$1,0)-MATCH($B$1,[2]quests!$1:$1,0)+1,FALSE)</f>
        <v>紅鬼襲来！</v>
      </c>
      <c r="D9" s="80" t="str">
        <f ca="1">VLOOKUP($B9,OFFSET([2]quests!$A$1,0,0,COUNTA([2]quests!$A:$A),MATCH(D$1,[2]quests!$1:$1,0)-MATCH($B$1,[2]quests!$1:$1,0)+1),MATCH(D$1,[2]quests!$1:$1,0)-MATCH($B$1,[2]quests!$1:$1,0)+1,FALSE)</f>
        <v>台湾版降臨8</v>
      </c>
      <c r="E9" s="84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【超絶級】紅鬼襲来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台湾版降臨8</v>
      </c>
      <c r="H9" s="82">
        <v>0</v>
      </c>
      <c r="I9">
        <v>33</v>
      </c>
      <c r="J9" s="81" t="s">
        <v>256</v>
      </c>
      <c r="K9" s="90" t="str">
        <f>VLOOKUP(I9,[7]stage_hints!$A:$C,3,FALSE)</f>
        <v>敵のカウンター攻撃には</v>
      </c>
      <c r="L9" s="91" t="str">
        <f>VLOOKUP(I9,[7]stage_hints!$A:$D,4,FALSE)</f>
        <v>カウンターブレイクスキルを持っていれば_x000D_敵のカウンターを解除して攻撃ができます</v>
      </c>
      <c r="M9" s="55" t="s">
        <v>207</v>
      </c>
    </row>
    <row r="10" spans="1:13" x14ac:dyDescent="0.15">
      <c r="A10" s="78" t="s">
        <v>197</v>
      </c>
      <c r="B10" s="79">
        <f>floors!$C$2</f>
        <v>48007</v>
      </c>
      <c r="C10" s="80" t="str">
        <f ca="1">VLOOKUP($B10,OFFSET([2]quests!$A$1,0,0,COUNTA([2]quests!$A:$A),MATCH(C$1,[2]quests!$1:$1,0)-MATCH($B$1,[2]quests!$1:$1,0)+1),MATCH(C$1,[2]quests!$1:$1,0)-MATCH($B$1,[2]quests!$1:$1,0)+1,FALSE)</f>
        <v>紅鬼襲来！</v>
      </c>
      <c r="D10" s="80" t="str">
        <f ca="1">VLOOKUP($B10,OFFSET([2]quests!$A$1,0,0,COUNTA([2]quests!$A:$A),MATCH(D$1,[2]quests!$1:$1,0)-MATCH($B$1,[2]quests!$1:$1,0)+1),MATCH(D$1,[2]quests!$1:$1,0)-MATCH($B$1,[2]quests!$1:$1,0)+1,FALSE)</f>
        <v>台湾版降臨8</v>
      </c>
      <c r="E10" s="84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【超絶級】紅鬼襲来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台湾版降臨8</v>
      </c>
      <c r="H10" s="82">
        <v>0</v>
      </c>
      <c r="I10">
        <v>34</v>
      </c>
      <c r="J10" s="81" t="s">
        <v>256</v>
      </c>
      <c r="K10" s="90" t="str">
        <f>VLOOKUP(I10,[7]stage_hints!$A:$C,3,FALSE)</f>
        <v>ステータスをスキルで下げられたら</v>
      </c>
      <c r="L10" s="91" t="str">
        <f>VLOOKUP(I10,[7]stage_hints!$A:$D,4,FALSE)</f>
        <v>ステータスダウンのスキルを受けたら_x000D_ステータスアップスキルで上書きしましょう</v>
      </c>
      <c r="M10" s="55" t="s">
        <v>207</v>
      </c>
    </row>
    <row r="11" spans="1:13" x14ac:dyDescent="0.15">
      <c r="A11" s="78" t="s">
        <v>197</v>
      </c>
      <c r="B11" s="79">
        <f>floors!$C$2</f>
        <v>48007</v>
      </c>
      <c r="C11" s="80" t="str">
        <f ca="1">VLOOKUP($B11,OFFSET([2]quests!$A$1,0,0,COUNTA([2]quests!$A:$A),MATCH(C$1,[2]quests!$1:$1,0)-MATCH($B$1,[2]quests!$1:$1,0)+1),MATCH(C$1,[2]quests!$1:$1,0)-MATCH($B$1,[2]quests!$1:$1,0)+1,FALSE)</f>
        <v>紅鬼襲来！</v>
      </c>
      <c r="D11" s="80" t="str">
        <f ca="1">VLOOKUP($B11,OFFSET([2]quests!$A$1,0,0,COUNTA([2]quests!$A:$A),MATCH(D$1,[2]quests!$1:$1,0)-MATCH($B$1,[2]quests!$1:$1,0)+1),MATCH(D$1,[2]quests!$1:$1,0)-MATCH($B$1,[2]quests!$1:$1,0)+1,FALSE)</f>
        <v>台湾版降臨8</v>
      </c>
      <c r="E11" s="84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【超絶級】紅鬼襲来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台湾版降臨8</v>
      </c>
      <c r="H11" s="82">
        <v>0</v>
      </c>
      <c r="I11">
        <v>35</v>
      </c>
      <c r="J11" s="81" t="s">
        <v>256</v>
      </c>
      <c r="K11" s="90" t="str">
        <f>VLOOKUP(I11,[7]stage_hints!$A:$C,3,FALSE)</f>
        <v>敵のステータスがスキルで上がったら</v>
      </c>
      <c r="L11" s="91" t="str">
        <f>VLOOKUP(I11,[7]stage_hints!$A:$D,4,FALSE)</f>
        <v>敵のステータスがスキルでアップしたときは_x000D_ステータスダウンスキルで上書きしましょう</v>
      </c>
      <c r="M11" s="55" t="s">
        <v>207</v>
      </c>
    </row>
    <row r="12" spans="1:13" x14ac:dyDescent="0.15">
      <c r="A12" s="78" t="s">
        <v>197</v>
      </c>
      <c r="B12" s="79">
        <f>floors!$C$2</f>
        <v>48007</v>
      </c>
      <c r="C12" s="80" t="str">
        <f ca="1">VLOOKUP($B12,OFFSET([2]quests!$A$1,0,0,COUNTA([2]quests!$A:$A),MATCH(C$1,[2]quests!$1:$1,0)-MATCH($B$1,[2]quests!$1:$1,0)+1),MATCH(C$1,[2]quests!$1:$1,0)-MATCH($B$1,[2]quests!$1:$1,0)+1,FALSE)</f>
        <v>紅鬼襲来！</v>
      </c>
      <c r="D12" s="80" t="str">
        <f ca="1">VLOOKUP($B12,OFFSET([2]quests!$A$1,0,0,COUNTA([2]quests!$A:$A),MATCH(D$1,[2]quests!$1:$1,0)-MATCH($B$1,[2]quests!$1:$1,0)+1),MATCH(D$1,[2]quests!$1:$1,0)-MATCH($B$1,[2]quests!$1:$1,0)+1,FALSE)</f>
        <v>台湾版降臨8</v>
      </c>
      <c r="E12" s="84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【超絶級】紅鬼襲来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台湾版降臨8</v>
      </c>
      <c r="H12" s="82">
        <v>0</v>
      </c>
      <c r="I12">
        <v>36</v>
      </c>
      <c r="J12" s="81" t="s">
        <v>256</v>
      </c>
      <c r="K12" s="90" t="str">
        <f>VLOOKUP(I12,[7]stage_hints!$A:$C,3,FALSE)</f>
        <v>タワーオブザクイーンのボス</v>
      </c>
      <c r="L12" s="91" t="str">
        <f>VLOOKUP(I12,[7]stage_hints!$A:$D,4,FALSE)</f>
        <v>「タワーオブザクイーン」最上階のボスは_x000D_15階の初回クリア報酬で獲得できるほか_x000D_その階にて低確率でドロップもします</v>
      </c>
      <c r="M12" s="55" t="s">
        <v>207</v>
      </c>
    </row>
    <row r="13" spans="1:13" x14ac:dyDescent="0.15">
      <c r="A13" s="78" t="s">
        <v>197</v>
      </c>
      <c r="B13" s="79">
        <f>floors!$C$2</f>
        <v>48007</v>
      </c>
      <c r="C13" s="80" t="str">
        <f ca="1">VLOOKUP($B13,OFFSET([2]quests!$A$1,0,0,COUNTA([2]quests!$A:$A),MATCH(C$1,[2]quests!$1:$1,0)-MATCH($B$1,[2]quests!$1:$1,0)+1),MATCH(C$1,[2]quests!$1:$1,0)-MATCH($B$1,[2]quests!$1:$1,0)+1,FALSE)</f>
        <v>紅鬼襲来！</v>
      </c>
      <c r="D13" s="80" t="str">
        <f ca="1">VLOOKUP($B13,OFFSET([2]quests!$A$1,0,0,COUNTA([2]quests!$A:$A),MATCH(D$1,[2]quests!$1:$1,0)-MATCH($B$1,[2]quests!$1:$1,0)+1),MATCH(D$1,[2]quests!$1:$1,0)-MATCH($B$1,[2]quests!$1:$1,0)+1,FALSE)</f>
        <v>台湾版降臨8</v>
      </c>
      <c r="E13" s="84">
        <v>1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【超絶級】紅鬼襲来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台湾版降臨8</v>
      </c>
      <c r="H13" s="82">
        <v>0</v>
      </c>
      <c r="I13">
        <v>37</v>
      </c>
      <c r="J13" s="81" t="s">
        <v>256</v>
      </c>
      <c r="K13" s="90" t="str">
        <f>VLOOKUP(I13,[7]stage_hints!$A:$C,3,FALSE)</f>
        <v>限界突破値の引き継ぎ</v>
      </c>
      <c r="L13" s="91" t="str">
        <f>VLOOKUP(I13,[7]stage_hints!$A:$D,4,FALSE)</f>
        <v>同じユニットを強化で合成すると_x000D_限界突破値を引き継げます（覚醒前後も可）</v>
      </c>
      <c r="M13" s="55" t="s">
        <v>207</v>
      </c>
    </row>
    <row r="14" spans="1:13" x14ac:dyDescent="0.15">
      <c r="A14" s="78" t="s">
        <v>197</v>
      </c>
      <c r="B14" s="79">
        <f>floors!$C$2</f>
        <v>48007</v>
      </c>
      <c r="C14" s="80" t="str">
        <f ca="1">VLOOKUP($B14,OFFSET([2]quests!$A$1,0,0,COUNTA([2]quests!$A:$A),MATCH(C$1,[2]quests!$1:$1,0)-MATCH($B$1,[2]quests!$1:$1,0)+1),MATCH(C$1,[2]quests!$1:$1,0)-MATCH($B$1,[2]quests!$1:$1,0)+1,FALSE)</f>
        <v>紅鬼襲来！</v>
      </c>
      <c r="D14" s="80" t="str">
        <f ca="1">VLOOKUP($B14,OFFSET([2]quests!$A$1,0,0,COUNTA([2]quests!$A:$A),MATCH(D$1,[2]quests!$1:$1,0)-MATCH($B$1,[2]quests!$1:$1,0)+1),MATCH(D$1,[2]quests!$1:$1,0)-MATCH($B$1,[2]quests!$1:$1,0)+1,FALSE)</f>
        <v>台湾版降臨8</v>
      </c>
      <c r="E14" s="84">
        <v>1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【超絶級】紅鬼襲来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台湾版降臨8</v>
      </c>
      <c r="H14" s="82">
        <v>0</v>
      </c>
      <c r="I14">
        <v>39</v>
      </c>
      <c r="J14" s="81" t="s">
        <v>256</v>
      </c>
      <c r="K14" s="90" t="str">
        <f>VLOOKUP(I14,[7]stage_hints!$A:$C,3,FALSE)</f>
        <v>システム適合者を確認</v>
      </c>
      <c r="L14" s="91" t="str">
        <f>VLOOKUP(I14,[7]stage_hints!$A:$D,4,FALSE)</f>
        <v>ALICEが 「アナタ」を呼んでいます</v>
      </c>
      <c r="M14" s="55" t="s">
        <v>207</v>
      </c>
    </row>
    <row r="15" spans="1:13" x14ac:dyDescent="0.15">
      <c r="A15" s="78" t="s">
        <v>197</v>
      </c>
      <c r="B15" s="79">
        <f>floors!$C$2</f>
        <v>48007</v>
      </c>
      <c r="C15" s="80" t="str">
        <f ca="1">VLOOKUP($B15,OFFSET([2]quests!$A$1,0,0,COUNTA([2]quests!$A:$A),MATCH(C$1,[2]quests!$1:$1,0)-MATCH($B$1,[2]quests!$1:$1,0)+1),MATCH(C$1,[2]quests!$1:$1,0)-MATCH($B$1,[2]quests!$1:$1,0)+1,FALSE)</f>
        <v>紅鬼襲来！</v>
      </c>
      <c r="D15" s="80" t="str">
        <f ca="1">VLOOKUP($B15,OFFSET([2]quests!$A$1,0,0,COUNTA([2]quests!$A:$A),MATCH(D$1,[2]quests!$1:$1,0)-MATCH($B$1,[2]quests!$1:$1,0)+1),MATCH(D$1,[2]quests!$1:$1,0)-MATCH($B$1,[2]quests!$1:$1,0)+1,FALSE)</f>
        <v>台湾版降臨8</v>
      </c>
      <c r="E15" s="84">
        <v>2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【ウィザード級】紅鬼襲来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台湾版降臨8</v>
      </c>
      <c r="H15" s="82">
        <v>0</v>
      </c>
      <c r="I15">
        <v>12</v>
      </c>
      <c r="J15" s="81" t="s">
        <v>256</v>
      </c>
      <c r="K15" s="90" t="str">
        <f>VLOOKUP(I15,[7]stage_hints!$A:$C,3,FALSE)</f>
        <v>ユニットのお気に入り登録</v>
      </c>
      <c r="L15" s="91" t="str">
        <f>VLOOKUP(I15,[7]stage_hints!$A:$D,4,FALSE)</f>
        <v>大事なユニットを誤って消さないように_x000D_フォルダから「お気に入り登録」しましょう</v>
      </c>
      <c r="M15" s="55" t="s">
        <v>207</v>
      </c>
    </row>
    <row r="16" spans="1:13" x14ac:dyDescent="0.15">
      <c r="A16" s="78" t="s">
        <v>197</v>
      </c>
      <c r="B16" s="79">
        <f>floors!$C$2</f>
        <v>48007</v>
      </c>
      <c r="C16" s="80" t="str">
        <f ca="1">VLOOKUP($B16,OFFSET([2]quests!$A$1,0,0,COUNTA([2]quests!$A:$A),MATCH(C$1,[2]quests!$1:$1,0)-MATCH($B$1,[2]quests!$1:$1,0)+1),MATCH(C$1,[2]quests!$1:$1,0)-MATCH($B$1,[2]quests!$1:$1,0)+1,FALSE)</f>
        <v>紅鬼襲来！</v>
      </c>
      <c r="D16" s="80" t="str">
        <f ca="1">VLOOKUP($B16,OFFSET([2]quests!$A$1,0,0,COUNTA([2]quests!$A:$A),MATCH(D$1,[2]quests!$1:$1,0)-MATCH($B$1,[2]quests!$1:$1,0)+1),MATCH(D$1,[2]quests!$1:$1,0)-MATCH($B$1,[2]quests!$1:$1,0)+1,FALSE)</f>
        <v>台湾版降臨8</v>
      </c>
      <c r="E16" s="84">
        <v>2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【ウィザード級】紅鬼襲来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台湾版降臨8</v>
      </c>
      <c r="H16" s="82">
        <v>0</v>
      </c>
      <c r="I16">
        <v>17</v>
      </c>
      <c r="J16" s="81" t="s">
        <v>256</v>
      </c>
      <c r="K16" s="90" t="str">
        <f>VLOOKUP(I16,[7]stage_hints!$A:$C,3,FALSE)</f>
        <v>リンクガチャ</v>
      </c>
      <c r="L16" s="91" t="str">
        <f>VLOOKUP(I16,[7]stage_hints!$A:$D,4,FALSE)</f>
        <v>無料のリンクガチャを回して_x000D_経験値素材や売却素材を獲得しましょう</v>
      </c>
      <c r="M16" s="55" t="s">
        <v>207</v>
      </c>
    </row>
    <row r="17" spans="1:13" x14ac:dyDescent="0.15">
      <c r="A17" s="78" t="s">
        <v>197</v>
      </c>
      <c r="B17" s="79">
        <f>floors!$C$2</f>
        <v>48007</v>
      </c>
      <c r="C17" s="80" t="str">
        <f ca="1">VLOOKUP($B17,OFFSET([2]quests!$A$1,0,0,COUNTA([2]quests!$A:$A),MATCH(C$1,[2]quests!$1:$1,0)-MATCH($B$1,[2]quests!$1:$1,0)+1),MATCH(C$1,[2]quests!$1:$1,0)-MATCH($B$1,[2]quests!$1:$1,0)+1,FALSE)</f>
        <v>紅鬼襲来！</v>
      </c>
      <c r="D17" s="80" t="str">
        <f ca="1">VLOOKUP($B17,OFFSET([2]quests!$A$1,0,0,COUNTA([2]quests!$A:$A),MATCH(D$1,[2]quests!$1:$1,0)-MATCH($B$1,[2]quests!$1:$1,0)+1),MATCH(D$1,[2]quests!$1:$1,0)-MATCH($B$1,[2]quests!$1:$1,0)+1,FALSE)</f>
        <v>台湾版降臨8</v>
      </c>
      <c r="E17" s="84">
        <v>2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【ウィザード級】紅鬼襲来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台湾版降臨8</v>
      </c>
      <c r="H17" s="82">
        <v>0</v>
      </c>
      <c r="I17">
        <v>19</v>
      </c>
      <c r="J17" s="81" t="s">
        <v>256</v>
      </c>
      <c r="K17" s="90" t="str">
        <f>VLOOKUP(I17,[7]stage_hints!$A:$C,3,FALSE)</f>
        <v>ソロ専用タワーオブザクイーン</v>
      </c>
      <c r="L17" s="91" t="str">
        <f>VLOOKUP(I17,[7]stage_hints!$A:$D,4,FALSE)</f>
        <v>ソロ専用の「タワーオブザクイーン」は_x000D_期間限定で定期的に開催されます_x000D_ここでしか獲得できない報酬もあるようです</v>
      </c>
      <c r="M17" s="55" t="s">
        <v>207</v>
      </c>
    </row>
    <row r="18" spans="1:13" x14ac:dyDescent="0.15">
      <c r="A18" s="78" t="s">
        <v>197</v>
      </c>
      <c r="B18" s="79">
        <f>floors!$C$2</f>
        <v>48007</v>
      </c>
      <c r="C18" s="80" t="str">
        <f ca="1">VLOOKUP($B18,OFFSET([2]quests!$A$1,0,0,COUNTA([2]quests!$A:$A),MATCH(C$1,[2]quests!$1:$1,0)-MATCH($B$1,[2]quests!$1:$1,0)+1),MATCH(C$1,[2]quests!$1:$1,0)-MATCH($B$1,[2]quests!$1:$1,0)+1,FALSE)</f>
        <v>紅鬼襲来！</v>
      </c>
      <c r="D18" s="80" t="str">
        <f ca="1">VLOOKUP($B18,OFFSET([2]quests!$A$1,0,0,COUNTA([2]quests!$A:$A),MATCH(D$1,[2]quests!$1:$1,0)-MATCH($B$1,[2]quests!$1:$1,0)+1),MATCH(D$1,[2]quests!$1:$1,0)-MATCH($B$1,[2]quests!$1:$1,0)+1,FALSE)</f>
        <v>台湾版降臨8</v>
      </c>
      <c r="E18" s="84">
        <v>2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【ウィザード級】紅鬼襲来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台湾版降臨8</v>
      </c>
      <c r="H18" s="82">
        <v>0</v>
      </c>
      <c r="I18">
        <v>21</v>
      </c>
      <c r="J18" s="81" t="s">
        <v>256</v>
      </c>
      <c r="K18" s="90" t="str">
        <f>VLOOKUP(I18,[7]stage_hints!$A:$C,3,FALSE)</f>
        <v>スキルを有効に</v>
      </c>
      <c r="L18" s="91" t="str">
        <f>VLOOKUP(I18,[7]stage_hints!$A:$D,4,FALSE)</f>
        <v>ターン経過でユニットのスキルが使えます_x000D_強力スキルでバトルを有利に進めましょう</v>
      </c>
      <c r="M18" s="55" t="s">
        <v>207</v>
      </c>
    </row>
    <row r="19" spans="1:13" x14ac:dyDescent="0.15">
      <c r="A19" s="78" t="s">
        <v>197</v>
      </c>
      <c r="B19" s="79">
        <f>floors!$C$2</f>
        <v>48007</v>
      </c>
      <c r="C19" s="80" t="str">
        <f ca="1">VLOOKUP($B19,OFFSET([2]quests!$A$1,0,0,COUNTA([2]quests!$A:$A),MATCH(C$1,[2]quests!$1:$1,0)-MATCH($B$1,[2]quests!$1:$1,0)+1),MATCH(C$1,[2]quests!$1:$1,0)-MATCH($B$1,[2]quests!$1:$1,0)+1,FALSE)</f>
        <v>紅鬼襲来！</v>
      </c>
      <c r="D19" s="80" t="str">
        <f ca="1">VLOOKUP($B19,OFFSET([2]quests!$A$1,0,0,COUNTA([2]quests!$A:$A),MATCH(D$1,[2]quests!$1:$1,0)-MATCH($B$1,[2]quests!$1:$1,0)+1),MATCH(D$1,[2]quests!$1:$1,0)-MATCH($B$1,[2]quests!$1:$1,0)+1,FALSE)</f>
        <v>台湾版降臨8</v>
      </c>
      <c r="E19" s="84">
        <v>2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【ウィザード級】紅鬼襲来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台湾版降臨8</v>
      </c>
      <c r="H19" s="82">
        <v>0</v>
      </c>
      <c r="I19">
        <v>29</v>
      </c>
      <c r="J19" s="81" t="s">
        <v>256</v>
      </c>
      <c r="K19" s="90" t="str">
        <f>VLOOKUP(I19,[7]stage_hints!$A:$C,3,FALSE)</f>
        <v>「バグ」のメリット</v>
      </c>
      <c r="L19" s="91" t="str">
        <f>VLOOKUP(I19,[7]stage_hints!$A:$D,4,FALSE)</f>
        <v>ユニットの「バグ」を増やすと_x000D_報酬をもらえる確率がアップします</v>
      </c>
      <c r="M19" s="55" t="s">
        <v>207</v>
      </c>
    </row>
    <row r="20" spans="1:13" x14ac:dyDescent="0.15">
      <c r="A20" s="78" t="s">
        <v>197</v>
      </c>
      <c r="B20" s="79">
        <f>floors!$C$2</f>
        <v>48007</v>
      </c>
      <c r="C20" s="80" t="str">
        <f ca="1">VLOOKUP($B20,OFFSET([2]quests!$A$1,0,0,COUNTA([2]quests!$A:$A),MATCH(C$1,[2]quests!$1:$1,0)-MATCH($B$1,[2]quests!$1:$1,0)+1),MATCH(C$1,[2]quests!$1:$1,0)-MATCH($B$1,[2]quests!$1:$1,0)+1,FALSE)</f>
        <v>紅鬼襲来！</v>
      </c>
      <c r="D20" s="80" t="str">
        <f ca="1">VLOOKUP($B20,OFFSET([2]quests!$A$1,0,0,COUNTA([2]quests!$A:$A),MATCH(D$1,[2]quests!$1:$1,0)-MATCH($B$1,[2]quests!$1:$1,0)+1),MATCH(D$1,[2]quests!$1:$1,0)-MATCH($B$1,[2]quests!$1:$1,0)+1,FALSE)</f>
        <v>台湾版降臨8</v>
      </c>
      <c r="E20" s="84">
        <v>2</v>
      </c>
      <c r="F20" s="80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【ウィザード級】紅鬼襲来</v>
      </c>
      <c r="G20" s="80" t="str">
        <f ca="1">VLOOKUP($B20&amp;"_"&amp;$E20,OFFSET([2]stages!$A$1,0,0,COUNTA([2]stages!$A:$A),MATCH(G$1,[2]stages!$2:$2,0)-MATCH("temp_stage",[2]stages!$2:$2,0)+1),MATCH(G$1,[2]stages!$2:$2,0)-MATCH("temp_stage",[2]stages!$2:$2,0)+1,FALSE)</f>
        <v>台湾版降臨8</v>
      </c>
      <c r="H20" s="82">
        <v>0</v>
      </c>
      <c r="I20">
        <v>30</v>
      </c>
      <c r="J20" s="81" t="s">
        <v>256</v>
      </c>
      <c r="K20" s="90" t="str">
        <f>VLOOKUP(I20,[7]stage_hints!$A:$C,3,FALSE)</f>
        <v>「バグ」の増やし方</v>
      </c>
      <c r="L20" s="91" t="str">
        <f>VLOOKUP(I20,[7]stage_hints!$A:$D,4,FALSE)</f>
        <v>同じユニット同士を強化で合成すると_x000D_「バグ」を増やすことができます</v>
      </c>
      <c r="M20" s="55" t="s">
        <v>207</v>
      </c>
    </row>
    <row r="21" spans="1:13" x14ac:dyDescent="0.15">
      <c r="A21" s="78" t="s">
        <v>197</v>
      </c>
      <c r="B21" s="79">
        <f>floors!$C$2</f>
        <v>48007</v>
      </c>
      <c r="C21" s="80" t="str">
        <f ca="1">VLOOKUP($B21,OFFSET([2]quests!$A$1,0,0,COUNTA([2]quests!$A:$A),MATCH(C$1,[2]quests!$1:$1,0)-MATCH($B$1,[2]quests!$1:$1,0)+1),MATCH(C$1,[2]quests!$1:$1,0)-MATCH($B$1,[2]quests!$1:$1,0)+1,FALSE)</f>
        <v>紅鬼襲来！</v>
      </c>
      <c r="D21" s="80" t="str">
        <f ca="1">VLOOKUP($B21,OFFSET([2]quests!$A$1,0,0,COUNTA([2]quests!$A:$A),MATCH(D$1,[2]quests!$1:$1,0)-MATCH($B$1,[2]quests!$1:$1,0)+1),MATCH(D$1,[2]quests!$1:$1,0)-MATCH($B$1,[2]quests!$1:$1,0)+1,FALSE)</f>
        <v>台湾版降臨8</v>
      </c>
      <c r="E21" s="84">
        <v>2</v>
      </c>
      <c r="F21" s="80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【ウィザード級】紅鬼襲来</v>
      </c>
      <c r="G21" s="80" t="str">
        <f ca="1">VLOOKUP($B21&amp;"_"&amp;$E21,OFFSET([2]stages!$A$1,0,0,COUNTA([2]stages!$A:$A),MATCH(G$1,[2]stages!$2:$2,0)-MATCH("temp_stage",[2]stages!$2:$2,0)+1),MATCH(G$1,[2]stages!$2:$2,0)-MATCH("temp_stage",[2]stages!$2:$2,0)+1,FALSE)</f>
        <v>台湾版降臨8</v>
      </c>
      <c r="H21" s="82">
        <v>0</v>
      </c>
      <c r="I21">
        <v>32</v>
      </c>
      <c r="J21" s="81" t="s">
        <v>256</v>
      </c>
      <c r="K21" s="90" t="str">
        <f>VLOOKUP(I21,[7]stage_hints!$A:$C,3,FALSE)</f>
        <v>敵の連続攻撃には</v>
      </c>
      <c r="L21" s="91" t="str">
        <f>VLOOKUP(I21,[7]stage_hints!$A:$D,4,FALSE)</f>
        <v>カウンタースキルを持つユニットがいれば_x000D_ダメージ回数分の反撃ができます</v>
      </c>
      <c r="M21" s="55" t="s">
        <v>207</v>
      </c>
    </row>
    <row r="22" spans="1:13" x14ac:dyDescent="0.15">
      <c r="A22" s="78" t="s">
        <v>197</v>
      </c>
      <c r="B22" s="79">
        <f>floors!$C$2</f>
        <v>48007</v>
      </c>
      <c r="C22" s="80" t="str">
        <f ca="1">VLOOKUP($B22,OFFSET([2]quests!$A$1,0,0,COUNTA([2]quests!$A:$A),MATCH(C$1,[2]quests!$1:$1,0)-MATCH($B$1,[2]quests!$1:$1,0)+1),MATCH(C$1,[2]quests!$1:$1,0)-MATCH($B$1,[2]quests!$1:$1,0)+1,FALSE)</f>
        <v>紅鬼襲来！</v>
      </c>
      <c r="D22" s="80" t="str">
        <f ca="1">VLOOKUP($B22,OFFSET([2]quests!$A$1,0,0,COUNTA([2]quests!$A:$A),MATCH(D$1,[2]quests!$1:$1,0)-MATCH($B$1,[2]quests!$1:$1,0)+1),MATCH(D$1,[2]quests!$1:$1,0)-MATCH($B$1,[2]quests!$1:$1,0)+1,FALSE)</f>
        <v>台湾版降臨8</v>
      </c>
      <c r="E22" s="84">
        <v>2</v>
      </c>
      <c r="F22" s="80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【ウィザード級】紅鬼襲来</v>
      </c>
      <c r="G22" s="80" t="str">
        <f ca="1">VLOOKUP($B22&amp;"_"&amp;$E22,OFFSET([2]stages!$A$1,0,0,COUNTA([2]stages!$A:$A),MATCH(G$1,[2]stages!$2:$2,0)-MATCH("temp_stage",[2]stages!$2:$2,0)+1),MATCH(G$1,[2]stages!$2:$2,0)-MATCH("temp_stage",[2]stages!$2:$2,0)+1,FALSE)</f>
        <v>台湾版降臨8</v>
      </c>
      <c r="H22" s="82">
        <v>0</v>
      </c>
      <c r="I22">
        <v>33</v>
      </c>
      <c r="J22" s="81" t="s">
        <v>256</v>
      </c>
      <c r="K22" s="90" t="str">
        <f>VLOOKUP(I22,[7]stage_hints!$A:$C,3,FALSE)</f>
        <v>敵のカウンター攻撃には</v>
      </c>
      <c r="L22" s="91" t="str">
        <f>VLOOKUP(I22,[7]stage_hints!$A:$D,4,FALSE)</f>
        <v>カウンターブレイクスキルを持っていれば_x000D_敵のカウンターを解除して攻撃ができます</v>
      </c>
      <c r="M22" s="55" t="s">
        <v>207</v>
      </c>
    </row>
    <row r="23" spans="1:13" x14ac:dyDescent="0.15">
      <c r="A23" s="78" t="s">
        <v>197</v>
      </c>
      <c r="B23" s="79">
        <f>floors!$C$2</f>
        <v>48007</v>
      </c>
      <c r="C23" s="80" t="str">
        <f ca="1">VLOOKUP($B23,OFFSET([2]quests!$A$1,0,0,COUNTA([2]quests!$A:$A),MATCH(C$1,[2]quests!$1:$1,0)-MATCH($B$1,[2]quests!$1:$1,0)+1),MATCH(C$1,[2]quests!$1:$1,0)-MATCH($B$1,[2]quests!$1:$1,0)+1,FALSE)</f>
        <v>紅鬼襲来！</v>
      </c>
      <c r="D23" s="80" t="str">
        <f ca="1">VLOOKUP($B23,OFFSET([2]quests!$A$1,0,0,COUNTA([2]quests!$A:$A),MATCH(D$1,[2]quests!$1:$1,0)-MATCH($B$1,[2]quests!$1:$1,0)+1),MATCH(D$1,[2]quests!$1:$1,0)-MATCH($B$1,[2]quests!$1:$1,0)+1,FALSE)</f>
        <v>台湾版降臨8</v>
      </c>
      <c r="E23" s="84">
        <v>2</v>
      </c>
      <c r="F23" s="80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【ウィザード級】紅鬼襲来</v>
      </c>
      <c r="G23" s="80" t="str">
        <f ca="1">VLOOKUP($B23&amp;"_"&amp;$E23,OFFSET([2]stages!$A$1,0,0,COUNTA([2]stages!$A:$A),MATCH(G$1,[2]stages!$2:$2,0)-MATCH("temp_stage",[2]stages!$2:$2,0)+1),MATCH(G$1,[2]stages!$2:$2,0)-MATCH("temp_stage",[2]stages!$2:$2,0)+1,FALSE)</f>
        <v>台湾版降臨8</v>
      </c>
      <c r="H23" s="82">
        <v>0</v>
      </c>
      <c r="I23">
        <v>34</v>
      </c>
      <c r="J23" s="81" t="s">
        <v>256</v>
      </c>
      <c r="K23" s="90" t="str">
        <f>VLOOKUP(I23,[7]stage_hints!$A:$C,3,FALSE)</f>
        <v>ステータスをスキルで下げられたら</v>
      </c>
      <c r="L23" s="91" t="str">
        <f>VLOOKUP(I23,[7]stage_hints!$A:$D,4,FALSE)</f>
        <v>ステータスダウンのスキルを受けたら_x000D_ステータスアップスキルで上書きしましょう</v>
      </c>
      <c r="M23" s="55" t="s">
        <v>207</v>
      </c>
    </row>
    <row r="24" spans="1:13" x14ac:dyDescent="0.15">
      <c r="A24" s="78" t="s">
        <v>197</v>
      </c>
      <c r="B24" s="79">
        <f>floors!$C$2</f>
        <v>48007</v>
      </c>
      <c r="C24" s="80" t="str">
        <f ca="1">VLOOKUP($B24,OFFSET([2]quests!$A$1,0,0,COUNTA([2]quests!$A:$A),MATCH(C$1,[2]quests!$1:$1,0)-MATCH($B$1,[2]quests!$1:$1,0)+1),MATCH(C$1,[2]quests!$1:$1,0)-MATCH($B$1,[2]quests!$1:$1,0)+1,FALSE)</f>
        <v>紅鬼襲来！</v>
      </c>
      <c r="D24" s="80" t="str">
        <f ca="1">VLOOKUP($B24,OFFSET([2]quests!$A$1,0,0,COUNTA([2]quests!$A:$A),MATCH(D$1,[2]quests!$1:$1,0)-MATCH($B$1,[2]quests!$1:$1,0)+1),MATCH(D$1,[2]quests!$1:$1,0)-MATCH($B$1,[2]quests!$1:$1,0)+1,FALSE)</f>
        <v>台湾版降臨8</v>
      </c>
      <c r="E24" s="84">
        <v>2</v>
      </c>
      <c r="F24" s="80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【ウィザード級】紅鬼襲来</v>
      </c>
      <c r="G24" s="80" t="str">
        <f ca="1">VLOOKUP($B24&amp;"_"&amp;$E24,OFFSET([2]stages!$A$1,0,0,COUNTA([2]stages!$A:$A),MATCH(G$1,[2]stages!$2:$2,0)-MATCH("temp_stage",[2]stages!$2:$2,0)+1),MATCH(G$1,[2]stages!$2:$2,0)-MATCH("temp_stage",[2]stages!$2:$2,0)+1,FALSE)</f>
        <v>台湾版降臨8</v>
      </c>
      <c r="H24" s="82">
        <v>0</v>
      </c>
      <c r="I24">
        <v>35</v>
      </c>
      <c r="J24" s="81" t="s">
        <v>256</v>
      </c>
      <c r="K24" s="90" t="str">
        <f>VLOOKUP(I24,[7]stage_hints!$A:$C,3,FALSE)</f>
        <v>敵のステータスがスキルで上がったら</v>
      </c>
      <c r="L24" s="91" t="str">
        <f>VLOOKUP(I24,[7]stage_hints!$A:$D,4,FALSE)</f>
        <v>敵のステータスがスキルでアップしたときは_x000D_ステータスダウンスキルで上書きしましょう</v>
      </c>
      <c r="M24" s="55" t="s">
        <v>207</v>
      </c>
    </row>
    <row r="25" spans="1:13" x14ac:dyDescent="0.15">
      <c r="A25" s="78" t="s">
        <v>197</v>
      </c>
      <c r="B25" s="79">
        <f>floors!$C$2</f>
        <v>48007</v>
      </c>
      <c r="C25" s="80" t="str">
        <f ca="1">VLOOKUP($B25,OFFSET([2]quests!$A$1,0,0,COUNTA([2]quests!$A:$A),MATCH(C$1,[2]quests!$1:$1,0)-MATCH($B$1,[2]quests!$1:$1,0)+1),MATCH(C$1,[2]quests!$1:$1,0)-MATCH($B$1,[2]quests!$1:$1,0)+1,FALSE)</f>
        <v>紅鬼襲来！</v>
      </c>
      <c r="D25" s="80" t="str">
        <f ca="1">VLOOKUP($B25,OFFSET([2]quests!$A$1,0,0,COUNTA([2]quests!$A:$A),MATCH(D$1,[2]quests!$1:$1,0)-MATCH($B$1,[2]quests!$1:$1,0)+1),MATCH(D$1,[2]quests!$1:$1,0)-MATCH($B$1,[2]quests!$1:$1,0)+1,FALSE)</f>
        <v>台湾版降臨8</v>
      </c>
      <c r="E25" s="84">
        <v>2</v>
      </c>
      <c r="F25" s="80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【ウィザード級】紅鬼襲来</v>
      </c>
      <c r="G25" s="80" t="str">
        <f ca="1">VLOOKUP($B25&amp;"_"&amp;$E25,OFFSET([2]stages!$A$1,0,0,COUNTA([2]stages!$A:$A),MATCH(G$1,[2]stages!$2:$2,0)-MATCH("temp_stage",[2]stages!$2:$2,0)+1),MATCH(G$1,[2]stages!$2:$2,0)-MATCH("temp_stage",[2]stages!$2:$2,0)+1,FALSE)</f>
        <v>台湾版降臨8</v>
      </c>
      <c r="H25" s="82">
        <v>0</v>
      </c>
      <c r="I25">
        <v>36</v>
      </c>
      <c r="J25" s="81" t="s">
        <v>256</v>
      </c>
      <c r="K25" s="90" t="str">
        <f>VLOOKUP(I25,[7]stage_hints!$A:$C,3,FALSE)</f>
        <v>タワーオブザクイーンのボス</v>
      </c>
      <c r="L25" s="91" t="str">
        <f>VLOOKUP(I25,[7]stage_hints!$A:$D,4,FALSE)</f>
        <v>「タワーオブザクイーン」最上階のボスは_x000D_15階の初回クリア報酬で獲得できるほか_x000D_その階にて低確率でドロップもします</v>
      </c>
      <c r="M25" s="55" t="s">
        <v>207</v>
      </c>
    </row>
    <row r="26" spans="1:13" x14ac:dyDescent="0.15">
      <c r="A26" s="78" t="s">
        <v>197</v>
      </c>
      <c r="B26" s="79">
        <f>floors!$C$2</f>
        <v>48007</v>
      </c>
      <c r="C26" s="80" t="str">
        <f ca="1">VLOOKUP($B26,OFFSET([2]quests!$A$1,0,0,COUNTA([2]quests!$A:$A),MATCH(C$1,[2]quests!$1:$1,0)-MATCH($B$1,[2]quests!$1:$1,0)+1),MATCH(C$1,[2]quests!$1:$1,0)-MATCH($B$1,[2]quests!$1:$1,0)+1,FALSE)</f>
        <v>紅鬼襲来！</v>
      </c>
      <c r="D26" s="80" t="str">
        <f ca="1">VLOOKUP($B26,OFFSET([2]quests!$A$1,0,0,COUNTA([2]quests!$A:$A),MATCH(D$1,[2]quests!$1:$1,0)-MATCH($B$1,[2]quests!$1:$1,0)+1),MATCH(D$1,[2]quests!$1:$1,0)-MATCH($B$1,[2]quests!$1:$1,0)+1,FALSE)</f>
        <v>台湾版降臨8</v>
      </c>
      <c r="E26" s="84">
        <v>2</v>
      </c>
      <c r="F26" s="80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【ウィザード級】紅鬼襲来</v>
      </c>
      <c r="G26" s="80" t="str">
        <f ca="1">VLOOKUP($B26&amp;"_"&amp;$E26,OFFSET([2]stages!$A$1,0,0,COUNTA([2]stages!$A:$A),MATCH(G$1,[2]stages!$2:$2,0)-MATCH("temp_stage",[2]stages!$2:$2,0)+1),MATCH(G$1,[2]stages!$2:$2,0)-MATCH("temp_stage",[2]stages!$2:$2,0)+1,FALSE)</f>
        <v>台湾版降臨8</v>
      </c>
      <c r="H26" s="82">
        <v>0</v>
      </c>
      <c r="I26">
        <v>37</v>
      </c>
      <c r="J26" s="81" t="s">
        <v>256</v>
      </c>
      <c r="K26" s="90" t="str">
        <f>VLOOKUP(I26,[7]stage_hints!$A:$C,3,FALSE)</f>
        <v>限界突破値の引き継ぎ</v>
      </c>
      <c r="L26" s="91" t="str">
        <f>VLOOKUP(I26,[7]stage_hints!$A:$D,4,FALSE)</f>
        <v>同じユニットを強化で合成すると_x000D_限界突破値を引き継げます（覚醒前後も可）</v>
      </c>
      <c r="M26" s="55" t="s">
        <v>207</v>
      </c>
    </row>
    <row r="27" spans="1:13" x14ac:dyDescent="0.15">
      <c r="A27" s="78" t="s">
        <v>197</v>
      </c>
      <c r="B27" s="79">
        <f>floors!$C$2</f>
        <v>48007</v>
      </c>
      <c r="C27" s="80" t="str">
        <f ca="1">VLOOKUP($B27,OFFSET([2]quests!$A$1,0,0,COUNTA([2]quests!$A:$A),MATCH(C$1,[2]quests!$1:$1,0)-MATCH($B$1,[2]quests!$1:$1,0)+1),MATCH(C$1,[2]quests!$1:$1,0)-MATCH($B$1,[2]quests!$1:$1,0)+1,FALSE)</f>
        <v>紅鬼襲来！</v>
      </c>
      <c r="D27" s="80" t="str">
        <f ca="1">VLOOKUP($B27,OFFSET([2]quests!$A$1,0,0,COUNTA([2]quests!$A:$A),MATCH(D$1,[2]quests!$1:$1,0)-MATCH($B$1,[2]quests!$1:$1,0)+1),MATCH(D$1,[2]quests!$1:$1,0)-MATCH($B$1,[2]quests!$1:$1,0)+1,FALSE)</f>
        <v>台湾版降臨8</v>
      </c>
      <c r="E27" s="84">
        <v>2</v>
      </c>
      <c r="F27" s="80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【ウィザード級】紅鬼襲来</v>
      </c>
      <c r="G27" s="80" t="str">
        <f ca="1">VLOOKUP($B27&amp;"_"&amp;$E27,OFFSET([2]stages!$A$1,0,0,COUNTA([2]stages!$A:$A),MATCH(G$1,[2]stages!$2:$2,0)-MATCH("temp_stage",[2]stages!$2:$2,0)+1),MATCH(G$1,[2]stages!$2:$2,0)-MATCH("temp_stage",[2]stages!$2:$2,0)+1,FALSE)</f>
        <v>台湾版降臨8</v>
      </c>
      <c r="H27" s="82">
        <v>0</v>
      </c>
      <c r="I27">
        <v>39</v>
      </c>
      <c r="J27" s="81" t="s">
        <v>256</v>
      </c>
      <c r="K27" s="90" t="str">
        <f>VLOOKUP(I27,[7]stage_hints!$A:$C,3,FALSE)</f>
        <v>システム適合者を確認</v>
      </c>
      <c r="L27" s="91" t="str">
        <f>VLOOKUP(I27,[7]stage_hints!$A:$D,4,FALSE)</f>
        <v>ALICEが 「アナタ」を呼んでいます</v>
      </c>
      <c r="M27" s="55" t="s">
        <v>207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2" activePane="bottomLeft" state="frozen"/>
      <selection pane="bottomLeft" activeCell="K2" sqref="K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185</v>
      </c>
      <c r="B1" s="70" t="s">
        <v>148</v>
      </c>
      <c r="C1" s="74" t="s">
        <v>187</v>
      </c>
      <c r="D1" s="74" t="s">
        <v>33</v>
      </c>
      <c r="E1" s="70" t="s">
        <v>188</v>
      </c>
      <c r="F1" s="74" t="s">
        <v>18</v>
      </c>
      <c r="G1" s="74" t="s">
        <v>33</v>
      </c>
      <c r="H1" s="70" t="s">
        <v>190</v>
      </c>
      <c r="I1" s="86" t="s">
        <v>191</v>
      </c>
      <c r="J1" s="88" t="s">
        <v>192</v>
      </c>
      <c r="K1" s="76" t="s">
        <v>125</v>
      </c>
      <c r="L1" s="75" t="s">
        <v>184</v>
      </c>
      <c r="M1" s="89" t="s">
        <v>183</v>
      </c>
      <c r="N1" s="77" t="s">
        <v>193</v>
      </c>
    </row>
    <row r="2" spans="1:14" x14ac:dyDescent="0.15">
      <c r="A2" s="78" t="s">
        <v>197</v>
      </c>
      <c r="B2" s="79">
        <f>floors!$C$2</f>
        <v>48007</v>
      </c>
      <c r="C2" s="80" t="str">
        <f ca="1">VLOOKUP($B2,OFFSET([2]quests!$A$1,0,0,COUNTA([2]quests!$A:$A),MATCH(C$1,[2]quests!$1:$1,0)-MATCH($B$1,[2]quests!$1:$1,0)+1),MATCH(C$1,[2]quests!$1:$1,0)-MATCH($B$1,[2]quests!$1:$1,0)+1,FALSE)</f>
        <v>紅鬼襲来！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台湾版降臨8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【超絶級】紅鬼襲来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台湾版降臨8</v>
      </c>
      <c r="H2" s="82">
        <v>0</v>
      </c>
      <c r="I2" s="87">
        <f>ROW()-1</f>
        <v>1</v>
      </c>
      <c r="J2" s="83" t="str">
        <f>B2&amp;TEXT(I2,"00")</f>
        <v>4800701</v>
      </c>
      <c r="K2" s="81" t="s">
        <v>256</v>
      </c>
      <c r="L2" s="84"/>
      <c r="M2" s="132"/>
      <c r="N2" s="55" t="s">
        <v>196</v>
      </c>
    </row>
    <row r="3" spans="1:14" x14ac:dyDescent="0.15">
      <c r="A3" s="78" t="s">
        <v>197</v>
      </c>
      <c r="B3" s="79">
        <f>floors!$C$2</f>
        <v>48007</v>
      </c>
      <c r="C3" s="80" t="str">
        <f ca="1">VLOOKUP($B3,OFFSET([2]quests!$A$1,0,0,COUNTA([2]quests!$A:$A),MATCH(C$1,[2]quests!$1:$1,0)-MATCH($B$1,[2]quests!$1:$1,0)+1),MATCH(C$1,[2]quests!$1:$1,0)-MATCH($B$1,[2]quests!$1:$1,0)+1,FALSE)</f>
        <v>紅鬼襲来！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台湾版降臨8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【超絶級】紅鬼襲来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台湾版降臨8</v>
      </c>
      <c r="H3" s="82">
        <v>0</v>
      </c>
      <c r="I3" s="87">
        <f>ROW()-1</f>
        <v>2</v>
      </c>
      <c r="J3" s="83" t="str">
        <f>B3&amp;TEXT(I3,"00")</f>
        <v>4800702</v>
      </c>
      <c r="K3" s="81" t="s">
        <v>372</v>
      </c>
      <c r="L3" s="84"/>
      <c r="M3" s="132"/>
      <c r="N3" s="55" t="s">
        <v>196</v>
      </c>
    </row>
    <row r="4" spans="1:14" x14ac:dyDescent="0.15">
      <c r="A4" s="78" t="s">
        <v>194</v>
      </c>
      <c r="B4" s="79">
        <f>floors!$C$2</f>
        <v>48007</v>
      </c>
      <c r="C4" s="80" t="str">
        <f ca="1">VLOOKUP($B4,OFFSET([2]quests!$A$1,0,0,COUNTA([2]quests!$A:$A),MATCH(C$1,[2]quests!$1:$1,0)-MATCH($B$1,[2]quests!$1:$1,0)+1),MATCH(C$1,[2]quests!$1:$1,0)-MATCH($B$1,[2]quests!$1:$1,0)+1,FALSE)</f>
        <v>紅鬼襲来！</v>
      </c>
      <c r="D4" s="80" t="str">
        <f ca="1">VLOOKUP($B4,OFFSET([2]quests!$A$1,0,0,COUNTA([2]quests!$A:$A),MATCH(D$1,[2]quests!$1:$1,0)-MATCH($B$1,[2]quests!$1:$1,0)+1),MATCH(D$1,[2]quests!$1:$1,0)-MATCH($B$1,[2]quests!$1:$1,0)+1,FALSE)</f>
        <v>台湾版降臨8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【超絶級】紅鬼襲来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台湾版降臨8</v>
      </c>
      <c r="H4" s="82">
        <v>1</v>
      </c>
      <c r="I4" s="87">
        <f>ROW()-1</f>
        <v>3</v>
      </c>
      <c r="J4" s="83" t="str">
        <f>B4&amp;TEXT(I4,"00")</f>
        <v>4800703</v>
      </c>
      <c r="K4" s="81" t="s">
        <v>256</v>
      </c>
      <c r="L4" s="84" t="s">
        <v>195</v>
      </c>
      <c r="M4" s="132"/>
      <c r="N4" s="55" t="s">
        <v>196</v>
      </c>
    </row>
    <row r="5" spans="1:14" x14ac:dyDescent="0.15">
      <c r="A5" s="78" t="s">
        <v>194</v>
      </c>
      <c r="B5" s="79">
        <f>floors!$C$2</f>
        <v>48007</v>
      </c>
      <c r="C5" s="80" t="str">
        <f ca="1">VLOOKUP($B5,OFFSET([2]quests!$A$1,0,0,COUNTA([2]quests!$A:$A),MATCH(C$1,[2]quests!$1:$1,0)-MATCH($B$1,[2]quests!$1:$1,0)+1),MATCH(C$1,[2]quests!$1:$1,0)-MATCH($B$1,[2]quests!$1:$1,0)+1,FALSE)</f>
        <v>紅鬼襲来！</v>
      </c>
      <c r="D5" s="80" t="str">
        <f ca="1">VLOOKUP($B5,OFFSET([2]quests!$A$1,0,0,COUNTA([2]quests!$A:$A),MATCH(D$1,[2]quests!$1:$1,0)-MATCH($B$1,[2]quests!$1:$1,0)+1),MATCH(D$1,[2]quests!$1:$1,0)-MATCH($B$1,[2]quests!$1:$1,0)+1,FALSE)</f>
        <v>台湾版降臨8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【超絶級】紅鬼襲来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台湾版降臨8</v>
      </c>
      <c r="H5" s="82">
        <v>2</v>
      </c>
      <c r="I5" s="87">
        <f t="shared" ref="I5:I17" si="0">ROW()-1</f>
        <v>4</v>
      </c>
      <c r="J5" s="83" t="str">
        <f t="shared" ref="J5:J9" si="1">B5&amp;TEXT(I5,"00")</f>
        <v>4800704</v>
      </c>
      <c r="K5" s="81" t="s">
        <v>256</v>
      </c>
      <c r="L5" s="84" t="s">
        <v>195</v>
      </c>
      <c r="M5" s="132"/>
      <c r="N5" s="55" t="s">
        <v>196</v>
      </c>
    </row>
    <row r="6" spans="1:14" x14ac:dyDescent="0.15">
      <c r="A6" s="78" t="s">
        <v>194</v>
      </c>
      <c r="B6" s="79">
        <f>floors!$C$2</f>
        <v>48007</v>
      </c>
      <c r="C6" s="80" t="str">
        <f ca="1">VLOOKUP($B6,OFFSET([2]quests!$A$1,0,0,COUNTA([2]quests!$A:$A),MATCH(C$1,[2]quests!$1:$1,0)-MATCH($B$1,[2]quests!$1:$1,0)+1),MATCH(C$1,[2]quests!$1:$1,0)-MATCH($B$1,[2]quests!$1:$1,0)+1,FALSE)</f>
        <v>紅鬼襲来！</v>
      </c>
      <c r="D6" s="80" t="str">
        <f ca="1">VLOOKUP($B6,OFFSET([2]quests!$A$1,0,0,COUNTA([2]quests!$A:$A),MATCH(D$1,[2]quests!$1:$1,0)-MATCH($B$1,[2]quests!$1:$1,0)+1),MATCH(D$1,[2]quests!$1:$1,0)-MATCH($B$1,[2]quests!$1:$1,0)+1,FALSE)</f>
        <v>台湾版降臨8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【超絶級】紅鬼襲来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台湾版降臨8</v>
      </c>
      <c r="H6" s="82">
        <v>3</v>
      </c>
      <c r="I6" s="87">
        <f t="shared" si="0"/>
        <v>5</v>
      </c>
      <c r="J6" s="83" t="str">
        <f t="shared" si="1"/>
        <v>4800705</v>
      </c>
      <c r="K6" s="81" t="s">
        <v>256</v>
      </c>
      <c r="L6" s="84" t="s">
        <v>195</v>
      </c>
      <c r="M6" s="132"/>
      <c r="N6" s="55" t="s">
        <v>196</v>
      </c>
    </row>
    <row r="7" spans="1:14" x14ac:dyDescent="0.15">
      <c r="A7" s="78" t="s">
        <v>194</v>
      </c>
      <c r="B7" s="79">
        <f>floors!$C$2</f>
        <v>48007</v>
      </c>
      <c r="C7" s="80" t="str">
        <f ca="1">VLOOKUP($B7,OFFSET([2]quests!$A$1,0,0,COUNTA([2]quests!$A:$A),MATCH(C$1,[2]quests!$1:$1,0)-MATCH($B$1,[2]quests!$1:$1,0)+1),MATCH(C$1,[2]quests!$1:$1,0)-MATCH($B$1,[2]quests!$1:$1,0)+1,FALSE)</f>
        <v>紅鬼襲来！</v>
      </c>
      <c r="D7" s="80" t="str">
        <f ca="1">VLOOKUP($B7,OFFSET([2]quests!$A$1,0,0,COUNTA([2]quests!$A:$A),MATCH(D$1,[2]quests!$1:$1,0)-MATCH($B$1,[2]quests!$1:$1,0)+1),MATCH(D$1,[2]quests!$1:$1,0)-MATCH($B$1,[2]quests!$1:$1,0)+1,FALSE)</f>
        <v>台湾版降臨8</v>
      </c>
      <c r="E7" s="81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【超絶級】紅鬼襲来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台湾版降臨8</v>
      </c>
      <c r="H7" s="82">
        <v>3</v>
      </c>
      <c r="I7" s="87">
        <f t="shared" si="0"/>
        <v>6</v>
      </c>
      <c r="J7" s="83" t="str">
        <f t="shared" si="1"/>
        <v>4800706</v>
      </c>
      <c r="K7" s="81" t="s">
        <v>256</v>
      </c>
      <c r="L7" s="84" t="s">
        <v>195</v>
      </c>
      <c r="M7" s="132"/>
      <c r="N7" s="55" t="s">
        <v>196</v>
      </c>
    </row>
    <row r="8" spans="1:14" x14ac:dyDescent="0.15">
      <c r="A8" s="78" t="s">
        <v>194</v>
      </c>
      <c r="B8" s="79">
        <f>floors!$C$2</f>
        <v>48007</v>
      </c>
      <c r="C8" s="80" t="str">
        <f ca="1">VLOOKUP($B8,OFFSET([2]quests!$A$1,0,0,COUNTA([2]quests!$A:$A),MATCH(C$1,[2]quests!$1:$1,0)-MATCH($B$1,[2]quests!$1:$1,0)+1),MATCH(C$1,[2]quests!$1:$1,0)-MATCH($B$1,[2]quests!$1:$1,0)+1,FALSE)</f>
        <v>紅鬼襲来！</v>
      </c>
      <c r="D8" s="80" t="str">
        <f ca="1">VLOOKUP($B8,OFFSET([2]quests!$A$1,0,0,COUNTA([2]quests!$A:$A),MATCH(D$1,[2]quests!$1:$1,0)-MATCH($B$1,[2]quests!$1:$1,0)+1),MATCH(D$1,[2]quests!$1:$1,0)-MATCH($B$1,[2]quests!$1:$1,0)+1,FALSE)</f>
        <v>台湾版降臨8</v>
      </c>
      <c r="E8" s="81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【超絶級】紅鬼襲来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台湾版降臨8</v>
      </c>
      <c r="H8" s="82">
        <v>4</v>
      </c>
      <c r="I8" s="87">
        <f t="shared" si="0"/>
        <v>7</v>
      </c>
      <c r="J8" s="83" t="str">
        <f t="shared" si="1"/>
        <v>4800707</v>
      </c>
      <c r="K8" s="81" t="s">
        <v>256</v>
      </c>
      <c r="L8" s="84" t="s">
        <v>195</v>
      </c>
      <c r="M8" s="132"/>
      <c r="N8" s="55" t="s">
        <v>196</v>
      </c>
    </row>
    <row r="9" spans="1:14" x14ac:dyDescent="0.15">
      <c r="A9" s="78" t="s">
        <v>194</v>
      </c>
      <c r="B9" s="79">
        <f>floors!$C$2</f>
        <v>48007</v>
      </c>
      <c r="C9" s="80" t="str">
        <f ca="1">VLOOKUP($B9,OFFSET([2]quests!$A$1,0,0,COUNTA([2]quests!$A:$A),MATCH(C$1,[2]quests!$1:$1,0)-MATCH($B$1,[2]quests!$1:$1,0)+1),MATCH(C$1,[2]quests!$1:$1,0)-MATCH($B$1,[2]quests!$1:$1,0)+1,FALSE)</f>
        <v>紅鬼襲来！</v>
      </c>
      <c r="D9" s="80" t="str">
        <f ca="1">VLOOKUP($B9,OFFSET([2]quests!$A$1,0,0,COUNTA([2]quests!$A:$A),MATCH(D$1,[2]quests!$1:$1,0)-MATCH($B$1,[2]quests!$1:$1,0)+1),MATCH(D$1,[2]quests!$1:$1,0)-MATCH($B$1,[2]quests!$1:$1,0)+1,FALSE)</f>
        <v>台湾版降臨8</v>
      </c>
      <c r="E9" s="81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【超絶級】紅鬼襲来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台湾版降臨8</v>
      </c>
      <c r="H9" s="82">
        <v>4</v>
      </c>
      <c r="I9" s="87">
        <f t="shared" si="0"/>
        <v>8</v>
      </c>
      <c r="J9" s="83" t="str">
        <f t="shared" si="1"/>
        <v>4800708</v>
      </c>
      <c r="K9" s="81" t="s">
        <v>256</v>
      </c>
      <c r="L9" s="84" t="s">
        <v>195</v>
      </c>
      <c r="M9" s="132"/>
      <c r="N9" s="55" t="s">
        <v>196</v>
      </c>
    </row>
    <row r="10" spans="1:14" x14ac:dyDescent="0.15">
      <c r="A10" s="78" t="s">
        <v>197</v>
      </c>
      <c r="B10" s="79">
        <f>floors!$C$2</f>
        <v>48007</v>
      </c>
      <c r="C10" s="80" t="str">
        <f ca="1">VLOOKUP($B10,OFFSET([2]quests!$A$1,0,0,COUNTA([2]quests!$A:$A),MATCH(C$1,[2]quests!$1:$1,0)-MATCH($B$1,[2]quests!$1:$1,0)+1),MATCH(C$1,[2]quests!$1:$1,0)-MATCH($B$1,[2]quests!$1:$1,0)+1,FALSE)</f>
        <v>紅鬼襲来！</v>
      </c>
      <c r="D10" s="80" t="str">
        <f ca="1">VLOOKUP($B10,OFFSET([2]quests!$A$1,0,0,COUNTA([2]quests!$A:$A),MATCH(D$1,[2]quests!$1:$1,0)-MATCH($B$1,[2]quests!$1:$1,0)+1),MATCH(D$1,[2]quests!$1:$1,0)-MATCH($B$1,[2]quests!$1:$1,0)+1,FALSE)</f>
        <v>台湾版降臨8</v>
      </c>
      <c r="E10" s="81">
        <v>2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【ウィザード級】紅鬼襲来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台湾版降臨8</v>
      </c>
      <c r="H10" s="82">
        <v>0</v>
      </c>
      <c r="I10" s="87">
        <f>ROW()-1</f>
        <v>9</v>
      </c>
      <c r="J10" s="83" t="str">
        <f>B10&amp;TEXT(I10,"00")</f>
        <v>4800709</v>
      </c>
      <c r="K10" s="81" t="s">
        <v>256</v>
      </c>
      <c r="L10" s="84"/>
      <c r="M10" s="132"/>
      <c r="N10" s="55" t="s">
        <v>196</v>
      </c>
    </row>
    <row r="11" spans="1:14" x14ac:dyDescent="0.15">
      <c r="A11" s="78" t="s">
        <v>197</v>
      </c>
      <c r="B11" s="79">
        <f>floors!$C$2</f>
        <v>48007</v>
      </c>
      <c r="C11" s="80" t="str">
        <f ca="1">VLOOKUP($B11,OFFSET([2]quests!$A$1,0,0,COUNTA([2]quests!$A:$A),MATCH(C$1,[2]quests!$1:$1,0)-MATCH($B$1,[2]quests!$1:$1,0)+1),MATCH(C$1,[2]quests!$1:$1,0)-MATCH($B$1,[2]quests!$1:$1,0)+1,FALSE)</f>
        <v>紅鬼襲来！</v>
      </c>
      <c r="D11" s="80" t="str">
        <f ca="1">VLOOKUP($B11,OFFSET([2]quests!$A$1,0,0,COUNTA([2]quests!$A:$A),MATCH(D$1,[2]quests!$1:$1,0)-MATCH($B$1,[2]quests!$1:$1,0)+1),MATCH(D$1,[2]quests!$1:$1,0)-MATCH($B$1,[2]quests!$1:$1,0)+1,FALSE)</f>
        <v>台湾版降臨8</v>
      </c>
      <c r="E11" s="81">
        <v>2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【ウィザード級】紅鬼襲来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台湾版降臨8</v>
      </c>
      <c r="H11" s="82">
        <v>0</v>
      </c>
      <c r="I11" s="87">
        <f>ROW()-1</f>
        <v>10</v>
      </c>
      <c r="J11" s="83" t="str">
        <f>B11&amp;TEXT(I11,"00")</f>
        <v>4800710</v>
      </c>
      <c r="K11" s="81" t="s">
        <v>256</v>
      </c>
      <c r="L11" s="84"/>
      <c r="M11" s="132"/>
      <c r="N11" s="55" t="s">
        <v>196</v>
      </c>
    </row>
    <row r="12" spans="1:14" x14ac:dyDescent="0.15">
      <c r="A12" s="78" t="s">
        <v>194</v>
      </c>
      <c r="B12" s="79">
        <f>floors!$C$2</f>
        <v>48007</v>
      </c>
      <c r="C12" s="80" t="str">
        <f ca="1">VLOOKUP($B12,OFFSET([2]quests!$A$1,0,0,COUNTA([2]quests!$A:$A),MATCH(C$1,[2]quests!$1:$1,0)-MATCH($B$1,[2]quests!$1:$1,0)+1),MATCH(C$1,[2]quests!$1:$1,0)-MATCH($B$1,[2]quests!$1:$1,0)+1,FALSE)</f>
        <v>紅鬼襲来！</v>
      </c>
      <c r="D12" s="80" t="str">
        <f ca="1">VLOOKUP($B12,OFFSET([2]quests!$A$1,0,0,COUNTA([2]quests!$A:$A),MATCH(D$1,[2]quests!$1:$1,0)-MATCH($B$1,[2]quests!$1:$1,0)+1),MATCH(D$1,[2]quests!$1:$1,0)-MATCH($B$1,[2]quests!$1:$1,0)+1,FALSE)</f>
        <v>台湾版降臨8</v>
      </c>
      <c r="E12" s="81">
        <v>2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【ウィザード級】紅鬼襲来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台湾版降臨8</v>
      </c>
      <c r="H12" s="82">
        <v>1</v>
      </c>
      <c r="I12" s="87">
        <f>ROW()-1</f>
        <v>11</v>
      </c>
      <c r="J12" s="83" t="str">
        <f>B12&amp;TEXT(I12,"00")</f>
        <v>4800711</v>
      </c>
      <c r="K12" s="81" t="s">
        <v>256</v>
      </c>
      <c r="L12" s="84" t="s">
        <v>195</v>
      </c>
      <c r="M12" s="132"/>
      <c r="N12" s="55" t="s">
        <v>196</v>
      </c>
    </row>
    <row r="13" spans="1:14" x14ac:dyDescent="0.15">
      <c r="A13" s="78" t="s">
        <v>194</v>
      </c>
      <c r="B13" s="79">
        <f>floors!$C$2</f>
        <v>48007</v>
      </c>
      <c r="C13" s="80" t="str">
        <f ca="1">VLOOKUP($B13,OFFSET([2]quests!$A$1,0,0,COUNTA([2]quests!$A:$A),MATCH(C$1,[2]quests!$1:$1,0)-MATCH($B$1,[2]quests!$1:$1,0)+1),MATCH(C$1,[2]quests!$1:$1,0)-MATCH($B$1,[2]quests!$1:$1,0)+1,FALSE)</f>
        <v>紅鬼襲来！</v>
      </c>
      <c r="D13" s="80" t="str">
        <f ca="1">VLOOKUP($B13,OFFSET([2]quests!$A$1,0,0,COUNTA([2]quests!$A:$A),MATCH(D$1,[2]quests!$1:$1,0)-MATCH($B$1,[2]quests!$1:$1,0)+1),MATCH(D$1,[2]quests!$1:$1,0)-MATCH($B$1,[2]quests!$1:$1,0)+1,FALSE)</f>
        <v>台湾版降臨8</v>
      </c>
      <c r="E13" s="81">
        <v>2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【ウィザード級】紅鬼襲来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台湾版降臨8</v>
      </c>
      <c r="H13" s="82">
        <v>2</v>
      </c>
      <c r="I13" s="87">
        <f t="shared" si="0"/>
        <v>12</v>
      </c>
      <c r="J13" s="83" t="str">
        <f t="shared" ref="J13:J17" si="2">B13&amp;TEXT(I13,"00")</f>
        <v>4800712</v>
      </c>
      <c r="K13" s="81" t="s">
        <v>256</v>
      </c>
      <c r="L13" s="84" t="s">
        <v>195</v>
      </c>
      <c r="M13" s="132"/>
      <c r="N13" s="55" t="s">
        <v>196</v>
      </c>
    </row>
    <row r="14" spans="1:14" x14ac:dyDescent="0.15">
      <c r="A14" s="78" t="s">
        <v>194</v>
      </c>
      <c r="B14" s="79">
        <f>floors!$C$2</f>
        <v>48007</v>
      </c>
      <c r="C14" s="80" t="str">
        <f ca="1">VLOOKUP($B14,OFFSET([2]quests!$A$1,0,0,COUNTA([2]quests!$A:$A),MATCH(C$1,[2]quests!$1:$1,0)-MATCH($B$1,[2]quests!$1:$1,0)+1),MATCH(C$1,[2]quests!$1:$1,0)-MATCH($B$1,[2]quests!$1:$1,0)+1,FALSE)</f>
        <v>紅鬼襲来！</v>
      </c>
      <c r="D14" s="80" t="str">
        <f ca="1">VLOOKUP($B14,OFFSET([2]quests!$A$1,0,0,COUNTA([2]quests!$A:$A),MATCH(D$1,[2]quests!$1:$1,0)-MATCH($B$1,[2]quests!$1:$1,0)+1),MATCH(D$1,[2]quests!$1:$1,0)-MATCH($B$1,[2]quests!$1:$1,0)+1,FALSE)</f>
        <v>台湾版降臨8</v>
      </c>
      <c r="E14" s="81">
        <v>2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【ウィザード級】紅鬼襲来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台湾版降臨8</v>
      </c>
      <c r="H14" s="82">
        <v>3</v>
      </c>
      <c r="I14" s="87">
        <f t="shared" si="0"/>
        <v>13</v>
      </c>
      <c r="J14" s="83" t="str">
        <f t="shared" si="2"/>
        <v>4800713</v>
      </c>
      <c r="K14" s="81" t="s">
        <v>256</v>
      </c>
      <c r="L14" s="84" t="s">
        <v>195</v>
      </c>
      <c r="M14" s="132"/>
      <c r="N14" s="55" t="s">
        <v>196</v>
      </c>
    </row>
    <row r="15" spans="1:14" x14ac:dyDescent="0.15">
      <c r="A15" s="78" t="s">
        <v>194</v>
      </c>
      <c r="B15" s="79">
        <f>floors!$C$2</f>
        <v>48007</v>
      </c>
      <c r="C15" s="80" t="str">
        <f ca="1">VLOOKUP($B15,OFFSET([2]quests!$A$1,0,0,COUNTA([2]quests!$A:$A),MATCH(C$1,[2]quests!$1:$1,0)-MATCH($B$1,[2]quests!$1:$1,0)+1),MATCH(C$1,[2]quests!$1:$1,0)-MATCH($B$1,[2]quests!$1:$1,0)+1,FALSE)</f>
        <v>紅鬼襲来！</v>
      </c>
      <c r="D15" s="80" t="str">
        <f ca="1">VLOOKUP($B15,OFFSET([2]quests!$A$1,0,0,COUNTA([2]quests!$A:$A),MATCH(D$1,[2]quests!$1:$1,0)-MATCH($B$1,[2]quests!$1:$1,0)+1),MATCH(D$1,[2]quests!$1:$1,0)-MATCH($B$1,[2]quests!$1:$1,0)+1,FALSE)</f>
        <v>台湾版降臨8</v>
      </c>
      <c r="E15" s="81">
        <v>2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【ウィザード級】紅鬼襲来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台湾版降臨8</v>
      </c>
      <c r="H15" s="82">
        <v>3</v>
      </c>
      <c r="I15" s="87">
        <f t="shared" si="0"/>
        <v>14</v>
      </c>
      <c r="J15" s="83" t="str">
        <f t="shared" si="2"/>
        <v>4800714</v>
      </c>
      <c r="K15" s="81" t="s">
        <v>256</v>
      </c>
      <c r="L15" s="84" t="s">
        <v>195</v>
      </c>
      <c r="M15" s="132"/>
      <c r="N15" s="55" t="s">
        <v>196</v>
      </c>
    </row>
    <row r="16" spans="1:14" x14ac:dyDescent="0.15">
      <c r="A16" s="78" t="s">
        <v>194</v>
      </c>
      <c r="B16" s="79">
        <f>floors!$C$2</f>
        <v>48007</v>
      </c>
      <c r="C16" s="80" t="str">
        <f ca="1">VLOOKUP($B16,OFFSET([2]quests!$A$1,0,0,COUNTA([2]quests!$A:$A),MATCH(C$1,[2]quests!$1:$1,0)-MATCH($B$1,[2]quests!$1:$1,0)+1),MATCH(C$1,[2]quests!$1:$1,0)-MATCH($B$1,[2]quests!$1:$1,0)+1,FALSE)</f>
        <v>紅鬼襲来！</v>
      </c>
      <c r="D16" s="80" t="str">
        <f ca="1">VLOOKUP($B16,OFFSET([2]quests!$A$1,0,0,COUNTA([2]quests!$A:$A),MATCH(D$1,[2]quests!$1:$1,0)-MATCH($B$1,[2]quests!$1:$1,0)+1),MATCH(D$1,[2]quests!$1:$1,0)-MATCH($B$1,[2]quests!$1:$1,0)+1,FALSE)</f>
        <v>台湾版降臨8</v>
      </c>
      <c r="E16" s="81">
        <v>2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【ウィザード級】紅鬼襲来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台湾版降臨8</v>
      </c>
      <c r="H16" s="82">
        <v>4</v>
      </c>
      <c r="I16" s="87">
        <f t="shared" si="0"/>
        <v>15</v>
      </c>
      <c r="J16" s="83" t="str">
        <f t="shared" si="2"/>
        <v>4800715</v>
      </c>
      <c r="K16" s="81" t="s">
        <v>256</v>
      </c>
      <c r="L16" s="84" t="s">
        <v>195</v>
      </c>
      <c r="M16" s="132"/>
      <c r="N16" s="55" t="s">
        <v>196</v>
      </c>
    </row>
    <row r="17" spans="1:14" x14ac:dyDescent="0.15">
      <c r="A17" s="78" t="s">
        <v>194</v>
      </c>
      <c r="B17" s="79">
        <f>floors!$C$2</f>
        <v>48007</v>
      </c>
      <c r="C17" s="80" t="str">
        <f ca="1">VLOOKUP($B17,OFFSET([2]quests!$A$1,0,0,COUNTA([2]quests!$A:$A),MATCH(C$1,[2]quests!$1:$1,0)-MATCH($B$1,[2]quests!$1:$1,0)+1),MATCH(C$1,[2]quests!$1:$1,0)-MATCH($B$1,[2]quests!$1:$1,0)+1,FALSE)</f>
        <v>紅鬼襲来！</v>
      </c>
      <c r="D17" s="80" t="str">
        <f ca="1">VLOOKUP($B17,OFFSET([2]quests!$A$1,0,0,COUNTA([2]quests!$A:$A),MATCH(D$1,[2]quests!$1:$1,0)-MATCH($B$1,[2]quests!$1:$1,0)+1),MATCH(D$1,[2]quests!$1:$1,0)-MATCH($B$1,[2]quests!$1:$1,0)+1,FALSE)</f>
        <v>台湾版降臨8</v>
      </c>
      <c r="E17" s="81">
        <v>2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【ウィザード級】紅鬼襲来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台湾版降臨8</v>
      </c>
      <c r="H17" s="82">
        <v>4</v>
      </c>
      <c r="I17" s="87">
        <f t="shared" si="0"/>
        <v>16</v>
      </c>
      <c r="J17" s="83" t="str">
        <f t="shared" si="2"/>
        <v>4800716</v>
      </c>
      <c r="K17" s="81" t="s">
        <v>256</v>
      </c>
      <c r="L17" s="84" t="s">
        <v>195</v>
      </c>
      <c r="M17" s="132"/>
      <c r="N17" s="55" t="s">
        <v>196</v>
      </c>
    </row>
    <row r="21" spans="1:14" x14ac:dyDescent="0.15">
      <c r="H21" s="81"/>
    </row>
  </sheetData>
  <phoneticPr fontId="5"/>
  <dataValidations disablePrompts="1"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H14" sqref="H1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210</v>
      </c>
      <c r="B1" s="94" t="s">
        <v>211</v>
      </c>
      <c r="C1" s="74" t="s">
        <v>212</v>
      </c>
      <c r="D1" s="74" t="s">
        <v>33</v>
      </c>
      <c r="E1" s="94" t="s">
        <v>213</v>
      </c>
      <c r="F1" s="74" t="s">
        <v>214</v>
      </c>
      <c r="G1" s="74" t="s">
        <v>33</v>
      </c>
      <c r="H1" s="94" t="s">
        <v>215</v>
      </c>
      <c r="I1" s="94" t="s">
        <v>216</v>
      </c>
      <c r="J1" s="94" t="s">
        <v>217</v>
      </c>
      <c r="K1" s="70" t="s">
        <v>218</v>
      </c>
      <c r="L1" s="70" t="s">
        <v>219</v>
      </c>
      <c r="M1" s="70" t="s">
        <v>154</v>
      </c>
      <c r="N1" s="74" t="s">
        <v>16</v>
      </c>
      <c r="O1" s="70" t="s">
        <v>220</v>
      </c>
      <c r="P1" s="70" t="s">
        <v>57</v>
      </c>
      <c r="Q1" s="70" t="s">
        <v>221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222</v>
      </c>
      <c r="X1" s="70" t="s">
        <v>223</v>
      </c>
    </row>
    <row r="2" spans="1:24" x14ac:dyDescent="0.15">
      <c r="A2" s="95" t="str">
        <f>B2&amp;"_"&amp;E2&amp;"_"&amp;H2&amp;"_"&amp;I2&amp;"_"&amp;J2</f>
        <v>48007_2_everyone_no_continue_1</v>
      </c>
      <c r="B2" s="79">
        <v>48007</v>
      </c>
      <c r="C2" s="80" t="e">
        <f ca="1">VLOOKUP($B2,OFFSET([8]quests!$A$1,0,0,COUNTA([8]quests!$A:$A),MATCH(C$1,[8]quests!$1:$1,0)-MATCH($B$1,[8]quests!$1:$1,0)+1),MATCH(C$1,[8]quests!$1:$1,0)-MATCH($B$1,[8]quests!$1:$1,0)+1,FALSE)</f>
        <v>#VALUE!</v>
      </c>
      <c r="D2" s="80" t="e">
        <f ca="1">VLOOKUP($B2,OFFSET([8]quests!$A$1,0,0,COUNTA([8]quests!$A:$A),MATCH(D$1,[8]quests!$1:$1,0)-MATCH($B$1,[8]quests!$1:$1,0)+1),MATCH(D$1,[8]quests!$1:$1,0)-MATCH($B$1,[8]quests!$1:$1,0)+1,FALSE)</f>
        <v>#VALUE!</v>
      </c>
      <c r="E2" s="81">
        <v>2</v>
      </c>
      <c r="F2" s="80" t="e">
        <f ca="1">VLOOKUP($B2&amp;"_"&amp;$E2,OFFSET([8]stages!$A$1,0,0,COUNTA([8]stages!$A:$A),MATCH(F$1,[8]stages!$2:$2,0)-MATCH("temp_stage",[8]stages!$2:$2,0)+1),MATCH(F$1,[8]stages!$2:$2,0)-MATCH("temp_stage",[8]stages!$2:$2,0)+1,FALSE)</f>
        <v>#VALUE!</v>
      </c>
      <c r="G2" s="80" t="e">
        <f ca="1">VLOOKUP($B2&amp;"_"&amp;$E2,OFFSET([8]stages!$A$1,0,0,COUNTA([8]stages!$A:$A),MATCH(G$1,[8]stages!$2:$2,0)-MATCH("temp_stage",[8]stages!$2:$2,0)+1),MATCH(G$1,[8]stages!$2:$2,0)-MATCH("temp_stage",[8]stages!$2:$2,0)+1,FALSE)</f>
        <v>#VALUE!</v>
      </c>
      <c r="H2" s="82" t="s">
        <v>281</v>
      </c>
      <c r="I2" s="81" t="s">
        <v>282</v>
      </c>
      <c r="J2" s="81">
        <v>1</v>
      </c>
      <c r="K2" s="81">
        <v>100</v>
      </c>
      <c r="L2" s="81" t="s">
        <v>283</v>
      </c>
      <c r="M2" s="152">
        <v>8079</v>
      </c>
      <c r="N2" s="96" t="e">
        <f ca="1">IF(L2="unit",VLOOKUP($M2,OFFSET([9]characters!$A$1,0,0,COUNTA([9]characters!$A:$A),MATCH(N$1,[9]characters!$1:$1,0)-MATCH("character_id",[9]characters!$1:$1,0)+1),MATCH(N$1,[9]characters!$1:$1,0)-MATCH("character_id",[9]characters!$1:$1,0)+1,FALSE),"")</f>
        <v>#VALUE!</v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7" t="s">
        <v>225</v>
      </c>
      <c r="X2" s="98" t="s">
        <v>284</v>
      </c>
    </row>
    <row r="3" spans="1:24" x14ac:dyDescent="0.15">
      <c r="A3" s="95" t="str">
        <f>B3&amp;"_"&amp;E3&amp;"_"&amp;H3&amp;"_"&amp;I3&amp;"_"&amp;J3</f>
        <v>48007_2_everyone_full_member_1</v>
      </c>
      <c r="B3" s="79">
        <v>48007</v>
      </c>
      <c r="C3" s="80" t="e">
        <f ca="1">VLOOKUP($B3,OFFSET([8]quests!$A$1,0,0,COUNTA([8]quests!$A:$A),MATCH(C$1,[8]quests!$1:$1,0)-MATCH($B$1,[8]quests!$1:$1,0)+1),MATCH(C$1,[8]quests!$1:$1,0)-MATCH($B$1,[8]quests!$1:$1,0)+1,FALSE)</f>
        <v>#VALUE!</v>
      </c>
      <c r="D3" s="80" t="e">
        <f ca="1">VLOOKUP($B3,OFFSET([8]quests!$A$1,0,0,COUNTA([8]quests!$A:$A),MATCH(D$1,[8]quests!$1:$1,0)-MATCH($B$1,[8]quests!$1:$1,0)+1),MATCH(D$1,[8]quests!$1:$1,0)-MATCH($B$1,[8]quests!$1:$1,0)+1,FALSE)</f>
        <v>#VALUE!</v>
      </c>
      <c r="E3" s="81">
        <v>2</v>
      </c>
      <c r="F3" s="80" t="e">
        <f ca="1">VLOOKUP($B3&amp;"_"&amp;$E3,OFFSET([8]stages!$A$1,0,0,COUNTA([8]stages!$A:$A),MATCH(F$1,[8]stages!$2:$2,0)-MATCH("temp_stage",[8]stages!$2:$2,0)+1),MATCH(F$1,[8]stages!$2:$2,0)-MATCH("temp_stage",[8]stages!$2:$2,0)+1,FALSE)</f>
        <v>#VALUE!</v>
      </c>
      <c r="G3" s="80" t="e">
        <f ca="1">VLOOKUP($B3&amp;"_"&amp;$E3,OFFSET([8]stages!$A$1,0,0,COUNTA([8]stages!$A:$A),MATCH(G$1,[8]stages!$2:$2,0)-MATCH("temp_stage",[8]stages!$2:$2,0)+1),MATCH(G$1,[8]stages!$2:$2,0)-MATCH("temp_stage",[8]stages!$2:$2,0)+1,FALSE)</f>
        <v>#VALUE!</v>
      </c>
      <c r="H3" s="82" t="s">
        <v>281</v>
      </c>
      <c r="I3" s="81" t="s">
        <v>329</v>
      </c>
      <c r="J3" s="81">
        <v>1</v>
      </c>
      <c r="K3" s="81">
        <v>100</v>
      </c>
      <c r="L3" s="81" t="s">
        <v>224</v>
      </c>
      <c r="M3" s="152">
        <v>8079</v>
      </c>
      <c r="N3" s="96" t="e">
        <f ca="1">IF(L3="unit",VLOOKUP($M3,OFFSET([9]characters!$A$1,0,0,COUNTA([9]characters!$A:$A),MATCH(N$1,[9]characters!$1:$1,0)-MATCH("character_id",[9]characters!$1:$1,0)+1),MATCH(N$1,[9]characters!$1:$1,0)-MATCH("character_id",[9]characters!$1:$1,0)+1,FALSE),"")</f>
        <v>#VALUE!</v>
      </c>
      <c r="O3" s="81">
        <v>1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7" t="s">
        <v>225</v>
      </c>
      <c r="X3" s="98" t="s">
        <v>284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2016-11-20T08:55:24Z</dcterms:modified>
</cp:coreProperties>
</file>