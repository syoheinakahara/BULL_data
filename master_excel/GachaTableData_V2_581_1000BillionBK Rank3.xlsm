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581010" sheetId="153" r:id="rId4"/>
    <sheet name="tables_581010" sheetId="154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tables_581010!$A$1:$V$294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53" l="1"/>
  <c r="B26" i="153"/>
  <c r="B23" i="153"/>
  <c r="B29" i="153"/>
  <c r="B28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8" i="153"/>
  <c r="E29" i="153"/>
  <c r="A2" i="153"/>
  <c r="F6" i="153"/>
  <c r="A36" i="153"/>
  <c r="G29" i="153"/>
  <c r="H29" i="153"/>
  <c r="O314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E25" i="153"/>
  <c r="B25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C3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O356" i="154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6" i="154"/>
  <c r="F49" i="153"/>
  <c r="F48" i="153"/>
  <c r="F356" i="154"/>
  <c r="N356" i="154"/>
  <c r="M356" i="154"/>
  <c r="L356" i="154"/>
  <c r="K356" i="154"/>
  <c r="H356" i="154"/>
  <c r="A356" i="154"/>
  <c r="A355" i="154"/>
  <c r="A354" i="154"/>
  <c r="A353" i="154"/>
  <c r="A352" i="154"/>
  <c r="A351" i="154"/>
  <c r="F355" i="154"/>
  <c r="H355" i="154"/>
  <c r="K355" i="154"/>
  <c r="L355" i="154"/>
  <c r="M355" i="154"/>
  <c r="N355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B10" i="153"/>
  <c r="B30" i="153"/>
  <c r="H351" i="154"/>
  <c r="K351" i="154"/>
  <c r="L351" i="154"/>
  <c r="M351" i="154"/>
  <c r="N351" i="154"/>
  <c r="H352" i="154"/>
  <c r="K352" i="154"/>
  <c r="L352" i="154"/>
  <c r="M352" i="154"/>
  <c r="N352" i="154"/>
  <c r="H353" i="154"/>
  <c r="K353" i="154"/>
  <c r="L353" i="154"/>
  <c r="M353" i="154"/>
  <c r="N353" i="154"/>
  <c r="H354" i="154"/>
  <c r="K354" i="154"/>
  <c r="L354" i="154"/>
  <c r="M354" i="154"/>
  <c r="N354" i="154"/>
  <c r="A350" i="154"/>
  <c r="A346" i="154"/>
  <c r="A347" i="154"/>
  <c r="A348" i="154"/>
  <c r="A349" i="154"/>
  <c r="H346" i="154"/>
  <c r="K346" i="154"/>
  <c r="L346" i="154"/>
  <c r="M346" i="154"/>
  <c r="N346" i="154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A345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R6" i="153"/>
  <c r="F41" i="153"/>
  <c r="G41" i="153"/>
  <c r="R4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<sst xmlns="http://schemas.openxmlformats.org/spreadsheetml/2006/main" count="399" uniqueCount="254">
  <si>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</si>
  <si>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</si>
  <si>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</si>
  <si>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</si>
  <si>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</si>
  <si>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</si>
  <si>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</si>
  <si>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</si>
  <si>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</si>
  <si>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</si>
  <si>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</si>
  <si>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</si>
  <si>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</si>
  <si>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</si>
  <si>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</si>
  <si>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gift_type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</si>
  <si>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</si>
  <si>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</si>
  <si>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</si>
  <si>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</si>
  <si>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</si>
  <si>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</si>
  <si>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</si>
  <si>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</si>
  <si>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</si>
  <si>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</si>
  <si>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</si>
  <si>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</si>
  <si>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</si>
  <si>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</si>
  <si>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</si>
  <si>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</si>
  <si>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</si>
  <si>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</si>
  <si>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</si>
  <si>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</si>
  <si>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</si>
  <si>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</si>
  <si>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</si>
  <si>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</si>
  <si>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</si>
  <si>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</si>
  <si>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</si>
  <si>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</si>
  <si>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</si>
  <si>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</si>
  <si>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</si>
  <si>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</si>
  <si>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</si>
  <si>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</si>
  <si>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</si>
  <si>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</si>
  <si>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</si>
  <si>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</si>
  <si>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</si>
  <si>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</si>
  <si>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</si>
  <si>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</si>
  <si>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</si>
  <si>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</si>
  <si>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</si>
  <si>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</si>
  <si>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</si>
  <si>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</si>
  <si>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</si>
  <si>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</si>
  <si>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</si>
  <si>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</si>
  <si>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</si>
  <si>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</si>
  <si>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</si>
  <si>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</si>
  <si>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</si>
  <si>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</si>
  <si>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</si>
  <si>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</si>
  <si>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</si>
  <si>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</si>
  <si>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</si>
  <si>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</si>
  <si>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</si>
  <si>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</si>
  <si>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</si>
  <si>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</si>
  <si>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</si>
  <si>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</si>
  <si>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</si>
  <si>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</si>
  <si>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</si>
  <si>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</si>
  <si>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</si>
  <si>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</si>
  <si>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</si>
  <si>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</si>
  <si>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</si>
  <si>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</si>
  <si>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</si>
  <si>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</si>
  <si>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</si>
  <si>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</si>
  <si>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</si>
  <si>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</si>
  <si>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</si>
  <si>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</si>
  <si>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</si>
  <si>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</si>
  <si>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</si>
  <si>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</si>
  <si>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</si>
  <si>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</si>
  <si>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</si>
  <si>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</si>
  <si>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</si>
  <si>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</si>
  <si>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</si>
  <si>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</si>
  <si>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</si>
  <si>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</si>
  <si>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</si>
  <si>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</si>
  <si>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</si>
  <si>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</si>
  <si>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</si>
  <si>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</si>
  <si>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</si>
  <si>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</si>
  <si>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</si>
  <si>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</si>
  <si>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</si>
  <si>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</si>
  <si>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</si>
  <si>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</si>
  <si>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</si>
  <si>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</si>
  <si>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</si>
  <si>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</si>
  <si>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</si>
  <si>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</si>
  <si>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</si>
  <si>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</si>
  <si>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</si>
  <si>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</si>
  <si>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</si>
  <si>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</si>
  <si>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</si>
  <si>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</si>
  <si>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</si>
  <si>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</si>
  <si>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</si>
  <si>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</si>
  <si>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</si>
  <si>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</si>
  <si>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</si>
  <si>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</si>
  <si>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</si>
  <si>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</si>
  <si>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</si>
  <si>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</si>
  <si>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</si>
  <si>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</si>
  <si>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</si>
  <si>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</si>
  <si>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</si>
  <si>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</si>
  <si>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</si>
  <si>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</si>
  <si>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</si>
  <si>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</si>
  <si>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</si>
  <si>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</si>
  <si>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</si>
  <si>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</si>
  <si>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</si>
  <si>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</si>
  <si>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</si>
  <si>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</si>
  <si>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</si>
  <si>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</si>
  <si>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</si>
  <si>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</si>
  <si>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</si>
  <si>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</si>
  <si>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</si>
  <si>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</si>
  <si>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</si>
  <si>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</si>
  <si>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</si>
  <si>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</si>
  <si>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</si>
  <si>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</si>
  <si>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</si>
  <si>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</si>
  <si>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</si>
  <si>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</si>
  <si>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</si>
  <si>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</si>
  <si>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</si>
  <si>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</si>
  <si>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</si>
  <si>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</si>
  <si>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</si>
  <si>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</si>
  <si>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</si>
  <si>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</si>
  <si>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</si>
  <si>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</si>
  <si>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</si>
  <si>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</si>
  <si>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</si>
  <si>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</si>
  <si>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</si>
  <si>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</si>
  <si>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</si>
  <si>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</si>
  <si>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</si>
  <si>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</si>
  <si>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</si>
  <si>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</si>
  <si>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</si>
  <si>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</si>
  <si>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</si>
  <si>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</si>
  <si>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</si>
  <si>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</si>
  <si>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</si>
  <si>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</si>
  <si>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</si>
  <si>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</si>
  <si>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</si>
  <si>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</si>
  <si>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</si>
  <si>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</si>
  <si>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</si>
  <si>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</si>
  <si>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</si>
  <si>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</si>
  <si>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</si>
  <si>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</si>
  <si>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</si>
  <si>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</si>
  <si>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</si>
  <si>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</si>
  <si>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通常確率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</si>
  <si>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</si>
  <si>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</si>
  <si>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</si>
  <si>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</si>
  <si>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gacha_settle_tables_</t>
    <phoneticPr fontId="23"/>
  </si>
  <si>
    <t>.tmp</t>
    <phoneticPr fontId="56"/>
  </si>
  <si>
    <t>tables_settle_443100</t>
    <phoneticPr fontId="23"/>
  </si>
  <si>
    <t>PremiumSSw</t>
    <phoneticPr fontId="23"/>
  </si>
  <si>
    <t>skip</t>
    <phoneticPr fontId="23"/>
  </si>
  <si>
    <t>tables_532010</t>
    <phoneticPr fontId="23"/>
  </si>
  <si>
    <t>tables_581010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</si>
</sst>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38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03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55" fillId="21" borderId="1" xfId="0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2" borderId="1" xfId="2978" applyFont="1" applyFill="1" applyBorder="1"/>
    <xf numFmtId="0" fontId="16" fillId="22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2" borderId="1" xfId="0" applyFont="1" applyFill="1" applyBorder="1"/>
    <xf numFmtId="0" fontId="55" fillId="23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0" fontId="55" fillId="30" borderId="1" xfId="0" applyFont="1" applyFill="1" applyBorder="1" applyAlignment="1">
      <alignment horizontal="left" vertical="center"/>
    </xf>
    <xf numFmtId="0" fontId="28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5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2" borderId="1" xfId="0" applyNumberFormat="1" applyFont="1" applyFill="1" applyBorder="1"/>
    <xf numFmtId="38" fontId="28" fillId="4" borderId="1" xfId="3663" quotePrefix="1" applyFont="1" applyFill="1" applyBorder="1" applyAlignment="1">
      <alignment vertical="center"/>
    </xf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vertical="center" wrapText="1"/>
    </xf>
    <xf numFmtId="0" fontId="28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0" fontId="0" fillId="0" borderId="1" xfId="3575" applyNumberFormat="1" applyFont="1" applyFill="1" applyBorder="1"/>
    <xf numFmtId="0" fontId="28" fillId="0" borderId="0" xfId="2" applyFont="1" applyFill="1" applyBorder="1" applyAlignment="1">
      <alignment vertical="center"/>
    </xf>
    <xf numFmtId="0" fontId="8" fillId="0" borderId="1" xfId="3036" applyFont="1" applyBorder="1"/>
    <xf numFmtId="0" fontId="27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7" fillId="4" borderId="1" xfId="2978" applyFont="1" applyFill="1" applyBorder="1"/>
    <xf numFmtId="0" fontId="7" fillId="0" borderId="1" xfId="3036" applyFont="1" applyBorder="1"/>
    <xf numFmtId="0" fontId="29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6" fillId="0" borderId="1" xfId="2978" applyFont="1" applyBorder="1"/>
    <xf numFmtId="0" fontId="6" fillId="4" borderId="1" xfId="2978" applyFont="1" applyFill="1" applyBorder="1"/>
    <xf numFmtId="0" fontId="28" fillId="3" borderId="14" xfId="2" applyFont="1" applyFill="1" applyBorder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28" fillId="4" borderId="0" xfId="2" applyFont="1" applyFill="1" applyAlignment="1">
      <alignment vertical="center"/>
    </xf>
    <xf numFmtId="0" fontId="2" fillId="4" borderId="1" xfId="2978" applyFont="1" applyFill="1" applyBorder="1"/>
    <xf numFmtId="180" fontId="0" fillId="4" borderId="1" xfId="0" applyNumberFormat="1" applyFill="1" applyBorder="1"/>
    <xf numFmtId="176" fontId="0" fillId="0" borderId="0" xfId="0" applyNumberFormat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technical</v>
          </cell>
          <cell r="L1414" t="str">
            <v>テクニカルタイプ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hp</v>
          </cell>
          <cell r="L1725" t="str">
            <v>体力タイプ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テストユニット26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581010</v>
      </c>
      <c r="D2" s="19" t="s">
        <v>45</v>
      </c>
      <c r="E2" s="17" t="str">
        <f t="shared" ref="E2" si="1">B2&amp;C2&amp;D2</f>
        <v>gacha_select_tables_581010.tmp</v>
      </c>
      <c r="F2" s="100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241</v>
      </c>
      <c r="B3" s="61" t="s">
        <v>110</v>
      </c>
      <c r="C3" s="50" t="str">
        <f t="shared" ref="C3:C7" si="2">RIGHT(F3,6)</f>
        <v>532010</v>
      </c>
      <c r="D3" s="19" t="s">
        <v>45</v>
      </c>
      <c r="E3" s="17" t="str">
        <f t="shared" ref="E3:E10" si="3">B3&amp;C3&amp;D3</f>
        <v>gacha_select_tables_532010.tmp</v>
      </c>
      <c r="F3" s="98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3" t="s">
        <v>247</v>
      </c>
      <c r="C4" s="94" t="str">
        <f t="shared" si="2"/>
        <v>443100</v>
      </c>
      <c r="D4" s="19" t="s">
        <v>248</v>
      </c>
      <c r="E4" s="17" t="str">
        <f t="shared" si="3"/>
        <v>gacha_settle_tables_443100.tmp</v>
      </c>
      <c r="F4" s="96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topLeftCell="A2" workbookViewId="0">
      <selection activeCell="A2" sqref="A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581010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1490</v>
      </c>
      <c r="M3" s="37" t="str">
        <f>VLOOKUP(L3,[1]characters!$A:$C,3,FALSE)</f>
        <v>パラケルススR5</v>
      </c>
      <c r="N3" s="63">
        <v>1E-4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VLOOKUP(L3,tables_581010!B:C,2,FALSE)</f>
        <v>PremiumSSS5R3less</v>
      </c>
      <c r="R3" s="62">
        <f t="shared" ref="R3:R20" si="1">N3*A$36</f>
        <v>13632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VLOOKUP(L4,tables_581010!B:C,2,FALSE)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7.0281690140845069E-4</v>
      </c>
      <c r="F5">
        <f>(COUNTIF(tables_581010!C:C,input_581010!A28)+COUNTIF(tables_581010!C:C,input_581010!A29))</f>
        <v>72</v>
      </c>
      <c r="H5" s="88">
        <v>1E-4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VLOOKUP(L5,tables_581010!B:C,2,FALSE)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9.8958333333333329E-3</v>
      </c>
      <c r="F6">
        <f>(COUNTIF(tables_581010!C:C,input_581010!A25)+COUNTIF(tables_581010!C:C,input_581010!A18)+COUNTIF(tables_581010!C:C,input_581010!A20)+COUNTIF(tables_581010!C:C,input_581010!A22))</f>
        <v>96</v>
      </c>
      <c r="H6" s="88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VLOOKUP(L6,tables_581010!B:C,2,FALSE)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VLOOKUP(L7,tables_581010!B:C,2,FALSE)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VLOOKUP(L8,tables_581010!B:C,2,FALSE)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VLOOKUP(L9,tables_581010!B:C,2,FALSE)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VLOOKUP(L10,tables_581010!B:C,2,FALSE)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VLOOKUP(L11,tables_581010!B:C,2,FALSE)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VLOOKUP(L12,tables_581010!B:C,2,FALSE)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VLOOKUP(L13,tables_581010!B:C,2,FALSE)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VLOOKUP(L14,tables_581010!B:C,2,FALSE)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VLOOKUP(L15,tables_581010!B:C,2,FALSE)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VLOOKUP(L16,tables_581010!B:C,2,FALSE)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COUNTIF(tables_581010!C:C,input_581010!A17)-COUNTIF(Q:Q,A17)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VLOOKUP(L17,tables_581010!B:C,2,FALSE)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</v>
      </c>
      <c r="C18" s="84">
        <f t="shared" si="2"/>
        <v>0</v>
      </c>
      <c r="D18" s="74">
        <f t="shared" si="3"/>
        <v>0</v>
      </c>
      <c r="E18">
        <f>COUNTIF(tables_581010!C:C,input_581010!A18)-COUNTIF(Q:Q,A18)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VLOOKUP(L18,tables_581010!B:C,2,FALSE)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COUNTIF(tables_581010!C:C,input_581010!A19)-COUNTIF(Q:Q,A19)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VLOOKUP(L19,tables_581010!B:C,2,FALSE)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</v>
      </c>
      <c r="C20" s="84">
        <f t="shared" si="2"/>
        <v>0</v>
      </c>
      <c r="D20" s="74">
        <f t="shared" si="3"/>
        <v>0</v>
      </c>
      <c r="E20">
        <f>COUNTIF(tables_581010!C:C,input_581010!A20)-COUNTIF(Q:Q,A20)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VLOOKUP(L20,tables_581010!B:C,2,FALSE)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(B10*E21/(E21+E23+E26))-C31</f>
        <v>0.60233902439024389</v>
      </c>
      <c r="C21" s="84">
        <f t="shared" si="2"/>
        <v>0</v>
      </c>
      <c r="D21" s="74">
        <f t="shared" si="3"/>
        <v>0.60233902439024389</v>
      </c>
      <c r="E21">
        <f>COUNTIF(tables_581010!C:C,input_581010!A21)-COUNTIF(Q:Q,A21)</f>
        <v>52</v>
      </c>
      <c r="F21" s="43">
        <f t="shared" si="8"/>
        <v>1.158344277673546E-2</v>
      </c>
      <c r="G21">
        <f t="shared" si="4"/>
        <v>82110855.804878041</v>
      </c>
      <c r="H21">
        <f t="shared" si="5"/>
        <v>1579054.9193200001</v>
      </c>
      <c r="I21">
        <f t="shared" si="6"/>
        <v>0.91932000010274351</v>
      </c>
      <c r="J21">
        <f t="shared" si="7"/>
        <v>1.0877605185226469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COUNTIF(tables_581010!C:C,input_581010!A22)-COUNTIF(Q:Q,A22)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B10*E23/(E21+E23+E26)</f>
        <v>0.30121951219512194</v>
      </c>
      <c r="C23" s="84">
        <f t="shared" si="2"/>
        <v>0</v>
      </c>
      <c r="D23" s="74">
        <f t="shared" si="3"/>
        <v>0.30121951219512194</v>
      </c>
      <c r="E23">
        <f>COUNTIF(tables_581010!C:C,input_581010!A23)-COUNTIF(Q:Q,A23)</f>
        <v>26</v>
      </c>
      <c r="F23" s="43">
        <f t="shared" si="8"/>
        <v>1.1585365853658536E-2</v>
      </c>
      <c r="G23">
        <f t="shared" si="4"/>
        <v>41062243.902439021</v>
      </c>
      <c r="H23">
        <f t="shared" si="5"/>
        <v>1579317.07317</v>
      </c>
      <c r="I23">
        <f t="shared" si="6"/>
        <v>7.3169999988749623E-2</v>
      </c>
      <c r="J23">
        <f t="shared" si="7"/>
        <v>13.666803336801376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COUNTIF(tables_581010!C:C,input_581010!A24)-COUNTIF(Q:Q,A24)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COUNTIF(tables_581010!C:C,input_581010!A25)-COUNTIF(Q:Q,A25)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B10*E26/(E21+E23+E26)</f>
        <v>4.6341463414634146E-2</v>
      </c>
      <c r="C26" s="84">
        <f t="shared" si="2"/>
        <v>0</v>
      </c>
      <c r="D26" s="74">
        <f t="shared" si="3"/>
        <v>4.6341463414634146E-2</v>
      </c>
      <c r="E26">
        <f>COUNTIF(tables_581010!C:C,input_581010!A26)-COUNTIF(Q:Q,A26)</f>
        <v>4</v>
      </c>
      <c r="F26" s="43">
        <f t="shared" si="8"/>
        <v>1.1585365853658536E-2</v>
      </c>
      <c r="G26">
        <f t="shared" si="4"/>
        <v>6317268.2926829271</v>
      </c>
      <c r="H26">
        <f t="shared" si="5"/>
        <v>1579317.07317</v>
      </c>
      <c r="I26">
        <f t="shared" si="6"/>
        <v>7.3169999988749623E-2</v>
      </c>
      <c r="J26">
        <f t="shared" si="7"/>
        <v>13.666803336801376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1">
        <v>0</v>
      </c>
      <c r="C27" s="84">
        <f t="shared" si="2"/>
        <v>0</v>
      </c>
      <c r="D27" s="74">
        <f t="shared" si="3"/>
        <v>0</v>
      </c>
      <c r="E27">
        <f>COUNTIF(tables_581010!C:C,input_581010!A27)-COUNTIF(Q:Q,A27)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B11*E28/SUM(E28:E29)</f>
        <v>1.9444444444444445E-2</v>
      </c>
      <c r="C28" s="84">
        <f t="shared" si="2"/>
        <v>0</v>
      </c>
      <c r="D28" s="74">
        <f t="shared" si="3"/>
        <v>1.9444444444444445E-2</v>
      </c>
      <c r="E28">
        <f>COUNTIF(tables_581010!C:C,input_581010!A28)-COUNTIF(Q:Q,A28)</f>
        <v>28</v>
      </c>
      <c r="F28" s="43">
        <f t="shared" si="8"/>
        <v>6.9444444444444447E-4</v>
      </c>
      <c r="G28">
        <f t="shared" si="4"/>
        <v>2650666.6666666665</v>
      </c>
      <c r="H28">
        <f t="shared" si="5"/>
        <v>94666.666670000006</v>
      </c>
      <c r="I28">
        <f t="shared" si="6"/>
        <v>0.66667000000597909</v>
      </c>
      <c r="J28">
        <f t="shared" si="7"/>
        <v>1.499992500024047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B11*E29/SUM(E28:E29)</f>
        <v>3.0555555555555558E-2</v>
      </c>
      <c r="C29" s="84">
        <f t="shared" si="2"/>
        <v>0</v>
      </c>
      <c r="D29" s="74">
        <f t="shared" si="3"/>
        <v>3.0555555555555558E-2</v>
      </c>
      <c r="E29">
        <f>COUNTIF(tables_581010!C:C,input_581010!A29)-COUNTIF(Q:Q,A29)</f>
        <v>44</v>
      </c>
      <c r="F29" s="43">
        <f t="shared" si="8"/>
        <v>6.9444444444444447E-4</v>
      </c>
      <c r="G29">
        <f t="shared" si="4"/>
        <v>4165333.3333333335</v>
      </c>
      <c r="H29">
        <f t="shared" si="5"/>
        <v>94666.666670000006</v>
      </c>
      <c r="I29">
        <f t="shared" si="6"/>
        <v>0.66667000000597909</v>
      </c>
      <c r="J29">
        <f t="shared" si="7"/>
        <v>1.499992500024047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COUNTIF(tables_581010!C:C,input_581010!A30)-COUNTIF(Q:Q,A30)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1E-4</v>
      </c>
      <c r="D31" s="74">
        <f t="shared" si="3"/>
        <v>-1E-4</v>
      </c>
      <c r="E31">
        <f>COUNTIF(tables_581010!C:C,input_581010!A31)-COUNTIF(Q:Q,A31)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0.99990000000000001</v>
      </c>
      <c r="C32" s="41">
        <f>SUM(C19:C31)</f>
        <v>1E-4</v>
      </c>
      <c r="D32" s="42">
        <f t="shared" si="3"/>
        <v>0.99980000000000002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SUMIF(tables_581010!C:C,input_581010!A40,tables_581010!O:O)</f>
        <v>0</v>
      </c>
      <c r="C40" s="54">
        <f t="shared" ref="C40:C46" ca="1" si="9">B40/B$47</f>
        <v>0</v>
      </c>
      <c r="E40">
        <v>3</v>
      </c>
      <c r="F40">
        <f ca="1">SUMIF(tables_581010!J:J,input_581010!E40,tables_581010!O:O)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SUMIF(tables_581010!C:C,input_581010!A41,tables_581010!O:O)</f>
        <v>0</v>
      </c>
      <c r="C41" s="54">
        <f t="shared" ca="1" si="9"/>
        <v>0</v>
      </c>
      <c r="E41">
        <v>4</v>
      </c>
      <c r="F41">
        <f ca="1">SUMIF(tables_581010!J:J,input_581010!E41,tables_581010!O:O)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SUMIF(tables_581010!C:C,input_581010!A42,tables_581010!O:O)</f>
        <v>0</v>
      </c>
      <c r="C42" s="54">
        <f t="shared" ca="1" si="9"/>
        <v>0</v>
      </c>
      <c r="E42">
        <v>5</v>
      </c>
      <c r="F42">
        <f ca="1">SUMIF(tables_581010!J:J,input_581010!E42,tables_581010!O:O)</f>
        <v>136319999.99997991</v>
      </c>
      <c r="G42">
        <f ca="1">F42/A36</f>
        <v>0.99999999999985267</v>
      </c>
    </row>
    <row r="43" spans="1:7" x14ac:dyDescent="0.15">
      <c r="A43" s="33" t="s">
        <v>109</v>
      </c>
      <c r="B43">
        <f>SUMIF(tables_581010!C:C,input_581010!A43,tables_581010!O:O)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SUMIF(tables_581010!C:C,input_581010!A44,tables_581010!O:O)</f>
        <v>82110855.804640055</v>
      </c>
      <c r="C44" s="54">
        <f t="shared" ca="1" si="9"/>
        <v>0.96872794884430757</v>
      </c>
      <c r="E44" t="s">
        <v>54</v>
      </c>
      <c r="F44" s="55"/>
    </row>
    <row r="45" spans="1:7" x14ac:dyDescent="0.15">
      <c r="A45" s="33" t="s">
        <v>107</v>
      </c>
      <c r="B45">
        <f ca="1">SUMIF(tables_581010!C:C,input_581010!A45,tables_581010!O:O)</f>
        <v>2650666.6667600004</v>
      </c>
      <c r="C45" s="54">
        <f t="shared" ca="1" si="9"/>
        <v>3.1272051155692482E-2</v>
      </c>
      <c r="E45" t="s">
        <v>204</v>
      </c>
      <c r="F45" s="55">
        <f ca="1">SUMIF(tables_581010!I:I,input_581010!E45,tables_581010!P:P)</f>
        <v>6.9512195121929257E-2</v>
      </c>
    </row>
    <row r="46" spans="1:7" x14ac:dyDescent="0.15">
      <c r="A46" s="33" t="s">
        <v>108</v>
      </c>
      <c r="B46">
        <f>SUMIF(tables_581010!C:C,input_581010!A46,tables_581010!O:O)</f>
        <v>0</v>
      </c>
      <c r="C46" s="54">
        <f t="shared" ca="1" si="9"/>
        <v>0</v>
      </c>
      <c r="E46" t="s">
        <v>205</v>
      </c>
      <c r="F46" s="55">
        <f ca="1">SUMIF(tables_581010!I:I,input_581010!E46,tables_581010!P:P)</f>
        <v>0.23167462476492565</v>
      </c>
    </row>
    <row r="47" spans="1:7" x14ac:dyDescent="0.15">
      <c r="A47" s="39" t="s">
        <v>59</v>
      </c>
      <c r="B47">
        <f ca="1">SUM(B40:B46)</f>
        <v>84761522.471400052</v>
      </c>
      <c r="C47" s="55">
        <f ca="1">SUM(C40:C46)</f>
        <v>1</v>
      </c>
      <c r="E47" t="s">
        <v>206</v>
      </c>
      <c r="F47" s="55">
        <f ca="1">SUMIF(tables_581010!I:I,input_581010!E47,tables_581010!P:P)</f>
        <v>0.64871318011137813</v>
      </c>
    </row>
    <row r="48" spans="1:7" x14ac:dyDescent="0.15">
      <c r="E48" t="s">
        <v>207</v>
      </c>
      <c r="F48" s="102">
        <f ca="1">SUMIF(tables_581010!I:I,input_581010!E48,tables_581010!P:P)</f>
        <v>4.3750000001546926E-2</v>
      </c>
    </row>
    <row r="49" spans="5:6" x14ac:dyDescent="0.15">
      <c r="E49" t="s">
        <v>250</v>
      </c>
      <c r="F49" s="102">
        <f ca="1">SUMIF(tables_581010!I:I,input_581010!E49,tables_581010!P:P)</f>
        <v>6.2500000002209902E-3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35" activePane="bottomLeft" state="frozen"/>
      <selection activeCell="D34" sqref="D34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input_581010!A$2</f>
        <v>581010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IFERROR(VLOOKUP(B2,input_581010!L:R,7,FALSE),VLOOKUP(tables_581010!C2,input_581010!A:H,8,FALSE))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input_581010!A$2</f>
        <v>581010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IFERROR(VLOOKUP(B3,input_581010!L:R,7,FALSE),VLOOKUP(tables_581010!C3,input_581010!A:H,8,FALSE))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input_581010!A$2</f>
        <v>581010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IFERROR(VLOOKUP(B4,input_581010!L:R,7,FALSE),VLOOKUP(tables_581010!C4,input_581010!A:H,8,FALSE))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input_581010!A$2</f>
        <v>581010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IFERROR(VLOOKUP(B5,input_581010!L:R,7,FALSE),VLOOKUP(tables_581010!C5,input_581010!A:H,8,FALSE))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input_581010!A$2</f>
        <v>581010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IFERROR(VLOOKUP(B6,input_581010!L:R,7,FALSE),VLOOKUP(tables_581010!C6,input_581010!A:H,8,FALSE))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input_581010!A$2</f>
        <v>581010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IFERROR(VLOOKUP(B7,input_581010!L:R,7,FALSE),VLOOKUP(tables_581010!C7,input_581010!A:H,8,FALSE))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input_581010!A$2</f>
        <v>581010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IFERROR(VLOOKUP(B8,input_581010!L:R,7,FALSE),VLOOKUP(tables_581010!C8,input_581010!A:H,8,FALSE))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input_581010!A$2</f>
        <v>581010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IFERROR(VLOOKUP(B9,input_581010!L:R,7,FALSE),VLOOKUP(tables_581010!C9,input_581010!A:H,8,FALSE))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input_581010!A$2</f>
        <v>581010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IFERROR(VLOOKUP(B10,input_581010!L:R,7,FALSE),VLOOKUP(tables_581010!C10,input_581010!A:H,8,FALSE))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input_581010!A$2</f>
        <v>581010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IFERROR(VLOOKUP(B11,input_581010!L:R,7,FALSE),VLOOKUP(tables_581010!C11,input_581010!A:H,8,FALSE))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input_581010!A$2</f>
        <v>581010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IFERROR(VLOOKUP(B12,input_581010!L:R,7,FALSE),VLOOKUP(tables_581010!C12,input_581010!A:H,8,FALSE))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input_581010!A$2</f>
        <v>581010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IFERROR(VLOOKUP(B13,input_581010!L:R,7,FALSE),VLOOKUP(tables_581010!C13,input_581010!A:H,8,FALSE))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input_581010!A$2</f>
        <v>581010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IFERROR(VLOOKUP(B14,input_581010!L:R,7,FALSE),VLOOKUP(tables_581010!C14,input_581010!A:H,8,FALSE))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input_581010!A$2</f>
        <v>581010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IFERROR(VLOOKUP(B15,input_581010!L:R,7,FALSE),VLOOKUP(tables_581010!C15,input_581010!A:H,8,FALSE))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input_581010!A$2</f>
        <v>581010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IFERROR(VLOOKUP(B16,input_581010!L:R,7,FALSE),VLOOKUP(tables_581010!C16,input_581010!A:H,8,FALSE))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input_581010!A$2</f>
        <v>581010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IFERROR(VLOOKUP(B17,input_581010!L:R,7,FALSE),VLOOKUP(tables_581010!C17,input_581010!A:H,8,FALSE))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input_581010!A$2</f>
        <v>581010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IFERROR(VLOOKUP(B18,input_581010!L:R,7,FALSE),VLOOKUP(tables_581010!C18,input_581010!A:H,8,FALSE))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input_581010!A$2</f>
        <v>581010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IFERROR(VLOOKUP(B19,input_581010!L:R,7,FALSE),VLOOKUP(tables_581010!C19,input_581010!A:H,8,FALSE))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input_581010!A$2</f>
        <v>581010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IFERROR(VLOOKUP(B20,input_581010!L:R,7,FALSE),VLOOKUP(tables_581010!C20,input_581010!A:H,8,FALSE))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input_581010!A$2</f>
        <v>581010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IFERROR(VLOOKUP(B21,input_581010!L:R,7,FALSE),VLOOKUP(tables_581010!C21,input_581010!A:H,8,FALSE))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input_581010!A$2</f>
        <v>581010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IFERROR(VLOOKUP(B22,input_581010!L:R,7,FALSE),VLOOKUP(tables_581010!C22,input_581010!A:H,8,FALSE))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input_581010!A$2</f>
        <v>581010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IFERROR(VLOOKUP(B23,input_581010!L:R,7,FALSE),VLOOKUP(tables_581010!C23,input_581010!A:H,8,FALSE))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input_581010!A$2</f>
        <v>581010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IFERROR(VLOOKUP(B24,input_581010!L:R,7,FALSE),VLOOKUP(tables_581010!C24,input_581010!A:H,8,FALSE))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input_581010!A$2</f>
        <v>581010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IFERROR(VLOOKUP(B25,input_581010!L:R,7,FALSE),VLOOKUP(tables_581010!C25,input_581010!A:H,8,FALSE))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input_581010!A$2</f>
        <v>581010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IFERROR(VLOOKUP(B26,input_581010!L:R,7,FALSE),VLOOKUP(tables_581010!C26,input_581010!A:H,8,FALSE))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input_581010!A$2</f>
        <v>581010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IFERROR(VLOOKUP(B27,input_581010!L:R,7,FALSE),VLOOKUP(tables_581010!C27,input_581010!A:H,8,FALSE))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input_581010!A$2</f>
        <v>581010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IFERROR(VLOOKUP(B28,input_581010!L:R,7,FALSE),VLOOKUP(tables_581010!C28,input_581010!A:H,8,FALSE))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input_581010!A$2</f>
        <v>581010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IFERROR(VLOOKUP(B29,input_581010!L:R,7,FALSE),VLOOKUP(tables_581010!C29,input_581010!A:H,8,FALSE))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input_581010!A$2</f>
        <v>581010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IFERROR(VLOOKUP(B30,input_581010!L:R,7,FALSE),VLOOKUP(tables_581010!C30,input_581010!A:H,8,FALSE))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input_581010!A$2</f>
        <v>581010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IFERROR(VLOOKUP(B31,input_581010!L:R,7,FALSE),VLOOKUP(tables_581010!C31,input_581010!A:H,8,FALSE))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input_581010!A$2</f>
        <v>581010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IFERROR(VLOOKUP(B32,input_581010!L:R,7,FALSE),VLOOKUP(tables_581010!C32,input_581010!A:H,8,FALSE))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input_581010!A$2</f>
        <v>581010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IFERROR(VLOOKUP(B33,input_581010!L:R,7,FALSE),VLOOKUP(tables_581010!C33,input_581010!A:H,8,FALSE))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input_581010!A$2</f>
        <v>581010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IFERROR(VLOOKUP(B34,input_581010!L:R,7,FALSE),VLOOKUP(tables_581010!C34,input_581010!A:H,8,FALSE))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input_581010!A$2</f>
        <v>581010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IFERROR(VLOOKUP(B35,input_581010!L:R,7,FALSE),VLOOKUP(tables_581010!C35,input_581010!A:H,8,FALSE))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input_581010!A$2</f>
        <v>581010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IFERROR(VLOOKUP(B36,input_581010!L:R,7,FALSE),VLOOKUP(tables_581010!C36,input_581010!A:H,8,FALSE))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input_581010!A$2</f>
        <v>581010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IFERROR(VLOOKUP(B37,input_581010!L:R,7,FALSE),VLOOKUP(tables_581010!C37,input_581010!A:H,8,FALSE))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input_581010!A$2</f>
        <v>581010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IFERROR(VLOOKUP(B38,input_581010!L:R,7,FALSE),VLOOKUP(tables_581010!C38,input_581010!A:H,8,FALSE))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input_581010!A$2</f>
        <v>581010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IFERROR(VLOOKUP(B39,input_581010!L:R,7,FALSE),VLOOKUP(tables_581010!C39,input_581010!A:H,8,FALSE))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input_581010!A$2</f>
        <v>581010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IFERROR(VLOOKUP(B40,input_581010!L:R,7,FALSE),VLOOKUP(tables_581010!C40,input_581010!A:H,8,FALSE))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input_581010!A$2</f>
        <v>581010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IFERROR(VLOOKUP(B41,input_581010!L:R,7,FALSE),VLOOKUP(tables_581010!C41,input_581010!A:H,8,FALSE))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input_581010!A$2</f>
        <v>581010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IFERROR(VLOOKUP(B42,input_581010!L:R,7,FALSE),VLOOKUP(tables_581010!C42,input_581010!A:H,8,FALSE))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input_581010!A$2</f>
        <v>581010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IFERROR(VLOOKUP(B43,input_581010!L:R,7,FALSE),VLOOKUP(tables_581010!C43,input_581010!A:H,8,FALSE))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input_581010!A$2</f>
        <v>581010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IFERROR(VLOOKUP(B44,input_581010!L:R,7,FALSE),VLOOKUP(tables_581010!C44,input_581010!A:H,8,FALSE))</f>
        <v>1579317.07317</v>
      </c>
      <c r="P44" s="46">
        <f t="shared" ca="1" si="1"/>
        <v>1.1585365853654876E-2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input_581010!A$2</f>
        <v>581010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IFERROR(VLOOKUP(B45,input_581010!L:R,7,FALSE),VLOOKUP(tables_581010!C45,input_581010!A:H,8,FALSE))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input_581010!A$2</f>
        <v>581010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IFERROR(VLOOKUP(B46,input_581010!L:R,7,FALSE),VLOOKUP(tables_581010!C46,input_581010!A:H,8,FALSE))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input_581010!A$2</f>
        <v>581010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IFERROR(VLOOKUP(B47,input_581010!L:R,7,FALSE),VLOOKUP(tables_581010!C47,input_581010!A:H,8,FALSE))</f>
        <v>1579317.07317</v>
      </c>
      <c r="P47" s="46">
        <f t="shared" ca="1" si="1"/>
        <v>1.1585365853654876E-2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input_581010!A$2</f>
        <v>581010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IFERROR(VLOOKUP(B48,input_581010!L:R,7,FALSE),VLOOKUP(tables_581010!C48,input_581010!A:H,8,FALSE))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input_581010!A$2</f>
        <v>581010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IFERROR(VLOOKUP(B49,input_581010!L:R,7,FALSE),VLOOKUP(tables_581010!C49,input_581010!A:H,8,FALSE))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input_581010!A$2</f>
        <v>581010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IFERROR(VLOOKUP(B50,input_581010!L:R,7,FALSE),VLOOKUP(tables_581010!C50,input_581010!A:H,8,FALSE))</f>
        <v>1579317.07317</v>
      </c>
      <c r="P50" s="46">
        <f t="shared" ca="1" si="1"/>
        <v>1.1585365853654876E-2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input_581010!A$2</f>
        <v>581010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IFERROR(VLOOKUP(B51,input_581010!L:R,7,FALSE),VLOOKUP(tables_581010!C51,input_581010!A:H,8,FALSE))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input_581010!A$2</f>
        <v>581010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IFERROR(VLOOKUP(B52,input_581010!L:R,7,FALSE),VLOOKUP(tables_581010!C52,input_581010!A:H,8,FALSE))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input_581010!A$2</f>
        <v>581010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IFERROR(VLOOKUP(B53,input_581010!L:R,7,FALSE),VLOOKUP(tables_581010!C53,input_581010!A:H,8,FALSE))</f>
        <v>1579054.9193200001</v>
      </c>
      <c r="P53" s="46">
        <f t="shared" ca="1" si="1"/>
        <v>1.1583442776703586E-2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input_581010!A$2</f>
        <v>581010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IFERROR(VLOOKUP(B54,input_581010!L:R,7,FALSE),VLOOKUP(tables_581010!C54,input_581010!A:H,8,FALSE))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input_581010!A$2</f>
        <v>581010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IFERROR(VLOOKUP(B55,input_581010!L:R,7,FALSE),VLOOKUP(tables_581010!C55,input_581010!A:H,8,FALSE))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input_581010!A$2</f>
        <v>581010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IFERROR(VLOOKUP(B56,input_581010!L:R,7,FALSE),VLOOKUP(tables_581010!C56,input_581010!A:H,8,FALSE))</f>
        <v>1579054.9193200001</v>
      </c>
      <c r="P56" s="46">
        <f t="shared" ca="1" si="1"/>
        <v>1.1583442776703586E-2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input_581010!A$2</f>
        <v>581010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IFERROR(VLOOKUP(B57,input_581010!L:R,7,FALSE),VLOOKUP(tables_581010!C57,input_581010!A:H,8,FALSE))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input_581010!A$2</f>
        <v>581010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IFERROR(VLOOKUP(B58,input_581010!L:R,7,FALSE),VLOOKUP(tables_581010!C58,input_581010!A:H,8,FALSE))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input_581010!A$2</f>
        <v>581010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IFERROR(VLOOKUP(B59,input_581010!L:R,7,FALSE),VLOOKUP(tables_581010!C59,input_581010!A:H,8,FALSE))</f>
        <v>1579054.9193200001</v>
      </c>
      <c r="P59" s="46">
        <f t="shared" ca="1" si="1"/>
        <v>1.1583442776703586E-2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input_581010!A$2</f>
        <v>581010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IFERROR(VLOOKUP(B60,input_581010!L:R,7,FALSE),VLOOKUP(tables_581010!C60,input_581010!A:H,8,FALSE))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input_581010!A$2</f>
        <v>581010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IFERROR(VLOOKUP(B61,input_581010!L:R,7,FALSE),VLOOKUP(tables_581010!C61,input_581010!A:H,8,FALSE))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input_581010!A$2</f>
        <v>581010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IFERROR(VLOOKUP(B62,input_581010!L:R,7,FALSE),VLOOKUP(tables_581010!C62,input_581010!A:H,8,FALSE))</f>
        <v>1579054.9193200001</v>
      </c>
      <c r="P62" s="46">
        <f t="shared" ca="1" si="1"/>
        <v>1.1583442776703586E-2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input_581010!A$2</f>
        <v>581010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IFERROR(VLOOKUP(B63,input_581010!L:R,7,FALSE),VLOOKUP(tables_581010!C63,input_581010!A:H,8,FALSE))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input_581010!A$2</f>
        <v>581010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IFERROR(VLOOKUP(B64,input_581010!L:R,7,FALSE),VLOOKUP(tables_581010!C64,input_581010!A:H,8,FALSE))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input_581010!A$2</f>
        <v>581010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IFERROR(VLOOKUP(B65,input_581010!L:R,7,FALSE),VLOOKUP(tables_581010!C65,input_581010!A:H,8,FALSE))</f>
        <v>1579054.9193200001</v>
      </c>
      <c r="P65" s="46">
        <f t="shared" ca="1" si="1"/>
        <v>1.1583442776703586E-2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input_581010!A$2</f>
        <v>581010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IFERROR(VLOOKUP(B66,input_581010!L:R,7,FALSE),VLOOKUP(tables_581010!C66,input_581010!A:H,8,FALSE))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input_581010!A$2</f>
        <v>581010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IFERROR(VLOOKUP(B67,input_581010!L:R,7,FALSE),VLOOKUP(tables_581010!C67,input_581010!A:H,8,FALSE))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input_581010!A$2</f>
        <v>581010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IFERROR(VLOOKUP(B68,input_581010!L:R,7,FALSE),VLOOKUP(tables_581010!C68,input_581010!A:H,8,FALSE))</f>
        <v>1579054.9193200001</v>
      </c>
      <c r="P68" s="46">
        <f t="shared" ca="1" si="4"/>
        <v>1.1583442776703586E-2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input_581010!A$2</f>
        <v>581010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IFERROR(VLOOKUP(B69,input_581010!L:R,7,FALSE),VLOOKUP(tables_581010!C69,input_581010!A:H,8,FALSE))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input_581010!A$2</f>
        <v>581010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IFERROR(VLOOKUP(B70,input_581010!L:R,7,FALSE),VLOOKUP(tables_581010!C70,input_581010!A:H,8,FALSE))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input_581010!A$2</f>
        <v>581010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IFERROR(VLOOKUP(B71,input_581010!L:R,7,FALSE),VLOOKUP(tables_581010!C71,input_581010!A:H,8,FALSE))</f>
        <v>1579054.9193200001</v>
      </c>
      <c r="P71" s="46">
        <f t="shared" ca="1" si="4"/>
        <v>1.1583442776703586E-2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input_581010!A$2</f>
        <v>581010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IFERROR(VLOOKUP(B72,input_581010!L:R,7,FALSE),VLOOKUP(tables_581010!C72,input_581010!A:H,8,FALSE))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input_581010!A$2</f>
        <v>581010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IFERROR(VLOOKUP(B73,input_581010!L:R,7,FALSE),VLOOKUP(tables_581010!C73,input_581010!A:H,8,FALSE))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input_581010!A$2</f>
        <v>581010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IFERROR(VLOOKUP(B74,input_581010!L:R,7,FALSE),VLOOKUP(tables_581010!C74,input_581010!A:H,8,FALSE))</f>
        <v>1579054.9193200001</v>
      </c>
      <c r="P74" s="46">
        <f t="shared" ca="1" si="4"/>
        <v>1.1583442776703586E-2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input_581010!A$2</f>
        <v>581010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IFERROR(VLOOKUP(B75,input_581010!L:R,7,FALSE),VLOOKUP(tables_581010!C75,input_581010!A:H,8,FALSE))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input_581010!A$2</f>
        <v>581010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IFERROR(VLOOKUP(B76,input_581010!L:R,7,FALSE),VLOOKUP(tables_581010!C76,input_581010!A:H,8,FALSE))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input_581010!A$2</f>
        <v>581010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IFERROR(VLOOKUP(B77,input_581010!L:R,7,FALSE),VLOOKUP(tables_581010!C77,input_581010!A:H,8,FALSE))</f>
        <v>1579054.9193200001</v>
      </c>
      <c r="P77" s="46">
        <f t="shared" ca="1" si="4"/>
        <v>1.1583442776703586E-2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input_581010!A$2</f>
        <v>581010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IFERROR(VLOOKUP(B78,input_581010!L:R,7,FALSE),VLOOKUP(tables_581010!C78,input_581010!A:H,8,FALSE))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input_581010!A$2</f>
        <v>581010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IFERROR(VLOOKUP(B79,input_581010!L:R,7,FALSE),VLOOKUP(tables_581010!C79,input_581010!A:H,8,FALSE))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input_581010!A$2</f>
        <v>581010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IFERROR(VLOOKUP(B80,input_581010!L:R,7,FALSE),VLOOKUP(tables_581010!C80,input_581010!A:H,8,FALSE))</f>
        <v>1579054.9193200001</v>
      </c>
      <c r="P80" s="46">
        <f t="shared" ca="1" si="4"/>
        <v>1.1583442776703586E-2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input_581010!A$2</f>
        <v>581010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IFERROR(VLOOKUP(B81,input_581010!L:R,7,FALSE),VLOOKUP(tables_581010!C81,input_581010!A:H,8,FALSE))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input_581010!A$2</f>
        <v>581010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IFERROR(VLOOKUP(B82,input_581010!L:R,7,FALSE),VLOOKUP(tables_581010!C82,input_581010!A:H,8,FALSE))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input_581010!A$2</f>
        <v>581010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IFERROR(VLOOKUP(B83,input_581010!L:R,7,FALSE),VLOOKUP(tables_581010!C83,input_581010!A:H,8,FALSE))</f>
        <v>1579054.9193200001</v>
      </c>
      <c r="P83" s="46">
        <f t="shared" ca="1" si="4"/>
        <v>1.1583442776703586E-2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input_581010!A$2</f>
        <v>581010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IFERROR(VLOOKUP(B84,input_581010!L:R,7,FALSE),VLOOKUP(tables_581010!C84,input_581010!A:H,8,FALSE))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input_581010!A$2</f>
        <v>581010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IFERROR(VLOOKUP(B85,input_581010!L:R,7,FALSE),VLOOKUP(tables_581010!C85,input_581010!A:H,8,FALSE))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input_581010!A$2</f>
        <v>581010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IFERROR(VLOOKUP(B86,input_581010!L:R,7,FALSE),VLOOKUP(tables_581010!C86,input_581010!A:H,8,FALSE))</f>
        <v>1579054.9193200001</v>
      </c>
      <c r="P86" s="46">
        <f t="shared" ca="1" si="4"/>
        <v>1.1583442776703586E-2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input_581010!A$2</f>
        <v>581010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IFERROR(VLOOKUP(B87,input_581010!L:R,7,FALSE),VLOOKUP(tables_581010!C87,input_581010!A:H,8,FALSE))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input_581010!A$2</f>
        <v>581010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IFERROR(VLOOKUP(B88,input_581010!L:R,7,FALSE),VLOOKUP(tables_581010!C88,input_581010!A:H,8,FALSE))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input_581010!A$2</f>
        <v>581010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IFERROR(VLOOKUP(B89,input_581010!L:R,7,FALSE),VLOOKUP(tables_581010!C89,input_581010!A:H,8,FALSE))</f>
        <v>1579054.9193200001</v>
      </c>
      <c r="P89" s="46">
        <f t="shared" ca="1" si="4"/>
        <v>1.1583442776703586E-2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input_581010!A$2</f>
        <v>581010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IFERROR(VLOOKUP(B90,input_581010!L:R,7,FALSE),VLOOKUP(tables_581010!C90,input_581010!A:H,8,FALSE))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input_581010!A$2</f>
        <v>581010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IFERROR(VLOOKUP(B91,input_581010!L:R,7,FALSE),VLOOKUP(tables_581010!C91,input_581010!A:H,8,FALSE))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input_581010!A$2</f>
        <v>581010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IFERROR(VLOOKUP(B92,input_581010!L:R,7,FALSE),VLOOKUP(tables_581010!C92,input_581010!A:H,8,FALSE))</f>
        <v>1579054.9193200001</v>
      </c>
      <c r="P92" s="46">
        <f t="shared" ca="1" si="4"/>
        <v>1.1583442776703586E-2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input_581010!A$2</f>
        <v>581010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IFERROR(VLOOKUP(B93,input_581010!L:R,7,FALSE),VLOOKUP(tables_581010!C93,input_581010!A:H,8,FALSE))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input_581010!A$2</f>
        <v>581010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IFERROR(VLOOKUP(B94,input_581010!L:R,7,FALSE),VLOOKUP(tables_581010!C94,input_581010!A:H,8,FALSE))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input_581010!A$2</f>
        <v>581010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IFERROR(VLOOKUP(B95,input_581010!L:R,7,FALSE),VLOOKUP(tables_581010!C95,input_581010!A:H,8,FALSE))</f>
        <v>1579054.9193200001</v>
      </c>
      <c r="P95" s="46">
        <f t="shared" ca="1" si="4"/>
        <v>1.1583442776703586E-2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input_581010!A$2</f>
        <v>581010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IFERROR(VLOOKUP(B96,input_581010!L:R,7,FALSE),VLOOKUP(tables_581010!C96,input_581010!A:H,8,FALSE))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input_581010!A$2</f>
        <v>581010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IFERROR(VLOOKUP(B97,input_581010!L:R,7,FALSE),VLOOKUP(tables_581010!C97,input_581010!A:H,8,FALSE))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input_581010!A$2</f>
        <v>581010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IFERROR(VLOOKUP(B98,input_581010!L:R,7,FALSE),VLOOKUP(tables_581010!C98,input_581010!A:H,8,FALSE))</f>
        <v>1579054.9193200001</v>
      </c>
      <c r="P98" s="46">
        <f t="shared" ca="1" si="4"/>
        <v>1.1583442776703586E-2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input_581010!A$2</f>
        <v>581010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IFERROR(VLOOKUP(B99,input_581010!L:R,7,FALSE),VLOOKUP(tables_581010!C99,input_581010!A:H,8,FALSE))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input_581010!A$2</f>
        <v>581010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IFERROR(VLOOKUP(B100,input_581010!L:R,7,FALSE),VLOOKUP(tables_581010!C100,input_581010!A:H,8,FALSE))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input_581010!A$2</f>
        <v>581010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IFERROR(VLOOKUP(B101,input_581010!L:R,7,FALSE),VLOOKUP(tables_581010!C101,input_581010!A:H,8,FALSE))</f>
        <v>1579054.9193200001</v>
      </c>
      <c r="P101" s="46">
        <f t="shared" ca="1" si="4"/>
        <v>1.1583442776703586E-2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input_581010!A$2</f>
        <v>581010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IFERROR(VLOOKUP(B102,input_581010!L:R,7,FALSE),VLOOKUP(tables_581010!C102,input_581010!A:H,8,FALSE))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input_581010!A$2</f>
        <v>581010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IFERROR(VLOOKUP(B103,input_581010!L:R,7,FALSE),VLOOKUP(tables_581010!C103,input_581010!A:H,8,FALSE))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input_581010!A$2</f>
        <v>581010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IFERROR(VLOOKUP(B104,input_581010!L:R,7,FALSE),VLOOKUP(tables_581010!C104,input_581010!A:H,8,FALSE))</f>
        <v>1579054.9193200001</v>
      </c>
      <c r="P104" s="46">
        <f t="shared" ca="1" si="4"/>
        <v>1.1583442776703586E-2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input_581010!A$2</f>
        <v>581010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IFERROR(VLOOKUP(B105,input_581010!L:R,7,FALSE),VLOOKUP(tables_581010!C105,input_581010!A:H,8,FALSE))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input_581010!A$2</f>
        <v>581010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IFERROR(VLOOKUP(B106,input_581010!L:R,7,FALSE),VLOOKUP(tables_581010!C106,input_581010!A:H,8,FALSE))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input_581010!A$2</f>
        <v>581010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IFERROR(VLOOKUP(B107,input_581010!L:R,7,FALSE),VLOOKUP(tables_581010!C107,input_581010!A:H,8,FALSE))</f>
        <v>1579054.9193200001</v>
      </c>
      <c r="P107" s="46">
        <f t="shared" ca="1" si="4"/>
        <v>1.1583442776703586E-2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input_581010!A$2</f>
        <v>581010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IFERROR(VLOOKUP(B108,input_581010!L:R,7,FALSE),VLOOKUP(tables_581010!C108,input_581010!A:H,8,FALSE))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input_581010!A$2</f>
        <v>581010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IFERROR(VLOOKUP(B109,input_581010!L:R,7,FALSE),VLOOKUP(tables_581010!C109,input_581010!A:H,8,FALSE))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input_581010!A$2</f>
        <v>581010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IFERROR(VLOOKUP(B110,input_581010!L:R,7,FALSE),VLOOKUP(tables_581010!C110,input_581010!A:H,8,FALSE))</f>
        <v>1579054.9193200001</v>
      </c>
      <c r="P110" s="46">
        <f t="shared" ca="1" si="4"/>
        <v>1.1583442776703586E-2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input_581010!A$2</f>
        <v>581010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IFERROR(VLOOKUP(B111,input_581010!L:R,7,FALSE),VLOOKUP(tables_581010!C111,input_581010!A:H,8,FALSE))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input_581010!A$2</f>
        <v>581010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IFERROR(VLOOKUP(B112,input_581010!L:R,7,FALSE),VLOOKUP(tables_581010!C112,input_581010!A:H,8,FALSE))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input_581010!A$2</f>
        <v>581010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IFERROR(VLOOKUP(B113,input_581010!L:R,7,FALSE),VLOOKUP(tables_581010!C113,input_581010!A:H,8,FALSE))</f>
        <v>1579317.07317</v>
      </c>
      <c r="P113" s="46">
        <f t="shared" ca="1" si="4"/>
        <v>1.1585365853654876E-2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input_581010!A$2</f>
        <v>581010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IFERROR(VLOOKUP(B114,input_581010!L:R,7,FALSE),VLOOKUP(tables_581010!C114,input_581010!A:H,8,FALSE))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input_581010!A$2</f>
        <v>581010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IFERROR(VLOOKUP(B115,input_581010!L:R,7,FALSE),VLOOKUP(tables_581010!C115,input_581010!A:H,8,FALSE))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input_581010!A$2</f>
        <v>581010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IFERROR(VLOOKUP(B116,input_581010!L:R,7,FALSE),VLOOKUP(tables_581010!C116,input_581010!A:H,8,FALSE))</f>
        <v>1579054.9193200001</v>
      </c>
      <c r="P116" s="46">
        <f t="shared" ca="1" si="4"/>
        <v>1.1583442776703586E-2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input_581010!A$2</f>
        <v>581010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IFERROR(VLOOKUP(B117,input_581010!L:R,7,FALSE),VLOOKUP(tables_581010!C117,input_581010!A:H,8,FALSE))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input_581010!A$2</f>
        <v>581010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IFERROR(VLOOKUP(B118,input_581010!L:R,7,FALSE),VLOOKUP(tables_581010!C118,input_581010!A:H,8,FALSE))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input_581010!A$2</f>
        <v>581010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IFERROR(VLOOKUP(B119,input_581010!L:R,7,FALSE),VLOOKUP(tables_581010!C119,input_581010!A:H,8,FALSE))</f>
        <v>1579054.9193200001</v>
      </c>
      <c r="P119" s="46">
        <f t="shared" ca="1" si="4"/>
        <v>1.1583442776703586E-2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input_581010!A$2</f>
        <v>581010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IFERROR(VLOOKUP(B120,input_581010!L:R,7,FALSE),VLOOKUP(tables_581010!C120,input_581010!A:H,8,FALSE))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input_581010!A$2</f>
        <v>581010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IFERROR(VLOOKUP(B121,input_581010!L:R,7,FALSE),VLOOKUP(tables_581010!C121,input_581010!A:H,8,FALSE))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input_581010!A$2</f>
        <v>581010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IFERROR(VLOOKUP(B122,input_581010!L:R,7,FALSE),VLOOKUP(tables_581010!C122,input_581010!A:H,8,FALSE))</f>
        <v>1579054.9193200001</v>
      </c>
      <c r="P122" s="46">
        <f t="shared" ca="1" si="4"/>
        <v>1.1583442776703586E-2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input_581010!A$2</f>
        <v>581010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IFERROR(VLOOKUP(B123,input_581010!L:R,7,FALSE),VLOOKUP(tables_581010!C123,input_581010!A:H,8,FALSE))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input_581010!A$2</f>
        <v>581010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IFERROR(VLOOKUP(B124,input_581010!L:R,7,FALSE),VLOOKUP(tables_581010!C124,input_581010!A:H,8,FALSE))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input_581010!A$2</f>
        <v>581010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IFERROR(VLOOKUP(B125,input_581010!L:R,7,FALSE),VLOOKUP(tables_581010!C125,input_581010!A:H,8,FALSE))</f>
        <v>1579054.9193200001</v>
      </c>
      <c r="P125" s="46">
        <f t="shared" ca="1" si="4"/>
        <v>1.1583442776703586E-2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input_581010!A$2</f>
        <v>581010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IFERROR(VLOOKUP(B126,input_581010!L:R,7,FALSE),VLOOKUP(tables_581010!C126,input_581010!A:H,8,FALSE))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input_581010!A$2</f>
        <v>581010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IFERROR(VLOOKUP(B127,input_581010!L:R,7,FALSE),VLOOKUP(tables_581010!C127,input_581010!A:H,8,FALSE))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input_581010!A$2</f>
        <v>581010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IFERROR(VLOOKUP(B128,input_581010!L:R,7,FALSE),VLOOKUP(tables_581010!C128,input_581010!A:H,8,FALSE))</f>
        <v>1579054.9193200001</v>
      </c>
      <c r="P128" s="46">
        <f t="shared" ca="1" si="4"/>
        <v>1.1583442776703586E-2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input_581010!A$2</f>
        <v>581010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IFERROR(VLOOKUP(B129,input_581010!L:R,7,FALSE),VLOOKUP(tables_581010!C129,input_581010!A:H,8,FALSE))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input_581010!A$2</f>
        <v>581010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IFERROR(VLOOKUP(B130,input_581010!L:R,7,FALSE),VLOOKUP(tables_581010!C130,input_581010!A:H,8,FALSE))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input_581010!A$2</f>
        <v>581010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IFERROR(VLOOKUP(B131,input_581010!L:R,7,FALSE),VLOOKUP(tables_581010!C131,input_581010!A:H,8,FALSE))</f>
        <v>1579054.9193200001</v>
      </c>
      <c r="P131" s="46">
        <f t="shared" ca="1" si="7"/>
        <v>1.1583442776703586E-2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input_581010!A$2</f>
        <v>581010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IFERROR(VLOOKUP(B132,input_581010!L:R,7,FALSE),VLOOKUP(tables_581010!C132,input_581010!A:H,8,FALSE))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input_581010!A$2</f>
        <v>581010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IFERROR(VLOOKUP(B133,input_581010!L:R,7,FALSE),VLOOKUP(tables_581010!C133,input_581010!A:H,8,FALSE))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input_581010!A$2</f>
        <v>581010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IFERROR(VLOOKUP(B134,input_581010!L:R,7,FALSE),VLOOKUP(tables_581010!C134,input_581010!A:H,8,FALSE))</f>
        <v>1579054.9193200001</v>
      </c>
      <c r="P134" s="46">
        <f t="shared" ca="1" si="7"/>
        <v>1.1583442776703586E-2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input_581010!A$2</f>
        <v>581010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IFERROR(VLOOKUP(B135,input_581010!L:R,7,FALSE),VLOOKUP(tables_581010!C135,input_581010!A:H,8,FALSE))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input_581010!A$2</f>
        <v>581010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IFERROR(VLOOKUP(B136,input_581010!L:R,7,FALSE),VLOOKUP(tables_581010!C136,input_581010!A:H,8,FALSE))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input_581010!A$2</f>
        <v>581010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IFERROR(VLOOKUP(B137,input_581010!L:R,7,FALSE),VLOOKUP(tables_581010!C137,input_581010!A:H,8,FALSE))</f>
        <v>1579054.9193200001</v>
      </c>
      <c r="P137" s="46">
        <f t="shared" ca="1" si="7"/>
        <v>1.1583442776703586E-2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input_581010!A$2</f>
        <v>581010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IFERROR(VLOOKUP(B138,input_581010!L:R,7,FALSE),VLOOKUP(tables_581010!C138,input_581010!A:H,8,FALSE))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input_581010!A$2</f>
        <v>581010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IFERROR(VLOOKUP(B139,input_581010!L:R,7,FALSE),VLOOKUP(tables_581010!C139,input_581010!A:H,8,FALSE))</f>
        <v>94666.666670000006</v>
      </c>
      <c r="P139" s="46">
        <f t="shared" ca="1" si="7"/>
        <v>6.9444444446899905E-4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input_581010!A$2</f>
        <v>581010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IFERROR(VLOOKUP(B140,input_581010!L:R,7,FALSE),VLOOKUP(tables_581010!C140,input_581010!A:H,8,FALSE))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input_581010!A$2</f>
        <v>581010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IFERROR(VLOOKUP(B141,input_581010!L:R,7,FALSE),VLOOKUP(tables_581010!C141,input_581010!A:H,8,FALSE))</f>
        <v>94666.666670000006</v>
      </c>
      <c r="P141" s="46">
        <f t="shared" ca="1" si="7"/>
        <v>6.9444444446899905E-4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input_581010!A$2</f>
        <v>581010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IFERROR(VLOOKUP(B142,input_581010!L:R,7,FALSE),VLOOKUP(tables_581010!C142,input_581010!A:H,8,FALSE))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input_581010!A$2</f>
        <v>581010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IFERROR(VLOOKUP(B143,input_581010!L:R,7,FALSE),VLOOKUP(tables_581010!C143,input_581010!A:H,8,FALSE))</f>
        <v>94666.666670000006</v>
      </c>
      <c r="P143" s="46">
        <f t="shared" ca="1" si="7"/>
        <v>6.9444444446899905E-4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input_581010!A$2</f>
        <v>581010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IFERROR(VLOOKUP(B144,input_581010!L:R,7,FALSE),VLOOKUP(tables_581010!C144,input_581010!A:H,8,FALSE))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input_581010!A$2</f>
        <v>581010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IFERROR(VLOOKUP(B145,input_581010!L:R,7,FALSE),VLOOKUP(tables_581010!C145,input_581010!A:H,8,FALSE))</f>
        <v>94666.666670000006</v>
      </c>
      <c r="P145" s="46">
        <f t="shared" ca="1" si="7"/>
        <v>6.9444444446899905E-4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input_581010!A$2</f>
        <v>581010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IFERROR(VLOOKUP(B146,input_581010!L:R,7,FALSE),VLOOKUP(tables_581010!C146,input_581010!A:H,8,FALSE))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input_581010!A$2</f>
        <v>581010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IFERROR(VLOOKUP(B147,input_581010!L:R,7,FALSE),VLOOKUP(tables_581010!C147,input_581010!A:H,8,FALSE))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input_581010!A$2</f>
        <v>581010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IFERROR(VLOOKUP(B148,input_581010!L:R,7,FALSE),VLOOKUP(tables_581010!C148,input_581010!A:H,8,FALSE))</f>
        <v>1579054.9193200001</v>
      </c>
      <c r="P148" s="46">
        <f t="shared" ca="1" si="7"/>
        <v>1.1583442776703586E-2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input_581010!A$2</f>
        <v>581010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IFERROR(VLOOKUP(B149,input_581010!L:R,7,FALSE),VLOOKUP(tables_581010!C149,input_581010!A:H,8,FALSE))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input_581010!A$2</f>
        <v>581010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IFERROR(VLOOKUP(B150,input_581010!L:R,7,FALSE),VLOOKUP(tables_581010!C150,input_581010!A:H,8,FALSE))</f>
        <v>94666.666670000006</v>
      </c>
      <c r="P150" s="46">
        <f t="shared" ca="1" si="7"/>
        <v>6.9444444446899905E-4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input_581010!A$2</f>
        <v>581010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IFERROR(VLOOKUP(B151,input_581010!L:R,7,FALSE),VLOOKUP(tables_581010!C151,input_581010!A:H,8,FALSE))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input_581010!A$2</f>
        <v>581010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IFERROR(VLOOKUP(B152,input_581010!L:R,7,FALSE),VLOOKUP(tables_581010!C152,input_581010!A:H,8,FALSE))</f>
        <v>94666.666670000006</v>
      </c>
      <c r="P152" s="46">
        <f t="shared" ca="1" si="7"/>
        <v>6.9444444446899905E-4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input_581010!A$2</f>
        <v>581010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IFERROR(VLOOKUP(B153,input_581010!L:R,7,FALSE),VLOOKUP(tables_581010!C153,input_581010!A:H,8,FALSE))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input_581010!A$2</f>
        <v>581010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IFERROR(VLOOKUP(B154,input_581010!L:R,7,FALSE),VLOOKUP(tables_581010!C154,input_581010!A:H,8,FALSE))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input_581010!A$2</f>
        <v>581010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IFERROR(VLOOKUP(B155,input_581010!L:R,7,FALSE),VLOOKUP(tables_581010!C155,input_581010!A:H,8,FALSE))</f>
        <v>1579054.9193200001</v>
      </c>
      <c r="P155" s="46">
        <f t="shared" ca="1" si="7"/>
        <v>1.1583442776703586E-2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input_581010!A$2</f>
        <v>581010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IFERROR(VLOOKUP(B156,input_581010!L:R,7,FALSE),VLOOKUP(tables_581010!C156,input_581010!A:H,8,FALSE))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input_581010!A$2</f>
        <v>581010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IFERROR(VLOOKUP(B157,input_581010!L:R,7,FALSE),VLOOKUP(tables_581010!C157,input_581010!A:H,8,FALSE))</f>
        <v>94666.666670000006</v>
      </c>
      <c r="P157" s="46">
        <f t="shared" ca="1" si="7"/>
        <v>6.9444444446899905E-4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input_581010!A$2</f>
        <v>581010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IFERROR(VLOOKUP(B158,input_581010!L:R,7,FALSE),VLOOKUP(tables_581010!C158,input_581010!A:H,8,FALSE))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input_581010!A$2</f>
        <v>581010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IFERROR(VLOOKUP(B159,input_581010!L:R,7,FALSE),VLOOKUP(tables_581010!C159,input_581010!A:H,8,FALSE))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input_581010!A$2</f>
        <v>581010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IFERROR(VLOOKUP(B160,input_581010!L:R,7,FALSE),VLOOKUP(tables_581010!C160,input_581010!A:H,8,FALSE))</f>
        <v>1579054.9193200001</v>
      </c>
      <c r="P160" s="46">
        <f t="shared" ca="1" si="7"/>
        <v>1.1583442776703586E-2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input_581010!A$2</f>
        <v>581010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IFERROR(VLOOKUP(B161,input_581010!L:R,7,FALSE),VLOOKUP(tables_581010!C161,input_581010!A:H,8,FALSE))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input_581010!A$2</f>
        <v>581010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IFERROR(VLOOKUP(B162,input_581010!L:R,7,FALSE),VLOOKUP(tables_581010!C162,input_581010!A:H,8,FALSE))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input_581010!A$2</f>
        <v>581010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IFERROR(VLOOKUP(B163,input_581010!L:R,7,FALSE),VLOOKUP(tables_581010!C163,input_581010!A:H,8,FALSE))</f>
        <v>1579054.9193200001</v>
      </c>
      <c r="P163" s="46">
        <f t="shared" ca="1" si="7"/>
        <v>1.1583442776703586E-2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input_581010!A$2</f>
        <v>581010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IFERROR(VLOOKUP(B164,input_581010!L:R,7,FALSE),VLOOKUP(tables_581010!C164,input_581010!A:H,8,FALSE))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input_581010!A$2</f>
        <v>581010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IFERROR(VLOOKUP(B165,input_581010!L:R,7,FALSE),VLOOKUP(tables_581010!C165,input_581010!A:H,8,FALSE))</f>
        <v>94666.666670000006</v>
      </c>
      <c r="P165" s="46">
        <f t="shared" ca="1" si="7"/>
        <v>6.9444444446899905E-4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input_581010!A$2</f>
        <v>581010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IFERROR(VLOOKUP(B166,input_581010!L:R,7,FALSE),VLOOKUP(tables_581010!C166,input_581010!A:H,8,FALSE))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input_581010!A$2</f>
        <v>581010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IFERROR(VLOOKUP(B167,input_581010!L:R,7,FALSE),VLOOKUP(tables_581010!C167,input_581010!A:H,8,FALSE))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input_581010!A$2</f>
        <v>581010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IFERROR(VLOOKUP(B168,input_581010!L:R,7,FALSE),VLOOKUP(tables_581010!C168,input_581010!A:H,8,FALSE))</f>
        <v>1579054.9193200001</v>
      </c>
      <c r="P168" s="46">
        <f t="shared" ca="1" si="7"/>
        <v>1.1583442776703586E-2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input_581010!A$2</f>
        <v>581010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IFERROR(VLOOKUP(B169,input_581010!L:R,7,FALSE),VLOOKUP(tables_581010!C169,input_581010!A:H,8,FALSE))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input_581010!A$2</f>
        <v>581010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IFERROR(VLOOKUP(B170,input_581010!L:R,7,FALSE),VLOOKUP(tables_581010!C170,input_581010!A:H,8,FALSE))</f>
        <v>94666.666670000006</v>
      </c>
      <c r="P170" s="46">
        <f t="shared" ca="1" si="7"/>
        <v>6.9444444446899905E-4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input_581010!A$2</f>
        <v>581010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IFERROR(VLOOKUP(B171,input_581010!L:R,7,FALSE),VLOOKUP(tables_581010!C171,input_581010!A:H,8,FALSE))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input_581010!A$2</f>
        <v>581010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IFERROR(VLOOKUP(B172,input_581010!L:R,7,FALSE),VLOOKUP(tables_581010!C172,input_581010!A:H,8,FALSE))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input_581010!A$2</f>
        <v>581010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IFERROR(VLOOKUP(B173,input_581010!L:R,7,FALSE),VLOOKUP(tables_581010!C173,input_581010!A:H,8,FALSE))</f>
        <v>1579054.9193200001</v>
      </c>
      <c r="P173" s="46">
        <f t="shared" ca="1" si="7"/>
        <v>1.1583442776703586E-2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input_581010!A$2</f>
        <v>581010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IFERROR(VLOOKUP(B174,input_581010!L:R,7,FALSE),VLOOKUP(tables_581010!C174,input_581010!A:H,8,FALSE))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input_581010!A$2</f>
        <v>581010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IFERROR(VLOOKUP(B175,input_581010!L:R,7,FALSE),VLOOKUP(tables_581010!C175,input_581010!A:H,8,FALSE))</f>
        <v>94666.666670000006</v>
      </c>
      <c r="P175" s="46">
        <f t="shared" ca="1" si="7"/>
        <v>6.9444444446899905E-4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input_581010!A$2</f>
        <v>581010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IFERROR(VLOOKUP(B176,input_581010!L:R,7,FALSE),VLOOKUP(tables_581010!C176,input_581010!A:H,8,FALSE))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input_581010!A$2</f>
        <v>581010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IFERROR(VLOOKUP(B177,input_581010!L:R,7,FALSE),VLOOKUP(tables_581010!C177,input_581010!A:H,8,FALSE))</f>
        <v>94666.666670000006</v>
      </c>
      <c r="P177" s="46">
        <f t="shared" ca="1" si="7"/>
        <v>6.9444444446899905E-4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input_581010!A$2</f>
        <v>581010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IFERROR(VLOOKUP(B178,input_581010!L:R,7,FALSE),VLOOKUP(tables_581010!C178,input_581010!A:H,8,FALSE))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input_581010!A$2</f>
        <v>581010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IFERROR(VLOOKUP(B179,input_581010!L:R,7,FALSE),VLOOKUP(tables_581010!C179,input_581010!A:H,8,FALSE))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input_581010!A$2</f>
        <v>581010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IFERROR(VLOOKUP(B180,input_581010!L:R,7,FALSE),VLOOKUP(tables_581010!C180,input_581010!A:H,8,FALSE))</f>
        <v>1579054.9193200001</v>
      </c>
      <c r="P180" s="46">
        <f t="shared" ca="1" si="7"/>
        <v>1.1583442776703586E-2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input_581010!A$2</f>
        <v>581010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IFERROR(VLOOKUP(B181,input_581010!L:R,7,FALSE),VLOOKUP(tables_581010!C181,input_581010!A:H,8,FALSE))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input_581010!A$2</f>
        <v>581010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IFERROR(VLOOKUP(B182,input_581010!L:R,7,FALSE),VLOOKUP(tables_581010!C182,input_581010!A:H,8,FALSE))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input_581010!A$2</f>
        <v>581010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IFERROR(VLOOKUP(B183,input_581010!L:R,7,FALSE),VLOOKUP(tables_581010!C183,input_581010!A:H,8,FALSE))</f>
        <v>1579054.9193200001</v>
      </c>
      <c r="P183" s="46">
        <f t="shared" ca="1" si="7"/>
        <v>1.1583442776703586E-2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input_581010!A$2</f>
        <v>581010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IFERROR(VLOOKUP(B184,input_581010!L:R,7,FALSE),VLOOKUP(tables_581010!C184,input_581010!A:H,8,FALSE))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input_581010!A$2</f>
        <v>581010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IFERROR(VLOOKUP(B185,input_581010!L:R,7,FALSE),VLOOKUP(tables_581010!C185,input_581010!A:H,8,FALSE))</f>
        <v>94666.666670000006</v>
      </c>
      <c r="P185" s="46">
        <f t="shared" ca="1" si="7"/>
        <v>6.9444444446899905E-4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input_581010!A$2</f>
        <v>581010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IFERROR(VLOOKUP(B186,input_581010!L:R,7,FALSE),VLOOKUP(tables_581010!C186,input_581010!A:H,8,FALSE))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input_581010!A$2</f>
        <v>581010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IFERROR(VLOOKUP(B187,input_581010!L:R,7,FALSE),VLOOKUP(tables_581010!C187,input_581010!A:H,8,FALSE))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input_581010!A$2</f>
        <v>581010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IFERROR(VLOOKUP(B188,input_581010!L:R,7,FALSE),VLOOKUP(tables_581010!C188,input_581010!A:H,8,FALSE))</f>
        <v>1579054.9193200001</v>
      </c>
      <c r="P188" s="46">
        <f t="shared" ca="1" si="7"/>
        <v>1.1583442776703586E-2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input_581010!A$2</f>
        <v>581010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IFERROR(VLOOKUP(B189,input_581010!L:R,7,FALSE),VLOOKUP(tables_581010!C189,input_581010!A:H,8,FALSE))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input_581010!A$2</f>
        <v>581010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IFERROR(VLOOKUP(B190,input_581010!L:R,7,FALSE),VLOOKUP(tables_581010!C190,input_581010!A:H,8,FALSE))</f>
        <v>94666.666670000006</v>
      </c>
      <c r="P190" s="46">
        <f t="shared" ca="1" si="7"/>
        <v>6.9444444446899905E-4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input_581010!A$2</f>
        <v>581010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IFERROR(VLOOKUP(B191,input_581010!L:R,7,FALSE),VLOOKUP(tables_581010!C191,input_581010!A:H,8,FALSE))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input_581010!A$2</f>
        <v>581010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IFERROR(VLOOKUP(B192,input_581010!L:R,7,FALSE),VLOOKUP(tables_581010!C192,input_581010!A:H,8,FALSE))</f>
        <v>94666.666670000006</v>
      </c>
      <c r="P192" s="46">
        <f t="shared" ca="1" si="7"/>
        <v>6.9444444446899905E-4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input_581010!A$2</f>
        <v>581010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IFERROR(VLOOKUP(B193,input_581010!L:R,7,FALSE),VLOOKUP(tables_581010!C193,input_581010!A:H,8,FALSE))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input_581010!A$2</f>
        <v>581010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IFERROR(VLOOKUP(B194,input_581010!L:R,7,FALSE),VLOOKUP(tables_581010!C194,input_581010!A:H,8,FALSE))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input_581010!A$2</f>
        <v>581010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IFERROR(VLOOKUP(B195,input_581010!L:R,7,FALSE),VLOOKUP(tables_581010!C195,input_581010!A:H,8,FALSE))</f>
        <v>1579054.9193200001</v>
      </c>
      <c r="P195" s="46">
        <f t="shared" ca="1" si="10"/>
        <v>1.1583442776703586E-2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input_581010!A$2</f>
        <v>581010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IFERROR(VLOOKUP(B196,input_581010!L:R,7,FALSE),VLOOKUP(tables_581010!C196,input_581010!A:H,8,FALSE))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input_581010!A$2</f>
        <v>581010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IFERROR(VLOOKUP(B197,input_581010!L:R,7,FALSE),VLOOKUP(tables_581010!C197,input_581010!A:H,8,FALSE))</f>
        <v>94666.666670000006</v>
      </c>
      <c r="P197" s="46">
        <f t="shared" ca="1" si="10"/>
        <v>6.9444444446899905E-4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input_581010!A$2</f>
        <v>581010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IFERROR(VLOOKUP(B198,input_581010!L:R,7,FALSE),VLOOKUP(tables_581010!C198,input_581010!A:H,8,FALSE))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input_581010!A$2</f>
        <v>581010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IFERROR(VLOOKUP(B199,input_581010!L:R,7,FALSE),VLOOKUP(tables_581010!C199,input_581010!A:H,8,FALSE))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input_581010!A$2</f>
        <v>581010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IFERROR(VLOOKUP(B200,input_581010!L:R,7,FALSE),VLOOKUP(tables_581010!C200,input_581010!A:H,8,FALSE))</f>
        <v>1579054.9193200001</v>
      </c>
      <c r="P200" s="46">
        <f t="shared" ca="1" si="10"/>
        <v>1.1583442776703586E-2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input_581010!A$2</f>
        <v>581010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IFERROR(VLOOKUP(B201,input_581010!L:R,7,FALSE),VLOOKUP(tables_581010!C201,input_581010!A:H,8,FALSE))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input_581010!A$2</f>
        <v>581010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IFERROR(VLOOKUP(B202,input_581010!L:R,7,FALSE),VLOOKUP(tables_581010!C202,input_581010!A:H,8,FALSE))</f>
        <v>94666.666670000006</v>
      </c>
      <c r="P202" s="46">
        <f t="shared" ca="1" si="10"/>
        <v>6.9444444446899905E-4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input_581010!A$2</f>
        <v>581010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IFERROR(VLOOKUP(B203,input_581010!L:R,7,FALSE),VLOOKUP(tables_581010!C203,input_581010!A:H,8,FALSE))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input_581010!A$2</f>
        <v>581010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IFERROR(VLOOKUP(B204,input_581010!L:R,7,FALSE),VLOOKUP(tables_581010!C204,input_581010!A:H,8,FALSE))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input_581010!A$2</f>
        <v>581010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IFERROR(VLOOKUP(B205,input_581010!L:R,7,FALSE),VLOOKUP(tables_581010!C205,input_581010!A:H,8,FALSE))</f>
        <v>1579054.9193200001</v>
      </c>
      <c r="P205" s="46">
        <f t="shared" ca="1" si="10"/>
        <v>1.1583442776703586E-2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input_581010!A$2</f>
        <v>581010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IFERROR(VLOOKUP(B206,input_581010!L:R,7,FALSE),VLOOKUP(tables_581010!C206,input_581010!A:H,8,FALSE))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input_581010!A$2</f>
        <v>581010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IFERROR(VLOOKUP(B207,input_581010!L:R,7,FALSE),VLOOKUP(tables_581010!C207,input_581010!A:H,8,FALSE))</f>
        <v>94666.666670000006</v>
      </c>
      <c r="P207" s="46">
        <f t="shared" ca="1" si="10"/>
        <v>6.9444444446899905E-4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input_581010!A$2</f>
        <v>581010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IFERROR(VLOOKUP(B208,input_581010!L:R,7,FALSE),VLOOKUP(tables_581010!C208,input_581010!A:H,8,FALSE))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input_581010!A$2</f>
        <v>581010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IFERROR(VLOOKUP(B209,input_581010!L:R,7,FALSE),VLOOKUP(tables_581010!C209,input_581010!A:H,8,FALSE))</f>
        <v>94666.666670000006</v>
      </c>
      <c r="P209" s="46">
        <f t="shared" ca="1" si="10"/>
        <v>6.9444444446899905E-4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input_581010!A$2</f>
        <v>581010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IFERROR(VLOOKUP(B210,input_581010!L:R,7,FALSE),VLOOKUP(tables_581010!C210,input_581010!A:H,8,FALSE))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input_581010!A$2</f>
        <v>581010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IFERROR(VLOOKUP(B211,input_581010!L:R,7,FALSE),VLOOKUP(tables_581010!C211,input_581010!A:H,8,FALSE))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input_581010!A$2</f>
        <v>581010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IFERROR(VLOOKUP(B212,input_581010!L:R,7,FALSE),VLOOKUP(tables_581010!C212,input_581010!A:H,8,FALSE))</f>
        <v>1579054.9193200001</v>
      </c>
      <c r="P212" s="46">
        <f t="shared" ca="1" si="10"/>
        <v>1.1583442776703586E-2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input_581010!A$2</f>
        <v>581010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IFERROR(VLOOKUP(B213,input_581010!L:R,7,FALSE),VLOOKUP(tables_581010!C213,input_581010!A:H,8,FALSE))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input_581010!A$2</f>
        <v>581010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IFERROR(VLOOKUP(B214,input_581010!L:R,7,FALSE),VLOOKUP(tables_581010!C214,input_581010!A:H,8,FALSE))</f>
        <v>94666.666670000006</v>
      </c>
      <c r="P214" s="46">
        <f t="shared" ca="1" si="10"/>
        <v>6.9444444446899905E-4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input_581010!A$2</f>
        <v>581010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IFERROR(VLOOKUP(B215,input_581010!L:R,7,FALSE),VLOOKUP(tables_581010!C215,input_581010!A:H,8,FALSE))</f>
        <v>1579317.07317</v>
      </c>
      <c r="P215" s="46">
        <f t="shared" ca="1" si="10"/>
        <v>1.1585365853654876E-2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input_581010!A$2</f>
        <v>581010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IFERROR(VLOOKUP(B216,input_581010!L:R,7,FALSE),VLOOKUP(tables_581010!C216,input_581010!A:H,8,FALSE))</f>
        <v>1579317.07317</v>
      </c>
      <c r="P216" s="46">
        <f t="shared" ca="1" si="10"/>
        <v>1.1585365853654876E-2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input_581010!A$2</f>
        <v>581010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IFERROR(VLOOKUP(B217,input_581010!L:R,7,FALSE),VLOOKUP(tables_581010!C217,input_581010!A:H,8,FALSE))</f>
        <v>1579317.07317</v>
      </c>
      <c r="P217" s="46">
        <f t="shared" ca="1" si="10"/>
        <v>1.1585365853654876E-2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input_581010!A$2</f>
        <v>581010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IFERROR(VLOOKUP(B218,input_581010!L:R,7,FALSE),VLOOKUP(tables_581010!C218,input_581010!A:H,8,FALSE))</f>
        <v>1579317.07317</v>
      </c>
      <c r="P218" s="46">
        <f t="shared" ca="1" si="10"/>
        <v>1.1585365853654876E-2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input_581010!A$2</f>
        <v>581010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IFERROR(VLOOKUP(B219,input_581010!L:R,7,FALSE),VLOOKUP(tables_581010!C219,input_581010!A:H,8,FALSE))</f>
        <v>1579317.07317</v>
      </c>
      <c r="P219" s="46">
        <f t="shared" ca="1" si="10"/>
        <v>1.1585365853654876E-2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input_581010!A$2</f>
        <v>581010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IFERROR(VLOOKUP(B220,input_581010!L:R,7,FALSE),VLOOKUP(tables_581010!C220,input_581010!A:H,8,FALSE))</f>
        <v>1579317.07317</v>
      </c>
      <c r="P220" s="46">
        <f t="shared" ca="1" si="10"/>
        <v>1.1585365853654876E-2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input_581010!A$2</f>
        <v>581010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IFERROR(VLOOKUP(B221,input_581010!L:R,7,FALSE),VLOOKUP(tables_581010!C221,input_581010!A:H,8,FALSE))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input_581010!A$2</f>
        <v>581010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IFERROR(VLOOKUP(B222,input_581010!L:R,7,FALSE),VLOOKUP(tables_581010!C222,input_581010!A:H,8,FALSE))</f>
        <v>94666.666670000006</v>
      </c>
      <c r="P222" s="46">
        <f t="shared" ca="1" si="10"/>
        <v>6.9444444446899905E-4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input_581010!A$2</f>
        <v>581010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IFERROR(VLOOKUP(B223,input_581010!L:R,7,FALSE),VLOOKUP(tables_581010!C223,input_581010!A:H,8,FALSE))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input_581010!A$2</f>
        <v>581010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IFERROR(VLOOKUP(B224,input_581010!L:R,7,FALSE),VLOOKUP(tables_581010!C224,input_581010!A:H,8,FALSE))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input_581010!A$2</f>
        <v>581010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IFERROR(VLOOKUP(B225,input_581010!L:R,7,FALSE),VLOOKUP(tables_581010!C225,input_581010!A:H,8,FALSE))</f>
        <v>1579054.9193200001</v>
      </c>
      <c r="P225" s="46">
        <f t="shared" ca="1" si="10"/>
        <v>1.1583442776703586E-2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input_581010!A$2</f>
        <v>581010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IFERROR(VLOOKUP(B226,input_581010!L:R,7,FALSE),VLOOKUP(tables_581010!C226,input_581010!A:H,8,FALSE))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input_581010!A$2</f>
        <v>581010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IFERROR(VLOOKUP(B227,input_581010!L:R,7,FALSE),VLOOKUP(tables_581010!C227,input_581010!A:H,8,FALSE))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input_581010!A$2</f>
        <v>581010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IFERROR(VLOOKUP(B228,input_581010!L:R,7,FALSE),VLOOKUP(tables_581010!C228,input_581010!A:H,8,FALSE))</f>
        <v>1579054.9193200001</v>
      </c>
      <c r="P228" s="46">
        <f t="shared" ca="1" si="10"/>
        <v>1.1583442776703586E-2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input_581010!A$2</f>
        <v>581010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IFERROR(VLOOKUP(B229,input_581010!L:R,7,FALSE),VLOOKUP(tables_581010!C229,input_581010!A:H,8,FALSE))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input_581010!A$2</f>
        <v>581010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IFERROR(VLOOKUP(B230,input_581010!L:R,7,FALSE),VLOOKUP(tables_581010!C230,input_581010!A:H,8,FALSE))</f>
        <v>94666.666670000006</v>
      </c>
      <c r="P230" s="46">
        <f t="shared" ca="1" si="10"/>
        <v>6.9444444446899905E-4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input_581010!A$2</f>
        <v>581010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IFERROR(VLOOKUP(B231,input_581010!L:R,7,FALSE),VLOOKUP(tables_581010!C231,input_581010!A:H,8,FALSE))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input_581010!A$2</f>
        <v>581010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IFERROR(VLOOKUP(B232,input_581010!L:R,7,FALSE),VLOOKUP(tables_581010!C232,input_581010!A:H,8,FALSE))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input_581010!A$2</f>
        <v>581010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IFERROR(VLOOKUP(B233,input_581010!L:R,7,FALSE),VLOOKUP(tables_581010!C233,input_581010!A:H,8,FALSE))</f>
        <v>1579054.9193200001</v>
      </c>
      <c r="P233" s="46">
        <f t="shared" ca="1" si="10"/>
        <v>1.1583442776703586E-2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input_581010!A$2</f>
        <v>581010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IFERROR(VLOOKUP(B234,input_581010!L:R,7,FALSE),VLOOKUP(tables_581010!C234,input_581010!A:H,8,FALSE))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input_581010!A$2</f>
        <v>581010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IFERROR(VLOOKUP(B235,input_581010!L:R,7,FALSE),VLOOKUP(tables_581010!C235,input_581010!A:H,8,FALSE))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input_581010!A$2</f>
        <v>581010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IFERROR(VLOOKUP(B236,input_581010!L:R,7,FALSE),VLOOKUP(tables_581010!C236,input_581010!A:H,8,FALSE))</f>
        <v>1579054.9193200001</v>
      </c>
      <c r="P236" s="46">
        <f t="shared" ca="1" si="10"/>
        <v>1.1583442776703586E-2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input_581010!A$2</f>
        <v>581010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IFERROR(VLOOKUP(B237,input_581010!L:R,7,FALSE),VLOOKUP(tables_581010!C237,input_581010!A:H,8,FALSE))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input_581010!A$2</f>
        <v>581010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IFERROR(VLOOKUP(B238,input_581010!L:R,7,FALSE),VLOOKUP(tables_581010!C238,input_581010!A:H,8,FALSE))</f>
        <v>94666.666670000006</v>
      </c>
      <c r="P238" s="46">
        <f t="shared" ca="1" si="10"/>
        <v>6.9444444446899905E-4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input_581010!A$2</f>
        <v>581010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IFERROR(VLOOKUP(B239,input_581010!L:R,7,FALSE),VLOOKUP(tables_581010!C239,input_581010!A:H,8,FALSE))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input_581010!A$2</f>
        <v>581010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IFERROR(VLOOKUP(B240,input_581010!L:R,7,FALSE),VLOOKUP(tables_581010!C240,input_581010!A:H,8,FALSE))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input_581010!A$2</f>
        <v>581010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IFERROR(VLOOKUP(B241,input_581010!L:R,7,FALSE),VLOOKUP(tables_581010!C241,input_581010!A:H,8,FALSE))</f>
        <v>1579054.9193200001</v>
      </c>
      <c r="P241" s="46">
        <f t="shared" ca="1" si="10"/>
        <v>1.1583442776703586E-2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input_581010!A$2</f>
        <v>581010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IFERROR(VLOOKUP(B242,input_581010!L:R,7,FALSE),VLOOKUP(tables_581010!C242,input_581010!A:H,8,FALSE))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input_581010!A$2</f>
        <v>581010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IFERROR(VLOOKUP(B243,input_581010!L:R,7,FALSE),VLOOKUP(tables_581010!C243,input_581010!A:H,8,FALSE))</f>
        <v>94666.666670000006</v>
      </c>
      <c r="P243" s="46">
        <f t="shared" ca="1" si="10"/>
        <v>6.9444444446899905E-4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input_581010!A$2</f>
        <v>581010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IFERROR(VLOOKUP(B244,input_581010!L:R,7,FALSE),VLOOKUP(tables_581010!C244,input_581010!A:H,8,FALSE))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input_581010!A$2</f>
        <v>581010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IFERROR(VLOOKUP(B245,input_581010!L:R,7,FALSE),VLOOKUP(tables_581010!C245,input_581010!A:H,8,FALSE))</f>
        <v>94666.666670000006</v>
      </c>
      <c r="P245" s="46">
        <f t="shared" ca="1" si="10"/>
        <v>6.9444444446899905E-4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input_581010!A$2</f>
        <v>581010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IFERROR(VLOOKUP(B246,input_581010!L:R,7,FALSE),VLOOKUP(tables_581010!C246,input_581010!A:H,8,FALSE))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input_581010!A$2</f>
        <v>581010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IFERROR(VLOOKUP(B247,input_581010!L:R,7,FALSE),VLOOKUP(tables_581010!C247,input_581010!A:H,8,FALSE))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input_581010!A$2</f>
        <v>581010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IFERROR(VLOOKUP(B248,input_581010!L:R,7,FALSE),VLOOKUP(tables_581010!C248,input_581010!A:H,8,FALSE))</f>
        <v>1579054.9193200001</v>
      </c>
      <c r="P248" s="46">
        <f t="shared" ca="1" si="10"/>
        <v>1.1583442776703586E-2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input_581010!A$2</f>
        <v>581010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IFERROR(VLOOKUP(B249,input_581010!L:R,7,FALSE),VLOOKUP(tables_581010!C249,input_581010!A:H,8,FALSE))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input_581010!A$2</f>
        <v>581010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IFERROR(VLOOKUP(B250,input_581010!L:R,7,FALSE),VLOOKUP(tables_581010!C250,input_581010!A:H,8,FALSE))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input_581010!A$2</f>
        <v>581010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IFERROR(VLOOKUP(B251,input_581010!L:R,7,FALSE),VLOOKUP(tables_581010!C251,input_581010!A:H,8,FALSE))</f>
        <v>1579054.9193200001</v>
      </c>
      <c r="P251" s="46">
        <f t="shared" ca="1" si="10"/>
        <v>1.1583442776703586E-2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input_581010!A$2</f>
        <v>581010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IFERROR(VLOOKUP(B252,input_581010!L:R,7,FALSE),VLOOKUP(tables_581010!C252,input_581010!A:H,8,FALSE))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input_581010!A$2</f>
        <v>581010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IFERROR(VLOOKUP(B253,input_581010!L:R,7,FALSE),VLOOKUP(tables_581010!C253,input_581010!A:H,8,FALSE))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input_581010!A$2</f>
        <v>581010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IFERROR(VLOOKUP(B254,input_581010!L:R,7,FALSE),VLOOKUP(tables_581010!C254,input_581010!A:H,8,FALSE))</f>
        <v>1579054.9193200001</v>
      </c>
      <c r="P254" s="46">
        <f t="shared" ca="1" si="10"/>
        <v>1.1583442776703586E-2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input_581010!A$2</f>
        <v>581010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IFERROR(VLOOKUP(B255,input_581010!L:R,7,FALSE),VLOOKUP(tables_581010!C255,input_581010!A:H,8,FALSE))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input_581010!A$2</f>
        <v>581010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IFERROR(VLOOKUP(B256,input_581010!L:R,7,FALSE),VLOOKUP(tables_581010!C256,input_581010!A:H,8,FALSE))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input_581010!A$2</f>
        <v>581010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IFERROR(VLOOKUP(B257,input_581010!L:R,7,FALSE),VLOOKUP(tables_581010!C257,input_581010!A:H,8,FALSE))</f>
        <v>1579054.9193200001</v>
      </c>
      <c r="P257" s="46">
        <f t="shared" ca="1" si="10"/>
        <v>1.1583442776703586E-2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input_581010!A$2</f>
        <v>581010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IFERROR(VLOOKUP(B258,input_581010!L:R,7,FALSE),VLOOKUP(tables_581010!C258,input_581010!A:H,8,FALSE))</f>
        <v>0</v>
      </c>
      <c r="P258" s="46">
        <f t="shared" ref="P258:P294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input_581010!A$2</f>
        <v>581010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IFERROR(VLOOKUP(B259,input_581010!L:R,7,FALSE),VLOOKUP(tables_581010!C259,input_581010!A:H,8,FALSE))</f>
        <v>94666.666670000006</v>
      </c>
      <c r="P259" s="46">
        <f t="shared" ca="1" si="13"/>
        <v>6.9444444446899905E-4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input_581010!A$2</f>
        <v>581010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IFERROR(VLOOKUP(B260,input_581010!L:R,7,FALSE),VLOOKUP(tables_581010!C260,input_581010!A:H,8,FALSE))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input_581010!A$2</f>
        <v>581010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IFERROR(VLOOKUP(B261,input_581010!L:R,7,FALSE),VLOOKUP(tables_581010!C261,input_581010!A:H,8,FALSE))</f>
        <v>94666.666670000006</v>
      </c>
      <c r="P261" s="46">
        <f t="shared" ca="1" si="13"/>
        <v>6.9444444446899905E-4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input_581010!A$2</f>
        <v>581010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IFERROR(VLOOKUP(B262,input_581010!L:R,7,FALSE),VLOOKUP(tables_581010!C262,input_581010!A:H,8,FALSE))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input_581010!A$2</f>
        <v>581010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IFERROR(VLOOKUP(B263,input_581010!L:R,7,FALSE),VLOOKUP(tables_581010!C263,input_581010!A:H,8,FALSE))</f>
        <v>1579317.07317</v>
      </c>
      <c r="P263" s="46">
        <f t="shared" ca="1" si="13"/>
        <v>1.1585365853654876E-2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input_581010!A$2</f>
        <v>581010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IFERROR(VLOOKUP(B264,input_581010!L:R,7,FALSE),VLOOKUP(tables_581010!C264,input_581010!A:H,8,FALSE))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input_581010!A$2</f>
        <v>581010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IFERROR(VLOOKUP(B265,input_581010!L:R,7,FALSE),VLOOKUP(tables_581010!C265,input_581010!A:H,8,FALSE))</f>
        <v>1579317.07317</v>
      </c>
      <c r="P265" s="46">
        <f t="shared" ca="1" si="13"/>
        <v>1.1585365853654876E-2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input_581010!A$2</f>
        <v>581010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IFERROR(VLOOKUP(B266,input_581010!L:R,7,FALSE),VLOOKUP(tables_581010!C266,input_581010!A:H,8,FALSE))</f>
        <v>94666.666670000006</v>
      </c>
      <c r="P266" s="46">
        <f t="shared" ca="1" si="13"/>
        <v>6.9444444446899905E-4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input_581010!A$2</f>
        <v>581010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IFERROR(VLOOKUP(B267,input_581010!L:R,7,FALSE),VLOOKUP(tables_581010!C267,input_581010!A:H,8,FALSE))</f>
        <v>94666.666670000006</v>
      </c>
      <c r="P267" s="46">
        <f t="shared" ca="1" si="13"/>
        <v>6.9444444446899905E-4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input_581010!A$2</f>
        <v>581010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IFERROR(VLOOKUP(B268,input_581010!L:R,7,FALSE),VLOOKUP(tables_581010!C268,input_581010!A:H,8,FALSE))</f>
        <v>94666.666670000006</v>
      </c>
      <c r="P268" s="46">
        <f t="shared" ca="1" si="13"/>
        <v>6.9444444446899905E-4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input_581010!A$2</f>
        <v>581010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IFERROR(VLOOKUP(B269,input_581010!L:R,7,FALSE),VLOOKUP(tables_581010!C269,input_581010!A:H,8,FALSE))</f>
        <v>94666.666670000006</v>
      </c>
      <c r="P269" s="46">
        <f t="shared" ca="1" si="13"/>
        <v>6.9444444446899905E-4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input_581010!A$2</f>
        <v>581010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IFERROR(VLOOKUP(B270,input_581010!L:R,7,FALSE),VLOOKUP(tables_581010!C270,input_581010!A:H,8,FALSE))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input_581010!A$2</f>
        <v>581010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IFERROR(VLOOKUP(B271,input_581010!L:R,7,FALSE),VLOOKUP(tables_581010!C271,input_581010!A:H,8,FALSE))</f>
        <v>1579317.07317</v>
      </c>
      <c r="P271" s="46">
        <f t="shared" ca="1" si="13"/>
        <v>1.1585365853654876E-2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input_581010!A$2</f>
        <v>581010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IFERROR(VLOOKUP(B272,input_581010!L:R,7,FALSE),VLOOKUP(tables_581010!C272,input_581010!A:H,8,FALSE))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input_581010!A$2</f>
        <v>581010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IFERROR(VLOOKUP(B273,input_581010!L:R,7,FALSE),VLOOKUP(tables_581010!C273,input_581010!A:H,8,FALSE))</f>
        <v>1579317.07317</v>
      </c>
      <c r="P273" s="46">
        <f t="shared" ca="1" si="13"/>
        <v>1.1585365853654876E-2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input_581010!A$2</f>
        <v>581010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IFERROR(VLOOKUP(B274,input_581010!L:R,7,FALSE),VLOOKUP(tables_581010!C274,input_581010!A:H,8,FALSE))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input_581010!A$2</f>
        <v>581010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IFERROR(VLOOKUP(B275,input_581010!L:R,7,FALSE),VLOOKUP(tables_581010!C275,input_581010!A:H,8,FALSE))</f>
        <v>94666.666670000006</v>
      </c>
      <c r="P275" s="46">
        <f t="shared" ca="1" si="13"/>
        <v>6.9444444446899905E-4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input_581010!A$2</f>
        <v>581010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IFERROR(VLOOKUP(B276,input_581010!L:R,7,FALSE),VLOOKUP(tables_581010!C276,input_581010!A:H,8,FALSE))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input_581010!A$2</f>
        <v>581010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IFERROR(VLOOKUP(B277,input_581010!L:R,7,FALSE),VLOOKUP(tables_581010!C277,input_581010!A:H,8,FALSE))</f>
        <v>94666.666670000006</v>
      </c>
      <c r="P277" s="46">
        <f t="shared" ca="1" si="13"/>
        <v>6.9444444446899905E-4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input_581010!A$2</f>
        <v>581010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IFERROR(VLOOKUP(B278,input_581010!L:R,7,FALSE),VLOOKUP(tables_581010!C278,input_581010!A:H,8,FALSE))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input_581010!A$2</f>
        <v>581010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IFERROR(VLOOKUP(B279,input_581010!L:R,7,FALSE),VLOOKUP(tables_581010!C279,input_581010!A:H,8,FALSE))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input_581010!A$2</f>
        <v>581010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IFERROR(VLOOKUP(B280,input_581010!L:R,7,FALSE),VLOOKUP(tables_581010!C280,input_581010!A:H,8,FALSE))</f>
        <v>1579054.9193200001</v>
      </c>
      <c r="P280" s="46">
        <f t="shared" ca="1" si="13"/>
        <v>1.1583442776703586E-2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input_581010!A$2</f>
        <v>581010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IFERROR(VLOOKUP(B281,input_581010!L:R,7,FALSE),VLOOKUP(tables_581010!C281,input_581010!A:H,8,FALSE))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input_581010!A$2</f>
        <v>581010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IFERROR(VLOOKUP(B282,input_581010!L:R,7,FALSE),VLOOKUP(tables_581010!C282,input_581010!A:H,8,FALSE))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input_581010!A$2</f>
        <v>581010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IFERROR(VLOOKUP(B283,input_581010!L:R,7,FALSE),VLOOKUP(tables_581010!C283,input_581010!A:H,8,FALSE))</f>
        <v>1579054.9193200001</v>
      </c>
      <c r="P283" s="46">
        <f t="shared" ca="1" si="13"/>
        <v>1.1583442776703586E-2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input_581010!A$2</f>
        <v>581010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IFERROR(VLOOKUP(B284,input_581010!L:R,7,FALSE),VLOOKUP(tables_581010!C284,input_581010!A:H,8,FALSE))</f>
        <v>94666.666670000006</v>
      </c>
      <c r="P284" s="46">
        <f t="shared" ca="1" si="13"/>
        <v>6.9444444446899905E-4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input_581010!A$2</f>
        <v>581010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IFERROR(VLOOKUP(B285,input_581010!L:R,7,FALSE),VLOOKUP(tables_581010!C285,input_581010!A:H,8,FALSE))</f>
        <v>94666.666670000006</v>
      </c>
      <c r="P285" s="46">
        <f t="shared" ca="1" si="13"/>
        <v>6.9444444446899905E-4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input_581010!A$2</f>
        <v>581010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IFERROR(VLOOKUP(B286,input_581010!L:R,7,FALSE),VLOOKUP(tables_581010!C286,input_581010!A:H,8,FALSE))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input_581010!A$2</f>
        <v>581010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IFERROR(VLOOKUP(B287,input_581010!L:R,7,FALSE),VLOOKUP(tables_581010!C287,input_581010!A:H,8,FALSE))</f>
        <v>1579317.07317</v>
      </c>
      <c r="P287" s="46">
        <f t="shared" ca="1" si="13"/>
        <v>1.1585365853654876E-2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input_581010!A$2</f>
        <v>581010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IFERROR(VLOOKUP(B288,input_581010!L:R,7,FALSE),VLOOKUP(tables_581010!C288,input_581010!A:H,8,FALSE))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input_581010!A$2</f>
        <v>581010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IFERROR(VLOOKUP(B289,input_581010!L:R,7,FALSE),VLOOKUP(tables_581010!C289,input_581010!A:H,8,FALSE))</f>
        <v>1579317.07317</v>
      </c>
      <c r="P289" s="46">
        <f t="shared" ca="1" si="13"/>
        <v>1.1585365853654876E-2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input_581010!A$2</f>
        <v>581010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IFERROR(VLOOKUP(B290,input_581010!L:R,7,FALSE),VLOOKUP(tables_581010!C290,input_581010!A:H,8,FALSE))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input_581010!A$2</f>
        <v>581010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IFERROR(VLOOKUP(B291,input_581010!L:R,7,FALSE),VLOOKUP(tables_581010!C291,input_581010!A:H,8,FALSE))</f>
        <v>1579317.07317</v>
      </c>
      <c r="P291" s="46">
        <f t="shared" ca="1" si="13"/>
        <v>1.1585365853654876E-2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input_581010!A$2</f>
        <v>581010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IFERROR(VLOOKUP(B292,input_581010!L:R,7,FALSE),VLOOKUP(tables_581010!C292,input_581010!A:H,8,FALSE))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input_581010!A$2</f>
        <v>581010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IFERROR(VLOOKUP(B293,input_581010!L:R,7,FALSE),VLOOKUP(tables_581010!C293,input_581010!A:H,8,FALSE))</f>
        <v>1579317.07317</v>
      </c>
      <c r="P293" s="46">
        <f t="shared" ca="1" si="13"/>
        <v>1.1585365853654876E-2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input_581010!A$2</f>
        <v>581010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IFERROR(VLOOKUP(B294,input_581010!L:R,7,FALSE),VLOOKUP(tables_581010!C294,input_581010!A:H,8,FALSE))</f>
        <v>94666.666670000006</v>
      </c>
      <c r="P294" s="46">
        <f t="shared" ca="1" si="13"/>
        <v>6.9444444446899905E-4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input_581010!A$2</f>
        <v>581010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IFERROR(VLOOKUP(B295,input_581010!L:R,7,FALSE),VLOOKUP(tables_581010!C295,input_581010!A:H,8,FALSE))</f>
        <v>94666.666670000006</v>
      </c>
      <c r="P295" s="46">
        <f t="shared" ref="P295:P299" ca="1" si="20">O295/SUM(O:O)</f>
        <v>6.9444444446899905E-4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input_581010!A$2</f>
        <v>581010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IFERROR(VLOOKUP(B296,input_581010!L:R,7,FALSE),VLOOKUP(tables_581010!C296,input_581010!A:H,8,FALSE))</f>
        <v>94666.666670000006</v>
      </c>
      <c r="P296" s="46">
        <f t="shared" ca="1" si="20"/>
        <v>6.9444444446899905E-4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input_581010!A$2</f>
        <v>581010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IFERROR(VLOOKUP(B297,input_581010!L:R,7,FALSE),VLOOKUP(tables_581010!C297,input_581010!A:H,8,FALSE))</f>
        <v>0</v>
      </c>
      <c r="P297" s="46">
        <f t="shared" ca="1" si="20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input_581010!A$2</f>
        <v>581010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IFERROR(VLOOKUP(B298,input_581010!L:R,7,FALSE),VLOOKUP(tables_581010!C298,input_581010!A:H,8,FALSE))</f>
        <v>1579317.07317</v>
      </c>
      <c r="P298" s="46">
        <f t="shared" ca="1" si="20"/>
        <v>1.1585365853654876E-2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input_581010!A$2</f>
        <v>581010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IFERROR(VLOOKUP(B299,input_581010!L:R,7,FALSE),VLOOKUP(tables_581010!C299,input_581010!A:H,8,FALSE))</f>
        <v>94666.666670000006</v>
      </c>
      <c r="P299" s="46">
        <f t="shared" ca="1" si="20"/>
        <v>6.9444444446899905E-4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input_581010!A$2</f>
        <v>581010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IFERROR(VLOOKUP(B300,input_581010!L:R,7,FALSE),VLOOKUP(tables_581010!C300,input_581010!A:H,8,FALSE))</f>
        <v>94666.666670000006</v>
      </c>
      <c r="P300" s="46">
        <f t="shared" ref="P300:P304" ca="1" si="22">O300/SUM(O:O)</f>
        <v>6.9444444446899905E-4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input_581010!A$2</f>
        <v>581010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IFERROR(VLOOKUP(B301,input_581010!L:R,7,FALSE),VLOOKUP(tables_581010!C301,input_581010!A:H,8,FALSE))</f>
        <v>94666.666670000006</v>
      </c>
      <c r="P301" s="46">
        <f t="shared" ca="1" si="22"/>
        <v>6.9444444446899905E-4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input_581010!A$2</f>
        <v>581010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IFERROR(VLOOKUP(B302,input_581010!L:R,7,FALSE),VLOOKUP(tables_581010!C302,input_581010!A:H,8,FALSE))</f>
        <v>94666.666670000006</v>
      </c>
      <c r="P302" s="46">
        <f t="shared" ca="1" si="22"/>
        <v>6.9444444446899905E-4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input_581010!A$2</f>
        <v>581010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IFERROR(VLOOKUP(B303,input_581010!L:R,7,FALSE),VLOOKUP(tables_581010!C303,input_581010!A:H,8,FALSE))</f>
        <v>0</v>
      </c>
      <c r="P303" s="46">
        <f t="shared" ca="1" si="22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input_581010!A$2</f>
        <v>581010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IFERROR(VLOOKUP(B304,input_581010!L:R,7,FALSE),VLOOKUP(tables_581010!C304,input_581010!A:H,8,FALSE))</f>
        <v>1579317.07317</v>
      </c>
      <c r="P304" s="46">
        <f t="shared" ca="1" si="22"/>
        <v>1.1585365853654876E-2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input_581010!A$2</f>
        <v>581010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IFERROR(VLOOKUP(B305,input_581010!L:R,7,FALSE),VLOOKUP(tables_581010!C305,input_581010!A:H,8,FALSE))</f>
        <v>94666.666670000006</v>
      </c>
      <c r="P305" s="46">
        <f t="shared" ref="P305:P308" ca="1" si="24">O305/SUM(O:O)</f>
        <v>6.9444444446899905E-4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input_581010!A$2</f>
        <v>581010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IFERROR(VLOOKUP(B306,input_581010!L:R,7,FALSE),VLOOKUP(tables_581010!C306,input_581010!A:H,8,FALSE))</f>
        <v>0</v>
      </c>
      <c r="P306" s="46">
        <f t="shared" ca="1" si="24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input_581010!A$2</f>
        <v>581010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IFERROR(VLOOKUP(B307,input_581010!L:R,7,FALSE),VLOOKUP(tables_581010!C307,input_581010!A:H,8,FALSE))</f>
        <v>1579317.07317</v>
      </c>
      <c r="P307" s="46">
        <f t="shared" ca="1" si="24"/>
        <v>1.1585365853654876E-2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input_581010!A$2</f>
        <v>581010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IFERROR(VLOOKUP(B308,input_581010!L:R,7,FALSE),VLOOKUP(tables_581010!C308,input_581010!A:H,8,FALSE))</f>
        <v>94666.666670000006</v>
      </c>
      <c r="P308" s="46">
        <f t="shared" ca="1" si="24"/>
        <v>6.9444444446899905E-4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input_581010!A$2</f>
        <v>581010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IFERROR(VLOOKUP(B309,input_581010!L:R,7,FALSE),VLOOKUP(tables_581010!C309,input_581010!A:H,8,FALSE))</f>
        <v>94666.666670000006</v>
      </c>
      <c r="P309" s="46">
        <f t="shared" ref="P309" ca="1" si="26">O309/SUM(O:O)</f>
        <v>6.9444444446899905E-4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input_581010!A$2</f>
        <v>581010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IFERROR(VLOOKUP(B310,input_581010!L:R,7,FALSE),VLOOKUP(tables_581010!C310,input_581010!A:H,8,FALSE))</f>
        <v>94666.666670000006</v>
      </c>
      <c r="P310" s="46">
        <f t="shared" ref="P310:P314" ca="1" si="28">O310/SUM(O:O)</f>
        <v>6.9444444446899905E-4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input_581010!A$2</f>
        <v>581010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IFERROR(VLOOKUP(B311,input_581010!L:R,7,FALSE),VLOOKUP(tables_581010!C311,input_581010!A:H,8,FALSE))</f>
        <v>0</v>
      </c>
      <c r="P311" s="46">
        <f t="shared" ca="1" si="28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input_581010!A$2</f>
        <v>581010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IFERROR(VLOOKUP(B312,input_581010!L:R,7,FALSE),VLOOKUP(tables_581010!C312,input_581010!A:H,8,FALSE))</f>
        <v>1579317.07317</v>
      </c>
      <c r="P312" s="46">
        <f t="shared" ca="1" si="28"/>
        <v>1.1585365853654876E-2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input_581010!A$2</f>
        <v>581010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IFERROR(VLOOKUP(B313,input_581010!L:R,7,FALSE),VLOOKUP(tables_581010!C313,input_581010!A:H,8,FALSE))</f>
        <v>94666.666670000006</v>
      </c>
      <c r="P313" s="46">
        <f t="shared" ca="1" si="28"/>
        <v>6.9444444446899905E-4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input_581010!A$2</f>
        <v>581010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IFERROR(VLOOKUP(B314,input_581010!L:R,7,FALSE),VLOOKUP(tables_581010!C314,input_581010!A:H,8,FALSE))</f>
        <v>94666.666670000006</v>
      </c>
      <c r="P314" s="46">
        <f t="shared" ca="1" si="28"/>
        <v>6.9444444446899905E-4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input_581010!A$2</f>
        <v>581010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IFERROR(VLOOKUP(B315,input_581010!L:R,7,FALSE),VLOOKUP(tables_581010!C315,input_581010!A:H,8,FALSE))</f>
        <v>94666.666670000006</v>
      </c>
      <c r="P315" s="46">
        <f t="shared" ref="P315:P319" ca="1" si="30">O315/SUM(O:O)</f>
        <v>6.9444444446899905E-4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input_581010!A$2</f>
        <v>581010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IFERROR(VLOOKUP(B316,input_581010!L:R,7,FALSE),VLOOKUP(tables_581010!C316,input_581010!A:H,8,FALSE))</f>
        <v>94666.666670000006</v>
      </c>
      <c r="P316" s="46">
        <f t="shared" ca="1" si="30"/>
        <v>6.9444444446899905E-4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input_581010!A$2</f>
        <v>581010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IFERROR(VLOOKUP(B317,input_581010!L:R,7,FALSE),VLOOKUP(tables_581010!C317,input_581010!A:H,8,FALSE))</f>
        <v>94666.666670000006</v>
      </c>
      <c r="P317" s="46">
        <f t="shared" ca="1" si="30"/>
        <v>6.9444444446899905E-4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input_581010!A$2</f>
        <v>581010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IFERROR(VLOOKUP(B318,input_581010!L:R,7,FALSE),VLOOKUP(tables_581010!C318,input_581010!A:H,8,FALSE))</f>
        <v>0</v>
      </c>
      <c r="P318" s="46">
        <f t="shared" ca="1" si="30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input_581010!A$2</f>
        <v>581010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IFERROR(VLOOKUP(B319,input_581010!L:R,7,FALSE),VLOOKUP(tables_581010!C319,input_581010!A:H,8,FALSE))</f>
        <v>1579317.07317</v>
      </c>
      <c r="P319" s="46">
        <f t="shared" ca="1" si="30"/>
        <v>1.1585365853654876E-2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input_581010!A$2</f>
        <v>581010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IFERROR(VLOOKUP(B320,input_581010!L:R,7,FALSE),VLOOKUP(tables_581010!C320,input_581010!A:H,8,FALSE))</f>
        <v>94666.666670000006</v>
      </c>
      <c r="P320" s="46">
        <f t="shared" ref="P320:P324" ca="1" si="32">O320/SUM(O:O)</f>
        <v>6.9444444446899905E-4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input_581010!A$2</f>
        <v>581010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IFERROR(VLOOKUP(B321,input_581010!L:R,7,FALSE),VLOOKUP(tables_581010!C321,input_581010!A:H,8,FALSE))</f>
        <v>94666.666670000006</v>
      </c>
      <c r="P321" s="46">
        <f t="shared" ca="1" si="32"/>
        <v>6.9444444446899905E-4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input_581010!A$2</f>
        <v>581010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IFERROR(VLOOKUP(B322,input_581010!L:R,7,FALSE),VLOOKUP(tables_581010!C322,input_581010!A:H,8,FALSE))</f>
        <v>94666.666670000006</v>
      </c>
      <c r="P322" s="46">
        <f t="shared" ca="1" si="32"/>
        <v>6.9444444446899905E-4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input_581010!A$2</f>
        <v>581010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IFERROR(VLOOKUP(B323,input_581010!L:R,7,FALSE),VLOOKUP(tables_581010!C323,input_581010!A:H,8,FALSE))</f>
        <v>94666.666670000006</v>
      </c>
      <c r="P323" s="46">
        <f t="shared" ca="1" si="32"/>
        <v>6.9444444446899905E-4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input_581010!A$2</f>
        <v>581010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IFERROR(VLOOKUP(B324,input_581010!L:R,7,FALSE),VLOOKUP(tables_581010!C324,input_581010!A:H,8,FALSE))</f>
        <v>0</v>
      </c>
      <c r="P324" s="46">
        <f t="shared" ca="1" si="32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input_581010!A$2</f>
        <v>581010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IFERROR(VLOOKUP(B325,input_581010!L:R,7,FALSE),VLOOKUP(tables_581010!C325,input_581010!A:H,8,FALSE))</f>
        <v>1579317.07317</v>
      </c>
      <c r="P325" s="46">
        <f t="shared" ref="P325:P330" ca="1" si="35">O325/SUM(O:O)</f>
        <v>1.1585365853654876E-2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input_581010!A$2</f>
        <v>581010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IFERROR(VLOOKUP(B326,input_581010!L:R,7,FALSE),VLOOKUP(tables_581010!C326,input_581010!A:H,8,FALSE))</f>
        <v>0</v>
      </c>
      <c r="P326" s="46">
        <f t="shared" ca="1" si="35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input_581010!A$2</f>
        <v>581010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IFERROR(VLOOKUP(B327,input_581010!L:R,7,FALSE),VLOOKUP(tables_581010!C327,input_581010!A:H,8,FALSE))</f>
        <v>1579317.07317</v>
      </c>
      <c r="P327" s="46">
        <f t="shared" ca="1" si="35"/>
        <v>1.1585365853654876E-2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input_581010!A$2</f>
        <v>581010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IFERROR(VLOOKUP(B328,input_581010!L:R,7,FALSE),VLOOKUP(tables_581010!C328,input_581010!A:H,8,FALSE))</f>
        <v>94666.666670000006</v>
      </c>
      <c r="P328" s="46">
        <f t="shared" ca="1" si="35"/>
        <v>6.9444444446899905E-4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input_581010!A$2</f>
        <v>581010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IFERROR(VLOOKUP(B329,input_581010!L:R,7,FALSE),VLOOKUP(tables_581010!C329,input_581010!A:H,8,FALSE))</f>
        <v>94666.666670000006</v>
      </c>
      <c r="P329" s="46">
        <f t="shared" ca="1" si="35"/>
        <v>6.9444444446899905E-4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input_581010!A$2</f>
        <v>581010</v>
      </c>
      <c r="B330" s="2">
        <v>1157</v>
      </c>
      <c r="C330" s="7" t="str">
        <f t="shared" si="34"/>
        <v>PremiumSS5R5only</v>
      </c>
      <c r="D330" s="95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IFERROR(VLOOKUP(B330,input_581010!L:R,7,FALSE),VLOOKUP(tables_581010!C330,input_581010!A:H,8,FALSE))</f>
        <v>94666.666670000006</v>
      </c>
      <c r="P330" s="46">
        <f t="shared" ca="1" si="35"/>
        <v>6.9444444446899905E-4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input_581010!A$2</f>
        <v>581010</v>
      </c>
      <c r="B331" s="60">
        <v>1214</v>
      </c>
      <c r="C331" s="7" t="str">
        <f t="shared" ref="C331:C335" si="36">D331&amp;J331&amp;E331&amp;F331&amp;G331</f>
        <v>PremiumSS5R5only</v>
      </c>
      <c r="D331" s="95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IFERROR(VLOOKUP(B331,input_581010!L:R,7,FALSE),VLOOKUP(tables_581010!C331,input_581010!A:H,8,FALSE))</f>
        <v>94666.666670000006</v>
      </c>
      <c r="P331" s="46">
        <f t="shared" ref="P331:P335" ca="1" si="38">O331/SUM(O:O)</f>
        <v>6.9444444446899905E-4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input_581010!A$2</f>
        <v>581010</v>
      </c>
      <c r="B332" s="60">
        <v>1212</v>
      </c>
      <c r="C332" s="7" t="str">
        <f t="shared" si="36"/>
        <v>PremiumSS5R5only</v>
      </c>
      <c r="D332" s="95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IFERROR(VLOOKUP(B332,input_581010!L:R,7,FALSE),VLOOKUP(tables_581010!C332,input_581010!A:H,8,FALSE))</f>
        <v>94666.666670000006</v>
      </c>
      <c r="P332" s="46">
        <f t="shared" ca="1" si="38"/>
        <v>6.9444444446899905E-4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input_581010!A$2</f>
        <v>581010</v>
      </c>
      <c r="B333" s="60">
        <v>1208</v>
      </c>
      <c r="C333" s="7" t="str">
        <f t="shared" si="36"/>
        <v>PremiumSS5R5only</v>
      </c>
      <c r="D333" s="95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IFERROR(VLOOKUP(B333,input_581010!L:R,7,FALSE),VLOOKUP(tables_581010!C333,input_581010!A:H,8,FALSE))</f>
        <v>94666.666670000006</v>
      </c>
      <c r="P333" s="46">
        <f t="shared" ca="1" si="38"/>
        <v>6.9444444446899905E-4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input_581010!A$2</f>
        <v>581010</v>
      </c>
      <c r="B334" s="91">
        <v>1210</v>
      </c>
      <c r="C334" s="7" t="str">
        <f t="shared" si="36"/>
        <v>Premium4R3less</v>
      </c>
      <c r="D334" s="95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IFERROR(VLOOKUP(B334,input_581010!L:R,7,FALSE),VLOOKUP(tables_581010!C334,input_581010!A:H,8,FALSE))</f>
        <v>0</v>
      </c>
      <c r="P334" s="46">
        <f t="shared" ca="1" si="38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input_581010!A$2</f>
        <v>581010</v>
      </c>
      <c r="B335" s="60">
        <v>1211</v>
      </c>
      <c r="C335" s="7" t="str">
        <f t="shared" si="36"/>
        <v>Premium5R3less</v>
      </c>
      <c r="D335" s="95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IFERROR(VLOOKUP(B335,input_581010!L:R,7,FALSE),VLOOKUP(tables_581010!C335,input_581010!A:H,8,FALSE))</f>
        <v>1579317.07317</v>
      </c>
      <c r="P335" s="46">
        <f t="shared" ca="1" si="38"/>
        <v>1.1585365853654876E-2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input_581010!A$2</f>
        <v>581010</v>
      </c>
      <c r="B336" s="2">
        <v>1224</v>
      </c>
      <c r="C336" s="7" t="str">
        <f t="shared" ref="C336:C340" si="39">D336&amp;J336&amp;E336&amp;F336&amp;G336</f>
        <v>Premium4R3less</v>
      </c>
      <c r="D336" s="95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IFERROR(VLOOKUP(B336,input_581010!L:R,7,FALSE),VLOOKUP(tables_581010!C336,input_581010!A:H,8,FALSE))</f>
        <v>0</v>
      </c>
      <c r="P336" s="46">
        <f t="shared" ref="P336:P340" ca="1" si="4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input_581010!A$2</f>
        <v>581010</v>
      </c>
      <c r="B337" s="2">
        <v>1225</v>
      </c>
      <c r="C337" s="7" t="str">
        <f t="shared" si="39"/>
        <v>Premium5R3less</v>
      </c>
      <c r="D337" s="95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IFERROR(VLOOKUP(B337,input_581010!L:R,7,FALSE),VLOOKUP(tables_581010!C337,input_581010!A:H,8,FALSE))</f>
        <v>1579317.07317</v>
      </c>
      <c r="P337" s="46">
        <f t="shared" ca="1" si="41"/>
        <v>1.1585365853654876E-2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input_581010!A$2</f>
        <v>581010</v>
      </c>
      <c r="B338" s="2">
        <v>1226</v>
      </c>
      <c r="C338" s="7" t="str">
        <f t="shared" si="39"/>
        <v>PremiumSS5R5only</v>
      </c>
      <c r="D338" s="95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IFERROR(VLOOKUP(B338,input_581010!L:R,7,FALSE),VLOOKUP(tables_581010!C338,input_581010!A:H,8,FALSE))</f>
        <v>94666.666670000006</v>
      </c>
      <c r="P338" s="46">
        <f t="shared" ca="1" si="41"/>
        <v>6.9444444446899905E-4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input_581010!A$2</f>
        <v>581010</v>
      </c>
      <c r="B339" s="2">
        <v>1228</v>
      </c>
      <c r="C339" s="7" t="str">
        <f t="shared" si="39"/>
        <v>PremiumSS5R5only</v>
      </c>
      <c r="D339" s="95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IFERROR(VLOOKUP(B339,input_581010!L:R,7,FALSE),VLOOKUP(tables_581010!C339,input_581010!A:H,8,FALSE))</f>
        <v>94666.666670000006</v>
      </c>
      <c r="P339" s="46">
        <f t="shared" ca="1" si="41"/>
        <v>6.9444444446899905E-4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input_581010!A$2</f>
        <v>581010</v>
      </c>
      <c r="B340" s="2">
        <v>1230</v>
      </c>
      <c r="C340" s="7" t="str">
        <f t="shared" si="39"/>
        <v>PremiumSS5R5only</v>
      </c>
      <c r="D340" s="95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IFERROR(VLOOKUP(B340,input_581010!L:R,7,FALSE),VLOOKUP(tables_581010!C340,input_581010!A:H,8,FALSE))</f>
        <v>94666.666670000006</v>
      </c>
      <c r="P340" s="46">
        <f t="shared" ca="1" si="41"/>
        <v>6.9444444446899905E-4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input_581010!A$2</f>
        <v>581010</v>
      </c>
      <c r="B341" s="1">
        <v>1250</v>
      </c>
      <c r="C341" s="7" t="str">
        <f t="shared" ref="C341:C345" si="42">D341&amp;J341&amp;E341&amp;F341&amp;G341</f>
        <v>PremiumSS5R5only</v>
      </c>
      <c r="D341" s="95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IFERROR(VLOOKUP(B341,input_581010!L:R,7,FALSE),VLOOKUP(tables_581010!C341,input_581010!A:H,8,FALSE))</f>
        <v>94666.666670000006</v>
      </c>
      <c r="P341" s="46">
        <f t="shared" ref="P341:P345" ca="1" si="44">O341/SUM(O:O)</f>
        <v>6.9444444446899905E-4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input_581010!A$2</f>
        <v>581010</v>
      </c>
      <c r="B342" s="1">
        <v>1248</v>
      </c>
      <c r="C342" s="7" t="str">
        <f t="shared" si="42"/>
        <v>Premium4R3less</v>
      </c>
      <c r="D342" s="95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IFERROR(VLOOKUP(B342,input_581010!L:R,7,FALSE),VLOOKUP(tables_581010!C342,input_581010!A:H,8,FALSE))</f>
        <v>0</v>
      </c>
      <c r="P342" s="46">
        <f t="shared" ca="1" si="44"/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input_581010!A$2</f>
        <v>581010</v>
      </c>
      <c r="B343" s="1">
        <v>1249</v>
      </c>
      <c r="C343" s="7" t="str">
        <f t="shared" si="42"/>
        <v>Premium5R3less</v>
      </c>
      <c r="D343" s="95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IFERROR(VLOOKUP(B343,input_581010!L:R,7,FALSE),VLOOKUP(tables_581010!C343,input_581010!A:H,8,FALSE))</f>
        <v>1579317.07317</v>
      </c>
      <c r="P343" s="46">
        <f t="shared" ca="1" si="44"/>
        <v>1.1585365853654876E-2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input_581010!A$2</f>
        <v>581010</v>
      </c>
      <c r="B344" s="1">
        <v>1246</v>
      </c>
      <c r="C344" s="7" t="str">
        <f t="shared" si="42"/>
        <v>PremiumSS5R5only</v>
      </c>
      <c r="D344" s="95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IFERROR(VLOOKUP(B344,input_581010!L:R,7,FALSE),VLOOKUP(tables_581010!C344,input_581010!A:H,8,FALSE))</f>
        <v>94666.666670000006</v>
      </c>
      <c r="P344" s="46">
        <f t="shared" ca="1" si="44"/>
        <v>6.9444444446899905E-4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input_581010!A$2</f>
        <v>581010</v>
      </c>
      <c r="B345" s="1">
        <v>1244</v>
      </c>
      <c r="C345" s="7" t="str">
        <f t="shared" si="42"/>
        <v>PremiumSS5R5only</v>
      </c>
      <c r="D345" s="95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IFERROR(VLOOKUP(B345,input_581010!L:R,7,FALSE),VLOOKUP(tables_581010!C345,input_581010!A:H,8,FALSE))</f>
        <v>94666.666670000006</v>
      </c>
      <c r="P345" s="46">
        <f t="shared" ca="1" si="44"/>
        <v>6.9444444446899905E-4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input_581010!A$2</f>
        <v>581010</v>
      </c>
      <c r="B346" s="1">
        <v>1260</v>
      </c>
      <c r="C346" s="7" t="str">
        <f t="shared" ref="C346:C350" si="45">D346&amp;J346&amp;E346&amp;F346&amp;G346</f>
        <v>PremiumSS5R5only</v>
      </c>
      <c r="D346" s="95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IFERROR(VLOOKUP(B346,input_581010!L:R,7,FALSE),VLOOKUP(tables_581010!C346,input_581010!A:H,8,FALSE))</f>
        <v>94666.666670000006</v>
      </c>
      <c r="P346" s="46">
        <f t="shared" ref="P346:P350" ca="1" si="47">O346/SUM(O:O)</f>
        <v>6.9444444446899905E-4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input_581010!A$2</f>
        <v>581010</v>
      </c>
      <c r="B347" s="1">
        <v>1262</v>
      </c>
      <c r="C347" s="7" t="str">
        <f t="shared" si="45"/>
        <v>PremiumSS5R5only</v>
      </c>
      <c r="D347" s="95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IFERROR(VLOOKUP(B347,input_581010!L:R,7,FALSE),VLOOKUP(tables_581010!C347,input_581010!A:H,8,FALSE))</f>
        <v>94666.666670000006</v>
      </c>
      <c r="P347" s="46">
        <f t="shared" ca="1" si="47"/>
        <v>6.9444444446899905E-4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input_581010!A$2</f>
        <v>581010</v>
      </c>
      <c r="B348" s="1">
        <v>1264</v>
      </c>
      <c r="C348" s="7" t="str">
        <f t="shared" si="45"/>
        <v>PremiumSS5R5only</v>
      </c>
      <c r="D348" s="95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IFERROR(VLOOKUP(B348,input_581010!L:R,7,FALSE),VLOOKUP(tables_581010!C348,input_581010!A:H,8,FALSE))</f>
        <v>94666.666670000006</v>
      </c>
      <c r="P348" s="46">
        <f t="shared" ca="1" si="47"/>
        <v>6.9444444446899905E-4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input_581010!A$2</f>
        <v>581010</v>
      </c>
      <c r="B349" s="1">
        <v>1266</v>
      </c>
      <c r="C349" s="7" t="str">
        <f t="shared" si="45"/>
        <v>Premium4R3less</v>
      </c>
      <c r="D349" s="95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IFERROR(VLOOKUP(B349,input_581010!L:R,7,FALSE),VLOOKUP(tables_581010!C349,input_581010!A:H,8,FALSE))</f>
        <v>0</v>
      </c>
      <c r="P349" s="46">
        <f t="shared" ca="1" si="47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input_581010!A$2</f>
        <v>581010</v>
      </c>
      <c r="B350" s="1">
        <v>1267</v>
      </c>
      <c r="C350" s="7" t="str">
        <f t="shared" si="45"/>
        <v>Premium5R3less</v>
      </c>
      <c r="D350" s="95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IFERROR(VLOOKUP(B350,input_581010!L:R,7,FALSE),VLOOKUP(tables_581010!C350,input_581010!A:H,8,FALSE))</f>
        <v>1579317.07317</v>
      </c>
      <c r="P350" s="46">
        <f t="shared" ca="1" si="47"/>
        <v>1.1585365853654876E-2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input_581010!A$2</f>
        <v>581010</v>
      </c>
      <c r="B351" s="99">
        <v>1332</v>
      </c>
      <c r="C351" s="7" t="str">
        <f t="shared" ref="C351:C355" si="48">D351&amp;J351&amp;E351&amp;F351&amp;G351</f>
        <v>PremiumSS5R5only</v>
      </c>
      <c r="D351" s="95" t="str">
        <f t="shared" ref="D351:D355" si="4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IFERROR(VLOOKUP(B351,input_581010!L:R,7,FALSE),VLOOKUP(tables_581010!C351,input_581010!A:H,8,FALSE))</f>
        <v>94666.666670000006</v>
      </c>
      <c r="P351" s="46">
        <f t="shared" ref="P351:P355" ca="1" si="50">O351/SUM(O:O)</f>
        <v>6.9444444446899905E-4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input_581010!A$2</f>
        <v>581010</v>
      </c>
      <c r="B352" s="99">
        <v>1336</v>
      </c>
      <c r="C352" s="7" t="str">
        <f t="shared" si="48"/>
        <v>PremiumSS5R5only</v>
      </c>
      <c r="D352" s="95" t="str">
        <f t="shared" si="4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IFERROR(VLOOKUP(B352,input_581010!L:R,7,FALSE),VLOOKUP(tables_581010!C352,input_581010!A:H,8,FALSE))</f>
        <v>94666.666670000006</v>
      </c>
      <c r="P352" s="46">
        <f t="shared" ca="1" si="50"/>
        <v>6.9444444446899905E-4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input_581010!A$2</f>
        <v>581010</v>
      </c>
      <c r="B353" s="99">
        <v>1338</v>
      </c>
      <c r="C353" s="7" t="str">
        <f t="shared" si="48"/>
        <v>PremiumSS5R5only</v>
      </c>
      <c r="D353" s="95" t="str">
        <f t="shared" si="4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IFERROR(VLOOKUP(B353,input_581010!L:R,7,FALSE),VLOOKUP(tables_581010!C353,input_581010!A:H,8,FALSE))</f>
        <v>94666.666670000006</v>
      </c>
      <c r="P353" s="46">
        <f t="shared" ca="1" si="50"/>
        <v>6.9444444446899905E-4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input_581010!A$2</f>
        <v>581010</v>
      </c>
      <c r="B354" s="99">
        <v>1334</v>
      </c>
      <c r="C354" s="7" t="str">
        <f t="shared" si="48"/>
        <v>Premium4R3less</v>
      </c>
      <c r="D354" s="95" t="str">
        <f t="shared" si="4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IFERROR(VLOOKUP(B354,input_581010!L:R,7,FALSE),VLOOKUP(tables_581010!C354,input_581010!A:H,8,FALSE))</f>
        <v>0</v>
      </c>
      <c r="P354" s="46">
        <f t="shared" ca="1" si="5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input_581010!A$2</f>
        <v>581010</v>
      </c>
      <c r="B355" s="99">
        <v>1335</v>
      </c>
      <c r="C355" s="7" t="str">
        <f t="shared" si="48"/>
        <v>Premium5R3less</v>
      </c>
      <c r="D355" s="95" t="str">
        <f t="shared" si="4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IFERROR(VLOOKUP(B355,input_581010!L:R,7,FALSE),VLOOKUP(tables_581010!C355,input_581010!A:H,8,FALSE))</f>
        <v>1579317.07317</v>
      </c>
      <c r="P355" s="46">
        <f t="shared" ca="1" si="50"/>
        <v>1.1585365853654876E-2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input_581010!A$2</f>
        <v>581010</v>
      </c>
      <c r="B356" s="99">
        <v>1490</v>
      </c>
      <c r="C356" s="7" t="str">
        <f t="shared" ref="C356" si="51">D356&amp;J356&amp;E356&amp;F356&amp;G356</f>
        <v>PremiumSSS5R3less</v>
      </c>
      <c r="D356" s="95" t="str">
        <f t="shared" ref="D356" si="52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パラケルススR5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>IFERROR(VLOOKUP(B356,input_581010!L:R,7,FALSE),VLOOKUP(tables_581010!C356,input_581010!A:H,8,FALSE))</f>
        <v>13632</v>
      </c>
      <c r="P356" s="46">
        <f t="shared" ref="P356" ca="1" si="53">O356/SUM(O:O)</f>
        <v>1.0000000000001474E-4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input_581010</vt:lpstr>
      <vt:lpstr>tables_581010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2017-04-19T08:05:30Z</dcterms:modified>
</cp:coreProperties>
</file>