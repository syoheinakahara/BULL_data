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620" yWindow="460" windowWidth="24480" windowHeight="14940" tabRatio="789"/>
  </bookViews>
  <sheets>
    <sheet name="output" sheetId="7" r:id="rId1"/>
    <sheet name="floors_week_q_1Mc" sheetId="2" r:id="rId2"/>
    <sheet name="enemy_habitats_week_q_1Mc" sheetId="1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2" hidden="1">enemy_habitats_week_q_1Mc!$B$1:$AG$28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7" i="1" l="1"/>
  <c r="AC57" i="1"/>
  <c r="AF57" i="1"/>
  <c r="AD57" i="1"/>
  <c r="AB57" i="1"/>
  <c r="Z57" i="1"/>
  <c r="V57" i="1"/>
  <c r="U57" i="1"/>
  <c r="P57" i="1"/>
  <c r="O57" i="1"/>
  <c r="N57" i="1"/>
  <c r="M57" i="1"/>
  <c r="L57" i="1"/>
  <c r="H57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57" i="1"/>
  <c r="I57" i="1"/>
  <c r="D57" i="1"/>
  <c r="F57" i="1"/>
  <c r="E57" i="1"/>
  <c r="A57" i="1"/>
  <c r="AA56" i="1"/>
  <c r="AC56" i="1"/>
  <c r="AF56" i="1"/>
  <c r="AD56" i="1"/>
  <c r="AB56" i="1"/>
  <c r="Z56" i="1"/>
  <c r="V56" i="1"/>
  <c r="U56" i="1"/>
  <c r="P56" i="1"/>
  <c r="O56" i="1"/>
  <c r="N56" i="1"/>
  <c r="M56" i="1"/>
  <c r="L56" i="1"/>
  <c r="H56" i="1"/>
  <c r="J56" i="1"/>
  <c r="I56" i="1"/>
  <c r="D56" i="1"/>
  <c r="F56" i="1"/>
  <c r="E56" i="1"/>
  <c r="A56" i="1"/>
  <c r="AA55" i="1"/>
  <c r="AC55" i="1"/>
  <c r="AF55" i="1"/>
  <c r="AD55" i="1"/>
  <c r="AB55" i="1"/>
  <c r="Z55" i="1"/>
  <c r="V55" i="1"/>
  <c r="U55" i="1"/>
  <c r="P55" i="1"/>
  <c r="O55" i="1"/>
  <c r="N55" i="1"/>
  <c r="M55" i="1"/>
  <c r="L55" i="1"/>
  <c r="H55" i="1"/>
  <c r="J55" i="1"/>
  <c r="I55" i="1"/>
  <c r="D55" i="1"/>
  <c r="F55" i="1"/>
  <c r="E55" i="1"/>
  <c r="A55" i="1"/>
  <c r="AA54" i="1"/>
  <c r="AC54" i="1"/>
  <c r="AF54" i="1"/>
  <c r="AD54" i="1"/>
  <c r="AB54" i="1"/>
  <c r="Z54" i="1"/>
  <c r="V54" i="1"/>
  <c r="U54" i="1"/>
  <c r="P54" i="1"/>
  <c r="O54" i="1"/>
  <c r="N54" i="1"/>
  <c r="M54" i="1"/>
  <c r="L54" i="1"/>
  <c r="H54" i="1"/>
  <c r="J54" i="1"/>
  <c r="I54" i="1"/>
  <c r="D54" i="1"/>
  <c r="F54" i="1"/>
  <c r="E54" i="1"/>
  <c r="A54" i="1"/>
  <c r="AA53" i="1"/>
  <c r="AC53" i="1"/>
  <c r="AF53" i="1"/>
  <c r="AD53" i="1"/>
  <c r="AB53" i="1"/>
  <c r="Z53" i="1"/>
  <c r="V53" i="1"/>
  <c r="U53" i="1"/>
  <c r="P53" i="1"/>
  <c r="O53" i="1"/>
  <c r="N53" i="1"/>
  <c r="M53" i="1"/>
  <c r="L53" i="1"/>
  <c r="H53" i="1"/>
  <c r="J53" i="1"/>
  <c r="I53" i="1"/>
  <c r="D53" i="1"/>
  <c r="F53" i="1"/>
  <c r="E53" i="1"/>
  <c r="A53" i="1"/>
  <c r="AA52" i="1"/>
  <c r="AC52" i="1"/>
  <c r="AF52" i="1"/>
  <c r="AD52" i="1"/>
  <c r="AB52" i="1"/>
  <c r="Z52" i="1"/>
  <c r="V52" i="1"/>
  <c r="U52" i="1"/>
  <c r="P52" i="1"/>
  <c r="O52" i="1"/>
  <c r="N52" i="1"/>
  <c r="M52" i="1"/>
  <c r="L52" i="1"/>
  <c r="H52" i="1"/>
  <c r="J52" i="1"/>
  <c r="I52" i="1"/>
  <c r="D52" i="1"/>
  <c r="F52" i="1"/>
  <c r="E52" i="1"/>
  <c r="A52" i="1"/>
  <c r="AA51" i="1"/>
  <c r="AC51" i="1"/>
  <c r="AF51" i="1"/>
  <c r="AD51" i="1"/>
  <c r="AB51" i="1"/>
  <c r="Z51" i="1"/>
  <c r="V51" i="1"/>
  <c r="U51" i="1"/>
  <c r="P51" i="1"/>
  <c r="O51" i="1"/>
  <c r="N51" i="1"/>
  <c r="M51" i="1"/>
  <c r="L51" i="1"/>
  <c r="H51" i="1"/>
  <c r="J51" i="1"/>
  <c r="I51" i="1"/>
  <c r="D51" i="1"/>
  <c r="F51" i="1"/>
  <c r="E51" i="1"/>
  <c r="A51" i="1"/>
  <c r="AA50" i="1"/>
  <c r="AC50" i="1"/>
  <c r="AF50" i="1"/>
  <c r="AD50" i="1"/>
  <c r="AB50" i="1"/>
  <c r="Z50" i="1"/>
  <c r="V50" i="1"/>
  <c r="U50" i="1"/>
  <c r="P50" i="1"/>
  <c r="O50" i="1"/>
  <c r="N50" i="1"/>
  <c r="M50" i="1"/>
  <c r="L50" i="1"/>
  <c r="H50" i="1"/>
  <c r="J50" i="1"/>
  <c r="I50" i="1"/>
  <c r="D50" i="1"/>
  <c r="F50" i="1"/>
  <c r="E50" i="1"/>
  <c r="A50" i="1"/>
  <c r="AA49" i="1"/>
  <c r="AC49" i="1"/>
  <c r="AF49" i="1"/>
  <c r="AD49" i="1"/>
  <c r="AB49" i="1"/>
  <c r="Z49" i="1"/>
  <c r="V49" i="1"/>
  <c r="U49" i="1"/>
  <c r="P49" i="1"/>
  <c r="O49" i="1"/>
  <c r="N49" i="1"/>
  <c r="M49" i="1"/>
  <c r="L49" i="1"/>
  <c r="H49" i="1"/>
  <c r="J49" i="1"/>
  <c r="I49" i="1"/>
  <c r="D49" i="1"/>
  <c r="F49" i="1"/>
  <c r="E49" i="1"/>
  <c r="A49" i="1"/>
  <c r="AA48" i="1"/>
  <c r="AC48" i="1"/>
  <c r="AF48" i="1"/>
  <c r="AD48" i="1"/>
  <c r="AB48" i="1"/>
  <c r="P48" i="1"/>
  <c r="O48" i="1"/>
  <c r="N48" i="1"/>
  <c r="M48" i="1"/>
  <c r="L48" i="1"/>
  <c r="H48" i="1"/>
  <c r="J48" i="1"/>
  <c r="I48" i="1"/>
  <c r="D48" i="1"/>
  <c r="F48" i="1"/>
  <c r="E48" i="1"/>
  <c r="A48" i="1"/>
  <c r="AA47" i="1"/>
  <c r="AC47" i="1"/>
  <c r="AF47" i="1"/>
  <c r="AD47" i="1"/>
  <c r="AB47" i="1"/>
  <c r="Z47" i="1"/>
  <c r="V47" i="1"/>
  <c r="U47" i="1"/>
  <c r="P47" i="1"/>
  <c r="O47" i="1"/>
  <c r="N47" i="1"/>
  <c r="M47" i="1"/>
  <c r="L47" i="1"/>
  <c r="H47" i="1"/>
  <c r="J47" i="1"/>
  <c r="I47" i="1"/>
  <c r="D47" i="1"/>
  <c r="F47" i="1"/>
  <c r="E47" i="1"/>
  <c r="A47" i="1"/>
  <c r="AA46" i="1"/>
  <c r="AC46" i="1"/>
  <c r="AF46" i="1"/>
  <c r="AD46" i="1"/>
  <c r="AB46" i="1"/>
  <c r="Z46" i="1"/>
  <c r="V46" i="1"/>
  <c r="U46" i="1"/>
  <c r="P46" i="1"/>
  <c r="O46" i="1"/>
  <c r="N46" i="1"/>
  <c r="M46" i="1"/>
  <c r="L46" i="1"/>
  <c r="H46" i="1"/>
  <c r="J46" i="1"/>
  <c r="I46" i="1"/>
  <c r="D46" i="1"/>
  <c r="F46" i="1"/>
  <c r="E46" i="1"/>
  <c r="A46" i="1"/>
  <c r="AA45" i="1"/>
  <c r="AC45" i="1"/>
  <c r="AF45" i="1"/>
  <c r="AD45" i="1"/>
  <c r="AB45" i="1"/>
  <c r="Z45" i="1"/>
  <c r="V45" i="1"/>
  <c r="U45" i="1"/>
  <c r="P45" i="1"/>
  <c r="O45" i="1"/>
  <c r="N45" i="1"/>
  <c r="M45" i="1"/>
  <c r="L45" i="1"/>
  <c r="H45" i="1"/>
  <c r="J45" i="1"/>
  <c r="I45" i="1"/>
  <c r="D45" i="1"/>
  <c r="F45" i="1"/>
  <c r="E45" i="1"/>
  <c r="A45" i="1"/>
  <c r="AA44" i="1"/>
  <c r="AC44" i="1"/>
  <c r="AF44" i="1"/>
  <c r="AD44" i="1"/>
  <c r="AB44" i="1"/>
  <c r="Z44" i="1"/>
  <c r="V44" i="1"/>
  <c r="U44" i="1"/>
  <c r="P44" i="1"/>
  <c r="O44" i="1"/>
  <c r="N44" i="1"/>
  <c r="M44" i="1"/>
  <c r="L44" i="1"/>
  <c r="H44" i="1"/>
  <c r="J44" i="1"/>
  <c r="I44" i="1"/>
  <c r="D44" i="1"/>
  <c r="F44" i="1"/>
  <c r="E44" i="1"/>
  <c r="A44" i="1"/>
  <c r="AA43" i="1"/>
  <c r="AC43" i="1"/>
  <c r="AF43" i="1"/>
  <c r="AD43" i="1"/>
  <c r="AB43" i="1"/>
  <c r="Z43" i="1"/>
  <c r="V43" i="1"/>
  <c r="U43" i="1"/>
  <c r="P43" i="1"/>
  <c r="O43" i="1"/>
  <c r="N43" i="1"/>
  <c r="M43" i="1"/>
  <c r="L43" i="1"/>
  <c r="H43" i="1"/>
  <c r="J43" i="1"/>
  <c r="I43" i="1"/>
  <c r="D43" i="1"/>
  <c r="F43" i="1"/>
  <c r="E43" i="1"/>
  <c r="A43" i="1"/>
  <c r="AA42" i="1"/>
  <c r="AC42" i="1"/>
  <c r="AF42" i="1"/>
  <c r="AD42" i="1"/>
  <c r="AB42" i="1"/>
  <c r="Z42" i="1"/>
  <c r="V42" i="1"/>
  <c r="U42" i="1"/>
  <c r="P42" i="1"/>
  <c r="O42" i="1"/>
  <c r="N42" i="1"/>
  <c r="M42" i="1"/>
  <c r="L42" i="1"/>
  <c r="H42" i="1"/>
  <c r="J42" i="1"/>
  <c r="I42" i="1"/>
  <c r="D42" i="1"/>
  <c r="F42" i="1"/>
  <c r="E42" i="1"/>
  <c r="A42" i="1"/>
  <c r="AA41" i="1"/>
  <c r="AC41" i="1"/>
  <c r="AF41" i="1"/>
  <c r="AD41" i="1"/>
  <c r="AB41" i="1"/>
  <c r="Z41" i="1"/>
  <c r="V41" i="1"/>
  <c r="U41" i="1"/>
  <c r="P41" i="1"/>
  <c r="O41" i="1"/>
  <c r="N41" i="1"/>
  <c r="M41" i="1"/>
  <c r="L41" i="1"/>
  <c r="H41" i="1"/>
  <c r="J41" i="1"/>
  <c r="I41" i="1"/>
  <c r="D41" i="1"/>
  <c r="F41" i="1"/>
  <c r="E41" i="1"/>
  <c r="A41" i="1"/>
  <c r="AA40" i="1"/>
  <c r="AC40" i="1"/>
  <c r="AF40" i="1"/>
  <c r="AD40" i="1"/>
  <c r="AB40" i="1"/>
  <c r="Z40" i="1"/>
  <c r="V40" i="1"/>
  <c r="U40" i="1"/>
  <c r="P40" i="1"/>
  <c r="O40" i="1"/>
  <c r="N40" i="1"/>
  <c r="M40" i="1"/>
  <c r="L40" i="1"/>
  <c r="H40" i="1"/>
  <c r="J40" i="1"/>
  <c r="I40" i="1"/>
  <c r="D40" i="1"/>
  <c r="F40" i="1"/>
  <c r="E40" i="1"/>
  <c r="A40" i="1"/>
  <c r="AA39" i="1"/>
  <c r="AC39" i="1"/>
  <c r="AF39" i="1"/>
  <c r="AD39" i="1"/>
  <c r="AB39" i="1"/>
  <c r="P39" i="1"/>
  <c r="O39" i="1"/>
  <c r="N39" i="1"/>
  <c r="M39" i="1"/>
  <c r="L39" i="1"/>
  <c r="H39" i="1"/>
  <c r="J39" i="1"/>
  <c r="I39" i="1"/>
  <c r="D39" i="1"/>
  <c r="F39" i="1"/>
  <c r="E39" i="1"/>
  <c r="A39" i="1"/>
  <c r="AA38" i="1"/>
  <c r="AC38" i="1"/>
  <c r="AF38" i="1"/>
  <c r="AD38" i="1"/>
  <c r="AB38" i="1"/>
  <c r="P38" i="1"/>
  <c r="O38" i="1"/>
  <c r="N38" i="1"/>
  <c r="M38" i="1"/>
  <c r="L38" i="1"/>
  <c r="H38" i="1"/>
  <c r="J38" i="1"/>
  <c r="I38" i="1"/>
  <c r="D38" i="1"/>
  <c r="F38" i="1"/>
  <c r="E38" i="1"/>
  <c r="A38" i="1"/>
  <c r="AA37" i="1"/>
  <c r="AC37" i="1"/>
  <c r="AF37" i="1"/>
  <c r="AD37" i="1"/>
  <c r="AB37" i="1"/>
  <c r="P37" i="1"/>
  <c r="O37" i="1"/>
  <c r="N37" i="1"/>
  <c r="M37" i="1"/>
  <c r="L37" i="1"/>
  <c r="H37" i="1"/>
  <c r="J37" i="1"/>
  <c r="I37" i="1"/>
  <c r="D37" i="1"/>
  <c r="F37" i="1"/>
  <c r="E37" i="1"/>
  <c r="A37" i="1"/>
  <c r="AA36" i="1"/>
  <c r="AC36" i="1"/>
  <c r="AF36" i="1"/>
  <c r="AD36" i="1"/>
  <c r="AB36" i="1"/>
  <c r="Z36" i="1"/>
  <c r="V36" i="1"/>
  <c r="U36" i="1"/>
  <c r="P36" i="1"/>
  <c r="O36" i="1"/>
  <c r="N36" i="1"/>
  <c r="M36" i="1"/>
  <c r="L36" i="1"/>
  <c r="H36" i="1"/>
  <c r="J36" i="1"/>
  <c r="I36" i="1"/>
  <c r="D36" i="1"/>
  <c r="F36" i="1"/>
  <c r="E36" i="1"/>
  <c r="A36" i="1"/>
  <c r="AA35" i="1"/>
  <c r="AC35" i="1"/>
  <c r="AF35" i="1"/>
  <c r="AD35" i="1"/>
  <c r="AB35" i="1"/>
  <c r="Z35" i="1"/>
  <c r="V35" i="1"/>
  <c r="U35" i="1"/>
  <c r="P35" i="1"/>
  <c r="O35" i="1"/>
  <c r="N35" i="1"/>
  <c r="M35" i="1"/>
  <c r="L35" i="1"/>
  <c r="H35" i="1"/>
  <c r="J35" i="1"/>
  <c r="I35" i="1"/>
  <c r="D35" i="1"/>
  <c r="F35" i="1"/>
  <c r="E35" i="1"/>
  <c r="A35" i="1"/>
  <c r="AA34" i="1"/>
  <c r="AC34" i="1"/>
  <c r="AF34" i="1"/>
  <c r="AD34" i="1"/>
  <c r="AB34" i="1"/>
  <c r="Z34" i="1"/>
  <c r="V34" i="1"/>
  <c r="U34" i="1"/>
  <c r="P34" i="1"/>
  <c r="O34" i="1"/>
  <c r="N34" i="1"/>
  <c r="M34" i="1"/>
  <c r="L34" i="1"/>
  <c r="H34" i="1"/>
  <c r="J34" i="1"/>
  <c r="I34" i="1"/>
  <c r="D34" i="1"/>
  <c r="F34" i="1"/>
  <c r="E34" i="1"/>
  <c r="A34" i="1"/>
  <c r="AA33" i="1"/>
  <c r="AC33" i="1"/>
  <c r="AF33" i="1"/>
  <c r="AD33" i="1"/>
  <c r="AB33" i="1"/>
  <c r="Z33" i="1"/>
  <c r="V33" i="1"/>
  <c r="U33" i="1"/>
  <c r="P33" i="1"/>
  <c r="O33" i="1"/>
  <c r="N33" i="1"/>
  <c r="M33" i="1"/>
  <c r="L33" i="1"/>
  <c r="H33" i="1"/>
  <c r="J33" i="1"/>
  <c r="I33" i="1"/>
  <c r="D33" i="1"/>
  <c r="F33" i="1"/>
  <c r="E33" i="1"/>
  <c r="A33" i="1"/>
  <c r="AA32" i="1"/>
  <c r="AC32" i="1"/>
  <c r="AF32" i="1"/>
  <c r="AD32" i="1"/>
  <c r="AB32" i="1"/>
  <c r="Z32" i="1"/>
  <c r="V32" i="1"/>
  <c r="U32" i="1"/>
  <c r="P32" i="1"/>
  <c r="O32" i="1"/>
  <c r="N32" i="1"/>
  <c r="M32" i="1"/>
  <c r="L32" i="1"/>
  <c r="H32" i="1"/>
  <c r="J32" i="1"/>
  <c r="I32" i="1"/>
  <c r="D32" i="1"/>
  <c r="F32" i="1"/>
  <c r="E32" i="1"/>
  <c r="A32" i="1"/>
  <c r="AA31" i="1"/>
  <c r="AC31" i="1"/>
  <c r="AF31" i="1"/>
  <c r="AD31" i="1"/>
  <c r="AB31" i="1"/>
  <c r="Z31" i="1"/>
  <c r="V31" i="1"/>
  <c r="U31" i="1"/>
  <c r="P31" i="1"/>
  <c r="O31" i="1"/>
  <c r="N31" i="1"/>
  <c r="M31" i="1"/>
  <c r="L31" i="1"/>
  <c r="H31" i="1"/>
  <c r="J31" i="1"/>
  <c r="I31" i="1"/>
  <c r="D31" i="1"/>
  <c r="F31" i="1"/>
  <c r="E31" i="1"/>
  <c r="A31" i="1"/>
  <c r="AA30" i="1"/>
  <c r="AC30" i="1"/>
  <c r="AF30" i="1"/>
  <c r="AD30" i="1"/>
  <c r="AB30" i="1"/>
  <c r="Z30" i="1"/>
  <c r="V30" i="1"/>
  <c r="U30" i="1"/>
  <c r="P30" i="1"/>
  <c r="O30" i="1"/>
  <c r="N30" i="1"/>
  <c r="M30" i="1"/>
  <c r="L30" i="1"/>
  <c r="H30" i="1"/>
  <c r="J30" i="1"/>
  <c r="I30" i="1"/>
  <c r="D30" i="1"/>
  <c r="F30" i="1"/>
  <c r="E30" i="1"/>
  <c r="A30" i="1"/>
  <c r="H11" i="2"/>
  <c r="E11" i="2"/>
  <c r="D1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Z2" i="1"/>
  <c r="Z3" i="1"/>
  <c r="Z4" i="1"/>
  <c r="Z5" i="1"/>
  <c r="Z6" i="1"/>
  <c r="Z7" i="1"/>
  <c r="Z8" i="1"/>
  <c r="Z12" i="1"/>
  <c r="Z13" i="1"/>
  <c r="Z14" i="1"/>
  <c r="Z15" i="1"/>
  <c r="Z16" i="1"/>
  <c r="Z17" i="1"/>
  <c r="Z18" i="1"/>
  <c r="Z19" i="1"/>
  <c r="Z21" i="1"/>
  <c r="Z22" i="1"/>
  <c r="Z23" i="1"/>
  <c r="Z24" i="1"/>
  <c r="Z25" i="1"/>
  <c r="Z26" i="1"/>
  <c r="Z27" i="1"/>
  <c r="Z28" i="1"/>
  <c r="Z29" i="1"/>
  <c r="L29" i="1"/>
  <c r="L28" i="1"/>
  <c r="L27" i="1"/>
  <c r="L26" i="1"/>
  <c r="L25" i="1"/>
  <c r="L24" i="1"/>
  <c r="L23" i="1"/>
  <c r="L22" i="1"/>
  <c r="L21" i="1"/>
  <c r="L19" i="1"/>
  <c r="L18" i="1"/>
  <c r="L17" i="1"/>
  <c r="L16" i="1"/>
  <c r="L15" i="1"/>
  <c r="L14" i="1"/>
  <c r="L13" i="1"/>
  <c r="L12" i="1"/>
  <c r="L8" i="1"/>
  <c r="L7" i="1"/>
  <c r="L6" i="1"/>
  <c r="L5" i="1"/>
  <c r="L4" i="1"/>
  <c r="L3" i="1"/>
  <c r="L2" i="1"/>
  <c r="V29" i="1"/>
  <c r="U29" i="1"/>
  <c r="V28" i="1"/>
  <c r="U28" i="1"/>
  <c r="V27" i="1"/>
  <c r="U27" i="1"/>
  <c r="V26" i="1"/>
  <c r="U26" i="1"/>
  <c r="V25" i="1"/>
  <c r="U25" i="1"/>
  <c r="V24" i="1"/>
  <c r="U24" i="1"/>
  <c r="V23" i="1"/>
  <c r="U23" i="1"/>
  <c r="V22" i="1"/>
  <c r="U22" i="1"/>
  <c r="V21" i="1"/>
  <c r="U21" i="1"/>
  <c r="V19" i="1"/>
  <c r="U19" i="1"/>
  <c r="V18" i="1"/>
  <c r="U18" i="1"/>
  <c r="V17" i="1"/>
  <c r="U17" i="1"/>
  <c r="V16" i="1"/>
  <c r="U16" i="1"/>
  <c r="V15" i="1"/>
  <c r="U15" i="1"/>
  <c r="V14" i="1"/>
  <c r="U14" i="1"/>
  <c r="V13" i="1"/>
  <c r="U13" i="1"/>
  <c r="V12" i="1"/>
  <c r="U12" i="1"/>
  <c r="V8" i="1"/>
  <c r="U8" i="1"/>
  <c r="V7" i="1"/>
  <c r="U7" i="1"/>
  <c r="V6" i="1"/>
  <c r="U6" i="1"/>
  <c r="V5" i="1"/>
  <c r="U5" i="1"/>
  <c r="V4" i="1"/>
  <c r="U4" i="1"/>
  <c r="V3" i="1"/>
  <c r="U3" i="1"/>
  <c r="V2" i="1"/>
  <c r="U2" i="1"/>
  <c r="AA3" i="1"/>
  <c r="AB3" i="1"/>
  <c r="AC3" i="1"/>
  <c r="AD3" i="1"/>
  <c r="AA4" i="1"/>
  <c r="AB4" i="1"/>
  <c r="AC4" i="1"/>
  <c r="AD4" i="1"/>
  <c r="AA5" i="1"/>
  <c r="AB5" i="1"/>
  <c r="AC5" i="1"/>
  <c r="AD5" i="1"/>
  <c r="AA6" i="1"/>
  <c r="AB6" i="1"/>
  <c r="AC6" i="1"/>
  <c r="AD6" i="1"/>
  <c r="AA7" i="1"/>
  <c r="AB7" i="1"/>
  <c r="AC7" i="1"/>
  <c r="AD7" i="1"/>
  <c r="AA8" i="1"/>
  <c r="AB8" i="1"/>
  <c r="AC8" i="1"/>
  <c r="AD8" i="1"/>
  <c r="AA9" i="1"/>
  <c r="AB9" i="1"/>
  <c r="AC9" i="1"/>
  <c r="AD9" i="1"/>
  <c r="AA10" i="1"/>
  <c r="AB10" i="1"/>
  <c r="AC10" i="1"/>
  <c r="AD10" i="1"/>
  <c r="AA11" i="1"/>
  <c r="AB11" i="1"/>
  <c r="AC11" i="1"/>
  <c r="AD11" i="1"/>
  <c r="AA12" i="1"/>
  <c r="AB12" i="1"/>
  <c r="AC12" i="1"/>
  <c r="AD12" i="1"/>
  <c r="AA13" i="1"/>
  <c r="AB13" i="1"/>
  <c r="AC13" i="1"/>
  <c r="AD13" i="1"/>
  <c r="AA14" i="1"/>
  <c r="AB14" i="1"/>
  <c r="AC14" i="1"/>
  <c r="AD14" i="1"/>
  <c r="AA15" i="1"/>
  <c r="AB15" i="1"/>
  <c r="AC15" i="1"/>
  <c r="AD15" i="1"/>
  <c r="AA16" i="1"/>
  <c r="AB16" i="1"/>
  <c r="AC16" i="1"/>
  <c r="AD16" i="1"/>
  <c r="AA17" i="1"/>
  <c r="AB17" i="1"/>
  <c r="AC17" i="1"/>
  <c r="AD17" i="1"/>
  <c r="AA18" i="1"/>
  <c r="AB18" i="1"/>
  <c r="AC18" i="1"/>
  <c r="AD18" i="1"/>
  <c r="AA19" i="1"/>
  <c r="AB19" i="1"/>
  <c r="AC19" i="1"/>
  <c r="AD19" i="1"/>
  <c r="AA20" i="1"/>
  <c r="AB20" i="1"/>
  <c r="AC20" i="1"/>
  <c r="AD20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A26" i="1"/>
  <c r="AB26" i="1"/>
  <c r="AC26" i="1"/>
  <c r="AD26" i="1"/>
  <c r="AA27" i="1"/>
  <c r="AB27" i="1"/>
  <c r="AC27" i="1"/>
  <c r="AD27" i="1"/>
  <c r="AA28" i="1"/>
  <c r="AB28" i="1"/>
  <c r="AC28" i="1"/>
  <c r="AD28" i="1"/>
  <c r="AA29" i="1"/>
  <c r="AB29" i="1"/>
  <c r="AC29" i="1"/>
  <c r="AD29" i="1"/>
  <c r="AA2" i="1"/>
  <c r="AD2" i="1"/>
  <c r="AC2" i="1"/>
  <c r="AB2" i="1"/>
  <c r="C8" i="7"/>
  <c r="E8" i="7"/>
  <c r="C7" i="7"/>
  <c r="E7" i="7"/>
  <c r="C6" i="7"/>
  <c r="E6" i="7"/>
  <c r="C5" i="7"/>
  <c r="E5" i="7"/>
  <c r="C4" i="7"/>
  <c r="E4" i="7"/>
  <c r="E3" i="7"/>
  <c r="E2" i="7"/>
  <c r="I2" i="1"/>
  <c r="A2" i="1"/>
  <c r="A3" i="1"/>
  <c r="A4" i="1"/>
  <c r="A5" i="1"/>
  <c r="A6" i="1"/>
  <c r="A7" i="1"/>
  <c r="A8" i="1"/>
  <c r="A12" i="1"/>
  <c r="A13" i="1"/>
  <c r="A14" i="1"/>
  <c r="A15" i="1"/>
  <c r="A16" i="1"/>
  <c r="A17" i="1"/>
  <c r="A18" i="1"/>
  <c r="A19" i="1"/>
  <c r="A21" i="1"/>
  <c r="A22" i="1"/>
  <c r="A23" i="1"/>
  <c r="A24" i="1"/>
  <c r="A25" i="1"/>
  <c r="A26" i="1"/>
  <c r="A27" i="1"/>
  <c r="A28" i="1"/>
  <c r="A29" i="1"/>
  <c r="A10" i="1"/>
  <c r="A11" i="1"/>
  <c r="A20" i="1"/>
  <c r="AF2" i="1"/>
  <c r="AF20" i="1"/>
  <c r="AF11" i="1"/>
  <c r="AF10" i="1"/>
  <c r="AF9" i="1"/>
  <c r="M3" i="1"/>
  <c r="N3" i="1"/>
  <c r="O3" i="1"/>
  <c r="P3" i="1"/>
  <c r="M4" i="1"/>
  <c r="N4" i="1"/>
  <c r="O4" i="1"/>
  <c r="P4" i="1"/>
  <c r="M5" i="1"/>
  <c r="N5" i="1"/>
  <c r="O5" i="1"/>
  <c r="P5" i="1"/>
  <c r="M6" i="1"/>
  <c r="N6" i="1"/>
  <c r="O6" i="1"/>
  <c r="P6" i="1"/>
  <c r="M7" i="1"/>
  <c r="N7" i="1"/>
  <c r="O7" i="1"/>
  <c r="P7" i="1"/>
  <c r="M8" i="1"/>
  <c r="N8" i="1"/>
  <c r="O8" i="1"/>
  <c r="P8" i="1"/>
  <c r="L9" i="1"/>
  <c r="M9" i="1"/>
  <c r="N9" i="1"/>
  <c r="O9" i="1"/>
  <c r="P9" i="1"/>
  <c r="L10" i="1"/>
  <c r="M10" i="1"/>
  <c r="N10" i="1"/>
  <c r="O10" i="1"/>
  <c r="P10" i="1"/>
  <c r="L11" i="1"/>
  <c r="M11" i="1"/>
  <c r="N11" i="1"/>
  <c r="O11" i="1"/>
  <c r="P11" i="1"/>
  <c r="M12" i="1"/>
  <c r="N12" i="1"/>
  <c r="O12" i="1"/>
  <c r="P12" i="1"/>
  <c r="M13" i="1"/>
  <c r="N13" i="1"/>
  <c r="O13" i="1"/>
  <c r="P13" i="1"/>
  <c r="M14" i="1"/>
  <c r="N14" i="1"/>
  <c r="O14" i="1"/>
  <c r="P14" i="1"/>
  <c r="M15" i="1"/>
  <c r="N15" i="1"/>
  <c r="O15" i="1"/>
  <c r="P15" i="1"/>
  <c r="M16" i="1"/>
  <c r="N16" i="1"/>
  <c r="O16" i="1"/>
  <c r="P16" i="1"/>
  <c r="M17" i="1"/>
  <c r="N17" i="1"/>
  <c r="O17" i="1"/>
  <c r="P17" i="1"/>
  <c r="M18" i="1"/>
  <c r="N18" i="1"/>
  <c r="O18" i="1"/>
  <c r="P18" i="1"/>
  <c r="M19" i="1"/>
  <c r="N19" i="1"/>
  <c r="O19" i="1"/>
  <c r="P19" i="1"/>
  <c r="L20" i="1"/>
  <c r="M20" i="1"/>
  <c r="N20" i="1"/>
  <c r="O20" i="1"/>
  <c r="P20" i="1"/>
  <c r="M21" i="1"/>
  <c r="N21" i="1"/>
  <c r="O21" i="1"/>
  <c r="P21" i="1"/>
  <c r="M22" i="1"/>
  <c r="N22" i="1"/>
  <c r="O22" i="1"/>
  <c r="P22" i="1"/>
  <c r="M23" i="1"/>
  <c r="N23" i="1"/>
  <c r="O23" i="1"/>
  <c r="P23" i="1"/>
  <c r="M24" i="1"/>
  <c r="N24" i="1"/>
  <c r="O24" i="1"/>
  <c r="P24" i="1"/>
  <c r="M25" i="1"/>
  <c r="N25" i="1"/>
  <c r="O25" i="1"/>
  <c r="P25" i="1"/>
  <c r="M26" i="1"/>
  <c r="N26" i="1"/>
  <c r="O26" i="1"/>
  <c r="P26" i="1"/>
  <c r="M27" i="1"/>
  <c r="N27" i="1"/>
  <c r="O27" i="1"/>
  <c r="P27" i="1"/>
  <c r="M28" i="1"/>
  <c r="N28" i="1"/>
  <c r="O28" i="1"/>
  <c r="P28" i="1"/>
  <c r="M29" i="1"/>
  <c r="N29" i="1"/>
  <c r="O29" i="1"/>
  <c r="P29" i="1"/>
  <c r="P2" i="1"/>
  <c r="O2" i="1"/>
  <c r="N2" i="1"/>
  <c r="M2" i="1"/>
  <c r="D2" i="1"/>
  <c r="F2" i="1"/>
  <c r="AF29" i="1"/>
  <c r="AF28" i="1"/>
  <c r="AF27" i="1"/>
  <c r="AF26" i="1"/>
  <c r="AF25" i="1"/>
  <c r="AF24" i="1"/>
  <c r="AF23" i="1"/>
  <c r="AF22" i="1"/>
  <c r="AF21" i="1"/>
  <c r="AF19" i="1"/>
  <c r="AF18" i="1"/>
  <c r="AF17" i="1"/>
  <c r="AF16" i="1"/>
  <c r="AF15" i="1"/>
  <c r="AF14" i="1"/>
  <c r="AF13" i="1"/>
  <c r="AF12" i="1"/>
  <c r="AF8" i="1"/>
  <c r="AF7" i="1"/>
  <c r="AF6" i="1"/>
  <c r="AF5" i="1"/>
  <c r="AF4" i="1"/>
  <c r="AF3" i="1"/>
  <c r="J13" i="1"/>
  <c r="I13" i="1"/>
  <c r="D13" i="1"/>
  <c r="F13" i="1"/>
  <c r="E13" i="1"/>
  <c r="J23" i="1"/>
  <c r="I23" i="1"/>
  <c r="D23" i="1"/>
  <c r="F23" i="1"/>
  <c r="E23" i="1"/>
  <c r="J29" i="1"/>
  <c r="I29" i="1"/>
  <c r="D29" i="1"/>
  <c r="F29" i="1"/>
  <c r="E29" i="1"/>
  <c r="J11" i="1"/>
  <c r="I11" i="1"/>
  <c r="D11" i="1"/>
  <c r="F11" i="1"/>
  <c r="E11" i="1"/>
  <c r="J10" i="1"/>
  <c r="I10" i="1"/>
  <c r="D10" i="1"/>
  <c r="F10" i="1"/>
  <c r="E10" i="1"/>
  <c r="J9" i="1"/>
  <c r="I9" i="1"/>
  <c r="D9" i="1"/>
  <c r="F9" i="1"/>
  <c r="E9" i="1"/>
  <c r="A9" i="1"/>
  <c r="J8" i="1"/>
  <c r="I8" i="1"/>
  <c r="D8" i="1"/>
  <c r="F8" i="1"/>
  <c r="E8" i="1"/>
  <c r="J18" i="1"/>
  <c r="I18" i="1"/>
  <c r="D18" i="1"/>
  <c r="F18" i="1"/>
  <c r="E18" i="1"/>
  <c r="J19" i="1"/>
  <c r="I19" i="1"/>
  <c r="D19" i="1"/>
  <c r="F19" i="1"/>
  <c r="E19" i="1"/>
  <c r="J21" i="1"/>
  <c r="I21" i="1"/>
  <c r="D21" i="1"/>
  <c r="F21" i="1"/>
  <c r="E21" i="1"/>
  <c r="J24" i="1"/>
  <c r="I24" i="1"/>
  <c r="D24" i="1"/>
  <c r="F24" i="1"/>
  <c r="E24" i="1"/>
  <c r="J28" i="1"/>
  <c r="I28" i="1"/>
  <c r="J22" i="1"/>
  <c r="I22" i="1"/>
  <c r="J27" i="1"/>
  <c r="I27" i="1"/>
  <c r="J26" i="1"/>
  <c r="I26" i="1"/>
  <c r="J25" i="1"/>
  <c r="I25" i="1"/>
  <c r="J20" i="1"/>
  <c r="I20" i="1"/>
  <c r="J17" i="1"/>
  <c r="I17" i="1"/>
  <c r="J16" i="1"/>
  <c r="I16" i="1"/>
  <c r="J15" i="1"/>
  <c r="I15" i="1"/>
  <c r="J14" i="1"/>
  <c r="I14" i="1"/>
  <c r="J12" i="1"/>
  <c r="I12" i="1"/>
  <c r="J7" i="1"/>
  <c r="I7" i="1"/>
  <c r="J6" i="1"/>
  <c r="I6" i="1"/>
  <c r="J5" i="1"/>
  <c r="I5" i="1"/>
  <c r="J4" i="1"/>
  <c r="I4" i="1"/>
  <c r="J3" i="1"/>
  <c r="I3" i="1"/>
  <c r="J2" i="1"/>
  <c r="D28" i="1"/>
  <c r="F28" i="1"/>
  <c r="D22" i="1"/>
  <c r="F22" i="1"/>
  <c r="D27" i="1"/>
  <c r="F27" i="1"/>
  <c r="D26" i="1"/>
  <c r="F26" i="1"/>
  <c r="D25" i="1"/>
  <c r="F25" i="1"/>
  <c r="D20" i="1"/>
  <c r="F20" i="1"/>
  <c r="D17" i="1"/>
  <c r="F17" i="1"/>
  <c r="D16" i="1"/>
  <c r="F16" i="1"/>
  <c r="D15" i="1"/>
  <c r="F15" i="1"/>
  <c r="D14" i="1"/>
  <c r="F14" i="1"/>
  <c r="D12" i="1"/>
  <c r="F12" i="1"/>
  <c r="D7" i="1"/>
  <c r="F7" i="1"/>
  <c r="D6" i="1"/>
  <c r="F6" i="1"/>
  <c r="D5" i="1"/>
  <c r="F5" i="1"/>
  <c r="D4" i="1"/>
  <c r="F4" i="1"/>
  <c r="D3" i="1"/>
  <c r="F3" i="1"/>
  <c r="H6" i="2"/>
  <c r="H5" i="2"/>
  <c r="H4" i="2"/>
  <c r="H3" i="2"/>
  <c r="H2" i="2"/>
  <c r="E22" i="1"/>
  <c r="E27" i="1"/>
  <c r="E26" i="1"/>
  <c r="E25" i="1"/>
  <c r="E3" i="1"/>
  <c r="E17" i="1"/>
  <c r="E16" i="1"/>
  <c r="E15" i="1"/>
  <c r="E14" i="1"/>
  <c r="E7" i="1"/>
  <c r="E6" i="1"/>
  <c r="E5" i="1"/>
  <c r="E4" i="1"/>
  <c r="E12" i="1"/>
  <c r="E20" i="1"/>
  <c r="E28" i="1"/>
  <c r="E2" i="1"/>
  <c r="E6" i="2"/>
  <c r="D6" i="2"/>
  <c r="B6" i="2"/>
  <c r="E5" i="2"/>
  <c r="D5" i="2"/>
  <c r="B5" i="2"/>
  <c r="E4" i="2"/>
  <c r="D4" i="2"/>
  <c r="B4" i="2"/>
  <c r="E3" i="2"/>
  <c r="D3" i="2"/>
  <c r="B3" i="2"/>
  <c r="E2" i="2"/>
  <c r="D2" i="2"/>
  <c r="B2" i="2"/>
</calcChain>
</file>

<file path=xl/sharedStrings.xml><?xml version="1.0" encoding="utf-8"?>
<sst xmlns="http://schemas.openxmlformats.org/spreadsheetml/2006/main" count="203" uniqueCount="109">
  <si>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</si>
  <si>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</si>
  <si>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</si>
  <si>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</si>
  <si>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</si>
  <si>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</si>
  <si>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</si>
  <si>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</si>
  <si>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</si>
  <si>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</si>
  <si>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</si>
  <si>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</si>
  <si>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</si>
  <si>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</si>
  <si>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</si>
  <si>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</si>
  <si>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</si>
  <si>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</si>
  <si>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</si>
  <si>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</si>
  <si>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</si>
  <si>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</si>
  <si>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</si>
  <si>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</si>
  <si>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</si>
  <si>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</si>
  <si>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</si>
  <si>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</si>
  <si>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</si>
  <si>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</si>
  <si>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</si>
  <si>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</si>
  <si>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</si>
  <si>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</si>
  <si>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</si>
  <si>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</si>
  <si>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</si>
  <si>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</si>
  <si>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</si>
  <si>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</si>
  <si>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</si>
  <si>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</si>
  <si>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</si>
  <si>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</si>
  <si>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</si>
  <si>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</si>
  <si>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</si>
  <si>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incidence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</si>
  <si>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</si>
  <si>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</si>
  <si>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</si>
  <si>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</si>
  <si>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</si>
  <si>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</si>
  <si>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</si>
  <si>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</si>
  <si>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</si>
  <si>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</si>
  <si>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</si>
  <si>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</si>
  <si>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</si>
  <si>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old</t>
    <phoneticPr fontId="4"/>
  </si>
  <si>
    <t>floors_</t>
    <phoneticPr fontId="4"/>
  </si>
  <si>
    <t>.tmp</t>
    <phoneticPr fontId="4"/>
  </si>
  <si>
    <t>old</t>
    <phoneticPr fontId="4"/>
  </si>
  <si>
    <t>enemy_habitats_</t>
    <phoneticPr fontId="4"/>
  </si>
  <si>
    <t>seq_no</t>
    <phoneticPr fontId="4"/>
  </si>
  <si>
    <t>enemy_habitat_S_</t>
    <phoneticPr fontId="4"/>
  </si>
  <si>
    <t>.tmp</t>
    <phoneticPr fontId="4"/>
  </si>
  <si>
    <t>enemy_habitat_S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</si>
  <si>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</si>
  <si>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</si>
  <si>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</si>
  <si>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</si>
  <si>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</si>
  <si>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hp_coefficient</t>
    <phoneticPr fontId="4"/>
  </si>
  <si>
    <t>attack_coefficient</t>
    <phoneticPr fontId="4"/>
  </si>
  <si>
    <t>defense_correction</t>
    <phoneticPr fontId="4"/>
  </si>
  <si>
    <t>enemy_skill_sets_</t>
    <phoneticPr fontId="4"/>
  </si>
  <si>
    <t>enemy_skill_sets</t>
    <phoneticPr fontId="4"/>
  </si>
  <si>
    <t>skill_id</t>
  </si>
  <si>
    <t>skill_trigger_id</t>
  </si>
  <si>
    <t>enemy_skills_tmp_</t>
    <phoneticPr fontId="4"/>
  </si>
  <si>
    <t>.tmp</t>
    <phoneticPr fontId="4"/>
  </si>
  <si>
    <t>enemy_skills</t>
    <phoneticPr fontId="4"/>
  </si>
  <si>
    <t>enemy_skill_id</t>
  </si>
  <si>
    <t>effect_param</t>
    <phoneticPr fontId="4"/>
  </si>
  <si>
    <t>valid_flg</t>
  </si>
  <si>
    <t>enemy_skills_i18n_</t>
    <phoneticPr fontId="4"/>
  </si>
  <si>
    <t>language</t>
  </si>
  <si>
    <t>name</t>
  </si>
  <si>
    <t>comment</t>
  </si>
  <si>
    <t>enemy_skill_triggers_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</si>
  <si>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</si>
  <si>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</si>
  <si>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</si>
  <si>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</si>
  <si>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</si>
  <si>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</si>
  <si>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</si>
  <si>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</si>
  <si>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</si>
  <si>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</si>
  <si>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skip</t>
    <phoneticPr fontId="4"/>
  </si>
  <si>
    <t>skip</t>
    <phoneticPr fontId="4"/>
  </si>
  <si>
    <t>week_q_1Mc</t>
  </si>
  <si>
    <t>floors_week_q_1Mc</t>
    <phoneticPr fontId="4"/>
  </si>
  <si>
    <t>enemy_habitats_week_q_1Mc</t>
    <phoneticPr fontId="4"/>
  </si>
  <si>
    <t>null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</si>
</sst>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2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92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5" fillId="0" borderId="0">
      <alignment vertical="center"/>
    </xf>
    <xf numFmtId="0" fontId="17" fillId="0" borderId="0"/>
    <xf numFmtId="38" fontId="18" fillId="0" borderId="0" applyFill="0" applyBorder="0" applyAlignment="0" applyProtection="0"/>
    <xf numFmtId="0" fontId="19" fillId="12" borderId="0" applyNumberFormat="0" applyBorder="0" applyAlignment="0" applyProtection="0"/>
    <xf numFmtId="0" fontId="20" fillId="13" borderId="0" applyNumberFormat="0" applyBorder="0" applyAlignment="0" applyProtection="0"/>
    <xf numFmtId="0" fontId="21" fillId="0" borderId="0"/>
    <xf numFmtId="0" fontId="13" fillId="0" borderId="0">
      <alignment vertical="center"/>
    </xf>
    <xf numFmtId="0" fontId="22" fillId="14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13" fillId="0" borderId="7" xfId="0" applyFont="1" applyFill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0" fontId="12" fillId="0" borderId="7" xfId="0" applyFont="1" applyFill="1" applyBorder="1" applyAlignment="1">
      <alignment horizontal="center" vertical="center"/>
    </xf>
    <xf numFmtId="0" fontId="14" fillId="9" borderId="7" xfId="0" applyFont="1" applyFill="1" applyBorder="1" applyAlignment="1">
      <alignment vertical="center"/>
    </xf>
    <xf numFmtId="0" fontId="5" fillId="8" borderId="9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6" fontId="7" fillId="0" borderId="4" xfId="0" applyNumberFormat="1" applyFont="1" applyBorder="1" applyAlignment="1">
      <alignment vertical="center"/>
    </xf>
    <xf numFmtId="0" fontId="3" fillId="3" borderId="7" xfId="0" applyFont="1" applyFill="1" applyBorder="1" applyAlignment="1">
      <alignment horizontal="left" vertical="center"/>
    </xf>
    <xf numFmtId="0" fontId="11" fillId="10" borderId="7" xfId="1662" applyFont="1" applyFill="1" applyBorder="1" applyAlignment="1"/>
    <xf numFmtId="0" fontId="11" fillId="10" borderId="7" xfId="0" applyFont="1" applyFill="1" applyBorder="1"/>
    <xf numFmtId="0" fontId="0" fillId="10" borderId="7" xfId="0" applyFill="1" applyBorder="1"/>
    <xf numFmtId="0" fontId="15" fillId="0" borderId="7" xfId="1662" applyBorder="1" applyAlignment="1"/>
    <xf numFmtId="0" fontId="0" fillId="0" borderId="7" xfId="0" applyBorder="1"/>
    <xf numFmtId="0" fontId="0" fillId="6" borderId="7" xfId="0" applyFill="1" applyBorder="1"/>
    <xf numFmtId="0" fontId="16" fillId="11" borderId="7" xfId="0" applyFont="1" applyFill="1" applyBorder="1"/>
    <xf numFmtId="0" fontId="3" fillId="0" borderId="7" xfId="0" applyFont="1" applyBorder="1" applyAlignment="1">
      <alignment vertical="center"/>
    </xf>
    <xf numFmtId="0" fontId="5" fillId="8" borderId="3" xfId="0" applyFont="1" applyFill="1" applyBorder="1" applyAlignment="1">
      <alignment vertical="center"/>
    </xf>
  </cellXfs>
  <cellStyles count="1692">
    <cellStyle name="Excel Built-in Normal" xfId="1663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70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桁区切り 2" xfId="1664"/>
    <cellStyle name="標準" xfId="0" builtinId="0"/>
    <cellStyle name="標準 2" xfId="1667"/>
    <cellStyle name="標準 2 2" xfId="1668"/>
    <cellStyle name="標準 3" xfId="1662"/>
    <cellStyle name="標準 4" xfId="11"/>
    <cellStyle name="標準 4 2" xfId="1672"/>
    <cellStyle name="標準 6" xfId="1673"/>
    <cellStyle name="無題1" xfId="1669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71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赤字強調" xfId="1666"/>
    <cellStyle name="青字強調" xfId="166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externalLink" Target="externalLinks/externalLink3.xml"/><Relationship Id="rId7" Type="http://schemas.openxmlformats.org/officeDocument/2006/relationships/externalLink" Target="externalLinks/externalLink4.xml"/><Relationship Id="rId8" Type="http://schemas.openxmlformats.org/officeDocument/2006/relationships/externalLink" Target="externalLinks/externalLink5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event_multi_4_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s"/>
      <sheetName val="enemy_skill_triggers"/>
      <sheetName val="enemy_skill_sets"/>
    </sheetNames>
    <sheetDataSet>
      <sheetData sheetId="0" refreshError="1"/>
      <sheetData sheetId="1">
        <row r="2">
          <cell r="C2">
            <v>30016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39001</v>
          </cell>
        </row>
        <row r="168">
          <cell r="A168">
            <v>39002</v>
          </cell>
        </row>
        <row r="169">
          <cell r="A169">
            <v>39003</v>
          </cell>
        </row>
        <row r="170">
          <cell r="A170">
            <v>39004</v>
          </cell>
        </row>
        <row r="171">
          <cell r="A171">
            <v>39005</v>
          </cell>
        </row>
        <row r="172">
          <cell r="A172">
            <v>39006</v>
          </cell>
        </row>
        <row r="173">
          <cell r="A173">
            <v>39007</v>
          </cell>
        </row>
        <row r="174">
          <cell r="A174">
            <v>40001</v>
          </cell>
        </row>
        <row r="175">
          <cell r="A175">
            <v>40002</v>
          </cell>
        </row>
        <row r="176">
          <cell r="A176">
            <v>40003</v>
          </cell>
        </row>
        <row r="177">
          <cell r="A177">
            <v>40004</v>
          </cell>
        </row>
        <row r="178">
          <cell r="A178">
            <v>40005</v>
          </cell>
        </row>
        <row r="179">
          <cell r="A179">
            <v>40006</v>
          </cell>
        </row>
        <row r="180">
          <cell r="A180">
            <v>40007</v>
          </cell>
        </row>
        <row r="181">
          <cell r="A181">
            <v>40008</v>
          </cell>
        </row>
        <row r="182">
          <cell r="A182">
            <v>40009</v>
          </cell>
        </row>
        <row r="183">
          <cell r="A183">
            <v>40010</v>
          </cell>
        </row>
        <row r="184">
          <cell r="A184">
            <v>40011</v>
          </cell>
        </row>
        <row r="185">
          <cell r="A185">
            <v>40012</v>
          </cell>
        </row>
        <row r="186">
          <cell r="A186">
            <v>40013</v>
          </cell>
        </row>
        <row r="187">
          <cell r="A187">
            <v>40014</v>
          </cell>
        </row>
        <row r="188">
          <cell r="A188">
            <v>40015</v>
          </cell>
        </row>
        <row r="189">
          <cell r="A189">
            <v>40016</v>
          </cell>
        </row>
        <row r="190">
          <cell r="A190">
            <v>40017</v>
          </cell>
        </row>
        <row r="191">
          <cell r="A191">
            <v>40018</v>
          </cell>
        </row>
        <row r="192">
          <cell r="A192">
            <v>40019</v>
          </cell>
        </row>
        <row r="193">
          <cell r="A193">
            <v>40021</v>
          </cell>
        </row>
        <row r="194">
          <cell r="A194">
            <v>40022</v>
          </cell>
        </row>
        <row r="195">
          <cell r="A195">
            <v>40023</v>
          </cell>
        </row>
        <row r="196">
          <cell r="A196">
            <v>40024</v>
          </cell>
        </row>
        <row r="197">
          <cell r="A197">
            <v>40025</v>
          </cell>
        </row>
        <row r="198">
          <cell r="A198">
            <v>40026</v>
          </cell>
        </row>
        <row r="199">
          <cell r="A199">
            <v>40027</v>
          </cell>
        </row>
        <row r="200">
          <cell r="A200">
            <v>40028</v>
          </cell>
        </row>
        <row r="201">
          <cell r="A201">
            <v>40029</v>
          </cell>
        </row>
        <row r="202">
          <cell r="A202">
            <v>40030</v>
          </cell>
        </row>
        <row r="203">
          <cell r="A203">
            <v>40031</v>
          </cell>
        </row>
        <row r="204">
          <cell r="A204">
            <v>40032</v>
          </cell>
        </row>
        <row r="205">
          <cell r="A205">
            <v>48001</v>
          </cell>
        </row>
        <row r="206">
          <cell r="A206">
            <v>48002</v>
          </cell>
        </row>
        <row r="207">
          <cell r="A207">
            <v>48003</v>
          </cell>
        </row>
        <row r="208">
          <cell r="A208">
            <v>48004</v>
          </cell>
        </row>
        <row r="209">
          <cell r="A209">
            <v>48005</v>
          </cell>
        </row>
        <row r="210">
          <cell r="A210">
            <v>48006</v>
          </cell>
        </row>
        <row r="211">
          <cell r="A211">
            <v>41001</v>
          </cell>
        </row>
        <row r="212">
          <cell r="A212">
            <v>41002</v>
          </cell>
        </row>
        <row r="213">
          <cell r="A213">
            <v>41003</v>
          </cell>
        </row>
        <row r="214">
          <cell r="A214">
            <v>41004</v>
          </cell>
        </row>
        <row r="215">
          <cell r="A215">
            <v>41005</v>
          </cell>
        </row>
        <row r="216">
          <cell r="A216">
            <v>41006</v>
          </cell>
        </row>
        <row r="217">
          <cell r="A217">
            <v>41007</v>
          </cell>
        </row>
        <row r="218">
          <cell r="A218">
            <v>41008</v>
          </cell>
        </row>
        <row r="219">
          <cell r="A219">
            <v>41009</v>
          </cell>
        </row>
        <row r="220">
          <cell r="A220">
            <v>41010</v>
          </cell>
        </row>
        <row r="221">
          <cell r="A221">
            <v>41011</v>
          </cell>
        </row>
        <row r="222">
          <cell r="A222">
            <v>41012</v>
          </cell>
        </row>
        <row r="223">
          <cell r="A223">
            <v>41013</v>
          </cell>
        </row>
        <row r="224">
          <cell r="A224">
            <v>41014</v>
          </cell>
        </row>
        <row r="225">
          <cell r="A225">
            <v>41015</v>
          </cell>
        </row>
        <row r="226">
          <cell r="A226">
            <v>47001</v>
          </cell>
        </row>
        <row r="227">
          <cell r="A227">
            <v>47002</v>
          </cell>
        </row>
        <row r="228">
          <cell r="A228">
            <v>49001</v>
          </cell>
        </row>
        <row r="229">
          <cell r="A229">
            <v>49002</v>
          </cell>
        </row>
        <row r="230">
          <cell r="A230">
            <v>49003</v>
          </cell>
        </row>
        <row r="231">
          <cell r="A231">
            <v>49004</v>
          </cell>
        </row>
        <row r="232">
          <cell r="A232">
            <v>49005</v>
          </cell>
        </row>
        <row r="233">
          <cell r="A233">
            <v>49006</v>
          </cell>
        </row>
        <row r="234">
          <cell r="A234">
            <v>49007</v>
          </cell>
        </row>
        <row r="235">
          <cell r="A235">
            <v>50001</v>
          </cell>
        </row>
        <row r="236">
          <cell r="A236">
            <v>50002</v>
          </cell>
        </row>
        <row r="237">
          <cell r="A237">
            <v>50003</v>
          </cell>
        </row>
        <row r="238">
          <cell r="A238">
            <v>50004</v>
          </cell>
        </row>
        <row r="239">
          <cell r="A239">
            <v>50005</v>
          </cell>
        </row>
        <row r="240">
          <cell r="A240">
            <v>50006</v>
          </cell>
        </row>
        <row r="241">
          <cell r="A241">
            <v>50007</v>
          </cell>
        </row>
        <row r="242">
          <cell r="A242">
            <v>51001</v>
          </cell>
        </row>
        <row r="243">
          <cell r="A243">
            <v>51002</v>
          </cell>
        </row>
        <row r="244">
          <cell r="A244">
            <v>60001</v>
          </cell>
        </row>
        <row r="245">
          <cell r="A245">
            <v>60002</v>
          </cell>
        </row>
        <row r="246">
          <cell r="A246">
            <v>60003</v>
          </cell>
        </row>
        <row r="247">
          <cell r="A247">
            <v>60004</v>
          </cell>
        </row>
        <row r="248">
          <cell r="A248">
            <v>60005</v>
          </cell>
        </row>
        <row r="249">
          <cell r="A249">
            <v>60006</v>
          </cell>
        </row>
        <row r="250">
          <cell r="A250">
            <v>60007</v>
          </cell>
        </row>
        <row r="251">
          <cell r="A251">
            <v>60010</v>
          </cell>
        </row>
        <row r="252">
          <cell r="A252">
            <v>60011</v>
          </cell>
        </row>
        <row r="253">
          <cell r="A253">
            <v>61011</v>
          </cell>
        </row>
        <row r="254">
          <cell r="A254">
            <v>60012</v>
          </cell>
        </row>
        <row r="255">
          <cell r="A255">
            <v>60013</v>
          </cell>
        </row>
        <row r="256">
          <cell r="A256">
            <v>60014</v>
          </cell>
        </row>
        <row r="257">
          <cell r="A257">
            <v>60015</v>
          </cell>
        </row>
        <row r="258">
          <cell r="A258">
            <v>60016</v>
          </cell>
        </row>
        <row r="259">
          <cell r="A259">
            <v>65525</v>
          </cell>
        </row>
        <row r="260">
          <cell r="A260">
            <v>65533</v>
          </cell>
        </row>
        <row r="261">
          <cell r="A261">
            <v>65534</v>
          </cell>
        </row>
        <row r="262">
          <cell r="A262">
            <v>65535</v>
          </cell>
        </row>
        <row r="263">
          <cell r="A263">
            <v>60021</v>
          </cell>
        </row>
        <row r="264">
          <cell r="A264">
            <v>60022</v>
          </cell>
        </row>
        <row r="265">
          <cell r="A265">
            <v>60023</v>
          </cell>
        </row>
        <row r="266">
          <cell r="A26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11018_1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39001_1</v>
          </cell>
        </row>
        <row r="592">
          <cell r="A592" t="str">
            <v>39001_2</v>
          </cell>
        </row>
        <row r="593">
          <cell r="A593" t="str">
            <v>39001_3</v>
          </cell>
        </row>
        <row r="594">
          <cell r="A594" t="str">
            <v>39001_4</v>
          </cell>
        </row>
        <row r="595">
          <cell r="A595" t="str">
            <v>39001_5</v>
          </cell>
        </row>
        <row r="596">
          <cell r="A596" t="str">
            <v>39002_1</v>
          </cell>
        </row>
        <row r="597">
          <cell r="A597" t="str">
            <v>39002_2</v>
          </cell>
        </row>
        <row r="598">
          <cell r="A598" t="str">
            <v>39002_3</v>
          </cell>
        </row>
        <row r="599">
          <cell r="A599" t="str">
            <v>39002_4</v>
          </cell>
        </row>
        <row r="600">
          <cell r="A600" t="str">
            <v>39003_1</v>
          </cell>
        </row>
        <row r="601">
          <cell r="A601" t="str">
            <v>39003_2</v>
          </cell>
        </row>
        <row r="602">
          <cell r="A602" t="str">
            <v>39003_3</v>
          </cell>
        </row>
        <row r="603">
          <cell r="A603" t="str">
            <v>39003_4</v>
          </cell>
        </row>
        <row r="604">
          <cell r="A604" t="str">
            <v>39004_1</v>
          </cell>
        </row>
        <row r="605">
          <cell r="A605" t="str">
            <v>39004_2</v>
          </cell>
        </row>
        <row r="606">
          <cell r="A606" t="str">
            <v>39004_3</v>
          </cell>
        </row>
        <row r="607">
          <cell r="A607" t="str">
            <v>39004_4</v>
          </cell>
        </row>
        <row r="608">
          <cell r="A608" t="str">
            <v>39005_1</v>
          </cell>
        </row>
        <row r="609">
          <cell r="A609" t="str">
            <v>39005_2</v>
          </cell>
        </row>
        <row r="610">
          <cell r="A610" t="str">
            <v>39005_3</v>
          </cell>
        </row>
        <row r="611">
          <cell r="A611" t="str">
            <v>39005_4</v>
          </cell>
        </row>
        <row r="612">
          <cell r="A612" t="str">
            <v>39005_5</v>
          </cell>
        </row>
        <row r="613">
          <cell r="A613" t="str">
            <v>39006_1</v>
          </cell>
        </row>
        <row r="614">
          <cell r="A614" t="str">
            <v>39006_2</v>
          </cell>
        </row>
        <row r="615">
          <cell r="A615" t="str">
            <v>39006_3</v>
          </cell>
        </row>
        <row r="616">
          <cell r="A616" t="str">
            <v>39006_4</v>
          </cell>
        </row>
        <row r="617">
          <cell r="A617" t="str">
            <v>39007_1</v>
          </cell>
        </row>
        <row r="618">
          <cell r="A618" t="str">
            <v>39007_2</v>
          </cell>
        </row>
        <row r="619">
          <cell r="A619" t="str">
            <v>39007_3</v>
          </cell>
        </row>
        <row r="620">
          <cell r="A620" t="str">
            <v>39007_4</v>
          </cell>
        </row>
        <row r="621">
          <cell r="A621" t="str">
            <v>40001_1</v>
          </cell>
        </row>
        <row r="622">
          <cell r="A622" t="str">
            <v>40002_1</v>
          </cell>
        </row>
        <row r="623">
          <cell r="A623" t="str">
            <v>40002_2</v>
          </cell>
        </row>
        <row r="624">
          <cell r="A624" t="str">
            <v>40002_3</v>
          </cell>
        </row>
        <row r="625">
          <cell r="A625" t="str">
            <v>40003_1</v>
          </cell>
        </row>
        <row r="626">
          <cell r="A626" t="str">
            <v>40004_1</v>
          </cell>
        </row>
        <row r="627">
          <cell r="A627" t="str">
            <v>40005_1</v>
          </cell>
        </row>
        <row r="628">
          <cell r="A628" t="str">
            <v>40006_1</v>
          </cell>
        </row>
        <row r="629">
          <cell r="A629" t="str">
            <v>40007_1</v>
          </cell>
        </row>
        <row r="630">
          <cell r="A630" t="str">
            <v>40008_1</v>
          </cell>
        </row>
        <row r="631">
          <cell r="A631" t="str">
            <v>40009_1</v>
          </cell>
        </row>
        <row r="632">
          <cell r="A632" t="str">
            <v>40010_1</v>
          </cell>
        </row>
        <row r="633">
          <cell r="A633" t="str">
            <v>40011_1</v>
          </cell>
        </row>
        <row r="634">
          <cell r="A634" t="str">
            <v>40012_1</v>
          </cell>
        </row>
        <row r="635">
          <cell r="A635" t="str">
            <v>40013_1</v>
          </cell>
        </row>
        <row r="636">
          <cell r="A636" t="str">
            <v>40014_1</v>
          </cell>
        </row>
        <row r="637">
          <cell r="A637" t="str">
            <v>40015_1</v>
          </cell>
        </row>
        <row r="638">
          <cell r="A638" t="str">
            <v>40016_1</v>
          </cell>
        </row>
        <row r="639">
          <cell r="A639" t="str">
            <v>40016_2</v>
          </cell>
        </row>
        <row r="640">
          <cell r="A640" t="str">
            <v>40017_1</v>
          </cell>
        </row>
        <row r="641">
          <cell r="A641" t="str">
            <v>40017_2</v>
          </cell>
        </row>
        <row r="642">
          <cell r="A642" t="str">
            <v>40017_3</v>
          </cell>
        </row>
        <row r="643">
          <cell r="A643" t="str">
            <v>40018_1</v>
          </cell>
        </row>
        <row r="644">
          <cell r="A644" t="str">
            <v>40018_2</v>
          </cell>
        </row>
        <row r="645">
          <cell r="A645" t="str">
            <v>40018_3</v>
          </cell>
        </row>
        <row r="646">
          <cell r="A646" t="str">
            <v>40019_1</v>
          </cell>
        </row>
        <row r="647">
          <cell r="A647" t="str">
            <v>40019_2</v>
          </cell>
        </row>
        <row r="648">
          <cell r="A648" t="str">
            <v>40019_3</v>
          </cell>
        </row>
        <row r="649">
          <cell r="A649" t="str">
            <v>40021_1</v>
          </cell>
        </row>
        <row r="650">
          <cell r="A650" t="str">
            <v>40021_2</v>
          </cell>
        </row>
        <row r="651">
          <cell r="A651" t="str">
            <v>40022_1</v>
          </cell>
        </row>
        <row r="652">
          <cell r="A652" t="str">
            <v>40022_2</v>
          </cell>
        </row>
        <row r="653">
          <cell r="A653" t="str">
            <v>40023_1</v>
          </cell>
        </row>
        <row r="654">
          <cell r="A654" t="str">
            <v>40023_2</v>
          </cell>
        </row>
        <row r="655">
          <cell r="A655" t="str">
            <v>40024_1</v>
          </cell>
        </row>
        <row r="656">
          <cell r="A656" t="str">
            <v>40024_2</v>
          </cell>
        </row>
        <row r="657">
          <cell r="A657" t="str">
            <v>40025_1</v>
          </cell>
        </row>
        <row r="658">
          <cell r="A658" t="str">
            <v>40025_2</v>
          </cell>
        </row>
        <row r="659">
          <cell r="A659" t="str">
            <v>40026_1</v>
          </cell>
        </row>
        <row r="660">
          <cell r="A660" t="str">
            <v>40026_2</v>
          </cell>
        </row>
        <row r="661">
          <cell r="A661" t="str">
            <v>40027_1</v>
          </cell>
        </row>
        <row r="662">
          <cell r="A662" t="str">
            <v>40027_2</v>
          </cell>
        </row>
        <row r="663">
          <cell r="A663" t="str">
            <v>40028_1</v>
          </cell>
        </row>
        <row r="664">
          <cell r="A664" t="str">
            <v>40028_2</v>
          </cell>
        </row>
        <row r="665">
          <cell r="A665" t="str">
            <v>40029_1</v>
          </cell>
        </row>
        <row r="666">
          <cell r="A666" t="str">
            <v>40029_2</v>
          </cell>
        </row>
        <row r="667">
          <cell r="A667" t="str">
            <v>40030_1</v>
          </cell>
        </row>
        <row r="668">
          <cell r="A668" t="str">
            <v>40030_2</v>
          </cell>
        </row>
        <row r="669">
          <cell r="A669" t="str">
            <v>40031_1</v>
          </cell>
        </row>
        <row r="670">
          <cell r="A670" t="str">
            <v>40031_2</v>
          </cell>
        </row>
        <row r="671">
          <cell r="A671" t="str">
            <v>40032_1</v>
          </cell>
        </row>
        <row r="672">
          <cell r="A672" t="str">
            <v>40032_2</v>
          </cell>
        </row>
        <row r="673">
          <cell r="A673" t="str">
            <v>48001_1</v>
          </cell>
        </row>
        <row r="674">
          <cell r="A674" t="str">
            <v>48002_1</v>
          </cell>
        </row>
        <row r="675">
          <cell r="A675" t="str">
            <v>48002_2</v>
          </cell>
        </row>
        <row r="676">
          <cell r="A676" t="str">
            <v>48002_3</v>
          </cell>
        </row>
        <row r="677">
          <cell r="A677" t="str">
            <v>48003_1</v>
          </cell>
        </row>
        <row r="678">
          <cell r="A678" t="str">
            <v>48003_2</v>
          </cell>
        </row>
        <row r="679">
          <cell r="A679" t="str">
            <v>48003_3</v>
          </cell>
        </row>
        <row r="680">
          <cell r="A680" t="str">
            <v>48004_1</v>
          </cell>
        </row>
        <row r="681">
          <cell r="A681" t="str">
            <v>48004_2</v>
          </cell>
        </row>
        <row r="682">
          <cell r="A682" t="str">
            <v>48004_3</v>
          </cell>
        </row>
        <row r="683">
          <cell r="A683" t="str">
            <v>48005_1</v>
          </cell>
        </row>
        <row r="684">
          <cell r="A684" t="str">
            <v>48005_2</v>
          </cell>
        </row>
        <row r="685">
          <cell r="A685" t="str">
            <v>48006_1</v>
          </cell>
        </row>
        <row r="686">
          <cell r="A686" t="str">
            <v>48006_2</v>
          </cell>
        </row>
        <row r="687">
          <cell r="A687" t="str">
            <v>41001_1</v>
          </cell>
        </row>
        <row r="688">
          <cell r="A688" t="str">
            <v>41001_2</v>
          </cell>
        </row>
        <row r="689">
          <cell r="A689" t="str">
            <v>41001_3</v>
          </cell>
        </row>
        <row r="690">
          <cell r="A690" t="str">
            <v>41002_1</v>
          </cell>
        </row>
        <row r="691">
          <cell r="A691" t="str">
            <v>41002_2</v>
          </cell>
        </row>
        <row r="692">
          <cell r="A692" t="str">
            <v>41002_3</v>
          </cell>
        </row>
        <row r="693">
          <cell r="A693" t="str">
            <v>41003_1</v>
          </cell>
        </row>
        <row r="694">
          <cell r="A694" t="str">
            <v>41003_2</v>
          </cell>
        </row>
        <row r="695">
          <cell r="A695" t="str">
            <v>41003_3</v>
          </cell>
        </row>
        <row r="696">
          <cell r="A696" t="str">
            <v>41004_1</v>
          </cell>
        </row>
        <row r="697">
          <cell r="A697" t="str">
            <v>41004_2</v>
          </cell>
        </row>
        <row r="698">
          <cell r="A698" t="str">
            <v>41004_3</v>
          </cell>
        </row>
        <row r="699">
          <cell r="A699" t="str">
            <v>41005_1</v>
          </cell>
        </row>
        <row r="700">
          <cell r="A700" t="str">
            <v>41005_2</v>
          </cell>
        </row>
        <row r="701">
          <cell r="A701" t="str">
            <v>41005_3</v>
          </cell>
        </row>
        <row r="702">
          <cell r="A702" t="str">
            <v>41006_1</v>
          </cell>
        </row>
        <row r="703">
          <cell r="A703" t="str">
            <v>41006_2</v>
          </cell>
        </row>
        <row r="704">
          <cell r="A704" t="str">
            <v>41006_3</v>
          </cell>
        </row>
        <row r="705">
          <cell r="A705" t="str">
            <v>41007_1</v>
          </cell>
        </row>
        <row r="706">
          <cell r="A706" t="str">
            <v>41007_2</v>
          </cell>
        </row>
        <row r="707">
          <cell r="A707" t="str">
            <v>41007_3</v>
          </cell>
        </row>
        <row r="708">
          <cell r="A708" t="str">
            <v>41008_1</v>
          </cell>
        </row>
        <row r="709">
          <cell r="A709" t="str">
            <v>41008_2</v>
          </cell>
        </row>
        <row r="710">
          <cell r="A710" t="str">
            <v>41008_3</v>
          </cell>
        </row>
        <row r="711">
          <cell r="A711" t="str">
            <v>41009_1</v>
          </cell>
        </row>
        <row r="712">
          <cell r="A712" t="str">
            <v>41009_2</v>
          </cell>
        </row>
        <row r="713">
          <cell r="A713" t="str">
            <v>41009_3</v>
          </cell>
        </row>
        <row r="714">
          <cell r="A714" t="str">
            <v>41010_1</v>
          </cell>
        </row>
        <row r="715">
          <cell r="A715" t="str">
            <v>41010_2</v>
          </cell>
        </row>
        <row r="716">
          <cell r="A716" t="str">
            <v>41010_3</v>
          </cell>
        </row>
        <row r="717">
          <cell r="A717" t="str">
            <v>41011_1</v>
          </cell>
        </row>
        <row r="718">
          <cell r="A718" t="str">
            <v>41011_2</v>
          </cell>
        </row>
        <row r="719">
          <cell r="A719" t="str">
            <v>41012_1</v>
          </cell>
        </row>
        <row r="720">
          <cell r="A720" t="str">
            <v>41012_2</v>
          </cell>
        </row>
        <row r="721">
          <cell r="A721" t="str">
            <v>41013_1</v>
          </cell>
        </row>
        <row r="722">
          <cell r="A722" t="str">
            <v>41013_2</v>
          </cell>
        </row>
        <row r="723">
          <cell r="A723" t="str">
            <v>41014_1</v>
          </cell>
        </row>
        <row r="724">
          <cell r="A724" t="str">
            <v>41014_2</v>
          </cell>
        </row>
        <row r="725">
          <cell r="A725" t="str">
            <v>41015_1</v>
          </cell>
        </row>
        <row r="726">
          <cell r="A726" t="str">
            <v>41015_2</v>
          </cell>
        </row>
        <row r="727">
          <cell r="A727" t="str">
            <v>47001_1</v>
          </cell>
        </row>
        <row r="728">
          <cell r="A728" t="str">
            <v>47001_2</v>
          </cell>
        </row>
        <row r="729">
          <cell r="A729" t="str">
            <v>47002_1</v>
          </cell>
        </row>
        <row r="730">
          <cell r="A730" t="str">
            <v>47002_2</v>
          </cell>
        </row>
        <row r="731">
          <cell r="A731" t="str">
            <v>49001_1</v>
          </cell>
        </row>
        <row r="732">
          <cell r="A732" t="str">
            <v>49002_1</v>
          </cell>
        </row>
        <row r="733">
          <cell r="A733" t="str">
            <v>49002_2</v>
          </cell>
        </row>
        <row r="734">
          <cell r="A734" t="str">
            <v>49003_1</v>
          </cell>
        </row>
        <row r="735">
          <cell r="A735" t="str">
            <v>49003_2</v>
          </cell>
        </row>
        <row r="736">
          <cell r="A736" t="str">
            <v>49004_1</v>
          </cell>
        </row>
        <row r="737">
          <cell r="A737" t="str">
            <v>49004_2</v>
          </cell>
        </row>
        <row r="738">
          <cell r="A738" t="str">
            <v>49004_3</v>
          </cell>
        </row>
        <row r="739">
          <cell r="A739" t="str">
            <v>49005_1</v>
          </cell>
        </row>
        <row r="740">
          <cell r="A740" t="str">
            <v>49006_1</v>
          </cell>
        </row>
        <row r="741">
          <cell r="A741" t="str">
            <v>49006_2</v>
          </cell>
        </row>
        <row r="742">
          <cell r="A742" t="str">
            <v>49007_1</v>
          </cell>
        </row>
        <row r="743">
          <cell r="A743" t="str">
            <v>49007_2</v>
          </cell>
        </row>
        <row r="744">
          <cell r="A744" t="str">
            <v>49007_3</v>
          </cell>
        </row>
        <row r="745">
          <cell r="A745" t="str">
            <v>50001_1</v>
          </cell>
        </row>
        <row r="746">
          <cell r="A746" t="str">
            <v>50002_1</v>
          </cell>
        </row>
        <row r="747">
          <cell r="A747" t="str">
            <v>50003_1</v>
          </cell>
        </row>
        <row r="748">
          <cell r="A748" t="str">
            <v>50004_1</v>
          </cell>
        </row>
        <row r="749">
          <cell r="A749" t="str">
            <v>50005_1</v>
          </cell>
        </row>
        <row r="750">
          <cell r="A750" t="str">
            <v>50006_1</v>
          </cell>
        </row>
        <row r="751">
          <cell r="A751" t="str">
            <v>50007_1</v>
          </cell>
        </row>
        <row r="752">
          <cell r="A752" t="str">
            <v>51001_1</v>
          </cell>
        </row>
        <row r="753">
          <cell r="A753" t="str">
            <v>51002_1</v>
          </cell>
        </row>
        <row r="754">
          <cell r="A754" t="str">
            <v>60001_1</v>
          </cell>
        </row>
        <row r="755">
          <cell r="A755" t="str">
            <v>60002_1</v>
          </cell>
        </row>
        <row r="756">
          <cell r="A756" t="str">
            <v>60002_2</v>
          </cell>
        </row>
        <row r="757">
          <cell r="A757" t="str">
            <v>60003_1</v>
          </cell>
        </row>
        <row r="758">
          <cell r="A758" t="str">
            <v>60003_2</v>
          </cell>
        </row>
        <row r="759">
          <cell r="A759" t="str">
            <v>60003_3</v>
          </cell>
        </row>
        <row r="760">
          <cell r="A760" t="str">
            <v>60004_1</v>
          </cell>
        </row>
        <row r="761">
          <cell r="A761" t="str">
            <v>60005_1</v>
          </cell>
        </row>
        <row r="762">
          <cell r="A762" t="str">
            <v>60006_1</v>
          </cell>
        </row>
        <row r="763">
          <cell r="A763" t="str">
            <v>60006_2</v>
          </cell>
        </row>
        <row r="764">
          <cell r="A764" t="str">
            <v>60006_3</v>
          </cell>
        </row>
        <row r="765">
          <cell r="A765" t="str">
            <v>60007_1</v>
          </cell>
        </row>
        <row r="766">
          <cell r="A766" t="str">
            <v>60007_2</v>
          </cell>
        </row>
        <row r="767">
          <cell r="A767" t="str">
            <v>60007_3</v>
          </cell>
        </row>
        <row r="768">
          <cell r="A768" t="str">
            <v>60010_1</v>
          </cell>
        </row>
        <row r="769">
          <cell r="A769" t="str">
            <v>60011_1</v>
          </cell>
        </row>
        <row r="770">
          <cell r="A770" t="str">
            <v>60011_2</v>
          </cell>
        </row>
        <row r="771">
          <cell r="A771" t="str">
            <v>61011_1</v>
          </cell>
        </row>
        <row r="772">
          <cell r="A772" t="str">
            <v>60012_1</v>
          </cell>
        </row>
        <row r="773">
          <cell r="A773" t="str">
            <v>60013_1</v>
          </cell>
        </row>
        <row r="774">
          <cell r="A774" t="str">
            <v>60013_2</v>
          </cell>
        </row>
        <row r="775">
          <cell r="A775" t="str">
            <v>60013_3</v>
          </cell>
        </row>
        <row r="776">
          <cell r="A776" t="str">
            <v>60014_1</v>
          </cell>
        </row>
        <row r="777">
          <cell r="A777" t="str">
            <v>60015_1</v>
          </cell>
        </row>
        <row r="778">
          <cell r="A778" t="str">
            <v>60016_1</v>
          </cell>
        </row>
        <row r="779">
          <cell r="A779" t="str">
            <v>65525_1</v>
          </cell>
        </row>
        <row r="780">
          <cell r="A780" t="str">
            <v>65533_1</v>
          </cell>
        </row>
        <row r="781">
          <cell r="A781" t="str">
            <v>65533_2</v>
          </cell>
        </row>
        <row r="782">
          <cell r="A782" t="str">
            <v>65534_1</v>
          </cell>
        </row>
        <row r="783">
          <cell r="A783" t="str">
            <v>65535_1</v>
          </cell>
        </row>
        <row r="784">
          <cell r="A784" t="str">
            <v>65535_2</v>
          </cell>
        </row>
        <row r="785">
          <cell r="A785" t="str">
            <v>65535_3</v>
          </cell>
        </row>
        <row r="786">
          <cell r="A786" t="str">
            <v>65535_4</v>
          </cell>
        </row>
        <row r="787">
          <cell r="A787" t="str">
            <v>65535_5</v>
          </cell>
        </row>
        <row r="788">
          <cell r="A788" t="str">
            <v>65535_6</v>
          </cell>
        </row>
        <row r="789">
          <cell r="A789" t="str">
            <v>65535_7</v>
          </cell>
        </row>
        <row r="790">
          <cell r="A790" t="str">
            <v>65535_8</v>
          </cell>
        </row>
        <row r="791">
          <cell r="A791" t="str">
            <v>65535_9</v>
          </cell>
        </row>
        <row r="792">
          <cell r="A792" t="str">
            <v>65535_10</v>
          </cell>
        </row>
        <row r="793">
          <cell r="A793" t="str">
            <v>60021_3</v>
          </cell>
        </row>
        <row r="794">
          <cell r="A794" t="str">
            <v>60022_3</v>
          </cell>
        </row>
        <row r="795">
          <cell r="A795" t="str">
            <v>60023_3</v>
          </cell>
        </row>
        <row r="796">
          <cell r="A796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none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none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シャドウ・オーディン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2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4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2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4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2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4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2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4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4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4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4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4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</row>
        <row r="565">
          <cell r="A565">
            <v>564</v>
          </cell>
          <cell r="B565" t="str">
            <v>未定</v>
          </cell>
          <cell r="C565">
            <v>5</v>
          </cell>
          <cell r="D565" t="str">
            <v>yellow</v>
          </cell>
          <cell r="E565">
            <v>0.98</v>
          </cell>
          <cell r="F565">
            <v>1.01</v>
          </cell>
          <cell r="G565">
            <v>1</v>
          </cell>
          <cell r="H565" t="str">
            <v>technical</v>
          </cell>
          <cell r="I565" t="str">
            <v>テクニカルタイプ</v>
          </cell>
          <cell r="J565">
            <v>0.9</v>
          </cell>
          <cell r="K565">
            <v>0.9</v>
          </cell>
          <cell r="L565">
            <v>1</v>
          </cell>
          <cell r="M565" t="str">
            <v>unknown</v>
          </cell>
          <cell r="N565" t="str">
            <v>Unknown</v>
          </cell>
          <cell r="O565">
            <v>1</v>
          </cell>
          <cell r="P565">
            <v>1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未定</v>
          </cell>
          <cell r="C566">
            <v>3</v>
          </cell>
          <cell r="D566" t="str">
            <v>yellow</v>
          </cell>
          <cell r="E566">
            <v>0.98</v>
          </cell>
          <cell r="F566">
            <v>1.01</v>
          </cell>
          <cell r="G566">
            <v>1</v>
          </cell>
          <cell r="H566" t="str">
            <v>technical</v>
          </cell>
          <cell r="I566" t="str">
            <v>テクニカルタイプ</v>
          </cell>
          <cell r="J566">
            <v>0.9</v>
          </cell>
          <cell r="K566">
            <v>0.9</v>
          </cell>
          <cell r="L566">
            <v>1</v>
          </cell>
          <cell r="M566" t="str">
            <v>unknown</v>
          </cell>
          <cell r="N566" t="str">
            <v>Unknown</v>
          </cell>
          <cell r="O566">
            <v>1</v>
          </cell>
          <cell r="P566">
            <v>1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25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テスラR6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</row>
        <row r="570">
          <cell r="A570">
            <v>569</v>
          </cell>
          <cell r="B570" t="str">
            <v>イゾルデ</v>
          </cell>
          <cell r="C570">
            <v>4</v>
          </cell>
          <cell r="D570" t="str">
            <v>blue</v>
          </cell>
          <cell r="E570">
            <v>1</v>
          </cell>
          <cell r="F570">
            <v>0.98</v>
          </cell>
          <cell r="G570">
            <v>1</v>
          </cell>
          <cell r="H570" t="str">
            <v>attack</v>
          </cell>
          <cell r="I570" t="str">
            <v>攻撃タイプ</v>
          </cell>
          <cell r="J570">
            <v>1</v>
          </cell>
          <cell r="K570">
            <v>1.33</v>
          </cell>
          <cell r="L570">
            <v>1</v>
          </cell>
          <cell r="M570" t="str">
            <v>human</v>
          </cell>
          <cell r="N570" t="str">
            <v>ヒューマン</v>
          </cell>
          <cell r="O570">
            <v>0.94</v>
          </cell>
          <cell r="P570">
            <v>0.99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30</v>
          </cell>
        </row>
        <row r="571">
          <cell r="A571">
            <v>570</v>
          </cell>
          <cell r="B571" t="str">
            <v>イゾルデ</v>
          </cell>
          <cell r="C571">
            <v>5</v>
          </cell>
          <cell r="D571" t="str">
            <v>blue</v>
          </cell>
          <cell r="E571">
            <v>1</v>
          </cell>
          <cell r="F571">
            <v>0.98</v>
          </cell>
          <cell r="G571">
            <v>1</v>
          </cell>
          <cell r="H571" t="str">
            <v>attack</v>
          </cell>
          <cell r="I571" t="str">
            <v>攻撃タイプ</v>
          </cell>
          <cell r="J571">
            <v>1</v>
          </cell>
          <cell r="K571">
            <v>1.33</v>
          </cell>
          <cell r="L571">
            <v>1</v>
          </cell>
          <cell r="M571" t="str">
            <v>human</v>
          </cell>
          <cell r="N571" t="str">
            <v>ヒューマン</v>
          </cell>
          <cell r="O571">
            <v>0.94</v>
          </cell>
          <cell r="P571">
            <v>0.99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ユミルじゃなくなった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ガルヴァーニ</v>
          </cell>
          <cell r="C628">
            <v>4</v>
          </cell>
          <cell r="D628" t="str">
            <v>yellow</v>
          </cell>
          <cell r="E628">
            <v>0.98</v>
          </cell>
          <cell r="F628">
            <v>1.01</v>
          </cell>
          <cell r="G628">
            <v>1</v>
          </cell>
          <cell r="H628" t="str">
            <v>attack</v>
          </cell>
          <cell r="I628" t="str">
            <v>攻撃タイプ</v>
          </cell>
          <cell r="J628">
            <v>1</v>
          </cell>
          <cell r="K628">
            <v>1.33</v>
          </cell>
          <cell r="L628">
            <v>1</v>
          </cell>
          <cell r="M628" t="str">
            <v>human</v>
          </cell>
          <cell r="N628" t="str">
            <v>ヒューマン</v>
          </cell>
          <cell r="O628">
            <v>0.94</v>
          </cell>
          <cell r="P628">
            <v>0.99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30</v>
          </cell>
        </row>
        <row r="629">
          <cell r="A629">
            <v>628</v>
          </cell>
          <cell r="B629" t="str">
            <v>ガルヴァーニ</v>
          </cell>
          <cell r="C629">
            <v>5</v>
          </cell>
          <cell r="D629" t="str">
            <v>yellow</v>
          </cell>
          <cell r="E629">
            <v>0.98</v>
          </cell>
          <cell r="F629">
            <v>1.01</v>
          </cell>
          <cell r="G629">
            <v>1</v>
          </cell>
          <cell r="H629" t="str">
            <v>attack</v>
          </cell>
          <cell r="I629" t="str">
            <v>攻撃タイプ</v>
          </cell>
          <cell r="J629">
            <v>1</v>
          </cell>
          <cell r="K629">
            <v>1.33</v>
          </cell>
          <cell r="L629">
            <v>1</v>
          </cell>
          <cell r="M629" t="str">
            <v>human</v>
          </cell>
          <cell r="N629" t="str">
            <v>ヒューマン</v>
          </cell>
          <cell r="O629">
            <v>0.94</v>
          </cell>
          <cell r="P629">
            <v>0.99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チャリオット</v>
          </cell>
          <cell r="C630">
            <v>6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attack</v>
          </cell>
          <cell r="I630" t="str">
            <v>攻撃タイプ</v>
          </cell>
          <cell r="J630">
            <v>1</v>
          </cell>
          <cell r="K630">
            <v>1.33</v>
          </cell>
          <cell r="L630">
            <v>1</v>
          </cell>
          <cell r="M630" t="str">
            <v>human</v>
          </cell>
          <cell r="N630" t="str">
            <v>ヒューマン</v>
          </cell>
          <cell r="O630">
            <v>0.94</v>
          </cell>
          <cell r="P630">
            <v>0.99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</row>
        <row r="631">
          <cell r="A631">
            <v>630</v>
          </cell>
          <cell r="B631" t="str">
            <v>チャリオット</v>
          </cell>
          <cell r="C631">
            <v>5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attack</v>
          </cell>
          <cell r="I631" t="str">
            <v>攻撃タイプ</v>
          </cell>
          <cell r="J631">
            <v>1</v>
          </cell>
          <cell r="K631">
            <v>1.33</v>
          </cell>
          <cell r="L631">
            <v>1</v>
          </cell>
          <cell r="M631" t="str">
            <v>human</v>
          </cell>
          <cell r="N631" t="str">
            <v>ヒューマン</v>
          </cell>
          <cell r="O631">
            <v>0.94</v>
          </cell>
          <cell r="P631">
            <v>0.99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赤アニマル</v>
          </cell>
          <cell r="C632">
            <v>4</v>
          </cell>
          <cell r="D632" t="str">
            <v>red</v>
          </cell>
          <cell r="E632">
            <v>1</v>
          </cell>
          <cell r="F632">
            <v>1.02</v>
          </cell>
          <cell r="G632">
            <v>1</v>
          </cell>
          <cell r="H632" t="str">
            <v>attack</v>
          </cell>
          <cell r="I632" t="str">
            <v>攻撃タイプ</v>
          </cell>
          <cell r="J632">
            <v>1</v>
          </cell>
          <cell r="K632">
            <v>1.33</v>
          </cell>
          <cell r="L632">
            <v>1</v>
          </cell>
          <cell r="M632" t="str">
            <v>animal</v>
          </cell>
          <cell r="N632" t="str">
            <v>アニマル</v>
          </cell>
          <cell r="O632">
            <v>1</v>
          </cell>
          <cell r="P632">
            <v>1.1000000000000001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30</v>
          </cell>
        </row>
        <row r="633">
          <cell r="A633">
            <v>632</v>
          </cell>
          <cell r="B633" t="str">
            <v>赤アニマル</v>
          </cell>
          <cell r="C633">
            <v>5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attack</v>
          </cell>
          <cell r="I633" t="str">
            <v>攻撃タイプ</v>
          </cell>
          <cell r="J633">
            <v>1</v>
          </cell>
          <cell r="K633">
            <v>1.33</v>
          </cell>
          <cell r="L633">
            <v>1</v>
          </cell>
          <cell r="M633" t="str">
            <v>animal</v>
          </cell>
          <cell r="N633" t="str">
            <v>アニマル</v>
          </cell>
          <cell r="O633">
            <v>1</v>
          </cell>
          <cell r="P633">
            <v>1.1000000000000001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赤ドラゴン</v>
          </cell>
          <cell r="C634">
            <v>3</v>
          </cell>
          <cell r="D634" t="str">
            <v>red</v>
          </cell>
          <cell r="E634">
            <v>1</v>
          </cell>
          <cell r="F634">
            <v>1.02</v>
          </cell>
          <cell r="G634">
            <v>1</v>
          </cell>
          <cell r="H634" t="str">
            <v>attack</v>
          </cell>
          <cell r="I634" t="str">
            <v>攻撃タイプ</v>
          </cell>
          <cell r="J634">
            <v>1</v>
          </cell>
          <cell r="K634">
            <v>1.33</v>
          </cell>
          <cell r="L634">
            <v>1</v>
          </cell>
          <cell r="M634" t="str">
            <v>dragon</v>
          </cell>
          <cell r="N634" t="str">
            <v>ドラゴン</v>
          </cell>
          <cell r="O634">
            <v>1.1499999999999999</v>
          </cell>
          <cell r="P634">
            <v>1.1000000000000001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25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コードレッド</v>
          </cell>
          <cell r="C639">
            <v>5</v>
          </cell>
          <cell r="D639" t="str">
            <v>red</v>
          </cell>
          <cell r="E639">
            <v>1</v>
          </cell>
          <cell r="F639">
            <v>1.02</v>
          </cell>
          <cell r="G639">
            <v>1</v>
          </cell>
          <cell r="H639" t="str">
            <v>attack</v>
          </cell>
          <cell r="I639" t="str">
            <v>攻撃タイプ</v>
          </cell>
          <cell r="J639">
            <v>1</v>
          </cell>
          <cell r="K639">
            <v>1.33</v>
          </cell>
          <cell r="L639">
            <v>1</v>
          </cell>
          <cell r="M639" t="str">
            <v>unknown</v>
          </cell>
          <cell r="N639" t="str">
            <v>Unknown</v>
          </cell>
          <cell r="O639">
            <v>1</v>
          </cell>
          <cell r="P639">
            <v>1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ライオネル</v>
          </cell>
          <cell r="C640">
            <v>3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attack</v>
          </cell>
          <cell r="I640" t="str">
            <v>攻撃タイプ</v>
          </cell>
          <cell r="J640">
            <v>1</v>
          </cell>
          <cell r="K640">
            <v>1.33</v>
          </cell>
          <cell r="L640">
            <v>1</v>
          </cell>
          <cell r="M640" t="str">
            <v>animal</v>
          </cell>
          <cell r="N640" t="str">
            <v>アニマル</v>
          </cell>
          <cell r="O640">
            <v>1</v>
          </cell>
          <cell r="P640">
            <v>1.1000000000000001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25</v>
          </cell>
        </row>
        <row r="641">
          <cell r="A641">
            <v>640</v>
          </cell>
          <cell r="B641" t="str">
            <v>ライオネル</v>
          </cell>
          <cell r="C641">
            <v>4</v>
          </cell>
          <cell r="D641" t="str">
            <v>red</v>
          </cell>
          <cell r="E641">
            <v>1</v>
          </cell>
          <cell r="F641">
            <v>1.02</v>
          </cell>
          <cell r="G641">
            <v>1</v>
          </cell>
          <cell r="H641" t="str">
            <v>attack</v>
          </cell>
          <cell r="I641" t="str">
            <v>攻撃タイプ</v>
          </cell>
          <cell r="J641">
            <v>1</v>
          </cell>
          <cell r="K641">
            <v>1.33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ライオネル</v>
          </cell>
          <cell r="C642">
            <v>5</v>
          </cell>
          <cell r="D642" t="str">
            <v>red</v>
          </cell>
          <cell r="E642">
            <v>1</v>
          </cell>
          <cell r="F642">
            <v>1.02</v>
          </cell>
          <cell r="G642">
            <v>1</v>
          </cell>
          <cell r="H642" t="str">
            <v>attack</v>
          </cell>
          <cell r="I642" t="str">
            <v>攻撃タイプ</v>
          </cell>
          <cell r="J642">
            <v>1</v>
          </cell>
          <cell r="K642">
            <v>1.33</v>
          </cell>
          <cell r="L642">
            <v>1</v>
          </cell>
          <cell r="M642" t="str">
            <v>animal</v>
          </cell>
          <cell r="N642" t="str">
            <v>アニマル</v>
          </cell>
          <cell r="O642">
            <v>1</v>
          </cell>
          <cell r="P642">
            <v>1.1000000000000001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60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孤高の王子　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</row>
        <row r="693">
          <cell r="A693">
            <v>692</v>
          </cell>
          <cell r="B693" t="str">
            <v>暗躍する偽帝　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</row>
        <row r="695">
          <cell r="A695">
            <v>694</v>
          </cell>
          <cell r="B695" t="str">
            <v>黄巾賊の将軍　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</row>
        <row r="697">
          <cell r="A697">
            <v>696</v>
          </cell>
          <cell r="B697" t="str">
            <v>生きる都市伝説　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</row>
        <row r="698">
          <cell r="A698">
            <v>697</v>
          </cell>
          <cell r="B698" t="str">
            <v>黒影の首なしライダー　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</row>
        <row r="704">
          <cell r="A704">
            <v>703</v>
          </cell>
          <cell r="B704" t="str">
            <v>豪腕静穏な寿司屋　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</row>
        <row r="708">
          <cell r="A708">
            <v>707</v>
          </cell>
          <cell r="B708" t="str">
            <v>愛月撤灯の闇医者　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池袋最強の暴走　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</row>
        <row r="720">
          <cell r="A720">
            <v>719</v>
          </cell>
          <cell r="B720" t="str">
            <v>聡明な戦狂女　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</row>
        <row r="783">
          <cell r="A783">
            <v>782</v>
          </cell>
          <cell r="B783" t="str">
            <v>BA_Unit</v>
          </cell>
          <cell r="C783">
            <v>6</v>
          </cell>
          <cell r="D783" t="str">
            <v>red</v>
          </cell>
          <cell r="E783">
            <v>1</v>
          </cell>
          <cell r="F783">
            <v>1.02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god</v>
          </cell>
          <cell r="N783" t="str">
            <v>ゴッド</v>
          </cell>
          <cell r="O783">
            <v>0.96</v>
          </cell>
          <cell r="P783">
            <v>1.02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</row>
        <row r="784">
          <cell r="A784">
            <v>783</v>
          </cell>
          <cell r="B784" t="str">
            <v>OA_Unit</v>
          </cell>
          <cell r="C784">
            <v>6</v>
          </cell>
          <cell r="D784" t="str">
            <v>green</v>
          </cell>
          <cell r="E784">
            <v>1.02</v>
          </cell>
          <cell r="F784">
            <v>0.98</v>
          </cell>
          <cell r="G784">
            <v>1</v>
          </cell>
          <cell r="H784" t="str">
            <v>attack</v>
          </cell>
          <cell r="I784" t="str">
            <v>攻撃タイプ</v>
          </cell>
          <cell r="J784">
            <v>1</v>
          </cell>
          <cell r="K784">
            <v>1.33</v>
          </cell>
          <cell r="L784">
            <v>1</v>
          </cell>
          <cell r="M784" t="str">
            <v>god</v>
          </cell>
          <cell r="N784" t="str">
            <v>ゴッド</v>
          </cell>
          <cell r="O784">
            <v>0.96</v>
          </cell>
          <cell r="P784">
            <v>1.02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</row>
        <row r="785">
          <cell r="A785">
            <v>784</v>
          </cell>
          <cell r="B785" t="str">
            <v>FA_Unit</v>
          </cell>
          <cell r="C785">
            <v>6</v>
          </cell>
          <cell r="D785" t="str">
            <v>blue</v>
          </cell>
          <cell r="E785">
            <v>1</v>
          </cell>
          <cell r="F785">
            <v>0.98</v>
          </cell>
          <cell r="G785">
            <v>1</v>
          </cell>
          <cell r="H785" t="str">
            <v>attack</v>
          </cell>
          <cell r="I785" t="str">
            <v>攻撃タイプ</v>
          </cell>
          <cell r="J785">
            <v>1</v>
          </cell>
          <cell r="K785">
            <v>1.33</v>
          </cell>
          <cell r="L785">
            <v>1</v>
          </cell>
          <cell r="M785" t="str">
            <v>god</v>
          </cell>
          <cell r="N785" t="str">
            <v>ゴッド</v>
          </cell>
          <cell r="O785">
            <v>0.96</v>
          </cell>
          <cell r="P785">
            <v>1.02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</row>
        <row r="786">
          <cell r="A786">
            <v>785</v>
          </cell>
          <cell r="B786" t="str">
            <v>IA_Unit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attack</v>
          </cell>
          <cell r="I786" t="str">
            <v>攻撃タイプ</v>
          </cell>
          <cell r="J786">
            <v>1</v>
          </cell>
          <cell r="K786">
            <v>1.33</v>
          </cell>
          <cell r="L786">
            <v>1</v>
          </cell>
          <cell r="M786" t="str">
            <v>god</v>
          </cell>
          <cell r="N786" t="str">
            <v>ゴッド</v>
          </cell>
          <cell r="O786">
            <v>0.96</v>
          </cell>
          <cell r="P786">
            <v>1.02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</row>
        <row r="883">
          <cell r="A883">
            <v>882</v>
          </cell>
          <cell r="B883" t="str">
            <v>超大型巨人</v>
          </cell>
          <cell r="C883">
            <v>5</v>
          </cell>
          <cell r="D883" t="str">
            <v>red</v>
          </cell>
          <cell r="E883">
            <v>1</v>
          </cell>
          <cell r="F883">
            <v>1.02</v>
          </cell>
          <cell r="G883">
            <v>1</v>
          </cell>
          <cell r="H883" t="str">
            <v>hp</v>
          </cell>
          <cell r="I883" t="str">
            <v>体力タイプ</v>
          </cell>
          <cell r="J883">
            <v>1.45</v>
          </cell>
          <cell r="K883">
            <v>0.85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god</v>
          </cell>
          <cell r="N888" t="str">
            <v>ゴッド</v>
          </cell>
          <cell r="O888">
            <v>0.96</v>
          </cell>
          <cell r="P888">
            <v>1.02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</row>
        <row r="889">
          <cell r="A889">
            <v>888</v>
          </cell>
          <cell r="B889" t="str">
            <v>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god</v>
          </cell>
          <cell r="N889" t="str">
            <v>ゴッド</v>
          </cell>
          <cell r="O889">
            <v>0.96</v>
          </cell>
          <cell r="P889">
            <v>1.02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</row>
        <row r="895">
          <cell r="A895">
            <v>894</v>
          </cell>
          <cell r="B895" t="str">
            <v>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</row>
        <row r="896">
          <cell r="A896">
            <v>895</v>
          </cell>
          <cell r="B896">
            <v>0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</row>
        <row r="899">
          <cell r="A899">
            <v>898</v>
          </cell>
          <cell r="B899">
            <v>0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human</v>
          </cell>
          <cell r="N946" t="str">
            <v>ヒューマン</v>
          </cell>
          <cell r="O946">
            <v>0.94</v>
          </cell>
          <cell r="P946">
            <v>0.99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human</v>
          </cell>
          <cell r="N947" t="str">
            <v>ヒューマン</v>
          </cell>
          <cell r="O947">
            <v>0.94</v>
          </cell>
          <cell r="P947">
            <v>0.99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attack</v>
          </cell>
          <cell r="I956" t="str">
            <v>攻撃タイプ</v>
          </cell>
          <cell r="J956">
            <v>1</v>
          </cell>
          <cell r="K956">
            <v>1.33</v>
          </cell>
          <cell r="L956">
            <v>1</v>
          </cell>
          <cell r="M956" t="str">
            <v>human</v>
          </cell>
          <cell r="N956" t="str">
            <v>ヒューマン</v>
          </cell>
          <cell r="O956">
            <v>0.94</v>
          </cell>
          <cell r="P956">
            <v>0.99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</row>
        <row r="957">
          <cell r="A957">
            <v>956</v>
          </cell>
          <cell r="B957" t="str">
            <v>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attack</v>
          </cell>
          <cell r="I957" t="str">
            <v>攻撃タイプ</v>
          </cell>
          <cell r="J957">
            <v>1</v>
          </cell>
          <cell r="K957">
            <v>1.33</v>
          </cell>
          <cell r="L957">
            <v>1</v>
          </cell>
          <cell r="M957" t="str">
            <v>human</v>
          </cell>
          <cell r="N957" t="str">
            <v>ヒューマン</v>
          </cell>
          <cell r="O957">
            <v>0.94</v>
          </cell>
          <cell r="P957">
            <v>0.99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</row>
        <row r="958">
          <cell r="A958">
            <v>957</v>
          </cell>
          <cell r="B958" t="str">
            <v>ディラック</v>
          </cell>
          <cell r="C958">
            <v>5</v>
          </cell>
          <cell r="D958" t="str">
            <v>blue</v>
          </cell>
          <cell r="E958">
            <v>1</v>
          </cell>
          <cell r="F958">
            <v>0.98</v>
          </cell>
          <cell r="G958">
            <v>1</v>
          </cell>
          <cell r="H958" t="str">
            <v>attack</v>
          </cell>
          <cell r="I958" t="str">
            <v>攻撃タイプ</v>
          </cell>
          <cell r="J958">
            <v>1</v>
          </cell>
          <cell r="K958">
            <v>1.33</v>
          </cell>
          <cell r="L958">
            <v>1</v>
          </cell>
          <cell r="M958" t="str">
            <v>human</v>
          </cell>
          <cell r="N958" t="str">
            <v>ヒューマン</v>
          </cell>
          <cell r="O958">
            <v>0.94</v>
          </cell>
          <cell r="P958">
            <v>0.99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</row>
        <row r="964">
          <cell r="A964">
            <v>963</v>
          </cell>
          <cell r="B964" t="str">
            <v>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demon</v>
          </cell>
          <cell r="N964" t="str">
            <v>デーモン</v>
          </cell>
          <cell r="O964">
            <v>1</v>
          </cell>
          <cell r="P964">
            <v>1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</row>
        <row r="967">
          <cell r="A967">
            <v>966</v>
          </cell>
          <cell r="B967" t="str">
            <v>土方歳三</v>
          </cell>
          <cell r="C967">
            <v>6</v>
          </cell>
          <cell r="D967" t="str">
            <v>blue</v>
          </cell>
          <cell r="E967">
            <v>1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</row>
        <row r="968">
          <cell r="A968">
            <v>967</v>
          </cell>
          <cell r="B968" t="str">
            <v>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</row>
        <row r="969">
          <cell r="A969">
            <v>968</v>
          </cell>
          <cell r="B969" t="str">
            <v>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</row>
        <row r="970">
          <cell r="A970">
            <v>969</v>
          </cell>
          <cell r="B970" t="str">
            <v>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</row>
        <row r="972">
          <cell r="A972">
            <v>971</v>
          </cell>
          <cell r="B972" t="str">
            <v>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animal</v>
          </cell>
          <cell r="N1046" t="str">
            <v>アニマル</v>
          </cell>
          <cell r="O1046">
            <v>1</v>
          </cell>
          <cell r="P1046">
            <v>1.1000000000000001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human</v>
          </cell>
          <cell r="N1048" t="str">
            <v>ヒューマン</v>
          </cell>
          <cell r="O1048">
            <v>0.94</v>
          </cell>
          <cell r="P1048">
            <v>0.99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human</v>
          </cell>
          <cell r="N1050" t="str">
            <v>ヒューマン</v>
          </cell>
          <cell r="O1050">
            <v>0.94</v>
          </cell>
          <cell r="P1050">
            <v>0.99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human</v>
          </cell>
          <cell r="N1052" t="str">
            <v>ヒューマン</v>
          </cell>
          <cell r="O1052">
            <v>0.94</v>
          </cell>
          <cell r="P1052">
            <v>0.99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</row>
        <row r="1078">
          <cell r="A1078">
            <v>1077</v>
          </cell>
          <cell r="B1078" t="str">
            <v>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balance</v>
          </cell>
          <cell r="I1084" t="str">
            <v>バランスタイプ</v>
          </cell>
          <cell r="J1084">
            <v>1</v>
          </cell>
          <cell r="K1084">
            <v>1</v>
          </cell>
          <cell r="L1084">
            <v>1</v>
          </cell>
          <cell r="M1084" t="str">
            <v>unknown</v>
          </cell>
          <cell r="N1084" t="str">
            <v>Unknown</v>
          </cell>
          <cell r="O1084">
            <v>1</v>
          </cell>
          <cell r="P1084">
            <v>1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</row>
        <row r="1085">
          <cell r="A1085">
            <v>1084</v>
          </cell>
          <cell r="B1085" t="str">
            <v>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balance</v>
          </cell>
          <cell r="I1085" t="str">
            <v>バランスタイプ</v>
          </cell>
          <cell r="J1085">
            <v>1</v>
          </cell>
          <cell r="K1085">
            <v>1</v>
          </cell>
          <cell r="L1085">
            <v>1</v>
          </cell>
          <cell r="M1085" t="str">
            <v>unknown</v>
          </cell>
          <cell r="N1085" t="str">
            <v>Unknown</v>
          </cell>
          <cell r="O1085">
            <v>1</v>
          </cell>
          <cell r="P1085">
            <v>1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</row>
        <row r="1086">
          <cell r="A1086">
            <v>1085</v>
          </cell>
          <cell r="B1086" t="str">
            <v>マジシャン_分岐覚醒</v>
          </cell>
          <cell r="C1086">
            <v>6</v>
          </cell>
          <cell r="D1086" t="str">
            <v>yellow</v>
          </cell>
          <cell r="E1086">
            <v>0.98</v>
          </cell>
          <cell r="F1086">
            <v>1.01</v>
          </cell>
          <cell r="G1086">
            <v>1</v>
          </cell>
          <cell r="H1086" t="str">
            <v>balance</v>
          </cell>
          <cell r="I1086" t="str">
            <v>バランスタイプ</v>
          </cell>
          <cell r="J1086">
            <v>1</v>
          </cell>
          <cell r="K1086">
            <v>1</v>
          </cell>
          <cell r="L1086">
            <v>1</v>
          </cell>
          <cell r="M1086" t="str">
            <v>unknown</v>
          </cell>
          <cell r="N1086" t="str">
            <v>Unknown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</row>
        <row r="1087">
          <cell r="A1087">
            <v>1086</v>
          </cell>
          <cell r="B1087" t="str">
            <v>コードレッド</v>
          </cell>
          <cell r="C1087">
            <v>5</v>
          </cell>
          <cell r="D1087" t="str">
            <v>red</v>
          </cell>
          <cell r="E1087">
            <v>1</v>
          </cell>
          <cell r="F1087">
            <v>1.02</v>
          </cell>
          <cell r="G1087">
            <v>1</v>
          </cell>
          <cell r="H1087" t="str">
            <v>balance</v>
          </cell>
          <cell r="I1087" t="str">
            <v>バランスタイプ</v>
          </cell>
          <cell r="J1087">
            <v>1</v>
          </cell>
          <cell r="K1087">
            <v>1</v>
          </cell>
          <cell r="L1087">
            <v>1</v>
          </cell>
          <cell r="M1087" t="str">
            <v>unknown</v>
          </cell>
          <cell r="N1087" t="str">
            <v>Unknown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</row>
        <row r="1088">
          <cell r="A1088">
            <v>1087</v>
          </cell>
          <cell r="B1088" t="str">
            <v>コードレッド</v>
          </cell>
          <cell r="C1088">
            <v>6</v>
          </cell>
          <cell r="D1088" t="str">
            <v>red</v>
          </cell>
          <cell r="E1088">
            <v>1</v>
          </cell>
          <cell r="F1088">
            <v>1.02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unknown</v>
          </cell>
          <cell r="N1088" t="str">
            <v>Unknown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</row>
        <row r="1091">
          <cell r="A1091">
            <v>1090</v>
          </cell>
          <cell r="B1091" t="str">
            <v>ラブレター</v>
          </cell>
          <cell r="C1091">
            <v>5</v>
          </cell>
          <cell r="D1091" t="str">
            <v>blue</v>
          </cell>
          <cell r="E1091">
            <v>1</v>
          </cell>
          <cell r="F1091">
            <v>0.98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unknown</v>
          </cell>
          <cell r="N1091" t="str">
            <v>Unknown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</row>
        <row r="1092">
          <cell r="A1092">
            <v>1091</v>
          </cell>
          <cell r="B1092" t="str">
            <v>ラブレター</v>
          </cell>
          <cell r="C1092">
            <v>6</v>
          </cell>
          <cell r="D1092" t="str">
            <v>blue</v>
          </cell>
          <cell r="E1092">
            <v>1</v>
          </cell>
          <cell r="F1092">
            <v>0.98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unknown</v>
          </cell>
          <cell r="N1092" t="str">
            <v>Unknown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</row>
        <row r="1093">
          <cell r="A1093">
            <v>1092</v>
          </cell>
          <cell r="B1093" t="str">
            <v>未定</v>
          </cell>
          <cell r="C1093">
            <v>5</v>
          </cell>
          <cell r="D1093" t="str">
            <v>yellow</v>
          </cell>
          <cell r="E1093">
            <v>0.98</v>
          </cell>
          <cell r="F1093">
            <v>1.01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unknown</v>
          </cell>
          <cell r="N1093" t="str">
            <v>Unknown</v>
          </cell>
          <cell r="O1093">
            <v>1</v>
          </cell>
          <cell r="P1093">
            <v>1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</row>
        <row r="1109">
          <cell r="A1109">
            <v>1108</v>
          </cell>
          <cell r="B1109" t="str">
            <v>未定</v>
          </cell>
          <cell r="C1109">
            <v>5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technical</v>
          </cell>
          <cell r="I1109" t="str">
            <v>テクニカルタイプ</v>
          </cell>
          <cell r="J1109">
            <v>0.9</v>
          </cell>
          <cell r="K1109">
            <v>0.9</v>
          </cell>
          <cell r="L1109">
            <v>1</v>
          </cell>
          <cell r="M1109" t="str">
            <v>unknown</v>
          </cell>
          <cell r="N1109" t="str">
            <v>Unknown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attack</v>
          </cell>
          <cell r="I1110" t="str">
            <v>攻撃タイプ</v>
          </cell>
          <cell r="J1110">
            <v>1</v>
          </cell>
          <cell r="K1110">
            <v>1.33</v>
          </cell>
          <cell r="L1110">
            <v>1</v>
          </cell>
          <cell r="M1110" t="str">
            <v>unknown</v>
          </cell>
          <cell r="N1110" t="str">
            <v>Unknown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</row>
        <row r="1111">
          <cell r="A1111">
            <v>1110</v>
          </cell>
          <cell r="B1111" t="str">
            <v>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attack</v>
          </cell>
          <cell r="I1111" t="str">
            <v>攻撃タイプ</v>
          </cell>
          <cell r="J1111">
            <v>1</v>
          </cell>
          <cell r="K1111">
            <v>1.33</v>
          </cell>
          <cell r="L1111">
            <v>1</v>
          </cell>
          <cell r="M1111" t="str">
            <v>unknown</v>
          </cell>
          <cell r="N1111" t="str">
            <v>Unknown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</row>
        <row r="1115">
          <cell r="A1115">
            <v>1114</v>
          </cell>
          <cell r="B1115" t="str">
            <v>キグナス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</row>
        <row r="1116">
          <cell r="A1116">
            <v>1115</v>
          </cell>
          <cell r="B1116" t="str">
            <v>幻夜の純白鳥 キグナス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balance</v>
          </cell>
          <cell r="I1121" t="str">
            <v>バランスタイプ</v>
          </cell>
          <cell r="J1121">
            <v>1</v>
          </cell>
          <cell r="K1121">
            <v>1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</row>
        <row r="1124">
          <cell r="A1124">
            <v>1123</v>
          </cell>
          <cell r="B1124" t="str">
            <v>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</row>
        <row r="1126">
          <cell r="A1126">
            <v>1125</v>
          </cell>
          <cell r="B1126" t="str">
            <v>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balance</v>
          </cell>
          <cell r="I1126" t="str">
            <v>バランスタイプ</v>
          </cell>
          <cell r="J1126">
            <v>1</v>
          </cell>
          <cell r="K1126">
            <v>1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</row>
        <row r="1127">
          <cell r="A1127">
            <v>1126</v>
          </cell>
          <cell r="B1127" t="str">
            <v>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balance</v>
          </cell>
          <cell r="I1127" t="str">
            <v>バランスタイプ</v>
          </cell>
          <cell r="J1127">
            <v>1</v>
          </cell>
          <cell r="K1127">
            <v>1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</row>
        <row r="1128">
          <cell r="A1128">
            <v>1127</v>
          </cell>
          <cell r="B1128" t="str">
            <v>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balance</v>
          </cell>
          <cell r="I1128" t="str">
            <v>バランスタイプ</v>
          </cell>
          <cell r="J1128">
            <v>1</v>
          </cell>
          <cell r="K1128">
            <v>1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</row>
        <row r="1129">
          <cell r="A1129">
            <v>1128</v>
          </cell>
          <cell r="B1129" t="str">
            <v>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balance</v>
          </cell>
          <cell r="I1129" t="str">
            <v>バランスタイプ</v>
          </cell>
          <cell r="J1129">
            <v>1</v>
          </cell>
          <cell r="K1129">
            <v>1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</row>
        <row r="1130">
          <cell r="A1130">
            <v>6001</v>
          </cell>
          <cell r="B1130" t="str">
            <v>ジェリー</v>
          </cell>
          <cell r="C1130">
            <v>1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ra</v>
          </cell>
          <cell r="I1130" t="str">
            <v>ラグランジュチャレンジ</v>
          </cell>
          <cell r="J1130">
            <v>1</v>
          </cell>
          <cell r="K1130">
            <v>1</v>
          </cell>
          <cell r="L1130">
            <v>1</v>
          </cell>
          <cell r="M1130" t="str">
            <v>unknown</v>
          </cell>
          <cell r="N1130" t="str">
            <v>Unknown</v>
          </cell>
          <cell r="O1130">
            <v>1</v>
          </cell>
          <cell r="P1130">
            <v>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15</v>
          </cell>
        </row>
        <row r="1131">
          <cell r="A1131">
            <v>6002</v>
          </cell>
          <cell r="B1131" t="str">
            <v>ヨシタカ</v>
          </cell>
          <cell r="C1131">
            <v>2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ra</v>
          </cell>
          <cell r="I1131" t="str">
            <v>ラグランジュチャレンジ</v>
          </cell>
          <cell r="J1131">
            <v>1</v>
          </cell>
          <cell r="K1131">
            <v>1</v>
          </cell>
          <cell r="L1131">
            <v>1</v>
          </cell>
          <cell r="M1131" t="str">
            <v>human</v>
          </cell>
          <cell r="N1131" t="str">
            <v>ヒューマン</v>
          </cell>
          <cell r="O1131">
            <v>0.94</v>
          </cell>
          <cell r="P1131">
            <v>0.99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15</v>
          </cell>
        </row>
        <row r="1132">
          <cell r="A1132">
            <v>6003</v>
          </cell>
          <cell r="B1132" t="str">
            <v>朱雀</v>
          </cell>
          <cell r="C1132">
            <v>3</v>
          </cell>
          <cell r="D1132" t="str">
            <v>red</v>
          </cell>
          <cell r="E1132">
            <v>1</v>
          </cell>
          <cell r="F1132">
            <v>1.02</v>
          </cell>
          <cell r="G1132">
            <v>1</v>
          </cell>
          <cell r="H1132" t="str">
            <v>ra</v>
          </cell>
          <cell r="I1132" t="str">
            <v>ラグランジュチャレンジ</v>
          </cell>
          <cell r="J1132">
            <v>1</v>
          </cell>
          <cell r="K1132">
            <v>1</v>
          </cell>
          <cell r="L1132">
            <v>1</v>
          </cell>
          <cell r="M1132" t="str">
            <v>animal</v>
          </cell>
          <cell r="N1132" t="str">
            <v>アニマル</v>
          </cell>
          <cell r="O1132">
            <v>1</v>
          </cell>
          <cell r="P1132">
            <v>1.1000000000000001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25</v>
          </cell>
        </row>
        <row r="1133">
          <cell r="A1133">
            <v>6004</v>
          </cell>
          <cell r="B1133" t="str">
            <v>ブレット</v>
          </cell>
          <cell r="C1133">
            <v>1</v>
          </cell>
          <cell r="D1133" t="str">
            <v>red</v>
          </cell>
          <cell r="E1133">
            <v>1</v>
          </cell>
          <cell r="F1133">
            <v>1.02</v>
          </cell>
          <cell r="G1133">
            <v>1</v>
          </cell>
          <cell r="H1133" t="str">
            <v>ra</v>
          </cell>
          <cell r="I1133" t="str">
            <v>ラグランジュチャレンジ</v>
          </cell>
          <cell r="J1133">
            <v>1</v>
          </cell>
          <cell r="K1133">
            <v>1</v>
          </cell>
          <cell r="L1133">
            <v>1</v>
          </cell>
          <cell r="M1133" t="str">
            <v>animal</v>
          </cell>
          <cell r="N1133" t="str">
            <v>アニマル</v>
          </cell>
          <cell r="O1133">
            <v>1</v>
          </cell>
          <cell r="P1133">
            <v>1.1000000000000001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15</v>
          </cell>
        </row>
        <row r="1134">
          <cell r="A1134">
            <v>6005</v>
          </cell>
          <cell r="B1134" t="str">
            <v>孤神 テティス</v>
          </cell>
          <cell r="C1134">
            <v>4</v>
          </cell>
          <cell r="D1134" t="str">
            <v>blue</v>
          </cell>
          <cell r="E1134">
            <v>1</v>
          </cell>
          <cell r="F1134">
            <v>0.98</v>
          </cell>
          <cell r="G1134">
            <v>1</v>
          </cell>
          <cell r="H1134" t="str">
            <v>ra</v>
          </cell>
          <cell r="I1134" t="str">
            <v>ラグランジュチャレンジ</v>
          </cell>
          <cell r="J1134">
            <v>1</v>
          </cell>
          <cell r="K1134">
            <v>1</v>
          </cell>
          <cell r="L1134">
            <v>1</v>
          </cell>
          <cell r="M1134" t="str">
            <v>god</v>
          </cell>
          <cell r="N1134" t="str">
            <v>ゴッド</v>
          </cell>
          <cell r="O1134">
            <v>0.96</v>
          </cell>
          <cell r="P1134">
            <v>1.02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30</v>
          </cell>
        </row>
        <row r="1135">
          <cell r="A1135">
            <v>6006</v>
          </cell>
          <cell r="B1135" t="str">
            <v>海底の孤高神 テティス</v>
          </cell>
          <cell r="C1135">
            <v>5</v>
          </cell>
          <cell r="D1135" t="str">
            <v>blue</v>
          </cell>
          <cell r="E1135">
            <v>1</v>
          </cell>
          <cell r="F1135">
            <v>0.98</v>
          </cell>
          <cell r="G1135">
            <v>1</v>
          </cell>
          <cell r="H1135" t="str">
            <v>ra</v>
          </cell>
          <cell r="I1135" t="str">
            <v>ラグランジュチャレンジ</v>
          </cell>
          <cell r="J1135">
            <v>1</v>
          </cell>
          <cell r="K1135">
            <v>1</v>
          </cell>
          <cell r="L1135">
            <v>1</v>
          </cell>
          <cell r="M1135" t="str">
            <v>god</v>
          </cell>
          <cell r="N1135" t="str">
            <v>ゴッド</v>
          </cell>
          <cell r="O1135">
            <v>0.96</v>
          </cell>
          <cell r="P1135">
            <v>1.02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</row>
        <row r="1136">
          <cell r="A1136">
            <v>6007</v>
          </cell>
          <cell r="B1136" t="str">
            <v>番犬 ケルベロス</v>
          </cell>
          <cell r="C1136">
            <v>4</v>
          </cell>
          <cell r="D1136" t="str">
            <v>red</v>
          </cell>
          <cell r="E1136">
            <v>1</v>
          </cell>
          <cell r="F1136">
            <v>1.02</v>
          </cell>
          <cell r="G1136">
            <v>1</v>
          </cell>
          <cell r="H1136" t="str">
            <v>ra</v>
          </cell>
          <cell r="I1136" t="str">
            <v>ラグランジュチャレンジ</v>
          </cell>
          <cell r="J1136">
            <v>1</v>
          </cell>
          <cell r="K1136">
            <v>1</v>
          </cell>
          <cell r="L1136">
            <v>1</v>
          </cell>
          <cell r="M1136" t="str">
            <v>animal</v>
          </cell>
          <cell r="N1136" t="str">
            <v>アニマル</v>
          </cell>
          <cell r="O1136">
            <v>1</v>
          </cell>
          <cell r="P1136">
            <v>1.1000000000000001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30</v>
          </cell>
        </row>
        <row r="1137">
          <cell r="A1137">
            <v>6008</v>
          </cell>
          <cell r="B1137" t="str">
            <v>焔神 プロメテウス</v>
          </cell>
          <cell r="C1137">
            <v>4</v>
          </cell>
          <cell r="D1137" t="str">
            <v>red</v>
          </cell>
          <cell r="E1137">
            <v>1</v>
          </cell>
          <cell r="F1137">
            <v>1.02</v>
          </cell>
          <cell r="G1137">
            <v>1</v>
          </cell>
          <cell r="H1137" t="str">
            <v>ra</v>
          </cell>
          <cell r="I1137" t="str">
            <v>ラグランジュチャレンジ</v>
          </cell>
          <cell r="J1137">
            <v>1</v>
          </cell>
          <cell r="K1137">
            <v>1</v>
          </cell>
          <cell r="L1137">
            <v>1</v>
          </cell>
          <cell r="M1137" t="str">
            <v>god</v>
          </cell>
          <cell r="N1137" t="str">
            <v>ゴッド</v>
          </cell>
          <cell r="O1137">
            <v>0.96</v>
          </cell>
          <cell r="P1137">
            <v>1.02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30</v>
          </cell>
        </row>
        <row r="1138">
          <cell r="A1138">
            <v>6009</v>
          </cell>
          <cell r="B1138" t="str">
            <v>超越自我 ラグランジュ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ra</v>
          </cell>
          <cell r="I1138" t="str">
            <v>ラグランジュチャレンジ</v>
          </cell>
          <cell r="J1138">
            <v>1</v>
          </cell>
          <cell r="K1138">
            <v>1</v>
          </cell>
          <cell r="L1138">
            <v>1</v>
          </cell>
          <cell r="M1138" t="str">
            <v>human</v>
          </cell>
          <cell r="N1138" t="str">
            <v>ヒューマン</v>
          </cell>
          <cell r="O1138">
            <v>0.94</v>
          </cell>
          <cell r="P1138">
            <v>0.99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</row>
        <row r="1139">
          <cell r="A1139">
            <v>6010</v>
          </cell>
          <cell r="B1139" t="str">
            <v>超越凌駕 ラグランジュ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ra</v>
          </cell>
          <cell r="I1139" t="str">
            <v>ラグランジュチャレンジ</v>
          </cell>
          <cell r="J1139">
            <v>1</v>
          </cell>
          <cell r="K1139">
            <v>1</v>
          </cell>
          <cell r="L1139">
            <v>1</v>
          </cell>
          <cell r="M1139" t="str">
            <v>human</v>
          </cell>
          <cell r="N1139" t="str">
            <v>ヒューマン</v>
          </cell>
          <cell r="O1139">
            <v>0.94</v>
          </cell>
          <cell r="P1139">
            <v>0.99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</row>
        <row r="1140">
          <cell r="A1140">
            <v>6011</v>
          </cell>
          <cell r="B1140" t="str">
            <v>パトドッグリーダー ポチ</v>
          </cell>
          <cell r="C1140">
            <v>2</v>
          </cell>
          <cell r="D1140" t="str">
            <v>blue</v>
          </cell>
          <cell r="E1140">
            <v>1</v>
          </cell>
          <cell r="F1140">
            <v>0.98</v>
          </cell>
          <cell r="G1140">
            <v>1</v>
          </cell>
          <cell r="H1140" t="str">
            <v>ra002</v>
          </cell>
          <cell r="I1140" t="str">
            <v>ユークリッドチャレンジ</v>
          </cell>
          <cell r="J1140">
            <v>1</v>
          </cell>
          <cell r="K1140">
            <v>1</v>
          </cell>
          <cell r="L1140">
            <v>1</v>
          </cell>
          <cell r="M1140" t="str">
            <v>unknown</v>
          </cell>
          <cell r="N1140" t="str">
            <v>Unknown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15</v>
          </cell>
        </row>
        <row r="1141">
          <cell r="A1141">
            <v>6012</v>
          </cell>
          <cell r="B1141" t="str">
            <v>ミミ</v>
          </cell>
          <cell r="C1141">
            <v>1</v>
          </cell>
          <cell r="D1141" t="str">
            <v>yellow</v>
          </cell>
          <cell r="E1141">
            <v>0.98</v>
          </cell>
          <cell r="F1141">
            <v>1.01</v>
          </cell>
          <cell r="G1141">
            <v>1</v>
          </cell>
          <cell r="H1141" t="str">
            <v>ra002</v>
          </cell>
          <cell r="I1141" t="str">
            <v>ユークリッドチャレンジ</v>
          </cell>
          <cell r="J1141">
            <v>1</v>
          </cell>
          <cell r="K1141">
            <v>1</v>
          </cell>
          <cell r="L1141">
            <v>1</v>
          </cell>
          <cell r="M1141" t="str">
            <v>animal</v>
          </cell>
          <cell r="N1141" t="str">
            <v>アニマル</v>
          </cell>
          <cell r="O1141">
            <v>1</v>
          </cell>
          <cell r="P1141">
            <v>1.1000000000000001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15</v>
          </cell>
        </row>
        <row r="1142">
          <cell r="A1142">
            <v>6013</v>
          </cell>
          <cell r="B1142" t="str">
            <v>護衛機人 スケアクロウ</v>
          </cell>
          <cell r="C1142">
            <v>2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ra002</v>
          </cell>
          <cell r="I1142" t="str">
            <v>ユークリッドチャレンジ</v>
          </cell>
          <cell r="J1142">
            <v>1</v>
          </cell>
          <cell r="K1142">
            <v>1</v>
          </cell>
          <cell r="L1142">
            <v>1</v>
          </cell>
          <cell r="M1142" t="str">
            <v>machine</v>
          </cell>
          <cell r="N1142" t="str">
            <v>マシン</v>
          </cell>
          <cell r="O1142">
            <v>1</v>
          </cell>
          <cell r="P1142">
            <v>1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15</v>
          </cell>
        </row>
        <row r="1143">
          <cell r="A1143">
            <v>6014</v>
          </cell>
          <cell r="B1143" t="str">
            <v>月下の人狼 ローレンス</v>
          </cell>
          <cell r="C1143">
            <v>4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ra002</v>
          </cell>
          <cell r="I1143" t="str">
            <v>ユークリッドチャレンジ</v>
          </cell>
          <cell r="J1143">
            <v>1</v>
          </cell>
          <cell r="K1143">
            <v>1</v>
          </cell>
          <cell r="L1143">
            <v>1</v>
          </cell>
          <cell r="M1143" t="str">
            <v>animal</v>
          </cell>
          <cell r="N1143" t="str">
            <v>アニマル</v>
          </cell>
          <cell r="O1143">
            <v>1</v>
          </cell>
          <cell r="P1143">
            <v>1.1000000000000001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30</v>
          </cell>
        </row>
        <row r="1144">
          <cell r="A1144">
            <v>6015</v>
          </cell>
          <cell r="B1144" t="str">
            <v>フレイヤ</v>
          </cell>
          <cell r="C1144">
            <v>4</v>
          </cell>
          <cell r="D1144" t="str">
            <v>blue</v>
          </cell>
          <cell r="E1144">
            <v>1</v>
          </cell>
          <cell r="F1144">
            <v>0.98</v>
          </cell>
          <cell r="G1144">
            <v>1</v>
          </cell>
          <cell r="H1144" t="str">
            <v>ra002</v>
          </cell>
          <cell r="I1144" t="str">
            <v>ユークリッドチャレンジ</v>
          </cell>
          <cell r="J1144">
            <v>1</v>
          </cell>
          <cell r="K1144">
            <v>1</v>
          </cell>
          <cell r="L1144">
            <v>1</v>
          </cell>
          <cell r="M1144" t="str">
            <v>animal</v>
          </cell>
          <cell r="N1144" t="str">
            <v>アニマル</v>
          </cell>
          <cell r="O1144">
            <v>1</v>
          </cell>
          <cell r="P1144">
            <v>1.1000000000000001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</row>
        <row r="1145">
          <cell r="A1145">
            <v>6016</v>
          </cell>
          <cell r="B1145" t="str">
            <v>根原論理 ユークリッド</v>
          </cell>
          <cell r="C1145">
            <v>5</v>
          </cell>
          <cell r="D1145" t="str">
            <v>blue</v>
          </cell>
          <cell r="E1145">
            <v>1</v>
          </cell>
          <cell r="F1145">
            <v>0.98</v>
          </cell>
          <cell r="G1145">
            <v>1</v>
          </cell>
          <cell r="H1145" t="str">
            <v>ra002</v>
          </cell>
          <cell r="I1145" t="str">
            <v>ユークリッドチャレンジ</v>
          </cell>
          <cell r="J1145">
            <v>1</v>
          </cell>
          <cell r="K1145">
            <v>1</v>
          </cell>
          <cell r="L1145">
            <v>1</v>
          </cell>
          <cell r="M1145" t="str">
            <v>human</v>
          </cell>
          <cell r="N1145" t="str">
            <v>ヒューマン</v>
          </cell>
          <cell r="O1145">
            <v>0.94</v>
          </cell>
          <cell r="P1145">
            <v>0.99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</row>
        <row r="1146">
          <cell r="A1146">
            <v>6017</v>
          </cell>
          <cell r="B1146" t="str">
            <v>不朽の極論 ユークリッド</v>
          </cell>
          <cell r="C1146">
            <v>6</v>
          </cell>
          <cell r="D1146" t="str">
            <v>blue</v>
          </cell>
          <cell r="E1146">
            <v>1</v>
          </cell>
          <cell r="F1146">
            <v>0.98</v>
          </cell>
          <cell r="G1146">
            <v>1</v>
          </cell>
          <cell r="H1146" t="str">
            <v>ra002</v>
          </cell>
          <cell r="I1146" t="str">
            <v>ユークリッドチャレンジ</v>
          </cell>
          <cell r="J1146">
            <v>1</v>
          </cell>
          <cell r="K1146">
            <v>1</v>
          </cell>
          <cell r="L1146">
            <v>1</v>
          </cell>
          <cell r="M1146" t="str">
            <v>human</v>
          </cell>
          <cell r="N1146" t="str">
            <v>ヒューマン</v>
          </cell>
          <cell r="O1146">
            <v>0.94</v>
          </cell>
          <cell r="P1146">
            <v>0.99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60</v>
          </cell>
        </row>
        <row r="1147">
          <cell r="A1147">
            <v>6018</v>
          </cell>
          <cell r="B1147" t="str">
            <v>ハヅル</v>
          </cell>
          <cell r="C1147">
            <v>4</v>
          </cell>
          <cell r="D1147" t="str">
            <v>red</v>
          </cell>
          <cell r="E1147">
            <v>1</v>
          </cell>
          <cell r="F1147">
            <v>1.02</v>
          </cell>
          <cell r="G1147">
            <v>1</v>
          </cell>
          <cell r="H1147" t="str">
            <v>ra002</v>
          </cell>
          <cell r="I1147" t="str">
            <v>ユークリッドチャレンジ</v>
          </cell>
          <cell r="J1147">
            <v>1</v>
          </cell>
          <cell r="K1147">
            <v>1</v>
          </cell>
          <cell r="L1147">
            <v>1</v>
          </cell>
          <cell r="M1147" t="str">
            <v>animal</v>
          </cell>
          <cell r="N1147" t="str">
            <v>アニマル</v>
          </cell>
          <cell r="O1147">
            <v>1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30</v>
          </cell>
        </row>
        <row r="1148">
          <cell r="A1148">
            <v>6019</v>
          </cell>
          <cell r="B1148" t="str">
            <v>天織羽鶴 ハヅル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ra002</v>
          </cell>
          <cell r="I1148" t="str">
            <v>ユークリッドチャレンジ</v>
          </cell>
          <cell r="J1148">
            <v>1</v>
          </cell>
          <cell r="K1148">
            <v>1</v>
          </cell>
          <cell r="L1148">
            <v>1</v>
          </cell>
          <cell r="M1148" t="str">
            <v>animal</v>
          </cell>
          <cell r="N1148" t="str">
            <v>アニマル</v>
          </cell>
          <cell r="O1148">
            <v>1</v>
          </cell>
          <cell r="P1148">
            <v>1.1000000000000001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</row>
        <row r="1149">
          <cell r="A1149">
            <v>6020</v>
          </cell>
          <cell r="B1149" t="str">
            <v>ミズチ</v>
          </cell>
          <cell r="C1149">
            <v>4</v>
          </cell>
          <cell r="D1149" t="str">
            <v>blue</v>
          </cell>
          <cell r="E1149">
            <v>1</v>
          </cell>
          <cell r="F1149">
            <v>0.98</v>
          </cell>
          <cell r="G1149">
            <v>1</v>
          </cell>
          <cell r="H1149" t="str">
            <v>ra002</v>
          </cell>
          <cell r="I1149" t="str">
            <v>ユークリッドチャレンジ</v>
          </cell>
          <cell r="J1149">
            <v>1</v>
          </cell>
          <cell r="K1149">
            <v>1</v>
          </cell>
          <cell r="L1149">
            <v>1</v>
          </cell>
          <cell r="M1149" t="str">
            <v>dragon</v>
          </cell>
          <cell r="N1149" t="str">
            <v>ドラゴン</v>
          </cell>
          <cell r="O1149">
            <v>1.1499999999999999</v>
          </cell>
          <cell r="P1149">
            <v>1.1000000000000001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30</v>
          </cell>
        </row>
        <row r="1150">
          <cell r="A1150">
            <v>8001</v>
          </cell>
          <cell r="B1150" t="str">
            <v>媽祖</v>
          </cell>
          <cell r="C1150">
            <v>5</v>
          </cell>
          <cell r="D1150" t="str">
            <v>yellow</v>
          </cell>
          <cell r="E1150">
            <v>0.98</v>
          </cell>
          <cell r="F1150">
            <v>1.01</v>
          </cell>
          <cell r="G1150">
            <v>1</v>
          </cell>
          <cell r="H1150" t="str">
            <v>attack</v>
          </cell>
          <cell r="I1150" t="str">
            <v>攻撃タイプ</v>
          </cell>
          <cell r="J1150">
            <v>1</v>
          </cell>
          <cell r="K1150">
            <v>1.33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</row>
        <row r="1151">
          <cell r="A1151">
            <v>8002</v>
          </cell>
          <cell r="B1151" t="str">
            <v>天后 媽祖</v>
          </cell>
          <cell r="C1151">
            <v>6</v>
          </cell>
          <cell r="D1151" t="str">
            <v>yellow</v>
          </cell>
          <cell r="E1151">
            <v>0.98</v>
          </cell>
          <cell r="F1151">
            <v>1.01</v>
          </cell>
          <cell r="G1151">
            <v>1</v>
          </cell>
          <cell r="H1151" t="str">
            <v>attack</v>
          </cell>
          <cell r="I1151" t="str">
            <v>攻撃タイプ</v>
          </cell>
          <cell r="J1151">
            <v>1</v>
          </cell>
          <cell r="K1151">
            <v>1.33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</row>
        <row r="1152">
          <cell r="A1152">
            <v>8003</v>
          </cell>
          <cell r="B1152" t="str">
            <v>蛟龍</v>
          </cell>
          <cell r="C1152">
            <v>5</v>
          </cell>
          <cell r="D1152" t="str">
            <v>blue</v>
          </cell>
          <cell r="E1152">
            <v>1</v>
          </cell>
          <cell r="F1152">
            <v>0.98</v>
          </cell>
          <cell r="G1152">
            <v>1</v>
          </cell>
          <cell r="H1152" t="str">
            <v>hp</v>
          </cell>
          <cell r="I1152" t="str">
            <v>体力タイプ</v>
          </cell>
          <cell r="J1152">
            <v>1.45</v>
          </cell>
          <cell r="K1152">
            <v>0.85</v>
          </cell>
          <cell r="L1152">
            <v>1</v>
          </cell>
          <cell r="M1152" t="str">
            <v>dragon</v>
          </cell>
          <cell r="N1152" t="str">
            <v>ドラゴン</v>
          </cell>
          <cell r="O1152">
            <v>1.1499999999999999</v>
          </cell>
          <cell r="P1152">
            <v>1.1000000000000001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60</v>
          </cell>
        </row>
        <row r="1153">
          <cell r="A1153">
            <v>8004</v>
          </cell>
          <cell r="B1153" t="str">
            <v>深海蛟龍怪‧晏公</v>
          </cell>
          <cell r="C1153">
            <v>6</v>
          </cell>
          <cell r="D1153" t="str">
            <v>blue</v>
          </cell>
          <cell r="E1153">
            <v>1</v>
          </cell>
          <cell r="F1153">
            <v>0.98</v>
          </cell>
          <cell r="G1153">
            <v>1</v>
          </cell>
          <cell r="H1153" t="str">
            <v>hp</v>
          </cell>
          <cell r="I1153" t="str">
            <v>体力タイプ</v>
          </cell>
          <cell r="J1153">
            <v>1.45</v>
          </cell>
          <cell r="K1153">
            <v>0.85</v>
          </cell>
          <cell r="L1153">
            <v>1</v>
          </cell>
          <cell r="M1153" t="str">
            <v>dragon</v>
          </cell>
          <cell r="N1153" t="str">
            <v>ドラゴン</v>
          </cell>
          <cell r="O1153">
            <v>1.1499999999999999</v>
          </cell>
          <cell r="P1153">
            <v>1.1000000000000001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</row>
        <row r="1154">
          <cell r="A1154">
            <v>8005</v>
          </cell>
          <cell r="B1154" t="str">
            <v>三蔵法師</v>
          </cell>
          <cell r="C1154">
            <v>5</v>
          </cell>
          <cell r="D1154" t="str">
            <v>blue</v>
          </cell>
          <cell r="E1154">
            <v>1</v>
          </cell>
          <cell r="F1154">
            <v>0.98</v>
          </cell>
          <cell r="G1154">
            <v>1</v>
          </cell>
          <cell r="H1154" t="str">
            <v>balance</v>
          </cell>
          <cell r="I1154" t="str">
            <v>バランスタイプ</v>
          </cell>
          <cell r="J1154">
            <v>1</v>
          </cell>
          <cell r="K1154">
            <v>1</v>
          </cell>
          <cell r="L1154">
            <v>1</v>
          </cell>
          <cell r="M1154" t="str">
            <v>human</v>
          </cell>
          <cell r="N1154" t="str">
            <v>ヒューマン</v>
          </cell>
          <cell r="O1154">
            <v>0.94</v>
          </cell>
          <cell r="P1154">
            <v>0.99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</row>
        <row r="1155">
          <cell r="A1155">
            <v>8006</v>
          </cell>
          <cell r="B1155" t="str">
            <v>三蔵法師</v>
          </cell>
          <cell r="C1155">
            <v>6</v>
          </cell>
          <cell r="D1155" t="str">
            <v>blue</v>
          </cell>
          <cell r="E1155">
            <v>1</v>
          </cell>
          <cell r="F1155">
            <v>0.98</v>
          </cell>
          <cell r="G1155">
            <v>1</v>
          </cell>
          <cell r="H1155" t="str">
            <v>balance</v>
          </cell>
          <cell r="I1155" t="str">
            <v>バランスタイプ</v>
          </cell>
          <cell r="J1155">
            <v>1</v>
          </cell>
          <cell r="K1155">
            <v>1</v>
          </cell>
          <cell r="L1155">
            <v>1</v>
          </cell>
          <cell r="M1155" t="str">
            <v>human</v>
          </cell>
          <cell r="N1155" t="str">
            <v>ヒューマン</v>
          </cell>
          <cell r="O1155">
            <v>0.94</v>
          </cell>
          <cell r="P1155">
            <v>0.99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</row>
        <row r="1156">
          <cell r="A1156">
            <v>8007</v>
          </cell>
          <cell r="B1156" t="str">
            <v>孫悟空</v>
          </cell>
          <cell r="C1156">
            <v>5</v>
          </cell>
          <cell r="D1156" t="str">
            <v>red</v>
          </cell>
          <cell r="E1156">
            <v>1</v>
          </cell>
          <cell r="F1156">
            <v>1.02</v>
          </cell>
          <cell r="G1156">
            <v>1</v>
          </cell>
          <cell r="H1156" t="str">
            <v>attack</v>
          </cell>
          <cell r="I1156" t="str">
            <v>攻撃タイプ</v>
          </cell>
          <cell r="J1156">
            <v>1</v>
          </cell>
          <cell r="K1156">
            <v>1.33</v>
          </cell>
          <cell r="L1156">
            <v>1</v>
          </cell>
          <cell r="M1156" t="str">
            <v>animal</v>
          </cell>
          <cell r="N1156" t="str">
            <v>アニマル</v>
          </cell>
          <cell r="O1156">
            <v>1</v>
          </cell>
          <cell r="P1156">
            <v>1.1000000000000001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</row>
        <row r="1157">
          <cell r="A1157">
            <v>8008</v>
          </cell>
          <cell r="B1157" t="str">
            <v>孫悟空</v>
          </cell>
          <cell r="C1157">
            <v>6</v>
          </cell>
          <cell r="D1157" t="str">
            <v>red</v>
          </cell>
          <cell r="E1157">
            <v>1</v>
          </cell>
          <cell r="F1157">
            <v>1.02</v>
          </cell>
          <cell r="G1157">
            <v>1</v>
          </cell>
          <cell r="H1157" t="str">
            <v>attack</v>
          </cell>
          <cell r="I1157" t="str">
            <v>攻撃タイプ</v>
          </cell>
          <cell r="J1157">
            <v>1</v>
          </cell>
          <cell r="K1157">
            <v>1.33</v>
          </cell>
          <cell r="L1157">
            <v>1</v>
          </cell>
          <cell r="M1157" t="str">
            <v>animal</v>
          </cell>
          <cell r="N1157" t="str">
            <v>アニマル</v>
          </cell>
          <cell r="O1157">
            <v>1</v>
          </cell>
          <cell r="P1157">
            <v>1.1000000000000001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</row>
        <row r="1158">
          <cell r="A1158">
            <v>8009</v>
          </cell>
          <cell r="B1158" t="str">
            <v>西王娘娘</v>
          </cell>
          <cell r="C1158">
            <v>5</v>
          </cell>
          <cell r="D1158" t="str">
            <v>green</v>
          </cell>
          <cell r="E1158">
            <v>1.02</v>
          </cell>
          <cell r="F1158">
            <v>0.98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</row>
        <row r="1159">
          <cell r="A1159">
            <v>8010</v>
          </cell>
          <cell r="B1159" t="str">
            <v>西王娘娘</v>
          </cell>
          <cell r="C1159">
            <v>6</v>
          </cell>
          <cell r="D1159" t="str">
            <v>green</v>
          </cell>
          <cell r="E1159">
            <v>1.02</v>
          </cell>
          <cell r="F1159">
            <v>0.98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</row>
        <row r="1160">
          <cell r="A1160">
            <v>8011</v>
          </cell>
          <cell r="B1160" t="str">
            <v>月下老人</v>
          </cell>
          <cell r="C1160">
            <v>5</v>
          </cell>
          <cell r="D1160" t="str">
            <v>yellow</v>
          </cell>
          <cell r="E1160">
            <v>0.98</v>
          </cell>
          <cell r="F1160">
            <v>1.01</v>
          </cell>
          <cell r="G1160">
            <v>1</v>
          </cell>
          <cell r="H1160" t="str">
            <v>balance</v>
          </cell>
          <cell r="I1160" t="str">
            <v>バランスタイプ</v>
          </cell>
          <cell r="J1160">
            <v>1</v>
          </cell>
          <cell r="K1160">
            <v>1</v>
          </cell>
          <cell r="L1160">
            <v>1</v>
          </cell>
          <cell r="M1160" t="str">
            <v>god</v>
          </cell>
          <cell r="N1160" t="str">
            <v>ゴッド</v>
          </cell>
          <cell r="O1160">
            <v>0.96</v>
          </cell>
          <cell r="P1160">
            <v>1.02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</row>
        <row r="1161">
          <cell r="A1161">
            <v>8012</v>
          </cell>
          <cell r="B1161" t="str">
            <v>良緣祈福 月下老人</v>
          </cell>
          <cell r="C1161">
            <v>6</v>
          </cell>
          <cell r="D1161" t="str">
            <v>yellow</v>
          </cell>
          <cell r="E1161">
            <v>0.98</v>
          </cell>
          <cell r="F1161">
            <v>1.01</v>
          </cell>
          <cell r="G1161">
            <v>1</v>
          </cell>
          <cell r="H1161" t="str">
            <v>balance</v>
          </cell>
          <cell r="I1161" t="str">
            <v>バランスタイプ</v>
          </cell>
          <cell r="J1161">
            <v>1</v>
          </cell>
          <cell r="K1161">
            <v>1</v>
          </cell>
          <cell r="L1161">
            <v>1</v>
          </cell>
          <cell r="M1161" t="str">
            <v>god</v>
          </cell>
          <cell r="N1161" t="str">
            <v>ゴッド</v>
          </cell>
          <cell r="O1161">
            <v>0.96</v>
          </cell>
          <cell r="P1161">
            <v>1.02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</row>
        <row r="1162">
          <cell r="A1162">
            <v>8013</v>
          </cell>
          <cell r="B1162" t="str">
            <v>初音ミクV3</v>
          </cell>
          <cell r="C1162">
            <v>4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balance</v>
          </cell>
          <cell r="I1162" t="str">
            <v>バランスタイプ</v>
          </cell>
          <cell r="J1162">
            <v>1</v>
          </cell>
          <cell r="K1162">
            <v>1</v>
          </cell>
          <cell r="L1162">
            <v>1</v>
          </cell>
          <cell r="M1162" t="str">
            <v>unknown</v>
          </cell>
          <cell r="N1162" t="str">
            <v>Unknown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30</v>
          </cell>
        </row>
        <row r="1163">
          <cell r="A1163">
            <v>8014</v>
          </cell>
          <cell r="B1163" t="str">
            <v>初音ミクV3</v>
          </cell>
          <cell r="C1163">
            <v>5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balance</v>
          </cell>
          <cell r="I1163" t="str">
            <v>バランスタイプ</v>
          </cell>
          <cell r="J1163">
            <v>1</v>
          </cell>
          <cell r="K1163">
            <v>1</v>
          </cell>
          <cell r="L1163">
            <v>1</v>
          </cell>
          <cell r="M1163" t="str">
            <v>unknown</v>
          </cell>
          <cell r="N1163" t="str">
            <v>Unknown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</row>
        <row r="1164">
          <cell r="A1164">
            <v>8015</v>
          </cell>
          <cell r="B1164" t="str">
            <v>初音ミク・アペンド</v>
          </cell>
          <cell r="C1164">
            <v>4</v>
          </cell>
          <cell r="D1164" t="str">
            <v>green</v>
          </cell>
          <cell r="E1164">
            <v>1.02</v>
          </cell>
          <cell r="F1164">
            <v>0.98</v>
          </cell>
          <cell r="G1164">
            <v>1</v>
          </cell>
          <cell r="H1164" t="str">
            <v>technical</v>
          </cell>
          <cell r="I1164" t="str">
            <v>テクニカルタイプ</v>
          </cell>
          <cell r="J1164">
            <v>0.9</v>
          </cell>
          <cell r="K1164">
            <v>0.9</v>
          </cell>
          <cell r="L1164">
            <v>1</v>
          </cell>
          <cell r="M1164" t="str">
            <v>unknown</v>
          </cell>
          <cell r="N1164" t="str">
            <v>Unknown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30</v>
          </cell>
        </row>
        <row r="1165">
          <cell r="A1165">
            <v>8016</v>
          </cell>
          <cell r="B1165" t="str">
            <v>初音ミク・アペンド</v>
          </cell>
          <cell r="C1165">
            <v>5</v>
          </cell>
          <cell r="D1165" t="str">
            <v>green</v>
          </cell>
          <cell r="E1165">
            <v>1.02</v>
          </cell>
          <cell r="F1165">
            <v>0.98</v>
          </cell>
          <cell r="G1165">
            <v>1</v>
          </cell>
          <cell r="H1165" t="str">
            <v>technical</v>
          </cell>
          <cell r="I1165" t="str">
            <v>テクニカルタイプ</v>
          </cell>
          <cell r="J1165">
            <v>0.9</v>
          </cell>
          <cell r="K1165">
            <v>0.9</v>
          </cell>
          <cell r="L1165">
            <v>1</v>
          </cell>
          <cell r="M1165" t="str">
            <v>unknown</v>
          </cell>
          <cell r="N1165" t="str">
            <v>Unknown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</row>
        <row r="1166">
          <cell r="A1166">
            <v>8017</v>
          </cell>
          <cell r="B1166" t="str">
            <v>初音ミク</v>
          </cell>
          <cell r="C1166">
            <v>4</v>
          </cell>
          <cell r="D1166" t="str">
            <v>green</v>
          </cell>
          <cell r="E1166">
            <v>1.02</v>
          </cell>
          <cell r="F1166">
            <v>0.98</v>
          </cell>
          <cell r="G1166">
            <v>1</v>
          </cell>
          <cell r="H1166" t="str">
            <v>balance</v>
          </cell>
          <cell r="I1166" t="str">
            <v>バランスタイプ</v>
          </cell>
          <cell r="J1166">
            <v>1</v>
          </cell>
          <cell r="K1166">
            <v>1</v>
          </cell>
          <cell r="L1166">
            <v>1</v>
          </cell>
          <cell r="M1166" t="str">
            <v>unknown</v>
          </cell>
          <cell r="N1166" t="str">
            <v>Unknown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30</v>
          </cell>
        </row>
        <row r="1167">
          <cell r="A1167">
            <v>8018</v>
          </cell>
          <cell r="B1167" t="str">
            <v>初音ミク</v>
          </cell>
          <cell r="C1167">
            <v>5</v>
          </cell>
          <cell r="D1167" t="str">
            <v>green</v>
          </cell>
          <cell r="E1167">
            <v>1.02</v>
          </cell>
          <cell r="F1167">
            <v>0.98</v>
          </cell>
          <cell r="G1167">
            <v>1</v>
          </cell>
          <cell r="H1167" t="str">
            <v>balance</v>
          </cell>
          <cell r="I1167" t="str">
            <v>バランスタイプ</v>
          </cell>
          <cell r="J1167">
            <v>1</v>
          </cell>
          <cell r="K1167">
            <v>1</v>
          </cell>
          <cell r="L1167">
            <v>1</v>
          </cell>
          <cell r="M1167" t="str">
            <v>unknown</v>
          </cell>
          <cell r="N1167" t="str">
            <v>Unknown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</row>
        <row r="1168">
          <cell r="A1168">
            <v>8019</v>
          </cell>
          <cell r="B1168" t="str">
            <v>鏡音リン</v>
          </cell>
          <cell r="C1168">
            <v>4</v>
          </cell>
          <cell r="D1168" t="str">
            <v>yellow</v>
          </cell>
          <cell r="E1168">
            <v>0.98</v>
          </cell>
          <cell r="F1168">
            <v>1.01</v>
          </cell>
          <cell r="G1168">
            <v>1</v>
          </cell>
          <cell r="H1168" t="str">
            <v>balance</v>
          </cell>
          <cell r="I1168" t="str">
            <v>バランスタイプ</v>
          </cell>
          <cell r="J1168">
            <v>1</v>
          </cell>
          <cell r="K1168">
            <v>1</v>
          </cell>
          <cell r="L1168">
            <v>1</v>
          </cell>
          <cell r="M1168" t="str">
            <v>unknown</v>
          </cell>
          <cell r="N1168" t="str">
            <v>Unknown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30</v>
          </cell>
        </row>
        <row r="1169">
          <cell r="A1169">
            <v>8020</v>
          </cell>
          <cell r="B1169" t="str">
            <v>鏡音リン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balance</v>
          </cell>
          <cell r="I1169" t="str">
            <v>バランスタイプ</v>
          </cell>
          <cell r="J1169">
            <v>1</v>
          </cell>
          <cell r="K1169">
            <v>1</v>
          </cell>
          <cell r="L1169">
            <v>1</v>
          </cell>
          <cell r="M1169" t="str">
            <v>unknown</v>
          </cell>
          <cell r="N1169" t="str">
            <v>Unknown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</row>
        <row r="1170">
          <cell r="A1170">
            <v>8021</v>
          </cell>
          <cell r="B1170" t="str">
            <v>鏡音レン</v>
          </cell>
          <cell r="C1170">
            <v>4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heal</v>
          </cell>
          <cell r="I1170" t="str">
            <v>回復タイプ</v>
          </cell>
          <cell r="J1170">
            <v>0.8</v>
          </cell>
          <cell r="K1170">
            <v>0.78</v>
          </cell>
          <cell r="L1170">
            <v>1</v>
          </cell>
          <cell r="M1170" t="str">
            <v>unknown</v>
          </cell>
          <cell r="N1170" t="str">
            <v>Unknown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30</v>
          </cell>
        </row>
        <row r="1171">
          <cell r="A1171">
            <v>8022</v>
          </cell>
          <cell r="B1171" t="str">
            <v>鏡音レン</v>
          </cell>
          <cell r="C1171">
            <v>5</v>
          </cell>
          <cell r="D1171" t="str">
            <v>yellow</v>
          </cell>
          <cell r="E1171">
            <v>0.98</v>
          </cell>
          <cell r="F1171">
            <v>1.01</v>
          </cell>
          <cell r="G1171">
            <v>1</v>
          </cell>
          <cell r="H1171" t="str">
            <v>heal</v>
          </cell>
          <cell r="I1171" t="str">
            <v>回復タイプ</v>
          </cell>
          <cell r="J1171">
            <v>0.8</v>
          </cell>
          <cell r="K1171">
            <v>0.78</v>
          </cell>
          <cell r="L1171">
            <v>1</v>
          </cell>
          <cell r="M1171" t="str">
            <v>unknown</v>
          </cell>
          <cell r="N1171" t="str">
            <v>Unknown</v>
          </cell>
          <cell r="O1171">
            <v>1</v>
          </cell>
          <cell r="P1171">
            <v>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</row>
        <row r="1172">
          <cell r="A1172">
            <v>8023</v>
          </cell>
          <cell r="B1172" t="str">
            <v>巡音ルカ</v>
          </cell>
          <cell r="C1172">
            <v>3</v>
          </cell>
          <cell r="D1172" t="str">
            <v>red</v>
          </cell>
          <cell r="E1172">
            <v>1</v>
          </cell>
          <cell r="F1172">
            <v>1.02</v>
          </cell>
          <cell r="G1172">
            <v>1</v>
          </cell>
          <cell r="H1172" t="str">
            <v>attack</v>
          </cell>
          <cell r="I1172" t="str">
            <v>攻撃タイプ</v>
          </cell>
          <cell r="J1172">
            <v>1</v>
          </cell>
          <cell r="K1172">
            <v>1.33</v>
          </cell>
          <cell r="L1172">
            <v>1</v>
          </cell>
          <cell r="M1172" t="str">
            <v>unknown</v>
          </cell>
          <cell r="N1172" t="str">
            <v>Unknown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25</v>
          </cell>
        </row>
        <row r="1173">
          <cell r="A1173">
            <v>8024</v>
          </cell>
          <cell r="B1173" t="str">
            <v>巡音ルカ</v>
          </cell>
          <cell r="C1173">
            <v>4</v>
          </cell>
          <cell r="D1173" t="str">
            <v>red</v>
          </cell>
          <cell r="E1173">
            <v>1</v>
          </cell>
          <cell r="F1173">
            <v>1.02</v>
          </cell>
          <cell r="G1173">
            <v>1</v>
          </cell>
          <cell r="H1173" t="str">
            <v>attack</v>
          </cell>
          <cell r="I1173" t="str">
            <v>攻撃タイプ</v>
          </cell>
          <cell r="J1173">
            <v>1</v>
          </cell>
          <cell r="K1173">
            <v>1.33</v>
          </cell>
          <cell r="L1173">
            <v>1</v>
          </cell>
          <cell r="M1173" t="str">
            <v>unknown</v>
          </cell>
          <cell r="N1173" t="str">
            <v>Unknown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30</v>
          </cell>
        </row>
        <row r="1174">
          <cell r="A1174">
            <v>8025</v>
          </cell>
          <cell r="B1174" t="str">
            <v>MEIKO</v>
          </cell>
          <cell r="C1174">
            <v>3</v>
          </cell>
          <cell r="D1174" t="str">
            <v>red</v>
          </cell>
          <cell r="E1174">
            <v>1</v>
          </cell>
          <cell r="F1174">
            <v>1.02</v>
          </cell>
          <cell r="G1174">
            <v>1</v>
          </cell>
          <cell r="H1174" t="str">
            <v>hp</v>
          </cell>
          <cell r="I1174" t="str">
            <v>体力タイプ</v>
          </cell>
          <cell r="J1174">
            <v>1.45</v>
          </cell>
          <cell r="K1174">
            <v>0.85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25</v>
          </cell>
        </row>
        <row r="1175">
          <cell r="A1175">
            <v>8026</v>
          </cell>
          <cell r="B1175" t="str">
            <v>MEIKO</v>
          </cell>
          <cell r="C1175">
            <v>4</v>
          </cell>
          <cell r="D1175" t="str">
            <v>red</v>
          </cell>
          <cell r="E1175">
            <v>1</v>
          </cell>
          <cell r="F1175">
            <v>1.02</v>
          </cell>
          <cell r="G1175">
            <v>1</v>
          </cell>
          <cell r="H1175" t="str">
            <v>hp</v>
          </cell>
          <cell r="I1175" t="str">
            <v>体力タイプ</v>
          </cell>
          <cell r="J1175">
            <v>1.45</v>
          </cell>
          <cell r="K1175">
            <v>0.85</v>
          </cell>
          <cell r="L1175">
            <v>1</v>
          </cell>
          <cell r="M1175" t="str">
            <v>unknown</v>
          </cell>
          <cell r="N1175" t="str">
            <v>Unknown</v>
          </cell>
          <cell r="O1175">
            <v>1</v>
          </cell>
          <cell r="P1175">
            <v>1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30</v>
          </cell>
        </row>
        <row r="1176">
          <cell r="A1176">
            <v>8027</v>
          </cell>
          <cell r="B1176" t="str">
            <v>KAITO</v>
          </cell>
          <cell r="C1176">
            <v>3</v>
          </cell>
          <cell r="D1176" t="str">
            <v>blue</v>
          </cell>
          <cell r="E1176">
            <v>1</v>
          </cell>
          <cell r="F1176">
            <v>0.98</v>
          </cell>
          <cell r="G1176">
            <v>1</v>
          </cell>
          <cell r="H1176" t="str">
            <v>technical</v>
          </cell>
          <cell r="I1176" t="str">
            <v>テクニカルタイプ</v>
          </cell>
          <cell r="J1176">
            <v>0.9</v>
          </cell>
          <cell r="K1176">
            <v>0.9</v>
          </cell>
          <cell r="L1176">
            <v>1</v>
          </cell>
          <cell r="M1176" t="str">
            <v>unknown</v>
          </cell>
          <cell r="N1176" t="str">
            <v>Unknown</v>
          </cell>
          <cell r="O1176">
            <v>1</v>
          </cell>
          <cell r="P1176">
            <v>1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25</v>
          </cell>
        </row>
        <row r="1177">
          <cell r="A1177">
            <v>8028</v>
          </cell>
          <cell r="B1177" t="str">
            <v>KAITO</v>
          </cell>
          <cell r="C1177">
            <v>4</v>
          </cell>
          <cell r="D1177" t="str">
            <v>blue</v>
          </cell>
          <cell r="E1177">
            <v>1</v>
          </cell>
          <cell r="F1177">
            <v>0.98</v>
          </cell>
          <cell r="G1177">
            <v>1</v>
          </cell>
          <cell r="H1177" t="str">
            <v>technical</v>
          </cell>
          <cell r="I1177" t="str">
            <v>テクニカルタイプ</v>
          </cell>
          <cell r="J1177">
            <v>0.9</v>
          </cell>
          <cell r="K1177">
            <v>0.9</v>
          </cell>
          <cell r="L1177">
            <v>1</v>
          </cell>
          <cell r="M1177" t="str">
            <v>unknown</v>
          </cell>
          <cell r="N1177" t="str">
            <v>Unknown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30</v>
          </cell>
        </row>
        <row r="1178">
          <cell r="A1178">
            <v>8029</v>
          </cell>
          <cell r="B1178" t="str">
            <v>Expoミク</v>
          </cell>
          <cell r="C1178">
            <v>4</v>
          </cell>
          <cell r="D1178" t="str">
            <v>blue</v>
          </cell>
          <cell r="E1178">
            <v>1</v>
          </cell>
          <cell r="F1178">
            <v>0.98</v>
          </cell>
          <cell r="G1178">
            <v>1</v>
          </cell>
          <cell r="H1178" t="str">
            <v>heal</v>
          </cell>
          <cell r="I1178" t="str">
            <v>回復タイプ</v>
          </cell>
          <cell r="J1178">
            <v>0.8</v>
          </cell>
          <cell r="K1178">
            <v>0.78</v>
          </cell>
          <cell r="L1178">
            <v>1</v>
          </cell>
          <cell r="M1178" t="str">
            <v>unknown</v>
          </cell>
          <cell r="N1178" t="str">
            <v>Unknown</v>
          </cell>
          <cell r="O1178">
            <v>1</v>
          </cell>
          <cell r="P1178">
            <v>1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30</v>
          </cell>
        </row>
        <row r="1179">
          <cell r="A1179">
            <v>8030</v>
          </cell>
          <cell r="B1179" t="str">
            <v>Expoミク</v>
          </cell>
          <cell r="C1179">
            <v>4</v>
          </cell>
          <cell r="D1179" t="str">
            <v>blue</v>
          </cell>
          <cell r="E1179">
            <v>1</v>
          </cell>
          <cell r="F1179">
            <v>0.98</v>
          </cell>
          <cell r="G1179">
            <v>1</v>
          </cell>
          <cell r="H1179" t="str">
            <v>heal</v>
          </cell>
          <cell r="I1179" t="str">
            <v>回復タイプ</v>
          </cell>
          <cell r="J1179">
            <v>0.8</v>
          </cell>
          <cell r="K1179">
            <v>0.78</v>
          </cell>
          <cell r="L1179">
            <v>1</v>
          </cell>
          <cell r="M1179" t="str">
            <v>unknown</v>
          </cell>
          <cell r="N1179" t="str">
            <v>Unknown</v>
          </cell>
          <cell r="O1179">
            <v>1</v>
          </cell>
          <cell r="P1179">
            <v>1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30</v>
          </cell>
        </row>
        <row r="1180">
          <cell r="A1180">
            <v>8031</v>
          </cell>
          <cell r="B1180" t="str">
            <v>閻羅王</v>
          </cell>
          <cell r="C1180">
            <v>5</v>
          </cell>
          <cell r="D1180" t="str">
            <v>red</v>
          </cell>
          <cell r="E1180">
            <v>1</v>
          </cell>
          <cell r="F1180">
            <v>1.02</v>
          </cell>
          <cell r="G1180">
            <v>1</v>
          </cell>
          <cell r="H1180" t="str">
            <v>balance</v>
          </cell>
          <cell r="I1180" t="str">
            <v>バランスタイプ</v>
          </cell>
          <cell r="J1180">
            <v>1</v>
          </cell>
          <cell r="K1180">
            <v>1</v>
          </cell>
          <cell r="L1180">
            <v>1</v>
          </cell>
          <cell r="M1180" t="str">
            <v>god</v>
          </cell>
          <cell r="N1180" t="str">
            <v>ゴッド</v>
          </cell>
          <cell r="O1180">
            <v>0.96</v>
          </cell>
          <cell r="P1180">
            <v>1.02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</row>
        <row r="1181">
          <cell r="A1181">
            <v>8032</v>
          </cell>
          <cell r="B1181" t="str">
            <v>十殿閻羅王</v>
          </cell>
          <cell r="C1181">
            <v>6</v>
          </cell>
          <cell r="D1181" t="str">
            <v>red</v>
          </cell>
          <cell r="E1181">
            <v>1</v>
          </cell>
          <cell r="F1181">
            <v>1.02</v>
          </cell>
          <cell r="G1181">
            <v>1</v>
          </cell>
          <cell r="H1181" t="str">
            <v>balance</v>
          </cell>
          <cell r="I1181" t="str">
            <v>バランスタイプ</v>
          </cell>
          <cell r="J1181">
            <v>1</v>
          </cell>
          <cell r="K1181">
            <v>1</v>
          </cell>
          <cell r="L1181">
            <v>1</v>
          </cell>
          <cell r="M1181" t="str">
            <v>god</v>
          </cell>
          <cell r="N1181" t="str">
            <v>ゴッド</v>
          </cell>
          <cell r="O1181">
            <v>0.96</v>
          </cell>
          <cell r="P1181">
            <v>1.02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</row>
        <row r="1182">
          <cell r="A1182">
            <v>8033</v>
          </cell>
          <cell r="B1182" t="str">
            <v>牛頭馬面</v>
          </cell>
          <cell r="C1182">
            <v>5</v>
          </cell>
          <cell r="D1182" t="str">
            <v>green</v>
          </cell>
          <cell r="E1182">
            <v>1.02</v>
          </cell>
          <cell r="F1182">
            <v>0.98</v>
          </cell>
          <cell r="G1182">
            <v>1</v>
          </cell>
          <cell r="H1182" t="str">
            <v>attack</v>
          </cell>
          <cell r="I1182" t="str">
            <v>攻撃タイプ</v>
          </cell>
          <cell r="J1182">
            <v>1</v>
          </cell>
          <cell r="K1182">
            <v>1.33</v>
          </cell>
          <cell r="L1182">
            <v>1</v>
          </cell>
          <cell r="M1182" t="str">
            <v>god</v>
          </cell>
          <cell r="N1182" t="str">
            <v>ゴッド</v>
          </cell>
          <cell r="O1182">
            <v>0.96</v>
          </cell>
          <cell r="P1182">
            <v>1.02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</row>
        <row r="1183">
          <cell r="A1183">
            <v>8034</v>
          </cell>
          <cell r="B1183" t="str">
            <v>牛頭馬面</v>
          </cell>
          <cell r="C1183">
            <v>6</v>
          </cell>
          <cell r="D1183" t="str">
            <v>green</v>
          </cell>
          <cell r="E1183">
            <v>1.02</v>
          </cell>
          <cell r="F1183">
            <v>0.98</v>
          </cell>
          <cell r="G1183">
            <v>1</v>
          </cell>
          <cell r="H1183" t="str">
            <v>attack</v>
          </cell>
          <cell r="I1183" t="str">
            <v>攻撃タイプ</v>
          </cell>
          <cell r="J1183">
            <v>1</v>
          </cell>
          <cell r="K1183">
            <v>1.33</v>
          </cell>
          <cell r="L1183">
            <v>1</v>
          </cell>
          <cell r="M1183" t="str">
            <v>god</v>
          </cell>
          <cell r="N1183" t="str">
            <v>ゴッド</v>
          </cell>
          <cell r="O1183">
            <v>0.96</v>
          </cell>
          <cell r="P1183">
            <v>1.02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</row>
        <row r="1184">
          <cell r="A1184">
            <v>8035</v>
          </cell>
          <cell r="B1184" t="str">
            <v>嫦娥</v>
          </cell>
          <cell r="C1184">
            <v>4</v>
          </cell>
          <cell r="D1184" t="str">
            <v>blue</v>
          </cell>
          <cell r="E1184">
            <v>1</v>
          </cell>
          <cell r="F1184">
            <v>0.98</v>
          </cell>
          <cell r="G1184">
            <v>1</v>
          </cell>
          <cell r="H1184" t="str">
            <v>heal</v>
          </cell>
          <cell r="I1184" t="str">
            <v>回復タイプ</v>
          </cell>
          <cell r="J1184">
            <v>0.8</v>
          </cell>
          <cell r="K1184">
            <v>0.78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30</v>
          </cell>
        </row>
        <row r="1185">
          <cell r="A1185">
            <v>8036</v>
          </cell>
          <cell r="B1185" t="str">
            <v>嫦娥</v>
          </cell>
          <cell r="C1185">
            <v>4</v>
          </cell>
          <cell r="D1185" t="str">
            <v>blue</v>
          </cell>
          <cell r="E1185">
            <v>1</v>
          </cell>
          <cell r="F1185">
            <v>0.98</v>
          </cell>
          <cell r="G1185">
            <v>1</v>
          </cell>
          <cell r="H1185" t="str">
            <v>heal</v>
          </cell>
          <cell r="I1185" t="str">
            <v>回復タイプ</v>
          </cell>
          <cell r="J1185">
            <v>0.8</v>
          </cell>
          <cell r="K1185">
            <v>0.78</v>
          </cell>
          <cell r="L1185">
            <v>1</v>
          </cell>
          <cell r="M1185" t="str">
            <v>unknown</v>
          </cell>
          <cell r="N1185" t="str">
            <v>Unknown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30</v>
          </cell>
        </row>
        <row r="1186">
          <cell r="A1186">
            <v>8037</v>
          </cell>
          <cell r="B1186" t="str">
            <v>后羿</v>
          </cell>
          <cell r="C1186">
            <v>4</v>
          </cell>
          <cell r="D1186" t="str">
            <v>blue</v>
          </cell>
          <cell r="E1186">
            <v>1</v>
          </cell>
          <cell r="F1186">
            <v>0.98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unknown</v>
          </cell>
          <cell r="N1186" t="str">
            <v>Unknown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30</v>
          </cell>
        </row>
        <row r="1187">
          <cell r="A1187">
            <v>8038</v>
          </cell>
          <cell r="B1187" t="str">
            <v>后羿</v>
          </cell>
          <cell r="C1187">
            <v>4</v>
          </cell>
          <cell r="D1187" t="str">
            <v>blue</v>
          </cell>
          <cell r="E1187">
            <v>1</v>
          </cell>
          <cell r="F1187">
            <v>0.98</v>
          </cell>
          <cell r="G1187">
            <v>1</v>
          </cell>
          <cell r="H1187" t="str">
            <v>heal</v>
          </cell>
          <cell r="I1187" t="str">
            <v>回復タイプ</v>
          </cell>
          <cell r="J1187">
            <v>0.8</v>
          </cell>
          <cell r="K1187">
            <v>0.78</v>
          </cell>
          <cell r="L1187">
            <v>1</v>
          </cell>
          <cell r="M1187" t="str">
            <v>unknown</v>
          </cell>
          <cell r="N1187" t="str">
            <v>Unknown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30</v>
          </cell>
        </row>
        <row r="1188">
          <cell r="A1188">
            <v>8039</v>
          </cell>
          <cell r="B1188" t="str">
            <v>何仙姑</v>
          </cell>
          <cell r="C1188">
            <v>4</v>
          </cell>
          <cell r="D1188" t="str">
            <v>blue</v>
          </cell>
          <cell r="E1188">
            <v>1</v>
          </cell>
          <cell r="F1188">
            <v>0.98</v>
          </cell>
          <cell r="G1188">
            <v>1</v>
          </cell>
          <cell r="H1188" t="str">
            <v>heal</v>
          </cell>
          <cell r="I1188" t="str">
            <v>回復タイプ</v>
          </cell>
          <cell r="J1188">
            <v>0.8</v>
          </cell>
          <cell r="K1188">
            <v>0.78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30</v>
          </cell>
        </row>
        <row r="1189">
          <cell r="A1189">
            <v>8040</v>
          </cell>
          <cell r="B1189" t="str">
            <v>何仙姑</v>
          </cell>
          <cell r="C1189">
            <v>4</v>
          </cell>
          <cell r="D1189" t="str">
            <v>blue</v>
          </cell>
          <cell r="E1189">
            <v>1</v>
          </cell>
          <cell r="F1189">
            <v>0.98</v>
          </cell>
          <cell r="G1189">
            <v>1</v>
          </cell>
          <cell r="H1189" t="str">
            <v>heal</v>
          </cell>
          <cell r="I1189" t="str">
            <v>回復タイプ</v>
          </cell>
          <cell r="J1189">
            <v>0.8</v>
          </cell>
          <cell r="K1189">
            <v>0.78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30</v>
          </cell>
        </row>
        <row r="1190">
          <cell r="A1190">
            <v>8041</v>
          </cell>
          <cell r="B1190" t="str">
            <v>藍采和</v>
          </cell>
          <cell r="C1190">
            <v>4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30</v>
          </cell>
        </row>
        <row r="1191">
          <cell r="A1191">
            <v>8042</v>
          </cell>
          <cell r="B1191" t="str">
            <v>藍采和</v>
          </cell>
          <cell r="C1191">
            <v>4</v>
          </cell>
          <cell r="D1191" t="str">
            <v>blue</v>
          </cell>
          <cell r="E1191">
            <v>1</v>
          </cell>
          <cell r="F1191">
            <v>0.98</v>
          </cell>
          <cell r="G1191">
            <v>1</v>
          </cell>
          <cell r="H1191" t="str">
            <v>heal</v>
          </cell>
          <cell r="I1191" t="str">
            <v>回復タイプ</v>
          </cell>
          <cell r="J1191">
            <v>0.8</v>
          </cell>
          <cell r="K1191">
            <v>0.78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30</v>
          </cell>
        </row>
        <row r="1192">
          <cell r="A1192">
            <v>8043</v>
          </cell>
          <cell r="B1192" t="str">
            <v>サンリオキャラ大集合+アザゼル</v>
          </cell>
          <cell r="C1192">
            <v>5</v>
          </cell>
          <cell r="D1192" t="str">
            <v>green</v>
          </cell>
          <cell r="E1192">
            <v>1.02</v>
          </cell>
          <cell r="F1192">
            <v>0.98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1</v>
          </cell>
          <cell r="K1192">
            <v>1</v>
          </cell>
          <cell r="L1192">
            <v>1</v>
          </cell>
          <cell r="M1192" t="str">
            <v>god</v>
          </cell>
          <cell r="N1192" t="str">
            <v>ゴッド</v>
          </cell>
          <cell r="O1192">
            <v>0.96</v>
          </cell>
          <cell r="P1192">
            <v>1.02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</row>
        <row r="1193">
          <cell r="A1193">
            <v>8044</v>
          </cell>
          <cell r="B1193" t="str">
            <v>サンリオキャラ大集合+アザゼル</v>
          </cell>
          <cell r="C1193">
            <v>6</v>
          </cell>
          <cell r="D1193" t="str">
            <v>green</v>
          </cell>
          <cell r="E1193">
            <v>1.02</v>
          </cell>
          <cell r="F1193">
            <v>0.98</v>
          </cell>
          <cell r="G1193">
            <v>1</v>
          </cell>
          <cell r="H1193" t="str">
            <v>technical</v>
          </cell>
          <cell r="I1193" t="str">
            <v>テクニカルタイプ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god</v>
          </cell>
          <cell r="N1193" t="str">
            <v>ゴッド</v>
          </cell>
          <cell r="O1193">
            <v>0.96</v>
          </cell>
          <cell r="P1193">
            <v>1.02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</row>
        <row r="1194">
          <cell r="A1194">
            <v>8045</v>
          </cell>
          <cell r="B1194" t="str">
            <v>ニムダ_サンリオキャラ混じり</v>
          </cell>
          <cell r="C1194">
            <v>4</v>
          </cell>
          <cell r="D1194" t="str">
            <v>yellow</v>
          </cell>
          <cell r="E1194">
            <v>0.98</v>
          </cell>
          <cell r="F1194">
            <v>1.01</v>
          </cell>
          <cell r="G1194">
            <v>1</v>
          </cell>
          <cell r="H1194" t="str">
            <v>technical</v>
          </cell>
          <cell r="I1194" t="str">
            <v>テクニカルタイプ</v>
          </cell>
          <cell r="J1194">
            <v>1</v>
          </cell>
          <cell r="K1194">
            <v>1</v>
          </cell>
          <cell r="L1194">
            <v>1</v>
          </cell>
          <cell r="M1194" t="str">
            <v>unknown</v>
          </cell>
          <cell r="N1194" t="str">
            <v>Unknown</v>
          </cell>
          <cell r="O1194">
            <v>1</v>
          </cell>
          <cell r="P1194">
            <v>1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30</v>
          </cell>
        </row>
        <row r="1195">
          <cell r="A1195">
            <v>8046</v>
          </cell>
          <cell r="B1195" t="str">
            <v>ニムダ_サンリオキャラ混じり</v>
          </cell>
          <cell r="C1195">
            <v>5</v>
          </cell>
          <cell r="D1195" t="str">
            <v>yellow</v>
          </cell>
          <cell r="E1195">
            <v>0.98</v>
          </cell>
          <cell r="F1195">
            <v>1.01</v>
          </cell>
          <cell r="G1195">
            <v>1</v>
          </cell>
          <cell r="H1195" t="str">
            <v>technical</v>
          </cell>
          <cell r="I1195" t="str">
            <v>テクニカルタイプ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</row>
        <row r="1196">
          <cell r="A1196">
            <v>8047</v>
          </cell>
          <cell r="B1196" t="str">
            <v>ハローキティ</v>
          </cell>
          <cell r="C1196">
            <v>4</v>
          </cell>
          <cell r="D1196" t="str">
            <v>red</v>
          </cell>
          <cell r="E1196">
            <v>1</v>
          </cell>
          <cell r="F1196">
            <v>1.02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30</v>
          </cell>
        </row>
        <row r="1197">
          <cell r="A1197">
            <v>8048</v>
          </cell>
          <cell r="B1197" t="str">
            <v>ハローキティ</v>
          </cell>
          <cell r="C1197">
            <v>5</v>
          </cell>
          <cell r="D1197" t="str">
            <v>red</v>
          </cell>
          <cell r="E1197">
            <v>1</v>
          </cell>
          <cell r="F1197">
            <v>1.02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unknown</v>
          </cell>
          <cell r="N1197" t="str">
            <v>Unknown</v>
          </cell>
          <cell r="O1197">
            <v>1</v>
          </cell>
          <cell r="P1197">
            <v>1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</row>
        <row r="1198">
          <cell r="A1198">
            <v>8049</v>
          </cell>
          <cell r="B1198" t="str">
            <v>KIRIMIちゃん</v>
          </cell>
          <cell r="C1198">
            <v>4</v>
          </cell>
          <cell r="D1198" t="str">
            <v>red</v>
          </cell>
          <cell r="E1198">
            <v>1</v>
          </cell>
          <cell r="F1198">
            <v>1.02</v>
          </cell>
          <cell r="G1198">
            <v>1</v>
          </cell>
          <cell r="H1198" t="str">
            <v>hp</v>
          </cell>
          <cell r="I1198" t="str">
            <v>体力タイプ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unknown</v>
          </cell>
          <cell r="N1198" t="str">
            <v>Unknown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30</v>
          </cell>
        </row>
        <row r="1199">
          <cell r="A1199">
            <v>8050</v>
          </cell>
          <cell r="B1199" t="str">
            <v>KIRIMIちゃん</v>
          </cell>
          <cell r="C1199">
            <v>5</v>
          </cell>
          <cell r="D1199" t="str">
            <v>red</v>
          </cell>
          <cell r="E1199">
            <v>1</v>
          </cell>
          <cell r="F1199">
            <v>1.02</v>
          </cell>
          <cell r="G1199">
            <v>1</v>
          </cell>
          <cell r="H1199" t="str">
            <v>hp</v>
          </cell>
          <cell r="I1199" t="str">
            <v>体力タイプ</v>
          </cell>
          <cell r="J1199">
            <v>1</v>
          </cell>
          <cell r="K1199">
            <v>1</v>
          </cell>
          <cell r="L1199">
            <v>1</v>
          </cell>
          <cell r="M1199" t="str">
            <v>unknown</v>
          </cell>
          <cell r="N1199" t="str">
            <v>Unknown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</row>
        <row r="1200">
          <cell r="A1200">
            <v>8051</v>
          </cell>
          <cell r="B1200" t="str">
            <v>ハローキティのリボン</v>
          </cell>
          <cell r="C1200">
            <v>5</v>
          </cell>
          <cell r="D1200" t="str">
            <v>red</v>
          </cell>
          <cell r="E1200">
            <v>1</v>
          </cell>
          <cell r="F1200">
            <v>1.02</v>
          </cell>
          <cell r="G1200">
            <v>1</v>
          </cell>
          <cell r="H1200" t="str">
            <v>evolution</v>
          </cell>
          <cell r="I1200" t="str">
            <v>覚醒素材タイプ</v>
          </cell>
          <cell r="J1200">
            <v>1</v>
          </cell>
          <cell r="K1200">
            <v>1</v>
          </cell>
          <cell r="L1200">
            <v>1</v>
          </cell>
          <cell r="M1200" t="str">
            <v>unknown</v>
          </cell>
          <cell r="N1200" t="str">
            <v>Unknown</v>
          </cell>
          <cell r="O1200">
            <v>1</v>
          </cell>
          <cell r="P1200">
            <v>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</row>
        <row r="1201">
          <cell r="A1201">
            <v>8052</v>
          </cell>
          <cell r="B1201" t="str">
            <v>ママの作ったアップルパイ</v>
          </cell>
          <cell r="C1201">
            <v>4</v>
          </cell>
          <cell r="D1201" t="str">
            <v>red</v>
          </cell>
          <cell r="E1201">
            <v>1</v>
          </cell>
          <cell r="F1201">
            <v>1.02</v>
          </cell>
          <cell r="G1201">
            <v>1</v>
          </cell>
          <cell r="H1201" t="str">
            <v>evolution</v>
          </cell>
          <cell r="I1201" t="str">
            <v>覚醒素材タイプ</v>
          </cell>
          <cell r="J1201">
            <v>1</v>
          </cell>
          <cell r="K1201">
            <v>1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</row>
        <row r="1202">
          <cell r="A1202">
            <v>8053</v>
          </cell>
          <cell r="B1202" t="str">
            <v>D.R.T.H__キティコスプレ</v>
          </cell>
          <cell r="C1202">
            <v>5</v>
          </cell>
          <cell r="D1202" t="str">
            <v>red</v>
          </cell>
          <cell r="E1202">
            <v>1</v>
          </cell>
          <cell r="F1202">
            <v>1.02</v>
          </cell>
          <cell r="G1202">
            <v>1</v>
          </cell>
          <cell r="H1202" t="str">
            <v>balance</v>
          </cell>
          <cell r="I1202" t="str">
            <v>バランスタイプ</v>
          </cell>
          <cell r="J1202">
            <v>1</v>
          </cell>
          <cell r="K1202">
            <v>1</v>
          </cell>
          <cell r="L1202">
            <v>1</v>
          </cell>
          <cell r="M1202" t="str">
            <v>human</v>
          </cell>
          <cell r="N1202" t="str">
            <v>ヒューマン</v>
          </cell>
          <cell r="O1202">
            <v>0.94</v>
          </cell>
          <cell r="P1202">
            <v>0.99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</row>
        <row r="1203">
          <cell r="A1203">
            <v>8054</v>
          </cell>
          <cell r="B1203" t="str">
            <v>D.R.T.H__キティコスプレ</v>
          </cell>
          <cell r="C1203">
            <v>6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balance</v>
          </cell>
          <cell r="I1203" t="str">
            <v>バランスタイプ</v>
          </cell>
          <cell r="J1203">
            <v>1</v>
          </cell>
          <cell r="K1203">
            <v>1</v>
          </cell>
          <cell r="L1203">
            <v>1</v>
          </cell>
          <cell r="M1203" t="str">
            <v>human</v>
          </cell>
          <cell r="N1203" t="str">
            <v>ヒューマン</v>
          </cell>
          <cell r="O1203">
            <v>0.94</v>
          </cell>
          <cell r="P1203">
            <v>0.99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</row>
        <row r="1204">
          <cell r="A1204">
            <v>8055</v>
          </cell>
          <cell r="B1204" t="str">
            <v>マイメロディ</v>
          </cell>
          <cell r="C1204">
            <v>4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attack</v>
          </cell>
          <cell r="I1204" t="str">
            <v>攻撃タイプ</v>
          </cell>
          <cell r="J1204">
            <v>1</v>
          </cell>
          <cell r="K1204">
            <v>1</v>
          </cell>
          <cell r="L1204">
            <v>1</v>
          </cell>
          <cell r="M1204" t="str">
            <v>unknown</v>
          </cell>
          <cell r="N1204" t="str">
            <v>Unknown</v>
          </cell>
          <cell r="O1204">
            <v>1</v>
          </cell>
          <cell r="P1204">
            <v>1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30</v>
          </cell>
        </row>
        <row r="1205">
          <cell r="A1205">
            <v>8056</v>
          </cell>
          <cell r="B1205" t="str">
            <v>マイメロディ</v>
          </cell>
          <cell r="C1205">
            <v>5</v>
          </cell>
          <cell r="D1205" t="str">
            <v>red</v>
          </cell>
          <cell r="E1205">
            <v>1</v>
          </cell>
          <cell r="F1205">
            <v>1.02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</v>
          </cell>
          <cell r="L1205">
            <v>1</v>
          </cell>
          <cell r="M1205" t="str">
            <v>unknown</v>
          </cell>
          <cell r="N1205" t="str">
            <v>Unknown</v>
          </cell>
          <cell r="O1205">
            <v>1</v>
          </cell>
          <cell r="P1205">
            <v>1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</row>
        <row r="1206">
          <cell r="A1206">
            <v>8057</v>
          </cell>
          <cell r="B1206" t="str">
            <v>ニーベルゲン_シナモロールコスプレ</v>
          </cell>
          <cell r="C1206">
            <v>4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balance</v>
          </cell>
          <cell r="I1206" t="str">
            <v>バランスタイプ</v>
          </cell>
          <cell r="J1206">
            <v>1</v>
          </cell>
          <cell r="K1206">
            <v>1</v>
          </cell>
          <cell r="L1206">
            <v>1</v>
          </cell>
          <cell r="M1206" t="str">
            <v>unknown</v>
          </cell>
          <cell r="N1206" t="str">
            <v>Unknown</v>
          </cell>
          <cell r="O1206">
            <v>1</v>
          </cell>
          <cell r="P1206">
            <v>1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30</v>
          </cell>
        </row>
        <row r="1207">
          <cell r="A1207">
            <v>8058</v>
          </cell>
          <cell r="B1207" t="str">
            <v>ニーベルゲン_シナモロールコスプレ</v>
          </cell>
          <cell r="C1207">
            <v>5</v>
          </cell>
          <cell r="D1207" t="str">
            <v>green</v>
          </cell>
          <cell r="E1207">
            <v>1.02</v>
          </cell>
          <cell r="F1207">
            <v>0.98</v>
          </cell>
          <cell r="G1207">
            <v>1</v>
          </cell>
          <cell r="H1207" t="str">
            <v>balance</v>
          </cell>
          <cell r="I1207" t="str">
            <v>バランスタイプ</v>
          </cell>
          <cell r="J1207">
            <v>1</v>
          </cell>
          <cell r="K1207">
            <v>1</v>
          </cell>
          <cell r="L1207">
            <v>1</v>
          </cell>
          <cell r="M1207" t="str">
            <v>unknown</v>
          </cell>
          <cell r="N1207" t="str">
            <v>Unknown</v>
          </cell>
          <cell r="O1207">
            <v>1</v>
          </cell>
          <cell r="P1207">
            <v>1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</row>
        <row r="1208">
          <cell r="A1208">
            <v>8059</v>
          </cell>
          <cell r="B1208" t="str">
            <v>カカシ_マイメロディコスプレ</v>
          </cell>
          <cell r="C1208">
            <v>4</v>
          </cell>
          <cell r="D1208" t="str">
            <v>green</v>
          </cell>
          <cell r="E1208">
            <v>1.02</v>
          </cell>
          <cell r="F1208">
            <v>0.98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1</v>
          </cell>
          <cell r="K1208">
            <v>1</v>
          </cell>
          <cell r="L1208">
            <v>1</v>
          </cell>
          <cell r="M1208" t="str">
            <v>human</v>
          </cell>
          <cell r="N1208" t="str">
            <v>ヒューマン</v>
          </cell>
          <cell r="O1208">
            <v>0.94</v>
          </cell>
          <cell r="P1208">
            <v>0.99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30</v>
          </cell>
        </row>
        <row r="1209">
          <cell r="A1209">
            <v>8060</v>
          </cell>
          <cell r="B1209" t="str">
            <v>カカシ_マイメロディコスプレ</v>
          </cell>
          <cell r="C1209">
            <v>5</v>
          </cell>
          <cell r="D1209" t="str">
            <v>green</v>
          </cell>
          <cell r="E1209">
            <v>1.02</v>
          </cell>
          <cell r="F1209">
            <v>0.98</v>
          </cell>
          <cell r="G1209">
            <v>1</v>
          </cell>
          <cell r="H1209" t="str">
            <v>technical</v>
          </cell>
          <cell r="I1209" t="str">
            <v>テクニカルタイプ</v>
          </cell>
          <cell r="J1209">
            <v>1</v>
          </cell>
          <cell r="K1209">
            <v>1</v>
          </cell>
          <cell r="L1209">
            <v>1</v>
          </cell>
          <cell r="M1209" t="str">
            <v>human</v>
          </cell>
          <cell r="N1209" t="str">
            <v>ヒューマン</v>
          </cell>
          <cell r="O1209">
            <v>0.94</v>
          </cell>
          <cell r="P1209">
            <v>0.99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</row>
        <row r="1210">
          <cell r="A1210">
            <v>8061</v>
          </cell>
          <cell r="B1210" t="str">
            <v>ケロケロけろっぴ</v>
          </cell>
          <cell r="C1210">
            <v>3</v>
          </cell>
          <cell r="D1210" t="str">
            <v>green</v>
          </cell>
          <cell r="E1210">
            <v>1.02</v>
          </cell>
          <cell r="F1210">
            <v>0.98</v>
          </cell>
          <cell r="G1210">
            <v>1</v>
          </cell>
          <cell r="H1210" t="str">
            <v>balance</v>
          </cell>
          <cell r="I1210" t="str">
            <v>バランスタイプ</v>
          </cell>
          <cell r="J1210">
            <v>1</v>
          </cell>
          <cell r="K1210">
            <v>1</v>
          </cell>
          <cell r="L1210">
            <v>1</v>
          </cell>
          <cell r="M1210" t="str">
            <v>unknown</v>
          </cell>
          <cell r="N1210" t="str">
            <v>Unknown</v>
          </cell>
          <cell r="O1210">
            <v>1</v>
          </cell>
          <cell r="P1210">
            <v>1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25</v>
          </cell>
        </row>
        <row r="1211">
          <cell r="A1211">
            <v>8062</v>
          </cell>
          <cell r="B1211" t="str">
            <v>ケロケロけろっぴ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balance</v>
          </cell>
          <cell r="I1211" t="str">
            <v>バランスタイプ</v>
          </cell>
          <cell r="J1211">
            <v>1</v>
          </cell>
          <cell r="K1211">
            <v>1</v>
          </cell>
          <cell r="L1211">
            <v>1</v>
          </cell>
          <cell r="M1211" t="str">
            <v>unknown</v>
          </cell>
          <cell r="N1211" t="str">
            <v>Unknown</v>
          </cell>
          <cell r="O1211">
            <v>1</v>
          </cell>
          <cell r="P1211">
            <v>1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</row>
        <row r="1212">
          <cell r="A1212">
            <v>8063</v>
          </cell>
          <cell r="B1212" t="str">
            <v>モルドレッド_ポムポムプリンコスプレ</v>
          </cell>
          <cell r="C1212">
            <v>5</v>
          </cell>
          <cell r="D1212" t="str">
            <v>blue</v>
          </cell>
          <cell r="E1212">
            <v>1</v>
          </cell>
          <cell r="F1212">
            <v>0.98</v>
          </cell>
          <cell r="G1212">
            <v>1</v>
          </cell>
          <cell r="H1212" t="str">
            <v>heal</v>
          </cell>
          <cell r="I1212" t="str">
            <v>回復タイプ</v>
          </cell>
          <cell r="J1212">
            <v>1</v>
          </cell>
          <cell r="K1212">
            <v>1</v>
          </cell>
          <cell r="L1212">
            <v>1</v>
          </cell>
          <cell r="M1212" t="str">
            <v>human</v>
          </cell>
          <cell r="N1212" t="str">
            <v>ヒューマン</v>
          </cell>
          <cell r="O1212">
            <v>0.94</v>
          </cell>
          <cell r="P1212">
            <v>0.99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</row>
        <row r="1213">
          <cell r="A1213">
            <v>8064</v>
          </cell>
          <cell r="B1213" t="str">
            <v>モルドレッド_ポムポムプリンコスプレ</v>
          </cell>
          <cell r="C1213">
            <v>6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heal</v>
          </cell>
          <cell r="I1213" t="str">
            <v>回復タイプ</v>
          </cell>
          <cell r="J1213">
            <v>1</v>
          </cell>
          <cell r="K1213">
            <v>1</v>
          </cell>
          <cell r="L1213">
            <v>1</v>
          </cell>
          <cell r="M1213" t="str">
            <v>human</v>
          </cell>
          <cell r="N1213" t="str">
            <v>ヒューマン</v>
          </cell>
          <cell r="O1213">
            <v>0.94</v>
          </cell>
          <cell r="P1213">
            <v>0.99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</row>
        <row r="1214">
          <cell r="A1214">
            <v>8065</v>
          </cell>
          <cell r="B1214" t="str">
            <v>クロミ</v>
          </cell>
          <cell r="C1214">
            <v>3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1</v>
          </cell>
          <cell r="K1214">
            <v>1</v>
          </cell>
          <cell r="L1214">
            <v>1</v>
          </cell>
          <cell r="M1214" t="str">
            <v>unknown</v>
          </cell>
          <cell r="N1214" t="str">
            <v>Unknown</v>
          </cell>
          <cell r="O1214">
            <v>1</v>
          </cell>
          <cell r="P1214">
            <v>1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25</v>
          </cell>
        </row>
        <row r="1215">
          <cell r="A1215">
            <v>8066</v>
          </cell>
          <cell r="B1215" t="str">
            <v>クロミ</v>
          </cell>
          <cell r="C1215">
            <v>4</v>
          </cell>
          <cell r="D1215" t="str">
            <v>blue</v>
          </cell>
          <cell r="E1215">
            <v>1</v>
          </cell>
          <cell r="F1215">
            <v>0.98</v>
          </cell>
          <cell r="G1215">
            <v>1</v>
          </cell>
          <cell r="H1215" t="str">
            <v>technical</v>
          </cell>
          <cell r="I1215" t="str">
            <v>テクニカルタイプ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unknown</v>
          </cell>
          <cell r="N1215" t="str">
            <v>Unknown</v>
          </cell>
          <cell r="O1215">
            <v>1</v>
          </cell>
          <cell r="P1215">
            <v>1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30</v>
          </cell>
        </row>
        <row r="1216">
          <cell r="A1216">
            <v>8067</v>
          </cell>
          <cell r="B1216" t="str">
            <v>バッドばつ丸</v>
          </cell>
          <cell r="C1216">
            <v>3</v>
          </cell>
          <cell r="D1216" t="str">
            <v>blue</v>
          </cell>
          <cell r="E1216">
            <v>1</v>
          </cell>
          <cell r="F1216">
            <v>0.98</v>
          </cell>
          <cell r="G1216">
            <v>1</v>
          </cell>
          <cell r="H1216" t="str">
            <v>attack</v>
          </cell>
          <cell r="I1216" t="str">
            <v>攻撃タイプ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unknown</v>
          </cell>
          <cell r="N1216" t="str">
            <v>Unknown</v>
          </cell>
          <cell r="O1216">
            <v>1</v>
          </cell>
          <cell r="P1216">
            <v>1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25</v>
          </cell>
        </row>
        <row r="1217">
          <cell r="A1217">
            <v>8068</v>
          </cell>
          <cell r="B1217" t="str">
            <v>バッドばつ丸</v>
          </cell>
          <cell r="C1217">
            <v>4</v>
          </cell>
          <cell r="D1217" t="str">
            <v>blue</v>
          </cell>
          <cell r="E1217">
            <v>1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</v>
          </cell>
          <cell r="L1217">
            <v>1</v>
          </cell>
          <cell r="M1217" t="str">
            <v>unknown</v>
          </cell>
          <cell r="N1217" t="str">
            <v>Unknown</v>
          </cell>
          <cell r="O1217">
            <v>1</v>
          </cell>
          <cell r="P1217">
            <v>1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</row>
        <row r="1218">
          <cell r="A1218">
            <v>8069</v>
          </cell>
          <cell r="B1218" t="str">
            <v>シナモロール</v>
          </cell>
          <cell r="C1218">
            <v>4</v>
          </cell>
          <cell r="D1218" t="str">
            <v>yellow</v>
          </cell>
          <cell r="E1218">
            <v>0.98</v>
          </cell>
          <cell r="F1218">
            <v>1.01</v>
          </cell>
          <cell r="G1218">
            <v>1</v>
          </cell>
          <cell r="H1218" t="str">
            <v>heal</v>
          </cell>
          <cell r="I1218" t="str">
            <v>回復タイプ</v>
          </cell>
          <cell r="J1218">
            <v>1</v>
          </cell>
          <cell r="K1218">
            <v>1</v>
          </cell>
          <cell r="L1218">
            <v>1</v>
          </cell>
          <cell r="M1218" t="str">
            <v>unknown</v>
          </cell>
          <cell r="N1218" t="str">
            <v>Unknown</v>
          </cell>
          <cell r="O1218">
            <v>1</v>
          </cell>
          <cell r="P1218">
            <v>1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30</v>
          </cell>
        </row>
        <row r="1219">
          <cell r="A1219">
            <v>8070</v>
          </cell>
          <cell r="B1219" t="str">
            <v>シナモロール</v>
          </cell>
          <cell r="C1219">
            <v>5</v>
          </cell>
          <cell r="D1219" t="str">
            <v>yellow</v>
          </cell>
          <cell r="E1219">
            <v>0.98</v>
          </cell>
          <cell r="F1219">
            <v>1.01</v>
          </cell>
          <cell r="G1219">
            <v>1</v>
          </cell>
          <cell r="H1219" t="str">
            <v>heal</v>
          </cell>
          <cell r="I1219" t="str">
            <v>回復タイプ</v>
          </cell>
          <cell r="J1219">
            <v>1</v>
          </cell>
          <cell r="K1219">
            <v>1</v>
          </cell>
          <cell r="L1219">
            <v>1</v>
          </cell>
          <cell r="M1219" t="str">
            <v>unknown</v>
          </cell>
          <cell r="N1219" t="str">
            <v>Unknown</v>
          </cell>
          <cell r="O1219">
            <v>1</v>
          </cell>
          <cell r="P1219">
            <v>1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</row>
        <row r="1220">
          <cell r="A1220">
            <v>8071</v>
          </cell>
          <cell r="B1220" t="str">
            <v>ポムポムプリン</v>
          </cell>
          <cell r="C1220">
            <v>3</v>
          </cell>
          <cell r="D1220" t="str">
            <v>yellow</v>
          </cell>
          <cell r="E1220">
            <v>0.98</v>
          </cell>
          <cell r="F1220">
            <v>1.01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</v>
          </cell>
          <cell r="K1220">
            <v>1</v>
          </cell>
          <cell r="L1220">
            <v>1</v>
          </cell>
          <cell r="M1220" t="str">
            <v>unknown</v>
          </cell>
          <cell r="N1220" t="str">
            <v>Unknown</v>
          </cell>
          <cell r="O1220">
            <v>1</v>
          </cell>
          <cell r="P1220">
            <v>1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25</v>
          </cell>
        </row>
        <row r="1221">
          <cell r="A1221">
            <v>8072</v>
          </cell>
          <cell r="B1221" t="str">
            <v>ポムポムプリン</v>
          </cell>
          <cell r="C1221">
            <v>4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hp</v>
          </cell>
          <cell r="I1221" t="str">
            <v>体力タイプ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unknown</v>
          </cell>
          <cell r="N1221" t="str">
            <v>Unknown</v>
          </cell>
          <cell r="O1221">
            <v>1</v>
          </cell>
          <cell r="P1221">
            <v>1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tabSelected="1" workbookViewId="0">
      <selection activeCell="E19" sqref="E19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38" t="s">
        <v>54</v>
      </c>
      <c r="B1" s="39" t="s">
        <v>55</v>
      </c>
      <c r="C1" s="39" t="s">
        <v>56</v>
      </c>
      <c r="D1" s="39" t="s">
        <v>57</v>
      </c>
      <c r="E1" s="39" t="s">
        <v>58</v>
      </c>
      <c r="F1" s="39" t="s">
        <v>59</v>
      </c>
      <c r="G1" s="39" t="s">
        <v>60</v>
      </c>
      <c r="H1" s="39"/>
      <c r="I1" s="39"/>
      <c r="J1" s="39"/>
      <c r="K1" s="39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</row>
    <row r="2" spans="1:29" x14ac:dyDescent="0.15">
      <c r="A2" s="41" t="s">
        <v>61</v>
      </c>
      <c r="B2" s="42" t="s">
        <v>62</v>
      </c>
      <c r="C2" s="42" t="s">
        <v>105</v>
      </c>
      <c r="D2" s="42" t="s">
        <v>63</v>
      </c>
      <c r="E2" s="40" t="str">
        <f>B2&amp;C2&amp;D2</f>
        <v>floors_week_q_1Mc.tmp</v>
      </c>
      <c r="F2" s="42" t="s">
        <v>106</v>
      </c>
      <c r="G2" s="43" t="s">
        <v>0</v>
      </c>
      <c r="H2" s="43" t="s">
        <v>1</v>
      </c>
      <c r="I2" s="43" t="s">
        <v>13</v>
      </c>
      <c r="J2" s="43" t="s">
        <v>14</v>
      </c>
      <c r="K2" s="43" t="s">
        <v>15</v>
      </c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</row>
    <row r="3" spans="1:29" x14ac:dyDescent="0.15">
      <c r="A3" s="41" t="s">
        <v>64</v>
      </c>
      <c r="B3" s="42" t="s">
        <v>65</v>
      </c>
      <c r="C3" s="42" t="s">
        <v>105</v>
      </c>
      <c r="D3" s="42" t="s">
        <v>63</v>
      </c>
      <c r="E3" s="40" t="str">
        <f>B3&amp;C3&amp;D3</f>
        <v>enemy_habitats_week_q_1Mc.tmp</v>
      </c>
      <c r="F3" s="42" t="s">
        <v>107</v>
      </c>
      <c r="G3" s="43" t="s">
        <v>0</v>
      </c>
      <c r="H3" s="43" t="s">
        <v>1</v>
      </c>
      <c r="I3" s="43" t="s">
        <v>13</v>
      </c>
      <c r="J3" s="43" t="s">
        <v>2</v>
      </c>
      <c r="K3" s="43" t="s">
        <v>3</v>
      </c>
      <c r="L3" s="43" t="s">
        <v>51</v>
      </c>
      <c r="M3" s="43" t="s">
        <v>52</v>
      </c>
      <c r="N3" s="43" t="s">
        <v>53</v>
      </c>
      <c r="O3" s="43" t="s">
        <v>22</v>
      </c>
      <c r="P3" s="43" t="s">
        <v>5</v>
      </c>
      <c r="Q3" s="43" t="s">
        <v>6</v>
      </c>
      <c r="R3" s="43" t="s">
        <v>7</v>
      </c>
      <c r="S3" s="43" t="s">
        <v>8</v>
      </c>
      <c r="T3" s="43" t="s">
        <v>9</v>
      </c>
      <c r="U3" s="43" t="s">
        <v>10</v>
      </c>
      <c r="V3" s="43" t="s">
        <v>11</v>
      </c>
      <c r="W3" s="43" t="s">
        <v>12</v>
      </c>
      <c r="X3" s="43" t="s">
        <v>37</v>
      </c>
      <c r="Y3" s="43" t="s">
        <v>39</v>
      </c>
      <c r="Z3" s="43" t="s">
        <v>41</v>
      </c>
      <c r="AA3" s="43" t="s">
        <v>43</v>
      </c>
      <c r="AB3" s="43" t="s">
        <v>45</v>
      </c>
      <c r="AC3" s="43" t="s">
        <v>66</v>
      </c>
    </row>
    <row r="4" spans="1:29" x14ac:dyDescent="0.15">
      <c r="A4" s="41" t="s">
        <v>103</v>
      </c>
      <c r="B4" s="42" t="s">
        <v>67</v>
      </c>
      <c r="C4" s="42">
        <f>[1]floors!C$2</f>
        <v>30016</v>
      </c>
      <c r="D4" s="42" t="s">
        <v>68</v>
      </c>
      <c r="E4" s="40" t="str">
        <f>B4&amp;C4&amp;D4</f>
        <v>enemy_habitat_S_30016.tmp</v>
      </c>
      <c r="F4" s="42" t="s">
        <v>69</v>
      </c>
      <c r="G4" s="43" t="s">
        <v>0</v>
      </c>
      <c r="H4" s="43" t="s">
        <v>1</v>
      </c>
      <c r="I4" s="43" t="s">
        <v>13</v>
      </c>
      <c r="J4" s="43" t="s">
        <v>66</v>
      </c>
      <c r="K4" s="43" t="s">
        <v>70</v>
      </c>
      <c r="L4" s="43" t="s">
        <v>71</v>
      </c>
      <c r="M4" s="43" t="s">
        <v>72</v>
      </c>
      <c r="N4" s="43" t="s">
        <v>73</v>
      </c>
      <c r="O4" s="43" t="s">
        <v>74</v>
      </c>
      <c r="P4" s="43" t="s">
        <v>75</v>
      </c>
      <c r="Q4" s="43" t="s">
        <v>76</v>
      </c>
      <c r="R4" s="43" t="s">
        <v>77</v>
      </c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</row>
    <row r="5" spans="1:29" x14ac:dyDescent="0.15">
      <c r="A5" s="41" t="s">
        <v>104</v>
      </c>
      <c r="B5" s="42" t="s">
        <v>78</v>
      </c>
      <c r="C5" s="42">
        <f>[1]floors!C$2</f>
        <v>30016</v>
      </c>
      <c r="D5" s="42" t="s">
        <v>68</v>
      </c>
      <c r="E5" s="40" t="str">
        <f>B5&amp;C5&amp;D5</f>
        <v>enemy_skill_sets_30016.tmp</v>
      </c>
      <c r="F5" s="42" t="s">
        <v>79</v>
      </c>
      <c r="G5" s="44" t="s">
        <v>22</v>
      </c>
      <c r="H5" s="44" t="s">
        <v>80</v>
      </c>
      <c r="I5" s="44" t="s">
        <v>81</v>
      </c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</row>
    <row r="6" spans="1:29" x14ac:dyDescent="0.15">
      <c r="A6" s="41" t="s">
        <v>103</v>
      </c>
      <c r="B6" s="42" t="s">
        <v>82</v>
      </c>
      <c r="C6" s="42">
        <f>[1]floors!C$2</f>
        <v>30016</v>
      </c>
      <c r="D6" s="42" t="s">
        <v>83</v>
      </c>
      <c r="E6" s="40" t="str">
        <f t="shared" ref="E6:E8" si="0">B6&amp;C6&amp;D6</f>
        <v>enemy_skills_tmp_30016.tmp</v>
      </c>
      <c r="F6" s="42" t="s">
        <v>84</v>
      </c>
      <c r="G6" s="43" t="s">
        <v>85</v>
      </c>
      <c r="H6" s="43" t="s">
        <v>86</v>
      </c>
      <c r="I6" s="43" t="s">
        <v>87</v>
      </c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</row>
    <row r="7" spans="1:29" x14ac:dyDescent="0.15">
      <c r="A7" s="41" t="s">
        <v>103</v>
      </c>
      <c r="B7" s="42" t="s">
        <v>88</v>
      </c>
      <c r="C7" s="42">
        <f>[1]floors!C$2</f>
        <v>30016</v>
      </c>
      <c r="D7" s="42" t="s">
        <v>68</v>
      </c>
      <c r="E7" s="40" t="str">
        <f>B7&amp;C7&amp;D7</f>
        <v>enemy_skills_i18n_30016.tmp</v>
      </c>
      <c r="F7" s="42" t="s">
        <v>84</v>
      </c>
      <c r="G7" s="43" t="s">
        <v>85</v>
      </c>
      <c r="H7" s="43" t="s">
        <v>89</v>
      </c>
      <c r="I7" s="43" t="s">
        <v>90</v>
      </c>
      <c r="J7" s="43" t="s">
        <v>91</v>
      </c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</row>
    <row r="8" spans="1:29" x14ac:dyDescent="0.15">
      <c r="A8" s="41" t="s">
        <v>103</v>
      </c>
      <c r="B8" s="42" t="s">
        <v>92</v>
      </c>
      <c r="C8" s="42">
        <f>[1]floors!C$2</f>
        <v>30016</v>
      </c>
      <c r="D8" s="42" t="s">
        <v>68</v>
      </c>
      <c r="E8" s="40" t="str">
        <f t="shared" si="0"/>
        <v>enemy_skill_triggers_30016.tmp</v>
      </c>
      <c r="F8" s="42" t="s">
        <v>93</v>
      </c>
      <c r="G8" s="43" t="s">
        <v>81</v>
      </c>
      <c r="H8" s="43" t="s">
        <v>94</v>
      </c>
      <c r="I8" s="43" t="s">
        <v>95</v>
      </c>
      <c r="J8" s="43" t="s">
        <v>96</v>
      </c>
      <c r="K8" s="43" t="s">
        <v>97</v>
      </c>
      <c r="L8" s="43" t="s">
        <v>98</v>
      </c>
      <c r="M8" s="43" t="s">
        <v>99</v>
      </c>
      <c r="N8" s="43" t="s">
        <v>100</v>
      </c>
      <c r="O8" s="43" t="s">
        <v>101</v>
      </c>
      <c r="P8" s="43" t="s">
        <v>102</v>
      </c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E10" sqref="E10"/>
    </sheetView>
  </sheetViews>
  <sheetFormatPr baseColWidth="12" defaultColWidth="13" defaultRowHeight="21" customHeight="1" outlineLevelCol="1" x14ac:dyDescent="0.15"/>
  <cols>
    <col min="1" max="1" width="8.83203125" style="24" bestFit="1" customWidth="1"/>
    <col min="2" max="2" width="5" style="24" bestFit="1" customWidth="1"/>
    <col min="3" max="3" width="7.1640625" style="4" bestFit="1" customWidth="1"/>
    <col min="4" max="4" width="21.83203125" style="4" bestFit="1" customWidth="1" outlineLevel="1"/>
    <col min="5" max="5" width="10.33203125" style="4" customWidth="1" outlineLevel="1"/>
    <col min="6" max="6" width="7" style="4" bestFit="1" customWidth="1"/>
    <col min="7" max="7" width="8.83203125" style="24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30</v>
      </c>
      <c r="B1" s="17" t="s">
        <v>36</v>
      </c>
      <c r="C1" s="1" t="s">
        <v>0</v>
      </c>
      <c r="D1" s="2" t="s">
        <v>18</v>
      </c>
      <c r="E1" s="16" t="s">
        <v>33</v>
      </c>
      <c r="F1" s="1" t="s">
        <v>1</v>
      </c>
      <c r="G1" s="27" t="s">
        <v>32</v>
      </c>
      <c r="H1" s="16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:A6" si="0">G2&amp;"-"&amp;I2</f>
        <v>11016_1-1</v>
      </c>
      <c r="B2" s="17" t="str">
        <f>IF(COUNTIF(enemy_habitats_week_q_1Mc!$H:$H,A2),"OK","NG")</f>
        <v>OK</v>
      </c>
      <c r="C2" s="8">
        <v>11016</v>
      </c>
      <c r="D2" s="12" t="str">
        <f ca="1">VLOOKUP($C2,OFFSET([2]quests!$A$1,0,0,COUNTA([2]quests!$A:$A),MATCH(D$1,[2]quests!$1:$1,0)-MATCH($C$1,[2]quests!$1:$1,0)+1),MATCH(D$1,[2]quests!$1:$1,0)-MATCH($C$1,[2]quests!$1:$1,0)+1,FALSE)</f>
        <v>【マルチ専用1/2】 ゴールドカジノ</v>
      </c>
      <c r="E2" s="23" t="str">
        <f ca="1">VLOOKUP($C2,OFFSET([2]quests!$A$1,0,0,COUNTA([2]quests!$A:$A),MATCH(E$1,[2]quests!$1:$1,0)-MATCH($C$1,[2]quests!$1:$1,0)+1),MATCH(E$1,[2]quests!$1:$1,0)-MATCH($C$1,[2]quests!$1:$1,0)+1,FALSE)</f>
        <v>土日クエスト1</v>
      </c>
      <c r="F2" s="26">
        <v>1</v>
      </c>
      <c r="G2" s="27" t="str">
        <f t="shared" ref="G2:G6" si="1">C2&amp;"_"&amp;F2</f>
        <v>11016_1</v>
      </c>
      <c r="H2" s="16" t="str">
        <f ca="1">VLOOKUP($G2,OFFSET([2]stages!$A$1,0,0,COUNTA([2]stages!$A:$A),MATCH(H$1,[2]stages!$2:$2,0)-MATCH($G$1,[2]stages!$2:$2,0)+1),MATCH(H$1,[2]stages!$2:$2,0)-MATCH($G$1,[2]stages!$2:$2,0)+1,FALSE)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2" s="26">
        <v>1</v>
      </c>
      <c r="J2" s="13">
        <v>30</v>
      </c>
      <c r="K2" s="13">
        <v>55</v>
      </c>
    </row>
    <row r="3" spans="1:11" ht="21" customHeight="1" x14ac:dyDescent="0.15">
      <c r="A3" s="17" t="str">
        <f t="shared" si="0"/>
        <v>11016_1-2</v>
      </c>
      <c r="B3" s="17" t="str">
        <f>IF(COUNTIF(enemy_habitats_week_q_1Mc!$H:$H,A3),"OK","NG")</f>
        <v>OK</v>
      </c>
      <c r="C3" s="8">
        <v>11016</v>
      </c>
      <c r="D3" s="12" t="str">
        <f ca="1">VLOOKUP($C3,OFFSET([2]quests!$A$1,0,0,COUNTA([2]quests!$A:$A),MATCH(D$1,[2]quests!$1:$1,0)-MATCH($C$1,[2]quests!$1:$1,0)+1),MATCH(D$1,[2]quests!$1:$1,0)-MATCH($C$1,[2]quests!$1:$1,0)+1,FALSE)</f>
        <v>【マルチ専用1/2】 ゴールドカジノ</v>
      </c>
      <c r="E3" s="23" t="str">
        <f ca="1">VLOOKUP($C3,OFFSET([2]quests!$A$1,0,0,COUNTA([2]quests!$A:$A),MATCH(E$1,[2]quests!$1:$1,0)-MATCH($C$1,[2]quests!$1:$1,0)+1),MATCH(E$1,[2]quests!$1:$1,0)-MATCH($C$1,[2]quests!$1:$1,0)+1,FALSE)</f>
        <v>土日クエスト1</v>
      </c>
      <c r="F3" s="26">
        <v>1</v>
      </c>
      <c r="G3" s="27" t="str">
        <f t="shared" si="1"/>
        <v>11016_1</v>
      </c>
      <c r="H3" s="16" t="str">
        <f ca="1">VLOOKUP($G3,OFFSET([2]stages!$A$1,0,0,COUNTA([2]stages!$A:$A),MATCH(H$1,[2]stages!$2:$2,0)-MATCH($G$1,[2]stages!$2:$2,0)+1),MATCH(H$1,[2]stages!$2:$2,0)-MATCH($G$1,[2]stages!$2:$2,0)+1,FALSE)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3" s="26">
        <v>2</v>
      </c>
      <c r="J3" s="13">
        <v>35</v>
      </c>
      <c r="K3" s="13">
        <v>50</v>
      </c>
    </row>
    <row r="4" spans="1:11" ht="21" customHeight="1" x14ac:dyDescent="0.15">
      <c r="A4" s="17" t="str">
        <f t="shared" si="0"/>
        <v>11016_1-3</v>
      </c>
      <c r="B4" s="17" t="str">
        <f>IF(COUNTIF(enemy_habitats_week_q_1Mc!$H:$H,A4),"OK","NG")</f>
        <v>OK</v>
      </c>
      <c r="C4" s="8">
        <v>11016</v>
      </c>
      <c r="D4" s="12" t="str">
        <f ca="1">VLOOKUP($C4,OFFSET([2]quests!$A$1,0,0,COUNTA([2]quests!$A:$A),MATCH(D$1,[2]quests!$1:$1,0)-MATCH($C$1,[2]quests!$1:$1,0)+1),MATCH(D$1,[2]quests!$1:$1,0)-MATCH($C$1,[2]quests!$1:$1,0)+1,FALSE)</f>
        <v>【マルチ専用1/2】 ゴールドカジノ</v>
      </c>
      <c r="E4" s="23" t="str">
        <f ca="1">VLOOKUP($C4,OFFSET([2]quests!$A$1,0,0,COUNTA([2]quests!$A:$A),MATCH(E$1,[2]quests!$1:$1,0)-MATCH($C$1,[2]quests!$1:$1,0)+1),MATCH(E$1,[2]quests!$1:$1,0)-MATCH($C$1,[2]quests!$1:$1,0)+1,FALSE)</f>
        <v>土日クエスト1</v>
      </c>
      <c r="F4" s="26">
        <v>1</v>
      </c>
      <c r="G4" s="27" t="str">
        <f t="shared" si="1"/>
        <v>11016_1</v>
      </c>
      <c r="H4" s="16" t="str">
        <f ca="1">VLOOKUP($G4,OFFSET([2]stages!$A$1,0,0,COUNTA([2]stages!$A:$A),MATCH(H$1,[2]stages!$2:$2,0)-MATCH($G$1,[2]stages!$2:$2,0)+1),MATCH(H$1,[2]stages!$2:$2,0)-MATCH($G$1,[2]stages!$2:$2,0)+1,FALSE)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4" s="26">
        <v>3</v>
      </c>
      <c r="J4" s="13">
        <v>20</v>
      </c>
      <c r="K4" s="13">
        <v>20</v>
      </c>
    </row>
    <row r="5" spans="1:11" ht="21" customHeight="1" x14ac:dyDescent="0.15">
      <c r="A5" s="17" t="str">
        <f t="shared" si="0"/>
        <v>11016_1-4</v>
      </c>
      <c r="B5" s="17" t="str">
        <f>IF(COUNTIF(enemy_habitats_week_q_1Mc!$H:$H,A5),"OK","NG")</f>
        <v>OK</v>
      </c>
      <c r="C5" s="8">
        <v>11016</v>
      </c>
      <c r="D5" s="12" t="str">
        <f ca="1">VLOOKUP($C5,OFFSET([2]quests!$A$1,0,0,COUNTA([2]quests!$A:$A),MATCH(D$1,[2]quests!$1:$1,0)-MATCH($C$1,[2]quests!$1:$1,0)+1),MATCH(D$1,[2]quests!$1:$1,0)-MATCH($C$1,[2]quests!$1:$1,0)+1,FALSE)</f>
        <v>【マルチ専用1/2】 ゴールドカジノ</v>
      </c>
      <c r="E5" s="23" t="str">
        <f ca="1">VLOOKUP($C5,OFFSET([2]quests!$A$1,0,0,COUNTA([2]quests!$A:$A),MATCH(E$1,[2]quests!$1:$1,0)-MATCH($C$1,[2]quests!$1:$1,0)+1),MATCH(E$1,[2]quests!$1:$1,0)-MATCH($C$1,[2]quests!$1:$1,0)+1,FALSE)</f>
        <v>土日クエスト1</v>
      </c>
      <c r="F5" s="26">
        <v>1</v>
      </c>
      <c r="G5" s="27" t="str">
        <f t="shared" si="1"/>
        <v>11016_1</v>
      </c>
      <c r="H5" s="16" t="str">
        <f ca="1">VLOOKUP($G5,OFFSET([2]stages!$A$1,0,0,COUNTA([2]stages!$A:$A),MATCH(H$1,[2]stages!$2:$2,0)-MATCH($G$1,[2]stages!$2:$2,0)+1),MATCH(H$1,[2]stages!$2:$2,0)-MATCH($G$1,[2]stages!$2:$2,0)+1,FALSE)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5" s="26">
        <v>4</v>
      </c>
      <c r="J5" s="13">
        <v>35</v>
      </c>
      <c r="K5" s="13">
        <v>60</v>
      </c>
    </row>
    <row r="6" spans="1:11" ht="21" customHeight="1" x14ac:dyDescent="0.15">
      <c r="A6" s="17" t="str">
        <f t="shared" si="0"/>
        <v>11016_1-5</v>
      </c>
      <c r="B6" s="17" t="str">
        <f>IF(COUNTIF(enemy_habitats_week_q_1Mc!$H:$H,A6),"OK","NG")</f>
        <v>OK</v>
      </c>
      <c r="C6" s="8">
        <v>11016</v>
      </c>
      <c r="D6" s="12" t="str">
        <f ca="1">VLOOKUP($C6,OFFSET([2]quests!$A$1,0,0,COUNTA([2]quests!$A:$A),MATCH(D$1,[2]quests!$1:$1,0)-MATCH($C$1,[2]quests!$1:$1,0)+1),MATCH(D$1,[2]quests!$1:$1,0)-MATCH($C$1,[2]quests!$1:$1,0)+1,FALSE)</f>
        <v>【マルチ専用1/2】 ゴールドカジノ</v>
      </c>
      <c r="E6" s="23" t="str">
        <f ca="1">VLOOKUP($C6,OFFSET([2]quests!$A$1,0,0,COUNTA([2]quests!$A:$A),MATCH(E$1,[2]quests!$1:$1,0)-MATCH($C$1,[2]quests!$1:$1,0)+1),MATCH(E$1,[2]quests!$1:$1,0)-MATCH($C$1,[2]quests!$1:$1,0)+1,FALSE)</f>
        <v>土日クエスト1</v>
      </c>
      <c r="F6" s="26">
        <v>1</v>
      </c>
      <c r="G6" s="27" t="str">
        <f t="shared" si="1"/>
        <v>11016_1</v>
      </c>
      <c r="H6" s="16" t="str">
        <f ca="1">VLOOKUP($G6,OFFSET([2]stages!$A$1,0,0,COUNTA([2]stages!$A:$A),MATCH(H$1,[2]stages!$2:$2,0)-MATCH($G$1,[2]stages!$2:$2,0)+1),MATCH(H$1,[2]stages!$2:$2,0)-MATCH($G$1,[2]stages!$2:$2,0)+1,FALSE)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6" s="26">
        <v>5</v>
      </c>
      <c r="J6" s="13">
        <v>50</v>
      </c>
      <c r="K6" s="13">
        <v>50</v>
      </c>
    </row>
    <row r="7" spans="1:11" ht="21" customHeight="1" x14ac:dyDescent="0.15">
      <c r="A7" s="17" t="str">
        <f t="shared" ref="A7:A11" si="2">G7&amp;"-"&amp;I7</f>
        <v>11018_1-1</v>
      </c>
      <c r="B7" s="17" t="str">
        <f>IF(COUNTIF(enemy_habitats_week_q_1Mc!$H:$H,A7),"OK","NG")</f>
        <v>OK</v>
      </c>
      <c r="C7" s="8">
        <v>11018</v>
      </c>
      <c r="D7" s="12" t="str">
        <f ca="1">VLOOKUP($C7,OFFSET([2]quests!$A$1,0,0,COUNTA([2]quests!$A:$A),MATCH(D$1,[2]quests!$1:$1,0)-MATCH($C$1,[2]quests!$1:$1,0)+1),MATCH(D$1,[2]quests!$1:$1,0)-MATCH($C$1,[2]quests!$1:$1,0)+1,FALSE)</f>
        <v>【スタミナ1/2】 ゴールドカジノ</v>
      </c>
      <c r="E7" s="23" t="str">
        <f ca="1">VLOOKUP($C7,OFFSET([2]quests!$A$1,0,0,COUNTA([2]quests!$A:$A),MATCH(E$1,[2]quests!$1:$1,0)-MATCH($C$1,[2]quests!$1:$1,0)+1),MATCH(E$1,[2]quests!$1:$1,0)-MATCH($C$1,[2]quests!$1:$1,0)+1,FALSE)</f>
        <v>土日クエスト1</v>
      </c>
      <c r="F7" s="26">
        <v>1</v>
      </c>
      <c r="G7" s="27" t="str">
        <f t="shared" ref="G7:G11" si="3">C7&amp;"_"&amp;F7</f>
        <v>11018_1</v>
      </c>
      <c r="H7" s="16" t="str">
        <f ca="1">VLOOKUP($G7,OFFSET([2]stages!$A$1,0,0,COUNTA([2]stages!$A:$A),MATCH(H$1,[2]stages!$2:$2,0)-MATCH($G$1,[2]stages!$2:$2,0)+1),MATCH(H$1,[2]stages!$2:$2,0)-MATCH($G$1,[2]stages!$2:$2,0)+1,FALSE)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7" s="26">
        <v>1</v>
      </c>
      <c r="J7" s="13">
        <v>30</v>
      </c>
      <c r="K7" s="13">
        <v>55</v>
      </c>
    </row>
    <row r="8" spans="1:11" ht="21" customHeight="1" x14ac:dyDescent="0.15">
      <c r="A8" s="17" t="str">
        <f t="shared" si="2"/>
        <v>11018_1-2</v>
      </c>
      <c r="B8" s="17" t="str">
        <f>IF(COUNTIF(enemy_habitats_week_q_1Mc!$H:$H,A8),"OK","NG")</f>
        <v>OK</v>
      </c>
      <c r="C8" s="8">
        <v>11018</v>
      </c>
      <c r="D8" s="12" t="str">
        <f ca="1">VLOOKUP($C8,OFFSET([2]quests!$A$1,0,0,COUNTA([2]quests!$A:$A),MATCH(D$1,[2]quests!$1:$1,0)-MATCH($C$1,[2]quests!$1:$1,0)+1),MATCH(D$1,[2]quests!$1:$1,0)-MATCH($C$1,[2]quests!$1:$1,0)+1,FALSE)</f>
        <v>【スタミナ1/2】 ゴールドカジノ</v>
      </c>
      <c r="E8" s="23" t="str">
        <f ca="1">VLOOKUP($C8,OFFSET([2]quests!$A$1,0,0,COUNTA([2]quests!$A:$A),MATCH(E$1,[2]quests!$1:$1,0)-MATCH($C$1,[2]quests!$1:$1,0)+1),MATCH(E$1,[2]quests!$1:$1,0)-MATCH($C$1,[2]quests!$1:$1,0)+1,FALSE)</f>
        <v>土日クエスト1</v>
      </c>
      <c r="F8" s="26">
        <v>1</v>
      </c>
      <c r="G8" s="27" t="str">
        <f t="shared" si="3"/>
        <v>11018_1</v>
      </c>
      <c r="H8" s="16" t="str">
        <f ca="1">VLOOKUP($G8,OFFSET([2]stages!$A$1,0,0,COUNTA([2]stages!$A:$A),MATCH(H$1,[2]stages!$2:$2,0)-MATCH($G$1,[2]stages!$2:$2,0)+1),MATCH(H$1,[2]stages!$2:$2,0)-MATCH($G$1,[2]stages!$2:$2,0)+1,FALSE)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8" s="26">
        <v>2</v>
      </c>
      <c r="J8" s="13">
        <v>35</v>
      </c>
      <c r="K8" s="13">
        <v>50</v>
      </c>
    </row>
    <row r="9" spans="1:11" ht="21" customHeight="1" x14ac:dyDescent="0.15">
      <c r="A9" s="17" t="str">
        <f t="shared" si="2"/>
        <v>11018_1-3</v>
      </c>
      <c r="B9" s="17" t="str">
        <f>IF(COUNTIF(enemy_habitats_week_q_1Mc!$H:$H,A9),"OK","NG")</f>
        <v>OK</v>
      </c>
      <c r="C9" s="8">
        <v>11018</v>
      </c>
      <c r="D9" s="12" t="str">
        <f ca="1">VLOOKUP($C9,OFFSET([2]quests!$A$1,0,0,COUNTA([2]quests!$A:$A),MATCH(D$1,[2]quests!$1:$1,0)-MATCH($C$1,[2]quests!$1:$1,0)+1),MATCH(D$1,[2]quests!$1:$1,0)-MATCH($C$1,[2]quests!$1:$1,0)+1,FALSE)</f>
        <v>【スタミナ1/2】 ゴールドカジノ</v>
      </c>
      <c r="E9" s="23" t="str">
        <f ca="1">VLOOKUP($C9,OFFSET([2]quests!$A$1,0,0,COUNTA([2]quests!$A:$A),MATCH(E$1,[2]quests!$1:$1,0)-MATCH($C$1,[2]quests!$1:$1,0)+1),MATCH(E$1,[2]quests!$1:$1,0)-MATCH($C$1,[2]quests!$1:$1,0)+1,FALSE)</f>
        <v>土日クエスト1</v>
      </c>
      <c r="F9" s="26">
        <v>1</v>
      </c>
      <c r="G9" s="27" t="str">
        <f t="shared" si="3"/>
        <v>11018_1</v>
      </c>
      <c r="H9" s="16" t="str">
        <f ca="1">VLOOKUP($G9,OFFSET([2]stages!$A$1,0,0,COUNTA([2]stages!$A:$A),MATCH(H$1,[2]stages!$2:$2,0)-MATCH($G$1,[2]stages!$2:$2,0)+1),MATCH(H$1,[2]stages!$2:$2,0)-MATCH($G$1,[2]stages!$2:$2,0)+1,FALSE)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9" s="26">
        <v>3</v>
      </c>
      <c r="J9" s="13">
        <v>20</v>
      </c>
      <c r="K9" s="13">
        <v>20</v>
      </c>
    </row>
    <row r="10" spans="1:11" ht="21" customHeight="1" x14ac:dyDescent="0.15">
      <c r="A10" s="17" t="str">
        <f t="shared" si="2"/>
        <v>11018_1-4</v>
      </c>
      <c r="B10" s="17" t="str">
        <f>IF(COUNTIF(enemy_habitats_week_q_1Mc!$H:$H,A10),"OK","NG")</f>
        <v>OK</v>
      </c>
      <c r="C10" s="8">
        <v>11018</v>
      </c>
      <c r="D10" s="12" t="str">
        <f ca="1">VLOOKUP($C10,OFFSET([2]quests!$A$1,0,0,COUNTA([2]quests!$A:$A),MATCH(D$1,[2]quests!$1:$1,0)-MATCH($C$1,[2]quests!$1:$1,0)+1),MATCH(D$1,[2]quests!$1:$1,0)-MATCH($C$1,[2]quests!$1:$1,0)+1,FALSE)</f>
        <v>【スタミナ1/2】 ゴールドカジノ</v>
      </c>
      <c r="E10" s="23" t="str">
        <f ca="1">VLOOKUP($C10,OFFSET([2]quests!$A$1,0,0,COUNTA([2]quests!$A:$A),MATCH(E$1,[2]quests!$1:$1,0)-MATCH($C$1,[2]quests!$1:$1,0)+1),MATCH(E$1,[2]quests!$1:$1,0)-MATCH($C$1,[2]quests!$1:$1,0)+1,FALSE)</f>
        <v>土日クエスト1</v>
      </c>
      <c r="F10" s="26">
        <v>1</v>
      </c>
      <c r="G10" s="27" t="str">
        <f t="shared" si="3"/>
        <v>11018_1</v>
      </c>
      <c r="H10" s="16" t="str">
        <f ca="1">VLOOKUP($G10,OFFSET([2]stages!$A$1,0,0,COUNTA([2]stages!$A:$A),MATCH(H$1,[2]stages!$2:$2,0)-MATCH($G$1,[2]stages!$2:$2,0)+1),MATCH(H$1,[2]stages!$2:$2,0)-MATCH($G$1,[2]stages!$2:$2,0)+1,FALSE)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10" s="26">
        <v>4</v>
      </c>
      <c r="J10" s="13">
        <v>35</v>
      </c>
      <c r="K10" s="13">
        <v>60</v>
      </c>
    </row>
    <row r="11" spans="1:11" ht="21" customHeight="1" x14ac:dyDescent="0.15">
      <c r="A11" s="17" t="str">
        <f t="shared" si="2"/>
        <v>11018_1-5</v>
      </c>
      <c r="B11" s="17" t="str">
        <f>IF(COUNTIF(enemy_habitats_week_q_1Mc!$H:$H,A11),"OK","NG")</f>
        <v>OK</v>
      </c>
      <c r="C11" s="8">
        <v>11018</v>
      </c>
      <c r="D11" s="12" t="str">
        <f ca="1">VLOOKUP($C11,OFFSET([2]quests!$A$1,0,0,COUNTA([2]quests!$A:$A),MATCH(D$1,[2]quests!$1:$1,0)-MATCH($C$1,[2]quests!$1:$1,0)+1),MATCH(D$1,[2]quests!$1:$1,0)-MATCH($C$1,[2]quests!$1:$1,0)+1,FALSE)</f>
        <v>【スタミナ1/2】 ゴールドカジノ</v>
      </c>
      <c r="E11" s="23" t="str">
        <f ca="1">VLOOKUP($C11,OFFSET([2]quests!$A$1,0,0,COUNTA([2]quests!$A:$A),MATCH(E$1,[2]quests!$1:$1,0)-MATCH($C$1,[2]quests!$1:$1,0)+1),MATCH(E$1,[2]quests!$1:$1,0)-MATCH($C$1,[2]quests!$1:$1,0)+1,FALSE)</f>
        <v>土日クエスト1</v>
      </c>
      <c r="F11" s="26">
        <v>1</v>
      </c>
      <c r="G11" s="27" t="str">
        <f t="shared" si="3"/>
        <v>11018_1</v>
      </c>
      <c r="H11" s="16" t="str">
        <f ca="1">VLOOKUP($G11,OFFSET([2]stages!$A$1,0,0,COUNTA([2]stages!$A:$A),MATCH(H$1,[2]stages!$2:$2,0)-MATCH($G$1,[2]stages!$2:$2,0)+1),MATCH(H$1,[2]stages!$2:$2,0)-MATCH($G$1,[2]stages!$2:$2,0)+1,FALSE)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11" s="26">
        <v>5</v>
      </c>
      <c r="J11" s="13">
        <v>50</v>
      </c>
      <c r="K11" s="13">
        <v>50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57"/>
  <sheetViews>
    <sheetView showGridLines="0" zoomScale="75" zoomScaleNormal="75" zoomScalePageLayoutView="75" workbookViewId="0">
      <pane xSplit="16" ySplit="1" topLeftCell="Q31" activePane="bottomRight" state="frozen"/>
      <selection pane="topRight" activeCell="N1" sqref="N1"/>
      <selection pane="bottomLeft" activeCell="A2" sqref="A2"/>
      <selection pane="bottomRight" activeCell="K53" sqref="K53"/>
    </sheetView>
  </sheetViews>
  <sheetFormatPr baseColWidth="12" defaultColWidth="13" defaultRowHeight="21" customHeight="1" outlineLevelCol="1" x14ac:dyDescent="0.15"/>
  <cols>
    <col min="1" max="1" width="12.5" style="24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5" width="15.6640625" style="4" hidden="1" customWidth="1" outlineLevel="1"/>
    <col min="6" max="6" width="27.5" style="4" hidden="1" customWidth="1" outlineLevel="1"/>
    <col min="7" max="7" width="11.83203125" style="4" bestFit="1" customWidth="1" collapsed="1"/>
    <col min="8" max="10" width="11.83203125" style="4" hidden="1" customWidth="1" outlineLevel="1"/>
    <col min="11" max="11" width="15.33203125" style="10" bestFit="1" customWidth="1"/>
    <col min="12" max="12" width="17.6640625" style="4" customWidth="1" outlineLevel="1"/>
    <col min="13" max="13" width="10.33203125" style="4" customWidth="1" outlineLevel="1"/>
    <col min="14" max="14" width="13.6640625" style="4" customWidth="1" outlineLevel="1"/>
    <col min="15" max="15" width="22.83203125" style="4" customWidth="1" outlineLevel="1"/>
    <col min="16" max="16" width="11.6640625" style="4" customWidth="1" outlineLevel="1"/>
    <col min="17" max="17" width="10.1640625" style="4" bestFit="1" customWidth="1"/>
    <col min="18" max="18" width="14.83203125" style="4" bestFit="1" customWidth="1"/>
    <col min="19" max="19" width="17.5" style="4" bestFit="1" customWidth="1"/>
    <col min="20" max="20" width="18.33203125" style="4" bestFit="1" customWidth="1"/>
    <col min="21" max="21" width="14" style="4" customWidth="1"/>
    <col min="22" max="22" width="14" style="4" customWidth="1" outlineLevel="1"/>
    <col min="23" max="23" width="13" style="4" bestFit="1" customWidth="1"/>
    <col min="24" max="24" width="13.5" style="4" bestFit="1" customWidth="1"/>
    <col min="25" max="25" width="12.33203125" style="4" bestFit="1" customWidth="1"/>
    <col min="26" max="26" width="11" style="4" bestFit="1" customWidth="1"/>
    <col min="27" max="27" width="14.83203125" style="4" bestFit="1" customWidth="1"/>
    <col min="28" max="28" width="17.6640625" style="14" customWidth="1" outlineLevel="1"/>
    <col min="29" max="30" width="13.6640625" style="15" customWidth="1" outlineLevel="1"/>
    <col min="31" max="31" width="16.83203125" style="11" bestFit="1" customWidth="1" collapsed="1"/>
    <col min="32" max="33" width="16.5" style="4" bestFit="1" customWidth="1"/>
    <col min="34" max="34" width="15.33203125" style="4" customWidth="1"/>
    <col min="35" max="16384" width="13" style="4"/>
  </cols>
  <sheetData>
    <row r="1" spans="1:39" ht="21" customHeight="1" x14ac:dyDescent="0.15">
      <c r="A1" s="17" t="s">
        <v>29</v>
      </c>
      <c r="B1" s="1" t="s">
        <v>0</v>
      </c>
      <c r="C1" s="1" t="s">
        <v>1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35</v>
      </c>
      <c r="I1" s="37" t="s">
        <v>14</v>
      </c>
      <c r="J1" s="37" t="s">
        <v>15</v>
      </c>
      <c r="K1" s="1" t="s">
        <v>2</v>
      </c>
      <c r="L1" s="19" t="s">
        <v>21</v>
      </c>
      <c r="M1" s="16" t="s">
        <v>24</v>
      </c>
      <c r="N1" s="16" t="s">
        <v>23</v>
      </c>
      <c r="O1" s="21" t="s">
        <v>26</v>
      </c>
      <c r="P1" s="2" t="s">
        <v>25</v>
      </c>
      <c r="Q1" s="1" t="s">
        <v>3</v>
      </c>
      <c r="R1" s="35" t="s">
        <v>48</v>
      </c>
      <c r="S1" s="35" t="s">
        <v>49</v>
      </c>
      <c r="T1" s="35" t="s">
        <v>50</v>
      </c>
      <c r="U1" s="16" t="s">
        <v>31</v>
      </c>
      <c r="V1" s="1" t="s">
        <v>4</v>
      </c>
      <c r="W1" s="1" t="s">
        <v>5</v>
      </c>
      <c r="X1" s="1" t="s">
        <v>47</v>
      </c>
      <c r="Y1" s="1" t="s">
        <v>7</v>
      </c>
      <c r="Z1" s="1" t="s">
        <v>8</v>
      </c>
      <c r="AA1" s="3" t="s">
        <v>9</v>
      </c>
      <c r="AB1" s="18" t="s">
        <v>16</v>
      </c>
      <c r="AC1" s="18" t="s">
        <v>17</v>
      </c>
      <c r="AD1" s="18" t="s">
        <v>27</v>
      </c>
      <c r="AE1" s="3" t="s">
        <v>10</v>
      </c>
      <c r="AF1" s="1" t="s">
        <v>11</v>
      </c>
      <c r="AG1" s="1" t="s">
        <v>12</v>
      </c>
      <c r="AH1" s="1" t="s">
        <v>38</v>
      </c>
      <c r="AI1" s="1" t="s">
        <v>40</v>
      </c>
      <c r="AJ1" s="1" t="s">
        <v>42</v>
      </c>
      <c r="AK1" s="1" t="s">
        <v>44</v>
      </c>
      <c r="AL1" s="1" t="s">
        <v>46</v>
      </c>
      <c r="AM1" s="43" t="s">
        <v>66</v>
      </c>
    </row>
    <row r="2" spans="1:39" ht="21" customHeight="1" x14ac:dyDescent="0.15">
      <c r="A2" s="17" t="str">
        <f t="shared" ref="A2:A28" ca="1" si="0">B2&amp;"_"&amp;C2&amp;"-"&amp;G2&amp;"/"&amp;K2&amp;"&lt;lv"&amp;Q2&amp;"&gt;s"&amp;Z2</f>
        <v>11016_1-1/118&lt;lv1&gt;s2</v>
      </c>
      <c r="B2" s="8">
        <v>11016</v>
      </c>
      <c r="C2" s="26">
        <v>1</v>
      </c>
      <c r="D2" s="2" t="str">
        <f t="shared" ref="D2:D28" si="1">B2&amp;"_"&amp;C2</f>
        <v>11016_1</v>
      </c>
      <c r="E2" s="5" t="str">
        <f ca="1">VLOOKUP($B2,OFFSET([2]quests!$A$1,0,0,COUNTA([2]quests!$A:$A),MATCH(E$1,[2]quests!$1:$1,0)-MATCH($B$1,[2]quests!$1:$1,0)+1),MATCH(E$1,[2]quests!$1:$1,0)-MATCH($B$1,[2]quests!$1:$1,0)+1,FALSE)</f>
        <v>【マルチ専用1/2】 ゴールドカジノ</v>
      </c>
      <c r="F2" s="23" t="str">
        <f ca="1">VLOOKUP($D2,OFFSET([2]stages!$A$1,0,0,COUNTA([2]stages!$A:$A),MATCH(F$1,[2]stages!$2:$2,0)-MATCH($D$1,[2]stages!$2:$2,0)+1),MATCH(F$1,[2]stages!$2:$2,0)-MATCH($D$1,[2]stages!$2:$2,0)+1,FALSE)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" s="26">
        <v>1</v>
      </c>
      <c r="H2" s="16" t="str">
        <f t="shared" ref="H2:H28" si="2">B2&amp;"_"&amp;C2&amp;"-"&amp;G2</f>
        <v>11016_1-1</v>
      </c>
      <c r="I2" s="5">
        <f ca="1">VLOOKUP($H2,OFFSET(floors_week_q_1Mc!$A$1,0,0,COUNTA(floors_week_q_1Mc!$A:$A),MATCH(I$1,floors_week_q_1Mc!$1:$1,0)-MATCH($H$1,floors_week_q_1Mc!$1:$1,0)+1),MATCH(I$1,floors_week_q_1Mc!$1:$1,0)-MATCH($H$1,floors_week_q_1Mc!$1:$1,0)+1,FALSE)</f>
        <v>30</v>
      </c>
      <c r="J2" s="5">
        <f ca="1">VLOOKUP($H2,OFFSET(floors_week_q_1Mc!$A$1,0,0,COUNTA(floors_week_q_1Mc!$A:$A),MATCH(J$1,floors_week_q_1Mc!$1:$1,0)-MATCH($H$1,floors_week_q_1Mc!$1:$1,0)+1),MATCH(J$1,floors_week_q_1Mc!$1:$1,0)-MATCH($H$1,floors_week_q_1Mc!$1:$1,0)+1,FALSE)</f>
        <v>55</v>
      </c>
      <c r="K2" s="25">
        <v>118</v>
      </c>
      <c r="L2" s="20" t="str">
        <f ca="1">VLOOKUP(K2,[3]enemies!$A:$B,2,FALSE)</f>
        <v>ゴールドチック</v>
      </c>
      <c r="M2" s="23" t="str">
        <f ca="1">VLOOKUP(K2,[3]enemies!$A:$D,4,FALSE)</f>
        <v>yellow</v>
      </c>
      <c r="N2" s="23" t="str">
        <f>VLOOKUP(K2,[4]characters!$A:$J,10,FALSE)</f>
        <v>Material</v>
      </c>
      <c r="O2" s="22" t="str">
        <f>VLOOKUP(K2,[4]characters!$A:$M,13,FALSE)</f>
        <v>unknown</v>
      </c>
      <c r="P2" s="5">
        <f ca="1">VLOOKUP(K2,[3]enemies!$A:$X,24,FALSE)</f>
        <v>15</v>
      </c>
      <c r="Q2" s="6">
        <v>1</v>
      </c>
      <c r="R2" s="36">
        <v>16.5</v>
      </c>
      <c r="S2" s="36">
        <v>15.75</v>
      </c>
      <c r="T2" s="6">
        <v>0</v>
      </c>
      <c r="U2" s="5" t="e">
        <f ca="1">VLOOKUP($V2,OFFSET([5]enemy_skill_sets!$B$1,0,0,COUNTA([5]enemy_skill_sets!$B:$B),MATCH(L$1,[5]enemy_skill_sets!$1:$1,0)-MATCH($V$1,[5]enemy_skill_sets!$1:$1,0)+2),MATCH(L$1,[5]enemy_skill_sets!$1:$1,0)-MATCH($V$1,[5]enemy_skill_sets!$1:$1,0)+2,FALSE)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" s="5">
        <f ca="1">VLOOKUP($K2,OFFSET([3]enemies!$A$1,0,0,COUNTA([3]enemies!$A:$A),MATCH(V$1,[3]enemies!$1:$1,0)-MATCH($K$1,[3]enemies!$1:$1,0)+1),MATCH(V$1,[3]enemies!$1:$1,0)-MATCH($K$1,[3]enemies!$1:$1,0)+1,FALSE)</f>
        <v>0</v>
      </c>
      <c r="W2" s="7">
        <v>1</v>
      </c>
      <c r="X2" s="7">
        <v>0</v>
      </c>
      <c r="Y2" s="7">
        <v>1</v>
      </c>
      <c r="Z2" s="20">
        <f ca="1">VLOOKUP($K2,OFFSET([3]enemies!$A$1,0,0,COUNTA([3]enemies!$A:$A),MATCH(Z$1,[3]enemies!$1:$1,0)-MATCH($K$1,[3]enemies!$1:$1,0)+1),MATCH(Z$1,[3]enemies!$1:$1,0)-MATCH($K$1,[3]enemies!$1:$1,0)+1,FALSE)</f>
        <v>2</v>
      </c>
      <c r="AA2" s="2">
        <f t="shared" ref="AA2:AA17" si="3">K2</f>
        <v>118</v>
      </c>
      <c r="AB2" s="5" t="str">
        <f ca="1">VLOOKUP(AA2,[3]enemies!$A:$B,2,FALSE)</f>
        <v>ゴールドチック</v>
      </c>
      <c r="AC2" s="5">
        <f ca="1">VLOOKUP(AA2,[3]enemies!$A:$E,3,FALSE)</f>
        <v>4</v>
      </c>
      <c r="AD2" s="5" t="str">
        <f>VLOOKUP(AA2,[4]characters!$A:$J,10,FALSE)</f>
        <v>Material</v>
      </c>
      <c r="AE2" s="8">
        <v>1</v>
      </c>
      <c r="AF2" s="28">
        <f t="shared" ref="AF2:AF16" ca="1" si="4">AC2</f>
        <v>4</v>
      </c>
      <c r="AG2" s="9">
        <v>100</v>
      </c>
      <c r="AH2" s="8">
        <v>0</v>
      </c>
      <c r="AI2" s="8">
        <v>0</v>
      </c>
      <c r="AJ2" s="8">
        <v>0</v>
      </c>
      <c r="AK2" s="8">
        <v>0</v>
      </c>
      <c r="AL2" s="8">
        <v>1</v>
      </c>
      <c r="AM2" s="45" t="s">
        <v>108</v>
      </c>
    </row>
    <row r="3" spans="1:39" ht="21" customHeight="1" x14ac:dyDescent="0.15">
      <c r="A3" s="17" t="str">
        <f t="shared" ref="A3" ca="1" si="5">B3&amp;"_"&amp;C3&amp;"-"&amp;G3&amp;"/"&amp;K3&amp;"&lt;lv"&amp;Q3&amp;"&gt;s"&amp;Z3</f>
        <v>11016_1-1/117&lt;lv1&gt;s1</v>
      </c>
      <c r="B3" s="8">
        <v>11016</v>
      </c>
      <c r="C3" s="26">
        <v>1</v>
      </c>
      <c r="D3" s="2" t="str">
        <f t="shared" ref="D3" si="6">B3&amp;"_"&amp;C3</f>
        <v>11016_1</v>
      </c>
      <c r="E3" s="5" t="str">
        <f ca="1">VLOOKUP($B3,OFFSET([2]quests!$A$1,0,0,COUNTA([2]quests!$A:$A),MATCH(E$1,[2]quests!$1:$1,0)-MATCH($B$1,[2]quests!$1:$1,0)+1),MATCH(E$1,[2]quests!$1:$1,0)-MATCH($B$1,[2]quests!$1:$1,0)+1,FALSE)</f>
        <v>【マルチ専用1/2】 ゴールドカジノ</v>
      </c>
      <c r="F3" s="5" t="str">
        <f ca="1">VLOOKUP($D3,OFFSET([2]stages!$A$1,0,0,COUNTA([2]stages!$A:$A),MATCH(F$1,[2]stages!$2:$2,0)-MATCH($D$1,[2]stages!$2:$2,0)+1),MATCH(F$1,[2]stages!$2:$2,0)-MATCH($D$1,[2]stages!$2:$2,0)+1,FALSE)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" s="26">
        <v>1</v>
      </c>
      <c r="H3" s="16" t="str">
        <f t="shared" si="2"/>
        <v>11016_1-1</v>
      </c>
      <c r="I3" s="5">
        <f ca="1">VLOOKUP($H3,OFFSET(floors_week_q_1Mc!$A$1,0,0,COUNTA(floors_week_q_1Mc!$A:$A),MATCH(I$1,floors_week_q_1Mc!$1:$1,0)-MATCH($H$1,floors_week_q_1Mc!$1:$1,0)+1),MATCH(I$1,floors_week_q_1Mc!$1:$1,0)-MATCH($H$1,floors_week_q_1Mc!$1:$1,0)+1,FALSE)</f>
        <v>30</v>
      </c>
      <c r="J3" s="5">
        <f ca="1">VLOOKUP($H3,OFFSET(floors_week_q_1Mc!$A$1,0,0,COUNTA(floors_week_q_1Mc!$A:$A),MATCH(J$1,floors_week_q_1Mc!$1:$1,0)-MATCH($H$1,floors_week_q_1Mc!$1:$1,0)+1),MATCH(J$1,floors_week_q_1Mc!$1:$1,0)-MATCH($H$1,floors_week_q_1Mc!$1:$1,0)+1,FALSE)</f>
        <v>55</v>
      </c>
      <c r="K3" s="25">
        <v>117</v>
      </c>
      <c r="L3" s="20" t="str">
        <f ca="1">VLOOKUP(K3,[3]enemies!$A:$B,2,FALSE)</f>
        <v>ゴールドピヨピヨ</v>
      </c>
      <c r="M3" s="23" t="str">
        <f ca="1">VLOOKUP(K3,[3]enemies!$A:$D,4,FALSE)</f>
        <v>yellow</v>
      </c>
      <c r="N3" s="23" t="str">
        <f>VLOOKUP(K3,[4]characters!$A:$J,10,FALSE)</f>
        <v>Material</v>
      </c>
      <c r="O3" s="22" t="str">
        <f>VLOOKUP(K3,[4]characters!$A:$M,13,FALSE)</f>
        <v>unknown</v>
      </c>
      <c r="P3" s="5">
        <f ca="1">VLOOKUP(K3,[3]enemies!$A:$X,24,FALSE)</f>
        <v>15</v>
      </c>
      <c r="Q3" s="6">
        <v>1</v>
      </c>
      <c r="R3" s="36">
        <v>40.5</v>
      </c>
      <c r="S3" s="36">
        <v>42.25</v>
      </c>
      <c r="T3" s="6">
        <v>0</v>
      </c>
      <c r="U3" s="5" t="e">
        <f ca="1">VLOOKUP($V3,OFFSET([5]enemy_skill_sets!$B$1,0,0,COUNTA([5]enemy_skill_sets!$B:$B),MATCH(L$1,[5]enemy_skill_sets!$1:$1,0)-MATCH($V$1,[5]enemy_skill_sets!$1:$1,0)+2),MATCH(L$1,[5]enemy_skill_sets!$1:$1,0)-MATCH($V$1,[5]enemy_skill_sets!$1:$1,0)+2,FALSE)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" s="5">
        <f ca="1">VLOOKUP($K3,OFFSET([3]enemies!$A$1,0,0,COUNTA([3]enemies!$A:$A),MATCH(V$1,[3]enemies!$1:$1,0)-MATCH($K$1,[3]enemies!$1:$1,0)+1),MATCH(V$1,[3]enemies!$1:$1,0)-MATCH($K$1,[3]enemies!$1:$1,0)+1,FALSE)</f>
        <v>0</v>
      </c>
      <c r="W3" s="7">
        <v>1</v>
      </c>
      <c r="X3" s="7">
        <v>20</v>
      </c>
      <c r="Y3" s="7">
        <v>2</v>
      </c>
      <c r="Z3" s="20">
        <f ca="1">VLOOKUP($K3,OFFSET([3]enemies!$A$1,0,0,COUNTA([3]enemies!$A:$A),MATCH(Z$1,[3]enemies!$1:$1,0)-MATCH($K$1,[3]enemies!$1:$1,0)+1),MATCH(Z$1,[3]enemies!$1:$1,0)-MATCH($K$1,[3]enemies!$1:$1,0)+1,FALSE)</f>
        <v>1</v>
      </c>
      <c r="AA3" s="2">
        <f t="shared" si="3"/>
        <v>117</v>
      </c>
      <c r="AB3" s="5" t="str">
        <f ca="1">VLOOKUP(AA3,[3]enemies!$A:$B,2,FALSE)</f>
        <v>ゴールドピヨピヨ</v>
      </c>
      <c r="AC3" s="5">
        <f ca="1">VLOOKUP(AA3,[3]enemies!$A:$E,3,FALSE)</f>
        <v>3</v>
      </c>
      <c r="AD3" s="5" t="str">
        <f>VLOOKUP(AA3,[4]characters!$A:$J,10,FALSE)</f>
        <v>Material</v>
      </c>
      <c r="AE3" s="8">
        <v>1</v>
      </c>
      <c r="AF3" s="28">
        <f t="shared" ref="AF3" ca="1" si="7">AC3</f>
        <v>3</v>
      </c>
      <c r="AG3" s="9">
        <v>0</v>
      </c>
      <c r="AH3" s="8">
        <v>0</v>
      </c>
      <c r="AI3" s="8">
        <v>0</v>
      </c>
      <c r="AJ3" s="8">
        <v>0</v>
      </c>
      <c r="AK3" s="8">
        <v>0</v>
      </c>
      <c r="AL3" s="8">
        <v>1</v>
      </c>
      <c r="AM3" s="45" t="s">
        <v>108</v>
      </c>
    </row>
    <row r="4" spans="1:39" ht="21" customHeight="1" x14ac:dyDescent="0.15">
      <c r="A4" s="17" t="str">
        <f t="shared" ca="1" si="0"/>
        <v>11016_1-1/63&lt;lv32&gt;s2</v>
      </c>
      <c r="B4" s="8">
        <v>11016</v>
      </c>
      <c r="C4" s="26">
        <v>1</v>
      </c>
      <c r="D4" s="16" t="str">
        <f t="shared" si="1"/>
        <v>11016_1</v>
      </c>
      <c r="E4" s="5" t="str">
        <f ca="1">VLOOKUP($B4,OFFSET([2]quests!$A$1,0,0,COUNTA([2]quests!$A:$A),MATCH(E$1,[2]quests!$1:$1,0)-MATCH($B$1,[2]quests!$1:$1,0)+1),MATCH(E$1,[2]quests!$1:$1,0)-MATCH($B$1,[2]quests!$1:$1,0)+1,FALSE)</f>
        <v>【マルチ専用1/2】 ゴールドカジノ</v>
      </c>
      <c r="F4" s="5" t="str">
        <f ca="1">VLOOKUP($D4,OFFSET([2]stages!$A$1,0,0,COUNTA([2]stages!$A:$A),MATCH(F$1,[2]stages!$2:$2,0)-MATCH($D$1,[2]stages!$2:$2,0)+1),MATCH(F$1,[2]stages!$2:$2,0)-MATCH($D$1,[2]stages!$2:$2,0)+1,FALSE)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" s="30">
        <v>1</v>
      </c>
      <c r="H4" s="16" t="str">
        <f t="shared" si="2"/>
        <v>11016_1-1</v>
      </c>
      <c r="I4" s="5">
        <f ca="1">VLOOKUP($H4,OFFSET(floors_week_q_1Mc!$A$1,0,0,COUNTA(floors_week_q_1Mc!$A:$A),MATCH(I$1,floors_week_q_1Mc!$1:$1,0)-MATCH($H$1,floors_week_q_1Mc!$1:$1,0)+1),MATCH(I$1,floors_week_q_1Mc!$1:$1,0)-MATCH($H$1,floors_week_q_1Mc!$1:$1,0)+1,FALSE)</f>
        <v>30</v>
      </c>
      <c r="J4" s="5">
        <f ca="1">VLOOKUP($H4,OFFSET(floors_week_q_1Mc!$A$1,0,0,COUNTA(floors_week_q_1Mc!$A:$A),MATCH(J$1,floors_week_q_1Mc!$1:$1,0)-MATCH($H$1,floors_week_q_1Mc!$1:$1,0)+1),MATCH(J$1,floors_week_q_1Mc!$1:$1,0)-MATCH($H$1,floors_week_q_1Mc!$1:$1,0)+1,FALSE)</f>
        <v>55</v>
      </c>
      <c r="K4" s="32">
        <v>63</v>
      </c>
      <c r="L4" s="20" t="str">
        <f ca="1">VLOOKUP(K4,[3]enemies!$A:$B,2,FALSE)</f>
        <v>トニー</v>
      </c>
      <c r="M4" s="23" t="str">
        <f ca="1">VLOOKUP(K4,[3]enemies!$A:$D,4,FALSE)</f>
        <v>yellow</v>
      </c>
      <c r="N4" s="23" t="str">
        <f>VLOOKUP(K4,[4]characters!$A:$J,10,FALSE)</f>
        <v>Drop1N</v>
      </c>
      <c r="O4" s="22" t="str">
        <f>VLOOKUP(K4,[4]characters!$A:$M,13,FALSE)</f>
        <v>animal</v>
      </c>
      <c r="P4" s="5">
        <f ca="1">VLOOKUP(K4,[3]enemies!$A:$X,24,FALSE)</f>
        <v>15</v>
      </c>
      <c r="Q4" s="6">
        <v>32</v>
      </c>
      <c r="R4" s="36">
        <v>1</v>
      </c>
      <c r="S4" s="36">
        <v>1</v>
      </c>
      <c r="T4" s="6">
        <v>0</v>
      </c>
      <c r="U4" s="5" t="e">
        <f ca="1">VLOOKUP($V4,OFFSET([5]enemy_skill_sets!$B$1,0,0,COUNTA([5]enemy_skill_sets!$B:$B),MATCH(L$1,[5]enemy_skill_sets!$1:$1,0)-MATCH($V$1,[5]enemy_skill_sets!$1:$1,0)+2),MATCH(L$1,[5]enemy_skill_sets!$1:$1,0)-MATCH($V$1,[5]enemy_skill_sets!$1:$1,0)+2,FALSE)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" s="5">
        <f ca="1">VLOOKUP($K4,OFFSET([3]enemies!$A$1,0,0,COUNTA([3]enemies!$A:$A),MATCH(V$1,[3]enemies!$1:$1,0)-MATCH($K$1,[3]enemies!$1:$1,0)+1),MATCH(V$1,[3]enemies!$1:$1,0)-MATCH($K$1,[3]enemies!$1:$1,0)+1,FALSE)</f>
        <v>63</v>
      </c>
      <c r="W4" s="31">
        <v>0</v>
      </c>
      <c r="X4" s="7">
        <v>20</v>
      </c>
      <c r="Y4" s="31">
        <v>0</v>
      </c>
      <c r="Z4" s="20">
        <f ca="1">VLOOKUP($K4,OFFSET([3]enemies!$A$1,0,0,COUNTA([3]enemies!$A:$A),MATCH(Z$1,[3]enemies!$1:$1,0)-MATCH($K$1,[3]enemies!$1:$1,0)+1),MATCH(Z$1,[3]enemies!$1:$1,0)-MATCH($K$1,[3]enemies!$1:$1,0)+1,FALSE)</f>
        <v>2</v>
      </c>
      <c r="AA4" s="2">
        <f t="shared" si="3"/>
        <v>63</v>
      </c>
      <c r="AB4" s="5" t="str">
        <f ca="1">VLOOKUP(AA4,[3]enemies!$A:$B,2,FALSE)</f>
        <v>トニー</v>
      </c>
      <c r="AC4" s="5">
        <f ca="1">VLOOKUP(AA4,[3]enemies!$A:$E,3,FALSE)</f>
        <v>2</v>
      </c>
      <c r="AD4" s="5" t="str">
        <f>VLOOKUP(AA4,[4]characters!$A:$J,10,FALSE)</f>
        <v>Drop1N</v>
      </c>
      <c r="AE4" s="29">
        <v>1</v>
      </c>
      <c r="AF4" s="28">
        <f t="shared" ref="AF4:AF7" ca="1" si="8">AC4</f>
        <v>2</v>
      </c>
      <c r="AG4" s="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1</v>
      </c>
      <c r="AM4" s="45" t="s">
        <v>108</v>
      </c>
    </row>
    <row r="5" spans="1:39" ht="21" customHeight="1" x14ac:dyDescent="0.15">
      <c r="A5" s="17" t="str">
        <f t="shared" ca="1" si="0"/>
        <v>11016_1-1/61&lt;lv32&gt;s2</v>
      </c>
      <c r="B5" s="8">
        <v>11016</v>
      </c>
      <c r="C5" s="26">
        <v>1</v>
      </c>
      <c r="D5" s="16" t="str">
        <f t="shared" si="1"/>
        <v>11016_1</v>
      </c>
      <c r="E5" s="5" t="str">
        <f ca="1">VLOOKUP($B5,OFFSET([2]quests!$A$1,0,0,COUNTA([2]quests!$A:$A),MATCH(E$1,[2]quests!$1:$1,0)-MATCH($B$1,[2]quests!$1:$1,0)+1),MATCH(E$1,[2]quests!$1:$1,0)-MATCH($B$1,[2]quests!$1:$1,0)+1,FALSE)</f>
        <v>【マルチ専用1/2】 ゴールドカジノ</v>
      </c>
      <c r="F5" s="5" t="str">
        <f ca="1">VLOOKUP($D5,OFFSET([2]stages!$A$1,0,0,COUNTA([2]stages!$A:$A),MATCH(F$1,[2]stages!$2:$2,0)-MATCH($D$1,[2]stages!$2:$2,0)+1),MATCH(F$1,[2]stages!$2:$2,0)-MATCH($D$1,[2]stages!$2:$2,0)+1,FALSE)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" s="30">
        <v>1</v>
      </c>
      <c r="H5" s="16" t="str">
        <f t="shared" si="2"/>
        <v>11016_1-1</v>
      </c>
      <c r="I5" s="5">
        <f ca="1">VLOOKUP($H5,OFFSET(floors_week_q_1Mc!$A$1,0,0,COUNTA(floors_week_q_1Mc!$A:$A),MATCH(I$1,floors_week_q_1Mc!$1:$1,0)-MATCH($H$1,floors_week_q_1Mc!$1:$1,0)+1),MATCH(I$1,floors_week_q_1Mc!$1:$1,0)-MATCH($H$1,floors_week_q_1Mc!$1:$1,0)+1,FALSE)</f>
        <v>30</v>
      </c>
      <c r="J5" s="5">
        <f ca="1">VLOOKUP($H5,OFFSET(floors_week_q_1Mc!$A$1,0,0,COUNTA(floors_week_q_1Mc!$A:$A),MATCH(J$1,floors_week_q_1Mc!$1:$1,0)-MATCH($H$1,floors_week_q_1Mc!$1:$1,0)+1),MATCH(J$1,floors_week_q_1Mc!$1:$1,0)-MATCH($H$1,floors_week_q_1Mc!$1:$1,0)+1,FALSE)</f>
        <v>55</v>
      </c>
      <c r="K5" s="32">
        <v>61</v>
      </c>
      <c r="L5" s="20" t="str">
        <f ca="1">VLOOKUP(K5,[3]enemies!$A:$B,2,FALSE)</f>
        <v>クロウ</v>
      </c>
      <c r="M5" s="23" t="str">
        <f ca="1">VLOOKUP(K5,[3]enemies!$A:$D,4,FALSE)</f>
        <v>blue</v>
      </c>
      <c r="N5" s="23" t="str">
        <f>VLOOKUP(K5,[4]characters!$A:$J,10,FALSE)</f>
        <v>Drop1N</v>
      </c>
      <c r="O5" s="22" t="str">
        <f>VLOOKUP(K5,[4]characters!$A:$M,13,FALSE)</f>
        <v>animal</v>
      </c>
      <c r="P5" s="5">
        <f ca="1">VLOOKUP(K5,[3]enemies!$A:$X,24,FALSE)</f>
        <v>15</v>
      </c>
      <c r="Q5" s="6">
        <v>32</v>
      </c>
      <c r="R5" s="36">
        <v>1</v>
      </c>
      <c r="S5" s="36">
        <v>1</v>
      </c>
      <c r="T5" s="6">
        <v>0</v>
      </c>
      <c r="U5" s="5" t="e">
        <f ca="1">VLOOKUP($V5,OFFSET([5]enemy_skill_sets!$B$1,0,0,COUNTA([5]enemy_skill_sets!$B:$B),MATCH(L$1,[5]enemy_skill_sets!$1:$1,0)-MATCH($V$1,[5]enemy_skill_sets!$1:$1,0)+2),MATCH(L$1,[5]enemy_skill_sets!$1:$1,0)-MATCH($V$1,[5]enemy_skill_sets!$1:$1,0)+2,FALSE)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" s="5">
        <f ca="1">VLOOKUP($K5,OFFSET([3]enemies!$A$1,0,0,COUNTA([3]enemies!$A:$A),MATCH(V$1,[3]enemies!$1:$1,0)-MATCH($K$1,[3]enemies!$1:$1,0)+1),MATCH(V$1,[3]enemies!$1:$1,0)-MATCH($K$1,[3]enemies!$1:$1,0)+1,FALSE)</f>
        <v>61</v>
      </c>
      <c r="W5" s="31">
        <v>0</v>
      </c>
      <c r="X5" s="7">
        <v>20</v>
      </c>
      <c r="Y5" s="31">
        <v>0</v>
      </c>
      <c r="Z5" s="20">
        <f ca="1">VLOOKUP($K5,OFFSET([3]enemies!$A$1,0,0,COUNTA([3]enemies!$A:$A),MATCH(Z$1,[3]enemies!$1:$1,0)-MATCH($K$1,[3]enemies!$1:$1,0)+1),MATCH(Z$1,[3]enemies!$1:$1,0)-MATCH($K$1,[3]enemies!$1:$1,0)+1,FALSE)</f>
        <v>2</v>
      </c>
      <c r="AA5" s="2">
        <f t="shared" si="3"/>
        <v>61</v>
      </c>
      <c r="AB5" s="5" t="str">
        <f ca="1">VLOOKUP(AA5,[3]enemies!$A:$B,2,FALSE)</f>
        <v>クロウ</v>
      </c>
      <c r="AC5" s="5">
        <f ca="1">VLOOKUP(AA5,[3]enemies!$A:$E,3,FALSE)</f>
        <v>2</v>
      </c>
      <c r="AD5" s="5" t="str">
        <f>VLOOKUP(AA5,[4]characters!$A:$J,10,FALSE)</f>
        <v>Drop1N</v>
      </c>
      <c r="AE5" s="29">
        <v>1</v>
      </c>
      <c r="AF5" s="28">
        <f t="shared" ca="1" si="8"/>
        <v>2</v>
      </c>
      <c r="AG5" s="9">
        <v>0</v>
      </c>
      <c r="AH5" s="29">
        <v>0</v>
      </c>
      <c r="AI5" s="29">
        <v>0</v>
      </c>
      <c r="AJ5" s="29">
        <v>0</v>
      </c>
      <c r="AK5" s="29">
        <v>0</v>
      </c>
      <c r="AL5" s="29">
        <v>1</v>
      </c>
      <c r="AM5" s="45" t="s">
        <v>108</v>
      </c>
    </row>
    <row r="6" spans="1:39" ht="21" customHeight="1" x14ac:dyDescent="0.15">
      <c r="A6" s="17" t="str">
        <f t="shared" ca="1" si="0"/>
        <v>11016_1-1/57&lt;lv32&gt;s2</v>
      </c>
      <c r="B6" s="8">
        <v>11016</v>
      </c>
      <c r="C6" s="26">
        <v>1</v>
      </c>
      <c r="D6" s="16" t="str">
        <f t="shared" si="1"/>
        <v>11016_1</v>
      </c>
      <c r="E6" s="5" t="str">
        <f ca="1">VLOOKUP($B6,OFFSET([2]quests!$A$1,0,0,COUNTA([2]quests!$A:$A),MATCH(E$1,[2]quests!$1:$1,0)-MATCH($B$1,[2]quests!$1:$1,0)+1),MATCH(E$1,[2]quests!$1:$1,0)-MATCH($B$1,[2]quests!$1:$1,0)+1,FALSE)</f>
        <v>【マルチ専用1/2】 ゴールドカジノ</v>
      </c>
      <c r="F6" s="5" t="str">
        <f ca="1">VLOOKUP($D6,OFFSET([2]stages!$A$1,0,0,COUNTA([2]stages!$A:$A),MATCH(F$1,[2]stages!$2:$2,0)-MATCH($D$1,[2]stages!$2:$2,0)+1),MATCH(F$1,[2]stages!$2:$2,0)-MATCH($D$1,[2]stages!$2:$2,0)+1,FALSE)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6" s="30">
        <v>1</v>
      </c>
      <c r="H6" s="16" t="str">
        <f t="shared" si="2"/>
        <v>11016_1-1</v>
      </c>
      <c r="I6" s="5">
        <f ca="1">VLOOKUP($H6,OFFSET(floors_week_q_1Mc!$A$1,0,0,COUNTA(floors_week_q_1Mc!$A:$A),MATCH(I$1,floors_week_q_1Mc!$1:$1,0)-MATCH($H$1,floors_week_q_1Mc!$1:$1,0)+1),MATCH(I$1,floors_week_q_1Mc!$1:$1,0)-MATCH($H$1,floors_week_q_1Mc!$1:$1,0)+1,FALSE)</f>
        <v>30</v>
      </c>
      <c r="J6" s="5">
        <f ca="1">VLOOKUP($H6,OFFSET(floors_week_q_1Mc!$A$1,0,0,COUNTA(floors_week_q_1Mc!$A:$A),MATCH(J$1,floors_week_q_1Mc!$1:$1,0)-MATCH($H$1,floors_week_q_1Mc!$1:$1,0)+1),MATCH(J$1,floors_week_q_1Mc!$1:$1,0)-MATCH($H$1,floors_week_q_1Mc!$1:$1,0)+1,FALSE)</f>
        <v>55</v>
      </c>
      <c r="K6" s="32">
        <v>57</v>
      </c>
      <c r="L6" s="20" t="str">
        <f ca="1">VLOOKUP(K6,[3]enemies!$A:$B,2,FALSE)</f>
        <v>チェン・リー</v>
      </c>
      <c r="M6" s="23" t="str">
        <f ca="1">VLOOKUP(K6,[3]enemies!$A:$D,4,FALSE)</f>
        <v>red</v>
      </c>
      <c r="N6" s="23" t="str">
        <f>VLOOKUP(K6,[4]characters!$A:$J,10,FALSE)</f>
        <v>Drop1N</v>
      </c>
      <c r="O6" s="22" t="str">
        <f>VLOOKUP(K6,[4]characters!$A:$M,13,FALSE)</f>
        <v>animal</v>
      </c>
      <c r="P6" s="5">
        <f ca="1">VLOOKUP(K6,[3]enemies!$A:$X,24,FALSE)</f>
        <v>15</v>
      </c>
      <c r="Q6" s="6">
        <v>32</v>
      </c>
      <c r="R6" s="36">
        <v>1</v>
      </c>
      <c r="S6" s="36">
        <v>1</v>
      </c>
      <c r="T6" s="6">
        <v>0</v>
      </c>
      <c r="U6" s="5" t="e">
        <f ca="1">VLOOKUP($V6,OFFSET([5]enemy_skill_sets!$B$1,0,0,COUNTA([5]enemy_skill_sets!$B:$B),MATCH(L$1,[5]enemy_skill_sets!$1:$1,0)-MATCH($V$1,[5]enemy_skill_sets!$1:$1,0)+2),MATCH(L$1,[5]enemy_skill_sets!$1:$1,0)-MATCH($V$1,[5]enemy_skill_sets!$1:$1,0)+2,FALSE)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6" s="5">
        <f ca="1">VLOOKUP($K6,OFFSET([3]enemies!$A$1,0,0,COUNTA([3]enemies!$A:$A),MATCH(V$1,[3]enemies!$1:$1,0)-MATCH($K$1,[3]enemies!$1:$1,0)+1),MATCH(V$1,[3]enemies!$1:$1,0)-MATCH($K$1,[3]enemies!$1:$1,0)+1,FALSE)</f>
        <v>57</v>
      </c>
      <c r="W6" s="31">
        <v>0</v>
      </c>
      <c r="X6" s="7">
        <v>20</v>
      </c>
      <c r="Y6" s="31">
        <v>0</v>
      </c>
      <c r="Z6" s="20">
        <f ca="1">VLOOKUP($K6,OFFSET([3]enemies!$A$1,0,0,COUNTA([3]enemies!$A:$A),MATCH(Z$1,[3]enemies!$1:$1,0)-MATCH($K$1,[3]enemies!$1:$1,0)+1),MATCH(Z$1,[3]enemies!$1:$1,0)-MATCH($K$1,[3]enemies!$1:$1,0)+1,FALSE)</f>
        <v>2</v>
      </c>
      <c r="AA6" s="2">
        <f t="shared" si="3"/>
        <v>57</v>
      </c>
      <c r="AB6" s="5" t="str">
        <f ca="1">VLOOKUP(AA6,[3]enemies!$A:$B,2,FALSE)</f>
        <v>チェン・リー</v>
      </c>
      <c r="AC6" s="5">
        <f ca="1">VLOOKUP(AA6,[3]enemies!$A:$E,3,FALSE)</f>
        <v>2</v>
      </c>
      <c r="AD6" s="5" t="str">
        <f>VLOOKUP(AA6,[4]characters!$A:$J,10,FALSE)</f>
        <v>Drop1N</v>
      </c>
      <c r="AE6" s="29">
        <v>1</v>
      </c>
      <c r="AF6" s="28">
        <f t="shared" ca="1" si="8"/>
        <v>2</v>
      </c>
      <c r="AG6" s="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1</v>
      </c>
      <c r="AM6" s="45" t="s">
        <v>108</v>
      </c>
    </row>
    <row r="7" spans="1:39" ht="21" customHeight="1" x14ac:dyDescent="0.15">
      <c r="A7" s="17" t="str">
        <f t="shared" ca="1" si="0"/>
        <v>11016_1-1/59&lt;lv32&gt;s2</v>
      </c>
      <c r="B7" s="8">
        <v>11016</v>
      </c>
      <c r="C7" s="26">
        <v>1</v>
      </c>
      <c r="D7" s="16" t="str">
        <f t="shared" si="1"/>
        <v>11016_1</v>
      </c>
      <c r="E7" s="5" t="str">
        <f ca="1">VLOOKUP($B7,OFFSET([2]quests!$A$1,0,0,COUNTA([2]quests!$A:$A),MATCH(E$1,[2]quests!$1:$1,0)-MATCH($B$1,[2]quests!$1:$1,0)+1),MATCH(E$1,[2]quests!$1:$1,0)-MATCH($B$1,[2]quests!$1:$1,0)+1,FALSE)</f>
        <v>【マルチ専用1/2】 ゴールドカジノ</v>
      </c>
      <c r="F7" s="5" t="str">
        <f ca="1">VLOOKUP($D7,OFFSET([2]stages!$A$1,0,0,COUNTA([2]stages!$A:$A),MATCH(F$1,[2]stages!$2:$2,0)-MATCH($D$1,[2]stages!$2:$2,0)+1),MATCH(F$1,[2]stages!$2:$2,0)-MATCH($D$1,[2]stages!$2:$2,0)+1,FALSE)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7" s="30">
        <v>1</v>
      </c>
      <c r="H7" s="16" t="str">
        <f t="shared" si="2"/>
        <v>11016_1-1</v>
      </c>
      <c r="I7" s="5">
        <f ca="1">VLOOKUP($H7,OFFSET(floors_week_q_1Mc!$A$1,0,0,COUNTA(floors_week_q_1Mc!$A:$A),MATCH(I$1,floors_week_q_1Mc!$1:$1,0)-MATCH($H$1,floors_week_q_1Mc!$1:$1,0)+1),MATCH(I$1,floors_week_q_1Mc!$1:$1,0)-MATCH($H$1,floors_week_q_1Mc!$1:$1,0)+1,FALSE)</f>
        <v>30</v>
      </c>
      <c r="J7" s="5">
        <f ca="1">VLOOKUP($H7,OFFSET(floors_week_q_1Mc!$A$1,0,0,COUNTA(floors_week_q_1Mc!$A:$A),MATCH(J$1,floors_week_q_1Mc!$1:$1,0)-MATCH($H$1,floors_week_q_1Mc!$1:$1,0)+1),MATCH(J$1,floors_week_q_1Mc!$1:$1,0)-MATCH($H$1,floors_week_q_1Mc!$1:$1,0)+1,FALSE)</f>
        <v>55</v>
      </c>
      <c r="K7" s="32">
        <v>59</v>
      </c>
      <c r="L7" s="20" t="str">
        <f ca="1">VLOOKUP(K7,[3]enemies!$A:$B,2,FALSE)</f>
        <v>マーチ</v>
      </c>
      <c r="M7" s="23" t="str">
        <f ca="1">VLOOKUP(K7,[3]enemies!$A:$D,4,FALSE)</f>
        <v>green</v>
      </c>
      <c r="N7" s="23" t="str">
        <f>VLOOKUP(K7,[4]characters!$A:$J,10,FALSE)</f>
        <v>Drop1N</v>
      </c>
      <c r="O7" s="22" t="str">
        <f>VLOOKUP(K7,[4]characters!$A:$M,13,FALSE)</f>
        <v>animal</v>
      </c>
      <c r="P7" s="5">
        <f ca="1">VLOOKUP(K7,[3]enemies!$A:$X,24,FALSE)</f>
        <v>15</v>
      </c>
      <c r="Q7" s="6">
        <v>32</v>
      </c>
      <c r="R7" s="36">
        <v>1</v>
      </c>
      <c r="S7" s="36">
        <v>1</v>
      </c>
      <c r="T7" s="6">
        <v>0</v>
      </c>
      <c r="U7" s="5" t="e">
        <f ca="1">VLOOKUP($V7,OFFSET([5]enemy_skill_sets!$B$1,0,0,COUNTA([5]enemy_skill_sets!$B:$B),MATCH(L$1,[5]enemy_skill_sets!$1:$1,0)-MATCH($V$1,[5]enemy_skill_sets!$1:$1,0)+2),MATCH(L$1,[5]enemy_skill_sets!$1:$1,0)-MATCH($V$1,[5]enemy_skill_sets!$1:$1,0)+2,FALSE)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7" s="5">
        <f ca="1">VLOOKUP($K7,OFFSET([3]enemies!$A$1,0,0,COUNTA([3]enemies!$A:$A),MATCH(V$1,[3]enemies!$1:$1,0)-MATCH($K$1,[3]enemies!$1:$1,0)+1),MATCH(V$1,[3]enemies!$1:$1,0)-MATCH($K$1,[3]enemies!$1:$1,0)+1,FALSE)</f>
        <v>59</v>
      </c>
      <c r="W7" s="31">
        <v>0</v>
      </c>
      <c r="X7" s="7">
        <v>20</v>
      </c>
      <c r="Y7" s="31">
        <v>0</v>
      </c>
      <c r="Z7" s="20">
        <f ca="1">VLOOKUP($K7,OFFSET([3]enemies!$A$1,0,0,COUNTA([3]enemies!$A:$A),MATCH(Z$1,[3]enemies!$1:$1,0)-MATCH($K$1,[3]enemies!$1:$1,0)+1),MATCH(Z$1,[3]enemies!$1:$1,0)-MATCH($K$1,[3]enemies!$1:$1,0)+1,FALSE)</f>
        <v>2</v>
      </c>
      <c r="AA7" s="2">
        <f t="shared" si="3"/>
        <v>59</v>
      </c>
      <c r="AB7" s="5" t="str">
        <f ca="1">VLOOKUP(AA7,[3]enemies!$A:$B,2,FALSE)</f>
        <v>マーチ</v>
      </c>
      <c r="AC7" s="5">
        <f ca="1">VLOOKUP(AA7,[3]enemies!$A:$E,3,FALSE)</f>
        <v>2</v>
      </c>
      <c r="AD7" s="5" t="str">
        <f>VLOOKUP(AA7,[4]characters!$A:$J,10,FALSE)</f>
        <v>Drop1N</v>
      </c>
      <c r="AE7" s="29">
        <v>1</v>
      </c>
      <c r="AF7" s="28">
        <f t="shared" ca="1" si="8"/>
        <v>2</v>
      </c>
      <c r="AG7" s="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1</v>
      </c>
      <c r="AM7" s="45" t="s">
        <v>108</v>
      </c>
    </row>
    <row r="8" spans="1:39" ht="21" customHeight="1" x14ac:dyDescent="0.15">
      <c r="A8" s="17" t="str">
        <f t="shared" ref="A8:A9" ca="1" si="9">B8&amp;"_"&amp;C8&amp;"-"&amp;G8&amp;"/"&amp;K8&amp;"&lt;lv"&amp;Q8&amp;"&gt;s"&amp;Z8</f>
        <v>11016_1-2/118&lt;lv3&gt;s2</v>
      </c>
      <c r="B8" s="8">
        <v>11016</v>
      </c>
      <c r="C8" s="26">
        <v>1</v>
      </c>
      <c r="D8" s="2" t="str">
        <f t="shared" ref="D8:D9" si="10">B8&amp;"_"&amp;C8</f>
        <v>11016_1</v>
      </c>
      <c r="E8" s="5" t="str">
        <f ca="1">VLOOKUP($B8,OFFSET([2]quests!$A$1,0,0,COUNTA([2]quests!$A:$A),MATCH(E$1,[2]quests!$1:$1,0)-MATCH($B$1,[2]quests!$1:$1,0)+1),MATCH(E$1,[2]quests!$1:$1,0)-MATCH($B$1,[2]quests!$1:$1,0)+1,FALSE)</f>
        <v>【マルチ専用1/2】 ゴールドカジノ</v>
      </c>
      <c r="F8" s="5" t="str">
        <f ca="1">VLOOKUP($D8,OFFSET([2]stages!$A$1,0,0,COUNTA([2]stages!$A:$A),MATCH(F$1,[2]stages!$2:$2,0)-MATCH($D$1,[2]stages!$2:$2,0)+1),MATCH(F$1,[2]stages!$2:$2,0)-MATCH($D$1,[2]stages!$2:$2,0)+1,FALSE)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8" s="26">
        <v>2</v>
      </c>
      <c r="H8" s="16" t="str">
        <f t="shared" ref="H8:H9" si="11">B8&amp;"_"&amp;C8&amp;"-"&amp;G8</f>
        <v>11016_1-2</v>
      </c>
      <c r="I8" s="5">
        <f ca="1">VLOOKUP($H8,OFFSET(floors_week_q_1Mc!$A$1,0,0,COUNTA(floors_week_q_1Mc!$A:$A),MATCH(I$1,floors_week_q_1Mc!$1:$1,0)-MATCH($H$1,floors_week_q_1Mc!$1:$1,0)+1),MATCH(I$1,floors_week_q_1Mc!$1:$1,0)-MATCH($H$1,floors_week_q_1Mc!$1:$1,0)+1,FALSE)</f>
        <v>35</v>
      </c>
      <c r="J8" s="5">
        <f ca="1">VLOOKUP($H8,OFFSET(floors_week_q_1Mc!$A$1,0,0,COUNTA(floors_week_q_1Mc!$A:$A),MATCH(J$1,floors_week_q_1Mc!$1:$1,0)-MATCH($H$1,floors_week_q_1Mc!$1:$1,0)+1),MATCH(J$1,floors_week_q_1Mc!$1:$1,0)-MATCH($H$1,floors_week_q_1Mc!$1:$1,0)+1,FALSE)</f>
        <v>50</v>
      </c>
      <c r="K8" s="25">
        <v>118</v>
      </c>
      <c r="L8" s="20" t="str">
        <f ca="1">VLOOKUP(K8,[3]enemies!$A:$B,2,FALSE)</f>
        <v>ゴールドチック</v>
      </c>
      <c r="M8" s="23" t="str">
        <f ca="1">VLOOKUP(K8,[3]enemies!$A:$D,4,FALSE)</f>
        <v>yellow</v>
      </c>
      <c r="N8" s="23" t="str">
        <f>VLOOKUP(K8,[4]characters!$A:$J,10,FALSE)</f>
        <v>Material</v>
      </c>
      <c r="O8" s="22" t="str">
        <f>VLOOKUP(K8,[4]characters!$A:$M,13,FALSE)</f>
        <v>unknown</v>
      </c>
      <c r="P8" s="5">
        <f ca="1">VLOOKUP(K8,[3]enemies!$A:$X,24,FALSE)</f>
        <v>15</v>
      </c>
      <c r="Q8" s="6">
        <v>3</v>
      </c>
      <c r="R8" s="36">
        <v>28.8</v>
      </c>
      <c r="S8" s="36">
        <v>38.5</v>
      </c>
      <c r="T8" s="6">
        <v>0</v>
      </c>
      <c r="U8" s="5" t="e">
        <f ca="1">VLOOKUP($V8,OFFSET([5]enemy_skill_sets!$B$1,0,0,COUNTA([5]enemy_skill_sets!$B:$B),MATCH(L$1,[5]enemy_skill_sets!$1:$1,0)-MATCH($V$1,[5]enemy_skill_sets!$1:$1,0)+2),MATCH(L$1,[5]enemy_skill_sets!$1:$1,0)-MATCH($V$1,[5]enemy_skill_sets!$1:$1,0)+2,FALSE)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8" s="5">
        <f ca="1">VLOOKUP($K8,OFFSET([3]enemies!$A$1,0,0,COUNTA([3]enemies!$A:$A),MATCH(V$1,[3]enemies!$1:$1,0)-MATCH($K$1,[3]enemies!$1:$1,0)+1),MATCH(V$1,[3]enemies!$1:$1,0)-MATCH($K$1,[3]enemies!$1:$1,0)+1,FALSE)</f>
        <v>0</v>
      </c>
      <c r="W8" s="7">
        <v>0</v>
      </c>
      <c r="X8" s="7">
        <v>50</v>
      </c>
      <c r="Y8" s="7">
        <v>1</v>
      </c>
      <c r="Z8" s="20">
        <f ca="1">VLOOKUP($K8,OFFSET([3]enemies!$A$1,0,0,COUNTA([3]enemies!$A:$A),MATCH(Z$1,[3]enemies!$1:$1,0)-MATCH($K$1,[3]enemies!$1:$1,0)+1),MATCH(Z$1,[3]enemies!$1:$1,0)-MATCH($K$1,[3]enemies!$1:$1,0)+1,FALSE)</f>
        <v>2</v>
      </c>
      <c r="AA8" s="2">
        <f t="shared" ref="AA8:AA9" si="12">K8</f>
        <v>118</v>
      </c>
      <c r="AB8" s="5" t="str">
        <f ca="1">VLOOKUP(AA8,[3]enemies!$A:$B,2,FALSE)</f>
        <v>ゴールドチック</v>
      </c>
      <c r="AC8" s="5">
        <f ca="1">VLOOKUP(AA8,[3]enemies!$A:$E,3,FALSE)</f>
        <v>4</v>
      </c>
      <c r="AD8" s="5" t="str">
        <f>VLOOKUP(AA8,[4]characters!$A:$J,10,FALSE)</f>
        <v>Material</v>
      </c>
      <c r="AE8" s="8">
        <v>1</v>
      </c>
      <c r="AF8" s="28">
        <f t="shared" ref="AF8:AF9" ca="1" si="13">AC8</f>
        <v>4</v>
      </c>
      <c r="AG8" s="9">
        <v>100</v>
      </c>
      <c r="AH8" s="8">
        <v>0</v>
      </c>
      <c r="AI8" s="8">
        <v>0</v>
      </c>
      <c r="AJ8" s="8">
        <v>0</v>
      </c>
      <c r="AK8" s="8">
        <v>0</v>
      </c>
      <c r="AL8" s="8">
        <v>1</v>
      </c>
      <c r="AM8" s="45" t="s">
        <v>108</v>
      </c>
    </row>
    <row r="9" spans="1:39" ht="21" customHeight="1" x14ac:dyDescent="0.15">
      <c r="A9" s="17" t="str">
        <f t="shared" si="9"/>
        <v>11016_1-2/121&lt;lv32&gt;s3</v>
      </c>
      <c r="B9" s="8">
        <v>11016</v>
      </c>
      <c r="C9" s="26">
        <v>1</v>
      </c>
      <c r="D9" s="2" t="str">
        <f t="shared" si="10"/>
        <v>11016_1</v>
      </c>
      <c r="E9" s="5" t="str">
        <f ca="1">VLOOKUP($B9,OFFSET([2]quests!$A$1,0,0,COUNTA([2]quests!$A:$A),MATCH(E$1,[2]quests!$1:$1,0)-MATCH($B$1,[2]quests!$1:$1,0)+1),MATCH(E$1,[2]quests!$1:$1,0)-MATCH($B$1,[2]quests!$1:$1,0)+1,FALSE)</f>
        <v>【マルチ専用1/2】 ゴールドカジノ</v>
      </c>
      <c r="F9" s="5" t="str">
        <f ca="1">VLOOKUP($D9,OFFSET([2]stages!$A$1,0,0,COUNTA([2]stages!$A:$A),MATCH(F$1,[2]stages!$2:$2,0)-MATCH($D$1,[2]stages!$2:$2,0)+1),MATCH(F$1,[2]stages!$2:$2,0)-MATCH($D$1,[2]stages!$2:$2,0)+1,FALSE)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9" s="26">
        <v>2</v>
      </c>
      <c r="H9" s="16" t="str">
        <f t="shared" si="11"/>
        <v>11016_1-2</v>
      </c>
      <c r="I9" s="5">
        <f ca="1">VLOOKUP($H9,OFFSET(floors_week_q_1Mc!$A$1,0,0,COUNTA(floors_week_q_1Mc!$A:$A),MATCH(I$1,floors_week_q_1Mc!$1:$1,0)-MATCH($H$1,floors_week_q_1Mc!$1:$1,0)+1),MATCH(I$1,floors_week_q_1Mc!$1:$1,0)-MATCH($H$1,floors_week_q_1Mc!$1:$1,0)+1,FALSE)</f>
        <v>35</v>
      </c>
      <c r="J9" s="5">
        <f ca="1">VLOOKUP($H9,OFFSET(floors_week_q_1Mc!$A$1,0,0,COUNTA(floors_week_q_1Mc!$A:$A),MATCH(J$1,floors_week_q_1Mc!$1:$1,0)-MATCH($H$1,floors_week_q_1Mc!$1:$1,0)+1),MATCH(J$1,floors_week_q_1Mc!$1:$1,0)-MATCH($H$1,floors_week_q_1Mc!$1:$1,0)+1,FALSE)</f>
        <v>50</v>
      </c>
      <c r="K9" s="25">
        <v>121</v>
      </c>
      <c r="L9" s="20" t="str">
        <f ca="1">VLOOKUP(K9,[3]enemies!$A:$B,2,FALSE)</f>
        <v>攻めの果実</v>
      </c>
      <c r="M9" s="23" t="str">
        <f ca="1">VLOOKUP(K9,[3]enemies!$A:$D,4,FALSE)</f>
        <v>red</v>
      </c>
      <c r="N9" s="23" t="str">
        <f>VLOOKUP(K9,[4]characters!$A:$J,10,FALSE)</f>
        <v>Material</v>
      </c>
      <c r="O9" s="22" t="str">
        <f>VLOOKUP(K9,[4]characters!$A:$M,13,FALSE)</f>
        <v>unknown</v>
      </c>
      <c r="P9" s="5">
        <f ca="1">VLOOKUP(K9,[3]enemies!$A:$X,24,FALSE)</f>
        <v>20</v>
      </c>
      <c r="Q9" s="6">
        <v>32</v>
      </c>
      <c r="R9" s="36">
        <v>0.4</v>
      </c>
      <c r="S9" s="36">
        <v>1</v>
      </c>
      <c r="T9" s="6">
        <v>0</v>
      </c>
      <c r="U9" s="46"/>
      <c r="V9" s="33">
        <v>11006010</v>
      </c>
      <c r="W9" s="7">
        <v>0</v>
      </c>
      <c r="X9" s="7">
        <v>10</v>
      </c>
      <c r="Y9" s="7">
        <v>1</v>
      </c>
      <c r="Z9" s="34">
        <v>3</v>
      </c>
      <c r="AA9" s="2">
        <f t="shared" si="12"/>
        <v>121</v>
      </c>
      <c r="AB9" s="5" t="str">
        <f ca="1">VLOOKUP(AA9,[3]enemies!$A:$B,2,FALSE)</f>
        <v>攻めの果実</v>
      </c>
      <c r="AC9" s="5">
        <f ca="1">VLOOKUP(AA9,[3]enemies!$A:$E,3,FALSE)</f>
        <v>3</v>
      </c>
      <c r="AD9" s="5" t="str">
        <f>VLOOKUP(AA9,[4]characters!$A:$J,10,FALSE)</f>
        <v>Material</v>
      </c>
      <c r="AE9" s="8">
        <v>1</v>
      </c>
      <c r="AF9" s="28">
        <f t="shared" ca="1" si="13"/>
        <v>3</v>
      </c>
      <c r="AG9" s="9">
        <v>100</v>
      </c>
      <c r="AH9" s="8">
        <v>0</v>
      </c>
      <c r="AI9" s="8">
        <v>0</v>
      </c>
      <c r="AJ9" s="8">
        <v>0</v>
      </c>
      <c r="AK9" s="8">
        <v>0</v>
      </c>
      <c r="AL9" s="8">
        <v>1</v>
      </c>
      <c r="AM9" s="45" t="s">
        <v>108</v>
      </c>
    </row>
    <row r="10" spans="1:39" ht="21" customHeight="1" x14ac:dyDescent="0.15">
      <c r="A10" s="17" t="str">
        <f t="shared" ref="A10:A11" si="14">B10&amp;"_"&amp;C10&amp;"-"&amp;G10&amp;"/"&amp;K10&amp;"&lt;lv"&amp;Q10&amp;"&gt;s"&amp;Z10</f>
        <v>11016_1-2/122&lt;lv32&gt;s3</v>
      </c>
      <c r="B10" s="8">
        <v>11016</v>
      </c>
      <c r="C10" s="26">
        <v>1</v>
      </c>
      <c r="D10" s="2" t="str">
        <f t="shared" ref="D10:D11" si="15">B10&amp;"_"&amp;C10</f>
        <v>11016_1</v>
      </c>
      <c r="E10" s="5" t="str">
        <f ca="1">VLOOKUP($B10,OFFSET([2]quests!$A$1,0,0,COUNTA([2]quests!$A:$A),MATCH(E$1,[2]quests!$1:$1,0)-MATCH($B$1,[2]quests!$1:$1,0)+1),MATCH(E$1,[2]quests!$1:$1,0)-MATCH($B$1,[2]quests!$1:$1,0)+1,FALSE)</f>
        <v>【マルチ専用1/2】 ゴールドカジノ</v>
      </c>
      <c r="F10" s="5" t="str">
        <f ca="1">VLOOKUP($D10,OFFSET([2]stages!$A$1,0,0,COUNTA([2]stages!$A:$A),MATCH(F$1,[2]stages!$2:$2,0)-MATCH($D$1,[2]stages!$2:$2,0)+1),MATCH(F$1,[2]stages!$2:$2,0)-MATCH($D$1,[2]stages!$2:$2,0)+1,FALSE)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0" s="26">
        <v>2</v>
      </c>
      <c r="H10" s="16" t="str">
        <f t="shared" ref="H10:H11" si="16">B10&amp;"_"&amp;C10&amp;"-"&amp;G10</f>
        <v>11016_1-2</v>
      </c>
      <c r="I10" s="5">
        <f ca="1">VLOOKUP($H10,OFFSET(floors_week_q_1Mc!$A$1,0,0,COUNTA(floors_week_q_1Mc!$A:$A),MATCH(I$1,floors_week_q_1Mc!$1:$1,0)-MATCH($H$1,floors_week_q_1Mc!$1:$1,0)+1),MATCH(I$1,floors_week_q_1Mc!$1:$1,0)-MATCH($H$1,floors_week_q_1Mc!$1:$1,0)+1,FALSE)</f>
        <v>35</v>
      </c>
      <c r="J10" s="5">
        <f ca="1">VLOOKUP($H10,OFFSET(floors_week_q_1Mc!$A$1,0,0,COUNTA(floors_week_q_1Mc!$A:$A),MATCH(J$1,floors_week_q_1Mc!$1:$1,0)-MATCH($H$1,floors_week_q_1Mc!$1:$1,0)+1),MATCH(J$1,floors_week_q_1Mc!$1:$1,0)-MATCH($H$1,floors_week_q_1Mc!$1:$1,0)+1,FALSE)</f>
        <v>50</v>
      </c>
      <c r="K10" s="25">
        <v>122</v>
      </c>
      <c r="L10" s="20" t="str">
        <f ca="1">VLOOKUP(K10,[3]enemies!$A:$B,2,FALSE)</f>
        <v>生命の果実</v>
      </c>
      <c r="M10" s="23" t="str">
        <f ca="1">VLOOKUP(K10,[3]enemies!$A:$D,4,FALSE)</f>
        <v>green</v>
      </c>
      <c r="N10" s="23" t="str">
        <f>VLOOKUP(K10,[4]characters!$A:$J,10,FALSE)</f>
        <v>Material</v>
      </c>
      <c r="O10" s="22" t="str">
        <f>VLOOKUP(K10,[4]characters!$A:$M,13,FALSE)</f>
        <v>unknown</v>
      </c>
      <c r="P10" s="5">
        <f ca="1">VLOOKUP(K10,[3]enemies!$A:$X,24,FALSE)</f>
        <v>20</v>
      </c>
      <c r="Q10" s="6">
        <v>32</v>
      </c>
      <c r="R10" s="36">
        <v>0.4</v>
      </c>
      <c r="S10" s="36">
        <v>1</v>
      </c>
      <c r="T10" s="6">
        <v>0</v>
      </c>
      <c r="U10" s="46"/>
      <c r="V10" s="33">
        <v>11006020</v>
      </c>
      <c r="W10" s="7">
        <v>0</v>
      </c>
      <c r="X10" s="7">
        <v>20</v>
      </c>
      <c r="Y10" s="7">
        <v>1</v>
      </c>
      <c r="Z10" s="34">
        <v>3</v>
      </c>
      <c r="AA10" s="2">
        <f t="shared" ref="AA10:AA11" si="17">K10</f>
        <v>122</v>
      </c>
      <c r="AB10" s="5" t="str">
        <f ca="1">VLOOKUP(AA10,[3]enemies!$A:$B,2,FALSE)</f>
        <v>生命の果実</v>
      </c>
      <c r="AC10" s="5">
        <f ca="1">VLOOKUP(AA10,[3]enemies!$A:$E,3,FALSE)</f>
        <v>3</v>
      </c>
      <c r="AD10" s="5" t="str">
        <f>VLOOKUP(AA10,[4]characters!$A:$J,10,FALSE)</f>
        <v>Material</v>
      </c>
      <c r="AE10" s="8">
        <v>1</v>
      </c>
      <c r="AF10" s="28">
        <f t="shared" ref="AF10:AF11" ca="1" si="18">AC10</f>
        <v>3</v>
      </c>
      <c r="AG10" s="9">
        <v>100</v>
      </c>
      <c r="AH10" s="8">
        <v>0</v>
      </c>
      <c r="AI10" s="8">
        <v>0</v>
      </c>
      <c r="AJ10" s="8">
        <v>0</v>
      </c>
      <c r="AK10" s="8">
        <v>0</v>
      </c>
      <c r="AL10" s="8">
        <v>1</v>
      </c>
      <c r="AM10" s="45" t="s">
        <v>108</v>
      </c>
    </row>
    <row r="11" spans="1:39" ht="21" customHeight="1" x14ac:dyDescent="0.15">
      <c r="A11" s="17" t="str">
        <f t="shared" si="14"/>
        <v>11016_1-2/123&lt;lv32&gt;s3</v>
      </c>
      <c r="B11" s="8">
        <v>11016</v>
      </c>
      <c r="C11" s="26">
        <v>1</v>
      </c>
      <c r="D11" s="2" t="str">
        <f t="shared" si="15"/>
        <v>11016_1</v>
      </c>
      <c r="E11" s="5" t="str">
        <f ca="1">VLOOKUP($B11,OFFSET([2]quests!$A$1,0,0,COUNTA([2]quests!$A:$A),MATCH(E$1,[2]quests!$1:$1,0)-MATCH($B$1,[2]quests!$1:$1,0)+1),MATCH(E$1,[2]quests!$1:$1,0)-MATCH($B$1,[2]quests!$1:$1,0)+1,FALSE)</f>
        <v>【マルチ専用1/2】 ゴールドカジノ</v>
      </c>
      <c r="F11" s="5" t="str">
        <f ca="1">VLOOKUP($D11,OFFSET([2]stages!$A$1,0,0,COUNTA([2]stages!$A:$A),MATCH(F$1,[2]stages!$2:$2,0)-MATCH($D$1,[2]stages!$2:$2,0)+1),MATCH(F$1,[2]stages!$2:$2,0)-MATCH($D$1,[2]stages!$2:$2,0)+1,FALSE)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1" s="26">
        <v>2</v>
      </c>
      <c r="H11" s="16" t="str">
        <f t="shared" si="16"/>
        <v>11016_1-2</v>
      </c>
      <c r="I11" s="5">
        <f ca="1">VLOOKUP($H11,OFFSET(floors_week_q_1Mc!$A$1,0,0,COUNTA(floors_week_q_1Mc!$A:$A),MATCH(I$1,floors_week_q_1Mc!$1:$1,0)-MATCH($H$1,floors_week_q_1Mc!$1:$1,0)+1),MATCH(I$1,floors_week_q_1Mc!$1:$1,0)-MATCH($H$1,floors_week_q_1Mc!$1:$1,0)+1,FALSE)</f>
        <v>35</v>
      </c>
      <c r="J11" s="5">
        <f ca="1">VLOOKUP($H11,OFFSET(floors_week_q_1Mc!$A$1,0,0,COUNTA(floors_week_q_1Mc!$A:$A),MATCH(J$1,floors_week_q_1Mc!$1:$1,0)-MATCH($H$1,floors_week_q_1Mc!$1:$1,0)+1),MATCH(J$1,floors_week_q_1Mc!$1:$1,0)-MATCH($H$1,floors_week_q_1Mc!$1:$1,0)+1,FALSE)</f>
        <v>50</v>
      </c>
      <c r="K11" s="25">
        <v>123</v>
      </c>
      <c r="L11" s="20" t="str">
        <f ca="1">VLOOKUP(K11,[3]enemies!$A:$B,2,FALSE)</f>
        <v>癒しの果実</v>
      </c>
      <c r="M11" s="23" t="str">
        <f ca="1">VLOOKUP(K11,[3]enemies!$A:$D,4,FALSE)</f>
        <v>blue</v>
      </c>
      <c r="N11" s="23" t="str">
        <f>VLOOKUP(K11,[4]characters!$A:$J,10,FALSE)</f>
        <v>Material</v>
      </c>
      <c r="O11" s="22" t="str">
        <f>VLOOKUP(K11,[4]characters!$A:$M,13,FALSE)</f>
        <v>unknown</v>
      </c>
      <c r="P11" s="5">
        <f ca="1">VLOOKUP(K11,[3]enemies!$A:$X,24,FALSE)</f>
        <v>20</v>
      </c>
      <c r="Q11" s="6">
        <v>32</v>
      </c>
      <c r="R11" s="36">
        <v>0.4</v>
      </c>
      <c r="S11" s="36">
        <v>1</v>
      </c>
      <c r="T11" s="6">
        <v>0</v>
      </c>
      <c r="U11" s="46"/>
      <c r="V11" s="33">
        <v>11006030</v>
      </c>
      <c r="W11" s="7">
        <v>0</v>
      </c>
      <c r="X11" s="7">
        <v>20</v>
      </c>
      <c r="Y11" s="7">
        <v>1</v>
      </c>
      <c r="Z11" s="34">
        <v>3</v>
      </c>
      <c r="AA11" s="2">
        <f t="shared" si="17"/>
        <v>123</v>
      </c>
      <c r="AB11" s="5" t="str">
        <f ca="1">VLOOKUP(AA11,[3]enemies!$A:$B,2,FALSE)</f>
        <v>癒しの果実</v>
      </c>
      <c r="AC11" s="5">
        <f ca="1">VLOOKUP(AA11,[3]enemies!$A:$E,3,FALSE)</f>
        <v>3</v>
      </c>
      <c r="AD11" s="5" t="str">
        <f>VLOOKUP(AA11,[4]characters!$A:$J,10,FALSE)</f>
        <v>Material</v>
      </c>
      <c r="AE11" s="8">
        <v>1</v>
      </c>
      <c r="AF11" s="28">
        <f t="shared" ca="1" si="18"/>
        <v>3</v>
      </c>
      <c r="AG11" s="9">
        <v>100</v>
      </c>
      <c r="AH11" s="8">
        <v>0</v>
      </c>
      <c r="AI11" s="8">
        <v>0</v>
      </c>
      <c r="AJ11" s="8">
        <v>0</v>
      </c>
      <c r="AK11" s="8">
        <v>0</v>
      </c>
      <c r="AL11" s="8">
        <v>1</v>
      </c>
      <c r="AM11" s="45" t="s">
        <v>108</v>
      </c>
    </row>
    <row r="12" spans="1:39" ht="21" customHeight="1" x14ac:dyDescent="0.15">
      <c r="A12" s="17" t="str">
        <f t="shared" ca="1" si="0"/>
        <v>11016_1-2/118&lt;lv1&gt;s2</v>
      </c>
      <c r="B12" s="8">
        <v>11016</v>
      </c>
      <c r="C12" s="26">
        <v>1</v>
      </c>
      <c r="D12" s="2" t="str">
        <f t="shared" si="1"/>
        <v>11016_1</v>
      </c>
      <c r="E12" s="5" t="str">
        <f ca="1">VLOOKUP($B12,OFFSET([2]quests!$A$1,0,0,COUNTA([2]quests!$A:$A),MATCH(E$1,[2]quests!$1:$1,0)-MATCH($B$1,[2]quests!$1:$1,0)+1),MATCH(E$1,[2]quests!$1:$1,0)-MATCH($B$1,[2]quests!$1:$1,0)+1,FALSE)</f>
        <v>【マルチ専用1/2】 ゴールドカジノ</v>
      </c>
      <c r="F12" s="5" t="str">
        <f ca="1">VLOOKUP($D12,OFFSET([2]stages!$A$1,0,0,COUNTA([2]stages!$A:$A),MATCH(F$1,[2]stages!$2:$2,0)-MATCH($D$1,[2]stages!$2:$2,0)+1),MATCH(F$1,[2]stages!$2:$2,0)-MATCH($D$1,[2]stages!$2:$2,0)+1,FALSE)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2" s="26">
        <v>2</v>
      </c>
      <c r="H12" s="16" t="str">
        <f t="shared" si="2"/>
        <v>11016_1-2</v>
      </c>
      <c r="I12" s="5">
        <f ca="1">VLOOKUP($H12,OFFSET(floors_week_q_1Mc!$A$1,0,0,COUNTA(floors_week_q_1Mc!$A:$A),MATCH(I$1,floors_week_q_1Mc!$1:$1,0)-MATCH($H$1,floors_week_q_1Mc!$1:$1,0)+1),MATCH(I$1,floors_week_q_1Mc!$1:$1,0)-MATCH($H$1,floors_week_q_1Mc!$1:$1,0)+1,FALSE)</f>
        <v>35</v>
      </c>
      <c r="J12" s="5">
        <f ca="1">VLOOKUP($H12,OFFSET(floors_week_q_1Mc!$A$1,0,0,COUNTA(floors_week_q_1Mc!$A:$A),MATCH(J$1,floors_week_q_1Mc!$1:$1,0)-MATCH($H$1,floors_week_q_1Mc!$1:$1,0)+1),MATCH(J$1,floors_week_q_1Mc!$1:$1,0)-MATCH($H$1,floors_week_q_1Mc!$1:$1,0)+1,FALSE)</f>
        <v>50</v>
      </c>
      <c r="K12" s="25">
        <v>118</v>
      </c>
      <c r="L12" s="20" t="str">
        <f ca="1">VLOOKUP(K12,[3]enemies!$A:$B,2,FALSE)</f>
        <v>ゴールドチック</v>
      </c>
      <c r="M12" s="23" t="str">
        <f ca="1">VLOOKUP(K12,[3]enemies!$A:$D,4,FALSE)</f>
        <v>yellow</v>
      </c>
      <c r="N12" s="23" t="str">
        <f>VLOOKUP(K12,[4]characters!$A:$J,10,FALSE)</f>
        <v>Material</v>
      </c>
      <c r="O12" s="22" t="str">
        <f>VLOOKUP(K12,[4]characters!$A:$M,13,FALSE)</f>
        <v>unknown</v>
      </c>
      <c r="P12" s="5">
        <f ca="1">VLOOKUP(K12,[3]enemies!$A:$X,24,FALSE)</f>
        <v>15</v>
      </c>
      <c r="Q12" s="6">
        <v>1</v>
      </c>
      <c r="R12" s="36">
        <v>28.8</v>
      </c>
      <c r="S12" s="36">
        <v>38.5</v>
      </c>
      <c r="T12" s="6">
        <v>0</v>
      </c>
      <c r="U12" s="5" t="e">
        <f ca="1">VLOOKUP($V12,OFFSET([5]enemy_skill_sets!$B$1,0,0,COUNTA([5]enemy_skill_sets!$B:$B),MATCH(L$1,[5]enemy_skill_sets!$1:$1,0)-MATCH($V$1,[5]enemy_skill_sets!$1:$1,0)+2),MATCH(L$1,[5]enemy_skill_sets!$1:$1,0)-MATCH($V$1,[5]enemy_skill_sets!$1:$1,0)+2,FALSE)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2" s="5">
        <f ca="1">VLOOKUP($K12,OFFSET([3]enemies!$A$1,0,0,COUNTA([3]enemies!$A:$A),MATCH(V$1,[3]enemies!$1:$1,0)-MATCH($K$1,[3]enemies!$1:$1,0)+1),MATCH(V$1,[3]enemies!$1:$1,0)-MATCH($K$1,[3]enemies!$1:$1,0)+1,FALSE)</f>
        <v>0</v>
      </c>
      <c r="W12" s="7">
        <v>1</v>
      </c>
      <c r="X12" s="7">
        <v>0</v>
      </c>
      <c r="Y12" s="7">
        <v>2</v>
      </c>
      <c r="Z12" s="20">
        <f ca="1">VLOOKUP($K12,OFFSET([3]enemies!$A$1,0,0,COUNTA([3]enemies!$A:$A),MATCH(Z$1,[3]enemies!$1:$1,0)-MATCH($K$1,[3]enemies!$1:$1,0)+1),MATCH(Z$1,[3]enemies!$1:$1,0)-MATCH($K$1,[3]enemies!$1:$1,0)+1,FALSE)</f>
        <v>2</v>
      </c>
      <c r="AA12" s="2">
        <f t="shared" si="3"/>
        <v>118</v>
      </c>
      <c r="AB12" s="5" t="str">
        <f ca="1">VLOOKUP(AA12,[3]enemies!$A:$B,2,FALSE)</f>
        <v>ゴールドチック</v>
      </c>
      <c r="AC12" s="5">
        <f ca="1">VLOOKUP(AA12,[3]enemies!$A:$E,3,FALSE)</f>
        <v>4</v>
      </c>
      <c r="AD12" s="5" t="str">
        <f>VLOOKUP(AA12,[4]characters!$A:$J,10,FALSE)</f>
        <v>Material</v>
      </c>
      <c r="AE12" s="8">
        <v>1</v>
      </c>
      <c r="AF12" s="28">
        <f t="shared" ca="1" si="4"/>
        <v>4</v>
      </c>
      <c r="AG12" s="9">
        <v>100</v>
      </c>
      <c r="AH12" s="8">
        <v>0</v>
      </c>
      <c r="AI12" s="8">
        <v>0</v>
      </c>
      <c r="AJ12" s="8">
        <v>0</v>
      </c>
      <c r="AK12" s="8">
        <v>0</v>
      </c>
      <c r="AL12" s="8">
        <v>1</v>
      </c>
      <c r="AM12" s="45" t="s">
        <v>108</v>
      </c>
    </row>
    <row r="13" spans="1:39" ht="21" customHeight="1" x14ac:dyDescent="0.15">
      <c r="A13" s="17" t="str">
        <f t="shared" ref="A13" ca="1" si="19">B13&amp;"_"&amp;C13&amp;"-"&amp;G13&amp;"/"&amp;K13&amp;"&lt;lv"&amp;Q13&amp;"&gt;s"&amp;Z13</f>
        <v>11016_1-2/118&lt;lv2&gt;s2</v>
      </c>
      <c r="B13" s="8">
        <v>11016</v>
      </c>
      <c r="C13" s="26">
        <v>1</v>
      </c>
      <c r="D13" s="2" t="str">
        <f t="shared" ref="D13" si="20">B13&amp;"_"&amp;C13</f>
        <v>11016_1</v>
      </c>
      <c r="E13" s="5" t="str">
        <f ca="1">VLOOKUP($B13,OFFSET([2]quests!$A$1,0,0,COUNTA([2]quests!$A:$A),MATCH(E$1,[2]quests!$1:$1,0)-MATCH($B$1,[2]quests!$1:$1,0)+1),MATCH(E$1,[2]quests!$1:$1,0)-MATCH($B$1,[2]quests!$1:$1,0)+1,FALSE)</f>
        <v>【マルチ専用1/2】 ゴールドカジノ</v>
      </c>
      <c r="F13" s="5" t="str">
        <f ca="1">VLOOKUP($D13,OFFSET([2]stages!$A$1,0,0,COUNTA([2]stages!$A:$A),MATCH(F$1,[2]stages!$2:$2,0)-MATCH($D$1,[2]stages!$2:$2,0)+1),MATCH(F$1,[2]stages!$2:$2,0)-MATCH($D$1,[2]stages!$2:$2,0)+1,FALSE)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3" s="26">
        <v>2</v>
      </c>
      <c r="H13" s="16" t="str">
        <f t="shared" ref="H13" si="21">B13&amp;"_"&amp;C13&amp;"-"&amp;G13</f>
        <v>11016_1-2</v>
      </c>
      <c r="I13" s="5">
        <f ca="1">VLOOKUP($H13,OFFSET(floors_week_q_1Mc!$A$1,0,0,COUNTA(floors_week_q_1Mc!$A:$A),MATCH(I$1,floors_week_q_1Mc!$1:$1,0)-MATCH($H$1,floors_week_q_1Mc!$1:$1,0)+1),MATCH(I$1,floors_week_q_1Mc!$1:$1,0)-MATCH($H$1,floors_week_q_1Mc!$1:$1,0)+1,FALSE)</f>
        <v>35</v>
      </c>
      <c r="J13" s="5">
        <f ca="1">VLOOKUP($H13,OFFSET(floors_week_q_1Mc!$A$1,0,0,COUNTA(floors_week_q_1Mc!$A:$A),MATCH(J$1,floors_week_q_1Mc!$1:$1,0)-MATCH($H$1,floors_week_q_1Mc!$1:$1,0)+1),MATCH(J$1,floors_week_q_1Mc!$1:$1,0)-MATCH($H$1,floors_week_q_1Mc!$1:$1,0)+1,FALSE)</f>
        <v>50</v>
      </c>
      <c r="K13" s="25">
        <v>118</v>
      </c>
      <c r="L13" s="20" t="str">
        <f ca="1">VLOOKUP(K13,[3]enemies!$A:$B,2,FALSE)</f>
        <v>ゴールドチック</v>
      </c>
      <c r="M13" s="23" t="str">
        <f ca="1">VLOOKUP(K13,[3]enemies!$A:$D,4,FALSE)</f>
        <v>yellow</v>
      </c>
      <c r="N13" s="23" t="str">
        <f>VLOOKUP(K13,[4]characters!$A:$J,10,FALSE)</f>
        <v>Material</v>
      </c>
      <c r="O13" s="22" t="str">
        <f>VLOOKUP(K13,[4]characters!$A:$M,13,FALSE)</f>
        <v>unknown</v>
      </c>
      <c r="P13" s="5">
        <f ca="1">VLOOKUP(K13,[3]enemies!$A:$X,24,FALSE)</f>
        <v>15</v>
      </c>
      <c r="Q13" s="6">
        <v>2</v>
      </c>
      <c r="R13" s="36">
        <v>28.8</v>
      </c>
      <c r="S13" s="36">
        <v>38.5</v>
      </c>
      <c r="T13" s="6">
        <v>0</v>
      </c>
      <c r="U13" s="5" t="e">
        <f ca="1">VLOOKUP($V13,OFFSET([5]enemy_skill_sets!$B$1,0,0,COUNTA([5]enemy_skill_sets!$B:$B),MATCH(L$1,[5]enemy_skill_sets!$1:$1,0)-MATCH($V$1,[5]enemy_skill_sets!$1:$1,0)+2),MATCH(L$1,[5]enemy_skill_sets!$1:$1,0)-MATCH($V$1,[5]enemy_skill_sets!$1:$1,0)+2,FALSE)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3" s="5">
        <f ca="1">VLOOKUP($K13,OFFSET([3]enemies!$A$1,0,0,COUNTA([3]enemies!$A:$A),MATCH(V$1,[3]enemies!$1:$1,0)-MATCH($K$1,[3]enemies!$1:$1,0)+1),MATCH(V$1,[3]enemies!$1:$1,0)-MATCH($K$1,[3]enemies!$1:$1,0)+1,FALSE)</f>
        <v>0</v>
      </c>
      <c r="W13" s="7">
        <v>0</v>
      </c>
      <c r="X13" s="7">
        <v>10</v>
      </c>
      <c r="Y13" s="7">
        <v>0</v>
      </c>
      <c r="Z13" s="20">
        <f ca="1">VLOOKUP($K13,OFFSET([3]enemies!$A$1,0,0,COUNTA([3]enemies!$A:$A),MATCH(Z$1,[3]enemies!$1:$1,0)-MATCH($K$1,[3]enemies!$1:$1,0)+1),MATCH(Z$1,[3]enemies!$1:$1,0)-MATCH($K$1,[3]enemies!$1:$1,0)+1,FALSE)</f>
        <v>2</v>
      </c>
      <c r="AA13" s="2">
        <f t="shared" ref="AA13" si="22">K13</f>
        <v>118</v>
      </c>
      <c r="AB13" s="5" t="str">
        <f ca="1">VLOOKUP(AA13,[3]enemies!$A:$B,2,FALSE)</f>
        <v>ゴールドチック</v>
      </c>
      <c r="AC13" s="5">
        <f ca="1">VLOOKUP(AA13,[3]enemies!$A:$E,3,FALSE)</f>
        <v>4</v>
      </c>
      <c r="AD13" s="5" t="str">
        <f>VLOOKUP(AA13,[4]characters!$A:$J,10,FALSE)</f>
        <v>Material</v>
      </c>
      <c r="AE13" s="8">
        <v>1</v>
      </c>
      <c r="AF13" s="28">
        <f t="shared" ref="AF13" ca="1" si="23">AC13</f>
        <v>4</v>
      </c>
      <c r="AG13" s="9">
        <v>0</v>
      </c>
      <c r="AH13" s="8">
        <v>0</v>
      </c>
      <c r="AI13" s="8">
        <v>0</v>
      </c>
      <c r="AJ13" s="8">
        <v>0</v>
      </c>
      <c r="AK13" s="8">
        <v>0</v>
      </c>
      <c r="AL13" s="8">
        <v>1</v>
      </c>
      <c r="AM13" s="45" t="s">
        <v>108</v>
      </c>
    </row>
    <row r="14" spans="1:39" ht="21" customHeight="1" x14ac:dyDescent="0.15">
      <c r="A14" s="17" t="str">
        <f t="shared" ref="A14:A17" ca="1" si="24">B14&amp;"_"&amp;C14&amp;"-"&amp;G14&amp;"/"&amp;K14&amp;"&lt;lv"&amp;Q14&amp;"&gt;s"&amp;Z14</f>
        <v>11016_1-2/63&lt;lv32&gt;s2</v>
      </c>
      <c r="B14" s="8">
        <v>11016</v>
      </c>
      <c r="C14" s="26">
        <v>1</v>
      </c>
      <c r="D14" s="16" t="str">
        <f t="shared" ref="D14:D17" si="25">B14&amp;"_"&amp;C14</f>
        <v>11016_1</v>
      </c>
      <c r="E14" s="5" t="str">
        <f ca="1">VLOOKUP($B14,OFFSET([2]quests!$A$1,0,0,COUNTA([2]quests!$A:$A),MATCH(E$1,[2]quests!$1:$1,0)-MATCH($B$1,[2]quests!$1:$1,0)+1),MATCH(E$1,[2]quests!$1:$1,0)-MATCH($B$1,[2]quests!$1:$1,0)+1,FALSE)</f>
        <v>【マルチ専用1/2】 ゴールドカジノ</v>
      </c>
      <c r="F14" s="5" t="str">
        <f ca="1">VLOOKUP($D14,OFFSET([2]stages!$A$1,0,0,COUNTA([2]stages!$A:$A),MATCH(F$1,[2]stages!$2:$2,0)-MATCH($D$1,[2]stages!$2:$2,0)+1),MATCH(F$1,[2]stages!$2:$2,0)-MATCH($D$1,[2]stages!$2:$2,0)+1,FALSE)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4" s="26">
        <v>2</v>
      </c>
      <c r="H14" s="16" t="str">
        <f t="shared" si="2"/>
        <v>11016_1-2</v>
      </c>
      <c r="I14" s="5">
        <f ca="1">VLOOKUP($H14,OFFSET(floors_week_q_1Mc!$A$1,0,0,COUNTA(floors_week_q_1Mc!$A:$A),MATCH(I$1,floors_week_q_1Mc!$1:$1,0)-MATCH($H$1,floors_week_q_1Mc!$1:$1,0)+1),MATCH(I$1,floors_week_q_1Mc!$1:$1,0)-MATCH($H$1,floors_week_q_1Mc!$1:$1,0)+1,FALSE)</f>
        <v>35</v>
      </c>
      <c r="J14" s="5">
        <f ca="1">VLOOKUP($H14,OFFSET(floors_week_q_1Mc!$A$1,0,0,COUNTA(floors_week_q_1Mc!$A:$A),MATCH(J$1,floors_week_q_1Mc!$1:$1,0)-MATCH($H$1,floors_week_q_1Mc!$1:$1,0)+1),MATCH(J$1,floors_week_q_1Mc!$1:$1,0)-MATCH($H$1,floors_week_q_1Mc!$1:$1,0)+1,FALSE)</f>
        <v>50</v>
      </c>
      <c r="K14" s="32">
        <v>63</v>
      </c>
      <c r="L14" s="20" t="str">
        <f ca="1">VLOOKUP(K14,[3]enemies!$A:$B,2,FALSE)</f>
        <v>トニー</v>
      </c>
      <c r="M14" s="23" t="str">
        <f ca="1">VLOOKUP(K14,[3]enemies!$A:$D,4,FALSE)</f>
        <v>yellow</v>
      </c>
      <c r="N14" s="23" t="str">
        <f>VLOOKUP(K14,[4]characters!$A:$J,10,FALSE)</f>
        <v>Drop1N</v>
      </c>
      <c r="O14" s="22" t="str">
        <f>VLOOKUP(K14,[4]characters!$A:$M,13,FALSE)</f>
        <v>animal</v>
      </c>
      <c r="P14" s="5">
        <f ca="1">VLOOKUP(K14,[3]enemies!$A:$X,24,FALSE)</f>
        <v>15</v>
      </c>
      <c r="Q14" s="6">
        <v>32</v>
      </c>
      <c r="R14" s="36">
        <v>1</v>
      </c>
      <c r="S14" s="36">
        <v>1</v>
      </c>
      <c r="T14" s="6">
        <v>0</v>
      </c>
      <c r="U14" s="5" t="e">
        <f ca="1">VLOOKUP($V14,OFFSET([5]enemy_skill_sets!$B$1,0,0,COUNTA([5]enemy_skill_sets!$B:$B),MATCH(L$1,[5]enemy_skill_sets!$1:$1,0)-MATCH($V$1,[5]enemy_skill_sets!$1:$1,0)+2),MATCH(L$1,[5]enemy_skill_sets!$1:$1,0)-MATCH($V$1,[5]enemy_skill_sets!$1:$1,0)+2,FALSE)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4" s="5">
        <f ca="1">VLOOKUP($K14,OFFSET([3]enemies!$A$1,0,0,COUNTA([3]enemies!$A:$A),MATCH(V$1,[3]enemies!$1:$1,0)-MATCH($K$1,[3]enemies!$1:$1,0)+1),MATCH(V$1,[3]enemies!$1:$1,0)-MATCH($K$1,[3]enemies!$1:$1,0)+1,FALSE)</f>
        <v>63</v>
      </c>
      <c r="W14" s="31">
        <v>0</v>
      </c>
      <c r="X14" s="7">
        <v>10</v>
      </c>
      <c r="Y14" s="31">
        <v>0</v>
      </c>
      <c r="Z14" s="20">
        <f ca="1">VLOOKUP($K14,OFFSET([3]enemies!$A$1,0,0,COUNTA([3]enemies!$A:$A),MATCH(Z$1,[3]enemies!$1:$1,0)-MATCH($K$1,[3]enemies!$1:$1,0)+1),MATCH(Z$1,[3]enemies!$1:$1,0)-MATCH($K$1,[3]enemies!$1:$1,0)+1,FALSE)</f>
        <v>2</v>
      </c>
      <c r="AA14" s="2">
        <f t="shared" si="3"/>
        <v>63</v>
      </c>
      <c r="AB14" s="5" t="str">
        <f ca="1">VLOOKUP(AA14,[3]enemies!$A:$B,2,FALSE)</f>
        <v>トニー</v>
      </c>
      <c r="AC14" s="5">
        <f ca="1">VLOOKUP(AA14,[3]enemies!$A:$E,3,FALSE)</f>
        <v>2</v>
      </c>
      <c r="AD14" s="5" t="str">
        <f>VLOOKUP(AA14,[4]characters!$A:$J,10,FALSE)</f>
        <v>Drop1N</v>
      </c>
      <c r="AE14" s="29">
        <v>1</v>
      </c>
      <c r="AF14" s="28">
        <f t="shared" ca="1" si="4"/>
        <v>2</v>
      </c>
      <c r="AG14" s="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1</v>
      </c>
      <c r="AM14" s="45" t="s">
        <v>108</v>
      </c>
    </row>
    <row r="15" spans="1:39" ht="21" customHeight="1" x14ac:dyDescent="0.15">
      <c r="A15" s="17" t="str">
        <f t="shared" ca="1" si="24"/>
        <v>11016_1-2/61&lt;lv32&gt;s2</v>
      </c>
      <c r="B15" s="8">
        <v>11016</v>
      </c>
      <c r="C15" s="26">
        <v>1</v>
      </c>
      <c r="D15" s="16" t="str">
        <f t="shared" si="25"/>
        <v>11016_1</v>
      </c>
      <c r="E15" s="5" t="str">
        <f ca="1">VLOOKUP($B15,OFFSET([2]quests!$A$1,0,0,COUNTA([2]quests!$A:$A),MATCH(E$1,[2]quests!$1:$1,0)-MATCH($B$1,[2]quests!$1:$1,0)+1),MATCH(E$1,[2]quests!$1:$1,0)-MATCH($B$1,[2]quests!$1:$1,0)+1,FALSE)</f>
        <v>【マルチ専用1/2】 ゴールドカジノ</v>
      </c>
      <c r="F15" s="5" t="str">
        <f ca="1">VLOOKUP($D15,OFFSET([2]stages!$A$1,0,0,COUNTA([2]stages!$A:$A),MATCH(F$1,[2]stages!$2:$2,0)-MATCH($D$1,[2]stages!$2:$2,0)+1),MATCH(F$1,[2]stages!$2:$2,0)-MATCH($D$1,[2]stages!$2:$2,0)+1,FALSE)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5" s="26">
        <v>2</v>
      </c>
      <c r="H15" s="16" t="str">
        <f t="shared" si="2"/>
        <v>11016_1-2</v>
      </c>
      <c r="I15" s="5">
        <f ca="1">VLOOKUP($H15,OFFSET(floors_week_q_1Mc!$A$1,0,0,COUNTA(floors_week_q_1Mc!$A:$A),MATCH(I$1,floors_week_q_1Mc!$1:$1,0)-MATCH($H$1,floors_week_q_1Mc!$1:$1,0)+1),MATCH(I$1,floors_week_q_1Mc!$1:$1,0)-MATCH($H$1,floors_week_q_1Mc!$1:$1,0)+1,FALSE)</f>
        <v>35</v>
      </c>
      <c r="J15" s="5">
        <f ca="1">VLOOKUP($H15,OFFSET(floors_week_q_1Mc!$A$1,0,0,COUNTA(floors_week_q_1Mc!$A:$A),MATCH(J$1,floors_week_q_1Mc!$1:$1,0)-MATCH($H$1,floors_week_q_1Mc!$1:$1,0)+1),MATCH(J$1,floors_week_q_1Mc!$1:$1,0)-MATCH($H$1,floors_week_q_1Mc!$1:$1,0)+1,FALSE)</f>
        <v>50</v>
      </c>
      <c r="K15" s="32">
        <v>61</v>
      </c>
      <c r="L15" s="20" t="str">
        <f ca="1">VLOOKUP(K15,[3]enemies!$A:$B,2,FALSE)</f>
        <v>クロウ</v>
      </c>
      <c r="M15" s="23" t="str">
        <f ca="1">VLOOKUP(K15,[3]enemies!$A:$D,4,FALSE)</f>
        <v>blue</v>
      </c>
      <c r="N15" s="23" t="str">
        <f>VLOOKUP(K15,[4]characters!$A:$J,10,FALSE)</f>
        <v>Drop1N</v>
      </c>
      <c r="O15" s="22" t="str">
        <f>VLOOKUP(K15,[4]characters!$A:$M,13,FALSE)</f>
        <v>animal</v>
      </c>
      <c r="P15" s="5">
        <f ca="1">VLOOKUP(K15,[3]enemies!$A:$X,24,FALSE)</f>
        <v>15</v>
      </c>
      <c r="Q15" s="6">
        <v>32</v>
      </c>
      <c r="R15" s="36">
        <v>1</v>
      </c>
      <c r="S15" s="36">
        <v>1</v>
      </c>
      <c r="T15" s="6">
        <v>0</v>
      </c>
      <c r="U15" s="5" t="e">
        <f ca="1">VLOOKUP($V15,OFFSET([5]enemy_skill_sets!$B$1,0,0,COUNTA([5]enemy_skill_sets!$B:$B),MATCH(L$1,[5]enemy_skill_sets!$1:$1,0)-MATCH($V$1,[5]enemy_skill_sets!$1:$1,0)+2),MATCH(L$1,[5]enemy_skill_sets!$1:$1,0)-MATCH($V$1,[5]enemy_skill_sets!$1:$1,0)+2,FALSE)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5" s="5">
        <f ca="1">VLOOKUP($K15,OFFSET([3]enemies!$A$1,0,0,COUNTA([3]enemies!$A:$A),MATCH(V$1,[3]enemies!$1:$1,0)-MATCH($K$1,[3]enemies!$1:$1,0)+1),MATCH(V$1,[3]enemies!$1:$1,0)-MATCH($K$1,[3]enemies!$1:$1,0)+1,FALSE)</f>
        <v>61</v>
      </c>
      <c r="W15" s="31">
        <v>0</v>
      </c>
      <c r="X15" s="7">
        <v>10</v>
      </c>
      <c r="Y15" s="31">
        <v>0</v>
      </c>
      <c r="Z15" s="20">
        <f ca="1">VLOOKUP($K15,OFFSET([3]enemies!$A$1,0,0,COUNTA([3]enemies!$A:$A),MATCH(Z$1,[3]enemies!$1:$1,0)-MATCH($K$1,[3]enemies!$1:$1,0)+1),MATCH(Z$1,[3]enemies!$1:$1,0)-MATCH($K$1,[3]enemies!$1:$1,0)+1,FALSE)</f>
        <v>2</v>
      </c>
      <c r="AA15" s="2">
        <f t="shared" si="3"/>
        <v>61</v>
      </c>
      <c r="AB15" s="5" t="str">
        <f ca="1">VLOOKUP(AA15,[3]enemies!$A:$B,2,FALSE)</f>
        <v>クロウ</v>
      </c>
      <c r="AC15" s="5">
        <f ca="1">VLOOKUP(AA15,[3]enemies!$A:$E,3,FALSE)</f>
        <v>2</v>
      </c>
      <c r="AD15" s="5" t="str">
        <f>VLOOKUP(AA15,[4]characters!$A:$J,10,FALSE)</f>
        <v>Drop1N</v>
      </c>
      <c r="AE15" s="29">
        <v>1</v>
      </c>
      <c r="AF15" s="28">
        <f t="shared" ca="1" si="4"/>
        <v>2</v>
      </c>
      <c r="AG15" s="9">
        <v>0</v>
      </c>
      <c r="AH15" s="29">
        <v>0</v>
      </c>
      <c r="AI15" s="29">
        <v>0</v>
      </c>
      <c r="AJ15" s="29">
        <v>0</v>
      </c>
      <c r="AK15" s="29">
        <v>0</v>
      </c>
      <c r="AL15" s="29">
        <v>1</v>
      </c>
      <c r="AM15" s="45" t="s">
        <v>108</v>
      </c>
    </row>
    <row r="16" spans="1:39" ht="21" customHeight="1" x14ac:dyDescent="0.15">
      <c r="A16" s="17" t="str">
        <f t="shared" ca="1" si="24"/>
        <v>11016_1-2/57&lt;lv32&gt;s2</v>
      </c>
      <c r="B16" s="8">
        <v>11016</v>
      </c>
      <c r="C16" s="26">
        <v>1</v>
      </c>
      <c r="D16" s="16" t="str">
        <f t="shared" si="25"/>
        <v>11016_1</v>
      </c>
      <c r="E16" s="5" t="str">
        <f ca="1">VLOOKUP($B16,OFFSET([2]quests!$A$1,0,0,COUNTA([2]quests!$A:$A),MATCH(E$1,[2]quests!$1:$1,0)-MATCH($B$1,[2]quests!$1:$1,0)+1),MATCH(E$1,[2]quests!$1:$1,0)-MATCH($B$1,[2]quests!$1:$1,0)+1,FALSE)</f>
        <v>【マルチ専用1/2】 ゴールドカジノ</v>
      </c>
      <c r="F16" s="5" t="str">
        <f ca="1">VLOOKUP($D16,OFFSET([2]stages!$A$1,0,0,COUNTA([2]stages!$A:$A),MATCH(F$1,[2]stages!$2:$2,0)-MATCH($D$1,[2]stages!$2:$2,0)+1),MATCH(F$1,[2]stages!$2:$2,0)-MATCH($D$1,[2]stages!$2:$2,0)+1,FALSE)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6" s="26">
        <v>2</v>
      </c>
      <c r="H16" s="16" t="str">
        <f t="shared" si="2"/>
        <v>11016_1-2</v>
      </c>
      <c r="I16" s="5">
        <f ca="1">VLOOKUP($H16,OFFSET(floors_week_q_1Mc!$A$1,0,0,COUNTA(floors_week_q_1Mc!$A:$A),MATCH(I$1,floors_week_q_1Mc!$1:$1,0)-MATCH($H$1,floors_week_q_1Mc!$1:$1,0)+1),MATCH(I$1,floors_week_q_1Mc!$1:$1,0)-MATCH($H$1,floors_week_q_1Mc!$1:$1,0)+1,FALSE)</f>
        <v>35</v>
      </c>
      <c r="J16" s="5">
        <f ca="1">VLOOKUP($H16,OFFSET(floors_week_q_1Mc!$A$1,0,0,COUNTA(floors_week_q_1Mc!$A:$A),MATCH(J$1,floors_week_q_1Mc!$1:$1,0)-MATCH($H$1,floors_week_q_1Mc!$1:$1,0)+1),MATCH(J$1,floors_week_q_1Mc!$1:$1,0)-MATCH($H$1,floors_week_q_1Mc!$1:$1,0)+1,FALSE)</f>
        <v>50</v>
      </c>
      <c r="K16" s="32">
        <v>57</v>
      </c>
      <c r="L16" s="20" t="str">
        <f ca="1">VLOOKUP(K16,[3]enemies!$A:$B,2,FALSE)</f>
        <v>チェン・リー</v>
      </c>
      <c r="M16" s="23" t="str">
        <f ca="1">VLOOKUP(K16,[3]enemies!$A:$D,4,FALSE)</f>
        <v>red</v>
      </c>
      <c r="N16" s="23" t="str">
        <f>VLOOKUP(K16,[4]characters!$A:$J,10,FALSE)</f>
        <v>Drop1N</v>
      </c>
      <c r="O16" s="22" t="str">
        <f>VLOOKUP(K16,[4]characters!$A:$M,13,FALSE)</f>
        <v>animal</v>
      </c>
      <c r="P16" s="5">
        <f ca="1">VLOOKUP(K16,[3]enemies!$A:$X,24,FALSE)</f>
        <v>15</v>
      </c>
      <c r="Q16" s="6">
        <v>32</v>
      </c>
      <c r="R16" s="36">
        <v>1</v>
      </c>
      <c r="S16" s="36">
        <v>1</v>
      </c>
      <c r="T16" s="6">
        <v>0</v>
      </c>
      <c r="U16" s="5" t="e">
        <f ca="1">VLOOKUP($V16,OFFSET([5]enemy_skill_sets!$B$1,0,0,COUNTA([5]enemy_skill_sets!$B:$B),MATCH(L$1,[5]enemy_skill_sets!$1:$1,0)-MATCH($V$1,[5]enemy_skill_sets!$1:$1,0)+2),MATCH(L$1,[5]enemy_skill_sets!$1:$1,0)-MATCH($V$1,[5]enemy_skill_sets!$1:$1,0)+2,FALSE)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6" s="5">
        <f ca="1">VLOOKUP($K16,OFFSET([3]enemies!$A$1,0,0,COUNTA([3]enemies!$A:$A),MATCH(V$1,[3]enemies!$1:$1,0)-MATCH($K$1,[3]enemies!$1:$1,0)+1),MATCH(V$1,[3]enemies!$1:$1,0)-MATCH($K$1,[3]enemies!$1:$1,0)+1,FALSE)</f>
        <v>57</v>
      </c>
      <c r="W16" s="31">
        <v>0</v>
      </c>
      <c r="X16" s="7">
        <v>10</v>
      </c>
      <c r="Y16" s="31">
        <v>0</v>
      </c>
      <c r="Z16" s="20">
        <f ca="1">VLOOKUP($K16,OFFSET([3]enemies!$A$1,0,0,COUNTA([3]enemies!$A:$A),MATCH(Z$1,[3]enemies!$1:$1,0)-MATCH($K$1,[3]enemies!$1:$1,0)+1),MATCH(Z$1,[3]enemies!$1:$1,0)-MATCH($K$1,[3]enemies!$1:$1,0)+1,FALSE)</f>
        <v>2</v>
      </c>
      <c r="AA16" s="2">
        <f t="shared" si="3"/>
        <v>57</v>
      </c>
      <c r="AB16" s="5" t="str">
        <f ca="1">VLOOKUP(AA16,[3]enemies!$A:$B,2,FALSE)</f>
        <v>チェン・リー</v>
      </c>
      <c r="AC16" s="5">
        <f ca="1">VLOOKUP(AA16,[3]enemies!$A:$E,3,FALSE)</f>
        <v>2</v>
      </c>
      <c r="AD16" s="5" t="str">
        <f>VLOOKUP(AA16,[4]characters!$A:$J,10,FALSE)</f>
        <v>Drop1N</v>
      </c>
      <c r="AE16" s="29">
        <v>1</v>
      </c>
      <c r="AF16" s="28">
        <f t="shared" ca="1" si="4"/>
        <v>2</v>
      </c>
      <c r="AG16" s="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1</v>
      </c>
      <c r="AM16" s="45" t="s">
        <v>108</v>
      </c>
    </row>
    <row r="17" spans="1:39" ht="21" customHeight="1" x14ac:dyDescent="0.15">
      <c r="A17" s="17" t="str">
        <f t="shared" ca="1" si="24"/>
        <v>11016_1-2/59&lt;lv32&gt;s2</v>
      </c>
      <c r="B17" s="8">
        <v>11016</v>
      </c>
      <c r="C17" s="26">
        <v>1</v>
      </c>
      <c r="D17" s="16" t="str">
        <f t="shared" si="25"/>
        <v>11016_1</v>
      </c>
      <c r="E17" s="5" t="str">
        <f ca="1">VLOOKUP($B17,OFFSET([2]quests!$A$1,0,0,COUNTA([2]quests!$A:$A),MATCH(E$1,[2]quests!$1:$1,0)-MATCH($B$1,[2]quests!$1:$1,0)+1),MATCH(E$1,[2]quests!$1:$1,0)-MATCH($B$1,[2]quests!$1:$1,0)+1,FALSE)</f>
        <v>【マルチ専用1/2】 ゴールドカジノ</v>
      </c>
      <c r="F17" s="5" t="str">
        <f ca="1">VLOOKUP($D17,OFFSET([2]stages!$A$1,0,0,COUNTA([2]stages!$A:$A),MATCH(F$1,[2]stages!$2:$2,0)-MATCH($D$1,[2]stages!$2:$2,0)+1),MATCH(F$1,[2]stages!$2:$2,0)-MATCH($D$1,[2]stages!$2:$2,0)+1,FALSE)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7" s="26">
        <v>2</v>
      </c>
      <c r="H17" s="16" t="str">
        <f t="shared" si="2"/>
        <v>11016_1-2</v>
      </c>
      <c r="I17" s="5">
        <f ca="1">VLOOKUP($H17,OFFSET(floors_week_q_1Mc!$A$1,0,0,COUNTA(floors_week_q_1Mc!$A:$A),MATCH(I$1,floors_week_q_1Mc!$1:$1,0)-MATCH($H$1,floors_week_q_1Mc!$1:$1,0)+1),MATCH(I$1,floors_week_q_1Mc!$1:$1,0)-MATCH($H$1,floors_week_q_1Mc!$1:$1,0)+1,FALSE)</f>
        <v>35</v>
      </c>
      <c r="J17" s="5">
        <f ca="1">VLOOKUP($H17,OFFSET(floors_week_q_1Mc!$A$1,0,0,COUNTA(floors_week_q_1Mc!$A:$A),MATCH(J$1,floors_week_q_1Mc!$1:$1,0)-MATCH($H$1,floors_week_q_1Mc!$1:$1,0)+1),MATCH(J$1,floors_week_q_1Mc!$1:$1,0)-MATCH($H$1,floors_week_q_1Mc!$1:$1,0)+1,FALSE)</f>
        <v>50</v>
      </c>
      <c r="K17" s="32">
        <v>59</v>
      </c>
      <c r="L17" s="20" t="str">
        <f ca="1">VLOOKUP(K17,[3]enemies!$A:$B,2,FALSE)</f>
        <v>マーチ</v>
      </c>
      <c r="M17" s="23" t="str">
        <f ca="1">VLOOKUP(K17,[3]enemies!$A:$D,4,FALSE)</f>
        <v>green</v>
      </c>
      <c r="N17" s="23" t="str">
        <f>VLOOKUP(K17,[4]characters!$A:$J,10,FALSE)</f>
        <v>Drop1N</v>
      </c>
      <c r="O17" s="22" t="str">
        <f>VLOOKUP(K17,[4]characters!$A:$M,13,FALSE)</f>
        <v>animal</v>
      </c>
      <c r="P17" s="5">
        <f ca="1">VLOOKUP(K17,[3]enemies!$A:$X,24,FALSE)</f>
        <v>15</v>
      </c>
      <c r="Q17" s="6">
        <v>32</v>
      </c>
      <c r="R17" s="36">
        <v>1</v>
      </c>
      <c r="S17" s="36">
        <v>1</v>
      </c>
      <c r="T17" s="6">
        <v>0</v>
      </c>
      <c r="U17" s="5" t="e">
        <f ca="1">VLOOKUP($V17,OFFSET([5]enemy_skill_sets!$B$1,0,0,COUNTA([5]enemy_skill_sets!$B:$B),MATCH(L$1,[5]enemy_skill_sets!$1:$1,0)-MATCH($V$1,[5]enemy_skill_sets!$1:$1,0)+2),MATCH(L$1,[5]enemy_skill_sets!$1:$1,0)-MATCH($V$1,[5]enemy_skill_sets!$1:$1,0)+2,FALSE)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7" s="5">
        <f ca="1">VLOOKUP($K17,OFFSET([3]enemies!$A$1,0,0,COUNTA([3]enemies!$A:$A),MATCH(V$1,[3]enemies!$1:$1,0)-MATCH($K$1,[3]enemies!$1:$1,0)+1),MATCH(V$1,[3]enemies!$1:$1,0)-MATCH($K$1,[3]enemies!$1:$1,0)+1,FALSE)</f>
        <v>59</v>
      </c>
      <c r="W17" s="31">
        <v>0</v>
      </c>
      <c r="X17" s="7">
        <v>10</v>
      </c>
      <c r="Y17" s="31">
        <v>0</v>
      </c>
      <c r="Z17" s="20">
        <f ca="1">VLOOKUP($K17,OFFSET([3]enemies!$A$1,0,0,COUNTA([3]enemies!$A:$A),MATCH(Z$1,[3]enemies!$1:$1,0)-MATCH($K$1,[3]enemies!$1:$1,0)+1),MATCH(Z$1,[3]enemies!$1:$1,0)-MATCH($K$1,[3]enemies!$1:$1,0)+1,FALSE)</f>
        <v>2</v>
      </c>
      <c r="AA17" s="2">
        <f t="shared" si="3"/>
        <v>59</v>
      </c>
      <c r="AB17" s="5" t="str">
        <f ca="1">VLOOKUP(AA17,[3]enemies!$A:$B,2,FALSE)</f>
        <v>マーチ</v>
      </c>
      <c r="AC17" s="5">
        <f ca="1">VLOOKUP(AA17,[3]enemies!$A:$E,3,FALSE)</f>
        <v>2</v>
      </c>
      <c r="AD17" s="5" t="str">
        <f>VLOOKUP(AA17,[4]characters!$A:$J,10,FALSE)</f>
        <v>Drop1N</v>
      </c>
      <c r="AE17" s="29">
        <v>1</v>
      </c>
      <c r="AF17" s="28">
        <f ca="1">AC17</f>
        <v>2</v>
      </c>
      <c r="AG17" s="9">
        <v>0</v>
      </c>
      <c r="AH17" s="29">
        <v>0</v>
      </c>
      <c r="AI17" s="29">
        <v>0</v>
      </c>
      <c r="AJ17" s="29">
        <v>0</v>
      </c>
      <c r="AK17" s="29">
        <v>0</v>
      </c>
      <c r="AL17" s="29">
        <v>1</v>
      </c>
      <c r="AM17" s="45" t="s">
        <v>108</v>
      </c>
    </row>
    <row r="18" spans="1:39" ht="21" customHeight="1" x14ac:dyDescent="0.15">
      <c r="A18" s="17" t="str">
        <f ca="1">B18&amp;"_"&amp;C18&amp;"-"&amp;G18&amp;"/"&amp;K18&amp;"&lt;lv"&amp;Q18&amp;"&gt;s"&amp;Z18</f>
        <v>11016_1-3/119&lt;lv1&gt;s3</v>
      </c>
      <c r="B18" s="8">
        <v>11016</v>
      </c>
      <c r="C18" s="26">
        <v>1</v>
      </c>
      <c r="D18" s="2" t="str">
        <f>B18&amp;"_"&amp;C18</f>
        <v>11016_1</v>
      </c>
      <c r="E18" s="5" t="str">
        <f ca="1">VLOOKUP($B18,OFFSET([2]quests!$A$1,0,0,COUNTA([2]quests!$A:$A),MATCH(E$1,[2]quests!$1:$1,0)-MATCH($B$1,[2]quests!$1:$1,0)+1),MATCH(E$1,[2]quests!$1:$1,0)-MATCH($B$1,[2]quests!$1:$1,0)+1,FALSE)</f>
        <v>【マルチ専用1/2】 ゴールドカジノ</v>
      </c>
      <c r="F18" s="5" t="str">
        <f ca="1">VLOOKUP($D18,OFFSET([2]stages!$A$1,0,0,COUNTA([2]stages!$A:$A),MATCH(F$1,[2]stages!$2:$2,0)-MATCH($D$1,[2]stages!$2:$2,0)+1),MATCH(F$1,[2]stages!$2:$2,0)-MATCH($D$1,[2]stages!$2:$2,0)+1,FALSE)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8" s="26">
        <v>3</v>
      </c>
      <c r="H18" s="16" t="str">
        <f>B18&amp;"_"&amp;C18&amp;"-"&amp;G18</f>
        <v>11016_1-3</v>
      </c>
      <c r="I18" s="5">
        <f ca="1">VLOOKUP($H18,OFFSET(floors_week_q_1Mc!$A$1,0,0,COUNTA(floors_week_q_1Mc!$A:$A),MATCH(I$1,floors_week_q_1Mc!$1:$1,0)-MATCH($H$1,floors_week_q_1Mc!$1:$1,0)+1),MATCH(I$1,floors_week_q_1Mc!$1:$1,0)-MATCH($H$1,floors_week_q_1Mc!$1:$1,0)+1,FALSE)</f>
        <v>20</v>
      </c>
      <c r="J18" s="5">
        <f ca="1">VLOOKUP($H18,OFFSET(floors_week_q_1Mc!$A$1,0,0,COUNTA(floors_week_q_1Mc!$A:$A),MATCH(J$1,floors_week_q_1Mc!$1:$1,0)-MATCH($H$1,floors_week_q_1Mc!$1:$1,0)+1),MATCH(J$1,floors_week_q_1Mc!$1:$1,0)-MATCH($H$1,floors_week_q_1Mc!$1:$1,0)+1,FALSE)</f>
        <v>20</v>
      </c>
      <c r="K18" s="25">
        <v>119</v>
      </c>
      <c r="L18" s="20" t="str">
        <f ca="1">VLOOKUP(K18,[3]enemies!$A:$B,2,FALSE)</f>
        <v>ゴールドダック</v>
      </c>
      <c r="M18" s="23" t="str">
        <f ca="1">VLOOKUP(K18,[3]enemies!$A:$D,4,FALSE)</f>
        <v>yellow</v>
      </c>
      <c r="N18" s="23" t="str">
        <f>VLOOKUP(K18,[4]characters!$A:$J,10,FALSE)</f>
        <v>Material</v>
      </c>
      <c r="O18" s="22" t="str">
        <f>VLOOKUP(K18,[4]characters!$A:$M,13,FALSE)</f>
        <v>unknown</v>
      </c>
      <c r="P18" s="5">
        <f ca="1">VLOOKUP(K18,[3]enemies!$A:$X,24,FALSE)</f>
        <v>20</v>
      </c>
      <c r="Q18" s="6">
        <v>1</v>
      </c>
      <c r="R18" s="36">
        <v>93.3</v>
      </c>
      <c r="S18" s="36">
        <v>41</v>
      </c>
      <c r="T18" s="6">
        <v>0</v>
      </c>
      <c r="U18" s="5" t="e">
        <f ca="1">VLOOKUP($V18,OFFSET([5]enemy_skill_sets!$B$1,0,0,COUNTA([5]enemy_skill_sets!$B:$B),MATCH(L$1,[5]enemy_skill_sets!$1:$1,0)-MATCH($V$1,[5]enemy_skill_sets!$1:$1,0)+2),MATCH(L$1,[5]enemy_skill_sets!$1:$1,0)-MATCH($V$1,[5]enemy_skill_sets!$1:$1,0)+2,FALSE)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8" s="5">
        <f ca="1">VLOOKUP($K18,OFFSET([3]enemies!$A$1,0,0,COUNTA([3]enemies!$A:$A),MATCH(V$1,[3]enemies!$1:$1,0)-MATCH($K$1,[3]enemies!$1:$1,0)+1),MATCH(V$1,[3]enemies!$1:$1,0)-MATCH($K$1,[3]enemies!$1:$1,0)+1,FALSE)</f>
        <v>0</v>
      </c>
      <c r="W18" s="7">
        <v>1</v>
      </c>
      <c r="X18" s="7">
        <v>0</v>
      </c>
      <c r="Y18" s="7">
        <v>0</v>
      </c>
      <c r="Z18" s="20">
        <f ca="1">VLOOKUP($K18,OFFSET([3]enemies!$A$1,0,0,COUNTA([3]enemies!$A:$A),MATCH(Z$1,[3]enemies!$1:$1,0)-MATCH($K$1,[3]enemies!$1:$1,0)+1),MATCH(Z$1,[3]enemies!$1:$1,0)-MATCH($K$1,[3]enemies!$1:$1,0)+1,FALSE)</f>
        <v>3</v>
      </c>
      <c r="AA18" s="2">
        <f>K18</f>
        <v>119</v>
      </c>
      <c r="AB18" s="5" t="str">
        <f ca="1">VLOOKUP(AA18,[3]enemies!$A:$B,2,FALSE)</f>
        <v>ゴールドダック</v>
      </c>
      <c r="AC18" s="5">
        <f ca="1">VLOOKUP(AA18,[3]enemies!$A:$E,3,FALSE)</f>
        <v>5</v>
      </c>
      <c r="AD18" s="5" t="str">
        <f>VLOOKUP(AA18,[4]characters!$A:$J,10,FALSE)</f>
        <v>Material</v>
      </c>
      <c r="AE18" s="8">
        <v>1</v>
      </c>
      <c r="AF18" s="28">
        <f ca="1">AC18</f>
        <v>5</v>
      </c>
      <c r="AG18" s="9">
        <v>100</v>
      </c>
      <c r="AH18" s="8">
        <v>0</v>
      </c>
      <c r="AI18" s="8">
        <v>0</v>
      </c>
      <c r="AJ18" s="8">
        <v>0</v>
      </c>
      <c r="AK18" s="8">
        <v>0</v>
      </c>
      <c r="AL18" s="8">
        <v>1</v>
      </c>
      <c r="AM18" s="45" t="s">
        <v>108</v>
      </c>
    </row>
    <row r="19" spans="1:39" ht="21" customHeight="1" x14ac:dyDescent="0.15">
      <c r="A19" s="17" t="str">
        <f ca="1">B19&amp;"_"&amp;C19&amp;"-"&amp;G19&amp;"/"&amp;K19&amp;"&lt;lv"&amp;Q19&amp;"&gt;s"&amp;Z19</f>
        <v>11016_1-4/119&lt;lv1&gt;s3</v>
      </c>
      <c r="B19" s="8">
        <v>11016</v>
      </c>
      <c r="C19" s="26">
        <v>1</v>
      </c>
      <c r="D19" s="2" t="str">
        <f>B19&amp;"_"&amp;C19</f>
        <v>11016_1</v>
      </c>
      <c r="E19" s="5" t="str">
        <f ca="1">VLOOKUP($B19,OFFSET([2]quests!$A$1,0,0,COUNTA([2]quests!$A:$A),MATCH(E$1,[2]quests!$1:$1,0)-MATCH($B$1,[2]quests!$1:$1,0)+1),MATCH(E$1,[2]quests!$1:$1,0)-MATCH($B$1,[2]quests!$1:$1,0)+1,FALSE)</f>
        <v>【マルチ専用1/2】 ゴールドカジノ</v>
      </c>
      <c r="F19" s="5" t="str">
        <f ca="1">VLOOKUP($D19,OFFSET([2]stages!$A$1,0,0,COUNTA([2]stages!$A:$A),MATCH(F$1,[2]stages!$2:$2,0)-MATCH($D$1,[2]stages!$2:$2,0)+1),MATCH(F$1,[2]stages!$2:$2,0)-MATCH($D$1,[2]stages!$2:$2,0)+1,FALSE)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19" s="26">
        <v>4</v>
      </c>
      <c r="H19" s="16" t="str">
        <f>B19&amp;"_"&amp;C19&amp;"-"&amp;G19</f>
        <v>11016_1-4</v>
      </c>
      <c r="I19" s="5">
        <f ca="1">VLOOKUP($H19,OFFSET(floors_week_q_1Mc!$A$1,0,0,COUNTA(floors_week_q_1Mc!$A:$A),MATCH(I$1,floors_week_q_1Mc!$1:$1,0)-MATCH($H$1,floors_week_q_1Mc!$1:$1,0)+1),MATCH(I$1,floors_week_q_1Mc!$1:$1,0)-MATCH($H$1,floors_week_q_1Mc!$1:$1,0)+1,FALSE)</f>
        <v>35</v>
      </c>
      <c r="J19" s="5">
        <f ca="1">VLOOKUP($H19,OFFSET(floors_week_q_1Mc!$A$1,0,0,COUNTA(floors_week_q_1Mc!$A:$A),MATCH(J$1,floors_week_q_1Mc!$1:$1,0)-MATCH($H$1,floors_week_q_1Mc!$1:$1,0)+1),MATCH(J$1,floors_week_q_1Mc!$1:$1,0)-MATCH($H$1,floors_week_q_1Mc!$1:$1,0)+1,FALSE)</f>
        <v>60</v>
      </c>
      <c r="K19" s="25">
        <v>119</v>
      </c>
      <c r="L19" s="20" t="str">
        <f ca="1">VLOOKUP(K19,[3]enemies!$A:$B,2,FALSE)</f>
        <v>ゴールドダック</v>
      </c>
      <c r="M19" s="23" t="str">
        <f ca="1">VLOOKUP(K19,[3]enemies!$A:$D,4,FALSE)</f>
        <v>yellow</v>
      </c>
      <c r="N19" s="23" t="str">
        <f>VLOOKUP(K19,[4]characters!$A:$J,10,FALSE)</f>
        <v>Material</v>
      </c>
      <c r="O19" s="22" t="str">
        <f>VLOOKUP(K19,[4]characters!$A:$M,13,FALSE)</f>
        <v>unknown</v>
      </c>
      <c r="P19" s="5">
        <f ca="1">VLOOKUP(K19,[3]enemies!$A:$X,24,FALSE)</f>
        <v>20</v>
      </c>
      <c r="Q19" s="6">
        <v>1</v>
      </c>
      <c r="R19" s="36">
        <v>93.3</v>
      </c>
      <c r="S19" s="36">
        <v>41</v>
      </c>
      <c r="T19" s="6">
        <v>0</v>
      </c>
      <c r="U19" s="5" t="e">
        <f ca="1">VLOOKUP($V19,OFFSET([5]enemy_skill_sets!$B$1,0,0,COUNTA([5]enemy_skill_sets!$B:$B),MATCH(L$1,[5]enemy_skill_sets!$1:$1,0)-MATCH($V$1,[5]enemy_skill_sets!$1:$1,0)+2),MATCH(L$1,[5]enemy_skill_sets!$1:$1,0)-MATCH($V$1,[5]enemy_skill_sets!$1:$1,0)+2,FALSE)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19" s="5">
        <f ca="1">VLOOKUP($K19,OFFSET([3]enemies!$A$1,0,0,COUNTA([3]enemies!$A:$A),MATCH(V$1,[3]enemies!$1:$1,0)-MATCH($K$1,[3]enemies!$1:$1,0)+1),MATCH(V$1,[3]enemies!$1:$1,0)-MATCH($K$1,[3]enemies!$1:$1,0)+1,FALSE)</f>
        <v>0</v>
      </c>
      <c r="W19" s="7">
        <v>0</v>
      </c>
      <c r="X19" s="7">
        <v>50</v>
      </c>
      <c r="Y19" s="7">
        <v>1</v>
      </c>
      <c r="Z19" s="20">
        <f ca="1">VLOOKUP($K19,OFFSET([3]enemies!$A$1,0,0,COUNTA([3]enemies!$A:$A),MATCH(Z$1,[3]enemies!$1:$1,0)-MATCH($K$1,[3]enemies!$1:$1,0)+1),MATCH(Z$1,[3]enemies!$1:$1,0)-MATCH($K$1,[3]enemies!$1:$1,0)+1,FALSE)</f>
        <v>3</v>
      </c>
      <c r="AA19" s="2">
        <f>K19</f>
        <v>119</v>
      </c>
      <c r="AB19" s="5" t="str">
        <f ca="1">VLOOKUP(AA19,[3]enemies!$A:$B,2,FALSE)</f>
        <v>ゴールドダック</v>
      </c>
      <c r="AC19" s="5">
        <f ca="1">VLOOKUP(AA19,[3]enemies!$A:$E,3,FALSE)</f>
        <v>5</v>
      </c>
      <c r="AD19" s="5" t="str">
        <f>VLOOKUP(AA19,[4]characters!$A:$J,10,FALSE)</f>
        <v>Material</v>
      </c>
      <c r="AE19" s="8">
        <v>1</v>
      </c>
      <c r="AF19" s="28">
        <f ca="1">AC19</f>
        <v>5</v>
      </c>
      <c r="AG19" s="9">
        <v>100</v>
      </c>
      <c r="AH19" s="8">
        <v>0</v>
      </c>
      <c r="AI19" s="8">
        <v>0</v>
      </c>
      <c r="AJ19" s="8">
        <v>0</v>
      </c>
      <c r="AK19" s="8">
        <v>0</v>
      </c>
      <c r="AL19" s="8">
        <v>1</v>
      </c>
      <c r="AM19" s="45" t="s">
        <v>108</v>
      </c>
    </row>
    <row r="20" spans="1:39" ht="21" customHeight="1" x14ac:dyDescent="0.15">
      <c r="A20" s="17" t="str">
        <f>B20&amp;"_"&amp;C20&amp;"-"&amp;G20&amp;"/"&amp;K20&amp;"&lt;lv"&amp;Q20&amp;"&gt;s"&amp;Z20</f>
        <v>11016_1-4/125&lt;lv32&gt;s3</v>
      </c>
      <c r="B20" s="8">
        <v>11016</v>
      </c>
      <c r="C20" s="26">
        <v>1</v>
      </c>
      <c r="D20" s="2" t="str">
        <f>B20&amp;"_"&amp;C20</f>
        <v>11016_1</v>
      </c>
      <c r="E20" s="5" t="str">
        <f ca="1">VLOOKUP($B20,OFFSET([2]quests!$A$1,0,0,COUNTA([2]quests!$A:$A),MATCH(E$1,[2]quests!$1:$1,0)-MATCH($B$1,[2]quests!$1:$1,0)+1),MATCH(E$1,[2]quests!$1:$1,0)-MATCH($B$1,[2]quests!$1:$1,0)+1,FALSE)</f>
        <v>【マルチ専用1/2】 ゴールドカジノ</v>
      </c>
      <c r="F20" s="5" t="str">
        <f ca="1">VLOOKUP($D20,OFFSET([2]stages!$A$1,0,0,COUNTA([2]stages!$A:$A),MATCH(F$1,[2]stages!$2:$2,0)-MATCH($D$1,[2]stages!$2:$2,0)+1),MATCH(F$1,[2]stages!$2:$2,0)-MATCH($D$1,[2]stages!$2:$2,0)+1,FALSE)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0" s="26">
        <v>4</v>
      </c>
      <c r="H20" s="16" t="str">
        <f>B20&amp;"_"&amp;C20&amp;"-"&amp;G20</f>
        <v>11016_1-4</v>
      </c>
      <c r="I20" s="5">
        <f ca="1">VLOOKUP($H20,OFFSET(floors_week_q_1Mc!$A$1,0,0,COUNTA(floors_week_q_1Mc!$A:$A),MATCH(I$1,floors_week_q_1Mc!$1:$1,0)-MATCH($H$1,floors_week_q_1Mc!$1:$1,0)+1),MATCH(I$1,floors_week_q_1Mc!$1:$1,0)-MATCH($H$1,floors_week_q_1Mc!$1:$1,0)+1,FALSE)</f>
        <v>35</v>
      </c>
      <c r="J20" s="5">
        <f ca="1">VLOOKUP($H20,OFFSET(floors_week_q_1Mc!$A$1,0,0,COUNTA(floors_week_q_1Mc!$A:$A),MATCH(J$1,floors_week_q_1Mc!$1:$1,0)-MATCH($H$1,floors_week_q_1Mc!$1:$1,0)+1),MATCH(J$1,floors_week_q_1Mc!$1:$1,0)-MATCH($H$1,floors_week_q_1Mc!$1:$1,0)+1,FALSE)</f>
        <v>60</v>
      </c>
      <c r="K20" s="25">
        <v>125</v>
      </c>
      <c r="L20" s="20" t="str">
        <f ca="1">VLOOKUP(K20,[3]enemies!$A:$B,2,FALSE)</f>
        <v>秘術の果実</v>
      </c>
      <c r="M20" s="23" t="str">
        <f ca="1">VLOOKUP(K20,[3]enemies!$A:$D,4,FALSE)</f>
        <v>blue</v>
      </c>
      <c r="N20" s="23" t="str">
        <f>VLOOKUP(K20,[4]characters!$A:$J,10,FALSE)</f>
        <v>Material</v>
      </c>
      <c r="O20" s="22" t="str">
        <f>VLOOKUP(K20,[4]characters!$A:$M,13,FALSE)</f>
        <v>unknown</v>
      </c>
      <c r="P20" s="5">
        <f ca="1">VLOOKUP(K20,[3]enemies!$A:$X,24,FALSE)</f>
        <v>20</v>
      </c>
      <c r="Q20" s="6">
        <v>32</v>
      </c>
      <c r="R20" s="36">
        <v>0.4</v>
      </c>
      <c r="S20" s="36">
        <v>1</v>
      </c>
      <c r="T20" s="6">
        <v>0</v>
      </c>
      <c r="U20" s="46"/>
      <c r="V20" s="33">
        <v>11006040</v>
      </c>
      <c r="W20" s="7">
        <v>0</v>
      </c>
      <c r="X20" s="7">
        <v>10</v>
      </c>
      <c r="Y20" s="7">
        <v>1</v>
      </c>
      <c r="Z20" s="34">
        <v>3</v>
      </c>
      <c r="AA20" s="2">
        <f>K20</f>
        <v>125</v>
      </c>
      <c r="AB20" s="5" t="str">
        <f ca="1">VLOOKUP(AA20,[3]enemies!$A:$B,2,FALSE)</f>
        <v>秘術の果実</v>
      </c>
      <c r="AC20" s="5">
        <f ca="1">VLOOKUP(AA20,[3]enemies!$A:$E,3,FALSE)</f>
        <v>3</v>
      </c>
      <c r="AD20" s="5" t="str">
        <f>VLOOKUP(AA20,[4]characters!$A:$J,10,FALSE)</f>
        <v>Material</v>
      </c>
      <c r="AE20" s="8">
        <v>1</v>
      </c>
      <c r="AF20" s="28">
        <f t="shared" ref="AF20:AF28" ca="1" si="26">AC20</f>
        <v>3</v>
      </c>
      <c r="AG20" s="9">
        <v>100</v>
      </c>
      <c r="AH20" s="8">
        <v>0</v>
      </c>
      <c r="AI20" s="8">
        <v>0</v>
      </c>
      <c r="AJ20" s="8">
        <v>0</v>
      </c>
      <c r="AK20" s="8">
        <v>0</v>
      </c>
      <c r="AL20" s="8">
        <v>1</v>
      </c>
      <c r="AM20" s="45" t="s">
        <v>108</v>
      </c>
    </row>
    <row r="21" spans="1:39" ht="21" customHeight="1" x14ac:dyDescent="0.15">
      <c r="A21" s="17" t="str">
        <f t="shared" ref="A21:A23" ca="1" si="27">B21&amp;"_"&amp;C21&amp;"-"&amp;G21&amp;"/"&amp;K21&amp;"&lt;lv"&amp;Q21&amp;"&gt;s"&amp;Z21</f>
        <v>11016_1-4/118&lt;lv3&gt;s2</v>
      </c>
      <c r="B21" s="8">
        <v>11016</v>
      </c>
      <c r="C21" s="26">
        <v>1</v>
      </c>
      <c r="D21" s="2" t="str">
        <f t="shared" ref="D21:D23" si="28">B21&amp;"_"&amp;C21</f>
        <v>11016_1</v>
      </c>
      <c r="E21" s="5" t="str">
        <f ca="1">VLOOKUP($B21,OFFSET([2]quests!$A$1,0,0,COUNTA([2]quests!$A:$A),MATCH(E$1,[2]quests!$1:$1,0)-MATCH($B$1,[2]quests!$1:$1,0)+1),MATCH(E$1,[2]quests!$1:$1,0)-MATCH($B$1,[2]quests!$1:$1,0)+1,FALSE)</f>
        <v>【マルチ専用1/2】 ゴールドカジノ</v>
      </c>
      <c r="F21" s="5" t="str">
        <f ca="1">VLOOKUP($D21,OFFSET([2]stages!$A$1,0,0,COUNTA([2]stages!$A:$A),MATCH(F$1,[2]stages!$2:$2,0)-MATCH($D$1,[2]stages!$2:$2,0)+1),MATCH(F$1,[2]stages!$2:$2,0)-MATCH($D$1,[2]stages!$2:$2,0)+1,FALSE)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1" s="26">
        <v>4</v>
      </c>
      <c r="H21" s="16" t="str">
        <f t="shared" ref="H21:H23" si="29">B21&amp;"_"&amp;C21&amp;"-"&amp;G21</f>
        <v>11016_1-4</v>
      </c>
      <c r="I21" s="5">
        <f ca="1">VLOOKUP($H21,OFFSET(floors_week_q_1Mc!$A$1,0,0,COUNTA(floors_week_q_1Mc!$A:$A),MATCH(I$1,floors_week_q_1Mc!$1:$1,0)-MATCH($H$1,floors_week_q_1Mc!$1:$1,0)+1),MATCH(I$1,floors_week_q_1Mc!$1:$1,0)-MATCH($H$1,floors_week_q_1Mc!$1:$1,0)+1,FALSE)</f>
        <v>35</v>
      </c>
      <c r="J21" s="5">
        <f ca="1">VLOOKUP($H21,OFFSET(floors_week_q_1Mc!$A$1,0,0,COUNTA(floors_week_q_1Mc!$A:$A),MATCH(J$1,floors_week_q_1Mc!$1:$1,0)-MATCH($H$1,floors_week_q_1Mc!$1:$1,0)+1),MATCH(J$1,floors_week_q_1Mc!$1:$1,0)-MATCH($H$1,floors_week_q_1Mc!$1:$1,0)+1,FALSE)</f>
        <v>60</v>
      </c>
      <c r="K21" s="25">
        <v>118</v>
      </c>
      <c r="L21" s="20" t="str">
        <f ca="1">VLOOKUP(K21,[3]enemies!$A:$B,2,FALSE)</f>
        <v>ゴールドチック</v>
      </c>
      <c r="M21" s="23" t="str">
        <f ca="1">VLOOKUP(K21,[3]enemies!$A:$D,4,FALSE)</f>
        <v>yellow</v>
      </c>
      <c r="N21" s="23" t="str">
        <f>VLOOKUP(K21,[4]characters!$A:$J,10,FALSE)</f>
        <v>Material</v>
      </c>
      <c r="O21" s="22" t="str">
        <f>VLOOKUP(K21,[4]characters!$A:$M,13,FALSE)</f>
        <v>unknown</v>
      </c>
      <c r="P21" s="5">
        <f ca="1">VLOOKUP(K21,[3]enemies!$A:$X,24,FALSE)</f>
        <v>15</v>
      </c>
      <c r="Q21" s="6">
        <v>3</v>
      </c>
      <c r="R21" s="36">
        <v>28.8</v>
      </c>
      <c r="S21" s="36">
        <v>38.5</v>
      </c>
      <c r="T21" s="6">
        <v>0</v>
      </c>
      <c r="U21" s="5" t="e">
        <f ca="1">VLOOKUP($V21,OFFSET([5]enemy_skill_sets!$B$1,0,0,COUNTA([5]enemy_skill_sets!$B:$B),MATCH(L$1,[5]enemy_skill_sets!$1:$1,0)-MATCH($V$1,[5]enemy_skill_sets!$1:$1,0)+2),MATCH(L$1,[5]enemy_skill_sets!$1:$1,0)-MATCH($V$1,[5]enemy_skill_sets!$1:$1,0)+2,FALSE)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1" s="5">
        <f ca="1">VLOOKUP($K21,OFFSET([3]enemies!$A$1,0,0,COUNTA([3]enemies!$A:$A),MATCH(V$1,[3]enemies!$1:$1,0)-MATCH($K$1,[3]enemies!$1:$1,0)+1),MATCH(V$1,[3]enemies!$1:$1,0)-MATCH($K$1,[3]enemies!$1:$1,0)+1,FALSE)</f>
        <v>0</v>
      </c>
      <c r="W21" s="7">
        <v>0</v>
      </c>
      <c r="X21" s="7">
        <v>40</v>
      </c>
      <c r="Y21" s="7">
        <v>1</v>
      </c>
      <c r="Z21" s="20">
        <f ca="1">VLOOKUP($K21,OFFSET([3]enemies!$A$1,0,0,COUNTA([3]enemies!$A:$A),MATCH(Z$1,[3]enemies!$1:$1,0)-MATCH($K$1,[3]enemies!$1:$1,0)+1),MATCH(Z$1,[3]enemies!$1:$1,0)-MATCH($K$1,[3]enemies!$1:$1,0)+1,FALSE)</f>
        <v>2</v>
      </c>
      <c r="AA21" s="2">
        <f t="shared" ref="AA21:AA23" si="30">K21</f>
        <v>118</v>
      </c>
      <c r="AB21" s="5" t="str">
        <f ca="1">VLOOKUP(AA21,[3]enemies!$A:$B,2,FALSE)</f>
        <v>ゴールドチック</v>
      </c>
      <c r="AC21" s="5">
        <f ca="1">VLOOKUP(AA21,[3]enemies!$A:$E,3,FALSE)</f>
        <v>4</v>
      </c>
      <c r="AD21" s="5" t="str">
        <f>VLOOKUP(AA21,[4]characters!$A:$J,10,FALSE)</f>
        <v>Material</v>
      </c>
      <c r="AE21" s="8">
        <v>1</v>
      </c>
      <c r="AF21" s="28">
        <f t="shared" ca="1" si="26"/>
        <v>4</v>
      </c>
      <c r="AG21" s="9">
        <v>100</v>
      </c>
      <c r="AH21" s="8">
        <v>0</v>
      </c>
      <c r="AI21" s="8">
        <v>0</v>
      </c>
      <c r="AJ21" s="8">
        <v>0</v>
      </c>
      <c r="AK21" s="8">
        <v>0</v>
      </c>
      <c r="AL21" s="8">
        <v>1</v>
      </c>
      <c r="AM21" s="45" t="s">
        <v>108</v>
      </c>
    </row>
    <row r="22" spans="1:39" ht="21" customHeight="1" x14ac:dyDescent="0.15">
      <c r="A22" s="17" t="str">
        <f ca="1">B22&amp;"_"&amp;C22&amp;"-"&amp;G22&amp;"/"&amp;K22&amp;"&lt;lv"&amp;Q22&amp;"&gt;s"&amp;Z22</f>
        <v>11016_1-4/118&lt;lv1&gt;s2</v>
      </c>
      <c r="B22" s="8">
        <v>11016</v>
      </c>
      <c r="C22" s="26">
        <v>1</v>
      </c>
      <c r="D22" s="16" t="str">
        <f>B22&amp;"_"&amp;C22</f>
        <v>11016_1</v>
      </c>
      <c r="E22" s="5" t="str">
        <f ca="1">VLOOKUP($B22,OFFSET([2]quests!$A$1,0,0,COUNTA([2]quests!$A:$A),MATCH(E$1,[2]quests!$1:$1,0)-MATCH($B$1,[2]quests!$1:$1,0)+1),MATCH(E$1,[2]quests!$1:$1,0)-MATCH($B$1,[2]quests!$1:$1,0)+1,FALSE)</f>
        <v>【マルチ専用1/2】 ゴールドカジノ</v>
      </c>
      <c r="F22" s="5" t="str">
        <f ca="1">VLOOKUP($D22,OFFSET([2]stages!$A$1,0,0,COUNTA([2]stages!$A:$A),MATCH(F$1,[2]stages!$2:$2,0)-MATCH($D$1,[2]stages!$2:$2,0)+1),MATCH(F$1,[2]stages!$2:$2,0)-MATCH($D$1,[2]stages!$2:$2,0)+1,FALSE)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2" s="26">
        <v>4</v>
      </c>
      <c r="H22" s="16" t="str">
        <f>B22&amp;"_"&amp;C22&amp;"-"&amp;G22</f>
        <v>11016_1-4</v>
      </c>
      <c r="I22" s="5">
        <f ca="1">VLOOKUP($H22,OFFSET(floors_week_q_1Mc!$A$1,0,0,COUNTA(floors_week_q_1Mc!$A:$A),MATCH(I$1,floors_week_q_1Mc!$1:$1,0)-MATCH($H$1,floors_week_q_1Mc!$1:$1,0)+1),MATCH(I$1,floors_week_q_1Mc!$1:$1,0)-MATCH($H$1,floors_week_q_1Mc!$1:$1,0)+1,FALSE)</f>
        <v>35</v>
      </c>
      <c r="J22" s="5">
        <f ca="1">VLOOKUP($H22,OFFSET(floors_week_q_1Mc!$A$1,0,0,COUNTA(floors_week_q_1Mc!$A:$A),MATCH(J$1,floors_week_q_1Mc!$1:$1,0)-MATCH($H$1,floors_week_q_1Mc!$1:$1,0)+1),MATCH(J$1,floors_week_q_1Mc!$1:$1,0)-MATCH($H$1,floors_week_q_1Mc!$1:$1,0)+1,FALSE)</f>
        <v>60</v>
      </c>
      <c r="K22" s="32">
        <v>118</v>
      </c>
      <c r="L22" s="20" t="str">
        <f ca="1">VLOOKUP(K22,[3]enemies!$A:$B,2,FALSE)</f>
        <v>ゴールドチック</v>
      </c>
      <c r="M22" s="23" t="str">
        <f ca="1">VLOOKUP(K22,[3]enemies!$A:$D,4,FALSE)</f>
        <v>yellow</v>
      </c>
      <c r="N22" s="23" t="str">
        <f>VLOOKUP(K22,[4]characters!$A:$J,10,FALSE)</f>
        <v>Material</v>
      </c>
      <c r="O22" s="22" t="str">
        <f>VLOOKUP(K22,[4]characters!$A:$M,13,FALSE)</f>
        <v>unknown</v>
      </c>
      <c r="P22" s="5">
        <f ca="1">VLOOKUP(K22,[3]enemies!$A:$X,24,FALSE)</f>
        <v>15</v>
      </c>
      <c r="Q22" s="6">
        <v>1</v>
      </c>
      <c r="R22" s="36">
        <v>40.5</v>
      </c>
      <c r="S22" s="36">
        <v>38.5</v>
      </c>
      <c r="T22" s="6">
        <v>0</v>
      </c>
      <c r="U22" s="5" t="e">
        <f ca="1">VLOOKUP($V22,OFFSET([5]enemy_skill_sets!$B$1,0,0,COUNTA([5]enemy_skill_sets!$B:$B),MATCH(L$1,[5]enemy_skill_sets!$1:$1,0)-MATCH($V$1,[5]enemy_skill_sets!$1:$1,0)+2),MATCH(L$1,[5]enemy_skill_sets!$1:$1,0)-MATCH($V$1,[5]enemy_skill_sets!$1:$1,0)+2,FALSE)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2" s="5">
        <f ca="1">VLOOKUP($K22,OFFSET([3]enemies!$A$1,0,0,COUNTA([3]enemies!$A:$A),MATCH(V$1,[3]enemies!$1:$1,0)-MATCH($K$1,[3]enemies!$1:$1,0)+1),MATCH(V$1,[3]enemies!$1:$1,0)-MATCH($K$1,[3]enemies!$1:$1,0)+1,FALSE)</f>
        <v>0</v>
      </c>
      <c r="W22" s="7">
        <v>1</v>
      </c>
      <c r="X22" s="7">
        <v>0</v>
      </c>
      <c r="Y22" s="7">
        <v>2</v>
      </c>
      <c r="Z22" s="20">
        <f ca="1">VLOOKUP($K22,OFFSET([3]enemies!$A$1,0,0,COUNTA([3]enemies!$A:$A),MATCH(Z$1,[3]enemies!$1:$1,0)-MATCH($K$1,[3]enemies!$1:$1,0)+1),MATCH(Z$1,[3]enemies!$1:$1,0)-MATCH($K$1,[3]enemies!$1:$1,0)+1,FALSE)</f>
        <v>2</v>
      </c>
      <c r="AA22" s="2">
        <f>K22</f>
        <v>118</v>
      </c>
      <c r="AB22" s="5" t="str">
        <f ca="1">VLOOKUP(AA22,[3]enemies!$A:$B,2,FALSE)</f>
        <v>ゴールドチック</v>
      </c>
      <c r="AC22" s="5">
        <f ca="1">VLOOKUP(AA22,[3]enemies!$A:$E,3,FALSE)</f>
        <v>4</v>
      </c>
      <c r="AD22" s="5" t="str">
        <f>VLOOKUP(AA22,[4]characters!$A:$J,10,FALSE)</f>
        <v>Material</v>
      </c>
      <c r="AE22" s="29">
        <v>1</v>
      </c>
      <c r="AF22" s="28">
        <f ca="1">AC22</f>
        <v>4</v>
      </c>
      <c r="AG22" s="9">
        <v>100</v>
      </c>
      <c r="AH22" s="29">
        <v>0</v>
      </c>
      <c r="AI22" s="29">
        <v>0</v>
      </c>
      <c r="AJ22" s="29">
        <v>0</v>
      </c>
      <c r="AK22" s="29">
        <v>0</v>
      </c>
      <c r="AL22" s="29">
        <v>1</v>
      </c>
      <c r="AM22" s="45" t="s">
        <v>108</v>
      </c>
    </row>
    <row r="23" spans="1:39" ht="21" customHeight="1" x14ac:dyDescent="0.15">
      <c r="A23" s="17" t="str">
        <f t="shared" ca="1" si="27"/>
        <v>11016_1-4/118&lt;lv2&gt;s2</v>
      </c>
      <c r="B23" s="8">
        <v>11016</v>
      </c>
      <c r="C23" s="26">
        <v>1</v>
      </c>
      <c r="D23" s="16" t="str">
        <f t="shared" si="28"/>
        <v>11016_1</v>
      </c>
      <c r="E23" s="5" t="str">
        <f ca="1">VLOOKUP($B23,OFFSET([2]quests!$A$1,0,0,COUNTA([2]quests!$A:$A),MATCH(E$1,[2]quests!$1:$1,0)-MATCH($B$1,[2]quests!$1:$1,0)+1),MATCH(E$1,[2]quests!$1:$1,0)-MATCH($B$1,[2]quests!$1:$1,0)+1,FALSE)</f>
        <v>【マルチ専用1/2】 ゴールドカジノ</v>
      </c>
      <c r="F23" s="5" t="str">
        <f ca="1">VLOOKUP($D23,OFFSET([2]stages!$A$1,0,0,COUNTA([2]stages!$A:$A),MATCH(F$1,[2]stages!$2:$2,0)-MATCH($D$1,[2]stages!$2:$2,0)+1),MATCH(F$1,[2]stages!$2:$2,0)-MATCH($D$1,[2]stages!$2:$2,0)+1,FALSE)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3" s="26">
        <v>4</v>
      </c>
      <c r="H23" s="16" t="str">
        <f t="shared" si="29"/>
        <v>11016_1-4</v>
      </c>
      <c r="I23" s="5">
        <f ca="1">VLOOKUP($H23,OFFSET(floors_week_q_1Mc!$A$1,0,0,COUNTA(floors_week_q_1Mc!$A:$A),MATCH(I$1,floors_week_q_1Mc!$1:$1,0)-MATCH($H$1,floors_week_q_1Mc!$1:$1,0)+1),MATCH(I$1,floors_week_q_1Mc!$1:$1,0)-MATCH($H$1,floors_week_q_1Mc!$1:$1,0)+1,FALSE)</f>
        <v>35</v>
      </c>
      <c r="J23" s="5">
        <f ca="1">VLOOKUP($H23,OFFSET(floors_week_q_1Mc!$A$1,0,0,COUNTA(floors_week_q_1Mc!$A:$A),MATCH(J$1,floors_week_q_1Mc!$1:$1,0)-MATCH($H$1,floors_week_q_1Mc!$1:$1,0)+1),MATCH(J$1,floors_week_q_1Mc!$1:$1,0)-MATCH($H$1,floors_week_q_1Mc!$1:$1,0)+1,FALSE)</f>
        <v>60</v>
      </c>
      <c r="K23" s="32">
        <v>118</v>
      </c>
      <c r="L23" s="20" t="str">
        <f ca="1">VLOOKUP(K23,[3]enemies!$A:$B,2,FALSE)</f>
        <v>ゴールドチック</v>
      </c>
      <c r="M23" s="23" t="str">
        <f ca="1">VLOOKUP(K23,[3]enemies!$A:$D,4,FALSE)</f>
        <v>yellow</v>
      </c>
      <c r="N23" s="23" t="str">
        <f>VLOOKUP(K23,[4]characters!$A:$J,10,FALSE)</f>
        <v>Material</v>
      </c>
      <c r="O23" s="22" t="str">
        <f>VLOOKUP(K23,[4]characters!$A:$M,13,FALSE)</f>
        <v>unknown</v>
      </c>
      <c r="P23" s="5">
        <f ca="1">VLOOKUP(K23,[3]enemies!$A:$X,24,FALSE)</f>
        <v>15</v>
      </c>
      <c r="Q23" s="6">
        <v>2</v>
      </c>
      <c r="R23" s="36">
        <v>28.8</v>
      </c>
      <c r="S23" s="36">
        <v>38.5</v>
      </c>
      <c r="T23" s="6">
        <v>0</v>
      </c>
      <c r="U23" s="5" t="e">
        <f ca="1">VLOOKUP($V23,OFFSET([5]enemy_skill_sets!$B$1,0,0,COUNTA([5]enemy_skill_sets!$B:$B),MATCH(L$1,[5]enemy_skill_sets!$1:$1,0)-MATCH($V$1,[5]enemy_skill_sets!$1:$1,0)+2),MATCH(L$1,[5]enemy_skill_sets!$1:$1,0)-MATCH($V$1,[5]enemy_skill_sets!$1:$1,0)+2,FALSE)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3" s="5">
        <f ca="1">VLOOKUP($K23,OFFSET([3]enemies!$A$1,0,0,COUNTA([3]enemies!$A:$A),MATCH(V$1,[3]enemies!$1:$1,0)-MATCH($K$1,[3]enemies!$1:$1,0)+1),MATCH(V$1,[3]enemies!$1:$1,0)-MATCH($K$1,[3]enemies!$1:$1,0)+1,FALSE)</f>
        <v>0</v>
      </c>
      <c r="W23" s="7">
        <v>0</v>
      </c>
      <c r="X23" s="7">
        <v>10</v>
      </c>
      <c r="Y23" s="7">
        <v>0</v>
      </c>
      <c r="Z23" s="20">
        <f ca="1">VLOOKUP($K23,OFFSET([3]enemies!$A$1,0,0,COUNTA([3]enemies!$A:$A),MATCH(Z$1,[3]enemies!$1:$1,0)-MATCH($K$1,[3]enemies!$1:$1,0)+1),MATCH(Z$1,[3]enemies!$1:$1,0)-MATCH($K$1,[3]enemies!$1:$1,0)+1,FALSE)</f>
        <v>2</v>
      </c>
      <c r="AA23" s="2">
        <f t="shared" si="30"/>
        <v>118</v>
      </c>
      <c r="AB23" s="5" t="str">
        <f ca="1">VLOOKUP(AA23,[3]enemies!$A:$B,2,FALSE)</f>
        <v>ゴールドチック</v>
      </c>
      <c r="AC23" s="5">
        <f ca="1">VLOOKUP(AA23,[3]enemies!$A:$E,3,FALSE)</f>
        <v>4</v>
      </c>
      <c r="AD23" s="5" t="str">
        <f>VLOOKUP(AA23,[4]characters!$A:$J,10,FALSE)</f>
        <v>Material</v>
      </c>
      <c r="AE23" s="29">
        <v>1</v>
      </c>
      <c r="AF23" s="28">
        <f t="shared" ref="AF23" ca="1" si="31">AC23</f>
        <v>4</v>
      </c>
      <c r="AG23" s="9">
        <v>0</v>
      </c>
      <c r="AH23" s="29">
        <v>0</v>
      </c>
      <c r="AI23" s="29">
        <v>0</v>
      </c>
      <c r="AJ23" s="29">
        <v>0</v>
      </c>
      <c r="AK23" s="29">
        <v>0</v>
      </c>
      <c r="AL23" s="29">
        <v>1</v>
      </c>
      <c r="AM23" s="45" t="s">
        <v>108</v>
      </c>
    </row>
    <row r="24" spans="1:39" ht="21" customHeight="1" x14ac:dyDescent="0.15">
      <c r="A24" s="17" t="str">
        <f t="shared" ref="A24" ca="1" si="32">B24&amp;"_"&amp;C24&amp;"-"&amp;G24&amp;"/"&amp;K24&amp;"&lt;lv"&amp;Q24&amp;"&gt;s"&amp;Z24</f>
        <v>11016_1-4/63&lt;lv32&gt;s2</v>
      </c>
      <c r="B24" s="8">
        <v>11016</v>
      </c>
      <c r="C24" s="26">
        <v>1</v>
      </c>
      <c r="D24" s="2" t="str">
        <f t="shared" ref="D24" si="33">B24&amp;"_"&amp;C24</f>
        <v>11016_1</v>
      </c>
      <c r="E24" s="5" t="str">
        <f ca="1">VLOOKUP($B24,OFFSET([2]quests!$A$1,0,0,COUNTA([2]quests!$A:$A),MATCH(E$1,[2]quests!$1:$1,0)-MATCH($B$1,[2]quests!$1:$1,0)+1),MATCH(E$1,[2]quests!$1:$1,0)-MATCH($B$1,[2]quests!$1:$1,0)+1,FALSE)</f>
        <v>【マルチ専用1/2】 ゴールドカジノ</v>
      </c>
      <c r="F24" s="5" t="str">
        <f ca="1">VLOOKUP($D24,OFFSET([2]stages!$A$1,0,0,COUNTA([2]stages!$A:$A),MATCH(F$1,[2]stages!$2:$2,0)-MATCH($D$1,[2]stages!$2:$2,0)+1),MATCH(F$1,[2]stages!$2:$2,0)-MATCH($D$1,[2]stages!$2:$2,0)+1,FALSE)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4" s="26">
        <v>4</v>
      </c>
      <c r="H24" s="16" t="str">
        <f t="shared" ref="H24" si="34">B24&amp;"_"&amp;C24&amp;"-"&amp;G24</f>
        <v>11016_1-4</v>
      </c>
      <c r="I24" s="5">
        <f ca="1">VLOOKUP($H24,OFFSET(floors_week_q_1Mc!$A$1,0,0,COUNTA(floors_week_q_1Mc!$A:$A),MATCH(I$1,floors_week_q_1Mc!$1:$1,0)-MATCH($H$1,floors_week_q_1Mc!$1:$1,0)+1),MATCH(I$1,floors_week_q_1Mc!$1:$1,0)-MATCH($H$1,floors_week_q_1Mc!$1:$1,0)+1,FALSE)</f>
        <v>35</v>
      </c>
      <c r="J24" s="5">
        <f ca="1">VLOOKUP($H24,OFFSET(floors_week_q_1Mc!$A$1,0,0,COUNTA(floors_week_q_1Mc!$A:$A),MATCH(J$1,floors_week_q_1Mc!$1:$1,0)-MATCH($H$1,floors_week_q_1Mc!$1:$1,0)+1),MATCH(J$1,floors_week_q_1Mc!$1:$1,0)-MATCH($H$1,floors_week_q_1Mc!$1:$1,0)+1,FALSE)</f>
        <v>60</v>
      </c>
      <c r="K24" s="25">
        <v>63</v>
      </c>
      <c r="L24" s="20" t="str">
        <f ca="1">VLOOKUP(K24,[3]enemies!$A:$B,2,FALSE)</f>
        <v>トニー</v>
      </c>
      <c r="M24" s="23" t="str">
        <f ca="1">VLOOKUP(K24,[3]enemies!$A:$D,4,FALSE)</f>
        <v>yellow</v>
      </c>
      <c r="N24" s="23" t="str">
        <f>VLOOKUP(K24,[4]characters!$A:$J,10,FALSE)</f>
        <v>Drop1N</v>
      </c>
      <c r="O24" s="22" t="str">
        <f>VLOOKUP(K24,[4]characters!$A:$M,13,FALSE)</f>
        <v>animal</v>
      </c>
      <c r="P24" s="5">
        <f ca="1">VLOOKUP(K24,[3]enemies!$A:$X,24,FALSE)</f>
        <v>15</v>
      </c>
      <c r="Q24" s="6">
        <v>32</v>
      </c>
      <c r="R24" s="36">
        <v>1</v>
      </c>
      <c r="S24" s="36">
        <v>1</v>
      </c>
      <c r="T24" s="6">
        <v>0</v>
      </c>
      <c r="U24" s="5" t="e">
        <f ca="1">VLOOKUP($V24,OFFSET([5]enemy_skill_sets!$B$1,0,0,COUNTA([5]enemy_skill_sets!$B:$B),MATCH(L$1,[5]enemy_skill_sets!$1:$1,0)-MATCH($V$1,[5]enemy_skill_sets!$1:$1,0)+2),MATCH(L$1,[5]enemy_skill_sets!$1:$1,0)-MATCH($V$1,[5]enemy_skill_sets!$1:$1,0)+2,FALSE)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4" s="5">
        <f ca="1">VLOOKUP($K24,OFFSET([3]enemies!$A$1,0,0,COUNTA([3]enemies!$A:$A),MATCH(V$1,[3]enemies!$1:$1,0)-MATCH($K$1,[3]enemies!$1:$1,0)+1),MATCH(V$1,[3]enemies!$1:$1,0)-MATCH($K$1,[3]enemies!$1:$1,0)+1,FALSE)</f>
        <v>63</v>
      </c>
      <c r="W24" s="7">
        <v>0</v>
      </c>
      <c r="X24" s="7">
        <v>10</v>
      </c>
      <c r="Y24" s="7">
        <v>0</v>
      </c>
      <c r="Z24" s="20">
        <f ca="1">VLOOKUP($K24,OFFSET([3]enemies!$A$1,0,0,COUNTA([3]enemies!$A:$A),MATCH(Z$1,[3]enemies!$1:$1,0)-MATCH($K$1,[3]enemies!$1:$1,0)+1),MATCH(Z$1,[3]enemies!$1:$1,0)-MATCH($K$1,[3]enemies!$1:$1,0)+1,FALSE)</f>
        <v>2</v>
      </c>
      <c r="AA24" s="2">
        <f t="shared" ref="AA24" si="35">K24</f>
        <v>63</v>
      </c>
      <c r="AB24" s="5" t="str">
        <f ca="1">VLOOKUP(AA24,[3]enemies!$A:$B,2,FALSE)</f>
        <v>トニー</v>
      </c>
      <c r="AC24" s="5">
        <f ca="1">VLOOKUP(AA24,[3]enemies!$A:$E,3,FALSE)</f>
        <v>2</v>
      </c>
      <c r="AD24" s="5" t="str">
        <f>VLOOKUP(AA24,[4]characters!$A:$J,10,FALSE)</f>
        <v>Drop1N</v>
      </c>
      <c r="AE24" s="8">
        <v>1</v>
      </c>
      <c r="AF24" s="28">
        <f t="shared" ca="1" si="26"/>
        <v>2</v>
      </c>
      <c r="AG24" s="9">
        <v>0</v>
      </c>
      <c r="AH24" s="8">
        <v>0</v>
      </c>
      <c r="AI24" s="8">
        <v>0</v>
      </c>
      <c r="AJ24" s="8">
        <v>0</v>
      </c>
      <c r="AK24" s="8">
        <v>0</v>
      </c>
      <c r="AL24" s="8">
        <v>1</v>
      </c>
      <c r="AM24" s="45" t="s">
        <v>108</v>
      </c>
    </row>
    <row r="25" spans="1:39" ht="21" customHeight="1" x14ac:dyDescent="0.15">
      <c r="A25" s="17" t="str">
        <f t="shared" ref="A25:A27" ca="1" si="36">B25&amp;"_"&amp;C25&amp;"-"&amp;G25&amp;"/"&amp;K25&amp;"&lt;lv"&amp;Q25&amp;"&gt;s"&amp;Z25</f>
        <v>11016_1-4/61&lt;lv32&gt;s2</v>
      </c>
      <c r="B25" s="8">
        <v>11016</v>
      </c>
      <c r="C25" s="26">
        <v>1</v>
      </c>
      <c r="D25" s="16" t="str">
        <f t="shared" ref="D25:D27" si="37">B25&amp;"_"&amp;C25</f>
        <v>11016_1</v>
      </c>
      <c r="E25" s="5" t="str">
        <f ca="1">VLOOKUP($B25,OFFSET([2]quests!$A$1,0,0,COUNTA([2]quests!$A:$A),MATCH(E$1,[2]quests!$1:$1,0)-MATCH($B$1,[2]quests!$1:$1,0)+1),MATCH(E$1,[2]quests!$1:$1,0)-MATCH($B$1,[2]quests!$1:$1,0)+1,FALSE)</f>
        <v>【マルチ専用1/2】 ゴールドカジノ</v>
      </c>
      <c r="F25" s="5" t="str">
        <f ca="1">VLOOKUP($D25,OFFSET([2]stages!$A$1,0,0,COUNTA([2]stages!$A:$A),MATCH(F$1,[2]stages!$2:$2,0)-MATCH($D$1,[2]stages!$2:$2,0)+1),MATCH(F$1,[2]stages!$2:$2,0)-MATCH($D$1,[2]stages!$2:$2,0)+1,FALSE)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5" s="26">
        <v>4</v>
      </c>
      <c r="H25" s="16" t="str">
        <f t="shared" si="2"/>
        <v>11016_1-4</v>
      </c>
      <c r="I25" s="5">
        <f ca="1">VLOOKUP($H25,OFFSET(floors_week_q_1Mc!$A$1,0,0,COUNTA(floors_week_q_1Mc!$A:$A),MATCH(I$1,floors_week_q_1Mc!$1:$1,0)-MATCH($H$1,floors_week_q_1Mc!$1:$1,0)+1),MATCH(I$1,floors_week_q_1Mc!$1:$1,0)-MATCH($H$1,floors_week_q_1Mc!$1:$1,0)+1,FALSE)</f>
        <v>35</v>
      </c>
      <c r="J25" s="5">
        <f ca="1">VLOOKUP($H25,OFFSET(floors_week_q_1Mc!$A$1,0,0,COUNTA(floors_week_q_1Mc!$A:$A),MATCH(J$1,floors_week_q_1Mc!$1:$1,0)-MATCH($H$1,floors_week_q_1Mc!$1:$1,0)+1),MATCH(J$1,floors_week_q_1Mc!$1:$1,0)-MATCH($H$1,floors_week_q_1Mc!$1:$1,0)+1,FALSE)</f>
        <v>60</v>
      </c>
      <c r="K25" s="32">
        <v>61</v>
      </c>
      <c r="L25" s="20" t="str">
        <f ca="1">VLOOKUP(K25,[3]enemies!$A:$B,2,FALSE)</f>
        <v>クロウ</v>
      </c>
      <c r="M25" s="23" t="str">
        <f ca="1">VLOOKUP(K25,[3]enemies!$A:$D,4,FALSE)</f>
        <v>blue</v>
      </c>
      <c r="N25" s="23" t="str">
        <f>VLOOKUP(K25,[4]characters!$A:$J,10,FALSE)</f>
        <v>Drop1N</v>
      </c>
      <c r="O25" s="22" t="str">
        <f>VLOOKUP(K25,[4]characters!$A:$M,13,FALSE)</f>
        <v>animal</v>
      </c>
      <c r="P25" s="5">
        <f ca="1">VLOOKUP(K25,[3]enemies!$A:$X,24,FALSE)</f>
        <v>15</v>
      </c>
      <c r="Q25" s="6">
        <v>32</v>
      </c>
      <c r="R25" s="36">
        <v>1</v>
      </c>
      <c r="S25" s="36">
        <v>1</v>
      </c>
      <c r="T25" s="6">
        <v>0</v>
      </c>
      <c r="U25" s="5" t="e">
        <f ca="1">VLOOKUP($V25,OFFSET([5]enemy_skill_sets!$B$1,0,0,COUNTA([5]enemy_skill_sets!$B:$B),MATCH(L$1,[5]enemy_skill_sets!$1:$1,0)-MATCH($V$1,[5]enemy_skill_sets!$1:$1,0)+2),MATCH(L$1,[5]enemy_skill_sets!$1:$1,0)-MATCH($V$1,[5]enemy_skill_sets!$1:$1,0)+2,FALSE)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5" s="5">
        <f ca="1">VLOOKUP($K25,OFFSET([3]enemies!$A$1,0,0,COUNTA([3]enemies!$A:$A),MATCH(V$1,[3]enemies!$1:$1,0)-MATCH($K$1,[3]enemies!$1:$1,0)+1),MATCH(V$1,[3]enemies!$1:$1,0)-MATCH($K$1,[3]enemies!$1:$1,0)+1,FALSE)</f>
        <v>61</v>
      </c>
      <c r="W25" s="7">
        <v>0</v>
      </c>
      <c r="X25" s="7">
        <v>10</v>
      </c>
      <c r="Y25" s="7">
        <v>0</v>
      </c>
      <c r="Z25" s="20">
        <f ca="1">VLOOKUP($K25,OFFSET([3]enemies!$A$1,0,0,COUNTA([3]enemies!$A:$A),MATCH(Z$1,[3]enemies!$1:$1,0)-MATCH($K$1,[3]enemies!$1:$1,0)+1),MATCH(Z$1,[3]enemies!$1:$1,0)-MATCH($K$1,[3]enemies!$1:$1,0)+1,FALSE)</f>
        <v>2</v>
      </c>
      <c r="AA25" s="2">
        <f t="shared" ref="AA25:AA27" si="38">K25</f>
        <v>61</v>
      </c>
      <c r="AB25" s="5" t="str">
        <f ca="1">VLOOKUP(AA25,[3]enemies!$A:$B,2,FALSE)</f>
        <v>クロウ</v>
      </c>
      <c r="AC25" s="5">
        <f ca="1">VLOOKUP(AA25,[3]enemies!$A:$E,3,FALSE)</f>
        <v>2</v>
      </c>
      <c r="AD25" s="5" t="str">
        <f>VLOOKUP(AA25,[4]characters!$A:$J,10,FALSE)</f>
        <v>Drop1N</v>
      </c>
      <c r="AE25" s="29">
        <v>1</v>
      </c>
      <c r="AF25" s="28">
        <f t="shared" ca="1" si="26"/>
        <v>2</v>
      </c>
      <c r="AG25" s="9">
        <v>0</v>
      </c>
      <c r="AH25" s="29">
        <v>0</v>
      </c>
      <c r="AI25" s="29">
        <v>0</v>
      </c>
      <c r="AJ25" s="29">
        <v>0</v>
      </c>
      <c r="AK25" s="29">
        <v>0</v>
      </c>
      <c r="AL25" s="29">
        <v>1</v>
      </c>
      <c r="AM25" s="45" t="s">
        <v>108</v>
      </c>
    </row>
    <row r="26" spans="1:39" ht="21" customHeight="1" x14ac:dyDescent="0.15">
      <c r="A26" s="17" t="str">
        <f t="shared" ca="1" si="36"/>
        <v>11016_1-4/57&lt;lv32&gt;s2</v>
      </c>
      <c r="B26" s="8">
        <v>11016</v>
      </c>
      <c r="C26" s="26">
        <v>1</v>
      </c>
      <c r="D26" s="16" t="str">
        <f t="shared" si="37"/>
        <v>11016_1</v>
      </c>
      <c r="E26" s="5" t="str">
        <f ca="1">VLOOKUP($B26,OFFSET([2]quests!$A$1,0,0,COUNTA([2]quests!$A:$A),MATCH(E$1,[2]quests!$1:$1,0)-MATCH($B$1,[2]quests!$1:$1,0)+1),MATCH(E$1,[2]quests!$1:$1,0)-MATCH($B$1,[2]quests!$1:$1,0)+1,FALSE)</f>
        <v>【マルチ専用1/2】 ゴールドカジノ</v>
      </c>
      <c r="F26" s="5" t="str">
        <f ca="1">VLOOKUP($D26,OFFSET([2]stages!$A$1,0,0,COUNTA([2]stages!$A:$A),MATCH(F$1,[2]stages!$2:$2,0)-MATCH($D$1,[2]stages!$2:$2,0)+1),MATCH(F$1,[2]stages!$2:$2,0)-MATCH($D$1,[2]stages!$2:$2,0)+1,FALSE)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6" s="26">
        <v>4</v>
      </c>
      <c r="H26" s="16" t="str">
        <f t="shared" si="2"/>
        <v>11016_1-4</v>
      </c>
      <c r="I26" s="5">
        <f ca="1">VLOOKUP($H26,OFFSET(floors_week_q_1Mc!$A$1,0,0,COUNTA(floors_week_q_1Mc!$A:$A),MATCH(I$1,floors_week_q_1Mc!$1:$1,0)-MATCH($H$1,floors_week_q_1Mc!$1:$1,0)+1),MATCH(I$1,floors_week_q_1Mc!$1:$1,0)-MATCH($H$1,floors_week_q_1Mc!$1:$1,0)+1,FALSE)</f>
        <v>35</v>
      </c>
      <c r="J26" s="5">
        <f ca="1">VLOOKUP($H26,OFFSET(floors_week_q_1Mc!$A$1,0,0,COUNTA(floors_week_q_1Mc!$A:$A),MATCH(J$1,floors_week_q_1Mc!$1:$1,0)-MATCH($H$1,floors_week_q_1Mc!$1:$1,0)+1),MATCH(J$1,floors_week_q_1Mc!$1:$1,0)-MATCH($H$1,floors_week_q_1Mc!$1:$1,0)+1,FALSE)</f>
        <v>60</v>
      </c>
      <c r="K26" s="32">
        <v>57</v>
      </c>
      <c r="L26" s="20" t="str">
        <f ca="1">VLOOKUP(K26,[3]enemies!$A:$B,2,FALSE)</f>
        <v>チェン・リー</v>
      </c>
      <c r="M26" s="23" t="str">
        <f ca="1">VLOOKUP(K26,[3]enemies!$A:$D,4,FALSE)</f>
        <v>red</v>
      </c>
      <c r="N26" s="23" t="str">
        <f>VLOOKUP(K26,[4]characters!$A:$J,10,FALSE)</f>
        <v>Drop1N</v>
      </c>
      <c r="O26" s="22" t="str">
        <f>VLOOKUP(K26,[4]characters!$A:$M,13,FALSE)</f>
        <v>animal</v>
      </c>
      <c r="P26" s="5">
        <f ca="1">VLOOKUP(K26,[3]enemies!$A:$X,24,FALSE)</f>
        <v>15</v>
      </c>
      <c r="Q26" s="6">
        <v>32</v>
      </c>
      <c r="R26" s="36">
        <v>1</v>
      </c>
      <c r="S26" s="36">
        <v>1</v>
      </c>
      <c r="T26" s="6">
        <v>0</v>
      </c>
      <c r="U26" s="5" t="e">
        <f ca="1">VLOOKUP($V26,OFFSET([5]enemy_skill_sets!$B$1,0,0,COUNTA([5]enemy_skill_sets!$B:$B),MATCH(L$1,[5]enemy_skill_sets!$1:$1,0)-MATCH($V$1,[5]enemy_skill_sets!$1:$1,0)+2),MATCH(L$1,[5]enemy_skill_sets!$1:$1,0)-MATCH($V$1,[5]enemy_skill_sets!$1:$1,0)+2,FALSE)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6" s="5">
        <f ca="1">VLOOKUP($K26,OFFSET([3]enemies!$A$1,0,0,COUNTA([3]enemies!$A:$A),MATCH(V$1,[3]enemies!$1:$1,0)-MATCH($K$1,[3]enemies!$1:$1,0)+1),MATCH(V$1,[3]enemies!$1:$1,0)-MATCH($K$1,[3]enemies!$1:$1,0)+1,FALSE)</f>
        <v>57</v>
      </c>
      <c r="W26" s="7">
        <v>0</v>
      </c>
      <c r="X26" s="7">
        <v>10</v>
      </c>
      <c r="Y26" s="7">
        <v>0</v>
      </c>
      <c r="Z26" s="20">
        <f ca="1">VLOOKUP($K26,OFFSET([3]enemies!$A$1,0,0,COUNTA([3]enemies!$A:$A),MATCH(Z$1,[3]enemies!$1:$1,0)-MATCH($K$1,[3]enemies!$1:$1,0)+1),MATCH(Z$1,[3]enemies!$1:$1,0)-MATCH($K$1,[3]enemies!$1:$1,0)+1,FALSE)</f>
        <v>2</v>
      </c>
      <c r="AA26" s="2">
        <f t="shared" si="38"/>
        <v>57</v>
      </c>
      <c r="AB26" s="5" t="str">
        <f ca="1">VLOOKUP(AA26,[3]enemies!$A:$B,2,FALSE)</f>
        <v>チェン・リー</v>
      </c>
      <c r="AC26" s="5">
        <f ca="1">VLOOKUP(AA26,[3]enemies!$A:$E,3,FALSE)</f>
        <v>2</v>
      </c>
      <c r="AD26" s="5" t="str">
        <f>VLOOKUP(AA26,[4]characters!$A:$J,10,FALSE)</f>
        <v>Drop1N</v>
      </c>
      <c r="AE26" s="29">
        <v>1</v>
      </c>
      <c r="AF26" s="28">
        <f t="shared" ca="1" si="26"/>
        <v>2</v>
      </c>
      <c r="AG26" s="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1</v>
      </c>
      <c r="AM26" s="45" t="s">
        <v>108</v>
      </c>
    </row>
    <row r="27" spans="1:39" ht="21" customHeight="1" x14ac:dyDescent="0.15">
      <c r="A27" s="17" t="str">
        <f t="shared" ca="1" si="36"/>
        <v>11016_1-4/59&lt;lv32&gt;s2</v>
      </c>
      <c r="B27" s="8">
        <v>11016</v>
      </c>
      <c r="C27" s="26">
        <v>1</v>
      </c>
      <c r="D27" s="16" t="str">
        <f t="shared" si="37"/>
        <v>11016_1</v>
      </c>
      <c r="E27" s="5" t="str">
        <f ca="1">VLOOKUP($B27,OFFSET([2]quests!$A$1,0,0,COUNTA([2]quests!$A:$A),MATCH(E$1,[2]quests!$1:$1,0)-MATCH($B$1,[2]quests!$1:$1,0)+1),MATCH(E$1,[2]quests!$1:$1,0)-MATCH($B$1,[2]quests!$1:$1,0)+1,FALSE)</f>
        <v>【マルチ専用1/2】 ゴールドカジノ</v>
      </c>
      <c r="F27" s="5" t="str">
        <f ca="1">VLOOKUP($D27,OFFSET([2]stages!$A$1,0,0,COUNTA([2]stages!$A:$A),MATCH(F$1,[2]stages!$2:$2,0)-MATCH($D$1,[2]stages!$2:$2,0)+1),MATCH(F$1,[2]stages!$2:$2,0)-MATCH($D$1,[2]stages!$2:$2,0)+1,FALSE)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7" s="26">
        <v>4</v>
      </c>
      <c r="H27" s="16" t="str">
        <f t="shared" si="2"/>
        <v>11016_1-4</v>
      </c>
      <c r="I27" s="5">
        <f ca="1">VLOOKUP($H27,OFFSET(floors_week_q_1Mc!$A$1,0,0,COUNTA(floors_week_q_1Mc!$A:$A),MATCH(I$1,floors_week_q_1Mc!$1:$1,0)-MATCH($H$1,floors_week_q_1Mc!$1:$1,0)+1),MATCH(I$1,floors_week_q_1Mc!$1:$1,0)-MATCH($H$1,floors_week_q_1Mc!$1:$1,0)+1,FALSE)</f>
        <v>35</v>
      </c>
      <c r="J27" s="5">
        <f ca="1">VLOOKUP($H27,OFFSET(floors_week_q_1Mc!$A$1,0,0,COUNTA(floors_week_q_1Mc!$A:$A),MATCH(J$1,floors_week_q_1Mc!$1:$1,0)-MATCH($H$1,floors_week_q_1Mc!$1:$1,0)+1),MATCH(J$1,floors_week_q_1Mc!$1:$1,0)-MATCH($H$1,floors_week_q_1Mc!$1:$1,0)+1,FALSE)</f>
        <v>60</v>
      </c>
      <c r="K27" s="32">
        <v>59</v>
      </c>
      <c r="L27" s="20" t="str">
        <f ca="1">VLOOKUP(K27,[3]enemies!$A:$B,2,FALSE)</f>
        <v>マーチ</v>
      </c>
      <c r="M27" s="23" t="str">
        <f ca="1">VLOOKUP(K27,[3]enemies!$A:$D,4,FALSE)</f>
        <v>green</v>
      </c>
      <c r="N27" s="23" t="str">
        <f>VLOOKUP(K27,[4]characters!$A:$J,10,FALSE)</f>
        <v>Drop1N</v>
      </c>
      <c r="O27" s="22" t="str">
        <f>VLOOKUP(K27,[4]characters!$A:$M,13,FALSE)</f>
        <v>animal</v>
      </c>
      <c r="P27" s="5">
        <f ca="1">VLOOKUP(K27,[3]enemies!$A:$X,24,FALSE)</f>
        <v>15</v>
      </c>
      <c r="Q27" s="6">
        <v>32</v>
      </c>
      <c r="R27" s="36">
        <v>1</v>
      </c>
      <c r="S27" s="36">
        <v>1</v>
      </c>
      <c r="T27" s="6">
        <v>0</v>
      </c>
      <c r="U27" s="5" t="e">
        <f ca="1">VLOOKUP($V27,OFFSET([5]enemy_skill_sets!$B$1,0,0,COUNTA([5]enemy_skill_sets!$B:$B),MATCH(L$1,[5]enemy_skill_sets!$1:$1,0)-MATCH($V$1,[5]enemy_skill_sets!$1:$1,0)+2),MATCH(L$1,[5]enemy_skill_sets!$1:$1,0)-MATCH($V$1,[5]enemy_skill_sets!$1:$1,0)+2,FALSE)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7" s="5">
        <f ca="1">VLOOKUP($K27,OFFSET([3]enemies!$A$1,0,0,COUNTA([3]enemies!$A:$A),MATCH(V$1,[3]enemies!$1:$1,0)-MATCH($K$1,[3]enemies!$1:$1,0)+1),MATCH(V$1,[3]enemies!$1:$1,0)-MATCH($K$1,[3]enemies!$1:$1,0)+1,FALSE)</f>
        <v>59</v>
      </c>
      <c r="W27" s="7">
        <v>0</v>
      </c>
      <c r="X27" s="7">
        <v>10</v>
      </c>
      <c r="Y27" s="7">
        <v>0</v>
      </c>
      <c r="Z27" s="20">
        <f ca="1">VLOOKUP($K27,OFFSET([3]enemies!$A$1,0,0,COUNTA([3]enemies!$A:$A),MATCH(Z$1,[3]enemies!$1:$1,0)-MATCH($K$1,[3]enemies!$1:$1,0)+1),MATCH(Z$1,[3]enemies!$1:$1,0)-MATCH($K$1,[3]enemies!$1:$1,0)+1,FALSE)</f>
        <v>2</v>
      </c>
      <c r="AA27" s="2">
        <f t="shared" si="38"/>
        <v>59</v>
      </c>
      <c r="AB27" s="5" t="str">
        <f ca="1">VLOOKUP(AA27,[3]enemies!$A:$B,2,FALSE)</f>
        <v>マーチ</v>
      </c>
      <c r="AC27" s="5">
        <f ca="1">VLOOKUP(AA27,[3]enemies!$A:$E,3,FALSE)</f>
        <v>2</v>
      </c>
      <c r="AD27" s="5" t="str">
        <f>VLOOKUP(AA27,[4]characters!$A:$J,10,FALSE)</f>
        <v>Drop1N</v>
      </c>
      <c r="AE27" s="29">
        <v>1</v>
      </c>
      <c r="AF27" s="28">
        <f t="shared" ca="1" si="26"/>
        <v>2</v>
      </c>
      <c r="AG27" s="9">
        <v>0</v>
      </c>
      <c r="AH27" s="29">
        <v>0</v>
      </c>
      <c r="AI27" s="29">
        <v>0</v>
      </c>
      <c r="AJ27" s="29">
        <v>0</v>
      </c>
      <c r="AK27" s="29">
        <v>0</v>
      </c>
      <c r="AL27" s="29">
        <v>1</v>
      </c>
      <c r="AM27" s="45" t="s">
        <v>108</v>
      </c>
    </row>
    <row r="28" spans="1:39" ht="21" customHeight="1" x14ac:dyDescent="0.15">
      <c r="A28" s="17" t="str">
        <f t="shared" ca="1" si="0"/>
        <v>11016_1-5/119&lt;lv2&gt;s3</v>
      </c>
      <c r="B28" s="8">
        <v>11016</v>
      </c>
      <c r="C28" s="26">
        <v>1</v>
      </c>
      <c r="D28" s="2" t="str">
        <f t="shared" si="1"/>
        <v>11016_1</v>
      </c>
      <c r="E28" s="5" t="str">
        <f ca="1">VLOOKUP($B28,OFFSET([2]quests!$A$1,0,0,COUNTA([2]quests!$A:$A),MATCH(E$1,[2]quests!$1:$1,0)-MATCH($B$1,[2]quests!$1:$1,0)+1),MATCH(E$1,[2]quests!$1:$1,0)-MATCH($B$1,[2]quests!$1:$1,0)+1,FALSE)</f>
        <v>【マルチ専用1/2】 ゴールドカジノ</v>
      </c>
      <c r="F28" s="5" t="str">
        <f ca="1">VLOOKUP($D28,OFFSET([2]stages!$A$1,0,0,COUNTA([2]stages!$A:$A),MATCH(F$1,[2]stages!$2:$2,0)-MATCH($D$1,[2]stages!$2:$2,0)+1),MATCH(F$1,[2]stages!$2:$2,0)-MATCH($D$1,[2]stages!$2:$2,0)+1,FALSE)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" s="26">
        <v>5</v>
      </c>
      <c r="H28" s="16" t="str">
        <f t="shared" si="2"/>
        <v>11016_1-5</v>
      </c>
      <c r="I28" s="5">
        <f ca="1">VLOOKUP($H28,OFFSET(floors_week_q_1Mc!$A$1,0,0,COUNTA(floors_week_q_1Mc!$A:$A),MATCH(I$1,floors_week_q_1Mc!$1:$1,0)-MATCH($H$1,floors_week_q_1Mc!$1:$1,0)+1),MATCH(I$1,floors_week_q_1Mc!$1:$1,0)-MATCH($H$1,floors_week_q_1Mc!$1:$1,0)+1,FALSE)</f>
        <v>50</v>
      </c>
      <c r="J28" s="5">
        <f ca="1">VLOOKUP($H28,OFFSET(floors_week_q_1Mc!$A$1,0,0,COUNTA(floors_week_q_1Mc!$A:$A),MATCH(J$1,floors_week_q_1Mc!$1:$1,0)-MATCH($H$1,floors_week_q_1Mc!$1:$1,0)+1),MATCH(J$1,floors_week_q_1Mc!$1:$1,0)-MATCH($H$1,floors_week_q_1Mc!$1:$1,0)+1,FALSE)</f>
        <v>50</v>
      </c>
      <c r="K28" s="25">
        <v>119</v>
      </c>
      <c r="L28" s="20" t="str">
        <f ca="1">VLOOKUP(K28,[3]enemies!$A:$B,2,FALSE)</f>
        <v>ゴールドダック</v>
      </c>
      <c r="M28" s="23" t="str">
        <f ca="1">VLOOKUP(K28,[3]enemies!$A:$D,4,FALSE)</f>
        <v>yellow</v>
      </c>
      <c r="N28" s="23" t="str">
        <f>VLOOKUP(K28,[4]characters!$A:$J,10,FALSE)</f>
        <v>Material</v>
      </c>
      <c r="O28" s="22" t="str">
        <f>VLOOKUP(K28,[4]characters!$A:$M,13,FALSE)</f>
        <v>unknown</v>
      </c>
      <c r="P28" s="5">
        <f ca="1">VLOOKUP(K28,[3]enemies!$A:$X,24,FALSE)</f>
        <v>20</v>
      </c>
      <c r="Q28" s="6">
        <v>2</v>
      </c>
      <c r="R28" s="36">
        <v>93.3</v>
      </c>
      <c r="S28" s="36">
        <v>41</v>
      </c>
      <c r="T28" s="6">
        <v>0</v>
      </c>
      <c r="U28" s="5" t="e">
        <f ca="1">VLOOKUP($V28,OFFSET([5]enemy_skill_sets!$B$1,0,0,COUNTA([5]enemy_skill_sets!$B:$B),MATCH(L$1,[5]enemy_skill_sets!$1:$1,0)-MATCH($V$1,[5]enemy_skill_sets!$1:$1,0)+2),MATCH(L$1,[5]enemy_skill_sets!$1:$1,0)-MATCH($V$1,[5]enemy_skill_sets!$1:$1,0)+2,FALSE)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8" s="5">
        <f ca="1">VLOOKUP($K28,OFFSET([3]enemies!$A$1,0,0,COUNTA([3]enemies!$A:$A),MATCH(V$1,[3]enemies!$1:$1,0)-MATCH($K$1,[3]enemies!$1:$1,0)+1),MATCH(V$1,[3]enemies!$1:$1,0)-MATCH($K$1,[3]enemies!$1:$1,0)+1,FALSE)</f>
        <v>0</v>
      </c>
      <c r="W28" s="7">
        <v>1</v>
      </c>
      <c r="X28" s="7">
        <v>0</v>
      </c>
      <c r="Y28" s="7">
        <v>1</v>
      </c>
      <c r="Z28" s="20">
        <f ca="1">VLOOKUP($K28,OFFSET([3]enemies!$A$1,0,0,COUNTA([3]enemies!$A:$A),MATCH(Z$1,[3]enemies!$1:$1,0)-MATCH($K$1,[3]enemies!$1:$1,0)+1),MATCH(Z$1,[3]enemies!$1:$1,0)-MATCH($K$1,[3]enemies!$1:$1,0)+1,FALSE)</f>
        <v>3</v>
      </c>
      <c r="AA28" s="2">
        <f>K28</f>
        <v>119</v>
      </c>
      <c r="AB28" s="5" t="str">
        <f ca="1">VLOOKUP(AA28,[3]enemies!$A:$B,2,FALSE)</f>
        <v>ゴールドダック</v>
      </c>
      <c r="AC28" s="5">
        <f ca="1">VLOOKUP(AA28,[3]enemies!$A:$E,3,FALSE)</f>
        <v>5</v>
      </c>
      <c r="AD28" s="5" t="str">
        <f>VLOOKUP(AA28,[4]characters!$A:$J,10,FALSE)</f>
        <v>Material</v>
      </c>
      <c r="AE28" s="8">
        <v>1</v>
      </c>
      <c r="AF28" s="28">
        <f t="shared" ca="1" si="26"/>
        <v>5</v>
      </c>
      <c r="AG28" s="9">
        <v>100</v>
      </c>
      <c r="AH28" s="8">
        <v>0</v>
      </c>
      <c r="AI28" s="8">
        <v>0</v>
      </c>
      <c r="AJ28" s="8">
        <v>0</v>
      </c>
      <c r="AK28" s="8">
        <v>0</v>
      </c>
      <c r="AL28" s="8">
        <v>1</v>
      </c>
      <c r="AM28" s="45" t="s">
        <v>108</v>
      </c>
    </row>
    <row r="29" spans="1:39" ht="21" customHeight="1" x14ac:dyDescent="0.15">
      <c r="A29" s="17" t="str">
        <f t="shared" ref="A29:A45" ca="1" si="39">B29&amp;"_"&amp;C29&amp;"-"&amp;G29&amp;"/"&amp;K29&amp;"&lt;lv"&amp;Q29&amp;"&gt;s"&amp;Z29</f>
        <v>11016_1-5/118&lt;lv2&gt;s2</v>
      </c>
      <c r="B29" s="8">
        <v>11016</v>
      </c>
      <c r="C29" s="26">
        <v>1</v>
      </c>
      <c r="D29" s="16" t="str">
        <f t="shared" ref="D29:D45" si="40">B29&amp;"_"&amp;C29</f>
        <v>11016_1</v>
      </c>
      <c r="E29" s="5" t="str">
        <f ca="1">VLOOKUP($B29,OFFSET([2]quests!$A$1,0,0,COUNTA([2]quests!$A:$A),MATCH(E$1,[2]quests!$1:$1,0)-MATCH($B$1,[2]quests!$1:$1,0)+1),MATCH(E$1,[2]quests!$1:$1,0)-MATCH($B$1,[2]quests!$1:$1,0)+1,FALSE)</f>
        <v>【マルチ専用1/2】 ゴールドカジノ</v>
      </c>
      <c r="F29" s="5" t="str">
        <f ca="1">VLOOKUP($D29,OFFSET([2]stages!$A$1,0,0,COUNTA([2]stages!$A:$A),MATCH(F$1,[2]stages!$2:$2,0)-MATCH($D$1,[2]stages!$2:$2,0)+1),MATCH(F$1,[2]stages!$2:$2,0)-MATCH($D$1,[2]stages!$2:$2,0)+1,FALSE)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" s="26">
        <v>5</v>
      </c>
      <c r="H29" s="16" t="str">
        <f t="shared" ref="H29:H45" si="41">B29&amp;"_"&amp;C29&amp;"-"&amp;G29</f>
        <v>11016_1-5</v>
      </c>
      <c r="I29" s="5">
        <f ca="1">VLOOKUP($H29,OFFSET(floors_week_q_1Mc!$A$1,0,0,COUNTA(floors_week_q_1Mc!$A:$A),MATCH(I$1,floors_week_q_1Mc!$1:$1,0)-MATCH($H$1,floors_week_q_1Mc!$1:$1,0)+1),MATCH(I$1,floors_week_q_1Mc!$1:$1,0)-MATCH($H$1,floors_week_q_1Mc!$1:$1,0)+1,FALSE)</f>
        <v>50</v>
      </c>
      <c r="J29" s="5">
        <f ca="1">VLOOKUP($H29,OFFSET(floors_week_q_1Mc!$A$1,0,0,COUNTA(floors_week_q_1Mc!$A:$A),MATCH(J$1,floors_week_q_1Mc!$1:$1,0)-MATCH($H$1,floors_week_q_1Mc!$1:$1,0)+1),MATCH(J$1,floors_week_q_1Mc!$1:$1,0)-MATCH($H$1,floors_week_q_1Mc!$1:$1,0)+1,FALSE)</f>
        <v>50</v>
      </c>
      <c r="K29" s="32">
        <v>118</v>
      </c>
      <c r="L29" s="20" t="str">
        <f ca="1">VLOOKUP(K29,[3]enemies!$A:$B,2,FALSE)</f>
        <v>ゴールドチック</v>
      </c>
      <c r="M29" s="23" t="str">
        <f ca="1">VLOOKUP(K29,[3]enemies!$A:$D,4,FALSE)</f>
        <v>yellow</v>
      </c>
      <c r="N29" s="23" t="str">
        <f>VLOOKUP(K29,[4]characters!$A:$J,10,FALSE)</f>
        <v>Material</v>
      </c>
      <c r="O29" s="22" t="str">
        <f>VLOOKUP(K29,[4]characters!$A:$M,13,FALSE)</f>
        <v>unknown</v>
      </c>
      <c r="P29" s="5">
        <f ca="1">VLOOKUP(K29,[3]enemies!$A:$X,24,FALSE)</f>
        <v>15</v>
      </c>
      <c r="Q29" s="6">
        <v>2</v>
      </c>
      <c r="R29" s="36">
        <v>28.8</v>
      </c>
      <c r="S29" s="36">
        <v>38.5</v>
      </c>
      <c r="T29" s="6">
        <v>0</v>
      </c>
      <c r="U29" s="5" t="e">
        <f ca="1">VLOOKUP($V29,OFFSET([5]enemy_skill_sets!$B$1,0,0,COUNTA([5]enemy_skill_sets!$B:$B),MATCH(L$1,[5]enemy_skill_sets!$1:$1,0)-MATCH($V$1,[5]enemy_skill_sets!$1:$1,0)+2),MATCH(L$1,[5]enemy_skill_sets!$1:$1,0)-MATCH($V$1,[5]enemy_skill_sets!$1:$1,0)+2,FALSE)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29" s="5">
        <f ca="1">VLOOKUP($K29,OFFSET([3]enemies!$A$1,0,0,COUNTA([3]enemies!$A:$A),MATCH(V$1,[3]enemies!$1:$1,0)-MATCH($K$1,[3]enemies!$1:$1,0)+1),MATCH(V$1,[3]enemies!$1:$1,0)-MATCH($K$1,[3]enemies!$1:$1,0)+1,FALSE)</f>
        <v>0</v>
      </c>
      <c r="W29" s="7">
        <v>2</v>
      </c>
      <c r="X29" s="7">
        <v>0</v>
      </c>
      <c r="Y29" s="7">
        <v>0</v>
      </c>
      <c r="Z29" s="20">
        <f ca="1">VLOOKUP($K29,OFFSET([3]enemies!$A$1,0,0,COUNTA([3]enemies!$A:$A),MATCH(Z$1,[3]enemies!$1:$1,0)-MATCH($K$1,[3]enemies!$1:$1,0)+1),MATCH(Z$1,[3]enemies!$1:$1,0)-MATCH($K$1,[3]enemies!$1:$1,0)+1,FALSE)</f>
        <v>2</v>
      </c>
      <c r="AA29" s="2">
        <f t="shared" ref="AA29:AA45" si="42">K29</f>
        <v>118</v>
      </c>
      <c r="AB29" s="5" t="str">
        <f ca="1">VLOOKUP(AA29,[3]enemies!$A:$B,2,FALSE)</f>
        <v>ゴールドチック</v>
      </c>
      <c r="AC29" s="5">
        <f ca="1">VLOOKUP(AA29,[3]enemies!$A:$E,3,FALSE)</f>
        <v>4</v>
      </c>
      <c r="AD29" s="5" t="str">
        <f>VLOOKUP(AA29,[4]characters!$A:$J,10,FALSE)</f>
        <v>Material</v>
      </c>
      <c r="AE29" s="29">
        <v>1</v>
      </c>
      <c r="AF29" s="28">
        <f t="shared" ref="AF29:AF44" ca="1" si="43">AC29</f>
        <v>4</v>
      </c>
      <c r="AG29" s="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1</v>
      </c>
      <c r="AM29" s="45" t="s">
        <v>108</v>
      </c>
    </row>
    <row r="30" spans="1:39" ht="21" customHeight="1" x14ac:dyDescent="0.15">
      <c r="A30" s="17" t="str">
        <f t="shared" ca="1" si="39"/>
        <v>11018_1-1/118&lt;lv1&gt;s2</v>
      </c>
      <c r="B30" s="8">
        <v>11018</v>
      </c>
      <c r="C30" s="26">
        <v>1</v>
      </c>
      <c r="D30" s="2" t="str">
        <f t="shared" si="40"/>
        <v>11018_1</v>
      </c>
      <c r="E30" s="5" t="str">
        <f ca="1">VLOOKUP($B30,OFFSET([2]quests!$A$1,0,0,COUNTA([2]quests!$A:$A),MATCH(E$1,[2]quests!$1:$1,0)-MATCH($B$1,[2]quests!$1:$1,0)+1),MATCH(E$1,[2]quests!$1:$1,0)-MATCH($B$1,[2]quests!$1:$1,0)+1,FALSE)</f>
        <v>【スタミナ1/2】 ゴールドカジノ</v>
      </c>
      <c r="F30" s="23" t="str">
        <f ca="1">VLOOKUP($D30,OFFSET([2]stages!$A$1,0,0,COUNTA([2]stages!$A:$A),MATCH(F$1,[2]stages!$2:$2,0)-MATCH($D$1,[2]stages!$2:$2,0)+1),MATCH(F$1,[2]stages!$2:$2,0)-MATCH($D$1,[2]stages!$2:$2,0)+1,FALSE)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0" s="26">
        <v>1</v>
      </c>
      <c r="H30" s="16" t="str">
        <f t="shared" si="41"/>
        <v>11018_1-1</v>
      </c>
      <c r="I30" s="5">
        <f ca="1">VLOOKUP($H30,OFFSET(floors_week_q_1Mc!$A$1,0,0,COUNTA(floors_week_q_1Mc!$A:$A),MATCH(I$1,floors_week_q_1Mc!$1:$1,0)-MATCH($H$1,floors_week_q_1Mc!$1:$1,0)+1),MATCH(I$1,floors_week_q_1Mc!$1:$1,0)-MATCH($H$1,floors_week_q_1Mc!$1:$1,0)+1,FALSE)</f>
        <v>30</v>
      </c>
      <c r="J30" s="5">
        <f ca="1">VLOOKUP($H30,OFFSET(floors_week_q_1Mc!$A$1,0,0,COUNTA(floors_week_q_1Mc!$A:$A),MATCH(J$1,floors_week_q_1Mc!$1:$1,0)-MATCH($H$1,floors_week_q_1Mc!$1:$1,0)+1),MATCH(J$1,floors_week_q_1Mc!$1:$1,0)-MATCH($H$1,floors_week_q_1Mc!$1:$1,0)+1,FALSE)</f>
        <v>55</v>
      </c>
      <c r="K30" s="25">
        <v>118</v>
      </c>
      <c r="L30" s="20" t="str">
        <f ca="1">VLOOKUP(K30,[3]enemies!$A:$B,2,FALSE)</f>
        <v>ゴールドチック</v>
      </c>
      <c r="M30" s="23" t="str">
        <f ca="1">VLOOKUP(K30,[3]enemies!$A:$D,4,FALSE)</f>
        <v>yellow</v>
      </c>
      <c r="N30" s="23" t="str">
        <f>VLOOKUP(K30,[4]characters!$A:$J,10,FALSE)</f>
        <v>Material</v>
      </c>
      <c r="O30" s="22" t="str">
        <f>VLOOKUP(K30,[4]characters!$A:$M,13,FALSE)</f>
        <v>unknown</v>
      </c>
      <c r="P30" s="5">
        <f ca="1">VLOOKUP(K30,[3]enemies!$A:$X,24,FALSE)</f>
        <v>15</v>
      </c>
      <c r="Q30" s="6">
        <v>1</v>
      </c>
      <c r="R30" s="36">
        <v>16.5</v>
      </c>
      <c r="S30" s="36">
        <v>15.75</v>
      </c>
      <c r="T30" s="6">
        <v>0</v>
      </c>
      <c r="U30" s="5" t="e">
        <f ca="1">VLOOKUP($V30,OFFSET([5]enemy_skill_sets!$B$1,0,0,COUNTA([5]enemy_skill_sets!$B:$B),MATCH(L$1,[5]enemy_skill_sets!$1:$1,0)-MATCH($V$1,[5]enemy_skill_sets!$1:$1,0)+2),MATCH(L$1,[5]enemy_skill_sets!$1:$1,0)-MATCH($V$1,[5]enemy_skill_sets!$1:$1,0)+2,FALSE)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0" s="5">
        <f ca="1">VLOOKUP($K30,OFFSET([3]enemies!$A$1,0,0,COUNTA([3]enemies!$A:$A),MATCH(V$1,[3]enemies!$1:$1,0)-MATCH($K$1,[3]enemies!$1:$1,0)+1),MATCH(V$1,[3]enemies!$1:$1,0)-MATCH($K$1,[3]enemies!$1:$1,0)+1,FALSE)</f>
        <v>0</v>
      </c>
      <c r="W30" s="7">
        <v>1</v>
      </c>
      <c r="X30" s="7">
        <v>0</v>
      </c>
      <c r="Y30" s="7">
        <v>1</v>
      </c>
      <c r="Z30" s="20">
        <f ca="1">VLOOKUP($K30,OFFSET([3]enemies!$A$1,0,0,COUNTA([3]enemies!$A:$A),MATCH(Z$1,[3]enemies!$1:$1,0)-MATCH($K$1,[3]enemies!$1:$1,0)+1),MATCH(Z$1,[3]enemies!$1:$1,0)-MATCH($K$1,[3]enemies!$1:$1,0)+1,FALSE)</f>
        <v>2</v>
      </c>
      <c r="AA30" s="2">
        <f t="shared" si="42"/>
        <v>118</v>
      </c>
      <c r="AB30" s="5" t="str">
        <f ca="1">VLOOKUP(AA30,[3]enemies!$A:$B,2,FALSE)</f>
        <v>ゴールドチック</v>
      </c>
      <c r="AC30" s="5">
        <f ca="1">VLOOKUP(AA30,[3]enemies!$A:$E,3,FALSE)</f>
        <v>4</v>
      </c>
      <c r="AD30" s="5" t="str">
        <f>VLOOKUP(AA30,[4]characters!$A:$J,10,FALSE)</f>
        <v>Material</v>
      </c>
      <c r="AE30" s="8">
        <v>1</v>
      </c>
      <c r="AF30" s="28">
        <f t="shared" ca="1" si="43"/>
        <v>4</v>
      </c>
      <c r="AG30" s="9">
        <v>100</v>
      </c>
      <c r="AH30" s="8">
        <v>0</v>
      </c>
      <c r="AI30" s="8">
        <v>0</v>
      </c>
      <c r="AJ30" s="8">
        <v>0</v>
      </c>
      <c r="AK30" s="8">
        <v>0</v>
      </c>
      <c r="AL30" s="8">
        <v>1</v>
      </c>
      <c r="AM30" s="45" t="s">
        <v>108</v>
      </c>
    </row>
    <row r="31" spans="1:39" ht="21" customHeight="1" x14ac:dyDescent="0.15">
      <c r="A31" s="17" t="str">
        <f t="shared" ca="1" si="39"/>
        <v>11018_1-1/117&lt;lv1&gt;s1</v>
      </c>
      <c r="B31" s="8">
        <v>11018</v>
      </c>
      <c r="C31" s="26">
        <v>1</v>
      </c>
      <c r="D31" s="2" t="str">
        <f t="shared" si="40"/>
        <v>11018_1</v>
      </c>
      <c r="E31" s="5" t="str">
        <f ca="1">VLOOKUP($B31,OFFSET([2]quests!$A$1,0,0,COUNTA([2]quests!$A:$A),MATCH(E$1,[2]quests!$1:$1,0)-MATCH($B$1,[2]quests!$1:$1,0)+1),MATCH(E$1,[2]quests!$1:$1,0)-MATCH($B$1,[2]quests!$1:$1,0)+1,FALSE)</f>
        <v>【スタミナ1/2】 ゴールドカジノ</v>
      </c>
      <c r="F31" s="5" t="str">
        <f ca="1">VLOOKUP($D31,OFFSET([2]stages!$A$1,0,0,COUNTA([2]stages!$A:$A),MATCH(F$1,[2]stages!$2:$2,0)-MATCH($D$1,[2]stages!$2:$2,0)+1),MATCH(F$1,[2]stages!$2:$2,0)-MATCH($D$1,[2]stages!$2:$2,0)+1,FALSE)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1" s="26">
        <v>1</v>
      </c>
      <c r="H31" s="16" t="str">
        <f t="shared" si="41"/>
        <v>11018_1-1</v>
      </c>
      <c r="I31" s="5">
        <f ca="1">VLOOKUP($H31,OFFSET(floors_week_q_1Mc!$A$1,0,0,COUNTA(floors_week_q_1Mc!$A:$A),MATCH(I$1,floors_week_q_1Mc!$1:$1,0)-MATCH($H$1,floors_week_q_1Mc!$1:$1,0)+1),MATCH(I$1,floors_week_q_1Mc!$1:$1,0)-MATCH($H$1,floors_week_q_1Mc!$1:$1,0)+1,FALSE)</f>
        <v>30</v>
      </c>
      <c r="J31" s="5">
        <f ca="1">VLOOKUP($H31,OFFSET(floors_week_q_1Mc!$A$1,0,0,COUNTA(floors_week_q_1Mc!$A:$A),MATCH(J$1,floors_week_q_1Mc!$1:$1,0)-MATCH($H$1,floors_week_q_1Mc!$1:$1,0)+1),MATCH(J$1,floors_week_q_1Mc!$1:$1,0)-MATCH($H$1,floors_week_q_1Mc!$1:$1,0)+1,FALSE)</f>
        <v>55</v>
      </c>
      <c r="K31" s="25">
        <v>117</v>
      </c>
      <c r="L31" s="20" t="str">
        <f ca="1">VLOOKUP(K31,[3]enemies!$A:$B,2,FALSE)</f>
        <v>ゴールドピヨピヨ</v>
      </c>
      <c r="M31" s="23" t="str">
        <f ca="1">VLOOKUP(K31,[3]enemies!$A:$D,4,FALSE)</f>
        <v>yellow</v>
      </c>
      <c r="N31" s="23" t="str">
        <f>VLOOKUP(K31,[4]characters!$A:$J,10,FALSE)</f>
        <v>Material</v>
      </c>
      <c r="O31" s="22" t="str">
        <f>VLOOKUP(K31,[4]characters!$A:$M,13,FALSE)</f>
        <v>unknown</v>
      </c>
      <c r="P31" s="5">
        <f ca="1">VLOOKUP(K31,[3]enemies!$A:$X,24,FALSE)</f>
        <v>15</v>
      </c>
      <c r="Q31" s="6">
        <v>1</v>
      </c>
      <c r="R31" s="36">
        <v>40.5</v>
      </c>
      <c r="S31" s="36">
        <v>42.25</v>
      </c>
      <c r="T31" s="6">
        <v>0</v>
      </c>
      <c r="U31" s="5" t="e">
        <f ca="1">VLOOKUP($V31,OFFSET([5]enemy_skill_sets!$B$1,0,0,COUNTA([5]enemy_skill_sets!$B:$B),MATCH(L$1,[5]enemy_skill_sets!$1:$1,0)-MATCH($V$1,[5]enemy_skill_sets!$1:$1,0)+2),MATCH(L$1,[5]enemy_skill_sets!$1:$1,0)-MATCH($V$1,[5]enemy_skill_sets!$1:$1,0)+2,FALSE)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1" s="5">
        <f ca="1">VLOOKUP($K31,OFFSET([3]enemies!$A$1,0,0,COUNTA([3]enemies!$A:$A),MATCH(V$1,[3]enemies!$1:$1,0)-MATCH($K$1,[3]enemies!$1:$1,0)+1),MATCH(V$1,[3]enemies!$1:$1,0)-MATCH($K$1,[3]enemies!$1:$1,0)+1,FALSE)</f>
        <v>0</v>
      </c>
      <c r="W31" s="7">
        <v>1</v>
      </c>
      <c r="X31" s="7">
        <v>20</v>
      </c>
      <c r="Y31" s="7">
        <v>2</v>
      </c>
      <c r="Z31" s="20">
        <f ca="1">VLOOKUP($K31,OFFSET([3]enemies!$A$1,0,0,COUNTA([3]enemies!$A:$A),MATCH(Z$1,[3]enemies!$1:$1,0)-MATCH($K$1,[3]enemies!$1:$1,0)+1),MATCH(Z$1,[3]enemies!$1:$1,0)-MATCH($K$1,[3]enemies!$1:$1,0)+1,FALSE)</f>
        <v>1</v>
      </c>
      <c r="AA31" s="2">
        <f t="shared" si="42"/>
        <v>117</v>
      </c>
      <c r="AB31" s="5" t="str">
        <f ca="1">VLOOKUP(AA31,[3]enemies!$A:$B,2,FALSE)</f>
        <v>ゴールドピヨピヨ</v>
      </c>
      <c r="AC31" s="5">
        <f ca="1">VLOOKUP(AA31,[3]enemies!$A:$E,3,FALSE)</f>
        <v>3</v>
      </c>
      <c r="AD31" s="5" t="str">
        <f>VLOOKUP(AA31,[4]characters!$A:$J,10,FALSE)</f>
        <v>Material</v>
      </c>
      <c r="AE31" s="8">
        <v>1</v>
      </c>
      <c r="AF31" s="28">
        <f t="shared" ca="1" si="43"/>
        <v>3</v>
      </c>
      <c r="AG31" s="9">
        <v>0</v>
      </c>
      <c r="AH31" s="8">
        <v>0</v>
      </c>
      <c r="AI31" s="8">
        <v>0</v>
      </c>
      <c r="AJ31" s="8">
        <v>0</v>
      </c>
      <c r="AK31" s="8">
        <v>0</v>
      </c>
      <c r="AL31" s="8">
        <v>1</v>
      </c>
      <c r="AM31" s="45" t="s">
        <v>108</v>
      </c>
    </row>
    <row r="32" spans="1:39" ht="21" customHeight="1" x14ac:dyDescent="0.15">
      <c r="A32" s="17" t="str">
        <f t="shared" ca="1" si="39"/>
        <v>11018_1-1/63&lt;lv32&gt;s2</v>
      </c>
      <c r="B32" s="8">
        <v>11018</v>
      </c>
      <c r="C32" s="26">
        <v>1</v>
      </c>
      <c r="D32" s="16" t="str">
        <f t="shared" si="40"/>
        <v>11018_1</v>
      </c>
      <c r="E32" s="5" t="str">
        <f ca="1">VLOOKUP($B32,OFFSET([2]quests!$A$1,0,0,COUNTA([2]quests!$A:$A),MATCH(E$1,[2]quests!$1:$1,0)-MATCH($B$1,[2]quests!$1:$1,0)+1),MATCH(E$1,[2]quests!$1:$1,0)-MATCH($B$1,[2]quests!$1:$1,0)+1,FALSE)</f>
        <v>【スタミナ1/2】 ゴールドカジノ</v>
      </c>
      <c r="F32" s="5" t="str">
        <f ca="1">VLOOKUP($D32,OFFSET([2]stages!$A$1,0,0,COUNTA([2]stages!$A:$A),MATCH(F$1,[2]stages!$2:$2,0)-MATCH($D$1,[2]stages!$2:$2,0)+1),MATCH(F$1,[2]stages!$2:$2,0)-MATCH($D$1,[2]stages!$2:$2,0)+1,FALSE)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2" s="30">
        <v>1</v>
      </c>
      <c r="H32" s="16" t="str">
        <f t="shared" si="41"/>
        <v>11018_1-1</v>
      </c>
      <c r="I32" s="5">
        <f ca="1">VLOOKUP($H32,OFFSET(floors_week_q_1Mc!$A$1,0,0,COUNTA(floors_week_q_1Mc!$A:$A),MATCH(I$1,floors_week_q_1Mc!$1:$1,0)-MATCH($H$1,floors_week_q_1Mc!$1:$1,0)+1),MATCH(I$1,floors_week_q_1Mc!$1:$1,0)-MATCH($H$1,floors_week_q_1Mc!$1:$1,0)+1,FALSE)</f>
        <v>30</v>
      </c>
      <c r="J32" s="5">
        <f ca="1">VLOOKUP($H32,OFFSET(floors_week_q_1Mc!$A$1,0,0,COUNTA(floors_week_q_1Mc!$A:$A),MATCH(J$1,floors_week_q_1Mc!$1:$1,0)-MATCH($H$1,floors_week_q_1Mc!$1:$1,0)+1),MATCH(J$1,floors_week_q_1Mc!$1:$1,0)-MATCH($H$1,floors_week_q_1Mc!$1:$1,0)+1,FALSE)</f>
        <v>55</v>
      </c>
      <c r="K32" s="32">
        <v>63</v>
      </c>
      <c r="L32" s="20" t="str">
        <f ca="1">VLOOKUP(K32,[3]enemies!$A:$B,2,FALSE)</f>
        <v>トニー</v>
      </c>
      <c r="M32" s="23" t="str">
        <f ca="1">VLOOKUP(K32,[3]enemies!$A:$D,4,FALSE)</f>
        <v>yellow</v>
      </c>
      <c r="N32" s="23" t="str">
        <f>VLOOKUP(K32,[4]characters!$A:$J,10,FALSE)</f>
        <v>Drop1N</v>
      </c>
      <c r="O32" s="22" t="str">
        <f>VLOOKUP(K32,[4]characters!$A:$M,13,FALSE)</f>
        <v>animal</v>
      </c>
      <c r="P32" s="5">
        <f ca="1">VLOOKUP(K32,[3]enemies!$A:$X,24,FALSE)</f>
        <v>15</v>
      </c>
      <c r="Q32" s="6">
        <v>32</v>
      </c>
      <c r="R32" s="36">
        <v>1</v>
      </c>
      <c r="S32" s="36">
        <v>1</v>
      </c>
      <c r="T32" s="6">
        <v>0</v>
      </c>
      <c r="U32" s="5" t="e">
        <f ca="1">VLOOKUP($V32,OFFSET([5]enemy_skill_sets!$B$1,0,0,COUNTA([5]enemy_skill_sets!$B:$B),MATCH(L$1,[5]enemy_skill_sets!$1:$1,0)-MATCH($V$1,[5]enemy_skill_sets!$1:$1,0)+2),MATCH(L$1,[5]enemy_skill_sets!$1:$1,0)-MATCH($V$1,[5]enemy_skill_sets!$1:$1,0)+2,FALSE)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2" s="5">
        <f ca="1">VLOOKUP($K32,OFFSET([3]enemies!$A$1,0,0,COUNTA([3]enemies!$A:$A),MATCH(V$1,[3]enemies!$1:$1,0)-MATCH($K$1,[3]enemies!$1:$1,0)+1),MATCH(V$1,[3]enemies!$1:$1,0)-MATCH($K$1,[3]enemies!$1:$1,0)+1,FALSE)</f>
        <v>63</v>
      </c>
      <c r="W32" s="31">
        <v>0</v>
      </c>
      <c r="X32" s="7">
        <v>20</v>
      </c>
      <c r="Y32" s="31">
        <v>0</v>
      </c>
      <c r="Z32" s="20">
        <f ca="1">VLOOKUP($K32,OFFSET([3]enemies!$A$1,0,0,COUNTA([3]enemies!$A:$A),MATCH(Z$1,[3]enemies!$1:$1,0)-MATCH($K$1,[3]enemies!$1:$1,0)+1),MATCH(Z$1,[3]enemies!$1:$1,0)-MATCH($K$1,[3]enemies!$1:$1,0)+1,FALSE)</f>
        <v>2</v>
      </c>
      <c r="AA32" s="2">
        <f t="shared" si="42"/>
        <v>63</v>
      </c>
      <c r="AB32" s="5" t="str">
        <f ca="1">VLOOKUP(AA32,[3]enemies!$A:$B,2,FALSE)</f>
        <v>トニー</v>
      </c>
      <c r="AC32" s="5">
        <f ca="1">VLOOKUP(AA32,[3]enemies!$A:$E,3,FALSE)</f>
        <v>2</v>
      </c>
      <c r="AD32" s="5" t="str">
        <f>VLOOKUP(AA32,[4]characters!$A:$J,10,FALSE)</f>
        <v>Drop1N</v>
      </c>
      <c r="AE32" s="29">
        <v>1</v>
      </c>
      <c r="AF32" s="28">
        <f t="shared" ca="1" si="43"/>
        <v>2</v>
      </c>
      <c r="AG32" s="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1</v>
      </c>
      <c r="AM32" s="45" t="s">
        <v>108</v>
      </c>
    </row>
    <row r="33" spans="1:39" ht="21" customHeight="1" x14ac:dyDescent="0.15">
      <c r="A33" s="17" t="str">
        <f t="shared" ca="1" si="39"/>
        <v>11018_1-1/61&lt;lv32&gt;s2</v>
      </c>
      <c r="B33" s="8">
        <v>11018</v>
      </c>
      <c r="C33" s="26">
        <v>1</v>
      </c>
      <c r="D33" s="16" t="str">
        <f t="shared" si="40"/>
        <v>11018_1</v>
      </c>
      <c r="E33" s="5" t="str">
        <f ca="1">VLOOKUP($B33,OFFSET([2]quests!$A$1,0,0,COUNTA([2]quests!$A:$A),MATCH(E$1,[2]quests!$1:$1,0)-MATCH($B$1,[2]quests!$1:$1,0)+1),MATCH(E$1,[2]quests!$1:$1,0)-MATCH($B$1,[2]quests!$1:$1,0)+1,FALSE)</f>
        <v>【スタミナ1/2】 ゴールドカジノ</v>
      </c>
      <c r="F33" s="5" t="str">
        <f ca="1">VLOOKUP($D33,OFFSET([2]stages!$A$1,0,0,COUNTA([2]stages!$A:$A),MATCH(F$1,[2]stages!$2:$2,0)-MATCH($D$1,[2]stages!$2:$2,0)+1),MATCH(F$1,[2]stages!$2:$2,0)-MATCH($D$1,[2]stages!$2:$2,0)+1,FALSE)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3" s="30">
        <v>1</v>
      </c>
      <c r="H33" s="16" t="str">
        <f t="shared" si="41"/>
        <v>11018_1-1</v>
      </c>
      <c r="I33" s="5">
        <f ca="1">VLOOKUP($H33,OFFSET(floors_week_q_1Mc!$A$1,0,0,COUNTA(floors_week_q_1Mc!$A:$A),MATCH(I$1,floors_week_q_1Mc!$1:$1,0)-MATCH($H$1,floors_week_q_1Mc!$1:$1,0)+1),MATCH(I$1,floors_week_q_1Mc!$1:$1,0)-MATCH($H$1,floors_week_q_1Mc!$1:$1,0)+1,FALSE)</f>
        <v>30</v>
      </c>
      <c r="J33" s="5">
        <f ca="1">VLOOKUP($H33,OFFSET(floors_week_q_1Mc!$A$1,0,0,COUNTA(floors_week_q_1Mc!$A:$A),MATCH(J$1,floors_week_q_1Mc!$1:$1,0)-MATCH($H$1,floors_week_q_1Mc!$1:$1,0)+1),MATCH(J$1,floors_week_q_1Mc!$1:$1,0)-MATCH($H$1,floors_week_q_1Mc!$1:$1,0)+1,FALSE)</f>
        <v>55</v>
      </c>
      <c r="K33" s="32">
        <v>61</v>
      </c>
      <c r="L33" s="20" t="str">
        <f ca="1">VLOOKUP(K33,[3]enemies!$A:$B,2,FALSE)</f>
        <v>クロウ</v>
      </c>
      <c r="M33" s="23" t="str">
        <f ca="1">VLOOKUP(K33,[3]enemies!$A:$D,4,FALSE)</f>
        <v>blue</v>
      </c>
      <c r="N33" s="23" t="str">
        <f>VLOOKUP(K33,[4]characters!$A:$J,10,FALSE)</f>
        <v>Drop1N</v>
      </c>
      <c r="O33" s="22" t="str">
        <f>VLOOKUP(K33,[4]characters!$A:$M,13,FALSE)</f>
        <v>animal</v>
      </c>
      <c r="P33" s="5">
        <f ca="1">VLOOKUP(K33,[3]enemies!$A:$X,24,FALSE)</f>
        <v>15</v>
      </c>
      <c r="Q33" s="6">
        <v>32</v>
      </c>
      <c r="R33" s="36">
        <v>1</v>
      </c>
      <c r="S33" s="36">
        <v>1</v>
      </c>
      <c r="T33" s="6">
        <v>0</v>
      </c>
      <c r="U33" s="5" t="e">
        <f ca="1">VLOOKUP($V33,OFFSET([5]enemy_skill_sets!$B$1,0,0,COUNTA([5]enemy_skill_sets!$B:$B),MATCH(L$1,[5]enemy_skill_sets!$1:$1,0)-MATCH($V$1,[5]enemy_skill_sets!$1:$1,0)+2),MATCH(L$1,[5]enemy_skill_sets!$1:$1,0)-MATCH($V$1,[5]enemy_skill_sets!$1:$1,0)+2,FALSE)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3" s="5">
        <f ca="1">VLOOKUP($K33,OFFSET([3]enemies!$A$1,0,0,COUNTA([3]enemies!$A:$A),MATCH(V$1,[3]enemies!$1:$1,0)-MATCH($K$1,[3]enemies!$1:$1,0)+1),MATCH(V$1,[3]enemies!$1:$1,0)-MATCH($K$1,[3]enemies!$1:$1,0)+1,FALSE)</f>
        <v>61</v>
      </c>
      <c r="W33" s="31">
        <v>0</v>
      </c>
      <c r="X33" s="7">
        <v>20</v>
      </c>
      <c r="Y33" s="31">
        <v>0</v>
      </c>
      <c r="Z33" s="20">
        <f ca="1">VLOOKUP($K33,OFFSET([3]enemies!$A$1,0,0,COUNTA([3]enemies!$A:$A),MATCH(Z$1,[3]enemies!$1:$1,0)-MATCH($K$1,[3]enemies!$1:$1,0)+1),MATCH(Z$1,[3]enemies!$1:$1,0)-MATCH($K$1,[3]enemies!$1:$1,0)+1,FALSE)</f>
        <v>2</v>
      </c>
      <c r="AA33" s="2">
        <f t="shared" si="42"/>
        <v>61</v>
      </c>
      <c r="AB33" s="5" t="str">
        <f ca="1">VLOOKUP(AA33,[3]enemies!$A:$B,2,FALSE)</f>
        <v>クロウ</v>
      </c>
      <c r="AC33" s="5">
        <f ca="1">VLOOKUP(AA33,[3]enemies!$A:$E,3,FALSE)</f>
        <v>2</v>
      </c>
      <c r="AD33" s="5" t="str">
        <f>VLOOKUP(AA33,[4]characters!$A:$J,10,FALSE)</f>
        <v>Drop1N</v>
      </c>
      <c r="AE33" s="29">
        <v>1</v>
      </c>
      <c r="AF33" s="28">
        <f t="shared" ca="1" si="43"/>
        <v>2</v>
      </c>
      <c r="AG33" s="9">
        <v>0</v>
      </c>
      <c r="AH33" s="29">
        <v>0</v>
      </c>
      <c r="AI33" s="29">
        <v>0</v>
      </c>
      <c r="AJ33" s="29">
        <v>0</v>
      </c>
      <c r="AK33" s="29">
        <v>0</v>
      </c>
      <c r="AL33" s="29">
        <v>1</v>
      </c>
      <c r="AM33" s="45" t="s">
        <v>108</v>
      </c>
    </row>
    <row r="34" spans="1:39" ht="21" customHeight="1" x14ac:dyDescent="0.15">
      <c r="A34" s="17" t="str">
        <f t="shared" ca="1" si="39"/>
        <v>11018_1-1/57&lt;lv32&gt;s2</v>
      </c>
      <c r="B34" s="8">
        <v>11018</v>
      </c>
      <c r="C34" s="26">
        <v>1</v>
      </c>
      <c r="D34" s="16" t="str">
        <f t="shared" si="40"/>
        <v>11018_1</v>
      </c>
      <c r="E34" s="5" t="str">
        <f ca="1">VLOOKUP($B34,OFFSET([2]quests!$A$1,0,0,COUNTA([2]quests!$A:$A),MATCH(E$1,[2]quests!$1:$1,0)-MATCH($B$1,[2]quests!$1:$1,0)+1),MATCH(E$1,[2]quests!$1:$1,0)-MATCH($B$1,[2]quests!$1:$1,0)+1,FALSE)</f>
        <v>【スタミナ1/2】 ゴールドカジノ</v>
      </c>
      <c r="F34" s="5" t="str">
        <f ca="1">VLOOKUP($D34,OFFSET([2]stages!$A$1,0,0,COUNTA([2]stages!$A:$A),MATCH(F$1,[2]stages!$2:$2,0)-MATCH($D$1,[2]stages!$2:$2,0)+1),MATCH(F$1,[2]stages!$2:$2,0)-MATCH($D$1,[2]stages!$2:$2,0)+1,FALSE)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4" s="30">
        <v>1</v>
      </c>
      <c r="H34" s="16" t="str">
        <f t="shared" si="41"/>
        <v>11018_1-1</v>
      </c>
      <c r="I34" s="5">
        <f ca="1">VLOOKUP($H34,OFFSET(floors_week_q_1Mc!$A$1,0,0,COUNTA(floors_week_q_1Mc!$A:$A),MATCH(I$1,floors_week_q_1Mc!$1:$1,0)-MATCH($H$1,floors_week_q_1Mc!$1:$1,0)+1),MATCH(I$1,floors_week_q_1Mc!$1:$1,0)-MATCH($H$1,floors_week_q_1Mc!$1:$1,0)+1,FALSE)</f>
        <v>30</v>
      </c>
      <c r="J34" s="5">
        <f ca="1">VLOOKUP($H34,OFFSET(floors_week_q_1Mc!$A$1,0,0,COUNTA(floors_week_q_1Mc!$A:$A),MATCH(J$1,floors_week_q_1Mc!$1:$1,0)-MATCH($H$1,floors_week_q_1Mc!$1:$1,0)+1),MATCH(J$1,floors_week_q_1Mc!$1:$1,0)-MATCH($H$1,floors_week_q_1Mc!$1:$1,0)+1,FALSE)</f>
        <v>55</v>
      </c>
      <c r="K34" s="32">
        <v>57</v>
      </c>
      <c r="L34" s="20" t="str">
        <f ca="1">VLOOKUP(K34,[3]enemies!$A:$B,2,FALSE)</f>
        <v>チェン・リー</v>
      </c>
      <c r="M34" s="23" t="str">
        <f ca="1">VLOOKUP(K34,[3]enemies!$A:$D,4,FALSE)</f>
        <v>red</v>
      </c>
      <c r="N34" s="23" t="str">
        <f>VLOOKUP(K34,[4]characters!$A:$J,10,FALSE)</f>
        <v>Drop1N</v>
      </c>
      <c r="O34" s="22" t="str">
        <f>VLOOKUP(K34,[4]characters!$A:$M,13,FALSE)</f>
        <v>animal</v>
      </c>
      <c r="P34" s="5">
        <f ca="1">VLOOKUP(K34,[3]enemies!$A:$X,24,FALSE)</f>
        <v>15</v>
      </c>
      <c r="Q34" s="6">
        <v>32</v>
      </c>
      <c r="R34" s="36">
        <v>1</v>
      </c>
      <c r="S34" s="36">
        <v>1</v>
      </c>
      <c r="T34" s="6">
        <v>0</v>
      </c>
      <c r="U34" s="5" t="e">
        <f ca="1">VLOOKUP($V34,OFFSET([5]enemy_skill_sets!$B$1,0,0,COUNTA([5]enemy_skill_sets!$B:$B),MATCH(L$1,[5]enemy_skill_sets!$1:$1,0)-MATCH($V$1,[5]enemy_skill_sets!$1:$1,0)+2),MATCH(L$1,[5]enemy_skill_sets!$1:$1,0)-MATCH($V$1,[5]enemy_skill_sets!$1:$1,0)+2,FALSE)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4" s="5">
        <f ca="1">VLOOKUP($K34,OFFSET([3]enemies!$A$1,0,0,COUNTA([3]enemies!$A:$A),MATCH(V$1,[3]enemies!$1:$1,0)-MATCH($K$1,[3]enemies!$1:$1,0)+1),MATCH(V$1,[3]enemies!$1:$1,0)-MATCH($K$1,[3]enemies!$1:$1,0)+1,FALSE)</f>
        <v>57</v>
      </c>
      <c r="W34" s="31">
        <v>0</v>
      </c>
      <c r="X34" s="7">
        <v>20</v>
      </c>
      <c r="Y34" s="31">
        <v>0</v>
      </c>
      <c r="Z34" s="20">
        <f ca="1">VLOOKUP($K34,OFFSET([3]enemies!$A$1,0,0,COUNTA([3]enemies!$A:$A),MATCH(Z$1,[3]enemies!$1:$1,0)-MATCH($K$1,[3]enemies!$1:$1,0)+1),MATCH(Z$1,[3]enemies!$1:$1,0)-MATCH($K$1,[3]enemies!$1:$1,0)+1,FALSE)</f>
        <v>2</v>
      </c>
      <c r="AA34" s="2">
        <f t="shared" si="42"/>
        <v>57</v>
      </c>
      <c r="AB34" s="5" t="str">
        <f ca="1">VLOOKUP(AA34,[3]enemies!$A:$B,2,FALSE)</f>
        <v>チェン・リー</v>
      </c>
      <c r="AC34" s="5">
        <f ca="1">VLOOKUP(AA34,[3]enemies!$A:$E,3,FALSE)</f>
        <v>2</v>
      </c>
      <c r="AD34" s="5" t="str">
        <f>VLOOKUP(AA34,[4]characters!$A:$J,10,FALSE)</f>
        <v>Drop1N</v>
      </c>
      <c r="AE34" s="29">
        <v>1</v>
      </c>
      <c r="AF34" s="28">
        <f t="shared" ca="1" si="43"/>
        <v>2</v>
      </c>
      <c r="AG34" s="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1</v>
      </c>
      <c r="AM34" s="45" t="s">
        <v>108</v>
      </c>
    </row>
    <row r="35" spans="1:39" ht="21" customHeight="1" x14ac:dyDescent="0.15">
      <c r="A35" s="17" t="str">
        <f t="shared" ca="1" si="39"/>
        <v>11018_1-1/59&lt;lv32&gt;s2</v>
      </c>
      <c r="B35" s="8">
        <v>11018</v>
      </c>
      <c r="C35" s="26">
        <v>1</v>
      </c>
      <c r="D35" s="16" t="str">
        <f t="shared" si="40"/>
        <v>11018_1</v>
      </c>
      <c r="E35" s="5" t="str">
        <f ca="1">VLOOKUP($B35,OFFSET([2]quests!$A$1,0,0,COUNTA([2]quests!$A:$A),MATCH(E$1,[2]quests!$1:$1,0)-MATCH($B$1,[2]quests!$1:$1,0)+1),MATCH(E$1,[2]quests!$1:$1,0)-MATCH($B$1,[2]quests!$1:$1,0)+1,FALSE)</f>
        <v>【スタミナ1/2】 ゴールドカジノ</v>
      </c>
      <c r="F35" s="5" t="str">
        <f ca="1">VLOOKUP($D35,OFFSET([2]stages!$A$1,0,0,COUNTA([2]stages!$A:$A),MATCH(F$1,[2]stages!$2:$2,0)-MATCH($D$1,[2]stages!$2:$2,0)+1),MATCH(F$1,[2]stages!$2:$2,0)-MATCH($D$1,[2]stages!$2:$2,0)+1,FALSE)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5" s="30">
        <v>1</v>
      </c>
      <c r="H35" s="16" t="str">
        <f t="shared" si="41"/>
        <v>11018_1-1</v>
      </c>
      <c r="I35" s="5">
        <f ca="1">VLOOKUP($H35,OFFSET(floors_week_q_1Mc!$A$1,0,0,COUNTA(floors_week_q_1Mc!$A:$A),MATCH(I$1,floors_week_q_1Mc!$1:$1,0)-MATCH($H$1,floors_week_q_1Mc!$1:$1,0)+1),MATCH(I$1,floors_week_q_1Mc!$1:$1,0)-MATCH($H$1,floors_week_q_1Mc!$1:$1,0)+1,FALSE)</f>
        <v>30</v>
      </c>
      <c r="J35" s="5">
        <f ca="1">VLOOKUP($H35,OFFSET(floors_week_q_1Mc!$A$1,0,0,COUNTA(floors_week_q_1Mc!$A:$A),MATCH(J$1,floors_week_q_1Mc!$1:$1,0)-MATCH($H$1,floors_week_q_1Mc!$1:$1,0)+1),MATCH(J$1,floors_week_q_1Mc!$1:$1,0)-MATCH($H$1,floors_week_q_1Mc!$1:$1,0)+1,FALSE)</f>
        <v>55</v>
      </c>
      <c r="K35" s="32">
        <v>59</v>
      </c>
      <c r="L35" s="20" t="str">
        <f ca="1">VLOOKUP(K35,[3]enemies!$A:$B,2,FALSE)</f>
        <v>マーチ</v>
      </c>
      <c r="M35" s="23" t="str">
        <f ca="1">VLOOKUP(K35,[3]enemies!$A:$D,4,FALSE)</f>
        <v>green</v>
      </c>
      <c r="N35" s="23" t="str">
        <f>VLOOKUP(K35,[4]characters!$A:$J,10,FALSE)</f>
        <v>Drop1N</v>
      </c>
      <c r="O35" s="22" t="str">
        <f>VLOOKUP(K35,[4]characters!$A:$M,13,FALSE)</f>
        <v>animal</v>
      </c>
      <c r="P35" s="5">
        <f ca="1">VLOOKUP(K35,[3]enemies!$A:$X,24,FALSE)</f>
        <v>15</v>
      </c>
      <c r="Q35" s="6">
        <v>32</v>
      </c>
      <c r="R35" s="36">
        <v>1</v>
      </c>
      <c r="S35" s="36">
        <v>1</v>
      </c>
      <c r="T35" s="6">
        <v>0</v>
      </c>
      <c r="U35" s="5" t="e">
        <f ca="1">VLOOKUP($V35,OFFSET([5]enemy_skill_sets!$B$1,0,0,COUNTA([5]enemy_skill_sets!$B:$B),MATCH(L$1,[5]enemy_skill_sets!$1:$1,0)-MATCH($V$1,[5]enemy_skill_sets!$1:$1,0)+2),MATCH(L$1,[5]enemy_skill_sets!$1:$1,0)-MATCH($V$1,[5]enemy_skill_sets!$1:$1,0)+2,FALSE)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5" s="5">
        <f ca="1">VLOOKUP($K35,OFFSET([3]enemies!$A$1,0,0,COUNTA([3]enemies!$A:$A),MATCH(V$1,[3]enemies!$1:$1,0)-MATCH($K$1,[3]enemies!$1:$1,0)+1),MATCH(V$1,[3]enemies!$1:$1,0)-MATCH($K$1,[3]enemies!$1:$1,0)+1,FALSE)</f>
        <v>59</v>
      </c>
      <c r="W35" s="31">
        <v>0</v>
      </c>
      <c r="X35" s="7">
        <v>20</v>
      </c>
      <c r="Y35" s="31">
        <v>0</v>
      </c>
      <c r="Z35" s="20">
        <f ca="1">VLOOKUP($K35,OFFSET([3]enemies!$A$1,0,0,COUNTA([3]enemies!$A:$A),MATCH(Z$1,[3]enemies!$1:$1,0)-MATCH($K$1,[3]enemies!$1:$1,0)+1),MATCH(Z$1,[3]enemies!$1:$1,0)-MATCH($K$1,[3]enemies!$1:$1,0)+1,FALSE)</f>
        <v>2</v>
      </c>
      <c r="AA35" s="2">
        <f t="shared" si="42"/>
        <v>59</v>
      </c>
      <c r="AB35" s="5" t="str">
        <f ca="1">VLOOKUP(AA35,[3]enemies!$A:$B,2,FALSE)</f>
        <v>マーチ</v>
      </c>
      <c r="AC35" s="5">
        <f ca="1">VLOOKUP(AA35,[3]enemies!$A:$E,3,FALSE)</f>
        <v>2</v>
      </c>
      <c r="AD35" s="5" t="str">
        <f>VLOOKUP(AA35,[4]characters!$A:$J,10,FALSE)</f>
        <v>Drop1N</v>
      </c>
      <c r="AE35" s="29">
        <v>1</v>
      </c>
      <c r="AF35" s="28">
        <f t="shared" ca="1" si="43"/>
        <v>2</v>
      </c>
      <c r="AG35" s="9">
        <v>0</v>
      </c>
      <c r="AH35" s="29">
        <v>0</v>
      </c>
      <c r="AI35" s="29">
        <v>0</v>
      </c>
      <c r="AJ35" s="29">
        <v>0</v>
      </c>
      <c r="AK35" s="29">
        <v>0</v>
      </c>
      <c r="AL35" s="29">
        <v>1</v>
      </c>
      <c r="AM35" s="45" t="s">
        <v>108</v>
      </c>
    </row>
    <row r="36" spans="1:39" ht="21" customHeight="1" x14ac:dyDescent="0.15">
      <c r="A36" s="17" t="str">
        <f t="shared" ca="1" si="39"/>
        <v>11018_1-2/118&lt;lv3&gt;s2</v>
      </c>
      <c r="B36" s="8">
        <v>11018</v>
      </c>
      <c r="C36" s="26">
        <v>1</v>
      </c>
      <c r="D36" s="2" t="str">
        <f t="shared" si="40"/>
        <v>11018_1</v>
      </c>
      <c r="E36" s="5" t="str">
        <f ca="1">VLOOKUP($B36,OFFSET([2]quests!$A$1,0,0,COUNTA([2]quests!$A:$A),MATCH(E$1,[2]quests!$1:$1,0)-MATCH($B$1,[2]quests!$1:$1,0)+1),MATCH(E$1,[2]quests!$1:$1,0)-MATCH($B$1,[2]quests!$1:$1,0)+1,FALSE)</f>
        <v>【スタミナ1/2】 ゴールドカジノ</v>
      </c>
      <c r="F36" s="5" t="str">
        <f ca="1">VLOOKUP($D36,OFFSET([2]stages!$A$1,0,0,COUNTA([2]stages!$A:$A),MATCH(F$1,[2]stages!$2:$2,0)-MATCH($D$1,[2]stages!$2:$2,0)+1),MATCH(F$1,[2]stages!$2:$2,0)-MATCH($D$1,[2]stages!$2:$2,0)+1,FALSE)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6" s="26">
        <v>2</v>
      </c>
      <c r="H36" s="16" t="str">
        <f t="shared" si="41"/>
        <v>11018_1-2</v>
      </c>
      <c r="I36" s="5">
        <f ca="1">VLOOKUP($H36,OFFSET(floors_week_q_1Mc!$A$1,0,0,COUNTA(floors_week_q_1Mc!$A:$A),MATCH(I$1,floors_week_q_1Mc!$1:$1,0)-MATCH($H$1,floors_week_q_1Mc!$1:$1,0)+1),MATCH(I$1,floors_week_q_1Mc!$1:$1,0)-MATCH($H$1,floors_week_q_1Mc!$1:$1,0)+1,FALSE)</f>
        <v>35</v>
      </c>
      <c r="J36" s="5">
        <f ca="1">VLOOKUP($H36,OFFSET(floors_week_q_1Mc!$A$1,0,0,COUNTA(floors_week_q_1Mc!$A:$A),MATCH(J$1,floors_week_q_1Mc!$1:$1,0)-MATCH($H$1,floors_week_q_1Mc!$1:$1,0)+1),MATCH(J$1,floors_week_q_1Mc!$1:$1,0)-MATCH($H$1,floors_week_q_1Mc!$1:$1,0)+1,FALSE)</f>
        <v>50</v>
      </c>
      <c r="K36" s="25">
        <v>118</v>
      </c>
      <c r="L36" s="20" t="str">
        <f ca="1">VLOOKUP(K36,[3]enemies!$A:$B,2,FALSE)</f>
        <v>ゴールドチック</v>
      </c>
      <c r="M36" s="23" t="str">
        <f ca="1">VLOOKUP(K36,[3]enemies!$A:$D,4,FALSE)</f>
        <v>yellow</v>
      </c>
      <c r="N36" s="23" t="str">
        <f>VLOOKUP(K36,[4]characters!$A:$J,10,FALSE)</f>
        <v>Material</v>
      </c>
      <c r="O36" s="22" t="str">
        <f>VLOOKUP(K36,[4]characters!$A:$M,13,FALSE)</f>
        <v>unknown</v>
      </c>
      <c r="P36" s="5">
        <f ca="1">VLOOKUP(K36,[3]enemies!$A:$X,24,FALSE)</f>
        <v>15</v>
      </c>
      <c r="Q36" s="6">
        <v>3</v>
      </c>
      <c r="R36" s="36">
        <v>28.8</v>
      </c>
      <c r="S36" s="36">
        <v>38.5</v>
      </c>
      <c r="T36" s="6">
        <v>0</v>
      </c>
      <c r="U36" s="5" t="e">
        <f ca="1">VLOOKUP($V36,OFFSET([5]enemy_skill_sets!$B$1,0,0,COUNTA([5]enemy_skill_sets!$B:$B),MATCH(L$1,[5]enemy_skill_sets!$1:$1,0)-MATCH($V$1,[5]enemy_skill_sets!$1:$1,0)+2),MATCH(L$1,[5]enemy_skill_sets!$1:$1,0)-MATCH($V$1,[5]enemy_skill_sets!$1:$1,0)+2,FALSE)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36" s="5">
        <f ca="1">VLOOKUP($K36,OFFSET([3]enemies!$A$1,0,0,COUNTA([3]enemies!$A:$A),MATCH(V$1,[3]enemies!$1:$1,0)-MATCH($K$1,[3]enemies!$1:$1,0)+1),MATCH(V$1,[3]enemies!$1:$1,0)-MATCH($K$1,[3]enemies!$1:$1,0)+1,FALSE)</f>
        <v>0</v>
      </c>
      <c r="W36" s="7">
        <v>0</v>
      </c>
      <c r="X36" s="7">
        <v>50</v>
      </c>
      <c r="Y36" s="7">
        <v>1</v>
      </c>
      <c r="Z36" s="20">
        <f ca="1">VLOOKUP($K36,OFFSET([3]enemies!$A$1,0,0,COUNTA([3]enemies!$A:$A),MATCH(Z$1,[3]enemies!$1:$1,0)-MATCH($K$1,[3]enemies!$1:$1,0)+1),MATCH(Z$1,[3]enemies!$1:$1,0)-MATCH($K$1,[3]enemies!$1:$1,0)+1,FALSE)</f>
        <v>2</v>
      </c>
      <c r="AA36" s="2">
        <f t="shared" si="42"/>
        <v>118</v>
      </c>
      <c r="AB36" s="5" t="str">
        <f ca="1">VLOOKUP(AA36,[3]enemies!$A:$B,2,FALSE)</f>
        <v>ゴールドチック</v>
      </c>
      <c r="AC36" s="5">
        <f ca="1">VLOOKUP(AA36,[3]enemies!$A:$E,3,FALSE)</f>
        <v>4</v>
      </c>
      <c r="AD36" s="5" t="str">
        <f>VLOOKUP(AA36,[4]characters!$A:$J,10,FALSE)</f>
        <v>Material</v>
      </c>
      <c r="AE36" s="8">
        <v>1</v>
      </c>
      <c r="AF36" s="28">
        <f t="shared" ca="1" si="43"/>
        <v>4</v>
      </c>
      <c r="AG36" s="9">
        <v>100</v>
      </c>
      <c r="AH36" s="8">
        <v>0</v>
      </c>
      <c r="AI36" s="8">
        <v>0</v>
      </c>
      <c r="AJ36" s="8">
        <v>0</v>
      </c>
      <c r="AK36" s="8">
        <v>0</v>
      </c>
      <c r="AL36" s="8">
        <v>1</v>
      </c>
      <c r="AM36" s="45" t="s">
        <v>108</v>
      </c>
    </row>
    <row r="37" spans="1:39" ht="21" customHeight="1" x14ac:dyDescent="0.15">
      <c r="A37" s="17" t="str">
        <f t="shared" si="39"/>
        <v>11018_1-2/121&lt;lv32&gt;s3</v>
      </c>
      <c r="B37" s="8">
        <v>11018</v>
      </c>
      <c r="C37" s="26">
        <v>1</v>
      </c>
      <c r="D37" s="2" t="str">
        <f t="shared" si="40"/>
        <v>11018_1</v>
      </c>
      <c r="E37" s="5" t="str">
        <f ca="1">VLOOKUP($B37,OFFSET([2]quests!$A$1,0,0,COUNTA([2]quests!$A:$A),MATCH(E$1,[2]quests!$1:$1,0)-MATCH($B$1,[2]quests!$1:$1,0)+1),MATCH(E$1,[2]quests!$1:$1,0)-MATCH($B$1,[2]quests!$1:$1,0)+1,FALSE)</f>
        <v>【スタミナ1/2】 ゴールドカジノ</v>
      </c>
      <c r="F37" s="5" t="str">
        <f ca="1">VLOOKUP($D37,OFFSET([2]stages!$A$1,0,0,COUNTA([2]stages!$A:$A),MATCH(F$1,[2]stages!$2:$2,0)-MATCH($D$1,[2]stages!$2:$2,0)+1),MATCH(F$1,[2]stages!$2:$2,0)-MATCH($D$1,[2]stages!$2:$2,0)+1,FALSE)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7" s="26">
        <v>2</v>
      </c>
      <c r="H37" s="16" t="str">
        <f t="shared" si="41"/>
        <v>11018_1-2</v>
      </c>
      <c r="I37" s="5">
        <f ca="1">VLOOKUP($H37,OFFSET(floors_week_q_1Mc!$A$1,0,0,COUNTA(floors_week_q_1Mc!$A:$A),MATCH(I$1,floors_week_q_1Mc!$1:$1,0)-MATCH($H$1,floors_week_q_1Mc!$1:$1,0)+1),MATCH(I$1,floors_week_q_1Mc!$1:$1,0)-MATCH($H$1,floors_week_q_1Mc!$1:$1,0)+1,FALSE)</f>
        <v>35</v>
      </c>
      <c r="J37" s="5">
        <f ca="1">VLOOKUP($H37,OFFSET(floors_week_q_1Mc!$A$1,0,0,COUNTA(floors_week_q_1Mc!$A:$A),MATCH(J$1,floors_week_q_1Mc!$1:$1,0)-MATCH($H$1,floors_week_q_1Mc!$1:$1,0)+1),MATCH(J$1,floors_week_q_1Mc!$1:$1,0)-MATCH($H$1,floors_week_q_1Mc!$1:$1,0)+1,FALSE)</f>
        <v>50</v>
      </c>
      <c r="K37" s="25">
        <v>121</v>
      </c>
      <c r="L37" s="20" t="str">
        <f ca="1">VLOOKUP(K37,[3]enemies!$A:$B,2,FALSE)</f>
        <v>攻めの果実</v>
      </c>
      <c r="M37" s="23" t="str">
        <f ca="1">VLOOKUP(K37,[3]enemies!$A:$D,4,FALSE)</f>
        <v>red</v>
      </c>
      <c r="N37" s="23" t="str">
        <f>VLOOKUP(K37,[4]characters!$A:$J,10,FALSE)</f>
        <v>Material</v>
      </c>
      <c r="O37" s="22" t="str">
        <f>VLOOKUP(K37,[4]characters!$A:$M,13,FALSE)</f>
        <v>unknown</v>
      </c>
      <c r="P37" s="5">
        <f ca="1">VLOOKUP(K37,[3]enemies!$A:$X,24,FALSE)</f>
        <v>20</v>
      </c>
      <c r="Q37" s="6">
        <v>32</v>
      </c>
      <c r="R37" s="36">
        <v>0.4</v>
      </c>
      <c r="S37" s="36">
        <v>1</v>
      </c>
      <c r="T37" s="6">
        <v>0</v>
      </c>
      <c r="U37" s="46"/>
      <c r="V37" s="33">
        <v>11006010</v>
      </c>
      <c r="W37" s="7">
        <v>0</v>
      </c>
      <c r="X37" s="7">
        <v>10</v>
      </c>
      <c r="Y37" s="7">
        <v>1</v>
      </c>
      <c r="Z37" s="34">
        <v>3</v>
      </c>
      <c r="AA37" s="2">
        <f t="shared" si="42"/>
        <v>121</v>
      </c>
      <c r="AB37" s="5" t="str">
        <f ca="1">VLOOKUP(AA37,[3]enemies!$A:$B,2,FALSE)</f>
        <v>攻めの果実</v>
      </c>
      <c r="AC37" s="5">
        <f ca="1">VLOOKUP(AA37,[3]enemies!$A:$E,3,FALSE)</f>
        <v>3</v>
      </c>
      <c r="AD37" s="5" t="str">
        <f>VLOOKUP(AA37,[4]characters!$A:$J,10,FALSE)</f>
        <v>Material</v>
      </c>
      <c r="AE37" s="8">
        <v>1</v>
      </c>
      <c r="AF37" s="28">
        <f t="shared" ca="1" si="43"/>
        <v>3</v>
      </c>
      <c r="AG37" s="9">
        <v>100</v>
      </c>
      <c r="AH37" s="8">
        <v>0</v>
      </c>
      <c r="AI37" s="8">
        <v>0</v>
      </c>
      <c r="AJ37" s="8">
        <v>0</v>
      </c>
      <c r="AK37" s="8">
        <v>0</v>
      </c>
      <c r="AL37" s="8">
        <v>1</v>
      </c>
      <c r="AM37" s="45" t="s">
        <v>108</v>
      </c>
    </row>
    <row r="38" spans="1:39" ht="21" customHeight="1" x14ac:dyDescent="0.15">
      <c r="A38" s="17" t="str">
        <f t="shared" si="39"/>
        <v>11018_1-2/122&lt;lv32&gt;s3</v>
      </c>
      <c r="B38" s="8">
        <v>11018</v>
      </c>
      <c r="C38" s="26">
        <v>1</v>
      </c>
      <c r="D38" s="2" t="str">
        <f t="shared" si="40"/>
        <v>11018_1</v>
      </c>
      <c r="E38" s="5" t="str">
        <f ca="1">VLOOKUP($B38,OFFSET([2]quests!$A$1,0,0,COUNTA([2]quests!$A:$A),MATCH(E$1,[2]quests!$1:$1,0)-MATCH($B$1,[2]quests!$1:$1,0)+1),MATCH(E$1,[2]quests!$1:$1,0)-MATCH($B$1,[2]quests!$1:$1,0)+1,FALSE)</f>
        <v>【スタミナ1/2】 ゴールドカジノ</v>
      </c>
      <c r="F38" s="5" t="str">
        <f ca="1">VLOOKUP($D38,OFFSET([2]stages!$A$1,0,0,COUNTA([2]stages!$A:$A),MATCH(F$1,[2]stages!$2:$2,0)-MATCH($D$1,[2]stages!$2:$2,0)+1),MATCH(F$1,[2]stages!$2:$2,0)-MATCH($D$1,[2]stages!$2:$2,0)+1,FALSE)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8" s="26">
        <v>2</v>
      </c>
      <c r="H38" s="16" t="str">
        <f t="shared" si="41"/>
        <v>11018_1-2</v>
      </c>
      <c r="I38" s="5">
        <f ca="1">VLOOKUP($H38,OFFSET(floors_week_q_1Mc!$A$1,0,0,COUNTA(floors_week_q_1Mc!$A:$A),MATCH(I$1,floors_week_q_1Mc!$1:$1,0)-MATCH($H$1,floors_week_q_1Mc!$1:$1,0)+1),MATCH(I$1,floors_week_q_1Mc!$1:$1,0)-MATCH($H$1,floors_week_q_1Mc!$1:$1,0)+1,FALSE)</f>
        <v>35</v>
      </c>
      <c r="J38" s="5">
        <f ca="1">VLOOKUP($H38,OFFSET(floors_week_q_1Mc!$A$1,0,0,COUNTA(floors_week_q_1Mc!$A:$A),MATCH(J$1,floors_week_q_1Mc!$1:$1,0)-MATCH($H$1,floors_week_q_1Mc!$1:$1,0)+1),MATCH(J$1,floors_week_q_1Mc!$1:$1,0)-MATCH($H$1,floors_week_q_1Mc!$1:$1,0)+1,FALSE)</f>
        <v>50</v>
      </c>
      <c r="K38" s="25">
        <v>122</v>
      </c>
      <c r="L38" s="20" t="str">
        <f ca="1">VLOOKUP(K38,[3]enemies!$A:$B,2,FALSE)</f>
        <v>生命の果実</v>
      </c>
      <c r="M38" s="23" t="str">
        <f ca="1">VLOOKUP(K38,[3]enemies!$A:$D,4,FALSE)</f>
        <v>green</v>
      </c>
      <c r="N38" s="23" t="str">
        <f>VLOOKUP(K38,[4]characters!$A:$J,10,FALSE)</f>
        <v>Material</v>
      </c>
      <c r="O38" s="22" t="str">
        <f>VLOOKUP(K38,[4]characters!$A:$M,13,FALSE)</f>
        <v>unknown</v>
      </c>
      <c r="P38" s="5">
        <f ca="1">VLOOKUP(K38,[3]enemies!$A:$X,24,FALSE)</f>
        <v>20</v>
      </c>
      <c r="Q38" s="6">
        <v>32</v>
      </c>
      <c r="R38" s="36">
        <v>0.4</v>
      </c>
      <c r="S38" s="36">
        <v>1</v>
      </c>
      <c r="T38" s="6">
        <v>0</v>
      </c>
      <c r="U38" s="46"/>
      <c r="V38" s="33">
        <v>11006020</v>
      </c>
      <c r="W38" s="7">
        <v>0</v>
      </c>
      <c r="X38" s="7">
        <v>20</v>
      </c>
      <c r="Y38" s="7">
        <v>1</v>
      </c>
      <c r="Z38" s="34">
        <v>3</v>
      </c>
      <c r="AA38" s="2">
        <f t="shared" si="42"/>
        <v>122</v>
      </c>
      <c r="AB38" s="5" t="str">
        <f ca="1">VLOOKUP(AA38,[3]enemies!$A:$B,2,FALSE)</f>
        <v>生命の果実</v>
      </c>
      <c r="AC38" s="5">
        <f ca="1">VLOOKUP(AA38,[3]enemies!$A:$E,3,FALSE)</f>
        <v>3</v>
      </c>
      <c r="AD38" s="5" t="str">
        <f>VLOOKUP(AA38,[4]characters!$A:$J,10,FALSE)</f>
        <v>Material</v>
      </c>
      <c r="AE38" s="8">
        <v>1</v>
      </c>
      <c r="AF38" s="28">
        <f t="shared" ca="1" si="43"/>
        <v>3</v>
      </c>
      <c r="AG38" s="9">
        <v>100</v>
      </c>
      <c r="AH38" s="8">
        <v>0</v>
      </c>
      <c r="AI38" s="8">
        <v>0</v>
      </c>
      <c r="AJ38" s="8">
        <v>0</v>
      </c>
      <c r="AK38" s="8">
        <v>0</v>
      </c>
      <c r="AL38" s="8">
        <v>1</v>
      </c>
      <c r="AM38" s="45" t="s">
        <v>108</v>
      </c>
    </row>
    <row r="39" spans="1:39" ht="21" customHeight="1" x14ac:dyDescent="0.15">
      <c r="A39" s="17" t="str">
        <f t="shared" si="39"/>
        <v>11018_1-2/123&lt;lv32&gt;s3</v>
      </c>
      <c r="B39" s="8">
        <v>11018</v>
      </c>
      <c r="C39" s="26">
        <v>1</v>
      </c>
      <c r="D39" s="2" t="str">
        <f t="shared" si="40"/>
        <v>11018_1</v>
      </c>
      <c r="E39" s="5" t="str">
        <f ca="1">VLOOKUP($B39,OFFSET([2]quests!$A$1,0,0,COUNTA([2]quests!$A:$A),MATCH(E$1,[2]quests!$1:$1,0)-MATCH($B$1,[2]quests!$1:$1,0)+1),MATCH(E$1,[2]quests!$1:$1,0)-MATCH($B$1,[2]quests!$1:$1,0)+1,FALSE)</f>
        <v>【スタミナ1/2】 ゴールドカジノ</v>
      </c>
      <c r="F39" s="5" t="str">
        <f ca="1">VLOOKUP($D39,OFFSET([2]stages!$A$1,0,0,COUNTA([2]stages!$A:$A),MATCH(F$1,[2]stages!$2:$2,0)-MATCH($D$1,[2]stages!$2:$2,0)+1),MATCH(F$1,[2]stages!$2:$2,0)-MATCH($D$1,[2]stages!$2:$2,0)+1,FALSE)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9" s="26">
        <v>2</v>
      </c>
      <c r="H39" s="16" t="str">
        <f t="shared" si="41"/>
        <v>11018_1-2</v>
      </c>
      <c r="I39" s="5">
        <f ca="1">VLOOKUP($H39,OFFSET(floors_week_q_1Mc!$A$1,0,0,COUNTA(floors_week_q_1Mc!$A:$A),MATCH(I$1,floors_week_q_1Mc!$1:$1,0)-MATCH($H$1,floors_week_q_1Mc!$1:$1,0)+1),MATCH(I$1,floors_week_q_1Mc!$1:$1,0)-MATCH($H$1,floors_week_q_1Mc!$1:$1,0)+1,FALSE)</f>
        <v>35</v>
      </c>
      <c r="J39" s="5">
        <f ca="1">VLOOKUP($H39,OFFSET(floors_week_q_1Mc!$A$1,0,0,COUNTA(floors_week_q_1Mc!$A:$A),MATCH(J$1,floors_week_q_1Mc!$1:$1,0)-MATCH($H$1,floors_week_q_1Mc!$1:$1,0)+1),MATCH(J$1,floors_week_q_1Mc!$1:$1,0)-MATCH($H$1,floors_week_q_1Mc!$1:$1,0)+1,FALSE)</f>
        <v>50</v>
      </c>
      <c r="K39" s="25">
        <v>123</v>
      </c>
      <c r="L39" s="20" t="str">
        <f ca="1">VLOOKUP(K39,[3]enemies!$A:$B,2,FALSE)</f>
        <v>癒しの果実</v>
      </c>
      <c r="M39" s="23" t="str">
        <f ca="1">VLOOKUP(K39,[3]enemies!$A:$D,4,FALSE)</f>
        <v>blue</v>
      </c>
      <c r="N39" s="23" t="str">
        <f>VLOOKUP(K39,[4]characters!$A:$J,10,FALSE)</f>
        <v>Material</v>
      </c>
      <c r="O39" s="22" t="str">
        <f>VLOOKUP(K39,[4]characters!$A:$M,13,FALSE)</f>
        <v>unknown</v>
      </c>
      <c r="P39" s="5">
        <f ca="1">VLOOKUP(K39,[3]enemies!$A:$X,24,FALSE)</f>
        <v>20</v>
      </c>
      <c r="Q39" s="6">
        <v>32</v>
      </c>
      <c r="R39" s="36">
        <v>0.4</v>
      </c>
      <c r="S39" s="36">
        <v>1</v>
      </c>
      <c r="T39" s="6">
        <v>0</v>
      </c>
      <c r="U39" s="46"/>
      <c r="V39" s="33">
        <v>11006030</v>
      </c>
      <c r="W39" s="7">
        <v>0</v>
      </c>
      <c r="X39" s="7">
        <v>20</v>
      </c>
      <c r="Y39" s="7">
        <v>1</v>
      </c>
      <c r="Z39" s="34">
        <v>3</v>
      </c>
      <c r="AA39" s="2">
        <f t="shared" si="42"/>
        <v>123</v>
      </c>
      <c r="AB39" s="5" t="str">
        <f ca="1">VLOOKUP(AA39,[3]enemies!$A:$B,2,FALSE)</f>
        <v>癒しの果実</v>
      </c>
      <c r="AC39" s="5">
        <f ca="1">VLOOKUP(AA39,[3]enemies!$A:$E,3,FALSE)</f>
        <v>3</v>
      </c>
      <c r="AD39" s="5" t="str">
        <f>VLOOKUP(AA39,[4]characters!$A:$J,10,FALSE)</f>
        <v>Material</v>
      </c>
      <c r="AE39" s="8">
        <v>1</v>
      </c>
      <c r="AF39" s="28">
        <f t="shared" ca="1" si="43"/>
        <v>3</v>
      </c>
      <c r="AG39" s="9">
        <v>100</v>
      </c>
      <c r="AH39" s="8">
        <v>0</v>
      </c>
      <c r="AI39" s="8">
        <v>0</v>
      </c>
      <c r="AJ39" s="8">
        <v>0</v>
      </c>
      <c r="AK39" s="8">
        <v>0</v>
      </c>
      <c r="AL39" s="8">
        <v>1</v>
      </c>
      <c r="AM39" s="45" t="s">
        <v>108</v>
      </c>
    </row>
    <row r="40" spans="1:39" ht="21" customHeight="1" x14ac:dyDescent="0.15">
      <c r="A40" s="17" t="str">
        <f t="shared" ca="1" si="39"/>
        <v>11018_1-2/118&lt;lv1&gt;s2</v>
      </c>
      <c r="B40" s="8">
        <v>11018</v>
      </c>
      <c r="C40" s="26">
        <v>1</v>
      </c>
      <c r="D40" s="2" t="str">
        <f t="shared" si="40"/>
        <v>11018_1</v>
      </c>
      <c r="E40" s="5" t="str">
        <f ca="1">VLOOKUP($B40,OFFSET([2]quests!$A$1,0,0,COUNTA([2]quests!$A:$A),MATCH(E$1,[2]quests!$1:$1,0)-MATCH($B$1,[2]quests!$1:$1,0)+1),MATCH(E$1,[2]quests!$1:$1,0)-MATCH($B$1,[2]quests!$1:$1,0)+1,FALSE)</f>
        <v>【スタミナ1/2】 ゴールドカジノ</v>
      </c>
      <c r="F40" s="5" t="str">
        <f ca="1">VLOOKUP($D40,OFFSET([2]stages!$A$1,0,0,COUNTA([2]stages!$A:$A),MATCH(F$1,[2]stages!$2:$2,0)-MATCH($D$1,[2]stages!$2:$2,0)+1),MATCH(F$1,[2]stages!$2:$2,0)-MATCH($D$1,[2]stages!$2:$2,0)+1,FALSE)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0" s="26">
        <v>2</v>
      </c>
      <c r="H40" s="16" t="str">
        <f t="shared" si="41"/>
        <v>11018_1-2</v>
      </c>
      <c r="I40" s="5">
        <f ca="1">VLOOKUP($H40,OFFSET(floors_week_q_1Mc!$A$1,0,0,COUNTA(floors_week_q_1Mc!$A:$A),MATCH(I$1,floors_week_q_1Mc!$1:$1,0)-MATCH($H$1,floors_week_q_1Mc!$1:$1,0)+1),MATCH(I$1,floors_week_q_1Mc!$1:$1,0)-MATCH($H$1,floors_week_q_1Mc!$1:$1,0)+1,FALSE)</f>
        <v>35</v>
      </c>
      <c r="J40" s="5">
        <f ca="1">VLOOKUP($H40,OFFSET(floors_week_q_1Mc!$A$1,0,0,COUNTA(floors_week_q_1Mc!$A:$A),MATCH(J$1,floors_week_q_1Mc!$1:$1,0)-MATCH($H$1,floors_week_q_1Mc!$1:$1,0)+1),MATCH(J$1,floors_week_q_1Mc!$1:$1,0)-MATCH($H$1,floors_week_q_1Mc!$1:$1,0)+1,FALSE)</f>
        <v>50</v>
      </c>
      <c r="K40" s="25">
        <v>118</v>
      </c>
      <c r="L40" s="20" t="str">
        <f ca="1">VLOOKUP(K40,[3]enemies!$A:$B,2,FALSE)</f>
        <v>ゴールドチック</v>
      </c>
      <c r="M40" s="23" t="str">
        <f ca="1">VLOOKUP(K40,[3]enemies!$A:$D,4,FALSE)</f>
        <v>yellow</v>
      </c>
      <c r="N40" s="23" t="str">
        <f>VLOOKUP(K40,[4]characters!$A:$J,10,FALSE)</f>
        <v>Material</v>
      </c>
      <c r="O40" s="22" t="str">
        <f>VLOOKUP(K40,[4]characters!$A:$M,13,FALSE)</f>
        <v>unknown</v>
      </c>
      <c r="P40" s="5">
        <f ca="1">VLOOKUP(K40,[3]enemies!$A:$X,24,FALSE)</f>
        <v>15</v>
      </c>
      <c r="Q40" s="6">
        <v>1</v>
      </c>
      <c r="R40" s="36">
        <v>28.8</v>
      </c>
      <c r="S40" s="36">
        <v>38.5</v>
      </c>
      <c r="T40" s="6">
        <v>0</v>
      </c>
      <c r="U40" s="5" t="e">
        <f ca="1">VLOOKUP($V40,OFFSET([5]enemy_skill_sets!$B$1,0,0,COUNTA([5]enemy_skill_sets!$B:$B),MATCH(L$1,[5]enemy_skill_sets!$1:$1,0)-MATCH($V$1,[5]enemy_skill_sets!$1:$1,0)+2),MATCH(L$1,[5]enemy_skill_sets!$1:$1,0)-MATCH($V$1,[5]enemy_skill_sets!$1:$1,0)+2,FALSE)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0" s="5">
        <f ca="1">VLOOKUP($K40,OFFSET([3]enemies!$A$1,0,0,COUNTA([3]enemies!$A:$A),MATCH(V$1,[3]enemies!$1:$1,0)-MATCH($K$1,[3]enemies!$1:$1,0)+1),MATCH(V$1,[3]enemies!$1:$1,0)-MATCH($K$1,[3]enemies!$1:$1,0)+1,FALSE)</f>
        <v>0</v>
      </c>
      <c r="W40" s="7">
        <v>1</v>
      </c>
      <c r="X40" s="7">
        <v>0</v>
      </c>
      <c r="Y40" s="7">
        <v>2</v>
      </c>
      <c r="Z40" s="20">
        <f ca="1">VLOOKUP($K40,OFFSET([3]enemies!$A$1,0,0,COUNTA([3]enemies!$A:$A),MATCH(Z$1,[3]enemies!$1:$1,0)-MATCH($K$1,[3]enemies!$1:$1,0)+1),MATCH(Z$1,[3]enemies!$1:$1,0)-MATCH($K$1,[3]enemies!$1:$1,0)+1,FALSE)</f>
        <v>2</v>
      </c>
      <c r="AA40" s="2">
        <f t="shared" si="42"/>
        <v>118</v>
      </c>
      <c r="AB40" s="5" t="str">
        <f ca="1">VLOOKUP(AA40,[3]enemies!$A:$B,2,FALSE)</f>
        <v>ゴールドチック</v>
      </c>
      <c r="AC40" s="5">
        <f ca="1">VLOOKUP(AA40,[3]enemies!$A:$E,3,FALSE)</f>
        <v>4</v>
      </c>
      <c r="AD40" s="5" t="str">
        <f>VLOOKUP(AA40,[4]characters!$A:$J,10,FALSE)</f>
        <v>Material</v>
      </c>
      <c r="AE40" s="8">
        <v>1</v>
      </c>
      <c r="AF40" s="28">
        <f t="shared" ca="1" si="43"/>
        <v>4</v>
      </c>
      <c r="AG40" s="9">
        <v>100</v>
      </c>
      <c r="AH40" s="8">
        <v>0</v>
      </c>
      <c r="AI40" s="8">
        <v>0</v>
      </c>
      <c r="AJ40" s="8">
        <v>0</v>
      </c>
      <c r="AK40" s="8">
        <v>0</v>
      </c>
      <c r="AL40" s="8">
        <v>1</v>
      </c>
      <c r="AM40" s="45" t="s">
        <v>108</v>
      </c>
    </row>
    <row r="41" spans="1:39" ht="21" customHeight="1" x14ac:dyDescent="0.15">
      <c r="A41" s="17" t="str">
        <f t="shared" ca="1" si="39"/>
        <v>11018_1-2/118&lt;lv2&gt;s2</v>
      </c>
      <c r="B41" s="8">
        <v>11018</v>
      </c>
      <c r="C41" s="26">
        <v>1</v>
      </c>
      <c r="D41" s="2" t="str">
        <f t="shared" si="40"/>
        <v>11018_1</v>
      </c>
      <c r="E41" s="5" t="str">
        <f ca="1">VLOOKUP($B41,OFFSET([2]quests!$A$1,0,0,COUNTA([2]quests!$A:$A),MATCH(E$1,[2]quests!$1:$1,0)-MATCH($B$1,[2]quests!$1:$1,0)+1),MATCH(E$1,[2]quests!$1:$1,0)-MATCH($B$1,[2]quests!$1:$1,0)+1,FALSE)</f>
        <v>【スタミナ1/2】 ゴールドカジノ</v>
      </c>
      <c r="F41" s="5" t="str">
        <f ca="1">VLOOKUP($D41,OFFSET([2]stages!$A$1,0,0,COUNTA([2]stages!$A:$A),MATCH(F$1,[2]stages!$2:$2,0)-MATCH($D$1,[2]stages!$2:$2,0)+1),MATCH(F$1,[2]stages!$2:$2,0)-MATCH($D$1,[2]stages!$2:$2,0)+1,FALSE)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1" s="26">
        <v>2</v>
      </c>
      <c r="H41" s="16" t="str">
        <f t="shared" si="41"/>
        <v>11018_1-2</v>
      </c>
      <c r="I41" s="5">
        <f ca="1">VLOOKUP($H41,OFFSET(floors_week_q_1Mc!$A$1,0,0,COUNTA(floors_week_q_1Mc!$A:$A),MATCH(I$1,floors_week_q_1Mc!$1:$1,0)-MATCH($H$1,floors_week_q_1Mc!$1:$1,0)+1),MATCH(I$1,floors_week_q_1Mc!$1:$1,0)-MATCH($H$1,floors_week_q_1Mc!$1:$1,0)+1,FALSE)</f>
        <v>35</v>
      </c>
      <c r="J41" s="5">
        <f ca="1">VLOOKUP($H41,OFFSET(floors_week_q_1Mc!$A$1,0,0,COUNTA(floors_week_q_1Mc!$A:$A),MATCH(J$1,floors_week_q_1Mc!$1:$1,0)-MATCH($H$1,floors_week_q_1Mc!$1:$1,0)+1),MATCH(J$1,floors_week_q_1Mc!$1:$1,0)-MATCH($H$1,floors_week_q_1Mc!$1:$1,0)+1,FALSE)</f>
        <v>50</v>
      </c>
      <c r="K41" s="25">
        <v>118</v>
      </c>
      <c r="L41" s="20" t="str">
        <f ca="1">VLOOKUP(K41,[3]enemies!$A:$B,2,FALSE)</f>
        <v>ゴールドチック</v>
      </c>
      <c r="M41" s="23" t="str">
        <f ca="1">VLOOKUP(K41,[3]enemies!$A:$D,4,FALSE)</f>
        <v>yellow</v>
      </c>
      <c r="N41" s="23" t="str">
        <f>VLOOKUP(K41,[4]characters!$A:$J,10,FALSE)</f>
        <v>Material</v>
      </c>
      <c r="O41" s="22" t="str">
        <f>VLOOKUP(K41,[4]characters!$A:$M,13,FALSE)</f>
        <v>unknown</v>
      </c>
      <c r="P41" s="5">
        <f ca="1">VLOOKUP(K41,[3]enemies!$A:$X,24,FALSE)</f>
        <v>15</v>
      </c>
      <c r="Q41" s="6">
        <v>2</v>
      </c>
      <c r="R41" s="36">
        <v>28.8</v>
      </c>
      <c r="S41" s="36">
        <v>38.5</v>
      </c>
      <c r="T41" s="6">
        <v>0</v>
      </c>
      <c r="U41" s="5" t="e">
        <f ca="1">VLOOKUP($V41,OFFSET([5]enemy_skill_sets!$B$1,0,0,COUNTA([5]enemy_skill_sets!$B:$B),MATCH(L$1,[5]enemy_skill_sets!$1:$1,0)-MATCH($V$1,[5]enemy_skill_sets!$1:$1,0)+2),MATCH(L$1,[5]enemy_skill_sets!$1:$1,0)-MATCH($V$1,[5]enemy_skill_sets!$1:$1,0)+2,FALSE)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1" s="5">
        <f ca="1">VLOOKUP($K41,OFFSET([3]enemies!$A$1,0,0,COUNTA([3]enemies!$A:$A),MATCH(V$1,[3]enemies!$1:$1,0)-MATCH($K$1,[3]enemies!$1:$1,0)+1),MATCH(V$1,[3]enemies!$1:$1,0)-MATCH($K$1,[3]enemies!$1:$1,0)+1,FALSE)</f>
        <v>0</v>
      </c>
      <c r="W41" s="7">
        <v>0</v>
      </c>
      <c r="X41" s="7">
        <v>10</v>
      </c>
      <c r="Y41" s="7">
        <v>0</v>
      </c>
      <c r="Z41" s="20">
        <f ca="1">VLOOKUP($K41,OFFSET([3]enemies!$A$1,0,0,COUNTA([3]enemies!$A:$A),MATCH(Z$1,[3]enemies!$1:$1,0)-MATCH($K$1,[3]enemies!$1:$1,0)+1),MATCH(Z$1,[3]enemies!$1:$1,0)-MATCH($K$1,[3]enemies!$1:$1,0)+1,FALSE)</f>
        <v>2</v>
      </c>
      <c r="AA41" s="2">
        <f t="shared" si="42"/>
        <v>118</v>
      </c>
      <c r="AB41" s="5" t="str">
        <f ca="1">VLOOKUP(AA41,[3]enemies!$A:$B,2,FALSE)</f>
        <v>ゴールドチック</v>
      </c>
      <c r="AC41" s="5">
        <f ca="1">VLOOKUP(AA41,[3]enemies!$A:$E,3,FALSE)</f>
        <v>4</v>
      </c>
      <c r="AD41" s="5" t="str">
        <f>VLOOKUP(AA41,[4]characters!$A:$J,10,FALSE)</f>
        <v>Material</v>
      </c>
      <c r="AE41" s="8">
        <v>1</v>
      </c>
      <c r="AF41" s="28">
        <f t="shared" ca="1" si="43"/>
        <v>4</v>
      </c>
      <c r="AG41" s="9">
        <v>0</v>
      </c>
      <c r="AH41" s="8">
        <v>0</v>
      </c>
      <c r="AI41" s="8">
        <v>0</v>
      </c>
      <c r="AJ41" s="8">
        <v>0</v>
      </c>
      <c r="AK41" s="8">
        <v>0</v>
      </c>
      <c r="AL41" s="8">
        <v>1</v>
      </c>
      <c r="AM41" s="45" t="s">
        <v>108</v>
      </c>
    </row>
    <row r="42" spans="1:39" ht="21" customHeight="1" x14ac:dyDescent="0.15">
      <c r="A42" s="17" t="str">
        <f t="shared" ca="1" si="39"/>
        <v>11018_1-2/63&lt;lv32&gt;s2</v>
      </c>
      <c r="B42" s="8">
        <v>11018</v>
      </c>
      <c r="C42" s="26">
        <v>1</v>
      </c>
      <c r="D42" s="16" t="str">
        <f t="shared" si="40"/>
        <v>11018_1</v>
      </c>
      <c r="E42" s="5" t="str">
        <f ca="1">VLOOKUP($B42,OFFSET([2]quests!$A$1,0,0,COUNTA([2]quests!$A:$A),MATCH(E$1,[2]quests!$1:$1,0)-MATCH($B$1,[2]quests!$1:$1,0)+1),MATCH(E$1,[2]quests!$1:$1,0)-MATCH($B$1,[2]quests!$1:$1,0)+1,FALSE)</f>
        <v>【スタミナ1/2】 ゴールドカジノ</v>
      </c>
      <c r="F42" s="5" t="str">
        <f ca="1">VLOOKUP($D42,OFFSET([2]stages!$A$1,0,0,COUNTA([2]stages!$A:$A),MATCH(F$1,[2]stages!$2:$2,0)-MATCH($D$1,[2]stages!$2:$2,0)+1),MATCH(F$1,[2]stages!$2:$2,0)-MATCH($D$1,[2]stages!$2:$2,0)+1,FALSE)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2" s="26">
        <v>2</v>
      </c>
      <c r="H42" s="16" t="str">
        <f t="shared" si="41"/>
        <v>11018_1-2</v>
      </c>
      <c r="I42" s="5">
        <f ca="1">VLOOKUP($H42,OFFSET(floors_week_q_1Mc!$A$1,0,0,COUNTA(floors_week_q_1Mc!$A:$A),MATCH(I$1,floors_week_q_1Mc!$1:$1,0)-MATCH($H$1,floors_week_q_1Mc!$1:$1,0)+1),MATCH(I$1,floors_week_q_1Mc!$1:$1,0)-MATCH($H$1,floors_week_q_1Mc!$1:$1,0)+1,FALSE)</f>
        <v>35</v>
      </c>
      <c r="J42" s="5">
        <f ca="1">VLOOKUP($H42,OFFSET(floors_week_q_1Mc!$A$1,0,0,COUNTA(floors_week_q_1Mc!$A:$A),MATCH(J$1,floors_week_q_1Mc!$1:$1,0)-MATCH($H$1,floors_week_q_1Mc!$1:$1,0)+1),MATCH(J$1,floors_week_q_1Mc!$1:$1,0)-MATCH($H$1,floors_week_q_1Mc!$1:$1,0)+1,FALSE)</f>
        <v>50</v>
      </c>
      <c r="K42" s="32">
        <v>63</v>
      </c>
      <c r="L42" s="20" t="str">
        <f ca="1">VLOOKUP(K42,[3]enemies!$A:$B,2,FALSE)</f>
        <v>トニー</v>
      </c>
      <c r="M42" s="23" t="str">
        <f ca="1">VLOOKUP(K42,[3]enemies!$A:$D,4,FALSE)</f>
        <v>yellow</v>
      </c>
      <c r="N42" s="23" t="str">
        <f>VLOOKUP(K42,[4]characters!$A:$J,10,FALSE)</f>
        <v>Drop1N</v>
      </c>
      <c r="O42" s="22" t="str">
        <f>VLOOKUP(K42,[4]characters!$A:$M,13,FALSE)</f>
        <v>animal</v>
      </c>
      <c r="P42" s="5">
        <f ca="1">VLOOKUP(K42,[3]enemies!$A:$X,24,FALSE)</f>
        <v>15</v>
      </c>
      <c r="Q42" s="6">
        <v>32</v>
      </c>
      <c r="R42" s="36">
        <v>1</v>
      </c>
      <c r="S42" s="36">
        <v>1</v>
      </c>
      <c r="T42" s="6">
        <v>0</v>
      </c>
      <c r="U42" s="5" t="e">
        <f ca="1">VLOOKUP($V42,OFFSET([5]enemy_skill_sets!$B$1,0,0,COUNTA([5]enemy_skill_sets!$B:$B),MATCH(L$1,[5]enemy_skill_sets!$1:$1,0)-MATCH($V$1,[5]enemy_skill_sets!$1:$1,0)+2),MATCH(L$1,[5]enemy_skill_sets!$1:$1,0)-MATCH($V$1,[5]enemy_skill_sets!$1:$1,0)+2,FALSE)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2" s="5">
        <f ca="1">VLOOKUP($K42,OFFSET([3]enemies!$A$1,0,0,COUNTA([3]enemies!$A:$A),MATCH(V$1,[3]enemies!$1:$1,0)-MATCH($K$1,[3]enemies!$1:$1,0)+1),MATCH(V$1,[3]enemies!$1:$1,0)-MATCH($K$1,[3]enemies!$1:$1,0)+1,FALSE)</f>
        <v>63</v>
      </c>
      <c r="W42" s="31">
        <v>0</v>
      </c>
      <c r="X42" s="7">
        <v>10</v>
      </c>
      <c r="Y42" s="31">
        <v>0</v>
      </c>
      <c r="Z42" s="20">
        <f ca="1">VLOOKUP($K42,OFFSET([3]enemies!$A$1,0,0,COUNTA([3]enemies!$A:$A),MATCH(Z$1,[3]enemies!$1:$1,0)-MATCH($K$1,[3]enemies!$1:$1,0)+1),MATCH(Z$1,[3]enemies!$1:$1,0)-MATCH($K$1,[3]enemies!$1:$1,0)+1,FALSE)</f>
        <v>2</v>
      </c>
      <c r="AA42" s="2">
        <f t="shared" si="42"/>
        <v>63</v>
      </c>
      <c r="AB42" s="5" t="str">
        <f ca="1">VLOOKUP(AA42,[3]enemies!$A:$B,2,FALSE)</f>
        <v>トニー</v>
      </c>
      <c r="AC42" s="5">
        <f ca="1">VLOOKUP(AA42,[3]enemies!$A:$E,3,FALSE)</f>
        <v>2</v>
      </c>
      <c r="AD42" s="5" t="str">
        <f>VLOOKUP(AA42,[4]characters!$A:$J,10,FALSE)</f>
        <v>Drop1N</v>
      </c>
      <c r="AE42" s="29">
        <v>1</v>
      </c>
      <c r="AF42" s="28">
        <f t="shared" ca="1" si="43"/>
        <v>2</v>
      </c>
      <c r="AG42" s="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1</v>
      </c>
      <c r="AM42" s="45" t="s">
        <v>108</v>
      </c>
    </row>
    <row r="43" spans="1:39" ht="21" customHeight="1" x14ac:dyDescent="0.15">
      <c r="A43" s="17" t="str">
        <f t="shared" ca="1" si="39"/>
        <v>11018_1-2/61&lt;lv32&gt;s2</v>
      </c>
      <c r="B43" s="8">
        <v>11018</v>
      </c>
      <c r="C43" s="26">
        <v>1</v>
      </c>
      <c r="D43" s="16" t="str">
        <f t="shared" si="40"/>
        <v>11018_1</v>
      </c>
      <c r="E43" s="5" t="str">
        <f ca="1">VLOOKUP($B43,OFFSET([2]quests!$A$1,0,0,COUNTA([2]quests!$A:$A),MATCH(E$1,[2]quests!$1:$1,0)-MATCH($B$1,[2]quests!$1:$1,0)+1),MATCH(E$1,[2]quests!$1:$1,0)-MATCH($B$1,[2]quests!$1:$1,0)+1,FALSE)</f>
        <v>【スタミナ1/2】 ゴールドカジノ</v>
      </c>
      <c r="F43" s="5" t="str">
        <f ca="1">VLOOKUP($D43,OFFSET([2]stages!$A$1,0,0,COUNTA([2]stages!$A:$A),MATCH(F$1,[2]stages!$2:$2,0)-MATCH($D$1,[2]stages!$2:$2,0)+1),MATCH(F$1,[2]stages!$2:$2,0)-MATCH($D$1,[2]stages!$2:$2,0)+1,FALSE)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3" s="26">
        <v>2</v>
      </c>
      <c r="H43" s="16" t="str">
        <f t="shared" si="41"/>
        <v>11018_1-2</v>
      </c>
      <c r="I43" s="5">
        <f ca="1">VLOOKUP($H43,OFFSET(floors_week_q_1Mc!$A$1,0,0,COUNTA(floors_week_q_1Mc!$A:$A),MATCH(I$1,floors_week_q_1Mc!$1:$1,0)-MATCH($H$1,floors_week_q_1Mc!$1:$1,0)+1),MATCH(I$1,floors_week_q_1Mc!$1:$1,0)-MATCH($H$1,floors_week_q_1Mc!$1:$1,0)+1,FALSE)</f>
        <v>35</v>
      </c>
      <c r="J43" s="5">
        <f ca="1">VLOOKUP($H43,OFFSET(floors_week_q_1Mc!$A$1,0,0,COUNTA(floors_week_q_1Mc!$A:$A),MATCH(J$1,floors_week_q_1Mc!$1:$1,0)-MATCH($H$1,floors_week_q_1Mc!$1:$1,0)+1),MATCH(J$1,floors_week_q_1Mc!$1:$1,0)-MATCH($H$1,floors_week_q_1Mc!$1:$1,0)+1,FALSE)</f>
        <v>50</v>
      </c>
      <c r="K43" s="32">
        <v>61</v>
      </c>
      <c r="L43" s="20" t="str">
        <f ca="1">VLOOKUP(K43,[3]enemies!$A:$B,2,FALSE)</f>
        <v>クロウ</v>
      </c>
      <c r="M43" s="23" t="str">
        <f ca="1">VLOOKUP(K43,[3]enemies!$A:$D,4,FALSE)</f>
        <v>blue</v>
      </c>
      <c r="N43" s="23" t="str">
        <f>VLOOKUP(K43,[4]characters!$A:$J,10,FALSE)</f>
        <v>Drop1N</v>
      </c>
      <c r="O43" s="22" t="str">
        <f>VLOOKUP(K43,[4]characters!$A:$M,13,FALSE)</f>
        <v>animal</v>
      </c>
      <c r="P43" s="5">
        <f ca="1">VLOOKUP(K43,[3]enemies!$A:$X,24,FALSE)</f>
        <v>15</v>
      </c>
      <c r="Q43" s="6">
        <v>32</v>
      </c>
      <c r="R43" s="36">
        <v>1</v>
      </c>
      <c r="S43" s="36">
        <v>1</v>
      </c>
      <c r="T43" s="6">
        <v>0</v>
      </c>
      <c r="U43" s="5" t="e">
        <f ca="1">VLOOKUP($V43,OFFSET([5]enemy_skill_sets!$B$1,0,0,COUNTA([5]enemy_skill_sets!$B:$B),MATCH(L$1,[5]enemy_skill_sets!$1:$1,0)-MATCH($V$1,[5]enemy_skill_sets!$1:$1,0)+2),MATCH(L$1,[5]enemy_skill_sets!$1:$1,0)-MATCH($V$1,[5]enemy_skill_sets!$1:$1,0)+2,FALSE)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3" s="5">
        <f ca="1">VLOOKUP($K43,OFFSET([3]enemies!$A$1,0,0,COUNTA([3]enemies!$A:$A),MATCH(V$1,[3]enemies!$1:$1,0)-MATCH($K$1,[3]enemies!$1:$1,0)+1),MATCH(V$1,[3]enemies!$1:$1,0)-MATCH($K$1,[3]enemies!$1:$1,0)+1,FALSE)</f>
        <v>61</v>
      </c>
      <c r="W43" s="31">
        <v>0</v>
      </c>
      <c r="X43" s="7">
        <v>10</v>
      </c>
      <c r="Y43" s="31">
        <v>0</v>
      </c>
      <c r="Z43" s="20">
        <f ca="1">VLOOKUP($K43,OFFSET([3]enemies!$A$1,0,0,COUNTA([3]enemies!$A:$A),MATCH(Z$1,[3]enemies!$1:$1,0)-MATCH($K$1,[3]enemies!$1:$1,0)+1),MATCH(Z$1,[3]enemies!$1:$1,0)-MATCH($K$1,[3]enemies!$1:$1,0)+1,FALSE)</f>
        <v>2</v>
      </c>
      <c r="AA43" s="2">
        <f t="shared" si="42"/>
        <v>61</v>
      </c>
      <c r="AB43" s="5" t="str">
        <f ca="1">VLOOKUP(AA43,[3]enemies!$A:$B,2,FALSE)</f>
        <v>クロウ</v>
      </c>
      <c r="AC43" s="5">
        <f ca="1">VLOOKUP(AA43,[3]enemies!$A:$E,3,FALSE)</f>
        <v>2</v>
      </c>
      <c r="AD43" s="5" t="str">
        <f>VLOOKUP(AA43,[4]characters!$A:$J,10,FALSE)</f>
        <v>Drop1N</v>
      </c>
      <c r="AE43" s="29">
        <v>1</v>
      </c>
      <c r="AF43" s="28">
        <f t="shared" ca="1" si="43"/>
        <v>2</v>
      </c>
      <c r="AG43" s="9">
        <v>0</v>
      </c>
      <c r="AH43" s="29">
        <v>0</v>
      </c>
      <c r="AI43" s="29">
        <v>0</v>
      </c>
      <c r="AJ43" s="29">
        <v>0</v>
      </c>
      <c r="AK43" s="29">
        <v>0</v>
      </c>
      <c r="AL43" s="29">
        <v>1</v>
      </c>
      <c r="AM43" s="45" t="s">
        <v>108</v>
      </c>
    </row>
    <row r="44" spans="1:39" ht="21" customHeight="1" x14ac:dyDescent="0.15">
      <c r="A44" s="17" t="str">
        <f t="shared" ca="1" si="39"/>
        <v>11018_1-2/57&lt;lv32&gt;s2</v>
      </c>
      <c r="B44" s="8">
        <v>11018</v>
      </c>
      <c r="C44" s="26">
        <v>1</v>
      </c>
      <c r="D44" s="16" t="str">
        <f t="shared" si="40"/>
        <v>11018_1</v>
      </c>
      <c r="E44" s="5" t="str">
        <f ca="1">VLOOKUP($B44,OFFSET([2]quests!$A$1,0,0,COUNTA([2]quests!$A:$A),MATCH(E$1,[2]quests!$1:$1,0)-MATCH($B$1,[2]quests!$1:$1,0)+1),MATCH(E$1,[2]quests!$1:$1,0)-MATCH($B$1,[2]quests!$1:$1,0)+1,FALSE)</f>
        <v>【スタミナ1/2】 ゴールドカジノ</v>
      </c>
      <c r="F44" s="5" t="str">
        <f ca="1">VLOOKUP($D44,OFFSET([2]stages!$A$1,0,0,COUNTA([2]stages!$A:$A),MATCH(F$1,[2]stages!$2:$2,0)-MATCH($D$1,[2]stages!$2:$2,0)+1),MATCH(F$1,[2]stages!$2:$2,0)-MATCH($D$1,[2]stages!$2:$2,0)+1,FALSE)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4" s="26">
        <v>2</v>
      </c>
      <c r="H44" s="16" t="str">
        <f t="shared" si="41"/>
        <v>11018_1-2</v>
      </c>
      <c r="I44" s="5">
        <f ca="1">VLOOKUP($H44,OFFSET(floors_week_q_1Mc!$A$1,0,0,COUNTA(floors_week_q_1Mc!$A:$A),MATCH(I$1,floors_week_q_1Mc!$1:$1,0)-MATCH($H$1,floors_week_q_1Mc!$1:$1,0)+1),MATCH(I$1,floors_week_q_1Mc!$1:$1,0)-MATCH($H$1,floors_week_q_1Mc!$1:$1,0)+1,FALSE)</f>
        <v>35</v>
      </c>
      <c r="J44" s="5">
        <f ca="1">VLOOKUP($H44,OFFSET(floors_week_q_1Mc!$A$1,0,0,COUNTA(floors_week_q_1Mc!$A:$A),MATCH(J$1,floors_week_q_1Mc!$1:$1,0)-MATCH($H$1,floors_week_q_1Mc!$1:$1,0)+1),MATCH(J$1,floors_week_q_1Mc!$1:$1,0)-MATCH($H$1,floors_week_q_1Mc!$1:$1,0)+1,FALSE)</f>
        <v>50</v>
      </c>
      <c r="K44" s="32">
        <v>57</v>
      </c>
      <c r="L44" s="20" t="str">
        <f ca="1">VLOOKUP(K44,[3]enemies!$A:$B,2,FALSE)</f>
        <v>チェン・リー</v>
      </c>
      <c r="M44" s="23" t="str">
        <f ca="1">VLOOKUP(K44,[3]enemies!$A:$D,4,FALSE)</f>
        <v>red</v>
      </c>
      <c r="N44" s="23" t="str">
        <f>VLOOKUP(K44,[4]characters!$A:$J,10,FALSE)</f>
        <v>Drop1N</v>
      </c>
      <c r="O44" s="22" t="str">
        <f>VLOOKUP(K44,[4]characters!$A:$M,13,FALSE)</f>
        <v>animal</v>
      </c>
      <c r="P44" s="5">
        <f ca="1">VLOOKUP(K44,[3]enemies!$A:$X,24,FALSE)</f>
        <v>15</v>
      </c>
      <c r="Q44" s="6">
        <v>32</v>
      </c>
      <c r="R44" s="36">
        <v>1</v>
      </c>
      <c r="S44" s="36">
        <v>1</v>
      </c>
      <c r="T44" s="6">
        <v>0</v>
      </c>
      <c r="U44" s="5" t="e">
        <f ca="1">VLOOKUP($V44,OFFSET([5]enemy_skill_sets!$B$1,0,0,COUNTA([5]enemy_skill_sets!$B:$B),MATCH(L$1,[5]enemy_skill_sets!$1:$1,0)-MATCH($V$1,[5]enemy_skill_sets!$1:$1,0)+2),MATCH(L$1,[5]enemy_skill_sets!$1:$1,0)-MATCH($V$1,[5]enemy_skill_sets!$1:$1,0)+2,FALSE)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4" s="5">
        <f ca="1">VLOOKUP($K44,OFFSET([3]enemies!$A$1,0,0,COUNTA([3]enemies!$A:$A),MATCH(V$1,[3]enemies!$1:$1,0)-MATCH($K$1,[3]enemies!$1:$1,0)+1),MATCH(V$1,[3]enemies!$1:$1,0)-MATCH($K$1,[3]enemies!$1:$1,0)+1,FALSE)</f>
        <v>57</v>
      </c>
      <c r="W44" s="31">
        <v>0</v>
      </c>
      <c r="X44" s="7">
        <v>10</v>
      </c>
      <c r="Y44" s="31">
        <v>0</v>
      </c>
      <c r="Z44" s="20">
        <f ca="1">VLOOKUP($K44,OFFSET([3]enemies!$A$1,0,0,COUNTA([3]enemies!$A:$A),MATCH(Z$1,[3]enemies!$1:$1,0)-MATCH($K$1,[3]enemies!$1:$1,0)+1),MATCH(Z$1,[3]enemies!$1:$1,0)-MATCH($K$1,[3]enemies!$1:$1,0)+1,FALSE)</f>
        <v>2</v>
      </c>
      <c r="AA44" s="2">
        <f t="shared" si="42"/>
        <v>57</v>
      </c>
      <c r="AB44" s="5" t="str">
        <f ca="1">VLOOKUP(AA44,[3]enemies!$A:$B,2,FALSE)</f>
        <v>チェン・リー</v>
      </c>
      <c r="AC44" s="5">
        <f ca="1">VLOOKUP(AA44,[3]enemies!$A:$E,3,FALSE)</f>
        <v>2</v>
      </c>
      <c r="AD44" s="5" t="str">
        <f>VLOOKUP(AA44,[4]characters!$A:$J,10,FALSE)</f>
        <v>Drop1N</v>
      </c>
      <c r="AE44" s="29">
        <v>1</v>
      </c>
      <c r="AF44" s="28">
        <f t="shared" ca="1" si="43"/>
        <v>2</v>
      </c>
      <c r="AG44" s="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1</v>
      </c>
      <c r="AM44" s="45" t="s">
        <v>108</v>
      </c>
    </row>
    <row r="45" spans="1:39" ht="21" customHeight="1" x14ac:dyDescent="0.15">
      <c r="A45" s="17" t="str">
        <f t="shared" ca="1" si="39"/>
        <v>11018_1-2/59&lt;lv32&gt;s2</v>
      </c>
      <c r="B45" s="8">
        <v>11018</v>
      </c>
      <c r="C45" s="26">
        <v>1</v>
      </c>
      <c r="D45" s="16" t="str">
        <f t="shared" si="40"/>
        <v>11018_1</v>
      </c>
      <c r="E45" s="5" t="str">
        <f ca="1">VLOOKUP($B45,OFFSET([2]quests!$A$1,0,0,COUNTA([2]quests!$A:$A),MATCH(E$1,[2]quests!$1:$1,0)-MATCH($B$1,[2]quests!$1:$1,0)+1),MATCH(E$1,[2]quests!$1:$1,0)-MATCH($B$1,[2]quests!$1:$1,0)+1,FALSE)</f>
        <v>【スタミナ1/2】 ゴールドカジノ</v>
      </c>
      <c r="F45" s="5" t="str">
        <f ca="1">VLOOKUP($D45,OFFSET([2]stages!$A$1,0,0,COUNTA([2]stages!$A:$A),MATCH(F$1,[2]stages!$2:$2,0)-MATCH($D$1,[2]stages!$2:$2,0)+1),MATCH(F$1,[2]stages!$2:$2,0)-MATCH($D$1,[2]stages!$2:$2,0)+1,FALSE)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5" s="26">
        <v>2</v>
      </c>
      <c r="H45" s="16" t="str">
        <f t="shared" si="41"/>
        <v>11018_1-2</v>
      </c>
      <c r="I45" s="5">
        <f ca="1">VLOOKUP($H45,OFFSET(floors_week_q_1Mc!$A$1,0,0,COUNTA(floors_week_q_1Mc!$A:$A),MATCH(I$1,floors_week_q_1Mc!$1:$1,0)-MATCH($H$1,floors_week_q_1Mc!$1:$1,0)+1),MATCH(I$1,floors_week_q_1Mc!$1:$1,0)-MATCH($H$1,floors_week_q_1Mc!$1:$1,0)+1,FALSE)</f>
        <v>35</v>
      </c>
      <c r="J45" s="5">
        <f ca="1">VLOOKUP($H45,OFFSET(floors_week_q_1Mc!$A$1,0,0,COUNTA(floors_week_q_1Mc!$A:$A),MATCH(J$1,floors_week_q_1Mc!$1:$1,0)-MATCH($H$1,floors_week_q_1Mc!$1:$1,0)+1),MATCH(J$1,floors_week_q_1Mc!$1:$1,0)-MATCH($H$1,floors_week_q_1Mc!$1:$1,0)+1,FALSE)</f>
        <v>50</v>
      </c>
      <c r="K45" s="32">
        <v>59</v>
      </c>
      <c r="L45" s="20" t="str">
        <f ca="1">VLOOKUP(K45,[3]enemies!$A:$B,2,FALSE)</f>
        <v>マーチ</v>
      </c>
      <c r="M45" s="23" t="str">
        <f ca="1">VLOOKUP(K45,[3]enemies!$A:$D,4,FALSE)</f>
        <v>green</v>
      </c>
      <c r="N45" s="23" t="str">
        <f>VLOOKUP(K45,[4]characters!$A:$J,10,FALSE)</f>
        <v>Drop1N</v>
      </c>
      <c r="O45" s="22" t="str">
        <f>VLOOKUP(K45,[4]characters!$A:$M,13,FALSE)</f>
        <v>animal</v>
      </c>
      <c r="P45" s="5">
        <f ca="1">VLOOKUP(K45,[3]enemies!$A:$X,24,FALSE)</f>
        <v>15</v>
      </c>
      <c r="Q45" s="6">
        <v>32</v>
      </c>
      <c r="R45" s="36">
        <v>1</v>
      </c>
      <c r="S45" s="36">
        <v>1</v>
      </c>
      <c r="T45" s="6">
        <v>0</v>
      </c>
      <c r="U45" s="5" t="e">
        <f ca="1">VLOOKUP($V45,OFFSET([5]enemy_skill_sets!$B$1,0,0,COUNTA([5]enemy_skill_sets!$B:$B),MATCH(L$1,[5]enemy_skill_sets!$1:$1,0)-MATCH($V$1,[5]enemy_skill_sets!$1:$1,0)+2),MATCH(L$1,[5]enemy_skill_sets!$1:$1,0)-MATCH($V$1,[5]enemy_skill_sets!$1:$1,0)+2,FALSE)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5" s="5">
        <f ca="1">VLOOKUP($K45,OFFSET([3]enemies!$A$1,0,0,COUNTA([3]enemies!$A:$A),MATCH(V$1,[3]enemies!$1:$1,0)-MATCH($K$1,[3]enemies!$1:$1,0)+1),MATCH(V$1,[3]enemies!$1:$1,0)-MATCH($K$1,[3]enemies!$1:$1,0)+1,FALSE)</f>
        <v>59</v>
      </c>
      <c r="W45" s="31">
        <v>0</v>
      </c>
      <c r="X45" s="7">
        <v>10</v>
      </c>
      <c r="Y45" s="31">
        <v>0</v>
      </c>
      <c r="Z45" s="20">
        <f ca="1">VLOOKUP($K45,OFFSET([3]enemies!$A$1,0,0,COUNTA([3]enemies!$A:$A),MATCH(Z$1,[3]enemies!$1:$1,0)-MATCH($K$1,[3]enemies!$1:$1,0)+1),MATCH(Z$1,[3]enemies!$1:$1,0)-MATCH($K$1,[3]enemies!$1:$1,0)+1,FALSE)</f>
        <v>2</v>
      </c>
      <c r="AA45" s="2">
        <f t="shared" si="42"/>
        <v>59</v>
      </c>
      <c r="AB45" s="5" t="str">
        <f ca="1">VLOOKUP(AA45,[3]enemies!$A:$B,2,FALSE)</f>
        <v>マーチ</v>
      </c>
      <c r="AC45" s="5">
        <f ca="1">VLOOKUP(AA45,[3]enemies!$A:$E,3,FALSE)</f>
        <v>2</v>
      </c>
      <c r="AD45" s="5" t="str">
        <f>VLOOKUP(AA45,[4]characters!$A:$J,10,FALSE)</f>
        <v>Drop1N</v>
      </c>
      <c r="AE45" s="29">
        <v>1</v>
      </c>
      <c r="AF45" s="28">
        <f ca="1">AC45</f>
        <v>2</v>
      </c>
      <c r="AG45" s="9">
        <v>0</v>
      </c>
      <c r="AH45" s="29">
        <v>0</v>
      </c>
      <c r="AI45" s="29">
        <v>0</v>
      </c>
      <c r="AJ45" s="29">
        <v>0</v>
      </c>
      <c r="AK45" s="29">
        <v>0</v>
      </c>
      <c r="AL45" s="29">
        <v>1</v>
      </c>
      <c r="AM45" s="45" t="s">
        <v>108</v>
      </c>
    </row>
    <row r="46" spans="1:39" ht="21" customHeight="1" x14ac:dyDescent="0.15">
      <c r="A46" s="17" t="str">
        <f ca="1">B46&amp;"_"&amp;C46&amp;"-"&amp;G46&amp;"/"&amp;K46&amp;"&lt;lv"&amp;Q46&amp;"&gt;s"&amp;Z46</f>
        <v>11018_1-3/119&lt;lv1&gt;s3</v>
      </c>
      <c r="B46" s="8">
        <v>11018</v>
      </c>
      <c r="C46" s="26">
        <v>1</v>
      </c>
      <c r="D46" s="2" t="str">
        <f>B46&amp;"_"&amp;C46</f>
        <v>11018_1</v>
      </c>
      <c r="E46" s="5" t="str">
        <f ca="1">VLOOKUP($B46,OFFSET([2]quests!$A$1,0,0,COUNTA([2]quests!$A:$A),MATCH(E$1,[2]quests!$1:$1,0)-MATCH($B$1,[2]quests!$1:$1,0)+1),MATCH(E$1,[2]quests!$1:$1,0)-MATCH($B$1,[2]quests!$1:$1,0)+1,FALSE)</f>
        <v>【スタミナ1/2】 ゴールドカジノ</v>
      </c>
      <c r="F46" s="5" t="str">
        <f ca="1">VLOOKUP($D46,OFFSET([2]stages!$A$1,0,0,COUNTA([2]stages!$A:$A),MATCH(F$1,[2]stages!$2:$2,0)-MATCH($D$1,[2]stages!$2:$2,0)+1),MATCH(F$1,[2]stages!$2:$2,0)-MATCH($D$1,[2]stages!$2:$2,0)+1,FALSE)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6" s="26">
        <v>3</v>
      </c>
      <c r="H46" s="16" t="str">
        <f>B46&amp;"_"&amp;C46&amp;"-"&amp;G46</f>
        <v>11018_1-3</v>
      </c>
      <c r="I46" s="5">
        <f ca="1">VLOOKUP($H46,OFFSET(floors_week_q_1Mc!$A$1,0,0,COUNTA(floors_week_q_1Mc!$A:$A),MATCH(I$1,floors_week_q_1Mc!$1:$1,0)-MATCH($H$1,floors_week_q_1Mc!$1:$1,0)+1),MATCH(I$1,floors_week_q_1Mc!$1:$1,0)-MATCH($H$1,floors_week_q_1Mc!$1:$1,0)+1,FALSE)</f>
        <v>20</v>
      </c>
      <c r="J46" s="5">
        <f ca="1">VLOOKUP($H46,OFFSET(floors_week_q_1Mc!$A$1,0,0,COUNTA(floors_week_q_1Mc!$A:$A),MATCH(J$1,floors_week_q_1Mc!$1:$1,0)-MATCH($H$1,floors_week_q_1Mc!$1:$1,0)+1),MATCH(J$1,floors_week_q_1Mc!$1:$1,0)-MATCH($H$1,floors_week_q_1Mc!$1:$1,0)+1,FALSE)</f>
        <v>20</v>
      </c>
      <c r="K46" s="25">
        <v>119</v>
      </c>
      <c r="L46" s="20" t="str">
        <f ca="1">VLOOKUP(K46,[3]enemies!$A:$B,2,FALSE)</f>
        <v>ゴールドダック</v>
      </c>
      <c r="M46" s="23" t="str">
        <f ca="1">VLOOKUP(K46,[3]enemies!$A:$D,4,FALSE)</f>
        <v>yellow</v>
      </c>
      <c r="N46" s="23" t="str">
        <f>VLOOKUP(K46,[4]characters!$A:$J,10,FALSE)</f>
        <v>Material</v>
      </c>
      <c r="O46" s="22" t="str">
        <f>VLOOKUP(K46,[4]characters!$A:$M,13,FALSE)</f>
        <v>unknown</v>
      </c>
      <c r="P46" s="5">
        <f ca="1">VLOOKUP(K46,[3]enemies!$A:$X,24,FALSE)</f>
        <v>20</v>
      </c>
      <c r="Q46" s="6">
        <v>1</v>
      </c>
      <c r="R46" s="36">
        <v>93.3</v>
      </c>
      <c r="S46" s="36">
        <v>41</v>
      </c>
      <c r="T46" s="6">
        <v>0</v>
      </c>
      <c r="U46" s="5" t="e">
        <f ca="1">VLOOKUP($V46,OFFSET([5]enemy_skill_sets!$B$1,0,0,COUNTA([5]enemy_skill_sets!$B:$B),MATCH(L$1,[5]enemy_skill_sets!$1:$1,0)-MATCH($V$1,[5]enemy_skill_sets!$1:$1,0)+2),MATCH(L$1,[5]enemy_skill_sets!$1:$1,0)-MATCH($V$1,[5]enemy_skill_sets!$1:$1,0)+2,FALSE)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6" s="5">
        <f ca="1">VLOOKUP($K46,OFFSET([3]enemies!$A$1,0,0,COUNTA([3]enemies!$A:$A),MATCH(V$1,[3]enemies!$1:$1,0)-MATCH($K$1,[3]enemies!$1:$1,0)+1),MATCH(V$1,[3]enemies!$1:$1,0)-MATCH($K$1,[3]enemies!$1:$1,0)+1,FALSE)</f>
        <v>0</v>
      </c>
      <c r="W46" s="7">
        <v>1</v>
      </c>
      <c r="X46" s="7">
        <v>0</v>
      </c>
      <c r="Y46" s="7">
        <v>0</v>
      </c>
      <c r="Z46" s="20">
        <f ca="1">VLOOKUP($K46,OFFSET([3]enemies!$A$1,0,0,COUNTA([3]enemies!$A:$A),MATCH(Z$1,[3]enemies!$1:$1,0)-MATCH($K$1,[3]enemies!$1:$1,0)+1),MATCH(Z$1,[3]enemies!$1:$1,0)-MATCH($K$1,[3]enemies!$1:$1,0)+1,FALSE)</f>
        <v>3</v>
      </c>
      <c r="AA46" s="2">
        <f>K46</f>
        <v>119</v>
      </c>
      <c r="AB46" s="5" t="str">
        <f ca="1">VLOOKUP(AA46,[3]enemies!$A:$B,2,FALSE)</f>
        <v>ゴールドダック</v>
      </c>
      <c r="AC46" s="5">
        <f ca="1">VLOOKUP(AA46,[3]enemies!$A:$E,3,FALSE)</f>
        <v>5</v>
      </c>
      <c r="AD46" s="5" t="str">
        <f>VLOOKUP(AA46,[4]characters!$A:$J,10,FALSE)</f>
        <v>Material</v>
      </c>
      <c r="AE46" s="8">
        <v>1</v>
      </c>
      <c r="AF46" s="28">
        <f ca="1">AC46</f>
        <v>5</v>
      </c>
      <c r="AG46" s="9">
        <v>100</v>
      </c>
      <c r="AH46" s="8">
        <v>0</v>
      </c>
      <c r="AI46" s="8">
        <v>0</v>
      </c>
      <c r="AJ46" s="8">
        <v>0</v>
      </c>
      <c r="AK46" s="8">
        <v>0</v>
      </c>
      <c r="AL46" s="8">
        <v>1</v>
      </c>
      <c r="AM46" s="45" t="s">
        <v>108</v>
      </c>
    </row>
    <row r="47" spans="1:39" ht="21" customHeight="1" x14ac:dyDescent="0.15">
      <c r="A47" s="17" t="str">
        <f ca="1">B47&amp;"_"&amp;C47&amp;"-"&amp;G47&amp;"/"&amp;K47&amp;"&lt;lv"&amp;Q47&amp;"&gt;s"&amp;Z47</f>
        <v>11018_1-4/119&lt;lv1&gt;s3</v>
      </c>
      <c r="B47" s="8">
        <v>11018</v>
      </c>
      <c r="C47" s="26">
        <v>1</v>
      </c>
      <c r="D47" s="2" t="str">
        <f>B47&amp;"_"&amp;C47</f>
        <v>11018_1</v>
      </c>
      <c r="E47" s="5" t="str">
        <f ca="1">VLOOKUP($B47,OFFSET([2]quests!$A$1,0,0,COUNTA([2]quests!$A:$A),MATCH(E$1,[2]quests!$1:$1,0)-MATCH($B$1,[2]quests!$1:$1,0)+1),MATCH(E$1,[2]quests!$1:$1,0)-MATCH($B$1,[2]quests!$1:$1,0)+1,FALSE)</f>
        <v>【スタミナ1/2】 ゴールドカジノ</v>
      </c>
      <c r="F47" s="5" t="str">
        <f ca="1">VLOOKUP($D47,OFFSET([2]stages!$A$1,0,0,COUNTA([2]stages!$A:$A),MATCH(F$1,[2]stages!$2:$2,0)-MATCH($D$1,[2]stages!$2:$2,0)+1),MATCH(F$1,[2]stages!$2:$2,0)-MATCH($D$1,[2]stages!$2:$2,0)+1,FALSE)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7" s="26">
        <v>4</v>
      </c>
      <c r="H47" s="16" t="str">
        <f>B47&amp;"_"&amp;C47&amp;"-"&amp;G47</f>
        <v>11018_1-4</v>
      </c>
      <c r="I47" s="5">
        <f ca="1">VLOOKUP($H47,OFFSET(floors_week_q_1Mc!$A$1,0,0,COUNTA(floors_week_q_1Mc!$A:$A),MATCH(I$1,floors_week_q_1Mc!$1:$1,0)-MATCH($H$1,floors_week_q_1Mc!$1:$1,0)+1),MATCH(I$1,floors_week_q_1Mc!$1:$1,0)-MATCH($H$1,floors_week_q_1Mc!$1:$1,0)+1,FALSE)</f>
        <v>35</v>
      </c>
      <c r="J47" s="5">
        <f ca="1">VLOOKUP($H47,OFFSET(floors_week_q_1Mc!$A$1,0,0,COUNTA(floors_week_q_1Mc!$A:$A),MATCH(J$1,floors_week_q_1Mc!$1:$1,0)-MATCH($H$1,floors_week_q_1Mc!$1:$1,0)+1),MATCH(J$1,floors_week_q_1Mc!$1:$1,0)-MATCH($H$1,floors_week_q_1Mc!$1:$1,0)+1,FALSE)</f>
        <v>60</v>
      </c>
      <c r="K47" s="25">
        <v>119</v>
      </c>
      <c r="L47" s="20" t="str">
        <f ca="1">VLOOKUP(K47,[3]enemies!$A:$B,2,FALSE)</f>
        <v>ゴールドダック</v>
      </c>
      <c r="M47" s="23" t="str">
        <f ca="1">VLOOKUP(K47,[3]enemies!$A:$D,4,FALSE)</f>
        <v>yellow</v>
      </c>
      <c r="N47" s="23" t="str">
        <f>VLOOKUP(K47,[4]characters!$A:$J,10,FALSE)</f>
        <v>Material</v>
      </c>
      <c r="O47" s="22" t="str">
        <f>VLOOKUP(K47,[4]characters!$A:$M,13,FALSE)</f>
        <v>unknown</v>
      </c>
      <c r="P47" s="5">
        <f ca="1">VLOOKUP(K47,[3]enemies!$A:$X,24,FALSE)</f>
        <v>20</v>
      </c>
      <c r="Q47" s="6">
        <v>1</v>
      </c>
      <c r="R47" s="36">
        <v>93.3</v>
      </c>
      <c r="S47" s="36">
        <v>41</v>
      </c>
      <c r="T47" s="6">
        <v>0</v>
      </c>
      <c r="U47" s="5" t="e">
        <f ca="1">VLOOKUP($V47,OFFSET([5]enemy_skill_sets!$B$1,0,0,COUNTA([5]enemy_skill_sets!$B:$B),MATCH(L$1,[5]enemy_skill_sets!$1:$1,0)-MATCH($V$1,[5]enemy_skill_sets!$1:$1,0)+2),MATCH(L$1,[5]enemy_skill_sets!$1:$1,0)-MATCH($V$1,[5]enemy_skill_sets!$1:$1,0)+2,FALSE)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7" s="5">
        <f ca="1">VLOOKUP($K47,OFFSET([3]enemies!$A$1,0,0,COUNTA([3]enemies!$A:$A),MATCH(V$1,[3]enemies!$1:$1,0)-MATCH($K$1,[3]enemies!$1:$1,0)+1),MATCH(V$1,[3]enemies!$1:$1,0)-MATCH($K$1,[3]enemies!$1:$1,0)+1,FALSE)</f>
        <v>0</v>
      </c>
      <c r="W47" s="7">
        <v>0</v>
      </c>
      <c r="X47" s="7">
        <v>50</v>
      </c>
      <c r="Y47" s="7">
        <v>1</v>
      </c>
      <c r="Z47" s="20">
        <f ca="1">VLOOKUP($K47,OFFSET([3]enemies!$A$1,0,0,COUNTA([3]enemies!$A:$A),MATCH(Z$1,[3]enemies!$1:$1,0)-MATCH($K$1,[3]enemies!$1:$1,0)+1),MATCH(Z$1,[3]enemies!$1:$1,0)-MATCH($K$1,[3]enemies!$1:$1,0)+1,FALSE)</f>
        <v>3</v>
      </c>
      <c r="AA47" s="2">
        <f>K47</f>
        <v>119</v>
      </c>
      <c r="AB47" s="5" t="str">
        <f ca="1">VLOOKUP(AA47,[3]enemies!$A:$B,2,FALSE)</f>
        <v>ゴールドダック</v>
      </c>
      <c r="AC47" s="5">
        <f ca="1">VLOOKUP(AA47,[3]enemies!$A:$E,3,FALSE)</f>
        <v>5</v>
      </c>
      <c r="AD47" s="5" t="str">
        <f>VLOOKUP(AA47,[4]characters!$A:$J,10,FALSE)</f>
        <v>Material</v>
      </c>
      <c r="AE47" s="8">
        <v>1</v>
      </c>
      <c r="AF47" s="28">
        <f ca="1">AC47</f>
        <v>5</v>
      </c>
      <c r="AG47" s="9">
        <v>100</v>
      </c>
      <c r="AH47" s="8">
        <v>0</v>
      </c>
      <c r="AI47" s="8">
        <v>0</v>
      </c>
      <c r="AJ47" s="8">
        <v>0</v>
      </c>
      <c r="AK47" s="8">
        <v>0</v>
      </c>
      <c r="AL47" s="8">
        <v>1</v>
      </c>
      <c r="AM47" s="45" t="s">
        <v>108</v>
      </c>
    </row>
    <row r="48" spans="1:39" ht="21" customHeight="1" x14ac:dyDescent="0.15">
      <c r="A48" s="17" t="str">
        <f>B48&amp;"_"&amp;C48&amp;"-"&amp;G48&amp;"/"&amp;K48&amp;"&lt;lv"&amp;Q48&amp;"&gt;s"&amp;Z48</f>
        <v>11018_1-4/125&lt;lv32&gt;s3</v>
      </c>
      <c r="B48" s="8">
        <v>11018</v>
      </c>
      <c r="C48" s="26">
        <v>1</v>
      </c>
      <c r="D48" s="2" t="str">
        <f>B48&amp;"_"&amp;C48</f>
        <v>11018_1</v>
      </c>
      <c r="E48" s="5" t="str">
        <f ca="1">VLOOKUP($B48,OFFSET([2]quests!$A$1,0,0,COUNTA([2]quests!$A:$A),MATCH(E$1,[2]quests!$1:$1,0)-MATCH($B$1,[2]quests!$1:$1,0)+1),MATCH(E$1,[2]quests!$1:$1,0)-MATCH($B$1,[2]quests!$1:$1,0)+1,FALSE)</f>
        <v>【スタミナ1/2】 ゴールドカジノ</v>
      </c>
      <c r="F48" s="5" t="str">
        <f ca="1">VLOOKUP($D48,OFFSET([2]stages!$A$1,0,0,COUNTA([2]stages!$A:$A),MATCH(F$1,[2]stages!$2:$2,0)-MATCH($D$1,[2]stages!$2:$2,0)+1),MATCH(F$1,[2]stages!$2:$2,0)-MATCH($D$1,[2]stages!$2:$2,0)+1,FALSE)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8" s="26">
        <v>4</v>
      </c>
      <c r="H48" s="16" t="str">
        <f>B48&amp;"_"&amp;C48&amp;"-"&amp;G48</f>
        <v>11018_1-4</v>
      </c>
      <c r="I48" s="5">
        <f ca="1">VLOOKUP($H48,OFFSET(floors_week_q_1Mc!$A$1,0,0,COUNTA(floors_week_q_1Mc!$A:$A),MATCH(I$1,floors_week_q_1Mc!$1:$1,0)-MATCH($H$1,floors_week_q_1Mc!$1:$1,0)+1),MATCH(I$1,floors_week_q_1Mc!$1:$1,0)-MATCH($H$1,floors_week_q_1Mc!$1:$1,0)+1,FALSE)</f>
        <v>35</v>
      </c>
      <c r="J48" s="5">
        <f ca="1">VLOOKUP($H48,OFFSET(floors_week_q_1Mc!$A$1,0,0,COUNTA(floors_week_q_1Mc!$A:$A),MATCH(J$1,floors_week_q_1Mc!$1:$1,0)-MATCH($H$1,floors_week_q_1Mc!$1:$1,0)+1),MATCH(J$1,floors_week_q_1Mc!$1:$1,0)-MATCH($H$1,floors_week_q_1Mc!$1:$1,0)+1,FALSE)</f>
        <v>60</v>
      </c>
      <c r="K48" s="25">
        <v>125</v>
      </c>
      <c r="L48" s="20" t="str">
        <f ca="1">VLOOKUP(K48,[3]enemies!$A:$B,2,FALSE)</f>
        <v>秘術の果実</v>
      </c>
      <c r="M48" s="23" t="str">
        <f ca="1">VLOOKUP(K48,[3]enemies!$A:$D,4,FALSE)</f>
        <v>blue</v>
      </c>
      <c r="N48" s="23" t="str">
        <f>VLOOKUP(K48,[4]characters!$A:$J,10,FALSE)</f>
        <v>Material</v>
      </c>
      <c r="O48" s="22" t="str">
        <f>VLOOKUP(K48,[4]characters!$A:$M,13,FALSE)</f>
        <v>unknown</v>
      </c>
      <c r="P48" s="5">
        <f ca="1">VLOOKUP(K48,[3]enemies!$A:$X,24,FALSE)</f>
        <v>20</v>
      </c>
      <c r="Q48" s="6">
        <v>32</v>
      </c>
      <c r="R48" s="36">
        <v>0.4</v>
      </c>
      <c r="S48" s="36">
        <v>1</v>
      </c>
      <c r="T48" s="6">
        <v>0</v>
      </c>
      <c r="U48" s="46"/>
      <c r="V48" s="33">
        <v>11006040</v>
      </c>
      <c r="W48" s="7">
        <v>0</v>
      </c>
      <c r="X48" s="7">
        <v>10</v>
      </c>
      <c r="Y48" s="7">
        <v>1</v>
      </c>
      <c r="Z48" s="34">
        <v>3</v>
      </c>
      <c r="AA48" s="2">
        <f>K48</f>
        <v>125</v>
      </c>
      <c r="AB48" s="5" t="str">
        <f ca="1">VLOOKUP(AA48,[3]enemies!$A:$B,2,FALSE)</f>
        <v>秘術の果実</v>
      </c>
      <c r="AC48" s="5">
        <f ca="1">VLOOKUP(AA48,[3]enemies!$A:$E,3,FALSE)</f>
        <v>3</v>
      </c>
      <c r="AD48" s="5" t="str">
        <f>VLOOKUP(AA48,[4]characters!$A:$J,10,FALSE)</f>
        <v>Material</v>
      </c>
      <c r="AE48" s="8">
        <v>1</v>
      </c>
      <c r="AF48" s="28">
        <f t="shared" ref="AF48:AF56" ca="1" si="44">AC48</f>
        <v>3</v>
      </c>
      <c r="AG48" s="9">
        <v>100</v>
      </c>
      <c r="AH48" s="8">
        <v>0</v>
      </c>
      <c r="AI48" s="8">
        <v>0</v>
      </c>
      <c r="AJ48" s="8">
        <v>0</v>
      </c>
      <c r="AK48" s="8">
        <v>0</v>
      </c>
      <c r="AL48" s="8">
        <v>1</v>
      </c>
      <c r="AM48" s="45" t="s">
        <v>108</v>
      </c>
    </row>
    <row r="49" spans="1:39" ht="21" customHeight="1" x14ac:dyDescent="0.15">
      <c r="A49" s="17" t="str">
        <f t="shared" ref="A49:A51" ca="1" si="45">B49&amp;"_"&amp;C49&amp;"-"&amp;G49&amp;"/"&amp;K49&amp;"&lt;lv"&amp;Q49&amp;"&gt;s"&amp;Z49</f>
        <v>11018_1-4/118&lt;lv3&gt;s2</v>
      </c>
      <c r="B49" s="8">
        <v>11018</v>
      </c>
      <c r="C49" s="26">
        <v>1</v>
      </c>
      <c r="D49" s="2" t="str">
        <f t="shared" ref="D49:D51" si="46">B49&amp;"_"&amp;C49</f>
        <v>11018_1</v>
      </c>
      <c r="E49" s="5" t="str">
        <f ca="1">VLOOKUP($B49,OFFSET([2]quests!$A$1,0,0,COUNTA([2]quests!$A:$A),MATCH(E$1,[2]quests!$1:$1,0)-MATCH($B$1,[2]quests!$1:$1,0)+1),MATCH(E$1,[2]quests!$1:$1,0)-MATCH($B$1,[2]quests!$1:$1,0)+1,FALSE)</f>
        <v>【スタミナ1/2】 ゴールドカジノ</v>
      </c>
      <c r="F49" s="5" t="str">
        <f ca="1">VLOOKUP($D49,OFFSET([2]stages!$A$1,0,0,COUNTA([2]stages!$A:$A),MATCH(F$1,[2]stages!$2:$2,0)-MATCH($D$1,[2]stages!$2:$2,0)+1),MATCH(F$1,[2]stages!$2:$2,0)-MATCH($D$1,[2]stages!$2:$2,0)+1,FALSE)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49" s="26">
        <v>4</v>
      </c>
      <c r="H49" s="16" t="str">
        <f t="shared" ref="H49:H51" si="47">B49&amp;"_"&amp;C49&amp;"-"&amp;G49</f>
        <v>11018_1-4</v>
      </c>
      <c r="I49" s="5">
        <f ca="1">VLOOKUP($H49,OFFSET(floors_week_q_1Mc!$A$1,0,0,COUNTA(floors_week_q_1Mc!$A:$A),MATCH(I$1,floors_week_q_1Mc!$1:$1,0)-MATCH($H$1,floors_week_q_1Mc!$1:$1,0)+1),MATCH(I$1,floors_week_q_1Mc!$1:$1,0)-MATCH($H$1,floors_week_q_1Mc!$1:$1,0)+1,FALSE)</f>
        <v>35</v>
      </c>
      <c r="J49" s="5">
        <f ca="1">VLOOKUP($H49,OFFSET(floors_week_q_1Mc!$A$1,0,0,COUNTA(floors_week_q_1Mc!$A:$A),MATCH(J$1,floors_week_q_1Mc!$1:$1,0)-MATCH($H$1,floors_week_q_1Mc!$1:$1,0)+1),MATCH(J$1,floors_week_q_1Mc!$1:$1,0)-MATCH($H$1,floors_week_q_1Mc!$1:$1,0)+1,FALSE)</f>
        <v>60</v>
      </c>
      <c r="K49" s="25">
        <v>118</v>
      </c>
      <c r="L49" s="20" t="str">
        <f ca="1">VLOOKUP(K49,[3]enemies!$A:$B,2,FALSE)</f>
        <v>ゴールドチック</v>
      </c>
      <c r="M49" s="23" t="str">
        <f ca="1">VLOOKUP(K49,[3]enemies!$A:$D,4,FALSE)</f>
        <v>yellow</v>
      </c>
      <c r="N49" s="23" t="str">
        <f>VLOOKUP(K49,[4]characters!$A:$J,10,FALSE)</f>
        <v>Material</v>
      </c>
      <c r="O49" s="22" t="str">
        <f>VLOOKUP(K49,[4]characters!$A:$M,13,FALSE)</f>
        <v>unknown</v>
      </c>
      <c r="P49" s="5">
        <f ca="1">VLOOKUP(K49,[3]enemies!$A:$X,24,FALSE)</f>
        <v>15</v>
      </c>
      <c r="Q49" s="6">
        <v>3</v>
      </c>
      <c r="R49" s="36">
        <v>28.8</v>
      </c>
      <c r="S49" s="36">
        <v>38.5</v>
      </c>
      <c r="T49" s="6">
        <v>0</v>
      </c>
      <c r="U49" s="5" t="e">
        <f ca="1">VLOOKUP($V49,OFFSET([5]enemy_skill_sets!$B$1,0,0,COUNTA([5]enemy_skill_sets!$B:$B),MATCH(L$1,[5]enemy_skill_sets!$1:$1,0)-MATCH($V$1,[5]enemy_skill_sets!$1:$1,0)+2),MATCH(L$1,[5]enemy_skill_sets!$1:$1,0)-MATCH($V$1,[5]enemy_skill_sets!$1:$1,0)+2,FALSE)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49" s="5">
        <f ca="1">VLOOKUP($K49,OFFSET([3]enemies!$A$1,0,0,COUNTA([3]enemies!$A:$A),MATCH(V$1,[3]enemies!$1:$1,0)-MATCH($K$1,[3]enemies!$1:$1,0)+1),MATCH(V$1,[3]enemies!$1:$1,0)-MATCH($K$1,[3]enemies!$1:$1,0)+1,FALSE)</f>
        <v>0</v>
      </c>
      <c r="W49" s="7">
        <v>0</v>
      </c>
      <c r="X49" s="7">
        <v>40</v>
      </c>
      <c r="Y49" s="7">
        <v>1</v>
      </c>
      <c r="Z49" s="20">
        <f ca="1">VLOOKUP($K49,OFFSET([3]enemies!$A$1,0,0,COUNTA([3]enemies!$A:$A),MATCH(Z$1,[3]enemies!$1:$1,0)-MATCH($K$1,[3]enemies!$1:$1,0)+1),MATCH(Z$1,[3]enemies!$1:$1,0)-MATCH($K$1,[3]enemies!$1:$1,0)+1,FALSE)</f>
        <v>2</v>
      </c>
      <c r="AA49" s="2">
        <f t="shared" ref="AA49:AA51" si="48">K49</f>
        <v>118</v>
      </c>
      <c r="AB49" s="5" t="str">
        <f ca="1">VLOOKUP(AA49,[3]enemies!$A:$B,2,FALSE)</f>
        <v>ゴールドチック</v>
      </c>
      <c r="AC49" s="5">
        <f ca="1">VLOOKUP(AA49,[3]enemies!$A:$E,3,FALSE)</f>
        <v>4</v>
      </c>
      <c r="AD49" s="5" t="str">
        <f>VLOOKUP(AA49,[4]characters!$A:$J,10,FALSE)</f>
        <v>Material</v>
      </c>
      <c r="AE49" s="8">
        <v>1</v>
      </c>
      <c r="AF49" s="28">
        <f t="shared" ca="1" si="44"/>
        <v>4</v>
      </c>
      <c r="AG49" s="9">
        <v>100</v>
      </c>
      <c r="AH49" s="8">
        <v>0</v>
      </c>
      <c r="AI49" s="8">
        <v>0</v>
      </c>
      <c r="AJ49" s="8">
        <v>0</v>
      </c>
      <c r="AK49" s="8">
        <v>0</v>
      </c>
      <c r="AL49" s="8">
        <v>1</v>
      </c>
      <c r="AM49" s="45" t="s">
        <v>108</v>
      </c>
    </row>
    <row r="50" spans="1:39" ht="21" customHeight="1" x14ac:dyDescent="0.15">
      <c r="A50" s="17" t="str">
        <f ca="1">B50&amp;"_"&amp;C50&amp;"-"&amp;G50&amp;"/"&amp;K50&amp;"&lt;lv"&amp;Q50&amp;"&gt;s"&amp;Z50</f>
        <v>11018_1-4/118&lt;lv1&gt;s2</v>
      </c>
      <c r="B50" s="8">
        <v>11018</v>
      </c>
      <c r="C50" s="26">
        <v>1</v>
      </c>
      <c r="D50" s="16" t="str">
        <f>B50&amp;"_"&amp;C50</f>
        <v>11018_1</v>
      </c>
      <c r="E50" s="5" t="str">
        <f ca="1">VLOOKUP($B50,OFFSET([2]quests!$A$1,0,0,COUNTA([2]quests!$A:$A),MATCH(E$1,[2]quests!$1:$1,0)-MATCH($B$1,[2]quests!$1:$1,0)+1),MATCH(E$1,[2]quests!$1:$1,0)-MATCH($B$1,[2]quests!$1:$1,0)+1,FALSE)</f>
        <v>【スタミナ1/2】 ゴールドカジノ</v>
      </c>
      <c r="F50" s="5" t="str">
        <f ca="1">VLOOKUP($D50,OFFSET([2]stages!$A$1,0,0,COUNTA([2]stages!$A:$A),MATCH(F$1,[2]stages!$2:$2,0)-MATCH($D$1,[2]stages!$2:$2,0)+1),MATCH(F$1,[2]stages!$2:$2,0)-MATCH($D$1,[2]stages!$2:$2,0)+1,FALSE)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0" s="26">
        <v>4</v>
      </c>
      <c r="H50" s="16" t="str">
        <f>B50&amp;"_"&amp;C50&amp;"-"&amp;G50</f>
        <v>11018_1-4</v>
      </c>
      <c r="I50" s="5">
        <f ca="1">VLOOKUP($H50,OFFSET(floors_week_q_1Mc!$A$1,0,0,COUNTA(floors_week_q_1Mc!$A:$A),MATCH(I$1,floors_week_q_1Mc!$1:$1,0)-MATCH($H$1,floors_week_q_1Mc!$1:$1,0)+1),MATCH(I$1,floors_week_q_1Mc!$1:$1,0)-MATCH($H$1,floors_week_q_1Mc!$1:$1,0)+1,FALSE)</f>
        <v>35</v>
      </c>
      <c r="J50" s="5">
        <f ca="1">VLOOKUP($H50,OFFSET(floors_week_q_1Mc!$A$1,0,0,COUNTA(floors_week_q_1Mc!$A:$A),MATCH(J$1,floors_week_q_1Mc!$1:$1,0)-MATCH($H$1,floors_week_q_1Mc!$1:$1,0)+1),MATCH(J$1,floors_week_q_1Mc!$1:$1,0)-MATCH($H$1,floors_week_q_1Mc!$1:$1,0)+1,FALSE)</f>
        <v>60</v>
      </c>
      <c r="K50" s="32">
        <v>118</v>
      </c>
      <c r="L50" s="20" t="str">
        <f ca="1">VLOOKUP(K50,[3]enemies!$A:$B,2,FALSE)</f>
        <v>ゴールドチック</v>
      </c>
      <c r="M50" s="23" t="str">
        <f ca="1">VLOOKUP(K50,[3]enemies!$A:$D,4,FALSE)</f>
        <v>yellow</v>
      </c>
      <c r="N50" s="23" t="str">
        <f>VLOOKUP(K50,[4]characters!$A:$J,10,FALSE)</f>
        <v>Material</v>
      </c>
      <c r="O50" s="22" t="str">
        <f>VLOOKUP(K50,[4]characters!$A:$M,13,FALSE)</f>
        <v>unknown</v>
      </c>
      <c r="P50" s="5">
        <f ca="1">VLOOKUP(K50,[3]enemies!$A:$X,24,FALSE)</f>
        <v>15</v>
      </c>
      <c r="Q50" s="6">
        <v>1</v>
      </c>
      <c r="R50" s="36">
        <v>40.5</v>
      </c>
      <c r="S50" s="36">
        <v>38.5</v>
      </c>
      <c r="T50" s="6">
        <v>0</v>
      </c>
      <c r="U50" s="5" t="e">
        <f ca="1">VLOOKUP($V50,OFFSET([5]enemy_skill_sets!$B$1,0,0,COUNTA([5]enemy_skill_sets!$B:$B),MATCH(L$1,[5]enemy_skill_sets!$1:$1,0)-MATCH($V$1,[5]enemy_skill_sets!$1:$1,0)+2),MATCH(L$1,[5]enemy_skill_sets!$1:$1,0)-MATCH($V$1,[5]enemy_skill_sets!$1:$1,0)+2,FALSE)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0" s="5">
        <f ca="1">VLOOKUP($K50,OFFSET([3]enemies!$A$1,0,0,COUNTA([3]enemies!$A:$A),MATCH(V$1,[3]enemies!$1:$1,0)-MATCH($K$1,[3]enemies!$1:$1,0)+1),MATCH(V$1,[3]enemies!$1:$1,0)-MATCH($K$1,[3]enemies!$1:$1,0)+1,FALSE)</f>
        <v>0</v>
      </c>
      <c r="W50" s="7">
        <v>1</v>
      </c>
      <c r="X50" s="7">
        <v>0</v>
      </c>
      <c r="Y50" s="7">
        <v>2</v>
      </c>
      <c r="Z50" s="20">
        <f ca="1">VLOOKUP($K50,OFFSET([3]enemies!$A$1,0,0,COUNTA([3]enemies!$A:$A),MATCH(Z$1,[3]enemies!$1:$1,0)-MATCH($K$1,[3]enemies!$1:$1,0)+1),MATCH(Z$1,[3]enemies!$1:$1,0)-MATCH($K$1,[3]enemies!$1:$1,0)+1,FALSE)</f>
        <v>2</v>
      </c>
      <c r="AA50" s="2">
        <f>K50</f>
        <v>118</v>
      </c>
      <c r="AB50" s="5" t="str">
        <f ca="1">VLOOKUP(AA50,[3]enemies!$A:$B,2,FALSE)</f>
        <v>ゴールドチック</v>
      </c>
      <c r="AC50" s="5">
        <f ca="1">VLOOKUP(AA50,[3]enemies!$A:$E,3,FALSE)</f>
        <v>4</v>
      </c>
      <c r="AD50" s="5" t="str">
        <f>VLOOKUP(AA50,[4]characters!$A:$J,10,FALSE)</f>
        <v>Material</v>
      </c>
      <c r="AE50" s="29">
        <v>1</v>
      </c>
      <c r="AF50" s="28">
        <f ca="1">AC50</f>
        <v>4</v>
      </c>
      <c r="AG50" s="9">
        <v>100</v>
      </c>
      <c r="AH50" s="29">
        <v>0</v>
      </c>
      <c r="AI50" s="29">
        <v>0</v>
      </c>
      <c r="AJ50" s="29">
        <v>0</v>
      </c>
      <c r="AK50" s="29">
        <v>0</v>
      </c>
      <c r="AL50" s="29">
        <v>1</v>
      </c>
      <c r="AM50" s="45" t="s">
        <v>108</v>
      </c>
    </row>
    <row r="51" spans="1:39" ht="21" customHeight="1" x14ac:dyDescent="0.15">
      <c r="A51" s="17" t="str">
        <f t="shared" ref="A51:A57" ca="1" si="49">B51&amp;"_"&amp;C51&amp;"-"&amp;G51&amp;"/"&amp;K51&amp;"&lt;lv"&amp;Q51&amp;"&gt;s"&amp;Z51</f>
        <v>11018_1-4/118&lt;lv2&gt;s2</v>
      </c>
      <c r="B51" s="8">
        <v>11018</v>
      </c>
      <c r="C51" s="26">
        <v>1</v>
      </c>
      <c r="D51" s="16" t="str">
        <f t="shared" ref="D51:D57" si="50">B51&amp;"_"&amp;C51</f>
        <v>11018_1</v>
      </c>
      <c r="E51" s="5" t="str">
        <f ca="1">VLOOKUP($B51,OFFSET([2]quests!$A$1,0,0,COUNTA([2]quests!$A:$A),MATCH(E$1,[2]quests!$1:$1,0)-MATCH($B$1,[2]quests!$1:$1,0)+1),MATCH(E$1,[2]quests!$1:$1,0)-MATCH($B$1,[2]quests!$1:$1,0)+1,FALSE)</f>
        <v>【スタミナ1/2】 ゴールドカジノ</v>
      </c>
      <c r="F51" s="5" t="str">
        <f ca="1">VLOOKUP($D51,OFFSET([2]stages!$A$1,0,0,COUNTA([2]stages!$A:$A),MATCH(F$1,[2]stages!$2:$2,0)-MATCH($D$1,[2]stages!$2:$2,0)+1),MATCH(F$1,[2]stages!$2:$2,0)-MATCH($D$1,[2]stages!$2:$2,0)+1,FALSE)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1" s="26">
        <v>4</v>
      </c>
      <c r="H51" s="16" t="str">
        <f t="shared" ref="H51:H57" si="51">B51&amp;"_"&amp;C51&amp;"-"&amp;G51</f>
        <v>11018_1-4</v>
      </c>
      <c r="I51" s="5">
        <f ca="1">VLOOKUP($H51,OFFSET(floors_week_q_1Mc!$A$1,0,0,COUNTA(floors_week_q_1Mc!$A:$A),MATCH(I$1,floors_week_q_1Mc!$1:$1,0)-MATCH($H$1,floors_week_q_1Mc!$1:$1,0)+1),MATCH(I$1,floors_week_q_1Mc!$1:$1,0)-MATCH($H$1,floors_week_q_1Mc!$1:$1,0)+1,FALSE)</f>
        <v>35</v>
      </c>
      <c r="J51" s="5">
        <f ca="1">VLOOKUP($H51,OFFSET(floors_week_q_1Mc!$A$1,0,0,COUNTA(floors_week_q_1Mc!$A:$A),MATCH(J$1,floors_week_q_1Mc!$1:$1,0)-MATCH($H$1,floors_week_q_1Mc!$1:$1,0)+1),MATCH(J$1,floors_week_q_1Mc!$1:$1,0)-MATCH($H$1,floors_week_q_1Mc!$1:$1,0)+1,FALSE)</f>
        <v>60</v>
      </c>
      <c r="K51" s="32">
        <v>118</v>
      </c>
      <c r="L51" s="20" t="str">
        <f ca="1">VLOOKUP(K51,[3]enemies!$A:$B,2,FALSE)</f>
        <v>ゴールドチック</v>
      </c>
      <c r="M51" s="23" t="str">
        <f ca="1">VLOOKUP(K51,[3]enemies!$A:$D,4,FALSE)</f>
        <v>yellow</v>
      </c>
      <c r="N51" s="23" t="str">
        <f>VLOOKUP(K51,[4]characters!$A:$J,10,FALSE)</f>
        <v>Material</v>
      </c>
      <c r="O51" s="22" t="str">
        <f>VLOOKUP(K51,[4]characters!$A:$M,13,FALSE)</f>
        <v>unknown</v>
      </c>
      <c r="P51" s="5">
        <f ca="1">VLOOKUP(K51,[3]enemies!$A:$X,24,FALSE)</f>
        <v>15</v>
      </c>
      <c r="Q51" s="6">
        <v>2</v>
      </c>
      <c r="R51" s="36">
        <v>28.8</v>
      </c>
      <c r="S51" s="36">
        <v>38.5</v>
      </c>
      <c r="T51" s="6">
        <v>0</v>
      </c>
      <c r="U51" s="5" t="e">
        <f ca="1">VLOOKUP($V51,OFFSET([5]enemy_skill_sets!$B$1,0,0,COUNTA([5]enemy_skill_sets!$B:$B),MATCH(L$1,[5]enemy_skill_sets!$1:$1,0)-MATCH($V$1,[5]enemy_skill_sets!$1:$1,0)+2),MATCH(L$1,[5]enemy_skill_sets!$1:$1,0)-MATCH($V$1,[5]enemy_skill_sets!$1:$1,0)+2,FALSE)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1" s="5">
        <f ca="1">VLOOKUP($K51,OFFSET([3]enemies!$A$1,0,0,COUNTA([3]enemies!$A:$A),MATCH(V$1,[3]enemies!$1:$1,0)-MATCH($K$1,[3]enemies!$1:$1,0)+1),MATCH(V$1,[3]enemies!$1:$1,0)-MATCH($K$1,[3]enemies!$1:$1,0)+1,FALSE)</f>
        <v>0</v>
      </c>
      <c r="W51" s="7">
        <v>0</v>
      </c>
      <c r="X51" s="7">
        <v>10</v>
      </c>
      <c r="Y51" s="7">
        <v>0</v>
      </c>
      <c r="Z51" s="20">
        <f ca="1">VLOOKUP($K51,OFFSET([3]enemies!$A$1,0,0,COUNTA([3]enemies!$A:$A),MATCH(Z$1,[3]enemies!$1:$1,0)-MATCH($K$1,[3]enemies!$1:$1,0)+1),MATCH(Z$1,[3]enemies!$1:$1,0)-MATCH($K$1,[3]enemies!$1:$1,0)+1,FALSE)</f>
        <v>2</v>
      </c>
      <c r="AA51" s="2">
        <f t="shared" ref="AA51:AA55" si="52">K51</f>
        <v>118</v>
      </c>
      <c r="AB51" s="5" t="str">
        <f ca="1">VLOOKUP(AA51,[3]enemies!$A:$B,2,FALSE)</f>
        <v>ゴールドチック</v>
      </c>
      <c r="AC51" s="5">
        <f ca="1">VLOOKUP(AA51,[3]enemies!$A:$E,3,FALSE)</f>
        <v>4</v>
      </c>
      <c r="AD51" s="5" t="str">
        <f>VLOOKUP(AA51,[4]characters!$A:$J,10,FALSE)</f>
        <v>Material</v>
      </c>
      <c r="AE51" s="29">
        <v>1</v>
      </c>
      <c r="AF51" s="28">
        <f t="shared" ref="AF51:AF57" ca="1" si="53">AC51</f>
        <v>4</v>
      </c>
      <c r="AG51" s="9">
        <v>0</v>
      </c>
      <c r="AH51" s="29">
        <v>0</v>
      </c>
      <c r="AI51" s="29">
        <v>0</v>
      </c>
      <c r="AJ51" s="29">
        <v>0</v>
      </c>
      <c r="AK51" s="29">
        <v>0</v>
      </c>
      <c r="AL51" s="29">
        <v>1</v>
      </c>
      <c r="AM51" s="45" t="s">
        <v>108</v>
      </c>
    </row>
    <row r="52" spans="1:39" ht="21" customHeight="1" x14ac:dyDescent="0.15">
      <c r="A52" s="17" t="str">
        <f t="shared" ca="1" si="49"/>
        <v>11018_1-4/63&lt;lv32&gt;s2</v>
      </c>
      <c r="B52" s="8">
        <v>11018</v>
      </c>
      <c r="C52" s="26">
        <v>1</v>
      </c>
      <c r="D52" s="2" t="str">
        <f t="shared" si="50"/>
        <v>11018_1</v>
      </c>
      <c r="E52" s="5" t="str">
        <f ca="1">VLOOKUP($B52,OFFSET([2]quests!$A$1,0,0,COUNTA([2]quests!$A:$A),MATCH(E$1,[2]quests!$1:$1,0)-MATCH($B$1,[2]quests!$1:$1,0)+1),MATCH(E$1,[2]quests!$1:$1,0)-MATCH($B$1,[2]quests!$1:$1,0)+1,FALSE)</f>
        <v>【スタミナ1/2】 ゴールドカジノ</v>
      </c>
      <c r="F52" s="5" t="str">
        <f ca="1">VLOOKUP($D52,OFFSET([2]stages!$A$1,0,0,COUNTA([2]stages!$A:$A),MATCH(F$1,[2]stages!$2:$2,0)-MATCH($D$1,[2]stages!$2:$2,0)+1),MATCH(F$1,[2]stages!$2:$2,0)-MATCH($D$1,[2]stages!$2:$2,0)+1,FALSE)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2" s="26">
        <v>4</v>
      </c>
      <c r="H52" s="16" t="str">
        <f t="shared" si="51"/>
        <v>11018_1-4</v>
      </c>
      <c r="I52" s="5">
        <f ca="1">VLOOKUP($H52,OFFSET(floors_week_q_1Mc!$A$1,0,0,COUNTA(floors_week_q_1Mc!$A:$A),MATCH(I$1,floors_week_q_1Mc!$1:$1,0)-MATCH($H$1,floors_week_q_1Mc!$1:$1,0)+1),MATCH(I$1,floors_week_q_1Mc!$1:$1,0)-MATCH($H$1,floors_week_q_1Mc!$1:$1,0)+1,FALSE)</f>
        <v>35</v>
      </c>
      <c r="J52" s="5">
        <f ca="1">VLOOKUP($H52,OFFSET(floors_week_q_1Mc!$A$1,0,0,COUNTA(floors_week_q_1Mc!$A:$A),MATCH(J$1,floors_week_q_1Mc!$1:$1,0)-MATCH($H$1,floors_week_q_1Mc!$1:$1,0)+1),MATCH(J$1,floors_week_q_1Mc!$1:$1,0)-MATCH($H$1,floors_week_q_1Mc!$1:$1,0)+1,FALSE)</f>
        <v>60</v>
      </c>
      <c r="K52" s="25">
        <v>63</v>
      </c>
      <c r="L52" s="20" t="str">
        <f ca="1">VLOOKUP(K52,[3]enemies!$A:$B,2,FALSE)</f>
        <v>トニー</v>
      </c>
      <c r="M52" s="23" t="str">
        <f ca="1">VLOOKUP(K52,[3]enemies!$A:$D,4,FALSE)</f>
        <v>yellow</v>
      </c>
      <c r="N52" s="23" t="str">
        <f>VLOOKUP(K52,[4]characters!$A:$J,10,FALSE)</f>
        <v>Drop1N</v>
      </c>
      <c r="O52" s="22" t="str">
        <f>VLOOKUP(K52,[4]characters!$A:$M,13,FALSE)</f>
        <v>animal</v>
      </c>
      <c r="P52" s="5">
        <f ca="1">VLOOKUP(K52,[3]enemies!$A:$X,24,FALSE)</f>
        <v>15</v>
      </c>
      <c r="Q52" s="6">
        <v>32</v>
      </c>
      <c r="R52" s="36">
        <v>1</v>
      </c>
      <c r="S52" s="36">
        <v>1</v>
      </c>
      <c r="T52" s="6">
        <v>0</v>
      </c>
      <c r="U52" s="5" t="e">
        <f ca="1">VLOOKUP($V52,OFFSET([5]enemy_skill_sets!$B$1,0,0,COUNTA([5]enemy_skill_sets!$B:$B),MATCH(L$1,[5]enemy_skill_sets!$1:$1,0)-MATCH($V$1,[5]enemy_skill_sets!$1:$1,0)+2),MATCH(L$1,[5]enemy_skill_sets!$1:$1,0)-MATCH($V$1,[5]enemy_skill_sets!$1:$1,0)+2,FALSE)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2" s="5">
        <f ca="1">VLOOKUP($K52,OFFSET([3]enemies!$A$1,0,0,COUNTA([3]enemies!$A:$A),MATCH(V$1,[3]enemies!$1:$1,0)-MATCH($K$1,[3]enemies!$1:$1,0)+1),MATCH(V$1,[3]enemies!$1:$1,0)-MATCH($K$1,[3]enemies!$1:$1,0)+1,FALSE)</f>
        <v>63</v>
      </c>
      <c r="W52" s="7">
        <v>0</v>
      </c>
      <c r="X52" s="7">
        <v>10</v>
      </c>
      <c r="Y52" s="7">
        <v>0</v>
      </c>
      <c r="Z52" s="20">
        <f ca="1">VLOOKUP($K52,OFFSET([3]enemies!$A$1,0,0,COUNTA([3]enemies!$A:$A),MATCH(Z$1,[3]enemies!$1:$1,0)-MATCH($K$1,[3]enemies!$1:$1,0)+1),MATCH(Z$1,[3]enemies!$1:$1,0)-MATCH($K$1,[3]enemies!$1:$1,0)+1,FALSE)</f>
        <v>2</v>
      </c>
      <c r="AA52" s="2">
        <f t="shared" si="52"/>
        <v>63</v>
      </c>
      <c r="AB52" s="5" t="str">
        <f ca="1">VLOOKUP(AA52,[3]enemies!$A:$B,2,FALSE)</f>
        <v>トニー</v>
      </c>
      <c r="AC52" s="5">
        <f ca="1">VLOOKUP(AA52,[3]enemies!$A:$E,3,FALSE)</f>
        <v>2</v>
      </c>
      <c r="AD52" s="5" t="str">
        <f>VLOOKUP(AA52,[4]characters!$A:$J,10,FALSE)</f>
        <v>Drop1N</v>
      </c>
      <c r="AE52" s="8">
        <v>1</v>
      </c>
      <c r="AF52" s="28">
        <f t="shared" ca="1" si="53"/>
        <v>2</v>
      </c>
      <c r="AG52" s="9">
        <v>0</v>
      </c>
      <c r="AH52" s="8">
        <v>0</v>
      </c>
      <c r="AI52" s="8">
        <v>0</v>
      </c>
      <c r="AJ52" s="8">
        <v>0</v>
      </c>
      <c r="AK52" s="8">
        <v>0</v>
      </c>
      <c r="AL52" s="8">
        <v>1</v>
      </c>
      <c r="AM52" s="45" t="s">
        <v>108</v>
      </c>
    </row>
    <row r="53" spans="1:39" ht="21" customHeight="1" x14ac:dyDescent="0.15">
      <c r="A53" s="17" t="str">
        <f t="shared" ca="1" si="49"/>
        <v>11018_1-4/61&lt;lv32&gt;s2</v>
      </c>
      <c r="B53" s="8">
        <v>11018</v>
      </c>
      <c r="C53" s="26">
        <v>1</v>
      </c>
      <c r="D53" s="16" t="str">
        <f t="shared" si="50"/>
        <v>11018_1</v>
      </c>
      <c r="E53" s="5" t="str">
        <f ca="1">VLOOKUP($B53,OFFSET([2]quests!$A$1,0,0,COUNTA([2]quests!$A:$A),MATCH(E$1,[2]quests!$1:$1,0)-MATCH($B$1,[2]quests!$1:$1,0)+1),MATCH(E$1,[2]quests!$1:$1,0)-MATCH($B$1,[2]quests!$1:$1,0)+1,FALSE)</f>
        <v>【スタミナ1/2】 ゴールドカジノ</v>
      </c>
      <c r="F53" s="5" t="str">
        <f ca="1">VLOOKUP($D53,OFFSET([2]stages!$A$1,0,0,COUNTA([2]stages!$A:$A),MATCH(F$1,[2]stages!$2:$2,0)-MATCH($D$1,[2]stages!$2:$2,0)+1),MATCH(F$1,[2]stages!$2:$2,0)-MATCH($D$1,[2]stages!$2:$2,0)+1,FALSE)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3" s="26">
        <v>4</v>
      </c>
      <c r="H53" s="16" t="str">
        <f t="shared" si="51"/>
        <v>11018_1-4</v>
      </c>
      <c r="I53" s="5">
        <f ca="1">VLOOKUP($H53,OFFSET(floors_week_q_1Mc!$A$1,0,0,COUNTA(floors_week_q_1Mc!$A:$A),MATCH(I$1,floors_week_q_1Mc!$1:$1,0)-MATCH($H$1,floors_week_q_1Mc!$1:$1,0)+1),MATCH(I$1,floors_week_q_1Mc!$1:$1,0)-MATCH($H$1,floors_week_q_1Mc!$1:$1,0)+1,FALSE)</f>
        <v>35</v>
      </c>
      <c r="J53" s="5">
        <f ca="1">VLOOKUP($H53,OFFSET(floors_week_q_1Mc!$A$1,0,0,COUNTA(floors_week_q_1Mc!$A:$A),MATCH(J$1,floors_week_q_1Mc!$1:$1,0)-MATCH($H$1,floors_week_q_1Mc!$1:$1,0)+1),MATCH(J$1,floors_week_q_1Mc!$1:$1,0)-MATCH($H$1,floors_week_q_1Mc!$1:$1,0)+1,FALSE)</f>
        <v>60</v>
      </c>
      <c r="K53" s="32">
        <v>61</v>
      </c>
      <c r="L53" s="20" t="str">
        <f ca="1">VLOOKUP(K53,[3]enemies!$A:$B,2,FALSE)</f>
        <v>クロウ</v>
      </c>
      <c r="M53" s="23" t="str">
        <f ca="1">VLOOKUP(K53,[3]enemies!$A:$D,4,FALSE)</f>
        <v>blue</v>
      </c>
      <c r="N53" s="23" t="str">
        <f>VLOOKUP(K53,[4]characters!$A:$J,10,FALSE)</f>
        <v>Drop1N</v>
      </c>
      <c r="O53" s="22" t="str">
        <f>VLOOKUP(K53,[4]characters!$A:$M,13,FALSE)</f>
        <v>animal</v>
      </c>
      <c r="P53" s="5">
        <f ca="1">VLOOKUP(K53,[3]enemies!$A:$X,24,FALSE)</f>
        <v>15</v>
      </c>
      <c r="Q53" s="6">
        <v>32</v>
      </c>
      <c r="R53" s="36">
        <v>1</v>
      </c>
      <c r="S53" s="36">
        <v>1</v>
      </c>
      <c r="T53" s="6">
        <v>0</v>
      </c>
      <c r="U53" s="5" t="e">
        <f ca="1">VLOOKUP($V53,OFFSET([5]enemy_skill_sets!$B$1,0,0,COUNTA([5]enemy_skill_sets!$B:$B),MATCH(L$1,[5]enemy_skill_sets!$1:$1,0)-MATCH($V$1,[5]enemy_skill_sets!$1:$1,0)+2),MATCH(L$1,[5]enemy_skill_sets!$1:$1,0)-MATCH($V$1,[5]enemy_skill_sets!$1:$1,0)+2,FALSE)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3" s="5">
        <f ca="1">VLOOKUP($K53,OFFSET([3]enemies!$A$1,0,0,COUNTA([3]enemies!$A:$A),MATCH(V$1,[3]enemies!$1:$1,0)-MATCH($K$1,[3]enemies!$1:$1,0)+1),MATCH(V$1,[3]enemies!$1:$1,0)-MATCH($K$1,[3]enemies!$1:$1,0)+1,FALSE)</f>
        <v>61</v>
      </c>
      <c r="W53" s="7">
        <v>0</v>
      </c>
      <c r="X53" s="7">
        <v>10</v>
      </c>
      <c r="Y53" s="7">
        <v>0</v>
      </c>
      <c r="Z53" s="20">
        <f ca="1">VLOOKUP($K53,OFFSET([3]enemies!$A$1,0,0,COUNTA([3]enemies!$A:$A),MATCH(Z$1,[3]enemies!$1:$1,0)-MATCH($K$1,[3]enemies!$1:$1,0)+1),MATCH(Z$1,[3]enemies!$1:$1,0)-MATCH($K$1,[3]enemies!$1:$1,0)+1,FALSE)</f>
        <v>2</v>
      </c>
      <c r="AA53" s="2">
        <f t="shared" si="52"/>
        <v>61</v>
      </c>
      <c r="AB53" s="5" t="str">
        <f ca="1">VLOOKUP(AA53,[3]enemies!$A:$B,2,FALSE)</f>
        <v>クロウ</v>
      </c>
      <c r="AC53" s="5">
        <f ca="1">VLOOKUP(AA53,[3]enemies!$A:$E,3,FALSE)</f>
        <v>2</v>
      </c>
      <c r="AD53" s="5" t="str">
        <f>VLOOKUP(AA53,[4]characters!$A:$J,10,FALSE)</f>
        <v>Drop1N</v>
      </c>
      <c r="AE53" s="29">
        <v>1</v>
      </c>
      <c r="AF53" s="28">
        <f t="shared" ca="1" si="53"/>
        <v>2</v>
      </c>
      <c r="AG53" s="9">
        <v>0</v>
      </c>
      <c r="AH53" s="29">
        <v>0</v>
      </c>
      <c r="AI53" s="29">
        <v>0</v>
      </c>
      <c r="AJ53" s="29">
        <v>0</v>
      </c>
      <c r="AK53" s="29">
        <v>0</v>
      </c>
      <c r="AL53" s="29">
        <v>1</v>
      </c>
      <c r="AM53" s="45" t="s">
        <v>108</v>
      </c>
    </row>
    <row r="54" spans="1:39" ht="21" customHeight="1" x14ac:dyDescent="0.15">
      <c r="A54" s="17" t="str">
        <f t="shared" ca="1" si="49"/>
        <v>11018_1-4/57&lt;lv32&gt;s2</v>
      </c>
      <c r="B54" s="8">
        <v>11018</v>
      </c>
      <c r="C54" s="26">
        <v>1</v>
      </c>
      <c r="D54" s="16" t="str">
        <f t="shared" si="50"/>
        <v>11018_1</v>
      </c>
      <c r="E54" s="5" t="str">
        <f ca="1">VLOOKUP($B54,OFFSET([2]quests!$A$1,0,0,COUNTA([2]quests!$A:$A),MATCH(E$1,[2]quests!$1:$1,0)-MATCH($B$1,[2]quests!$1:$1,0)+1),MATCH(E$1,[2]quests!$1:$1,0)-MATCH($B$1,[2]quests!$1:$1,0)+1,FALSE)</f>
        <v>【スタミナ1/2】 ゴールドカジノ</v>
      </c>
      <c r="F54" s="5" t="str">
        <f ca="1">VLOOKUP($D54,OFFSET([2]stages!$A$1,0,0,COUNTA([2]stages!$A:$A),MATCH(F$1,[2]stages!$2:$2,0)-MATCH($D$1,[2]stages!$2:$2,0)+1),MATCH(F$1,[2]stages!$2:$2,0)-MATCH($D$1,[2]stages!$2:$2,0)+1,FALSE)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4" s="26">
        <v>4</v>
      </c>
      <c r="H54" s="16" t="str">
        <f t="shared" si="51"/>
        <v>11018_1-4</v>
      </c>
      <c r="I54" s="5">
        <f ca="1">VLOOKUP($H54,OFFSET(floors_week_q_1Mc!$A$1,0,0,COUNTA(floors_week_q_1Mc!$A:$A),MATCH(I$1,floors_week_q_1Mc!$1:$1,0)-MATCH($H$1,floors_week_q_1Mc!$1:$1,0)+1),MATCH(I$1,floors_week_q_1Mc!$1:$1,0)-MATCH($H$1,floors_week_q_1Mc!$1:$1,0)+1,FALSE)</f>
        <v>35</v>
      </c>
      <c r="J54" s="5">
        <f ca="1">VLOOKUP($H54,OFFSET(floors_week_q_1Mc!$A$1,0,0,COUNTA(floors_week_q_1Mc!$A:$A),MATCH(J$1,floors_week_q_1Mc!$1:$1,0)-MATCH($H$1,floors_week_q_1Mc!$1:$1,0)+1),MATCH(J$1,floors_week_q_1Mc!$1:$1,0)-MATCH($H$1,floors_week_q_1Mc!$1:$1,0)+1,FALSE)</f>
        <v>60</v>
      </c>
      <c r="K54" s="32">
        <v>57</v>
      </c>
      <c r="L54" s="20" t="str">
        <f ca="1">VLOOKUP(K54,[3]enemies!$A:$B,2,FALSE)</f>
        <v>チェン・リー</v>
      </c>
      <c r="M54" s="23" t="str">
        <f ca="1">VLOOKUP(K54,[3]enemies!$A:$D,4,FALSE)</f>
        <v>red</v>
      </c>
      <c r="N54" s="23" t="str">
        <f>VLOOKUP(K54,[4]characters!$A:$J,10,FALSE)</f>
        <v>Drop1N</v>
      </c>
      <c r="O54" s="22" t="str">
        <f>VLOOKUP(K54,[4]characters!$A:$M,13,FALSE)</f>
        <v>animal</v>
      </c>
      <c r="P54" s="5">
        <f ca="1">VLOOKUP(K54,[3]enemies!$A:$X,24,FALSE)</f>
        <v>15</v>
      </c>
      <c r="Q54" s="6">
        <v>32</v>
      </c>
      <c r="R54" s="36">
        <v>1</v>
      </c>
      <c r="S54" s="36">
        <v>1</v>
      </c>
      <c r="T54" s="6">
        <v>0</v>
      </c>
      <c r="U54" s="5" t="e">
        <f ca="1">VLOOKUP($V54,OFFSET([5]enemy_skill_sets!$B$1,0,0,COUNTA([5]enemy_skill_sets!$B:$B),MATCH(L$1,[5]enemy_skill_sets!$1:$1,0)-MATCH($V$1,[5]enemy_skill_sets!$1:$1,0)+2),MATCH(L$1,[5]enemy_skill_sets!$1:$1,0)-MATCH($V$1,[5]enemy_skill_sets!$1:$1,0)+2,FALSE)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4" s="5">
        <f ca="1">VLOOKUP($K54,OFFSET([3]enemies!$A$1,0,0,COUNTA([3]enemies!$A:$A),MATCH(V$1,[3]enemies!$1:$1,0)-MATCH($K$1,[3]enemies!$1:$1,0)+1),MATCH(V$1,[3]enemies!$1:$1,0)-MATCH($K$1,[3]enemies!$1:$1,0)+1,FALSE)</f>
        <v>57</v>
      </c>
      <c r="W54" s="7">
        <v>0</v>
      </c>
      <c r="X54" s="7">
        <v>10</v>
      </c>
      <c r="Y54" s="7">
        <v>0</v>
      </c>
      <c r="Z54" s="20">
        <f ca="1">VLOOKUP($K54,OFFSET([3]enemies!$A$1,0,0,COUNTA([3]enemies!$A:$A),MATCH(Z$1,[3]enemies!$1:$1,0)-MATCH($K$1,[3]enemies!$1:$1,0)+1),MATCH(Z$1,[3]enemies!$1:$1,0)-MATCH($K$1,[3]enemies!$1:$1,0)+1,FALSE)</f>
        <v>2</v>
      </c>
      <c r="AA54" s="2">
        <f t="shared" si="52"/>
        <v>57</v>
      </c>
      <c r="AB54" s="5" t="str">
        <f ca="1">VLOOKUP(AA54,[3]enemies!$A:$B,2,FALSE)</f>
        <v>チェン・リー</v>
      </c>
      <c r="AC54" s="5">
        <f ca="1">VLOOKUP(AA54,[3]enemies!$A:$E,3,FALSE)</f>
        <v>2</v>
      </c>
      <c r="AD54" s="5" t="str">
        <f>VLOOKUP(AA54,[4]characters!$A:$J,10,FALSE)</f>
        <v>Drop1N</v>
      </c>
      <c r="AE54" s="29">
        <v>1</v>
      </c>
      <c r="AF54" s="28">
        <f t="shared" ca="1" si="53"/>
        <v>2</v>
      </c>
      <c r="AG54" s="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1</v>
      </c>
      <c r="AM54" s="45" t="s">
        <v>108</v>
      </c>
    </row>
    <row r="55" spans="1:39" ht="21" customHeight="1" x14ac:dyDescent="0.15">
      <c r="A55" s="17" t="str">
        <f t="shared" ca="1" si="49"/>
        <v>11018_1-4/59&lt;lv32&gt;s2</v>
      </c>
      <c r="B55" s="8">
        <v>11018</v>
      </c>
      <c r="C55" s="26">
        <v>1</v>
      </c>
      <c r="D55" s="16" t="str">
        <f t="shared" si="50"/>
        <v>11018_1</v>
      </c>
      <c r="E55" s="5" t="str">
        <f ca="1">VLOOKUP($B55,OFFSET([2]quests!$A$1,0,0,COUNTA([2]quests!$A:$A),MATCH(E$1,[2]quests!$1:$1,0)-MATCH($B$1,[2]quests!$1:$1,0)+1),MATCH(E$1,[2]quests!$1:$1,0)-MATCH($B$1,[2]quests!$1:$1,0)+1,FALSE)</f>
        <v>【スタミナ1/2】 ゴールドカジノ</v>
      </c>
      <c r="F55" s="5" t="str">
        <f ca="1">VLOOKUP($D55,OFFSET([2]stages!$A$1,0,0,COUNTA([2]stages!$A:$A),MATCH(F$1,[2]stages!$2:$2,0)-MATCH($D$1,[2]stages!$2:$2,0)+1),MATCH(F$1,[2]stages!$2:$2,0)-MATCH($D$1,[2]stages!$2:$2,0)+1,FALSE)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5" s="26">
        <v>4</v>
      </c>
      <c r="H55" s="16" t="str">
        <f t="shared" si="51"/>
        <v>11018_1-4</v>
      </c>
      <c r="I55" s="5">
        <f ca="1">VLOOKUP($H55,OFFSET(floors_week_q_1Mc!$A$1,0,0,COUNTA(floors_week_q_1Mc!$A:$A),MATCH(I$1,floors_week_q_1Mc!$1:$1,0)-MATCH($H$1,floors_week_q_1Mc!$1:$1,0)+1),MATCH(I$1,floors_week_q_1Mc!$1:$1,0)-MATCH($H$1,floors_week_q_1Mc!$1:$1,0)+1,FALSE)</f>
        <v>35</v>
      </c>
      <c r="J55" s="5">
        <f ca="1">VLOOKUP($H55,OFFSET(floors_week_q_1Mc!$A$1,0,0,COUNTA(floors_week_q_1Mc!$A:$A),MATCH(J$1,floors_week_q_1Mc!$1:$1,0)-MATCH($H$1,floors_week_q_1Mc!$1:$1,0)+1),MATCH(J$1,floors_week_q_1Mc!$1:$1,0)-MATCH($H$1,floors_week_q_1Mc!$1:$1,0)+1,FALSE)</f>
        <v>60</v>
      </c>
      <c r="K55" s="32">
        <v>59</v>
      </c>
      <c r="L55" s="20" t="str">
        <f ca="1">VLOOKUP(K55,[3]enemies!$A:$B,2,FALSE)</f>
        <v>マーチ</v>
      </c>
      <c r="M55" s="23" t="str">
        <f ca="1">VLOOKUP(K55,[3]enemies!$A:$D,4,FALSE)</f>
        <v>green</v>
      </c>
      <c r="N55" s="23" t="str">
        <f>VLOOKUP(K55,[4]characters!$A:$J,10,FALSE)</f>
        <v>Drop1N</v>
      </c>
      <c r="O55" s="22" t="str">
        <f>VLOOKUP(K55,[4]characters!$A:$M,13,FALSE)</f>
        <v>animal</v>
      </c>
      <c r="P55" s="5">
        <f ca="1">VLOOKUP(K55,[3]enemies!$A:$X,24,FALSE)</f>
        <v>15</v>
      </c>
      <c r="Q55" s="6">
        <v>32</v>
      </c>
      <c r="R55" s="36">
        <v>1</v>
      </c>
      <c r="S55" s="36">
        <v>1</v>
      </c>
      <c r="T55" s="6">
        <v>0</v>
      </c>
      <c r="U55" s="5" t="e">
        <f ca="1">VLOOKUP($V55,OFFSET([5]enemy_skill_sets!$B$1,0,0,COUNTA([5]enemy_skill_sets!$B:$B),MATCH(L$1,[5]enemy_skill_sets!$1:$1,0)-MATCH($V$1,[5]enemy_skill_sets!$1:$1,0)+2),MATCH(L$1,[5]enemy_skill_sets!$1:$1,0)-MATCH($V$1,[5]enemy_skill_sets!$1:$1,0)+2,FALSE)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5" s="5">
        <f ca="1">VLOOKUP($K55,OFFSET([3]enemies!$A$1,0,0,COUNTA([3]enemies!$A:$A),MATCH(V$1,[3]enemies!$1:$1,0)-MATCH($K$1,[3]enemies!$1:$1,0)+1),MATCH(V$1,[3]enemies!$1:$1,0)-MATCH($K$1,[3]enemies!$1:$1,0)+1,FALSE)</f>
        <v>59</v>
      </c>
      <c r="W55" s="7">
        <v>0</v>
      </c>
      <c r="X55" s="7">
        <v>10</v>
      </c>
      <c r="Y55" s="7">
        <v>0</v>
      </c>
      <c r="Z55" s="20">
        <f ca="1">VLOOKUP($K55,OFFSET([3]enemies!$A$1,0,0,COUNTA([3]enemies!$A:$A),MATCH(Z$1,[3]enemies!$1:$1,0)-MATCH($K$1,[3]enemies!$1:$1,0)+1),MATCH(Z$1,[3]enemies!$1:$1,0)-MATCH($K$1,[3]enemies!$1:$1,0)+1,FALSE)</f>
        <v>2</v>
      </c>
      <c r="AA55" s="2">
        <f t="shared" si="52"/>
        <v>59</v>
      </c>
      <c r="AB55" s="5" t="str">
        <f ca="1">VLOOKUP(AA55,[3]enemies!$A:$B,2,FALSE)</f>
        <v>マーチ</v>
      </c>
      <c r="AC55" s="5">
        <f ca="1">VLOOKUP(AA55,[3]enemies!$A:$E,3,FALSE)</f>
        <v>2</v>
      </c>
      <c r="AD55" s="5" t="str">
        <f>VLOOKUP(AA55,[4]characters!$A:$J,10,FALSE)</f>
        <v>Drop1N</v>
      </c>
      <c r="AE55" s="29">
        <v>1</v>
      </c>
      <c r="AF55" s="28">
        <f t="shared" ca="1" si="53"/>
        <v>2</v>
      </c>
      <c r="AG55" s="9">
        <v>0</v>
      </c>
      <c r="AH55" s="29">
        <v>0</v>
      </c>
      <c r="AI55" s="29">
        <v>0</v>
      </c>
      <c r="AJ55" s="29">
        <v>0</v>
      </c>
      <c r="AK55" s="29">
        <v>0</v>
      </c>
      <c r="AL55" s="29">
        <v>1</v>
      </c>
      <c r="AM55" s="45" t="s">
        <v>108</v>
      </c>
    </row>
    <row r="56" spans="1:39" ht="21" customHeight="1" x14ac:dyDescent="0.15">
      <c r="A56" s="17" t="str">
        <f t="shared" ca="1" si="49"/>
        <v>11018_1-5/119&lt;lv2&gt;s3</v>
      </c>
      <c r="B56" s="8">
        <v>11018</v>
      </c>
      <c r="C56" s="26">
        <v>1</v>
      </c>
      <c r="D56" s="2" t="str">
        <f t="shared" si="50"/>
        <v>11018_1</v>
      </c>
      <c r="E56" s="5" t="str">
        <f ca="1">VLOOKUP($B56,OFFSET([2]quests!$A$1,0,0,COUNTA([2]quests!$A:$A),MATCH(E$1,[2]quests!$1:$1,0)-MATCH($B$1,[2]quests!$1:$1,0)+1),MATCH(E$1,[2]quests!$1:$1,0)-MATCH($B$1,[2]quests!$1:$1,0)+1,FALSE)</f>
        <v>【スタミナ1/2】 ゴールドカジノ</v>
      </c>
      <c r="F56" s="5" t="str">
        <f ca="1">VLOOKUP($D56,OFFSET([2]stages!$A$1,0,0,COUNTA([2]stages!$A:$A),MATCH(F$1,[2]stages!$2:$2,0)-MATCH($D$1,[2]stages!$2:$2,0)+1),MATCH(F$1,[2]stages!$2:$2,0)-MATCH($D$1,[2]stages!$2:$2,0)+1,FALSE)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6" s="26">
        <v>5</v>
      </c>
      <c r="H56" s="16" t="str">
        <f t="shared" si="51"/>
        <v>11018_1-5</v>
      </c>
      <c r="I56" s="5">
        <f ca="1">VLOOKUP($H56,OFFSET(floors_week_q_1Mc!$A$1,0,0,COUNTA(floors_week_q_1Mc!$A:$A),MATCH(I$1,floors_week_q_1Mc!$1:$1,0)-MATCH($H$1,floors_week_q_1Mc!$1:$1,0)+1),MATCH(I$1,floors_week_q_1Mc!$1:$1,0)-MATCH($H$1,floors_week_q_1Mc!$1:$1,0)+1,FALSE)</f>
        <v>50</v>
      </c>
      <c r="J56" s="5">
        <f ca="1">VLOOKUP($H56,OFFSET(floors_week_q_1Mc!$A$1,0,0,COUNTA(floors_week_q_1Mc!$A:$A),MATCH(J$1,floors_week_q_1Mc!$1:$1,0)-MATCH($H$1,floors_week_q_1Mc!$1:$1,0)+1),MATCH(J$1,floors_week_q_1Mc!$1:$1,0)-MATCH($H$1,floors_week_q_1Mc!$1:$1,0)+1,FALSE)</f>
        <v>50</v>
      </c>
      <c r="K56" s="25">
        <v>119</v>
      </c>
      <c r="L56" s="20" t="str">
        <f ca="1">VLOOKUP(K56,[3]enemies!$A:$B,2,FALSE)</f>
        <v>ゴールドダック</v>
      </c>
      <c r="M56" s="23" t="str">
        <f ca="1">VLOOKUP(K56,[3]enemies!$A:$D,4,FALSE)</f>
        <v>yellow</v>
      </c>
      <c r="N56" s="23" t="str">
        <f>VLOOKUP(K56,[4]characters!$A:$J,10,FALSE)</f>
        <v>Material</v>
      </c>
      <c r="O56" s="22" t="str">
        <f>VLOOKUP(K56,[4]characters!$A:$M,13,FALSE)</f>
        <v>unknown</v>
      </c>
      <c r="P56" s="5">
        <f ca="1">VLOOKUP(K56,[3]enemies!$A:$X,24,FALSE)</f>
        <v>20</v>
      </c>
      <c r="Q56" s="6">
        <v>2</v>
      </c>
      <c r="R56" s="36">
        <v>93.3</v>
      </c>
      <c r="S56" s="36">
        <v>41</v>
      </c>
      <c r="T56" s="6">
        <v>0</v>
      </c>
      <c r="U56" s="5" t="e">
        <f ca="1">VLOOKUP($V56,OFFSET([5]enemy_skill_sets!$B$1,0,0,COUNTA([5]enemy_skill_sets!$B:$B),MATCH(L$1,[5]enemy_skill_sets!$1:$1,0)-MATCH($V$1,[5]enemy_skill_sets!$1:$1,0)+2),MATCH(L$1,[5]enemy_skill_sets!$1:$1,0)-MATCH($V$1,[5]enemy_skill_sets!$1:$1,0)+2,FALSE)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6" s="5">
        <f ca="1">VLOOKUP($K56,OFFSET([3]enemies!$A$1,0,0,COUNTA([3]enemies!$A:$A),MATCH(V$1,[3]enemies!$1:$1,0)-MATCH($K$1,[3]enemies!$1:$1,0)+1),MATCH(V$1,[3]enemies!$1:$1,0)-MATCH($K$1,[3]enemies!$1:$1,0)+1,FALSE)</f>
        <v>0</v>
      </c>
      <c r="W56" s="7">
        <v>1</v>
      </c>
      <c r="X56" s="7">
        <v>0</v>
      </c>
      <c r="Y56" s="7">
        <v>1</v>
      </c>
      <c r="Z56" s="20">
        <f ca="1">VLOOKUP($K56,OFFSET([3]enemies!$A$1,0,0,COUNTA([3]enemies!$A:$A),MATCH(Z$1,[3]enemies!$1:$1,0)-MATCH($K$1,[3]enemies!$1:$1,0)+1),MATCH(Z$1,[3]enemies!$1:$1,0)-MATCH($K$1,[3]enemies!$1:$1,0)+1,FALSE)</f>
        <v>3</v>
      </c>
      <c r="AA56" s="2">
        <f>K56</f>
        <v>119</v>
      </c>
      <c r="AB56" s="5" t="str">
        <f ca="1">VLOOKUP(AA56,[3]enemies!$A:$B,2,FALSE)</f>
        <v>ゴールドダック</v>
      </c>
      <c r="AC56" s="5">
        <f ca="1">VLOOKUP(AA56,[3]enemies!$A:$E,3,FALSE)</f>
        <v>5</v>
      </c>
      <c r="AD56" s="5" t="str">
        <f>VLOOKUP(AA56,[4]characters!$A:$J,10,FALSE)</f>
        <v>Material</v>
      </c>
      <c r="AE56" s="8">
        <v>1</v>
      </c>
      <c r="AF56" s="28">
        <f t="shared" ca="1" si="53"/>
        <v>5</v>
      </c>
      <c r="AG56" s="9">
        <v>100</v>
      </c>
      <c r="AH56" s="8">
        <v>0</v>
      </c>
      <c r="AI56" s="8">
        <v>0</v>
      </c>
      <c r="AJ56" s="8">
        <v>0</v>
      </c>
      <c r="AK56" s="8">
        <v>0</v>
      </c>
      <c r="AL56" s="8">
        <v>1</v>
      </c>
      <c r="AM56" s="45" t="s">
        <v>108</v>
      </c>
    </row>
    <row r="57" spans="1:39" ht="21" customHeight="1" x14ac:dyDescent="0.15">
      <c r="A57" s="17" t="str">
        <f t="shared" ca="1" si="49"/>
        <v>11018_1-5/118&lt;lv2&gt;s2</v>
      </c>
      <c r="B57" s="8">
        <v>11018</v>
      </c>
      <c r="C57" s="26">
        <v>1</v>
      </c>
      <c r="D57" s="16" t="str">
        <f t="shared" si="50"/>
        <v>11018_1</v>
      </c>
      <c r="E57" s="5" t="str">
        <f ca="1">VLOOKUP($B57,OFFSET([2]quests!$A$1,0,0,COUNTA([2]quests!$A:$A),MATCH(E$1,[2]quests!$1:$1,0)-MATCH($B$1,[2]quests!$1:$1,0)+1),MATCH(E$1,[2]quests!$1:$1,0)-MATCH($B$1,[2]quests!$1:$1,0)+1,FALSE)</f>
        <v>【スタミナ1/2】 ゴールドカジノ</v>
      </c>
      <c r="F57" s="5" t="str">
        <f ca="1">VLOOKUP($D57,OFFSET([2]stages!$A$1,0,0,COUNTA([2]stages!$A:$A),MATCH(F$1,[2]stages!$2:$2,0)-MATCH($D$1,[2]stages!$2:$2,0)+1),MATCH(F$1,[2]stages!$2:$2,0)-MATCH($D$1,[2]stages!$2:$2,0)+1,FALSE)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57" s="26">
        <v>5</v>
      </c>
      <c r="H57" s="16" t="str">
        <f t="shared" si="51"/>
        <v>11018_1-5</v>
      </c>
      <c r="I57" s="5">
        <f ca="1">VLOOKUP($H57,OFFSET(floors_week_q_1Mc!$A$1,0,0,COUNTA(floors_week_q_1Mc!$A:$A),MATCH(I$1,floors_week_q_1Mc!$1:$1,0)-MATCH($H$1,floors_week_q_1Mc!$1:$1,0)+1),MATCH(I$1,floors_week_q_1Mc!$1:$1,0)-MATCH($H$1,floors_week_q_1Mc!$1:$1,0)+1,FALSE)</f>
        <v>50</v>
      </c>
      <c r="J57" s="5">
        <f ca="1">VLOOKUP($H57,OFFSET(floors_week_q_1Mc!$A$1,0,0,COUNTA(floors_week_q_1Mc!$A:$A),MATCH(J$1,floors_week_q_1Mc!$1:$1,0)-MATCH($H$1,floors_week_q_1Mc!$1:$1,0)+1),MATCH(J$1,floors_week_q_1Mc!$1:$1,0)-MATCH($H$1,floors_week_q_1Mc!$1:$1,0)+1,FALSE)</f>
        <v>50</v>
      </c>
      <c r="K57" s="32">
        <v>118</v>
      </c>
      <c r="L57" s="20" t="str">
        <f ca="1">VLOOKUP(K57,[3]enemies!$A:$B,2,FALSE)</f>
        <v>ゴールドチック</v>
      </c>
      <c r="M57" s="23" t="str">
        <f ca="1">VLOOKUP(K57,[3]enemies!$A:$D,4,FALSE)</f>
        <v>yellow</v>
      </c>
      <c r="N57" s="23" t="str">
        <f>VLOOKUP(K57,[4]characters!$A:$J,10,FALSE)</f>
        <v>Material</v>
      </c>
      <c r="O57" s="22" t="str">
        <f>VLOOKUP(K57,[4]characters!$A:$M,13,FALSE)</f>
        <v>unknown</v>
      </c>
      <c r="P57" s="5">
        <f ca="1">VLOOKUP(K57,[3]enemies!$A:$X,24,FALSE)</f>
        <v>15</v>
      </c>
      <c r="Q57" s="6">
        <v>2</v>
      </c>
      <c r="R57" s="36">
        <v>28.8</v>
      </c>
      <c r="S57" s="36">
        <v>38.5</v>
      </c>
      <c r="T57" s="6">
        <v>0</v>
      </c>
      <c r="U57" s="5" t="e">
        <f ca="1">VLOOKUP($V57,OFFSET([5]enemy_skill_sets!$B$1,0,0,COUNTA([5]enemy_skill_sets!$B:$B),MATCH(L$1,[5]enemy_skill_sets!$1:$1,0)-MATCH($V$1,[5]enemy_skill_sets!$1:$1,0)+2),MATCH(L$1,[5]enemy_skill_sets!$1:$1,0)-MATCH($V$1,[5]enemy_skill_sets!$1:$1,0)+2,FALSE)</f>
        <v>#VALUE!</v>
      </c>
      <c r="V57" s="5">
        <f ca="1">VLOOKUP($K57,OFFSET([3]enemies!$A$1,0,0,COUNTA([3]enemies!$A:$A),MATCH(V$1,[3]enemies!$1:$1,0)-MATCH($K$1,[3]enemies!$1:$1,0)+1),MATCH(V$1,[3]enemies!$1:$1,0)-MATCH($K$1,[3]enemies!$1:$1,0)+1,FALSE)</f>
        <v>0</v>
      </c>
      <c r="W57" s="7">
        <v>2</v>
      </c>
      <c r="X57" s="7">
        <v>0</v>
      </c>
      <c r="Y57" s="7">
        <v>0</v>
      </c>
      <c r="Z57" s="20">
        <f ca="1">VLOOKUP($K57,OFFSET([3]enemies!$A$1,0,0,COUNTA([3]enemies!$A:$A),MATCH(Z$1,[3]enemies!$1:$1,0)-MATCH($K$1,[3]enemies!$1:$1,0)+1),MATCH(Z$1,[3]enemies!$1:$1,0)-MATCH($K$1,[3]enemies!$1:$1,0)+1,FALSE)</f>
        <v>2</v>
      </c>
      <c r="AA57" s="2">
        <f t="shared" ref="AA57" si="54">K57</f>
        <v>118</v>
      </c>
      <c r="AB57" s="5" t="str">
        <f ca="1">VLOOKUP(AA57,[3]enemies!$A:$B,2,FALSE)</f>
        <v>ゴールドチック</v>
      </c>
      <c r="AC57" s="5">
        <f ca="1">VLOOKUP(AA57,[3]enemies!$A:$E,3,FALSE)</f>
        <v>4</v>
      </c>
      <c r="AD57" s="5" t="str">
        <f>VLOOKUP(AA57,[4]characters!$A:$J,10,FALSE)</f>
        <v>Material</v>
      </c>
      <c r="AE57" s="29">
        <v>1</v>
      </c>
      <c r="AF57" s="28">
        <f t="shared" ca="1" si="53"/>
        <v>4</v>
      </c>
      <c r="AG57" s="9">
        <v>0</v>
      </c>
      <c r="AH57" s="29">
        <v>0</v>
      </c>
      <c r="AI57" s="29">
        <v>0</v>
      </c>
      <c r="AJ57" s="29">
        <v>0</v>
      </c>
      <c r="AK57" s="29">
        <v>0</v>
      </c>
      <c r="AL57" s="29">
        <v>1</v>
      </c>
      <c r="AM57" s="45" t="s">
        <v>108</v>
      </c>
    </row>
  </sheetData>
  <sheetProtection selectLockedCells="1" selectUnlockedCells="1"/>
  <autoFilter ref="B1:AG28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floors_week_q_1Mc</vt:lpstr>
      <vt:lpstr>enemy_habitats_week_q_1Mc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2016-09-15T08:45:33Z</dcterms:modified>
</cp:coreProperties>
</file>