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2"/>
  </bookViews>
  <sheets>
    <sheet name="確率の考え方" sheetId="110" r:id="rId1"/>
    <sheet name="Sheet1" sheetId="107" r:id="rId2"/>
    <sheet name="output" sheetId="103" r:id="rId3"/>
    <sheet name="input_589010" sheetId="157" r:id="rId4"/>
    <sheet name="tables_589010" sheetId="158" r:id="rId5"/>
    <sheet name="input_589100" sheetId="153" r:id="rId6"/>
    <sheet name="tables_589100" sheetId="154" r:id="rId7"/>
    <sheet name="tables_settle_589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tables_589010!$A$1:$V$350</definedName>
    <definedName name="_xlnm._FilterDatabase" localSheetId="6" hidden="1">tables_589100!$A$1:$V$294</definedName>
    <definedName name="_xlnm._FilterDatabase" localSheetId="7" hidden="1">tables_settle_589105!$A$1:$V$1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3" l="1"/>
  <c r="A362" i="154"/>
  <c r="A363" i="154"/>
  <c r="A364" i="154"/>
  <c r="A365" i="154"/>
  <c r="A361" i="154"/>
  <c r="I362" i="154"/>
  <c r="D362" i="154"/>
  <c r="J362" i="154"/>
  <c r="E362" i="154"/>
  <c r="F362" i="154"/>
  <c r="C362" i="154"/>
  <c r="H362" i="154"/>
  <c r="K362" i="154"/>
  <c r="L362" i="154"/>
  <c r="M362" i="154"/>
  <c r="N362" i="154"/>
  <c r="I363" i="154"/>
  <c r="D363" i="154"/>
  <c r="J363" i="154"/>
  <c r="E363" i="154"/>
  <c r="F363" i="154"/>
  <c r="C363" i="154"/>
  <c r="I364" i="154"/>
  <c r="D364" i="154"/>
  <c r="J364" i="154"/>
  <c r="E364" i="154"/>
  <c r="F364" i="154"/>
  <c r="C364" i="154"/>
  <c r="I365" i="154"/>
  <c r="D365" i="154"/>
  <c r="J365" i="154"/>
  <c r="E365" i="154"/>
  <c r="F365" i="154"/>
  <c r="C365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62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27" i="153"/>
  <c r="B27" i="153"/>
  <c r="C22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C23" i="153"/>
  <c r="C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R3" i="153"/>
  <c r="O356" i="154"/>
  <c r="R4" i="153"/>
  <c r="O357" i="154"/>
  <c r="R5" i="153"/>
  <c r="O358" i="154"/>
  <c r="R6" i="153"/>
  <c r="O359" i="154"/>
  <c r="R7" i="153"/>
  <c r="O360" i="154"/>
  <c r="O361" i="154"/>
  <c r="O363" i="154"/>
  <c r="O364" i="154"/>
  <c r="O365" i="154"/>
  <c r="P362" i="154"/>
  <c r="H363" i="154"/>
  <c r="K363" i="154"/>
  <c r="L363" i="154"/>
  <c r="M363" i="154"/>
  <c r="N363" i="154"/>
  <c r="P363" i="154"/>
  <c r="H364" i="154"/>
  <c r="K364" i="154"/>
  <c r="L364" i="154"/>
  <c r="M364" i="154"/>
  <c r="N364" i="154"/>
  <c r="P364" i="154"/>
  <c r="H365" i="154"/>
  <c r="K365" i="154"/>
  <c r="L365" i="154"/>
  <c r="M365" i="154"/>
  <c r="N365" i="154"/>
  <c r="P365" i="154"/>
  <c r="I361" i="154"/>
  <c r="D361" i="154"/>
  <c r="J361" i="154"/>
  <c r="E361" i="154"/>
  <c r="F361" i="154"/>
  <c r="C361" i="154"/>
  <c r="H361" i="154"/>
  <c r="K361" i="154"/>
  <c r="L361" i="154"/>
  <c r="M361" i="154"/>
  <c r="N361" i="154"/>
  <c r="P361" i="154"/>
  <c r="I357" i="154"/>
  <c r="D357" i="154"/>
  <c r="J357" i="154"/>
  <c r="E357" i="154"/>
  <c r="F357" i="154"/>
  <c r="C357" i="154"/>
  <c r="H357" i="154"/>
  <c r="K357" i="154"/>
  <c r="L357" i="154"/>
  <c r="M357" i="154"/>
  <c r="N357" i="154"/>
  <c r="I358" i="154"/>
  <c r="D358" i="154"/>
  <c r="J358" i="154"/>
  <c r="E358" i="154"/>
  <c r="F358" i="154"/>
  <c r="C358" i="154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P357" i="154"/>
  <c r="H358" i="154"/>
  <c r="K358" i="154"/>
  <c r="L358" i="154"/>
  <c r="M358" i="154"/>
  <c r="N358" i="154"/>
  <c r="P358" i="154"/>
  <c r="H359" i="154"/>
  <c r="K359" i="154"/>
  <c r="L359" i="154"/>
  <c r="M359" i="154"/>
  <c r="N359" i="154"/>
  <c r="P359" i="154"/>
  <c r="H360" i="154"/>
  <c r="K360" i="154"/>
  <c r="L360" i="154"/>
  <c r="M360" i="154"/>
  <c r="N360" i="154"/>
  <c r="P360" i="154"/>
  <c r="I356" i="154"/>
  <c r="D356" i="154"/>
  <c r="J356" i="154"/>
  <c r="E356" i="154"/>
  <c r="F356" i="154"/>
  <c r="C356" i="154"/>
  <c r="H356" i="154"/>
  <c r="K356" i="154"/>
  <c r="L356" i="154"/>
  <c r="M356" i="154"/>
  <c r="N356" i="154"/>
  <c r="P356" i="154"/>
  <c r="B29" i="157"/>
  <c r="B28" i="157"/>
  <c r="B27" i="157"/>
  <c r="E6" i="157"/>
  <c r="F6" i="157"/>
  <c r="A2" i="157"/>
  <c r="A362" i="158"/>
  <c r="I362" i="158"/>
  <c r="D362" i="158"/>
  <c r="J362" i="158"/>
  <c r="E362" i="158"/>
  <c r="F362" i="158"/>
  <c r="C362" i="158"/>
  <c r="H362" i="158"/>
  <c r="K362" i="158"/>
  <c r="L362" i="158"/>
  <c r="M362" i="158"/>
  <c r="N362" i="158"/>
  <c r="I363" i="158"/>
  <c r="D363" i="158"/>
  <c r="J363" i="158"/>
  <c r="E363" i="158"/>
  <c r="F363" i="158"/>
  <c r="C363" i="158"/>
  <c r="I364" i="158"/>
  <c r="D364" i="158"/>
  <c r="J364" i="158"/>
  <c r="E364" i="158"/>
  <c r="F364" i="158"/>
  <c r="C364" i="158"/>
  <c r="I365" i="158"/>
  <c r="D365" i="158"/>
  <c r="J365" i="158"/>
  <c r="E365" i="158"/>
  <c r="F365" i="158"/>
  <c r="C365" i="158"/>
  <c r="F5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G29" i="157"/>
  <c r="H29" i="157"/>
  <c r="R4" i="157"/>
  <c r="O362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27" i="157"/>
  <c r="C22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C23" i="157"/>
  <c r="C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O356" i="158"/>
  <c r="O357" i="158"/>
  <c r="R5" i="157"/>
  <c r="O358" i="158"/>
  <c r="R6" i="157"/>
  <c r="O359" i="158"/>
  <c r="R7" i="157"/>
  <c r="O360" i="158"/>
  <c r="O361" i="158"/>
  <c r="O363" i="158"/>
  <c r="O364" i="158"/>
  <c r="O365" i="158"/>
  <c r="P362" i="158"/>
  <c r="H363" i="158"/>
  <c r="K363" i="158"/>
  <c r="L363" i="158"/>
  <c r="M363" i="158"/>
  <c r="N363" i="158"/>
  <c r="P363" i="158"/>
  <c r="H364" i="158"/>
  <c r="K364" i="158"/>
  <c r="L364" i="158"/>
  <c r="M364" i="158"/>
  <c r="N364" i="158"/>
  <c r="P364" i="158"/>
  <c r="H365" i="158"/>
  <c r="K365" i="158"/>
  <c r="L365" i="158"/>
  <c r="M365" i="158"/>
  <c r="N365" i="158"/>
  <c r="P365" i="158"/>
  <c r="I361" i="158"/>
  <c r="D361" i="158"/>
  <c r="J361" i="158"/>
  <c r="E361" i="158"/>
  <c r="F361" i="158"/>
  <c r="C361" i="158"/>
  <c r="H361" i="158"/>
  <c r="K361" i="158"/>
  <c r="L361" i="158"/>
  <c r="M361" i="158"/>
  <c r="N361" i="158"/>
  <c r="P361" i="158"/>
  <c r="I360" i="158"/>
  <c r="D360" i="158"/>
  <c r="J360" i="158"/>
  <c r="E360" i="158"/>
  <c r="F360" i="158"/>
  <c r="C360" i="158"/>
  <c r="P360" i="158"/>
  <c r="N360" i="158"/>
  <c r="M360" i="158"/>
  <c r="L360" i="158"/>
  <c r="K360" i="158"/>
  <c r="H360" i="158"/>
  <c r="I359" i="158"/>
  <c r="D359" i="158"/>
  <c r="J359" i="158"/>
  <c r="E359" i="158"/>
  <c r="F359" i="158"/>
  <c r="C359" i="158"/>
  <c r="P359" i="158"/>
  <c r="N359" i="158"/>
  <c r="M359" i="158"/>
  <c r="L359" i="158"/>
  <c r="K359" i="158"/>
  <c r="H359" i="158"/>
  <c r="I358" i="158"/>
  <c r="D358" i="158"/>
  <c r="J358" i="158"/>
  <c r="E358" i="158"/>
  <c r="F358" i="158"/>
  <c r="C358" i="158"/>
  <c r="P358" i="158"/>
  <c r="N358" i="158"/>
  <c r="M358" i="158"/>
  <c r="L358" i="158"/>
  <c r="K358" i="158"/>
  <c r="H358" i="158"/>
  <c r="I357" i="158"/>
  <c r="D357" i="158"/>
  <c r="J357" i="158"/>
  <c r="E357" i="158"/>
  <c r="F357" i="158"/>
  <c r="C357" i="158"/>
  <c r="P357" i="158"/>
  <c r="N357" i="158"/>
  <c r="M357" i="158"/>
  <c r="L357" i="158"/>
  <c r="K357" i="158"/>
  <c r="H357" i="158"/>
  <c r="I356" i="158"/>
  <c r="D356" i="158"/>
  <c r="J356" i="158"/>
  <c r="E356" i="158"/>
  <c r="F356" i="158"/>
  <c r="C356" i="158"/>
  <c r="P356" i="158"/>
  <c r="N356" i="158"/>
  <c r="M356" i="158"/>
  <c r="L356" i="158"/>
  <c r="K356" i="158"/>
  <c r="H356" i="158"/>
  <c r="A365" i="158"/>
  <c r="A364" i="158"/>
  <c r="A363" i="158"/>
  <c r="A361" i="158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A360" i="154"/>
  <c r="A359" i="154"/>
  <c r="A358" i="154"/>
  <c r="A357" i="154"/>
  <c r="A356" i="154"/>
  <c r="B5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A360" i="158"/>
  <c r="A359" i="158"/>
  <c r="A358" i="158"/>
  <c r="A357" i="158"/>
  <c r="A356" i="158"/>
  <c r="I4" i="159"/>
  <c r="D4" i="159"/>
  <c r="J4" i="159"/>
  <c r="E4" i="159"/>
  <c r="F4" i="159"/>
  <c r="C4" i="159"/>
  <c r="H4" i="159"/>
  <c r="K4" i="159"/>
  <c r="L4" i="159"/>
  <c r="M4" i="159"/>
  <c r="N4" i="159"/>
  <c r="P4" i="159"/>
  <c r="H351" i="154"/>
  <c r="K351" i="154"/>
  <c r="L351" i="154"/>
  <c r="M351" i="154"/>
  <c r="N351" i="154"/>
  <c r="B10" i="153"/>
  <c r="B6" i="153"/>
  <c r="B30" i="153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B10" i="157"/>
  <c r="B30" i="157"/>
  <c r="P355" i="158"/>
  <c r="N355" i="158"/>
  <c r="M355" i="158"/>
  <c r="L355" i="158"/>
  <c r="K355" i="158"/>
  <c r="H355" i="158"/>
  <c r="A355" i="158"/>
  <c r="A351" i="158"/>
  <c r="A352" i="158"/>
  <c r="A353" i="158"/>
  <c r="A354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A346" i="154"/>
  <c r="H346" i="154"/>
  <c r="K346" i="154"/>
  <c r="L346" i="154"/>
  <c r="M346" i="154"/>
  <c r="N346" i="154"/>
  <c r="A347" i="154"/>
  <c r="H347" i="154"/>
  <c r="K347" i="154"/>
  <c r="L347" i="154"/>
  <c r="M347" i="154"/>
  <c r="N347" i="154"/>
  <c r="A348" i="154"/>
  <c r="H348" i="154"/>
  <c r="K348" i="154"/>
  <c r="L348" i="154"/>
  <c r="M348" i="154"/>
  <c r="N348" i="154"/>
  <c r="A349" i="154"/>
  <c r="H349" i="154"/>
  <c r="K349" i="154"/>
  <c r="L349" i="154"/>
  <c r="M349" i="154"/>
  <c r="N349" i="154"/>
  <c r="A350" i="154"/>
  <c r="H350" i="154"/>
  <c r="K350" i="154"/>
  <c r="L350" i="154"/>
  <c r="M350" i="154"/>
  <c r="N350" i="154"/>
  <c r="A345" i="154"/>
  <c r="A350" i="158"/>
  <c r="H350" i="158"/>
  <c r="K350" i="158"/>
  <c r="L350" i="158"/>
  <c r="M350" i="158"/>
  <c r="N350" i="158"/>
  <c r="A349" i="158"/>
  <c r="H349" i="158"/>
  <c r="K349" i="158"/>
  <c r="L349" i="158"/>
  <c r="M349" i="158"/>
  <c r="N349" i="158"/>
  <c r="A346" i="158"/>
  <c r="H346" i="158"/>
  <c r="K346" i="158"/>
  <c r="L346" i="158"/>
  <c r="M346" i="158"/>
  <c r="N346" i="158"/>
  <c r="A347" i="158"/>
  <c r="H347" i="158"/>
  <c r="K347" i="158"/>
  <c r="L347" i="158"/>
  <c r="M347" i="158"/>
  <c r="N347" i="158"/>
  <c r="A348" i="158"/>
  <c r="H348" i="158"/>
  <c r="K348" i="158"/>
  <c r="L348" i="158"/>
  <c r="M348" i="158"/>
  <c r="N348" i="158"/>
  <c r="H341" i="154"/>
  <c r="K341" i="154"/>
  <c r="L341" i="154"/>
  <c r="M341" i="154"/>
  <c r="N341" i="154"/>
  <c r="H342" i="154"/>
  <c r="K342" i="154"/>
  <c r="L342" i="154"/>
  <c r="M342" i="154"/>
  <c r="N342" i="154"/>
  <c r="H343" i="154"/>
  <c r="K343" i="154"/>
  <c r="L343" i="154"/>
  <c r="M343" i="154"/>
  <c r="N343" i="154"/>
  <c r="H344" i="154"/>
  <c r="K344" i="154"/>
  <c r="L344" i="154"/>
  <c r="M344" i="154"/>
  <c r="N344" i="154"/>
  <c r="H345" i="154"/>
  <c r="K345" i="154"/>
  <c r="L345" i="154"/>
  <c r="M345" i="154"/>
  <c r="N345" i="154"/>
  <c r="A341" i="154"/>
  <c r="A342" i="154"/>
  <c r="A343" i="154"/>
  <c r="A344" i="154"/>
  <c r="H341" i="158"/>
  <c r="K341" i="158"/>
  <c r="L341" i="158"/>
  <c r="M341" i="158"/>
  <c r="N341" i="158"/>
  <c r="H342" i="158"/>
  <c r="K342" i="158"/>
  <c r="L342" i="158"/>
  <c r="M342" i="158"/>
  <c r="N342" i="158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A341" i="158"/>
  <c r="A342" i="158"/>
  <c r="A343" i="158"/>
  <c r="A344" i="158"/>
  <c r="A345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C19" i="157"/>
  <c r="C20" i="157"/>
  <c r="C21" i="157"/>
  <c r="C24" i="157"/>
  <c r="C25" i="157"/>
  <c r="C26" i="157"/>
  <c r="C27" i="157"/>
  <c r="C28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I3" i="159"/>
  <c r="D3" i="159"/>
  <c r="E3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C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5" i="153"/>
  <c r="B46" i="153"/>
  <c r="F40" i="153"/>
  <c r="G40" i="153"/>
  <c r="C19" i="153"/>
  <c r="C20" i="153"/>
  <c r="C21" i="153"/>
  <c r="C24" i="153"/>
  <c r="C25" i="153"/>
  <c r="C26" i="153"/>
  <c r="C27" i="153"/>
  <c r="C28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41" i="153"/>
  <c r="D18" i="157"/>
  <c r="F18" i="157"/>
  <c r="I18" i="157"/>
  <c r="J18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B32" i="157"/>
  <c r="D32" i="157"/>
  <c r="F45" i="157"/>
  <c r="F46" i="157"/>
  <c r="B44" i="157"/>
  <c r="B47" i="157"/>
  <c r="C40" i="157"/>
  <c r="C41" i="157"/>
  <c r="C42" i="157"/>
  <c r="C43" i="157"/>
  <c r="C44" i="157"/>
  <c r="C45" i="157"/>
  <c r="C46" i="157"/>
  <c r="C47" i="157"/>
  <c r="F47" i="157"/>
  <c r="F41" i="157"/>
  <c r="G41" i="157"/>
  <c r="F42" i="157"/>
  <c r="G42" i="157"/>
  <c r="F49" i="157"/>
  <c r="F48" i="157"/>
  <c r="F41" i="153"/>
  <c r="G41" i="153"/>
  <c r="P314" i="154"/>
  <c r="P317" i="154"/>
  <c r="P321" i="154"/>
  <c r="P328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5" i="154"/>
  <c r="P316" i="154"/>
  <c r="P318" i="154"/>
  <c r="P319" i="154"/>
  <c r="P320" i="154"/>
  <c r="P322" i="154"/>
  <c r="P323" i="154"/>
  <c r="P324" i="154"/>
  <c r="P325" i="154"/>
  <c r="P326" i="154"/>
  <c r="P327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P346" i="154"/>
  <c r="P347" i="154"/>
  <c r="P348" i="154"/>
  <c r="P349" i="154"/>
  <c r="P350" i="154"/>
  <c r="F49" i="153"/>
  <c r="F42" i="153"/>
  <c r="G42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B32" i="153"/>
  <c r="D32" i="153"/>
  <c r="F45" i="153"/>
  <c r="F46" i="153"/>
  <c r="B44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<sst xmlns="http://schemas.openxmlformats.org/spreadsheetml/2006/main" count="535" uniqueCount="256">
  <si>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</si>
  <si>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</si>
  <si>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</si>
  <si>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</si>
  <si>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</si>
  <si>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</si>
  <si>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</si>
  <si>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</si>
  <si>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</si>
  <si>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</si>
  <si>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</si>
  <si>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</si>
  <si>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</si>
  <si>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</si>
  <si>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</si>
  <si>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</si>
  <si>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</si>
  <si>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</si>
  <si>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</si>
  <si>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</si>
  <si>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</si>
  <si>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</si>
  <si>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</si>
  <si>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</si>
  <si>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</si>
  <si>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</si>
  <si>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</si>
  <si>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</si>
  <si>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</si>
  <si>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</si>
  <si>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</si>
  <si>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</si>
  <si>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</si>
  <si>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</si>
  <si>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</si>
  <si>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</si>
  <si>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</si>
  <si>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</si>
  <si>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</si>
  <si>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</si>
  <si>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</si>
  <si>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</si>
  <si>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</si>
  <si>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</si>
  <si>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</si>
  <si>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</si>
  <si>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</si>
  <si>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</si>
  <si>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</si>
  <si>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</si>
  <si>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</si>
  <si>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</si>
  <si>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</si>
  <si>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</si>
  <si>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</si>
  <si>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</si>
  <si>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</si>
  <si>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</si>
  <si>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</si>
  <si>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</si>
  <si>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</si>
  <si>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</si>
  <si>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</si>
  <si>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</si>
  <si>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</si>
  <si>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</si>
  <si>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</si>
  <si>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</si>
  <si>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</si>
  <si>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</si>
  <si>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</si>
  <si>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</si>
  <si>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</si>
  <si>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</si>
  <si>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</si>
  <si>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</si>
  <si>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</si>
  <si>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</si>
  <si>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</si>
  <si>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</si>
  <si>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</si>
  <si>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</si>
  <si>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</si>
  <si>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</si>
  <si>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</si>
  <si>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</si>
  <si>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</si>
  <si>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</si>
  <si>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</si>
  <si>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</si>
  <si>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</si>
  <si>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</si>
  <si>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</si>
  <si>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</si>
  <si>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</si>
  <si>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</si>
  <si>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</si>
  <si>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</si>
  <si>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</si>
  <si>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</si>
  <si>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</si>
  <si>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</si>
  <si>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</si>
  <si>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</si>
  <si>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</si>
  <si>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</si>
  <si>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</si>
  <si>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</si>
  <si>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</si>
  <si>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</si>
  <si>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</si>
  <si>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</si>
  <si>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</si>
  <si>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</si>
  <si>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</si>
  <si>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</si>
  <si>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</si>
  <si>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</si>
  <si>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</si>
  <si>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</si>
  <si>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</si>
  <si>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</si>
  <si>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</si>
  <si>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</si>
  <si>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</si>
  <si>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</si>
  <si>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</si>
  <si>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</si>
  <si>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</si>
  <si>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</si>
  <si>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</si>
  <si>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</si>
  <si>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</si>
  <si>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</si>
  <si>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</si>
  <si>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</si>
  <si>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</si>
  <si>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</si>
  <si>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</si>
  <si>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</si>
  <si>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</si>
  <si>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</si>
  <si>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</si>
  <si>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</si>
  <si>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</si>
  <si>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</si>
  <si>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</si>
  <si>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</si>
  <si>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</si>
  <si>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</si>
  <si>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</si>
  <si>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</si>
  <si>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</si>
  <si>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</si>
  <si>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</si>
  <si>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</si>
  <si>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</si>
  <si>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</si>
  <si>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</si>
  <si>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</si>
  <si>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</si>
  <si>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</si>
  <si>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</si>
  <si>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</si>
  <si>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</si>
  <si>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</si>
  <si>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</si>
  <si>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</si>
  <si>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</si>
  <si>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</si>
  <si>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</si>
  <si>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</si>
  <si>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</si>
  <si>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</si>
  <si>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</si>
  <si>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</si>
  <si>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</si>
  <si>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</si>
  <si>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</si>
  <si>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</si>
  <si>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</si>
  <si>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</si>
  <si>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</si>
  <si>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</si>
  <si>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</si>
  <si>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</si>
  <si>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</si>
  <si>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</si>
  <si>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</si>
  <si>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</si>
  <si>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</si>
  <si>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</si>
  <si>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</si>
  <si>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</si>
  <si>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</si>
  <si>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</si>
  <si>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</si>
  <si>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</si>
  <si>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</si>
  <si>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</si>
  <si>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</si>
  <si>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</si>
  <si>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</si>
  <si>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</si>
  <si>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</si>
  <si>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</si>
  <si>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</si>
  <si>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</si>
  <si>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</si>
  <si>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</si>
  <si>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</si>
  <si>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</si>
  <si>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</si>
  <si>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</si>
  <si>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</si>
  <si>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</si>
  <si>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</si>
  <si>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</si>
  <si>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</si>
  <si>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</si>
  <si>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</si>
  <si>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</si>
  <si>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</si>
  <si>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</si>
  <si>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</si>
  <si>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</si>
  <si>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</si>
  <si>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</si>
  <si>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</si>
  <si>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</si>
  <si>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</si>
  <si>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</si>
  <si>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</si>
  <si>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</si>
  <si>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</si>
  <si>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</si>
  <si>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</si>
  <si>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</si>
  <si>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</si>
  <si>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</si>
  <si>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</si>
  <si>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</si>
  <si>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</si>
  <si>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</si>
  <si>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</si>
  <si>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</si>
  <si>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</si>
  <si>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</si>
  <si>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old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</si>
  <si>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</si>
  <si>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</si>
  <si>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</si>
  <si>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</si>
  <si>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tables_589100</t>
    <phoneticPr fontId="20"/>
  </si>
  <si>
    <t>tables_589010</t>
    <phoneticPr fontId="20"/>
  </si>
  <si>
    <t>tables_settle_589105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</si>
</sst>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05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4" fillId="0" borderId="1" xfId="3036" applyFont="1" applyBorder="1"/>
    <xf numFmtId="0" fontId="3" fillId="0" borderId="1" xfId="3036" applyFont="1" applyBorder="1"/>
    <xf numFmtId="183" fontId="0" fillId="4" borderId="1" xfId="0" applyNumberFormat="1" applyFill="1" applyBorder="1"/>
    <xf numFmtId="0" fontId="2" fillId="0" borderId="1" xfId="3036" applyFont="1" applyBorder="1"/>
    <xf numFmtId="0" fontId="2" fillId="0" borderId="1" xfId="2978" applyFont="1" applyBorder="1"/>
    <xf numFmtId="0" fontId="2" fillId="4" borderId="1" xfId="2978" applyFont="1" applyFill="1" applyBorder="1"/>
    <xf numFmtId="0" fontId="0" fillId="0" borderId="0" xfId="0" applyFill="1" applyBorder="1"/>
    <xf numFmtId="177" fontId="0" fillId="0" borderId="0" xfId="3575" applyNumberFormat="1" applyFont="1" applyFill="1" applyBorder="1"/>
    <xf numFmtId="0" fontId="52" fillId="0" borderId="0" xfId="0" applyFont="1" applyFill="1" applyBorder="1" applyAlignment="1">
      <alignment vertical="center"/>
    </xf>
    <xf numFmtId="0" fontId="52" fillId="4" borderId="1" xfId="0" applyFont="1" applyFill="1" applyBorder="1" applyAlignment="1">
      <alignment vertical="center"/>
    </xf>
    <xf numFmtId="0" fontId="1" fillId="4" borderId="1" xfId="2978" applyFont="1" applyFill="1" applyBorder="1"/>
    <xf numFmtId="0" fontId="25" fillId="0" borderId="1" xfId="2" applyFont="1" applyFill="1" applyBorder="1" applyAlignment="1">
      <alignment vertical="center"/>
    </xf>
    <xf numFmtId="0" fontId="25" fillId="0" borderId="0" xfId="2" applyFont="1" applyFill="1" applyAlignment="1">
      <alignment vertical="center"/>
    </xf>
    <xf numFmtId="0" fontId="24" fillId="0" borderId="1" xfId="0" applyFont="1" applyFill="1" applyBorder="1" applyAlignment="1">
      <alignment horizontal="right" vertical="center"/>
    </xf>
    <xf numFmtId="0" fontId="26" fillId="0" borderId="1" xfId="0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attack</v>
          </cell>
          <cell r="L1789" t="str">
            <v>攻撃タイプ</v>
          </cell>
          <cell r="M1789" t="str">
            <v>dragon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green</v>
          </cell>
          <cell r="I1790">
            <v>6</v>
          </cell>
          <cell r="J1790" t="str">
            <v>PremiumSSw</v>
          </cell>
          <cell r="K1790" t="str">
            <v>heal</v>
          </cell>
          <cell r="L1790" t="str">
            <v>回復タイプ</v>
          </cell>
          <cell r="M1790" t="str">
            <v>dragon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yellow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academia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yellow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animal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247</v>
      </c>
      <c r="B2" s="61" t="s">
        <v>110</v>
      </c>
      <c r="C2" s="50" t="str">
        <f t="shared" ref="C2" si="0">RIGHT(F2,6)</f>
        <v>589100</v>
      </c>
      <c r="D2" s="19" t="s">
        <v>45</v>
      </c>
      <c r="E2" s="17" t="str">
        <f t="shared" ref="E2" si="1">B2&amp;C2&amp;D2</f>
        <v>gacha_select_tables_589100.tmp</v>
      </c>
      <c r="F2" s="100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247</v>
      </c>
      <c r="B3" s="61" t="s">
        <v>110</v>
      </c>
      <c r="C3" s="50" t="str">
        <f t="shared" ref="C3:C7" si="2">RIGHT(F3,6)</f>
        <v>589010</v>
      </c>
      <c r="D3" s="19" t="s">
        <v>45</v>
      </c>
      <c r="E3" s="17" t="str">
        <f t="shared" ref="E3:E10" si="3">B3&amp;C3&amp;D3</f>
        <v>gacha_select_tables_589010.tmp</v>
      </c>
      <c r="F3" s="100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3" t="s">
        <v>248</v>
      </c>
      <c r="B4" s="94" t="s">
        <v>249</v>
      </c>
      <c r="C4" s="95" t="str">
        <f t="shared" si="2"/>
        <v>589105</v>
      </c>
      <c r="D4" s="19" t="s">
        <v>250</v>
      </c>
      <c r="E4" s="17" t="str">
        <f t="shared" si="3"/>
        <v>gacha_settle_tables_589105.tmp</v>
      </c>
      <c r="F4" s="100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21" sqref="B21"/>
    </sheetView>
  </sheetViews>
  <sheetFormatPr baseColWidth="12" defaultRowHeight="14" x14ac:dyDescent="0.15"/>
  <cols>
    <col min="1" max="2" width="24.19921875" bestFit="1" customWidth="1"/>
    <col min="17" max="17" width="27.5976562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589010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1444</v>
      </c>
      <c r="M3" s="37" t="str">
        <f>VLOOKUP(L3,[1]characters!$A:$C,3,FALSE)</f>
        <v>クレオパトラR5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VLOOKUP(L3,tables_589010!B:C,2,FALSE)</f>
        <v>PremiumSS5R5only</v>
      </c>
      <c r="R3" s="62">
        <f t="shared" ref="R3:R20" si="1">N3*A$36</f>
        <v>480000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1446</v>
      </c>
      <c r="M4" s="37" t="str">
        <f>VLOOKUP(L4,[1]characters!$A:$C,3,FALSE)</f>
        <v>カエサルR5</v>
      </c>
      <c r="N4" s="63">
        <v>0.03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VLOOKUP(L4,tables_589010!B:C,2,FALSE)</f>
        <v>PremiumSS5R5only</v>
      </c>
      <c r="R4" s="62">
        <f t="shared" si="1"/>
        <v>1440000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1-SUM(B6:B7)</f>
        <v>0.30000000000000004</v>
      </c>
      <c r="D5" t="s">
        <v>201</v>
      </c>
      <c r="E5" s="43">
        <f>(B11-H5)/(F5-I5)</f>
        <v>3.9999999999999996E-4</v>
      </c>
      <c r="F5">
        <f>(COUNTIF(tables_589010!C:C,input_589010!A28)+COUNTIF(tables_589010!C:C,input_589010!A29))</f>
        <v>78</v>
      </c>
      <c r="H5" s="83">
        <v>7.0000000000000007E-2</v>
      </c>
      <c r="I5" s="31">
        <v>3</v>
      </c>
      <c r="L5" s="1">
        <v>1448</v>
      </c>
      <c r="M5" s="37" t="str">
        <f>VLOOKUP(L5,[1]characters!$A:$C,3,FALSE)</f>
        <v>ハンニバルR5</v>
      </c>
      <c r="N5" s="63">
        <v>0.03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VLOOKUP(L5,tables_589010!B:C,2,FALSE)</f>
        <v>PremiumSS5R5only</v>
      </c>
      <c r="R5" s="62">
        <f t="shared" si="1"/>
        <v>1440000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8.3333333333333332E-3</v>
      </c>
      <c r="F6">
        <f>(COUNTIF(tables_589010!C:C,input_589010!A25)+COUNTIF(tables_589010!C:C,input_589010!A18)+COUNTIF(tables_589010!C:C,input_589010!A20)+COUNTIF(tables_589010!C:C,input_589010!A22))</f>
        <v>98</v>
      </c>
      <c r="H6" s="88">
        <v>0.1</v>
      </c>
      <c r="I6" s="31">
        <v>2</v>
      </c>
      <c r="L6" s="1">
        <v>1450</v>
      </c>
      <c r="M6" s="37" t="str">
        <f>VLOOKUP(L6,[1]characters!$A:$C,3,FALSE)</f>
        <v>ブーディカR4</v>
      </c>
      <c r="N6" s="63">
        <v>0.05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VLOOKUP(L6,tables_589010!B:C,2,FALSE)</f>
        <v>Premium4R3less</v>
      </c>
      <c r="R6" s="62">
        <f t="shared" si="1"/>
        <v>2400000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1">
        <v>1451</v>
      </c>
      <c r="M7" s="37" t="str">
        <f>VLOOKUP(L7,[1]characters!$A:$C,3,FALSE)</f>
        <v>ブーディカR5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VLOOKUP(L7,tables_589010!B:C,2,FALSE)</f>
        <v>Premium5R3less</v>
      </c>
      <c r="R7" s="62">
        <f t="shared" si="1"/>
        <v>2400000</v>
      </c>
      <c r="S7">
        <v>597</v>
      </c>
      <c r="U7" s="33" t="s">
        <v>196</v>
      </c>
      <c r="V7" s="54">
        <f t="shared" si="0"/>
        <v>0.05</v>
      </c>
    </row>
    <row r="8" spans="1:22" x14ac:dyDescent="0.15">
      <c r="A8" s="57"/>
      <c r="B8" s="71"/>
      <c r="E8" s="76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VLOOKUP(L8,tables_589010!B:C,2,FALSE)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0.05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VLOOKUP(L9,tables_589010!B:C,2,FALSE)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VLOOKUP(L10,tables_589010!B:C,2,FALSE)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243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VLOOKUP(L11,tables_589010!B:C,2,FALSE)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VLOOKUP(L12,tables_589010!B:C,2,FALSE)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VLOOKUP(L13,tables_589010!B:C,2,FALSE)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VLOOKUP(L14,tables_589010!B:C,2,FALSE)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7.0000000000000007E-2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VLOOKUP(L15,tables_589010!B:C,2,FALSE)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VLOOKUP(L16,tables_589010!B:C,2,FALSE)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0.16</v>
      </c>
      <c r="C17" s="84">
        <f t="shared" ref="C17:C31" si="2">SUMIF(Q:Q,A17,N:N)</f>
        <v>0</v>
      </c>
      <c r="D17" s="74">
        <f t="shared" ref="D17:D32" si="3">B17-C17</f>
        <v>0.16</v>
      </c>
      <c r="E17">
        <f>COUNTIF(tables_589010!C:C,input_589010!A17)-COUNTIF(Q:Q,A17)</f>
        <v>20</v>
      </c>
      <c r="F17" s="43">
        <f>IFERROR(B17/E17,0)</f>
        <v>8.0000000000000002E-3</v>
      </c>
      <c r="G17">
        <f t="shared" ref="G17:G31" si="4">A$36*B17</f>
        <v>7680000</v>
      </c>
      <c r="H17">
        <f t="shared" ref="H17:H31" si="5">IFERROR(ROUND(G17/E17,5),0)</f>
        <v>384000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VLOOKUP(L17,tables_589010!B:C,2,FALSE)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7.7706666666666646E-2</v>
      </c>
      <c r="C18" s="84">
        <f t="shared" si="2"/>
        <v>0</v>
      </c>
      <c r="D18" s="74">
        <f t="shared" si="3"/>
        <v>7.7706666666666646E-2</v>
      </c>
      <c r="E18">
        <f>COUNTIF(tables_589010!C:C,input_589010!A18)-COUNTIF(Q:Q,A18)</f>
        <v>20</v>
      </c>
      <c r="F18" s="43">
        <f>IFERROR(B18/E18,0)</f>
        <v>3.8853333333333322E-3</v>
      </c>
      <c r="G18">
        <f t="shared" si="4"/>
        <v>3729919.9999999991</v>
      </c>
      <c r="H18">
        <f t="shared" si="5"/>
        <v>186496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VLOOKUP(L18,tables_589010!B:C,2,FALSE)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0.13000000000000003</v>
      </c>
      <c r="C19" s="84">
        <f t="shared" si="2"/>
        <v>0</v>
      </c>
      <c r="D19" s="74">
        <f t="shared" si="3"/>
        <v>0.13000000000000003</v>
      </c>
      <c r="E19">
        <f>COUNTIF(tables_589010!C:C,input_589010!A19)-COUNTIF(Q:Q,A19)</f>
        <v>52</v>
      </c>
      <c r="F19" s="43">
        <f t="shared" ref="F19:F31" si="8">IFERROR(B19/E19,0)</f>
        <v>2.5000000000000005E-3</v>
      </c>
      <c r="G19">
        <f t="shared" si="4"/>
        <v>6240000.0000000019</v>
      </c>
      <c r="H19">
        <f t="shared" si="5"/>
        <v>120000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VLOOKUP(L19,tables_589010!B:C,2,FALSE)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0.21666666666666667</v>
      </c>
      <c r="C20" s="84">
        <f t="shared" si="2"/>
        <v>0</v>
      </c>
      <c r="D20" s="74">
        <f t="shared" si="3"/>
        <v>0.21666666666666667</v>
      </c>
      <c r="E20">
        <f>COUNTIF(tables_589010!C:C,input_589010!A20)-COUNTIF(Q:Q,A20)</f>
        <v>52</v>
      </c>
      <c r="F20" s="43">
        <f t="shared" si="8"/>
        <v>4.1666666666666666E-3</v>
      </c>
      <c r="G20">
        <f t="shared" si="4"/>
        <v>10400000</v>
      </c>
      <c r="H20">
        <f t="shared" si="5"/>
        <v>200000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VLOOKUP(L20,tables_589010!B:C,2,FALSE)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7.29333333333336E-3</v>
      </c>
      <c r="C21" s="84">
        <f t="shared" si="2"/>
        <v>0</v>
      </c>
      <c r="D21" s="74">
        <f t="shared" si="3"/>
        <v>7.29333333333336E-3</v>
      </c>
      <c r="E21">
        <f>COUNTIF(tables_589010!C:C,input_589010!A21)-COUNTIF(Q:Q,A21)</f>
        <v>52</v>
      </c>
      <c r="F21" s="43">
        <f t="shared" si="8"/>
        <v>1.4025641025641077E-4</v>
      </c>
      <c r="G21">
        <f t="shared" si="4"/>
        <v>350080.00000000128</v>
      </c>
      <c r="H21">
        <f t="shared" si="5"/>
        <v>6732.3076899999996</v>
      </c>
      <c r="I21">
        <f t="shared" si="6"/>
        <v>0.30768999999963853</v>
      </c>
      <c r="J21">
        <f t="shared" si="7"/>
        <v>3.2500243751866318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0.12999999999999998</v>
      </c>
      <c r="C22" s="84">
        <f t="shared" si="2"/>
        <v>0.05</v>
      </c>
      <c r="D22" s="74">
        <f t="shared" si="3"/>
        <v>7.9999999999999974E-2</v>
      </c>
      <c r="E22">
        <f>COUNTIF(tables_589010!C:C,input_589010!A22)-COUNTIF(Q:Q,A22)</f>
        <v>21</v>
      </c>
      <c r="F22" s="43">
        <f t="shared" si="8"/>
        <v>6.190476190476189E-3</v>
      </c>
      <c r="G22">
        <f t="shared" si="4"/>
        <v>6239999.9999999991</v>
      </c>
      <c r="H22">
        <f t="shared" si="5"/>
        <v>297142.85713999998</v>
      </c>
      <c r="I22">
        <f t="shared" si="6"/>
        <v>0.8571399999782443</v>
      </c>
      <c r="J22">
        <f t="shared" si="7"/>
        <v>1.1666705555981307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4.5000000000000005E-2</v>
      </c>
      <c r="C23" s="84">
        <f t="shared" si="2"/>
        <v>0.05</v>
      </c>
      <c r="D23" s="74">
        <f t="shared" si="3"/>
        <v>-4.9999999999999975E-3</v>
      </c>
      <c r="E23">
        <f>COUNTIF(tables_589010!C:C,input_589010!A23)-COUNTIF(Q:Q,A23)</f>
        <v>27</v>
      </c>
      <c r="F23" s="43">
        <f t="shared" si="8"/>
        <v>1.6666666666666668E-3</v>
      </c>
      <c r="G23">
        <f t="shared" si="4"/>
        <v>2160000.0000000005</v>
      </c>
      <c r="H23">
        <f t="shared" si="5"/>
        <v>80000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1.0000000000000002E-2</v>
      </c>
      <c r="C24" s="84">
        <f t="shared" si="2"/>
        <v>0</v>
      </c>
      <c r="D24" s="74">
        <f t="shared" si="3"/>
        <v>1.0000000000000002E-2</v>
      </c>
      <c r="E24">
        <f>COUNTIF(tables_589010!C:C,input_589010!A24)-COUNTIF(Q:Q,A24)</f>
        <v>4</v>
      </c>
      <c r="F24" s="43">
        <f t="shared" si="8"/>
        <v>2.5000000000000005E-3</v>
      </c>
      <c r="G24">
        <f t="shared" si="4"/>
        <v>480000.00000000012</v>
      </c>
      <c r="H24">
        <f t="shared" si="5"/>
        <v>120000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1.6666666666666666E-2</v>
      </c>
      <c r="C25" s="84">
        <f t="shared" si="2"/>
        <v>0</v>
      </c>
      <c r="D25" s="74">
        <f t="shared" si="3"/>
        <v>1.6666666666666666E-2</v>
      </c>
      <c r="E25">
        <f>COUNTIF(tables_589010!C:C,input_589010!A25)-COUNTIF(Q:Q,A25)</f>
        <v>4</v>
      </c>
      <c r="F25" s="43">
        <f t="shared" si="8"/>
        <v>4.1666666666666666E-3</v>
      </c>
      <c r="G25">
        <f t="shared" si="4"/>
        <v>800000</v>
      </c>
      <c r="H25">
        <f t="shared" si="5"/>
        <v>200000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6.6666666666666671E-3</v>
      </c>
      <c r="C26" s="84">
        <f t="shared" si="2"/>
        <v>0</v>
      </c>
      <c r="D26" s="74">
        <f t="shared" si="3"/>
        <v>6.6666666666666671E-3</v>
      </c>
      <c r="E26">
        <f>COUNTIF(tables_589010!C:C,input_589010!A26)-COUNTIF(Q:Q,A26)</f>
        <v>4</v>
      </c>
      <c r="F26" s="43">
        <f t="shared" si="8"/>
        <v>1.6666666666666668E-3</v>
      </c>
      <c r="G26">
        <f t="shared" si="4"/>
        <v>320000</v>
      </c>
      <c r="H26">
        <f t="shared" si="5"/>
        <v>80000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8.9599999999999992E-3</v>
      </c>
      <c r="C27" s="84">
        <f t="shared" si="2"/>
        <v>0</v>
      </c>
      <c r="D27" s="74">
        <f t="shared" si="3"/>
        <v>8.9599999999999992E-3</v>
      </c>
      <c r="E27">
        <f>COUNTIF(tables_589010!C:C,input_589010!A27)-COUNTIF(Q:Q,A27)</f>
        <v>28</v>
      </c>
      <c r="F27" s="43">
        <f>IFERROR(B27/E27,0)</f>
        <v>3.1999999999999997E-4</v>
      </c>
      <c r="G27">
        <f t="shared" si="4"/>
        <v>430079.99999999994</v>
      </c>
      <c r="H27">
        <f t="shared" si="5"/>
        <v>15360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2.2399999999999998E-3</v>
      </c>
      <c r="C28" s="84">
        <f t="shared" si="2"/>
        <v>0</v>
      </c>
      <c r="D28" s="74">
        <f t="shared" si="3"/>
        <v>2.2399999999999998E-3</v>
      </c>
      <c r="E28">
        <f>COUNTIF(tables_589010!C:C,input_589010!A28)-COUNTIF(Q:Q,A28)</f>
        <v>28</v>
      </c>
      <c r="F28" s="43">
        <f t="shared" si="8"/>
        <v>7.9999999999999993E-5</v>
      </c>
      <c r="G28">
        <f t="shared" si="4"/>
        <v>107519.99999999999</v>
      </c>
      <c r="H28">
        <f t="shared" si="5"/>
        <v>3840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1.8799999999999997E-2</v>
      </c>
      <c r="C29" s="84">
        <f t="shared" si="2"/>
        <v>7.0000000000000007E-2</v>
      </c>
      <c r="D29" s="74">
        <f t="shared" si="3"/>
        <v>-5.1200000000000009E-2</v>
      </c>
      <c r="E29">
        <f>COUNTIF(tables_589010!C:C,input_589010!A29)-COUNTIF(Q:Q,A29)</f>
        <v>47</v>
      </c>
      <c r="F29" s="43">
        <f t="shared" si="8"/>
        <v>3.9999999999999996E-4</v>
      </c>
      <c r="G29">
        <f t="shared" si="4"/>
        <v>902399.99999999988</v>
      </c>
      <c r="H29">
        <f t="shared" si="5"/>
        <v>19200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COUNTIF(tables_589010!C:C,input_589010!A30)-COUNTIF(Q:Q,A30)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COUNTIF(tables_589010!C:C,input_589010!A31)-COUNTIF(Q:Q,A31)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0.83000000000000029</v>
      </c>
      <c r="C32" s="41">
        <f>SUM(C19:C31)</f>
        <v>0.17</v>
      </c>
      <c r="D32" s="42">
        <f t="shared" si="3"/>
        <v>0.66000000000000025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48000000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SUMIF(tables_589010!C:C,input_589010!A40,tables_589010!O:O)</f>
        <v>6240000</v>
      </c>
      <c r="C40" s="54">
        <f t="shared" ref="C40:C46" ca="1" si="9">B40/B$47</f>
        <v>0.35600832512019392</v>
      </c>
      <c r="E40">
        <v>3</v>
      </c>
      <c r="F40">
        <f ca="1">SUMIF(tables_589010!J:J,input_589010!E40,tables_589010!O:O)</f>
        <v>14400000</v>
      </c>
      <c r="G40">
        <f ca="1">F40/A36</f>
        <v>0.3</v>
      </c>
    </row>
    <row r="41" spans="1:7" x14ac:dyDescent="0.15">
      <c r="A41" s="33" t="s">
        <v>104</v>
      </c>
      <c r="B41">
        <f ca="1">SUMIF(tables_589010!C:C,input_589010!A41,tables_589010!O:O)</f>
        <v>10400000</v>
      </c>
      <c r="C41" s="54">
        <f t="shared" ca="1" si="9"/>
        <v>0.59334720853365652</v>
      </c>
      <c r="E41">
        <v>4</v>
      </c>
      <c r="F41">
        <f ca="1">SUMIF(tables_589010!J:J,input_589010!E41,tables_589010!O:O)</f>
        <v>23999999.999940019</v>
      </c>
      <c r="G41">
        <f ca="1">F41/A36</f>
        <v>0.49999999999875039</v>
      </c>
    </row>
    <row r="42" spans="1:7" x14ac:dyDescent="0.15">
      <c r="A42" s="33" t="s">
        <v>106</v>
      </c>
      <c r="B42">
        <f ca="1">SUMIF(tables_589010!C:C,input_589010!A42,tables_589010!O:O)</f>
        <v>430080</v>
      </c>
      <c r="C42" s="54">
        <f t="shared" ca="1" si="9"/>
        <v>2.4537189177514903E-2</v>
      </c>
      <c r="E42">
        <v>5</v>
      </c>
      <c r="F42">
        <f ca="1">SUMIF(tables_589010!J:J,input_589010!E42,tables_589010!O:O)</f>
        <v>9599999.9998799991</v>
      </c>
      <c r="G42">
        <f ca="1">F42/A36</f>
        <v>0.19999999999749998</v>
      </c>
    </row>
    <row r="43" spans="1:7" x14ac:dyDescent="0.15">
      <c r="A43" s="33" t="s">
        <v>109</v>
      </c>
      <c r="B43">
        <f>SUMIF(tables_589010!C:C,input_589010!A43,tables_589010!O:O)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SUMIF(tables_589010!C:C,input_589010!A44,tables_589010!O:O)</f>
        <v>350079.99987999961</v>
      </c>
      <c r="C44" s="54">
        <f t="shared" ca="1" si="9"/>
        <v>1.9972979874255826E-2</v>
      </c>
      <c r="E44" t="s">
        <v>54</v>
      </c>
      <c r="F44" s="55"/>
    </row>
    <row r="45" spans="1:7" x14ac:dyDescent="0.15">
      <c r="A45" s="33" t="s">
        <v>107</v>
      </c>
      <c r="B45">
        <f ca="1">SUMIF(tables_589010!C:C,input_589010!A45,tables_589010!O:O)</f>
        <v>107520</v>
      </c>
      <c r="C45" s="54">
        <f t="shared" ca="1" si="9"/>
        <v>6.1342972943787257E-3</v>
      </c>
      <c r="E45" t="s">
        <v>204</v>
      </c>
      <c r="F45" s="55">
        <f ca="1">SUMIF(tables_589010!I:I,input_589010!E45,tables_589010!P:P)</f>
        <v>0.24770666666759619</v>
      </c>
    </row>
    <row r="46" spans="1:7" x14ac:dyDescent="0.15">
      <c r="A46" s="33" t="s">
        <v>108</v>
      </c>
      <c r="B46">
        <f>SUMIF(tables_589010!C:C,input_589010!A46,tables_589010!O:O)</f>
        <v>0</v>
      </c>
      <c r="C46" s="54">
        <f t="shared" ca="1" si="9"/>
        <v>0</v>
      </c>
      <c r="E46" t="s">
        <v>205</v>
      </c>
      <c r="F46" s="55">
        <f ca="1">SUMIF(tables_589010!I:I,input_589010!E46,tables_589010!P:P)</f>
        <v>0.14071769230740311</v>
      </c>
    </row>
    <row r="47" spans="1:7" x14ac:dyDescent="0.15">
      <c r="A47" s="39" t="s">
        <v>59</v>
      </c>
      <c r="B47">
        <f ca="1">SUM(B40:B46)</f>
        <v>17527679.999880001</v>
      </c>
      <c r="C47" s="55">
        <f ca="1">SUM(C40:C46)</f>
        <v>0.99999999999999989</v>
      </c>
      <c r="E47" t="s">
        <v>206</v>
      </c>
      <c r="F47" s="55">
        <f ca="1">SUMIF(tables_589010!I:I,input_589010!E47,tables_589010!P:P)</f>
        <v>0.51157564102462816</v>
      </c>
    </row>
    <row r="48" spans="1:7" x14ac:dyDescent="0.15">
      <c r="E48" t="s">
        <v>207</v>
      </c>
      <c r="F48" s="55">
        <f ca="1">SUMIF(tables_589010!I:I,input_589010!E48,tables_589010!P:P)</f>
        <v>8.6000000000322679E-2</v>
      </c>
      <c r="G48" s="55"/>
    </row>
    <row r="49" spans="5:6" x14ac:dyDescent="0.15">
      <c r="E49" t="s">
        <v>251</v>
      </c>
      <c r="F49" s="55">
        <f ca="1">SUMIF(tables_589010!I:I,input_589010!E49,tables_589010!P:P)</f>
        <v>1.4000000000052529E-2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5"/>
  <sheetViews>
    <sheetView showGridLines="0" zoomScale="75" zoomScaleNormal="75" zoomScalePageLayoutView="75" workbookViewId="0">
      <pane ySplit="1" topLeftCell="A327" activePane="bottomLeft" state="frozen"/>
      <selection activeCell="H276" sqref="H276"/>
      <selection pane="bottomLeft" activeCell="P356" sqref="P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101" t="str">
        <f ca="1">input_589010!A$2</f>
        <v>589010</v>
      </c>
      <c r="B2" s="103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IFERROR(VLOOKUP(B2,input_589010!L:R,7,FALSE),VLOOKUP(tables_589010!C2,input_589010!A:H,8,FALSE))</f>
        <v>384000</v>
      </c>
      <c r="P2" s="46">
        <f t="shared" ref="P2:P65" ca="1" si="1">O2/SUM(O:O)</f>
        <v>8.0000000000300178E-3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101" t="str">
        <f ca="1">input_589010!A$2</f>
        <v>589010</v>
      </c>
      <c r="B3" s="103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IFERROR(VLOOKUP(B3,input_589010!L:R,7,FALSE),VLOOKUP(tables_589010!C3,input_589010!A:H,8,FALSE))</f>
        <v>186496</v>
      </c>
      <c r="P3" s="46">
        <f t="shared" ca="1" si="1"/>
        <v>3.8853333333479117E-3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101" t="str">
        <f ca="1">input_589010!A$2</f>
        <v>589010</v>
      </c>
      <c r="B4" s="103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IFERROR(VLOOKUP(B4,input_589010!L:R,7,FALSE),VLOOKUP(tables_589010!C4,input_589010!A:H,8,FALSE))</f>
        <v>384000</v>
      </c>
      <c r="P4" s="46">
        <f t="shared" ca="1" si="1"/>
        <v>8.0000000000300178E-3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101" t="str">
        <f ca="1">input_589010!A$2</f>
        <v>589010</v>
      </c>
      <c r="B5" s="103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IFERROR(VLOOKUP(B5,input_589010!L:R,7,FALSE),VLOOKUP(tables_589010!C5,input_589010!A:H,8,FALSE))</f>
        <v>186496</v>
      </c>
      <c r="P5" s="46">
        <f t="shared" ca="1" si="1"/>
        <v>3.8853333333479117E-3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101" t="str">
        <f ca="1">input_589010!A$2</f>
        <v>589010</v>
      </c>
      <c r="B6" s="103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IFERROR(VLOOKUP(B6,input_589010!L:R,7,FALSE),VLOOKUP(tables_589010!C6,input_589010!A:H,8,FALSE))</f>
        <v>384000</v>
      </c>
      <c r="P6" s="46">
        <f t="shared" ca="1" si="1"/>
        <v>8.0000000000300178E-3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101" t="str">
        <f ca="1">input_589010!A$2</f>
        <v>589010</v>
      </c>
      <c r="B7" s="103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IFERROR(VLOOKUP(B7,input_589010!L:R,7,FALSE),VLOOKUP(tables_589010!C7,input_589010!A:H,8,FALSE))</f>
        <v>186496</v>
      </c>
      <c r="P7" s="46">
        <f t="shared" ca="1" si="1"/>
        <v>3.8853333333479117E-3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101" t="str">
        <f ca="1">input_589010!A$2</f>
        <v>589010</v>
      </c>
      <c r="B8" s="103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IFERROR(VLOOKUP(B8,input_589010!L:R,7,FALSE),VLOOKUP(tables_589010!C8,input_589010!A:H,8,FALSE))</f>
        <v>384000</v>
      </c>
      <c r="P8" s="46">
        <f t="shared" ca="1" si="1"/>
        <v>8.0000000000300178E-3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101" t="str">
        <f ca="1">input_589010!A$2</f>
        <v>589010</v>
      </c>
      <c r="B9" s="103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IFERROR(VLOOKUP(B9,input_589010!L:R,7,FALSE),VLOOKUP(tables_589010!C9,input_589010!A:H,8,FALSE))</f>
        <v>186496</v>
      </c>
      <c r="P9" s="46">
        <f t="shared" ca="1" si="1"/>
        <v>3.8853333333479117E-3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101" t="str">
        <f ca="1">input_589010!A$2</f>
        <v>589010</v>
      </c>
      <c r="B10" s="103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IFERROR(VLOOKUP(B10,input_589010!L:R,7,FALSE),VLOOKUP(tables_589010!C10,input_589010!A:H,8,FALSE))</f>
        <v>384000</v>
      </c>
      <c r="P10" s="46">
        <f t="shared" ca="1" si="1"/>
        <v>8.0000000000300178E-3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101" t="str">
        <f ca="1">input_589010!A$2</f>
        <v>589010</v>
      </c>
      <c r="B11" s="103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IFERROR(VLOOKUP(B11,input_589010!L:R,7,FALSE),VLOOKUP(tables_589010!C11,input_589010!A:H,8,FALSE))</f>
        <v>186496</v>
      </c>
      <c r="P11" s="46">
        <f t="shared" ca="1" si="1"/>
        <v>3.8853333333479117E-3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101" t="str">
        <f ca="1">input_589010!A$2</f>
        <v>589010</v>
      </c>
      <c r="B12" s="104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IFERROR(VLOOKUP(B12,input_589010!L:R,7,FALSE),VLOOKUP(tables_589010!C12,input_589010!A:H,8,FALSE))</f>
        <v>384000</v>
      </c>
      <c r="P12" s="46">
        <f t="shared" ca="1" si="1"/>
        <v>8.0000000000300178E-3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101" t="str">
        <f ca="1">input_589010!A$2</f>
        <v>589010</v>
      </c>
      <c r="B13" s="104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IFERROR(VLOOKUP(B13,input_589010!L:R,7,FALSE),VLOOKUP(tables_589010!C13,input_589010!A:H,8,FALSE))</f>
        <v>186496</v>
      </c>
      <c r="P13" s="46">
        <f t="shared" ca="1" si="1"/>
        <v>3.8853333333479117E-3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101" t="str">
        <f ca="1">input_589010!A$2</f>
        <v>589010</v>
      </c>
      <c r="B14" s="103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IFERROR(VLOOKUP(B14,input_589010!L:R,7,FALSE),VLOOKUP(tables_589010!C14,input_589010!A:H,8,FALSE))</f>
        <v>384000</v>
      </c>
      <c r="P14" s="46">
        <f t="shared" ca="1" si="1"/>
        <v>8.0000000000300178E-3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101" t="str">
        <f ca="1">input_589010!A$2</f>
        <v>589010</v>
      </c>
      <c r="B15" s="103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IFERROR(VLOOKUP(B15,input_589010!L:R,7,FALSE),VLOOKUP(tables_589010!C15,input_589010!A:H,8,FALSE))</f>
        <v>186496</v>
      </c>
      <c r="P15" s="46">
        <f t="shared" ca="1" si="1"/>
        <v>3.8853333333479117E-3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101" t="str">
        <f ca="1">input_589010!A$2</f>
        <v>589010</v>
      </c>
      <c r="B16" s="103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IFERROR(VLOOKUP(B16,input_589010!L:R,7,FALSE),VLOOKUP(tables_589010!C16,input_589010!A:H,8,FALSE))</f>
        <v>384000</v>
      </c>
      <c r="P16" s="46">
        <f t="shared" ca="1" si="1"/>
        <v>8.0000000000300178E-3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101" t="str">
        <f ca="1">input_589010!A$2</f>
        <v>589010</v>
      </c>
      <c r="B17" s="103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IFERROR(VLOOKUP(B17,input_589010!L:R,7,FALSE),VLOOKUP(tables_589010!C17,input_589010!A:H,8,FALSE))</f>
        <v>186496</v>
      </c>
      <c r="P17" s="46">
        <f t="shared" ca="1" si="1"/>
        <v>3.8853333333479117E-3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101" t="str">
        <f ca="1">input_589010!A$2</f>
        <v>589010</v>
      </c>
      <c r="B18" s="103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IFERROR(VLOOKUP(B18,input_589010!L:R,7,FALSE),VLOOKUP(tables_589010!C18,input_589010!A:H,8,FALSE))</f>
        <v>384000</v>
      </c>
      <c r="P18" s="46">
        <f t="shared" ca="1" si="1"/>
        <v>8.0000000000300178E-3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101" t="str">
        <f ca="1">input_589010!A$2</f>
        <v>589010</v>
      </c>
      <c r="B19" s="103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IFERROR(VLOOKUP(B19,input_589010!L:R,7,FALSE),VLOOKUP(tables_589010!C19,input_589010!A:H,8,FALSE))</f>
        <v>186496</v>
      </c>
      <c r="P19" s="46">
        <f t="shared" ca="1" si="1"/>
        <v>3.8853333333479117E-3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101" t="str">
        <f ca="1">input_589010!A$2</f>
        <v>589010</v>
      </c>
      <c r="B20" s="103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IFERROR(VLOOKUP(B20,input_589010!L:R,7,FALSE),VLOOKUP(tables_589010!C20,input_589010!A:H,8,FALSE))</f>
        <v>384000</v>
      </c>
      <c r="P20" s="46">
        <f t="shared" ca="1" si="1"/>
        <v>8.0000000000300178E-3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101" t="str">
        <f ca="1">input_589010!A$2</f>
        <v>589010</v>
      </c>
      <c r="B21" s="103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IFERROR(VLOOKUP(B21,input_589010!L:R,7,FALSE),VLOOKUP(tables_589010!C21,input_589010!A:H,8,FALSE))</f>
        <v>186496</v>
      </c>
      <c r="P21" s="46">
        <f t="shared" ca="1" si="1"/>
        <v>3.8853333333479117E-3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101" t="str">
        <f ca="1">input_589010!A$2</f>
        <v>589010</v>
      </c>
      <c r="B22" s="103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IFERROR(VLOOKUP(B22,input_589010!L:R,7,FALSE),VLOOKUP(tables_589010!C22,input_589010!A:H,8,FALSE))</f>
        <v>384000</v>
      </c>
      <c r="P22" s="46">
        <f t="shared" ca="1" si="1"/>
        <v>8.0000000000300178E-3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101" t="str">
        <f ca="1">input_589010!A$2</f>
        <v>589010</v>
      </c>
      <c r="B23" s="103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IFERROR(VLOOKUP(B23,input_589010!L:R,7,FALSE),VLOOKUP(tables_589010!C23,input_589010!A:H,8,FALSE))</f>
        <v>186496</v>
      </c>
      <c r="P23" s="46">
        <f t="shared" ca="1" si="1"/>
        <v>3.8853333333479117E-3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101" t="str">
        <f ca="1">input_589010!A$2</f>
        <v>589010</v>
      </c>
      <c r="B24" s="103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IFERROR(VLOOKUP(B24,input_589010!L:R,7,FALSE),VLOOKUP(tables_589010!C24,input_589010!A:H,8,FALSE))</f>
        <v>384000</v>
      </c>
      <c r="P24" s="46">
        <f t="shared" ca="1" si="1"/>
        <v>8.0000000000300178E-3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101" t="str">
        <f ca="1">input_589010!A$2</f>
        <v>589010</v>
      </c>
      <c r="B25" s="103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IFERROR(VLOOKUP(B25,input_589010!L:R,7,FALSE),VLOOKUP(tables_589010!C25,input_589010!A:H,8,FALSE))</f>
        <v>186496</v>
      </c>
      <c r="P25" s="46">
        <f t="shared" ca="1" si="1"/>
        <v>3.8853333333479117E-3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101" t="str">
        <f ca="1">input_589010!A$2</f>
        <v>589010</v>
      </c>
      <c r="B26" s="103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IFERROR(VLOOKUP(B26,input_589010!L:R,7,FALSE),VLOOKUP(tables_589010!C26,input_589010!A:H,8,FALSE))</f>
        <v>384000</v>
      </c>
      <c r="P26" s="46">
        <f t="shared" ca="1" si="1"/>
        <v>8.0000000000300178E-3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101" t="str">
        <f ca="1">input_589010!A$2</f>
        <v>589010</v>
      </c>
      <c r="B27" s="103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IFERROR(VLOOKUP(B27,input_589010!L:R,7,FALSE),VLOOKUP(tables_589010!C27,input_589010!A:H,8,FALSE))</f>
        <v>186496</v>
      </c>
      <c r="P27" s="46">
        <f t="shared" ca="1" si="1"/>
        <v>3.8853333333479117E-3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101" t="str">
        <f ca="1">input_589010!A$2</f>
        <v>589010</v>
      </c>
      <c r="B28" s="103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IFERROR(VLOOKUP(B28,input_589010!L:R,7,FALSE),VLOOKUP(tables_589010!C28,input_589010!A:H,8,FALSE))</f>
        <v>384000</v>
      </c>
      <c r="P28" s="46">
        <f t="shared" ca="1" si="1"/>
        <v>8.0000000000300178E-3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101" t="str">
        <f ca="1">input_589010!A$2</f>
        <v>589010</v>
      </c>
      <c r="B29" s="103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IFERROR(VLOOKUP(B29,input_589010!L:R,7,FALSE),VLOOKUP(tables_589010!C29,input_589010!A:H,8,FALSE))</f>
        <v>186496</v>
      </c>
      <c r="P29" s="46">
        <f t="shared" ca="1" si="1"/>
        <v>3.8853333333479117E-3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101" t="str">
        <f ca="1">input_589010!A$2</f>
        <v>589010</v>
      </c>
      <c r="B30" s="103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IFERROR(VLOOKUP(B30,input_589010!L:R,7,FALSE),VLOOKUP(tables_589010!C30,input_589010!A:H,8,FALSE))</f>
        <v>384000</v>
      </c>
      <c r="P30" s="46">
        <f t="shared" ca="1" si="1"/>
        <v>8.0000000000300178E-3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101" t="str">
        <f ca="1">input_589010!A$2</f>
        <v>589010</v>
      </c>
      <c r="B31" s="103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IFERROR(VLOOKUP(B31,input_589010!L:R,7,FALSE),VLOOKUP(tables_589010!C31,input_589010!A:H,8,FALSE))</f>
        <v>186496</v>
      </c>
      <c r="P31" s="46">
        <f t="shared" ca="1" si="1"/>
        <v>3.8853333333479117E-3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101" t="str">
        <f ca="1">input_589010!A$2</f>
        <v>589010</v>
      </c>
      <c r="B32" s="103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IFERROR(VLOOKUP(B32,input_589010!L:R,7,FALSE),VLOOKUP(tables_589010!C32,input_589010!A:H,8,FALSE))</f>
        <v>384000</v>
      </c>
      <c r="P32" s="46">
        <f t="shared" ca="1" si="1"/>
        <v>8.0000000000300178E-3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101" t="str">
        <f ca="1">input_589010!A$2</f>
        <v>589010</v>
      </c>
      <c r="B33" s="103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IFERROR(VLOOKUP(B33,input_589010!L:R,7,FALSE),VLOOKUP(tables_589010!C33,input_589010!A:H,8,FALSE))</f>
        <v>186496</v>
      </c>
      <c r="P33" s="46">
        <f t="shared" ca="1" si="1"/>
        <v>3.8853333333479117E-3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101" t="str">
        <f ca="1">input_589010!A$2</f>
        <v>589010</v>
      </c>
      <c r="B34" s="103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IFERROR(VLOOKUP(B34,input_589010!L:R,7,FALSE),VLOOKUP(tables_589010!C34,input_589010!A:H,8,FALSE))</f>
        <v>384000</v>
      </c>
      <c r="P34" s="46">
        <f t="shared" ca="1" si="1"/>
        <v>8.0000000000300178E-3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101" t="str">
        <f ca="1">input_589010!A$2</f>
        <v>589010</v>
      </c>
      <c r="B35" s="103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IFERROR(VLOOKUP(B35,input_589010!L:R,7,FALSE),VLOOKUP(tables_589010!C35,input_589010!A:H,8,FALSE))</f>
        <v>186496</v>
      </c>
      <c r="P35" s="46">
        <f t="shared" ca="1" si="1"/>
        <v>3.8853333333479117E-3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101" t="str">
        <f ca="1">input_589010!A$2</f>
        <v>589010</v>
      </c>
      <c r="B36" s="103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IFERROR(VLOOKUP(B36,input_589010!L:R,7,FALSE),VLOOKUP(tables_589010!C36,input_589010!A:H,8,FALSE))</f>
        <v>384000</v>
      </c>
      <c r="P36" s="46">
        <f t="shared" ca="1" si="1"/>
        <v>8.0000000000300178E-3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101" t="str">
        <f ca="1">input_589010!A$2</f>
        <v>589010</v>
      </c>
      <c r="B37" s="103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IFERROR(VLOOKUP(B37,input_589010!L:R,7,FALSE),VLOOKUP(tables_589010!C37,input_589010!A:H,8,FALSE))</f>
        <v>186496</v>
      </c>
      <c r="P37" s="46">
        <f t="shared" ca="1" si="1"/>
        <v>3.8853333333479117E-3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101" t="str">
        <f ca="1">input_589010!A$2</f>
        <v>589010</v>
      </c>
      <c r="B38" s="103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IFERROR(VLOOKUP(B38,input_589010!L:R,7,FALSE),VLOOKUP(tables_589010!C38,input_589010!A:H,8,FALSE))</f>
        <v>384000</v>
      </c>
      <c r="P38" s="46">
        <f t="shared" ca="1" si="1"/>
        <v>8.0000000000300178E-3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101" t="str">
        <f ca="1">input_589010!A$2</f>
        <v>589010</v>
      </c>
      <c r="B39" s="103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IFERROR(VLOOKUP(B39,input_589010!L:R,7,FALSE),VLOOKUP(tables_589010!C39,input_589010!A:H,8,FALSE))</f>
        <v>186496</v>
      </c>
      <c r="P39" s="46">
        <f t="shared" ca="1" si="1"/>
        <v>3.8853333333479117E-3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101" t="str">
        <f ca="1">input_589010!A$2</f>
        <v>589010</v>
      </c>
      <c r="B40" s="103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IFERROR(VLOOKUP(B40,input_589010!L:R,7,FALSE),VLOOKUP(tables_589010!C40,input_589010!A:H,8,FALSE))</f>
        <v>384000</v>
      </c>
      <c r="P40" s="46">
        <f t="shared" ca="1" si="1"/>
        <v>8.0000000000300178E-3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101" t="str">
        <f ca="1">input_589010!A$2</f>
        <v>589010</v>
      </c>
      <c r="B41" s="103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IFERROR(VLOOKUP(B41,input_589010!L:R,7,FALSE),VLOOKUP(tables_589010!C41,input_589010!A:H,8,FALSE))</f>
        <v>186496</v>
      </c>
      <c r="P41" s="46">
        <f t="shared" ca="1" si="1"/>
        <v>3.8853333333479117E-3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101" t="str">
        <f ca="1">input_589010!A$2</f>
        <v>589010</v>
      </c>
      <c r="B42" s="103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IFERROR(VLOOKUP(B42,input_589010!L:R,7,FALSE),VLOOKUP(tables_589010!C42,input_589010!A:H,8,FALSE))</f>
        <v>120000</v>
      </c>
      <c r="P42" s="46">
        <f t="shared" ca="1" si="1"/>
        <v>2.5000000000093806E-3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101" t="str">
        <f ca="1">input_589010!A$2</f>
        <v>589010</v>
      </c>
      <c r="B43" s="103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IFERROR(VLOOKUP(B43,input_589010!L:R,7,FALSE),VLOOKUP(tables_589010!C43,input_589010!A:H,8,FALSE))</f>
        <v>200000</v>
      </c>
      <c r="P43" s="46">
        <f t="shared" ca="1" si="1"/>
        <v>4.1666666666823008E-3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101" t="str">
        <f ca="1">input_589010!A$2</f>
        <v>589010</v>
      </c>
      <c r="B44" s="103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IFERROR(VLOOKUP(B44,input_589010!L:R,7,FALSE),VLOOKUP(tables_589010!C44,input_589010!A:H,8,FALSE))</f>
        <v>80000</v>
      </c>
      <c r="P44" s="46">
        <f t="shared" ca="1" si="1"/>
        <v>1.6666666666729202E-3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101" t="str">
        <f ca="1">input_589010!A$2</f>
        <v>589010</v>
      </c>
      <c r="B45" s="103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IFERROR(VLOOKUP(B45,input_589010!L:R,7,FALSE),VLOOKUP(tables_589010!C45,input_589010!A:H,8,FALSE))</f>
        <v>120000</v>
      </c>
      <c r="P45" s="46">
        <f t="shared" ca="1" si="1"/>
        <v>2.5000000000093806E-3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101" t="str">
        <f ca="1">input_589010!A$2</f>
        <v>589010</v>
      </c>
      <c r="B46" s="103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IFERROR(VLOOKUP(B46,input_589010!L:R,7,FALSE),VLOOKUP(tables_589010!C46,input_589010!A:H,8,FALSE))</f>
        <v>200000</v>
      </c>
      <c r="P46" s="46">
        <f t="shared" ca="1" si="1"/>
        <v>4.1666666666823008E-3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101" t="str">
        <f ca="1">input_589010!A$2</f>
        <v>589010</v>
      </c>
      <c r="B47" s="103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IFERROR(VLOOKUP(B47,input_589010!L:R,7,FALSE),VLOOKUP(tables_589010!C47,input_589010!A:H,8,FALSE))</f>
        <v>80000</v>
      </c>
      <c r="P47" s="46">
        <f t="shared" ca="1" si="1"/>
        <v>1.6666666666729202E-3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101" t="str">
        <f ca="1">input_589010!A$2</f>
        <v>589010</v>
      </c>
      <c r="B48" s="103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IFERROR(VLOOKUP(B48,input_589010!L:R,7,FALSE),VLOOKUP(tables_589010!C48,input_589010!A:H,8,FALSE))</f>
        <v>120000</v>
      </c>
      <c r="P48" s="46">
        <f t="shared" ca="1" si="1"/>
        <v>2.5000000000093806E-3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101" t="str">
        <f ca="1">input_589010!A$2</f>
        <v>589010</v>
      </c>
      <c r="B49" s="103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IFERROR(VLOOKUP(B49,input_589010!L:R,7,FALSE),VLOOKUP(tables_589010!C49,input_589010!A:H,8,FALSE))</f>
        <v>200000</v>
      </c>
      <c r="P49" s="46">
        <f t="shared" ca="1" si="1"/>
        <v>4.1666666666823008E-3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101" t="str">
        <f ca="1">input_589010!A$2</f>
        <v>589010</v>
      </c>
      <c r="B50" s="103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IFERROR(VLOOKUP(B50,input_589010!L:R,7,FALSE),VLOOKUP(tables_589010!C50,input_589010!A:H,8,FALSE))</f>
        <v>80000</v>
      </c>
      <c r="P50" s="46">
        <f t="shared" ca="1" si="1"/>
        <v>1.6666666666729202E-3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101" t="str">
        <f ca="1">input_589010!A$2</f>
        <v>589010</v>
      </c>
      <c r="B51" s="103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IFERROR(VLOOKUP(B51,input_589010!L:R,7,FALSE),VLOOKUP(tables_589010!C51,input_589010!A:H,8,FALSE))</f>
        <v>120000</v>
      </c>
      <c r="P51" s="46">
        <f t="shared" ca="1" si="1"/>
        <v>2.5000000000093806E-3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101" t="str">
        <f ca="1">input_589010!A$2</f>
        <v>589010</v>
      </c>
      <c r="B52" s="103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IFERROR(VLOOKUP(B52,input_589010!L:R,7,FALSE),VLOOKUP(tables_589010!C52,input_589010!A:H,8,FALSE))</f>
        <v>200000</v>
      </c>
      <c r="P52" s="46">
        <f t="shared" ca="1" si="1"/>
        <v>4.1666666666823008E-3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101" t="str">
        <f ca="1">input_589010!A$2</f>
        <v>589010</v>
      </c>
      <c r="B53" s="103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IFERROR(VLOOKUP(B53,input_589010!L:R,7,FALSE),VLOOKUP(tables_589010!C53,input_589010!A:H,8,FALSE))</f>
        <v>6732.3076899999996</v>
      </c>
      <c r="P53" s="46">
        <f t="shared" ca="1" si="1"/>
        <v>1.4025641020885959E-4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101" t="str">
        <f ca="1">input_589010!A$2</f>
        <v>589010</v>
      </c>
      <c r="B54" s="103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IFERROR(VLOOKUP(B54,input_589010!L:R,7,FALSE),VLOOKUP(tables_589010!C54,input_589010!A:H,8,FALSE))</f>
        <v>120000</v>
      </c>
      <c r="P54" s="46">
        <f t="shared" ca="1" si="1"/>
        <v>2.5000000000093806E-3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101" t="str">
        <f ca="1">input_589010!A$2</f>
        <v>589010</v>
      </c>
      <c r="B55" s="103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IFERROR(VLOOKUP(B55,input_589010!L:R,7,FALSE),VLOOKUP(tables_589010!C55,input_589010!A:H,8,FALSE))</f>
        <v>200000</v>
      </c>
      <c r="P55" s="46">
        <f t="shared" ca="1" si="1"/>
        <v>4.1666666666823008E-3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101" t="str">
        <f ca="1">input_589010!A$2</f>
        <v>589010</v>
      </c>
      <c r="B56" s="103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IFERROR(VLOOKUP(B56,input_589010!L:R,7,FALSE),VLOOKUP(tables_589010!C56,input_589010!A:H,8,FALSE))</f>
        <v>6732.3076899999996</v>
      </c>
      <c r="P56" s="46">
        <f t="shared" ca="1" si="1"/>
        <v>1.4025641020885959E-4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101" t="str">
        <f ca="1">input_589010!A$2</f>
        <v>589010</v>
      </c>
      <c r="B57" s="103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IFERROR(VLOOKUP(B57,input_589010!L:R,7,FALSE),VLOOKUP(tables_589010!C57,input_589010!A:H,8,FALSE))</f>
        <v>120000</v>
      </c>
      <c r="P57" s="46">
        <f t="shared" ca="1" si="1"/>
        <v>2.5000000000093806E-3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101" t="str">
        <f ca="1">input_589010!A$2</f>
        <v>589010</v>
      </c>
      <c r="B58" s="103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IFERROR(VLOOKUP(B58,input_589010!L:R,7,FALSE),VLOOKUP(tables_589010!C58,input_589010!A:H,8,FALSE))</f>
        <v>200000</v>
      </c>
      <c r="P58" s="46">
        <f t="shared" ca="1" si="1"/>
        <v>4.1666666666823008E-3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101" t="str">
        <f ca="1">input_589010!A$2</f>
        <v>589010</v>
      </c>
      <c r="B59" s="103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IFERROR(VLOOKUP(B59,input_589010!L:R,7,FALSE),VLOOKUP(tables_589010!C59,input_589010!A:H,8,FALSE))</f>
        <v>6732.3076899999996</v>
      </c>
      <c r="P59" s="46">
        <f t="shared" ca="1" si="1"/>
        <v>1.4025641020885959E-4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101" t="str">
        <f ca="1">input_589010!A$2</f>
        <v>589010</v>
      </c>
      <c r="B60" s="103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IFERROR(VLOOKUP(B60,input_589010!L:R,7,FALSE),VLOOKUP(tables_589010!C60,input_589010!A:H,8,FALSE))</f>
        <v>120000</v>
      </c>
      <c r="P60" s="46">
        <f t="shared" ca="1" si="1"/>
        <v>2.5000000000093806E-3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101" t="str">
        <f ca="1">input_589010!A$2</f>
        <v>589010</v>
      </c>
      <c r="B61" s="103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IFERROR(VLOOKUP(B61,input_589010!L:R,7,FALSE),VLOOKUP(tables_589010!C61,input_589010!A:H,8,FALSE))</f>
        <v>200000</v>
      </c>
      <c r="P61" s="46">
        <f t="shared" ca="1" si="1"/>
        <v>4.1666666666823008E-3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101" t="str">
        <f ca="1">input_589010!A$2</f>
        <v>589010</v>
      </c>
      <c r="B62" s="104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IFERROR(VLOOKUP(B62,input_589010!L:R,7,FALSE),VLOOKUP(tables_589010!C62,input_589010!A:H,8,FALSE))</f>
        <v>6732.3076899999996</v>
      </c>
      <c r="P62" s="46">
        <f t="shared" ca="1" si="1"/>
        <v>1.4025641020885959E-4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101" t="str">
        <f ca="1">input_589010!A$2</f>
        <v>589010</v>
      </c>
      <c r="B63" s="104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IFERROR(VLOOKUP(B63,input_589010!L:R,7,FALSE),VLOOKUP(tables_589010!C63,input_589010!A:H,8,FALSE))</f>
        <v>120000</v>
      </c>
      <c r="P63" s="46">
        <f t="shared" ca="1" si="1"/>
        <v>2.5000000000093806E-3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101" t="str">
        <f ca="1">input_589010!A$2</f>
        <v>589010</v>
      </c>
      <c r="B64" s="104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IFERROR(VLOOKUP(B64,input_589010!L:R,7,FALSE),VLOOKUP(tables_589010!C64,input_589010!A:H,8,FALSE))</f>
        <v>200000</v>
      </c>
      <c r="P64" s="46">
        <f t="shared" ca="1" si="1"/>
        <v>4.1666666666823008E-3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101" t="str">
        <f ca="1">input_589010!A$2</f>
        <v>589010</v>
      </c>
      <c r="B65" s="104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IFERROR(VLOOKUP(B65,input_589010!L:R,7,FALSE),VLOOKUP(tables_589010!C65,input_589010!A:H,8,FALSE))</f>
        <v>6732.3076899999996</v>
      </c>
      <c r="P65" s="46">
        <f t="shared" ca="1" si="1"/>
        <v>1.4025641020885959E-4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101" t="str">
        <f ca="1">input_589010!A$2</f>
        <v>589010</v>
      </c>
      <c r="B66" s="103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IFERROR(VLOOKUP(B66,input_589010!L:R,7,FALSE),VLOOKUP(tables_589010!C66,input_589010!A:H,8,FALSE))</f>
        <v>120000</v>
      </c>
      <c r="P66" s="46">
        <f t="shared" ref="P66:P129" ca="1" si="4">O66/SUM(O:O)</f>
        <v>2.5000000000093806E-3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101" t="str">
        <f ca="1">input_589010!A$2</f>
        <v>589010</v>
      </c>
      <c r="B67" s="103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IFERROR(VLOOKUP(B67,input_589010!L:R,7,FALSE),VLOOKUP(tables_589010!C67,input_589010!A:H,8,FALSE))</f>
        <v>200000</v>
      </c>
      <c r="P67" s="46">
        <f t="shared" ca="1" si="4"/>
        <v>4.1666666666823008E-3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101" t="str">
        <f ca="1">input_589010!A$2</f>
        <v>589010</v>
      </c>
      <c r="B68" s="103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IFERROR(VLOOKUP(B68,input_589010!L:R,7,FALSE),VLOOKUP(tables_589010!C68,input_589010!A:H,8,FALSE))</f>
        <v>6732.3076899999996</v>
      </c>
      <c r="P68" s="46">
        <f t="shared" ca="1" si="4"/>
        <v>1.4025641020885959E-4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101" t="str">
        <f ca="1">input_589010!A$2</f>
        <v>589010</v>
      </c>
      <c r="B69" s="103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IFERROR(VLOOKUP(B69,input_589010!L:R,7,FALSE),VLOOKUP(tables_589010!C69,input_589010!A:H,8,FALSE))</f>
        <v>120000</v>
      </c>
      <c r="P69" s="46">
        <f t="shared" ca="1" si="4"/>
        <v>2.5000000000093806E-3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101" t="str">
        <f ca="1">input_589010!A$2</f>
        <v>589010</v>
      </c>
      <c r="B70" s="103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IFERROR(VLOOKUP(B70,input_589010!L:R,7,FALSE),VLOOKUP(tables_589010!C70,input_589010!A:H,8,FALSE))</f>
        <v>200000</v>
      </c>
      <c r="P70" s="46">
        <f t="shared" ca="1" si="4"/>
        <v>4.1666666666823008E-3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101" t="str">
        <f ca="1">input_589010!A$2</f>
        <v>589010</v>
      </c>
      <c r="B71" s="103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IFERROR(VLOOKUP(B71,input_589010!L:R,7,FALSE),VLOOKUP(tables_589010!C71,input_589010!A:H,8,FALSE))</f>
        <v>6732.3076899999996</v>
      </c>
      <c r="P71" s="46">
        <f t="shared" ca="1" si="4"/>
        <v>1.4025641020885959E-4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101" t="str">
        <f ca="1">input_589010!A$2</f>
        <v>589010</v>
      </c>
      <c r="B72" s="103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IFERROR(VLOOKUP(B72,input_589010!L:R,7,FALSE),VLOOKUP(tables_589010!C72,input_589010!A:H,8,FALSE))</f>
        <v>120000</v>
      </c>
      <c r="P72" s="46">
        <f t="shared" ca="1" si="4"/>
        <v>2.5000000000093806E-3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101" t="str">
        <f ca="1">input_589010!A$2</f>
        <v>589010</v>
      </c>
      <c r="B73" s="103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IFERROR(VLOOKUP(B73,input_589010!L:R,7,FALSE),VLOOKUP(tables_589010!C73,input_589010!A:H,8,FALSE))</f>
        <v>200000</v>
      </c>
      <c r="P73" s="46">
        <f t="shared" ca="1" si="4"/>
        <v>4.1666666666823008E-3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101" t="str">
        <f ca="1">input_589010!A$2</f>
        <v>589010</v>
      </c>
      <c r="B74" s="103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IFERROR(VLOOKUP(B74,input_589010!L:R,7,FALSE),VLOOKUP(tables_589010!C74,input_589010!A:H,8,FALSE))</f>
        <v>6732.3076899999996</v>
      </c>
      <c r="P74" s="46">
        <f t="shared" ca="1" si="4"/>
        <v>1.4025641020885959E-4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101" t="str">
        <f ca="1">input_589010!A$2</f>
        <v>589010</v>
      </c>
      <c r="B75" s="103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IFERROR(VLOOKUP(B75,input_589010!L:R,7,FALSE),VLOOKUP(tables_589010!C75,input_589010!A:H,8,FALSE))</f>
        <v>120000</v>
      </c>
      <c r="P75" s="46">
        <f t="shared" ca="1" si="4"/>
        <v>2.5000000000093806E-3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101" t="str">
        <f ca="1">input_589010!A$2</f>
        <v>589010</v>
      </c>
      <c r="B76" s="103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IFERROR(VLOOKUP(B76,input_589010!L:R,7,FALSE),VLOOKUP(tables_589010!C76,input_589010!A:H,8,FALSE))</f>
        <v>200000</v>
      </c>
      <c r="P76" s="46">
        <f t="shared" ca="1" si="4"/>
        <v>4.1666666666823008E-3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101" t="str">
        <f ca="1">input_589010!A$2</f>
        <v>589010</v>
      </c>
      <c r="B77" s="101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IFERROR(VLOOKUP(B77,input_589010!L:R,7,FALSE),VLOOKUP(tables_589010!C77,input_589010!A:H,8,FALSE))</f>
        <v>6732.3076899999996</v>
      </c>
      <c r="P77" s="46">
        <f t="shared" ca="1" si="4"/>
        <v>1.4025641020885959E-4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101" t="str">
        <f ca="1">input_589010!A$2</f>
        <v>589010</v>
      </c>
      <c r="B78" s="101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IFERROR(VLOOKUP(B78,input_589010!L:R,7,FALSE),VLOOKUP(tables_589010!C78,input_589010!A:H,8,FALSE))</f>
        <v>120000</v>
      </c>
      <c r="P78" s="46">
        <f t="shared" ca="1" si="4"/>
        <v>2.5000000000093806E-3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101" t="str">
        <f ca="1">input_589010!A$2</f>
        <v>589010</v>
      </c>
      <c r="B79" s="101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IFERROR(VLOOKUP(B79,input_589010!L:R,7,FALSE),VLOOKUP(tables_589010!C79,input_589010!A:H,8,FALSE))</f>
        <v>200000</v>
      </c>
      <c r="P79" s="46">
        <f t="shared" ca="1" si="4"/>
        <v>4.1666666666823008E-3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101" t="str">
        <f ca="1">input_589010!A$2</f>
        <v>589010</v>
      </c>
      <c r="B80" s="101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IFERROR(VLOOKUP(B80,input_589010!L:R,7,FALSE),VLOOKUP(tables_589010!C80,input_589010!A:H,8,FALSE))</f>
        <v>6732.3076899999996</v>
      </c>
      <c r="P80" s="46">
        <f t="shared" ca="1" si="4"/>
        <v>1.4025641020885959E-4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101" t="str">
        <f ca="1">input_589010!A$2</f>
        <v>589010</v>
      </c>
      <c r="B81" s="101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IFERROR(VLOOKUP(B81,input_589010!L:R,7,FALSE),VLOOKUP(tables_589010!C81,input_589010!A:H,8,FALSE))</f>
        <v>120000</v>
      </c>
      <c r="P81" s="46">
        <f t="shared" ca="1" si="4"/>
        <v>2.5000000000093806E-3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101" t="str">
        <f ca="1">input_589010!A$2</f>
        <v>589010</v>
      </c>
      <c r="B82" s="101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IFERROR(VLOOKUP(B82,input_589010!L:R,7,FALSE),VLOOKUP(tables_589010!C82,input_589010!A:H,8,FALSE))</f>
        <v>200000</v>
      </c>
      <c r="P82" s="46">
        <f t="shared" ca="1" si="4"/>
        <v>4.1666666666823008E-3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101" t="str">
        <f ca="1">input_589010!A$2</f>
        <v>589010</v>
      </c>
      <c r="B83" s="101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IFERROR(VLOOKUP(B83,input_589010!L:R,7,FALSE),VLOOKUP(tables_589010!C83,input_589010!A:H,8,FALSE))</f>
        <v>6732.3076899999996</v>
      </c>
      <c r="P83" s="46">
        <f t="shared" ca="1" si="4"/>
        <v>1.4025641020885959E-4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101" t="str">
        <f ca="1">input_589010!A$2</f>
        <v>589010</v>
      </c>
      <c r="B84" s="101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IFERROR(VLOOKUP(B84,input_589010!L:R,7,FALSE),VLOOKUP(tables_589010!C84,input_589010!A:H,8,FALSE))</f>
        <v>120000</v>
      </c>
      <c r="P84" s="46">
        <f t="shared" ca="1" si="4"/>
        <v>2.5000000000093806E-3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101" t="str">
        <f ca="1">input_589010!A$2</f>
        <v>589010</v>
      </c>
      <c r="B85" s="101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IFERROR(VLOOKUP(B85,input_589010!L:R,7,FALSE),VLOOKUP(tables_589010!C85,input_589010!A:H,8,FALSE))</f>
        <v>200000</v>
      </c>
      <c r="P85" s="46">
        <f t="shared" ca="1" si="4"/>
        <v>4.1666666666823008E-3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101" t="str">
        <f ca="1">input_589010!A$2</f>
        <v>589010</v>
      </c>
      <c r="B86" s="101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IFERROR(VLOOKUP(B86,input_589010!L:R,7,FALSE),VLOOKUP(tables_589010!C86,input_589010!A:H,8,FALSE))</f>
        <v>6732.3076899999996</v>
      </c>
      <c r="P86" s="46">
        <f t="shared" ca="1" si="4"/>
        <v>1.4025641020885959E-4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101" t="str">
        <f ca="1">input_589010!A$2</f>
        <v>589010</v>
      </c>
      <c r="B87" s="101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IFERROR(VLOOKUP(B87,input_589010!L:R,7,FALSE),VLOOKUP(tables_589010!C87,input_589010!A:H,8,FALSE))</f>
        <v>120000</v>
      </c>
      <c r="P87" s="46">
        <f t="shared" ca="1" si="4"/>
        <v>2.5000000000093806E-3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101" t="str">
        <f ca="1">input_589010!A$2</f>
        <v>589010</v>
      </c>
      <c r="B88" s="101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IFERROR(VLOOKUP(B88,input_589010!L:R,7,FALSE),VLOOKUP(tables_589010!C88,input_589010!A:H,8,FALSE))</f>
        <v>200000</v>
      </c>
      <c r="P88" s="46">
        <f t="shared" ca="1" si="4"/>
        <v>4.1666666666823008E-3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101" t="str">
        <f ca="1">input_589010!A$2</f>
        <v>589010</v>
      </c>
      <c r="B89" s="101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IFERROR(VLOOKUP(B89,input_589010!L:R,7,FALSE),VLOOKUP(tables_589010!C89,input_589010!A:H,8,FALSE))</f>
        <v>6732.3076899999996</v>
      </c>
      <c r="P89" s="46">
        <f t="shared" ca="1" si="4"/>
        <v>1.4025641020885959E-4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101" t="str">
        <f ca="1">input_589010!A$2</f>
        <v>589010</v>
      </c>
      <c r="B90" s="101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IFERROR(VLOOKUP(B90,input_589010!L:R,7,FALSE),VLOOKUP(tables_589010!C90,input_589010!A:H,8,FALSE))</f>
        <v>120000</v>
      </c>
      <c r="P90" s="46">
        <f t="shared" ca="1" si="4"/>
        <v>2.5000000000093806E-3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101" t="str">
        <f ca="1">input_589010!A$2</f>
        <v>589010</v>
      </c>
      <c r="B91" s="101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IFERROR(VLOOKUP(B91,input_589010!L:R,7,FALSE),VLOOKUP(tables_589010!C91,input_589010!A:H,8,FALSE))</f>
        <v>200000</v>
      </c>
      <c r="P91" s="46">
        <f t="shared" ca="1" si="4"/>
        <v>4.1666666666823008E-3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101" t="str">
        <f ca="1">input_589010!A$2</f>
        <v>589010</v>
      </c>
      <c r="B92" s="101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IFERROR(VLOOKUP(B92,input_589010!L:R,7,FALSE),VLOOKUP(tables_589010!C92,input_589010!A:H,8,FALSE))</f>
        <v>6732.3076899999996</v>
      </c>
      <c r="P92" s="46">
        <f t="shared" ca="1" si="4"/>
        <v>1.4025641020885959E-4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101" t="str">
        <f ca="1">input_589010!A$2</f>
        <v>589010</v>
      </c>
      <c r="B93" s="101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IFERROR(VLOOKUP(B93,input_589010!L:R,7,FALSE),VLOOKUP(tables_589010!C93,input_589010!A:H,8,FALSE))</f>
        <v>120000</v>
      </c>
      <c r="P93" s="46">
        <f t="shared" ca="1" si="4"/>
        <v>2.5000000000093806E-3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101" t="str">
        <f ca="1">input_589010!A$2</f>
        <v>589010</v>
      </c>
      <c r="B94" s="101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IFERROR(VLOOKUP(B94,input_589010!L:R,7,FALSE),VLOOKUP(tables_589010!C94,input_589010!A:H,8,FALSE))</f>
        <v>200000</v>
      </c>
      <c r="P94" s="46">
        <f t="shared" ca="1" si="4"/>
        <v>4.1666666666823008E-3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101" t="str">
        <f ca="1">input_589010!A$2</f>
        <v>589010</v>
      </c>
      <c r="B95" s="101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IFERROR(VLOOKUP(B95,input_589010!L:R,7,FALSE),VLOOKUP(tables_589010!C95,input_589010!A:H,8,FALSE))</f>
        <v>6732.3076899999996</v>
      </c>
      <c r="P95" s="46">
        <f t="shared" ca="1" si="4"/>
        <v>1.4025641020885959E-4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101" t="str">
        <f ca="1">input_589010!A$2</f>
        <v>589010</v>
      </c>
      <c r="B96" s="101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IFERROR(VLOOKUP(B96,input_589010!L:R,7,FALSE),VLOOKUP(tables_589010!C96,input_589010!A:H,8,FALSE))</f>
        <v>120000</v>
      </c>
      <c r="P96" s="46">
        <f t="shared" ca="1" si="4"/>
        <v>2.5000000000093806E-3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101" t="str">
        <f ca="1">input_589010!A$2</f>
        <v>589010</v>
      </c>
      <c r="B97" s="101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IFERROR(VLOOKUP(B97,input_589010!L:R,7,FALSE),VLOOKUP(tables_589010!C97,input_589010!A:H,8,FALSE))</f>
        <v>200000</v>
      </c>
      <c r="P97" s="46">
        <f t="shared" ca="1" si="4"/>
        <v>4.1666666666823008E-3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101" t="str">
        <f ca="1">input_589010!A$2</f>
        <v>589010</v>
      </c>
      <c r="B98" s="101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IFERROR(VLOOKUP(B98,input_589010!L:R,7,FALSE),VLOOKUP(tables_589010!C98,input_589010!A:H,8,FALSE))</f>
        <v>6732.3076899999996</v>
      </c>
      <c r="P98" s="46">
        <f t="shared" ca="1" si="4"/>
        <v>1.4025641020885959E-4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101" t="str">
        <f ca="1">input_589010!A$2</f>
        <v>589010</v>
      </c>
      <c r="B99" s="101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IFERROR(VLOOKUP(B99,input_589010!L:R,7,FALSE),VLOOKUP(tables_589010!C99,input_589010!A:H,8,FALSE))</f>
        <v>120000</v>
      </c>
      <c r="P99" s="46">
        <f t="shared" ca="1" si="4"/>
        <v>2.5000000000093806E-3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101" t="str">
        <f ca="1">input_589010!A$2</f>
        <v>589010</v>
      </c>
      <c r="B100" s="101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IFERROR(VLOOKUP(B100,input_589010!L:R,7,FALSE),VLOOKUP(tables_589010!C100,input_589010!A:H,8,FALSE))</f>
        <v>200000</v>
      </c>
      <c r="P100" s="46">
        <f t="shared" ca="1" si="4"/>
        <v>4.1666666666823008E-3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101" t="str">
        <f ca="1">input_589010!A$2</f>
        <v>589010</v>
      </c>
      <c r="B101" s="101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IFERROR(VLOOKUP(B101,input_589010!L:R,7,FALSE),VLOOKUP(tables_589010!C101,input_589010!A:H,8,FALSE))</f>
        <v>6732.3076899999996</v>
      </c>
      <c r="P101" s="46">
        <f t="shared" ca="1" si="4"/>
        <v>1.4025641020885959E-4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101" t="str">
        <f ca="1">input_589010!A$2</f>
        <v>589010</v>
      </c>
      <c r="B102" s="101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IFERROR(VLOOKUP(B102,input_589010!L:R,7,FALSE),VLOOKUP(tables_589010!C102,input_589010!A:H,8,FALSE))</f>
        <v>120000</v>
      </c>
      <c r="P102" s="46">
        <f t="shared" ca="1" si="4"/>
        <v>2.5000000000093806E-3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101" t="str">
        <f ca="1">input_589010!A$2</f>
        <v>589010</v>
      </c>
      <c r="B103" s="101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IFERROR(VLOOKUP(B103,input_589010!L:R,7,FALSE),VLOOKUP(tables_589010!C103,input_589010!A:H,8,FALSE))</f>
        <v>200000</v>
      </c>
      <c r="P103" s="46">
        <f t="shared" ca="1" si="4"/>
        <v>4.1666666666823008E-3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101" t="str">
        <f ca="1">input_589010!A$2</f>
        <v>589010</v>
      </c>
      <c r="B104" s="101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IFERROR(VLOOKUP(B104,input_589010!L:R,7,FALSE),VLOOKUP(tables_589010!C104,input_589010!A:H,8,FALSE))</f>
        <v>6732.3076899999996</v>
      </c>
      <c r="P104" s="46">
        <f t="shared" ca="1" si="4"/>
        <v>1.4025641020885959E-4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101" t="str">
        <f ca="1">input_589010!A$2</f>
        <v>589010</v>
      </c>
      <c r="B105" s="101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IFERROR(VLOOKUP(B105,input_589010!L:R,7,FALSE),VLOOKUP(tables_589010!C105,input_589010!A:H,8,FALSE))</f>
        <v>120000</v>
      </c>
      <c r="P105" s="46">
        <f t="shared" ca="1" si="4"/>
        <v>2.5000000000093806E-3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101" t="str">
        <f ca="1">input_589010!A$2</f>
        <v>589010</v>
      </c>
      <c r="B106" s="101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IFERROR(VLOOKUP(B106,input_589010!L:R,7,FALSE),VLOOKUP(tables_589010!C106,input_589010!A:H,8,FALSE))</f>
        <v>200000</v>
      </c>
      <c r="P106" s="46">
        <f t="shared" ca="1" si="4"/>
        <v>4.1666666666823008E-3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101" t="str">
        <f ca="1">input_589010!A$2</f>
        <v>589010</v>
      </c>
      <c r="B107" s="101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IFERROR(VLOOKUP(B107,input_589010!L:R,7,FALSE),VLOOKUP(tables_589010!C107,input_589010!A:H,8,FALSE))</f>
        <v>6732.3076899999996</v>
      </c>
      <c r="P107" s="46">
        <f t="shared" ca="1" si="4"/>
        <v>1.4025641020885959E-4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101" t="str">
        <f ca="1">input_589010!A$2</f>
        <v>589010</v>
      </c>
      <c r="B108" s="101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IFERROR(VLOOKUP(B108,input_589010!L:R,7,FALSE),VLOOKUP(tables_589010!C108,input_589010!A:H,8,FALSE))</f>
        <v>120000</v>
      </c>
      <c r="P108" s="46">
        <f t="shared" ca="1" si="4"/>
        <v>2.5000000000093806E-3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101" t="str">
        <f ca="1">input_589010!A$2</f>
        <v>589010</v>
      </c>
      <c r="B109" s="101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IFERROR(VLOOKUP(B109,input_589010!L:R,7,FALSE),VLOOKUP(tables_589010!C109,input_589010!A:H,8,FALSE))</f>
        <v>200000</v>
      </c>
      <c r="P109" s="46">
        <f t="shared" ca="1" si="4"/>
        <v>4.1666666666823008E-3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101" t="str">
        <f ca="1">input_589010!A$2</f>
        <v>589010</v>
      </c>
      <c r="B110" s="101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IFERROR(VLOOKUP(B110,input_589010!L:R,7,FALSE),VLOOKUP(tables_589010!C110,input_589010!A:H,8,FALSE))</f>
        <v>6732.3076899999996</v>
      </c>
      <c r="P110" s="46">
        <f t="shared" ca="1" si="4"/>
        <v>1.4025641020885959E-4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101" t="str">
        <f ca="1">input_589010!A$2</f>
        <v>589010</v>
      </c>
      <c r="B111" s="101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IFERROR(VLOOKUP(B111,input_589010!L:R,7,FALSE),VLOOKUP(tables_589010!C111,input_589010!A:H,8,FALSE))</f>
        <v>120000</v>
      </c>
      <c r="P111" s="46">
        <f t="shared" ca="1" si="4"/>
        <v>2.5000000000093806E-3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101" t="str">
        <f ca="1">input_589010!A$2</f>
        <v>589010</v>
      </c>
      <c r="B112" s="101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IFERROR(VLOOKUP(B112,input_589010!L:R,7,FALSE),VLOOKUP(tables_589010!C112,input_589010!A:H,8,FALSE))</f>
        <v>200000</v>
      </c>
      <c r="P112" s="46">
        <f t="shared" ca="1" si="4"/>
        <v>4.1666666666823008E-3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101" t="str">
        <f ca="1">input_589010!A$2</f>
        <v>589010</v>
      </c>
      <c r="B113" s="101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IFERROR(VLOOKUP(B113,input_589010!L:R,7,FALSE),VLOOKUP(tables_589010!C113,input_589010!A:H,8,FALSE))</f>
        <v>80000</v>
      </c>
      <c r="P113" s="46">
        <f t="shared" ca="1" si="4"/>
        <v>1.6666666666729202E-3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101" t="str">
        <f ca="1">input_589010!A$2</f>
        <v>589010</v>
      </c>
      <c r="B114" s="101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IFERROR(VLOOKUP(B114,input_589010!L:R,7,FALSE),VLOOKUP(tables_589010!C114,input_589010!A:H,8,FALSE))</f>
        <v>120000</v>
      </c>
      <c r="P114" s="46">
        <f t="shared" ca="1" si="4"/>
        <v>2.5000000000093806E-3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101" t="str">
        <f ca="1">input_589010!A$2</f>
        <v>589010</v>
      </c>
      <c r="B115" s="101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IFERROR(VLOOKUP(B115,input_589010!L:R,7,FALSE),VLOOKUP(tables_589010!C115,input_589010!A:H,8,FALSE))</f>
        <v>200000</v>
      </c>
      <c r="P115" s="46">
        <f t="shared" ca="1" si="4"/>
        <v>4.1666666666823008E-3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101" t="str">
        <f ca="1">input_589010!A$2</f>
        <v>589010</v>
      </c>
      <c r="B116" s="101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IFERROR(VLOOKUP(B116,input_589010!L:R,7,FALSE),VLOOKUP(tables_589010!C116,input_589010!A:H,8,FALSE))</f>
        <v>6732.3076899999996</v>
      </c>
      <c r="P116" s="46">
        <f t="shared" ca="1" si="4"/>
        <v>1.4025641020885959E-4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101" t="str">
        <f ca="1">input_589010!A$2</f>
        <v>589010</v>
      </c>
      <c r="B117" s="101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IFERROR(VLOOKUP(B117,input_589010!L:R,7,FALSE),VLOOKUP(tables_589010!C117,input_589010!A:H,8,FALSE))</f>
        <v>120000</v>
      </c>
      <c r="P117" s="46">
        <f t="shared" ca="1" si="4"/>
        <v>2.5000000000093806E-3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101" t="str">
        <f ca="1">input_589010!A$2</f>
        <v>589010</v>
      </c>
      <c r="B118" s="101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IFERROR(VLOOKUP(B118,input_589010!L:R,7,FALSE),VLOOKUP(tables_589010!C118,input_589010!A:H,8,FALSE))</f>
        <v>200000</v>
      </c>
      <c r="P118" s="46">
        <f t="shared" ca="1" si="4"/>
        <v>4.1666666666823008E-3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101" t="str">
        <f ca="1">input_589010!A$2</f>
        <v>589010</v>
      </c>
      <c r="B119" s="101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IFERROR(VLOOKUP(B119,input_589010!L:R,7,FALSE),VLOOKUP(tables_589010!C119,input_589010!A:H,8,FALSE))</f>
        <v>6732.3076899999996</v>
      </c>
      <c r="P119" s="46">
        <f t="shared" ca="1" si="4"/>
        <v>1.4025641020885959E-4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101" t="str">
        <f ca="1">input_589010!A$2</f>
        <v>589010</v>
      </c>
      <c r="B120" s="101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IFERROR(VLOOKUP(B120,input_589010!L:R,7,FALSE),VLOOKUP(tables_589010!C120,input_589010!A:H,8,FALSE))</f>
        <v>120000</v>
      </c>
      <c r="P120" s="46">
        <f t="shared" ca="1" si="4"/>
        <v>2.5000000000093806E-3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101" t="str">
        <f ca="1">input_589010!A$2</f>
        <v>589010</v>
      </c>
      <c r="B121" s="101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IFERROR(VLOOKUP(B121,input_589010!L:R,7,FALSE),VLOOKUP(tables_589010!C121,input_589010!A:H,8,FALSE))</f>
        <v>200000</v>
      </c>
      <c r="P121" s="46">
        <f t="shared" ca="1" si="4"/>
        <v>4.1666666666823008E-3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101" t="str">
        <f ca="1">input_589010!A$2</f>
        <v>589010</v>
      </c>
      <c r="B122" s="101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IFERROR(VLOOKUP(B122,input_589010!L:R,7,FALSE),VLOOKUP(tables_589010!C122,input_589010!A:H,8,FALSE))</f>
        <v>6732.3076899999996</v>
      </c>
      <c r="P122" s="46">
        <f t="shared" ca="1" si="4"/>
        <v>1.4025641020885959E-4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101" t="str">
        <f ca="1">input_589010!A$2</f>
        <v>589010</v>
      </c>
      <c r="B123" s="101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IFERROR(VLOOKUP(B123,input_589010!L:R,7,FALSE),VLOOKUP(tables_589010!C123,input_589010!A:H,8,FALSE))</f>
        <v>120000</v>
      </c>
      <c r="P123" s="46">
        <f t="shared" ca="1" si="4"/>
        <v>2.5000000000093806E-3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101" t="str">
        <f ca="1">input_589010!A$2</f>
        <v>589010</v>
      </c>
      <c r="B124" s="101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IFERROR(VLOOKUP(B124,input_589010!L:R,7,FALSE),VLOOKUP(tables_589010!C124,input_589010!A:H,8,FALSE))</f>
        <v>200000</v>
      </c>
      <c r="P124" s="46">
        <f t="shared" ca="1" si="4"/>
        <v>4.1666666666823008E-3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101" t="str">
        <f ca="1">input_589010!A$2</f>
        <v>589010</v>
      </c>
      <c r="B125" s="103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IFERROR(VLOOKUP(B125,input_589010!L:R,7,FALSE),VLOOKUP(tables_589010!C125,input_589010!A:H,8,FALSE))</f>
        <v>6732.3076899999996</v>
      </c>
      <c r="P125" s="46">
        <f t="shared" ca="1" si="4"/>
        <v>1.4025641020885959E-4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101" t="str">
        <f ca="1">input_589010!A$2</f>
        <v>589010</v>
      </c>
      <c r="B126" s="103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IFERROR(VLOOKUP(B126,input_589010!L:R,7,FALSE),VLOOKUP(tables_589010!C126,input_589010!A:H,8,FALSE))</f>
        <v>120000</v>
      </c>
      <c r="P126" s="46">
        <f t="shared" ca="1" si="4"/>
        <v>2.5000000000093806E-3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101" t="str">
        <f ca="1">input_589010!A$2</f>
        <v>589010</v>
      </c>
      <c r="B127" s="103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IFERROR(VLOOKUP(B127,input_589010!L:R,7,FALSE),VLOOKUP(tables_589010!C127,input_589010!A:H,8,FALSE))</f>
        <v>200000</v>
      </c>
      <c r="P127" s="46">
        <f t="shared" ca="1" si="4"/>
        <v>4.1666666666823008E-3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101" t="str">
        <f ca="1">input_589010!A$2</f>
        <v>589010</v>
      </c>
      <c r="B128" s="103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IFERROR(VLOOKUP(B128,input_589010!L:R,7,FALSE),VLOOKUP(tables_589010!C128,input_589010!A:H,8,FALSE))</f>
        <v>6732.3076899999996</v>
      </c>
      <c r="P128" s="46">
        <f t="shared" ca="1" si="4"/>
        <v>1.4025641020885959E-4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101" t="str">
        <f ca="1">input_589010!A$2</f>
        <v>589010</v>
      </c>
      <c r="B129" s="103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IFERROR(VLOOKUP(B129,input_589010!L:R,7,FALSE),VLOOKUP(tables_589010!C129,input_589010!A:H,8,FALSE))</f>
        <v>120000</v>
      </c>
      <c r="P129" s="46">
        <f t="shared" ca="1" si="4"/>
        <v>2.5000000000093806E-3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101" t="str">
        <f ca="1">input_589010!A$2</f>
        <v>589010</v>
      </c>
      <c r="B130" s="103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IFERROR(VLOOKUP(B130,input_589010!L:R,7,FALSE),VLOOKUP(tables_589010!C130,input_589010!A:H,8,FALSE))</f>
        <v>200000</v>
      </c>
      <c r="P130" s="46">
        <f t="shared" ref="P130:P193" ca="1" si="7">O130/SUM(O:O)</f>
        <v>4.1666666666823008E-3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101" t="str">
        <f ca="1">input_589010!A$2</f>
        <v>589010</v>
      </c>
      <c r="B131" s="103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IFERROR(VLOOKUP(B131,input_589010!L:R,7,FALSE),VLOOKUP(tables_589010!C131,input_589010!A:H,8,FALSE))</f>
        <v>6732.3076899999996</v>
      </c>
      <c r="P131" s="46">
        <f t="shared" ca="1" si="7"/>
        <v>1.4025641020885959E-4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101" t="str">
        <f ca="1">input_589010!A$2</f>
        <v>589010</v>
      </c>
      <c r="B132" s="103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IFERROR(VLOOKUP(B132,input_589010!L:R,7,FALSE),VLOOKUP(tables_589010!C132,input_589010!A:H,8,FALSE))</f>
        <v>120000</v>
      </c>
      <c r="P132" s="46">
        <f t="shared" ca="1" si="7"/>
        <v>2.5000000000093806E-3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101" t="str">
        <f ca="1">input_589010!A$2</f>
        <v>589010</v>
      </c>
      <c r="B133" s="103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IFERROR(VLOOKUP(B133,input_589010!L:R,7,FALSE),VLOOKUP(tables_589010!C133,input_589010!A:H,8,FALSE))</f>
        <v>200000</v>
      </c>
      <c r="P133" s="46">
        <f t="shared" ca="1" si="7"/>
        <v>4.1666666666823008E-3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101" t="str">
        <f ca="1">input_589010!A$2</f>
        <v>589010</v>
      </c>
      <c r="B134" s="103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IFERROR(VLOOKUP(B134,input_589010!L:R,7,FALSE),VLOOKUP(tables_589010!C134,input_589010!A:H,8,FALSE))</f>
        <v>6732.3076899999996</v>
      </c>
      <c r="P134" s="46">
        <f t="shared" ca="1" si="7"/>
        <v>1.4025641020885959E-4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101" t="str">
        <f ca="1">input_589010!A$2</f>
        <v>589010</v>
      </c>
      <c r="B135" s="103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IFERROR(VLOOKUP(B135,input_589010!L:R,7,FALSE),VLOOKUP(tables_589010!C135,input_589010!A:H,8,FALSE))</f>
        <v>120000</v>
      </c>
      <c r="P135" s="46">
        <f t="shared" ca="1" si="7"/>
        <v>2.5000000000093806E-3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101" t="str">
        <f ca="1">input_589010!A$2</f>
        <v>589010</v>
      </c>
      <c r="B136" s="104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IFERROR(VLOOKUP(B136,input_589010!L:R,7,FALSE),VLOOKUP(tables_589010!C136,input_589010!A:H,8,FALSE))</f>
        <v>200000</v>
      </c>
      <c r="P136" s="46">
        <f t="shared" ca="1" si="7"/>
        <v>4.1666666666823008E-3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101" t="str">
        <f ca="1">input_589010!A$2</f>
        <v>589010</v>
      </c>
      <c r="B137" s="104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IFERROR(VLOOKUP(B137,input_589010!L:R,7,FALSE),VLOOKUP(tables_589010!C137,input_589010!A:H,8,FALSE))</f>
        <v>6732.3076899999996</v>
      </c>
      <c r="P137" s="46">
        <f t="shared" ca="1" si="7"/>
        <v>1.4025641020885959E-4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101" t="str">
        <f ca="1">input_589010!A$2</f>
        <v>589010</v>
      </c>
      <c r="B138" s="103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IFERROR(VLOOKUP(B138,input_589010!L:R,7,FALSE),VLOOKUP(tables_589010!C138,input_589010!A:H,8,FALSE))</f>
        <v>15360</v>
      </c>
      <c r="P138" s="46">
        <f t="shared" ca="1" si="7"/>
        <v>3.2000000000120067E-4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101" t="str">
        <f ca="1">input_589010!A$2</f>
        <v>589010</v>
      </c>
      <c r="B139" s="103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IFERROR(VLOOKUP(B139,input_589010!L:R,7,FALSE),VLOOKUP(tables_589010!C139,input_589010!A:H,8,FALSE))</f>
        <v>3840</v>
      </c>
      <c r="P139" s="46">
        <f t="shared" ca="1" si="7"/>
        <v>8.0000000000300168E-5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101" t="str">
        <f ca="1">input_589010!A$2</f>
        <v>589010</v>
      </c>
      <c r="B140" s="103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IFERROR(VLOOKUP(B140,input_589010!L:R,7,FALSE),VLOOKUP(tables_589010!C140,input_589010!A:H,8,FALSE))</f>
        <v>15360</v>
      </c>
      <c r="P140" s="46">
        <f t="shared" ca="1" si="7"/>
        <v>3.2000000000120067E-4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101" t="str">
        <f ca="1">input_589010!A$2</f>
        <v>589010</v>
      </c>
      <c r="B141" s="103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IFERROR(VLOOKUP(B141,input_589010!L:R,7,FALSE),VLOOKUP(tables_589010!C141,input_589010!A:H,8,FALSE))</f>
        <v>3840</v>
      </c>
      <c r="P141" s="46">
        <f t="shared" ca="1" si="7"/>
        <v>8.0000000000300168E-5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101" t="str">
        <f ca="1">input_589010!A$2</f>
        <v>589010</v>
      </c>
      <c r="B142" s="103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IFERROR(VLOOKUP(B142,input_589010!L:R,7,FALSE),VLOOKUP(tables_589010!C142,input_589010!A:H,8,FALSE))</f>
        <v>15360</v>
      </c>
      <c r="P142" s="46">
        <f t="shared" ca="1" si="7"/>
        <v>3.2000000000120067E-4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101" t="str">
        <f ca="1">input_589010!A$2</f>
        <v>589010</v>
      </c>
      <c r="B143" s="103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IFERROR(VLOOKUP(B143,input_589010!L:R,7,FALSE),VLOOKUP(tables_589010!C143,input_589010!A:H,8,FALSE))</f>
        <v>3840</v>
      </c>
      <c r="P143" s="46">
        <f t="shared" ca="1" si="7"/>
        <v>8.0000000000300168E-5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101" t="str">
        <f ca="1">input_589010!A$2</f>
        <v>589010</v>
      </c>
      <c r="B144" s="103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IFERROR(VLOOKUP(B144,input_589010!L:R,7,FALSE),VLOOKUP(tables_589010!C144,input_589010!A:H,8,FALSE))</f>
        <v>15360</v>
      </c>
      <c r="P144" s="46">
        <f t="shared" ca="1" si="7"/>
        <v>3.2000000000120067E-4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101" t="str">
        <f ca="1">input_589010!A$2</f>
        <v>589010</v>
      </c>
      <c r="B145" s="103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IFERROR(VLOOKUP(B145,input_589010!L:R,7,FALSE),VLOOKUP(tables_589010!C145,input_589010!A:H,8,FALSE))</f>
        <v>3840</v>
      </c>
      <c r="P145" s="46">
        <f t="shared" ca="1" si="7"/>
        <v>8.0000000000300168E-5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101" t="str">
        <f ca="1">input_589010!A$2</f>
        <v>589010</v>
      </c>
      <c r="B146" s="103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IFERROR(VLOOKUP(B146,input_589010!L:R,7,FALSE),VLOOKUP(tables_589010!C146,input_589010!A:H,8,FALSE))</f>
        <v>120000</v>
      </c>
      <c r="P146" s="46">
        <f t="shared" ca="1" si="7"/>
        <v>2.5000000000093806E-3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101" t="str">
        <f ca="1">input_589010!A$2</f>
        <v>589010</v>
      </c>
      <c r="B147" s="103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IFERROR(VLOOKUP(B147,input_589010!L:R,7,FALSE),VLOOKUP(tables_589010!C147,input_589010!A:H,8,FALSE))</f>
        <v>200000</v>
      </c>
      <c r="P147" s="46">
        <f t="shared" ca="1" si="7"/>
        <v>4.1666666666823008E-3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101" t="str">
        <f ca="1">input_589010!A$2</f>
        <v>589010</v>
      </c>
      <c r="B148" s="103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IFERROR(VLOOKUP(B148,input_589010!L:R,7,FALSE),VLOOKUP(tables_589010!C148,input_589010!A:H,8,FALSE))</f>
        <v>6732.3076899999996</v>
      </c>
      <c r="P148" s="46">
        <f t="shared" ca="1" si="7"/>
        <v>1.4025641020885959E-4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101" t="str">
        <f ca="1">input_589010!A$2</f>
        <v>589010</v>
      </c>
      <c r="B149" s="103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IFERROR(VLOOKUP(B149,input_589010!L:R,7,FALSE),VLOOKUP(tables_589010!C149,input_589010!A:H,8,FALSE))</f>
        <v>15360</v>
      </c>
      <c r="P149" s="46">
        <f t="shared" ca="1" si="7"/>
        <v>3.2000000000120067E-4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101" t="str">
        <f ca="1">input_589010!A$2</f>
        <v>589010</v>
      </c>
      <c r="B150" s="103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IFERROR(VLOOKUP(B150,input_589010!L:R,7,FALSE),VLOOKUP(tables_589010!C150,input_589010!A:H,8,FALSE))</f>
        <v>3840</v>
      </c>
      <c r="P150" s="46">
        <f t="shared" ca="1" si="7"/>
        <v>8.0000000000300168E-5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101" t="str">
        <f ca="1">input_589010!A$2</f>
        <v>589010</v>
      </c>
      <c r="B151" s="103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IFERROR(VLOOKUP(B151,input_589010!L:R,7,FALSE),VLOOKUP(tables_589010!C151,input_589010!A:H,8,FALSE))</f>
        <v>15360</v>
      </c>
      <c r="P151" s="46">
        <f t="shared" ca="1" si="7"/>
        <v>3.2000000000120067E-4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101" t="str">
        <f ca="1">input_589010!A$2</f>
        <v>589010</v>
      </c>
      <c r="B152" s="103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IFERROR(VLOOKUP(B152,input_589010!L:R,7,FALSE),VLOOKUP(tables_589010!C152,input_589010!A:H,8,FALSE))</f>
        <v>3840</v>
      </c>
      <c r="P152" s="46">
        <f t="shared" ca="1" si="7"/>
        <v>8.0000000000300168E-5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101" t="str">
        <f ca="1">input_589010!A$2</f>
        <v>589010</v>
      </c>
      <c r="B153" s="103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IFERROR(VLOOKUP(B153,input_589010!L:R,7,FALSE),VLOOKUP(tables_589010!C153,input_589010!A:H,8,FALSE))</f>
        <v>120000</v>
      </c>
      <c r="P153" s="46">
        <f t="shared" ca="1" si="7"/>
        <v>2.5000000000093806E-3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101" t="str">
        <f ca="1">input_589010!A$2</f>
        <v>589010</v>
      </c>
      <c r="B154" s="103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IFERROR(VLOOKUP(B154,input_589010!L:R,7,FALSE),VLOOKUP(tables_589010!C154,input_589010!A:H,8,FALSE))</f>
        <v>200000</v>
      </c>
      <c r="P154" s="46">
        <f t="shared" ca="1" si="7"/>
        <v>4.1666666666823008E-3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101" t="str">
        <f ca="1">input_589010!A$2</f>
        <v>589010</v>
      </c>
      <c r="B155" s="103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IFERROR(VLOOKUP(B155,input_589010!L:R,7,FALSE),VLOOKUP(tables_589010!C155,input_589010!A:H,8,FALSE))</f>
        <v>6732.3076899999996</v>
      </c>
      <c r="P155" s="46">
        <f t="shared" ca="1" si="7"/>
        <v>1.4025641020885959E-4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101" t="str">
        <f ca="1">input_589010!A$2</f>
        <v>589010</v>
      </c>
      <c r="B156" s="103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IFERROR(VLOOKUP(B156,input_589010!L:R,7,FALSE),VLOOKUP(tables_589010!C156,input_589010!A:H,8,FALSE))</f>
        <v>15360</v>
      </c>
      <c r="P156" s="46">
        <f t="shared" ca="1" si="7"/>
        <v>3.2000000000120067E-4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101" t="str">
        <f ca="1">input_589010!A$2</f>
        <v>589010</v>
      </c>
      <c r="B157" s="103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IFERROR(VLOOKUP(B157,input_589010!L:R,7,FALSE),VLOOKUP(tables_589010!C157,input_589010!A:H,8,FALSE))</f>
        <v>3840</v>
      </c>
      <c r="P157" s="46">
        <f t="shared" ca="1" si="7"/>
        <v>8.0000000000300168E-5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101" t="str">
        <f ca="1">input_589010!A$2</f>
        <v>589010</v>
      </c>
      <c r="B158" s="103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IFERROR(VLOOKUP(B158,input_589010!L:R,7,FALSE),VLOOKUP(tables_589010!C158,input_589010!A:H,8,FALSE))</f>
        <v>120000</v>
      </c>
      <c r="P158" s="46">
        <f t="shared" ca="1" si="7"/>
        <v>2.5000000000093806E-3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101" t="str">
        <f ca="1">input_589010!A$2</f>
        <v>589010</v>
      </c>
      <c r="B159" s="103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IFERROR(VLOOKUP(B159,input_589010!L:R,7,FALSE),VLOOKUP(tables_589010!C159,input_589010!A:H,8,FALSE))</f>
        <v>200000</v>
      </c>
      <c r="P159" s="46">
        <f t="shared" ca="1" si="7"/>
        <v>4.1666666666823008E-3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101" t="str">
        <f ca="1">input_589010!A$2</f>
        <v>589010</v>
      </c>
      <c r="B160" s="103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IFERROR(VLOOKUP(B160,input_589010!L:R,7,FALSE),VLOOKUP(tables_589010!C160,input_589010!A:H,8,FALSE))</f>
        <v>6732.3076899999996</v>
      </c>
      <c r="P160" s="46">
        <f t="shared" ca="1" si="7"/>
        <v>1.4025641020885959E-4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101" t="str">
        <f ca="1">input_589010!A$2</f>
        <v>589010</v>
      </c>
      <c r="B161" s="103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IFERROR(VLOOKUP(B161,input_589010!L:R,7,FALSE),VLOOKUP(tables_589010!C161,input_589010!A:H,8,FALSE))</f>
        <v>120000</v>
      </c>
      <c r="P161" s="46">
        <f t="shared" ca="1" si="7"/>
        <v>2.5000000000093806E-3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101" t="str">
        <f ca="1">input_589010!A$2</f>
        <v>589010</v>
      </c>
      <c r="B162" s="103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IFERROR(VLOOKUP(B162,input_589010!L:R,7,FALSE),VLOOKUP(tables_589010!C162,input_589010!A:H,8,FALSE))</f>
        <v>200000</v>
      </c>
      <c r="P162" s="46">
        <f t="shared" ca="1" si="7"/>
        <v>4.1666666666823008E-3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101" t="str">
        <f ca="1">input_589010!A$2</f>
        <v>589010</v>
      </c>
      <c r="B163" s="103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IFERROR(VLOOKUP(B163,input_589010!L:R,7,FALSE),VLOOKUP(tables_589010!C163,input_589010!A:H,8,FALSE))</f>
        <v>6732.3076899999996</v>
      </c>
      <c r="P163" s="46">
        <f t="shared" ca="1" si="7"/>
        <v>1.4025641020885959E-4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101" t="str">
        <f ca="1">input_589010!A$2</f>
        <v>589010</v>
      </c>
      <c r="B164" s="103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IFERROR(VLOOKUP(B164,input_589010!L:R,7,FALSE),VLOOKUP(tables_589010!C164,input_589010!A:H,8,FALSE))</f>
        <v>15360</v>
      </c>
      <c r="P164" s="46">
        <f t="shared" ca="1" si="7"/>
        <v>3.2000000000120067E-4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101" t="str">
        <f ca="1">input_589010!A$2</f>
        <v>589010</v>
      </c>
      <c r="B165" s="103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IFERROR(VLOOKUP(B165,input_589010!L:R,7,FALSE),VLOOKUP(tables_589010!C165,input_589010!A:H,8,FALSE))</f>
        <v>3840</v>
      </c>
      <c r="P165" s="46">
        <f t="shared" ca="1" si="7"/>
        <v>8.0000000000300168E-5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101" t="str">
        <f ca="1">input_589010!A$2</f>
        <v>589010</v>
      </c>
      <c r="B166" s="103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IFERROR(VLOOKUP(B166,input_589010!L:R,7,FALSE),VLOOKUP(tables_589010!C166,input_589010!A:H,8,FALSE))</f>
        <v>120000</v>
      </c>
      <c r="P166" s="46">
        <f t="shared" ca="1" si="7"/>
        <v>2.5000000000093806E-3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101" t="str">
        <f ca="1">input_589010!A$2</f>
        <v>589010</v>
      </c>
      <c r="B167" s="103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IFERROR(VLOOKUP(B167,input_589010!L:R,7,FALSE),VLOOKUP(tables_589010!C167,input_589010!A:H,8,FALSE))</f>
        <v>200000</v>
      </c>
      <c r="P167" s="46">
        <f t="shared" ca="1" si="7"/>
        <v>4.1666666666823008E-3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101" t="str">
        <f ca="1">input_589010!A$2</f>
        <v>589010</v>
      </c>
      <c r="B168" s="103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IFERROR(VLOOKUP(B168,input_589010!L:R,7,FALSE),VLOOKUP(tables_589010!C168,input_589010!A:H,8,FALSE))</f>
        <v>6732.3076899999996</v>
      </c>
      <c r="P168" s="46">
        <f t="shared" ca="1" si="7"/>
        <v>1.4025641020885959E-4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101" t="str">
        <f ca="1">input_589010!A$2</f>
        <v>589010</v>
      </c>
      <c r="B169" s="103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IFERROR(VLOOKUP(B169,input_589010!L:R,7,FALSE),VLOOKUP(tables_589010!C169,input_589010!A:H,8,FALSE))</f>
        <v>15360</v>
      </c>
      <c r="P169" s="46">
        <f t="shared" ca="1" si="7"/>
        <v>3.2000000000120067E-4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101" t="str">
        <f ca="1">input_589010!A$2</f>
        <v>589010</v>
      </c>
      <c r="B170" s="103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IFERROR(VLOOKUP(B170,input_589010!L:R,7,FALSE),VLOOKUP(tables_589010!C170,input_589010!A:H,8,FALSE))</f>
        <v>3840</v>
      </c>
      <c r="P170" s="46">
        <f t="shared" ca="1" si="7"/>
        <v>8.0000000000300168E-5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101" t="str">
        <f ca="1">input_589010!A$2</f>
        <v>589010</v>
      </c>
      <c r="B171" s="103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IFERROR(VLOOKUP(B171,input_589010!L:R,7,FALSE),VLOOKUP(tables_589010!C171,input_589010!A:H,8,FALSE))</f>
        <v>120000</v>
      </c>
      <c r="P171" s="46">
        <f t="shared" ca="1" si="7"/>
        <v>2.5000000000093806E-3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101" t="str">
        <f ca="1">input_589010!A$2</f>
        <v>589010</v>
      </c>
      <c r="B172" s="103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IFERROR(VLOOKUP(B172,input_589010!L:R,7,FALSE),VLOOKUP(tables_589010!C172,input_589010!A:H,8,FALSE))</f>
        <v>200000</v>
      </c>
      <c r="P172" s="46">
        <f t="shared" ca="1" si="7"/>
        <v>4.1666666666823008E-3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101" t="str">
        <f ca="1">input_589010!A$2</f>
        <v>589010</v>
      </c>
      <c r="B173" s="103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IFERROR(VLOOKUP(B173,input_589010!L:R,7,FALSE),VLOOKUP(tables_589010!C173,input_589010!A:H,8,FALSE))</f>
        <v>6732.3076899999996</v>
      </c>
      <c r="P173" s="46">
        <f t="shared" ca="1" si="7"/>
        <v>1.4025641020885959E-4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101" t="str">
        <f ca="1">input_589010!A$2</f>
        <v>589010</v>
      </c>
      <c r="B174" s="103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IFERROR(VLOOKUP(B174,input_589010!L:R,7,FALSE),VLOOKUP(tables_589010!C174,input_589010!A:H,8,FALSE))</f>
        <v>15360</v>
      </c>
      <c r="P174" s="46">
        <f t="shared" ca="1" si="7"/>
        <v>3.2000000000120067E-4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101" t="str">
        <f ca="1">input_589010!A$2</f>
        <v>589010</v>
      </c>
      <c r="B175" s="103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IFERROR(VLOOKUP(B175,input_589010!L:R,7,FALSE),VLOOKUP(tables_589010!C175,input_589010!A:H,8,FALSE))</f>
        <v>3840</v>
      </c>
      <c r="P175" s="46">
        <f t="shared" ca="1" si="7"/>
        <v>8.0000000000300168E-5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101" t="str">
        <f ca="1">input_589010!A$2</f>
        <v>589010</v>
      </c>
      <c r="B176" s="103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IFERROR(VLOOKUP(B176,input_589010!L:R,7,FALSE),VLOOKUP(tables_589010!C176,input_589010!A:H,8,FALSE))</f>
        <v>15360</v>
      </c>
      <c r="P176" s="46">
        <f t="shared" ca="1" si="7"/>
        <v>3.2000000000120067E-4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101" t="str">
        <f ca="1">input_589010!A$2</f>
        <v>589010</v>
      </c>
      <c r="B177" s="103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IFERROR(VLOOKUP(B177,input_589010!L:R,7,FALSE),VLOOKUP(tables_589010!C177,input_589010!A:H,8,FALSE))</f>
        <v>3840</v>
      </c>
      <c r="P177" s="46">
        <f t="shared" ca="1" si="7"/>
        <v>8.0000000000300168E-5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101" t="str">
        <f ca="1">input_589010!A$2</f>
        <v>589010</v>
      </c>
      <c r="B178" s="103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IFERROR(VLOOKUP(B178,input_589010!L:R,7,FALSE),VLOOKUP(tables_589010!C178,input_589010!A:H,8,FALSE))</f>
        <v>120000</v>
      </c>
      <c r="P178" s="46">
        <f t="shared" ca="1" si="7"/>
        <v>2.5000000000093806E-3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101" t="str">
        <f ca="1">input_589010!A$2</f>
        <v>589010</v>
      </c>
      <c r="B179" s="103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IFERROR(VLOOKUP(B179,input_589010!L:R,7,FALSE),VLOOKUP(tables_589010!C179,input_589010!A:H,8,FALSE))</f>
        <v>200000</v>
      </c>
      <c r="P179" s="46">
        <f t="shared" ca="1" si="7"/>
        <v>4.1666666666823008E-3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101" t="str">
        <f ca="1">input_589010!A$2</f>
        <v>589010</v>
      </c>
      <c r="B180" s="103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IFERROR(VLOOKUP(B180,input_589010!L:R,7,FALSE),VLOOKUP(tables_589010!C180,input_589010!A:H,8,FALSE))</f>
        <v>6732.3076899999996</v>
      </c>
      <c r="P180" s="46">
        <f t="shared" ca="1" si="7"/>
        <v>1.4025641020885959E-4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101" t="str">
        <f ca="1">input_589010!A$2</f>
        <v>589010</v>
      </c>
      <c r="B181" s="103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IFERROR(VLOOKUP(B181,input_589010!L:R,7,FALSE),VLOOKUP(tables_589010!C181,input_589010!A:H,8,FALSE))</f>
        <v>120000</v>
      </c>
      <c r="P181" s="46">
        <f t="shared" ca="1" si="7"/>
        <v>2.5000000000093806E-3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101" t="str">
        <f ca="1">input_589010!A$2</f>
        <v>589010</v>
      </c>
      <c r="B182" s="103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IFERROR(VLOOKUP(B182,input_589010!L:R,7,FALSE),VLOOKUP(tables_589010!C182,input_589010!A:H,8,FALSE))</f>
        <v>200000</v>
      </c>
      <c r="P182" s="46">
        <f t="shared" ca="1" si="7"/>
        <v>4.1666666666823008E-3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101" t="str">
        <f ca="1">input_589010!A$2</f>
        <v>589010</v>
      </c>
      <c r="B183" s="103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IFERROR(VLOOKUP(B183,input_589010!L:R,7,FALSE),VLOOKUP(tables_589010!C183,input_589010!A:H,8,FALSE))</f>
        <v>6732.3076899999996</v>
      </c>
      <c r="P183" s="46">
        <f t="shared" ca="1" si="7"/>
        <v>1.4025641020885959E-4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101" t="str">
        <f ca="1">input_589010!A$2</f>
        <v>589010</v>
      </c>
      <c r="B184" s="103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IFERROR(VLOOKUP(B184,input_589010!L:R,7,FALSE),VLOOKUP(tables_589010!C184,input_589010!A:H,8,FALSE))</f>
        <v>15360</v>
      </c>
      <c r="P184" s="46">
        <f t="shared" ca="1" si="7"/>
        <v>3.2000000000120067E-4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101" t="str">
        <f ca="1">input_589010!A$2</f>
        <v>589010</v>
      </c>
      <c r="B185" s="103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IFERROR(VLOOKUP(B185,input_589010!L:R,7,FALSE),VLOOKUP(tables_589010!C185,input_589010!A:H,8,FALSE))</f>
        <v>3840</v>
      </c>
      <c r="P185" s="46">
        <f t="shared" ca="1" si="7"/>
        <v>8.0000000000300168E-5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101" t="str">
        <f ca="1">input_589010!A$2</f>
        <v>589010</v>
      </c>
      <c r="B186" s="104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IFERROR(VLOOKUP(B186,input_589010!L:R,7,FALSE),VLOOKUP(tables_589010!C186,input_589010!A:H,8,FALSE))</f>
        <v>120000</v>
      </c>
      <c r="P186" s="46">
        <f t="shared" ca="1" si="7"/>
        <v>2.5000000000093806E-3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101" t="str">
        <f ca="1">input_589010!A$2</f>
        <v>589010</v>
      </c>
      <c r="B187" s="104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IFERROR(VLOOKUP(B187,input_589010!L:R,7,FALSE),VLOOKUP(tables_589010!C187,input_589010!A:H,8,FALSE))</f>
        <v>200000</v>
      </c>
      <c r="P187" s="46">
        <f t="shared" ca="1" si="7"/>
        <v>4.1666666666823008E-3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101" t="str">
        <f ca="1">input_589010!A$2</f>
        <v>589010</v>
      </c>
      <c r="B188" s="104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IFERROR(VLOOKUP(B188,input_589010!L:R,7,FALSE),VLOOKUP(tables_589010!C188,input_589010!A:H,8,FALSE))</f>
        <v>6732.3076899999996</v>
      </c>
      <c r="P188" s="46">
        <f t="shared" ca="1" si="7"/>
        <v>1.4025641020885959E-4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101" t="str">
        <f ca="1">input_589010!A$2</f>
        <v>589010</v>
      </c>
      <c r="B189" s="104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IFERROR(VLOOKUP(B189,input_589010!L:R,7,FALSE),VLOOKUP(tables_589010!C189,input_589010!A:H,8,FALSE))</f>
        <v>15360</v>
      </c>
      <c r="P189" s="46">
        <f t="shared" ca="1" si="7"/>
        <v>3.2000000000120067E-4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101" t="str">
        <f ca="1">input_589010!A$2</f>
        <v>589010</v>
      </c>
      <c r="B190" s="103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IFERROR(VLOOKUP(B190,input_589010!L:R,7,FALSE),VLOOKUP(tables_589010!C190,input_589010!A:H,8,FALSE))</f>
        <v>3840</v>
      </c>
      <c r="P190" s="46">
        <f t="shared" ca="1" si="7"/>
        <v>8.0000000000300168E-5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101" t="str">
        <f ca="1">input_589010!A$2</f>
        <v>589010</v>
      </c>
      <c r="B191" s="103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IFERROR(VLOOKUP(B191,input_589010!L:R,7,FALSE),VLOOKUP(tables_589010!C191,input_589010!A:H,8,FALSE))</f>
        <v>15360</v>
      </c>
      <c r="P191" s="46">
        <f t="shared" ca="1" si="7"/>
        <v>3.2000000000120067E-4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101" t="str">
        <f ca="1">input_589010!A$2</f>
        <v>589010</v>
      </c>
      <c r="B192" s="103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IFERROR(VLOOKUP(B192,input_589010!L:R,7,FALSE),VLOOKUP(tables_589010!C192,input_589010!A:H,8,FALSE))</f>
        <v>3840</v>
      </c>
      <c r="P192" s="46">
        <f t="shared" ca="1" si="7"/>
        <v>8.0000000000300168E-5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101" t="str">
        <f ca="1">input_589010!A$2</f>
        <v>589010</v>
      </c>
      <c r="B193" s="103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IFERROR(VLOOKUP(B193,input_589010!L:R,7,FALSE),VLOOKUP(tables_589010!C193,input_589010!A:H,8,FALSE))</f>
        <v>120000</v>
      </c>
      <c r="P193" s="46">
        <f t="shared" ca="1" si="7"/>
        <v>2.5000000000093806E-3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101" t="str">
        <f ca="1">input_589010!A$2</f>
        <v>589010</v>
      </c>
      <c r="B194" s="103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IFERROR(VLOOKUP(B194,input_589010!L:R,7,FALSE),VLOOKUP(tables_589010!C194,input_589010!A:H,8,FALSE))</f>
        <v>200000</v>
      </c>
      <c r="P194" s="46">
        <f t="shared" ref="P194:P257" ca="1" si="10">O194/SUM(O:O)</f>
        <v>4.1666666666823008E-3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101" t="str">
        <f ca="1">input_589010!A$2</f>
        <v>589010</v>
      </c>
      <c r="B195" s="103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IFERROR(VLOOKUP(B195,input_589010!L:R,7,FALSE),VLOOKUP(tables_589010!C195,input_589010!A:H,8,FALSE))</f>
        <v>6732.3076899999996</v>
      </c>
      <c r="P195" s="46">
        <f t="shared" ca="1" si="10"/>
        <v>1.4025641020885959E-4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101" t="str">
        <f ca="1">input_589010!A$2</f>
        <v>589010</v>
      </c>
      <c r="B196" s="103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IFERROR(VLOOKUP(B196,input_589010!L:R,7,FALSE),VLOOKUP(tables_589010!C196,input_589010!A:H,8,FALSE))</f>
        <v>15360</v>
      </c>
      <c r="P196" s="46">
        <f t="shared" ca="1" si="10"/>
        <v>3.2000000000120067E-4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101" t="str">
        <f ca="1">input_589010!A$2</f>
        <v>589010</v>
      </c>
      <c r="B197" s="103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IFERROR(VLOOKUP(B197,input_589010!L:R,7,FALSE),VLOOKUP(tables_589010!C197,input_589010!A:H,8,FALSE))</f>
        <v>3840</v>
      </c>
      <c r="P197" s="46">
        <f t="shared" ca="1" si="10"/>
        <v>8.0000000000300168E-5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101" t="str">
        <f ca="1">input_589010!A$2</f>
        <v>589010</v>
      </c>
      <c r="B198" s="103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IFERROR(VLOOKUP(B198,input_589010!L:R,7,FALSE),VLOOKUP(tables_589010!C198,input_589010!A:H,8,FALSE))</f>
        <v>120000</v>
      </c>
      <c r="P198" s="46">
        <f t="shared" ca="1" si="10"/>
        <v>2.5000000000093806E-3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101" t="str">
        <f ca="1">input_589010!A$2</f>
        <v>589010</v>
      </c>
      <c r="B199" s="103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IFERROR(VLOOKUP(B199,input_589010!L:R,7,FALSE),VLOOKUP(tables_589010!C199,input_589010!A:H,8,FALSE))</f>
        <v>200000</v>
      </c>
      <c r="P199" s="46">
        <f t="shared" ca="1" si="10"/>
        <v>4.1666666666823008E-3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101" t="str">
        <f ca="1">input_589010!A$2</f>
        <v>589010</v>
      </c>
      <c r="B200" s="103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IFERROR(VLOOKUP(B200,input_589010!L:R,7,FALSE),VLOOKUP(tables_589010!C200,input_589010!A:H,8,FALSE))</f>
        <v>6732.3076899999996</v>
      </c>
      <c r="P200" s="46">
        <f t="shared" ca="1" si="10"/>
        <v>1.4025641020885959E-4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101" t="str">
        <f ca="1">input_589010!A$2</f>
        <v>589010</v>
      </c>
      <c r="B201" s="103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IFERROR(VLOOKUP(B201,input_589010!L:R,7,FALSE),VLOOKUP(tables_589010!C201,input_589010!A:H,8,FALSE))</f>
        <v>15360</v>
      </c>
      <c r="P201" s="46">
        <f t="shared" ca="1" si="10"/>
        <v>3.2000000000120067E-4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101" t="str">
        <f ca="1">input_589010!A$2</f>
        <v>589010</v>
      </c>
      <c r="B202" s="103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IFERROR(VLOOKUP(B202,input_589010!L:R,7,FALSE),VLOOKUP(tables_589010!C202,input_589010!A:H,8,FALSE))</f>
        <v>3840</v>
      </c>
      <c r="P202" s="46">
        <f t="shared" ca="1" si="10"/>
        <v>8.0000000000300168E-5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101" t="str">
        <f ca="1">input_589010!A$2</f>
        <v>589010</v>
      </c>
      <c r="B203" s="103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IFERROR(VLOOKUP(B203,input_589010!L:R,7,FALSE),VLOOKUP(tables_589010!C203,input_589010!A:H,8,FALSE))</f>
        <v>120000</v>
      </c>
      <c r="P203" s="46">
        <f t="shared" ca="1" si="10"/>
        <v>2.5000000000093806E-3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101" t="str">
        <f ca="1">input_589010!A$2</f>
        <v>589010</v>
      </c>
      <c r="B204" s="103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IFERROR(VLOOKUP(B204,input_589010!L:R,7,FALSE),VLOOKUP(tables_589010!C204,input_589010!A:H,8,FALSE))</f>
        <v>200000</v>
      </c>
      <c r="P204" s="46">
        <f t="shared" ca="1" si="10"/>
        <v>4.1666666666823008E-3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101" t="str">
        <f ca="1">input_589010!A$2</f>
        <v>589010</v>
      </c>
      <c r="B205" s="103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IFERROR(VLOOKUP(B205,input_589010!L:R,7,FALSE),VLOOKUP(tables_589010!C205,input_589010!A:H,8,FALSE))</f>
        <v>6732.3076899999996</v>
      </c>
      <c r="P205" s="46">
        <f t="shared" ca="1" si="10"/>
        <v>1.4025641020885959E-4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101" t="str">
        <f ca="1">input_589010!A$2</f>
        <v>589010</v>
      </c>
      <c r="B206" s="103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IFERROR(VLOOKUP(B206,input_589010!L:R,7,FALSE),VLOOKUP(tables_589010!C206,input_589010!A:H,8,FALSE))</f>
        <v>15360</v>
      </c>
      <c r="P206" s="46">
        <f t="shared" ca="1" si="10"/>
        <v>3.2000000000120067E-4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101" t="str">
        <f ca="1">input_589010!A$2</f>
        <v>589010</v>
      </c>
      <c r="B207" s="103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IFERROR(VLOOKUP(B207,input_589010!L:R,7,FALSE),VLOOKUP(tables_589010!C207,input_589010!A:H,8,FALSE))</f>
        <v>3840</v>
      </c>
      <c r="P207" s="46">
        <f t="shared" ca="1" si="10"/>
        <v>8.0000000000300168E-5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101" t="str">
        <f ca="1">input_589010!A$2</f>
        <v>589010</v>
      </c>
      <c r="B208" s="103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IFERROR(VLOOKUP(B208,input_589010!L:R,7,FALSE),VLOOKUP(tables_589010!C208,input_589010!A:H,8,FALSE))</f>
        <v>15360</v>
      </c>
      <c r="P208" s="46">
        <f t="shared" ca="1" si="10"/>
        <v>3.2000000000120067E-4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101" t="str">
        <f ca="1">input_589010!A$2</f>
        <v>589010</v>
      </c>
      <c r="B209" s="103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IFERROR(VLOOKUP(B209,input_589010!L:R,7,FALSE),VLOOKUP(tables_589010!C209,input_589010!A:H,8,FALSE))</f>
        <v>3840</v>
      </c>
      <c r="P209" s="46">
        <f t="shared" ca="1" si="10"/>
        <v>8.0000000000300168E-5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101" t="str">
        <f ca="1">input_589010!A$2</f>
        <v>589010</v>
      </c>
      <c r="B210" s="103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IFERROR(VLOOKUP(B210,input_589010!L:R,7,FALSE),VLOOKUP(tables_589010!C210,input_589010!A:H,8,FALSE))</f>
        <v>120000</v>
      </c>
      <c r="P210" s="46">
        <f t="shared" ca="1" si="10"/>
        <v>2.5000000000093806E-3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101" t="str">
        <f ca="1">input_589010!A$2</f>
        <v>589010</v>
      </c>
      <c r="B211" s="103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IFERROR(VLOOKUP(B211,input_589010!L:R,7,FALSE),VLOOKUP(tables_589010!C211,input_589010!A:H,8,FALSE))</f>
        <v>200000</v>
      </c>
      <c r="P211" s="46">
        <f t="shared" ca="1" si="10"/>
        <v>4.1666666666823008E-3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101" t="str">
        <f ca="1">input_589010!A$2</f>
        <v>589010</v>
      </c>
      <c r="B212" s="103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IFERROR(VLOOKUP(B212,input_589010!L:R,7,FALSE),VLOOKUP(tables_589010!C212,input_589010!A:H,8,FALSE))</f>
        <v>6732.3076899999996</v>
      </c>
      <c r="P212" s="46">
        <f t="shared" ca="1" si="10"/>
        <v>1.4025641020885959E-4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101" t="str">
        <f ca="1">input_589010!A$2</f>
        <v>589010</v>
      </c>
      <c r="B213" s="103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IFERROR(VLOOKUP(B213,input_589010!L:R,7,FALSE),VLOOKUP(tables_589010!C213,input_589010!A:H,8,FALSE))</f>
        <v>15360</v>
      </c>
      <c r="P213" s="46">
        <f t="shared" ca="1" si="10"/>
        <v>3.2000000000120067E-4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101" t="str">
        <f ca="1">input_589010!A$2</f>
        <v>589010</v>
      </c>
      <c r="B214" s="103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IFERROR(VLOOKUP(B214,input_589010!L:R,7,FALSE),VLOOKUP(tables_589010!C214,input_589010!A:H,8,FALSE))</f>
        <v>3840</v>
      </c>
      <c r="P214" s="46">
        <f t="shared" ca="1" si="10"/>
        <v>8.0000000000300168E-5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101" t="str">
        <f ca="1">input_589010!A$2</f>
        <v>589010</v>
      </c>
      <c r="B215" s="103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IFERROR(VLOOKUP(B215,input_589010!L:R,7,FALSE),VLOOKUP(tables_589010!C215,input_589010!A:H,8,FALSE))</f>
        <v>80000</v>
      </c>
      <c r="P215" s="46">
        <f t="shared" ca="1" si="10"/>
        <v>1.6666666666729202E-3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101" t="str">
        <f ca="1">input_589010!A$2</f>
        <v>589010</v>
      </c>
      <c r="B216" s="103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IFERROR(VLOOKUP(B216,input_589010!L:R,7,FALSE),VLOOKUP(tables_589010!C216,input_589010!A:H,8,FALSE))</f>
        <v>80000</v>
      </c>
      <c r="P216" s="46">
        <f t="shared" ca="1" si="10"/>
        <v>1.6666666666729202E-3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101" t="str">
        <f ca="1">input_589010!A$2</f>
        <v>589010</v>
      </c>
      <c r="B217" s="103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IFERROR(VLOOKUP(B217,input_589010!L:R,7,FALSE),VLOOKUP(tables_589010!C217,input_589010!A:H,8,FALSE))</f>
        <v>80000</v>
      </c>
      <c r="P217" s="46">
        <f t="shared" ca="1" si="10"/>
        <v>1.6666666666729202E-3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101" t="str">
        <f ca="1">input_589010!A$2</f>
        <v>589010</v>
      </c>
      <c r="B218" s="103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IFERROR(VLOOKUP(B218,input_589010!L:R,7,FALSE),VLOOKUP(tables_589010!C218,input_589010!A:H,8,FALSE))</f>
        <v>80000</v>
      </c>
      <c r="P218" s="46">
        <f t="shared" ca="1" si="10"/>
        <v>1.6666666666729202E-3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101" t="str">
        <f ca="1">input_589010!A$2</f>
        <v>589010</v>
      </c>
      <c r="B219" s="103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IFERROR(VLOOKUP(B219,input_589010!L:R,7,FALSE),VLOOKUP(tables_589010!C219,input_589010!A:H,8,FALSE))</f>
        <v>80000</v>
      </c>
      <c r="P219" s="46">
        <f t="shared" ca="1" si="10"/>
        <v>1.6666666666729202E-3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101" t="str">
        <f ca="1">input_589010!A$2</f>
        <v>589010</v>
      </c>
      <c r="B220" s="103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IFERROR(VLOOKUP(B220,input_589010!L:R,7,FALSE),VLOOKUP(tables_589010!C220,input_589010!A:H,8,FALSE))</f>
        <v>80000</v>
      </c>
      <c r="P220" s="46">
        <f t="shared" ca="1" si="10"/>
        <v>1.6666666666729202E-3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101" t="str">
        <f ca="1">input_589010!A$2</f>
        <v>589010</v>
      </c>
      <c r="B221" s="103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IFERROR(VLOOKUP(B221,input_589010!L:R,7,FALSE),VLOOKUP(tables_589010!C221,input_589010!A:H,8,FALSE))</f>
        <v>15360</v>
      </c>
      <c r="P221" s="46">
        <f t="shared" ca="1" si="10"/>
        <v>3.2000000000120067E-4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101" t="str">
        <f ca="1">input_589010!A$2</f>
        <v>589010</v>
      </c>
      <c r="B222" s="103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IFERROR(VLOOKUP(B222,input_589010!L:R,7,FALSE),VLOOKUP(tables_589010!C222,input_589010!A:H,8,FALSE))</f>
        <v>3840</v>
      </c>
      <c r="P222" s="46">
        <f t="shared" ca="1" si="10"/>
        <v>8.0000000000300168E-5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101" t="str">
        <f ca="1">input_589010!A$2</f>
        <v>589010</v>
      </c>
      <c r="B223" s="103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IFERROR(VLOOKUP(B223,input_589010!L:R,7,FALSE),VLOOKUP(tables_589010!C223,input_589010!A:H,8,FALSE))</f>
        <v>120000</v>
      </c>
      <c r="P223" s="46">
        <f t="shared" ca="1" si="10"/>
        <v>2.5000000000093806E-3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101" t="str">
        <f ca="1">input_589010!A$2</f>
        <v>589010</v>
      </c>
      <c r="B224" s="103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IFERROR(VLOOKUP(B224,input_589010!L:R,7,FALSE),VLOOKUP(tables_589010!C224,input_589010!A:H,8,FALSE))</f>
        <v>200000</v>
      </c>
      <c r="P224" s="46">
        <f t="shared" ca="1" si="10"/>
        <v>4.1666666666823008E-3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101" t="str">
        <f ca="1">input_589010!A$2</f>
        <v>589010</v>
      </c>
      <c r="B225" s="103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IFERROR(VLOOKUP(B225,input_589010!L:R,7,FALSE),VLOOKUP(tables_589010!C225,input_589010!A:H,8,FALSE))</f>
        <v>6732.3076899999996</v>
      </c>
      <c r="P225" s="46">
        <f t="shared" ca="1" si="10"/>
        <v>1.4025641020885959E-4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101" t="str">
        <f ca="1">input_589010!A$2</f>
        <v>589010</v>
      </c>
      <c r="B226" s="103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IFERROR(VLOOKUP(B226,input_589010!L:R,7,FALSE),VLOOKUP(tables_589010!C226,input_589010!A:H,8,FALSE))</f>
        <v>120000</v>
      </c>
      <c r="P226" s="46">
        <f t="shared" ca="1" si="10"/>
        <v>2.5000000000093806E-3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101" t="str">
        <f ca="1">input_589010!A$2</f>
        <v>589010</v>
      </c>
      <c r="B227" s="103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IFERROR(VLOOKUP(B227,input_589010!L:R,7,FALSE),VLOOKUP(tables_589010!C227,input_589010!A:H,8,FALSE))</f>
        <v>200000</v>
      </c>
      <c r="P227" s="46">
        <f t="shared" ca="1" si="10"/>
        <v>4.1666666666823008E-3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101" t="str">
        <f ca="1">input_589010!A$2</f>
        <v>589010</v>
      </c>
      <c r="B228" s="103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IFERROR(VLOOKUP(B228,input_589010!L:R,7,FALSE),VLOOKUP(tables_589010!C228,input_589010!A:H,8,FALSE))</f>
        <v>6732.3076899999996</v>
      </c>
      <c r="P228" s="46">
        <f t="shared" ca="1" si="10"/>
        <v>1.4025641020885959E-4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101" t="str">
        <f ca="1">input_589010!A$2</f>
        <v>589010</v>
      </c>
      <c r="B229" s="103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IFERROR(VLOOKUP(B229,input_589010!L:R,7,FALSE),VLOOKUP(tables_589010!C229,input_589010!A:H,8,FALSE))</f>
        <v>15360</v>
      </c>
      <c r="P229" s="46">
        <f t="shared" ca="1" si="10"/>
        <v>3.2000000000120067E-4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101" t="str">
        <f ca="1">input_589010!A$2</f>
        <v>589010</v>
      </c>
      <c r="B230" s="103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IFERROR(VLOOKUP(B230,input_589010!L:R,7,FALSE),VLOOKUP(tables_589010!C230,input_589010!A:H,8,FALSE))</f>
        <v>3840</v>
      </c>
      <c r="P230" s="46">
        <f t="shared" ca="1" si="10"/>
        <v>8.0000000000300168E-5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101" t="str">
        <f ca="1">input_589010!A$2</f>
        <v>589010</v>
      </c>
      <c r="B231" s="103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IFERROR(VLOOKUP(B231,input_589010!L:R,7,FALSE),VLOOKUP(tables_589010!C231,input_589010!A:H,8,FALSE))</f>
        <v>120000</v>
      </c>
      <c r="P231" s="46">
        <f t="shared" ca="1" si="10"/>
        <v>2.5000000000093806E-3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101" t="str">
        <f ca="1">input_589010!A$2</f>
        <v>589010</v>
      </c>
      <c r="B232" s="103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IFERROR(VLOOKUP(B232,input_589010!L:R,7,FALSE),VLOOKUP(tables_589010!C232,input_589010!A:H,8,FALSE))</f>
        <v>200000</v>
      </c>
      <c r="P232" s="46">
        <f t="shared" ca="1" si="10"/>
        <v>4.1666666666823008E-3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101" t="str">
        <f ca="1">input_589010!A$2</f>
        <v>589010</v>
      </c>
      <c r="B233" s="103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IFERROR(VLOOKUP(B233,input_589010!L:R,7,FALSE),VLOOKUP(tables_589010!C233,input_589010!A:H,8,FALSE))</f>
        <v>6732.3076899999996</v>
      </c>
      <c r="P233" s="46">
        <f t="shared" ca="1" si="10"/>
        <v>1.4025641020885959E-4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101" t="str">
        <f ca="1">input_589010!A$2</f>
        <v>589010</v>
      </c>
      <c r="B234" s="103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IFERROR(VLOOKUP(B234,input_589010!L:R,7,FALSE),VLOOKUP(tables_589010!C234,input_589010!A:H,8,FALSE))</f>
        <v>120000</v>
      </c>
      <c r="P234" s="46">
        <f t="shared" ca="1" si="10"/>
        <v>2.5000000000093806E-3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101" t="str">
        <f ca="1">input_589010!A$2</f>
        <v>589010</v>
      </c>
      <c r="B235" s="103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IFERROR(VLOOKUP(B235,input_589010!L:R,7,FALSE),VLOOKUP(tables_589010!C235,input_589010!A:H,8,FALSE))</f>
        <v>200000</v>
      </c>
      <c r="P235" s="46">
        <f t="shared" ca="1" si="10"/>
        <v>4.1666666666823008E-3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101" t="str">
        <f ca="1">input_589010!A$2</f>
        <v>589010</v>
      </c>
      <c r="B236" s="103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IFERROR(VLOOKUP(B236,input_589010!L:R,7,FALSE),VLOOKUP(tables_589010!C236,input_589010!A:H,8,FALSE))</f>
        <v>6732.3076899999996</v>
      </c>
      <c r="P236" s="46">
        <f t="shared" ca="1" si="10"/>
        <v>1.4025641020885959E-4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101" t="str">
        <f ca="1">input_589010!A$2</f>
        <v>589010</v>
      </c>
      <c r="B237" s="103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IFERROR(VLOOKUP(B237,input_589010!L:R,7,FALSE),VLOOKUP(tables_589010!C237,input_589010!A:H,8,FALSE))</f>
        <v>15360</v>
      </c>
      <c r="P237" s="46">
        <f t="shared" ca="1" si="10"/>
        <v>3.2000000000120067E-4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101" t="str">
        <f ca="1">input_589010!A$2</f>
        <v>589010</v>
      </c>
      <c r="B238" s="103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IFERROR(VLOOKUP(B238,input_589010!L:R,7,FALSE),VLOOKUP(tables_589010!C238,input_589010!A:H,8,FALSE))</f>
        <v>3840</v>
      </c>
      <c r="P238" s="46">
        <f t="shared" ca="1" si="10"/>
        <v>8.0000000000300168E-5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101" t="str">
        <f ca="1">input_589010!A$2</f>
        <v>589010</v>
      </c>
      <c r="B239" s="103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IFERROR(VLOOKUP(B239,input_589010!L:R,7,FALSE),VLOOKUP(tables_589010!C239,input_589010!A:H,8,FALSE))</f>
        <v>120000</v>
      </c>
      <c r="P239" s="46">
        <f t="shared" ca="1" si="10"/>
        <v>2.5000000000093806E-3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101" t="str">
        <f ca="1">input_589010!A$2</f>
        <v>589010</v>
      </c>
      <c r="B240" s="103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IFERROR(VLOOKUP(B240,input_589010!L:R,7,FALSE),VLOOKUP(tables_589010!C240,input_589010!A:H,8,FALSE))</f>
        <v>200000</v>
      </c>
      <c r="P240" s="46">
        <f t="shared" ca="1" si="10"/>
        <v>4.1666666666823008E-3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101" t="str">
        <f ca="1">input_589010!A$2</f>
        <v>589010</v>
      </c>
      <c r="B241" s="103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IFERROR(VLOOKUP(B241,input_589010!L:R,7,FALSE),VLOOKUP(tables_589010!C241,input_589010!A:H,8,FALSE))</f>
        <v>6732.3076899999996</v>
      </c>
      <c r="P241" s="46">
        <f t="shared" ca="1" si="10"/>
        <v>1.4025641020885959E-4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101" t="str">
        <f ca="1">input_589010!A$2</f>
        <v>589010</v>
      </c>
      <c r="B242" s="103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IFERROR(VLOOKUP(B242,input_589010!L:R,7,FALSE),VLOOKUP(tables_589010!C242,input_589010!A:H,8,FALSE))</f>
        <v>15360</v>
      </c>
      <c r="P242" s="46">
        <f t="shared" ca="1" si="10"/>
        <v>3.2000000000120067E-4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101" t="str">
        <f ca="1">input_589010!A$2</f>
        <v>589010</v>
      </c>
      <c r="B243" s="103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IFERROR(VLOOKUP(B243,input_589010!L:R,7,FALSE),VLOOKUP(tables_589010!C243,input_589010!A:H,8,FALSE))</f>
        <v>3840</v>
      </c>
      <c r="P243" s="46">
        <f t="shared" ca="1" si="10"/>
        <v>8.0000000000300168E-5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101" t="str">
        <f ca="1">input_589010!A$2</f>
        <v>589010</v>
      </c>
      <c r="B244" s="103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IFERROR(VLOOKUP(B244,input_589010!L:R,7,FALSE),VLOOKUP(tables_589010!C244,input_589010!A:H,8,FALSE))</f>
        <v>15360</v>
      </c>
      <c r="P244" s="46">
        <f t="shared" ca="1" si="10"/>
        <v>3.2000000000120067E-4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101" t="str">
        <f ca="1">input_589010!A$2</f>
        <v>589010</v>
      </c>
      <c r="B245" s="103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IFERROR(VLOOKUP(B245,input_589010!L:R,7,FALSE),VLOOKUP(tables_589010!C245,input_589010!A:H,8,FALSE))</f>
        <v>3840</v>
      </c>
      <c r="P245" s="46">
        <f t="shared" ca="1" si="10"/>
        <v>8.0000000000300168E-5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101" t="str">
        <f ca="1">input_589010!A$2</f>
        <v>589010</v>
      </c>
      <c r="B246" s="103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IFERROR(VLOOKUP(B246,input_589010!L:R,7,FALSE),VLOOKUP(tables_589010!C246,input_589010!A:H,8,FALSE))</f>
        <v>120000</v>
      </c>
      <c r="P246" s="46">
        <f t="shared" ca="1" si="10"/>
        <v>2.5000000000093806E-3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101" t="str">
        <f ca="1">input_589010!A$2</f>
        <v>589010</v>
      </c>
      <c r="B247" s="103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IFERROR(VLOOKUP(B247,input_589010!L:R,7,FALSE),VLOOKUP(tables_589010!C247,input_589010!A:H,8,FALSE))</f>
        <v>200000</v>
      </c>
      <c r="P247" s="46">
        <f t="shared" ca="1" si="10"/>
        <v>4.1666666666823008E-3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101" t="str">
        <f ca="1">input_589010!A$2</f>
        <v>589010</v>
      </c>
      <c r="B248" s="103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IFERROR(VLOOKUP(B248,input_589010!L:R,7,FALSE),VLOOKUP(tables_589010!C248,input_589010!A:H,8,FALSE))</f>
        <v>6732.3076899999996</v>
      </c>
      <c r="P248" s="46">
        <f t="shared" ca="1" si="10"/>
        <v>1.4025641020885959E-4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101" t="str">
        <f ca="1">input_589010!A$2</f>
        <v>589010</v>
      </c>
      <c r="B249" s="103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IFERROR(VLOOKUP(B249,input_589010!L:R,7,FALSE),VLOOKUP(tables_589010!C249,input_589010!A:H,8,FALSE))</f>
        <v>120000</v>
      </c>
      <c r="P249" s="46">
        <f t="shared" ca="1" si="10"/>
        <v>2.5000000000093806E-3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101" t="str">
        <f ca="1">input_589010!A$2</f>
        <v>589010</v>
      </c>
      <c r="B250" s="103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IFERROR(VLOOKUP(B250,input_589010!L:R,7,FALSE),VLOOKUP(tables_589010!C250,input_589010!A:H,8,FALSE))</f>
        <v>200000</v>
      </c>
      <c r="P250" s="46">
        <f t="shared" ca="1" si="10"/>
        <v>4.1666666666823008E-3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101" t="str">
        <f ca="1">input_589010!A$2</f>
        <v>589010</v>
      </c>
      <c r="B251" s="103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IFERROR(VLOOKUP(B251,input_589010!L:R,7,FALSE),VLOOKUP(tables_589010!C251,input_589010!A:H,8,FALSE))</f>
        <v>6732.3076899999996</v>
      </c>
      <c r="P251" s="46">
        <f t="shared" ca="1" si="10"/>
        <v>1.4025641020885959E-4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101" t="str">
        <f ca="1">input_589010!A$2</f>
        <v>589010</v>
      </c>
      <c r="B252" s="103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IFERROR(VLOOKUP(B252,input_589010!L:R,7,FALSE),VLOOKUP(tables_589010!C252,input_589010!A:H,8,FALSE))</f>
        <v>120000</v>
      </c>
      <c r="P252" s="46">
        <f t="shared" ca="1" si="10"/>
        <v>2.5000000000093806E-3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101" t="str">
        <f ca="1">input_589010!A$2</f>
        <v>589010</v>
      </c>
      <c r="B253" s="103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IFERROR(VLOOKUP(B253,input_589010!L:R,7,FALSE),VLOOKUP(tables_589010!C253,input_589010!A:H,8,FALSE))</f>
        <v>200000</v>
      </c>
      <c r="P253" s="46">
        <f t="shared" ca="1" si="10"/>
        <v>4.1666666666823008E-3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101" t="str">
        <f ca="1">input_589010!A$2</f>
        <v>589010</v>
      </c>
      <c r="B254" s="103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IFERROR(VLOOKUP(B254,input_589010!L:R,7,FALSE),VLOOKUP(tables_589010!C254,input_589010!A:H,8,FALSE))</f>
        <v>6732.3076899999996</v>
      </c>
      <c r="P254" s="46">
        <f t="shared" ca="1" si="10"/>
        <v>1.4025641020885959E-4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101" t="str">
        <f ca="1">input_589010!A$2</f>
        <v>589010</v>
      </c>
      <c r="B255" s="103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IFERROR(VLOOKUP(B255,input_589010!L:R,7,FALSE),VLOOKUP(tables_589010!C255,input_589010!A:H,8,FALSE))</f>
        <v>120000</v>
      </c>
      <c r="P255" s="46">
        <f t="shared" ca="1" si="10"/>
        <v>2.5000000000093806E-3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101" t="str">
        <f ca="1">input_589010!A$2</f>
        <v>589010</v>
      </c>
      <c r="B256" s="103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IFERROR(VLOOKUP(B256,input_589010!L:R,7,FALSE),VLOOKUP(tables_589010!C256,input_589010!A:H,8,FALSE))</f>
        <v>200000</v>
      </c>
      <c r="P256" s="46">
        <f t="shared" ca="1" si="10"/>
        <v>4.1666666666823008E-3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101" t="str">
        <f ca="1">input_589010!A$2</f>
        <v>589010</v>
      </c>
      <c r="B257" s="103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IFERROR(VLOOKUP(B257,input_589010!L:R,7,FALSE),VLOOKUP(tables_589010!C257,input_589010!A:H,8,FALSE))</f>
        <v>6732.3076899999996</v>
      </c>
      <c r="P257" s="46">
        <f t="shared" ca="1" si="10"/>
        <v>1.4025641020885959E-4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101" t="str">
        <f ca="1">input_589010!A$2</f>
        <v>589010</v>
      </c>
      <c r="B258" s="103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IFERROR(VLOOKUP(B258,input_589010!L:R,7,FALSE),VLOOKUP(tables_589010!C258,input_589010!A:H,8,FALSE))</f>
        <v>15360</v>
      </c>
      <c r="P258" s="46">
        <f t="shared" ref="P258:P321" ca="1" si="13">O258/SUM(O:O)</f>
        <v>3.2000000000120067E-4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101" t="str">
        <f ca="1">input_589010!A$2</f>
        <v>589010</v>
      </c>
      <c r="B259" s="103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IFERROR(VLOOKUP(B259,input_589010!L:R,7,FALSE),VLOOKUP(tables_589010!C259,input_589010!A:H,8,FALSE))</f>
        <v>3840</v>
      </c>
      <c r="P259" s="46">
        <f t="shared" ca="1" si="13"/>
        <v>8.0000000000300168E-5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101" t="str">
        <f ca="1">input_589010!A$2</f>
        <v>589010</v>
      </c>
      <c r="B260" s="103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IFERROR(VLOOKUP(B260,input_589010!L:R,7,FALSE),VLOOKUP(tables_589010!C260,input_589010!A:H,8,FALSE))</f>
        <v>15360</v>
      </c>
      <c r="P260" s="46">
        <f t="shared" ca="1" si="13"/>
        <v>3.2000000000120067E-4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101" t="str">
        <f ca="1">input_589010!A$2</f>
        <v>589010</v>
      </c>
      <c r="B261" s="103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IFERROR(VLOOKUP(B261,input_589010!L:R,7,FALSE),VLOOKUP(tables_589010!C261,input_589010!A:H,8,FALSE))</f>
        <v>3840</v>
      </c>
      <c r="P261" s="46">
        <f t="shared" ca="1" si="13"/>
        <v>8.0000000000300168E-5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101" t="str">
        <f ca="1">input_589010!A$2</f>
        <v>589010</v>
      </c>
      <c r="B262" s="103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IFERROR(VLOOKUP(B262,input_589010!L:R,7,FALSE),VLOOKUP(tables_589010!C262,input_589010!A:H,8,FALSE))</f>
        <v>297142.85713999998</v>
      </c>
      <c r="P262" s="46">
        <f t="shared" ca="1" si="13"/>
        <v>6.1904761904398942E-3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101" t="str">
        <f ca="1">input_589010!A$2</f>
        <v>589010</v>
      </c>
      <c r="B263" s="103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IFERROR(VLOOKUP(B263,input_589010!L:R,7,FALSE),VLOOKUP(tables_589010!C263,input_589010!A:H,8,FALSE))</f>
        <v>80000</v>
      </c>
      <c r="P263" s="46">
        <f t="shared" ca="1" si="13"/>
        <v>1.6666666666729202E-3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101" t="str">
        <f ca="1">input_589010!A$2</f>
        <v>589010</v>
      </c>
      <c r="B264" s="103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IFERROR(VLOOKUP(B264,input_589010!L:R,7,FALSE),VLOOKUP(tables_589010!C264,input_589010!A:H,8,FALSE))</f>
        <v>297142.85713999998</v>
      </c>
      <c r="P264" s="46">
        <f t="shared" ca="1" si="13"/>
        <v>6.1904761904398942E-3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101" t="str">
        <f ca="1">input_589010!A$2</f>
        <v>589010</v>
      </c>
      <c r="B265" s="103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IFERROR(VLOOKUP(B265,input_589010!L:R,7,FALSE),VLOOKUP(tables_589010!C265,input_589010!A:H,8,FALSE))</f>
        <v>80000</v>
      </c>
      <c r="P265" s="46">
        <f t="shared" ca="1" si="13"/>
        <v>1.6666666666729202E-3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101" t="str">
        <f ca="1">input_589010!A$2</f>
        <v>589010</v>
      </c>
      <c r="B266" s="103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IFERROR(VLOOKUP(B266,input_589010!L:R,7,FALSE),VLOOKUP(tables_589010!C266,input_589010!A:H,8,FALSE))</f>
        <v>19200</v>
      </c>
      <c r="P266" s="46">
        <f t="shared" ca="1" si="13"/>
        <v>4.0000000000150088E-4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101" t="str">
        <f ca="1">input_589010!A$2</f>
        <v>589010</v>
      </c>
      <c r="B267" s="103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IFERROR(VLOOKUP(B267,input_589010!L:R,7,FALSE),VLOOKUP(tables_589010!C267,input_589010!A:H,8,FALSE))</f>
        <v>19200</v>
      </c>
      <c r="P267" s="46">
        <f t="shared" ca="1" si="13"/>
        <v>4.0000000000150088E-4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101" t="str">
        <f ca="1">input_589010!A$2</f>
        <v>589010</v>
      </c>
      <c r="B268" s="103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IFERROR(VLOOKUP(B268,input_589010!L:R,7,FALSE),VLOOKUP(tables_589010!C268,input_589010!A:H,8,FALSE))</f>
        <v>19200</v>
      </c>
      <c r="P268" s="46">
        <f t="shared" ca="1" si="13"/>
        <v>4.0000000000150088E-4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101" t="str">
        <f ca="1">input_589010!A$2</f>
        <v>589010</v>
      </c>
      <c r="B269" s="103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IFERROR(VLOOKUP(B269,input_589010!L:R,7,FALSE),VLOOKUP(tables_589010!C269,input_589010!A:H,8,FALSE))</f>
        <v>19200</v>
      </c>
      <c r="P269" s="46">
        <f t="shared" ca="1" si="13"/>
        <v>4.0000000000150088E-4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101" t="str">
        <f ca="1">input_589010!A$2</f>
        <v>589010</v>
      </c>
      <c r="B270" s="103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IFERROR(VLOOKUP(B270,input_589010!L:R,7,FALSE),VLOOKUP(tables_589010!C270,input_589010!A:H,8,FALSE))</f>
        <v>297142.85713999998</v>
      </c>
      <c r="P270" s="46">
        <f t="shared" ca="1" si="13"/>
        <v>6.1904761904398942E-3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101" t="str">
        <f ca="1">input_589010!A$2</f>
        <v>589010</v>
      </c>
      <c r="B271" s="10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IFERROR(VLOOKUP(B271,input_589010!L:R,7,FALSE),VLOOKUP(tables_589010!C271,input_589010!A:H,8,FALSE))</f>
        <v>80000</v>
      </c>
      <c r="P271" s="46">
        <f t="shared" ca="1" si="13"/>
        <v>1.6666666666729202E-3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101" t="str">
        <f ca="1">input_589010!A$2</f>
        <v>589010</v>
      </c>
      <c r="B272" s="10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IFERROR(VLOOKUP(B272,input_589010!L:R,7,FALSE),VLOOKUP(tables_589010!C272,input_589010!A:H,8,FALSE))</f>
        <v>297142.85713999998</v>
      </c>
      <c r="P272" s="46">
        <f t="shared" ca="1" si="13"/>
        <v>6.1904761904398942E-3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101" t="str">
        <f ca="1">input_589010!A$2</f>
        <v>589010</v>
      </c>
      <c r="B273" s="10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IFERROR(VLOOKUP(B273,input_589010!L:R,7,FALSE),VLOOKUP(tables_589010!C273,input_589010!A:H,8,FALSE))</f>
        <v>80000</v>
      </c>
      <c r="P273" s="46">
        <f t="shared" ca="1" si="13"/>
        <v>1.6666666666729202E-3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101" t="str">
        <f ca="1">input_589010!A$2</f>
        <v>589010</v>
      </c>
      <c r="B274" s="10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IFERROR(VLOOKUP(B274,input_589010!L:R,7,FALSE),VLOOKUP(tables_589010!C274,input_589010!A:H,8,FALSE))</f>
        <v>15360</v>
      </c>
      <c r="P274" s="46">
        <f t="shared" ca="1" si="13"/>
        <v>3.2000000000120067E-4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101" t="str">
        <f ca="1">input_589010!A$2</f>
        <v>589010</v>
      </c>
      <c r="B275" s="10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IFERROR(VLOOKUP(B275,input_589010!L:R,7,FALSE),VLOOKUP(tables_589010!C275,input_589010!A:H,8,FALSE))</f>
        <v>3840</v>
      </c>
      <c r="P275" s="46">
        <f t="shared" ca="1" si="13"/>
        <v>8.0000000000300168E-5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101" t="str">
        <f ca="1">input_589010!A$2</f>
        <v>589010</v>
      </c>
      <c r="B276" s="10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IFERROR(VLOOKUP(B276,input_589010!L:R,7,FALSE),VLOOKUP(tables_589010!C276,input_589010!A:H,8,FALSE))</f>
        <v>15360</v>
      </c>
      <c r="P276" s="46">
        <f t="shared" ca="1" si="13"/>
        <v>3.2000000000120067E-4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101" t="str">
        <f ca="1">input_589010!A$2</f>
        <v>589010</v>
      </c>
      <c r="B277" s="10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IFERROR(VLOOKUP(B277,input_589010!L:R,7,FALSE),VLOOKUP(tables_589010!C277,input_589010!A:H,8,FALSE))</f>
        <v>3840</v>
      </c>
      <c r="P277" s="46">
        <f t="shared" ca="1" si="13"/>
        <v>8.0000000000300168E-5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101" t="str">
        <f ca="1">input_589010!A$2</f>
        <v>589010</v>
      </c>
      <c r="B278" s="10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IFERROR(VLOOKUP(B278,input_589010!L:R,7,FALSE),VLOOKUP(tables_589010!C278,input_589010!A:H,8,FALSE))</f>
        <v>120000</v>
      </c>
      <c r="P278" s="46">
        <f t="shared" ca="1" si="13"/>
        <v>2.5000000000093806E-3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101" t="str">
        <f ca="1">input_589010!A$2</f>
        <v>589010</v>
      </c>
      <c r="B279" s="10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IFERROR(VLOOKUP(B279,input_589010!L:R,7,FALSE),VLOOKUP(tables_589010!C279,input_589010!A:H,8,FALSE))</f>
        <v>200000</v>
      </c>
      <c r="P279" s="46">
        <f t="shared" ca="1" si="13"/>
        <v>4.1666666666823008E-3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101" t="str">
        <f ca="1">input_589010!A$2</f>
        <v>589010</v>
      </c>
      <c r="B280" s="10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IFERROR(VLOOKUP(B280,input_589010!L:R,7,FALSE),VLOOKUP(tables_589010!C280,input_589010!A:H,8,FALSE))</f>
        <v>6732.3076899999996</v>
      </c>
      <c r="P280" s="46">
        <f t="shared" ca="1" si="13"/>
        <v>1.4025641020885959E-4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101" t="str">
        <f ca="1">input_589010!A$2</f>
        <v>589010</v>
      </c>
      <c r="B281" s="10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IFERROR(VLOOKUP(B281,input_589010!L:R,7,FALSE),VLOOKUP(tables_589010!C281,input_589010!A:H,8,FALSE))</f>
        <v>120000</v>
      </c>
      <c r="P281" s="46">
        <f t="shared" ca="1" si="13"/>
        <v>2.5000000000093806E-3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101" t="str">
        <f ca="1">input_589010!A$2</f>
        <v>589010</v>
      </c>
      <c r="B282" s="10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IFERROR(VLOOKUP(B282,input_589010!L:R,7,FALSE),VLOOKUP(tables_589010!C282,input_589010!A:H,8,FALSE))</f>
        <v>200000</v>
      </c>
      <c r="P282" s="46">
        <f t="shared" ca="1" si="13"/>
        <v>4.1666666666823008E-3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101" t="str">
        <f ca="1">input_589010!A$2</f>
        <v>589010</v>
      </c>
      <c r="B283" s="101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IFERROR(VLOOKUP(B283,input_589010!L:R,7,FALSE),VLOOKUP(tables_589010!C283,input_589010!A:H,8,FALSE))</f>
        <v>6732.3076899999996</v>
      </c>
      <c r="P283" s="46">
        <f t="shared" ca="1" si="13"/>
        <v>1.4025641020885959E-4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101" t="str">
        <f ca="1">input_589010!A$2</f>
        <v>589010</v>
      </c>
      <c r="B284" s="101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IFERROR(VLOOKUP(B284,input_589010!L:R,7,FALSE),VLOOKUP(tables_589010!C284,input_589010!A:H,8,FALSE))</f>
        <v>19200</v>
      </c>
      <c r="P284" s="46">
        <f t="shared" ca="1" si="13"/>
        <v>4.0000000000150088E-4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101" t="str">
        <f ca="1">input_589010!A$2</f>
        <v>589010</v>
      </c>
      <c r="B285" s="101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IFERROR(VLOOKUP(B285,input_589010!L:R,7,FALSE),VLOOKUP(tables_589010!C285,input_589010!A:H,8,FALSE))</f>
        <v>19200</v>
      </c>
      <c r="P285" s="46">
        <f t="shared" ca="1" si="13"/>
        <v>4.0000000000150088E-4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101" t="str">
        <f ca="1">input_589010!A$2</f>
        <v>589010</v>
      </c>
      <c r="B286" s="101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IFERROR(VLOOKUP(B286,input_589010!L:R,7,FALSE),VLOOKUP(tables_589010!C286,input_589010!A:H,8,FALSE))</f>
        <v>297142.85713999998</v>
      </c>
      <c r="P286" s="46">
        <f t="shared" ca="1" si="13"/>
        <v>6.1904761904398942E-3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101" t="str">
        <f ca="1">input_589010!A$2</f>
        <v>589010</v>
      </c>
      <c r="B287" s="101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IFERROR(VLOOKUP(B287,input_589010!L:R,7,FALSE),VLOOKUP(tables_589010!C287,input_589010!A:H,8,FALSE))</f>
        <v>80000</v>
      </c>
      <c r="P287" s="46">
        <f t="shared" ca="1" si="13"/>
        <v>1.6666666666729202E-3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101" t="str">
        <f ca="1">input_589010!A$2</f>
        <v>589010</v>
      </c>
      <c r="B288" s="101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IFERROR(VLOOKUP(B288,input_589010!L:R,7,FALSE),VLOOKUP(tables_589010!C288,input_589010!A:H,8,FALSE))</f>
        <v>297142.85713999998</v>
      </c>
      <c r="P288" s="46">
        <f t="shared" ca="1" si="13"/>
        <v>6.1904761904398942E-3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101" t="str">
        <f ca="1">input_589010!A$2</f>
        <v>589010</v>
      </c>
      <c r="B289" s="101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IFERROR(VLOOKUP(B289,input_589010!L:R,7,FALSE),VLOOKUP(tables_589010!C289,input_589010!A:H,8,FALSE))</f>
        <v>80000</v>
      </c>
      <c r="P289" s="46">
        <f t="shared" ca="1" si="13"/>
        <v>1.6666666666729202E-3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101" t="str">
        <f ca="1">input_589010!A$2</f>
        <v>589010</v>
      </c>
      <c r="B290" s="101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IFERROR(VLOOKUP(B290,input_589010!L:R,7,FALSE),VLOOKUP(tables_589010!C290,input_589010!A:H,8,FALSE))</f>
        <v>297142.85713999998</v>
      </c>
      <c r="P290" s="46">
        <f t="shared" ca="1" si="13"/>
        <v>6.1904761904398942E-3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101" t="str">
        <f ca="1">input_589010!A$2</f>
        <v>589010</v>
      </c>
      <c r="B291" s="101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IFERROR(VLOOKUP(B291,input_589010!L:R,7,FALSE),VLOOKUP(tables_589010!C291,input_589010!A:H,8,FALSE))</f>
        <v>80000</v>
      </c>
      <c r="P291" s="46">
        <f t="shared" ca="1" si="13"/>
        <v>1.6666666666729202E-3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101" t="str">
        <f ca="1">input_589010!A$2</f>
        <v>589010</v>
      </c>
      <c r="B292" s="101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IFERROR(VLOOKUP(B292,input_589010!L:R,7,FALSE),VLOOKUP(tables_589010!C292,input_589010!A:H,8,FALSE))</f>
        <v>297142.85713999998</v>
      </c>
      <c r="P292" s="46">
        <f t="shared" ca="1" si="13"/>
        <v>6.1904761904398942E-3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101" t="str">
        <f ca="1">input_589010!A$2</f>
        <v>589010</v>
      </c>
      <c r="B293" s="101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IFERROR(VLOOKUP(B293,input_589010!L:R,7,FALSE),VLOOKUP(tables_589010!C293,input_589010!A:H,8,FALSE))</f>
        <v>80000</v>
      </c>
      <c r="P293" s="46">
        <f t="shared" ca="1" si="13"/>
        <v>1.6666666666729202E-3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101" t="str">
        <f ca="1">input_589010!A$2</f>
        <v>589010</v>
      </c>
      <c r="B294" s="101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IFERROR(VLOOKUP(B294,input_589010!L:R,7,FALSE),VLOOKUP(tables_589010!C294,input_589010!A:H,8,FALSE))</f>
        <v>19200</v>
      </c>
      <c r="P294" s="46">
        <f t="shared" ca="1" si="13"/>
        <v>4.0000000000150088E-4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101" t="str">
        <f ca="1">input_589010!A$2</f>
        <v>589010</v>
      </c>
      <c r="B295" s="101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IFERROR(VLOOKUP(B295,input_589010!L:R,7,FALSE),VLOOKUP(tables_589010!C295,input_589010!A:H,8,FALSE))</f>
        <v>19200</v>
      </c>
      <c r="P295" s="46">
        <f t="shared" ca="1" si="13"/>
        <v>4.0000000000150088E-4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101" t="str">
        <f ca="1">input_589010!A$2</f>
        <v>589010</v>
      </c>
      <c r="B296" s="101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IFERROR(VLOOKUP(B296,input_589010!L:R,7,FALSE),VLOOKUP(tables_589010!C296,input_589010!A:H,8,FALSE))</f>
        <v>19200</v>
      </c>
      <c r="P296" s="46">
        <f t="shared" ca="1" si="13"/>
        <v>4.0000000000150088E-4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101" t="str">
        <f ca="1">input_589010!A$2</f>
        <v>589010</v>
      </c>
      <c r="B297" s="101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IFERROR(VLOOKUP(B297,input_589010!L:R,7,FALSE),VLOOKUP(tables_589010!C297,input_589010!A:H,8,FALSE))</f>
        <v>297142.85713999998</v>
      </c>
      <c r="P297" s="46">
        <f t="shared" ca="1" si="13"/>
        <v>6.1904761904398942E-3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101" t="str">
        <f ca="1">input_589010!A$2</f>
        <v>589010</v>
      </c>
      <c r="B298" s="101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IFERROR(VLOOKUP(B298,input_589010!L:R,7,FALSE),VLOOKUP(tables_589010!C298,input_589010!A:H,8,FALSE))</f>
        <v>80000</v>
      </c>
      <c r="P298" s="46">
        <f t="shared" ca="1" si="13"/>
        <v>1.6666666666729202E-3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101" t="str">
        <f ca="1">input_589010!A$2</f>
        <v>589010</v>
      </c>
      <c r="B299" s="101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IFERROR(VLOOKUP(B299,input_589010!L:R,7,FALSE),VLOOKUP(tables_589010!C299,input_589010!A:H,8,FALSE))</f>
        <v>19200</v>
      </c>
      <c r="P299" s="46">
        <f t="shared" ca="1" si="13"/>
        <v>4.0000000000150088E-4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101" t="str">
        <f ca="1">input_589010!A$2</f>
        <v>589010</v>
      </c>
      <c r="B300" s="101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IFERROR(VLOOKUP(B300,input_589010!L:R,7,FALSE),VLOOKUP(tables_589010!C300,input_589010!A:H,8,FALSE))</f>
        <v>19200</v>
      </c>
      <c r="P300" s="46">
        <f t="shared" ca="1" si="13"/>
        <v>4.0000000000150088E-4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101" t="str">
        <f ca="1">input_589010!A$2</f>
        <v>589010</v>
      </c>
      <c r="B301" s="101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IFERROR(VLOOKUP(B301,input_589010!L:R,7,FALSE),VLOOKUP(tables_589010!C301,input_589010!A:H,8,FALSE))</f>
        <v>19200</v>
      </c>
      <c r="P301" s="46">
        <f t="shared" ca="1" si="13"/>
        <v>4.0000000000150088E-4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101" t="str">
        <f ca="1">input_589010!A$2</f>
        <v>589010</v>
      </c>
      <c r="B302" s="101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IFERROR(VLOOKUP(B302,input_589010!L:R,7,FALSE),VLOOKUP(tables_589010!C302,input_589010!A:H,8,FALSE))</f>
        <v>19200</v>
      </c>
      <c r="P302" s="46">
        <f t="shared" ca="1" si="13"/>
        <v>4.0000000000150088E-4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101" t="str">
        <f ca="1">input_589010!A$2</f>
        <v>589010</v>
      </c>
      <c r="B303" s="101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IFERROR(VLOOKUP(B303,input_589010!L:R,7,FALSE),VLOOKUP(tables_589010!C303,input_589010!A:H,8,FALSE))</f>
        <v>297142.85713999998</v>
      </c>
      <c r="P303" s="46">
        <f t="shared" ca="1" si="13"/>
        <v>6.1904761904398942E-3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101" t="str">
        <f ca="1">input_589010!A$2</f>
        <v>589010</v>
      </c>
      <c r="B304" s="101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IFERROR(VLOOKUP(B304,input_589010!L:R,7,FALSE),VLOOKUP(tables_589010!C304,input_589010!A:H,8,FALSE))</f>
        <v>80000</v>
      </c>
      <c r="P304" s="46">
        <f t="shared" ca="1" si="13"/>
        <v>1.6666666666729202E-3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101" t="str">
        <f ca="1">input_589010!A$2</f>
        <v>589010</v>
      </c>
      <c r="B305" s="101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IFERROR(VLOOKUP(B305,input_589010!L:R,7,FALSE),VLOOKUP(tables_589010!C305,input_589010!A:H,8,FALSE))</f>
        <v>19200</v>
      </c>
      <c r="P305" s="46">
        <f t="shared" ca="1" si="13"/>
        <v>4.0000000000150088E-4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101" t="str">
        <f ca="1">input_589010!A$2</f>
        <v>589010</v>
      </c>
      <c r="B306" s="101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IFERROR(VLOOKUP(B306,input_589010!L:R,7,FALSE),VLOOKUP(tables_589010!C306,input_589010!A:H,8,FALSE))</f>
        <v>297142.85713999998</v>
      </c>
      <c r="P306" s="46">
        <f t="shared" ca="1" si="13"/>
        <v>6.1904761904398942E-3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101" t="str">
        <f ca="1">input_589010!A$2</f>
        <v>589010</v>
      </c>
      <c r="B307" s="101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IFERROR(VLOOKUP(B307,input_589010!L:R,7,FALSE),VLOOKUP(tables_589010!C307,input_589010!A:H,8,FALSE))</f>
        <v>80000</v>
      </c>
      <c r="P307" s="46">
        <f t="shared" ca="1" si="13"/>
        <v>1.6666666666729202E-3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101" t="str">
        <f ca="1">input_589010!A$2</f>
        <v>589010</v>
      </c>
      <c r="B308" s="101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IFERROR(VLOOKUP(B308,input_589010!L:R,7,FALSE),VLOOKUP(tables_589010!C308,input_589010!A:H,8,FALSE))</f>
        <v>19200</v>
      </c>
      <c r="P308" s="46">
        <f t="shared" ca="1" si="13"/>
        <v>4.0000000000150088E-4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101" t="str">
        <f ca="1">input_589010!A$2</f>
        <v>589010</v>
      </c>
      <c r="B309" s="101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IFERROR(VLOOKUP(B309,input_589010!L:R,7,FALSE),VLOOKUP(tables_589010!C309,input_589010!A:H,8,FALSE))</f>
        <v>19200</v>
      </c>
      <c r="P309" s="46">
        <f t="shared" ca="1" si="13"/>
        <v>4.0000000000150088E-4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101" t="str">
        <f ca="1">input_589010!A$2</f>
        <v>589010</v>
      </c>
      <c r="B310" s="101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IFERROR(VLOOKUP(B310,input_589010!L:R,7,FALSE),VLOOKUP(tables_589010!C310,input_589010!A:H,8,FALSE))</f>
        <v>19200</v>
      </c>
      <c r="P310" s="46">
        <f t="shared" ca="1" si="13"/>
        <v>4.0000000000150088E-4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101" t="str">
        <f ca="1">input_589010!A$2</f>
        <v>589010</v>
      </c>
      <c r="B311" s="101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IFERROR(VLOOKUP(B311,input_589010!L:R,7,FALSE),VLOOKUP(tables_589010!C311,input_589010!A:H,8,FALSE))</f>
        <v>297142.85713999998</v>
      </c>
      <c r="P311" s="46">
        <f t="shared" ca="1" si="13"/>
        <v>6.1904761904398942E-3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101" t="str">
        <f ca="1">input_589010!A$2</f>
        <v>589010</v>
      </c>
      <c r="B312" s="101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IFERROR(VLOOKUP(B312,input_589010!L:R,7,FALSE),VLOOKUP(tables_589010!C312,input_589010!A:H,8,FALSE))</f>
        <v>80000</v>
      </c>
      <c r="P312" s="46">
        <f t="shared" ca="1" si="13"/>
        <v>1.6666666666729202E-3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101" t="str">
        <f ca="1">input_589010!A$2</f>
        <v>589010</v>
      </c>
      <c r="B313" s="101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IFERROR(VLOOKUP(B313,input_589010!L:R,7,FALSE),VLOOKUP(tables_589010!C313,input_589010!A:H,8,FALSE))</f>
        <v>19200</v>
      </c>
      <c r="P313" s="46">
        <f t="shared" ca="1" si="13"/>
        <v>4.0000000000150088E-4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101" t="str">
        <f ca="1">input_589010!A$2</f>
        <v>589010</v>
      </c>
      <c r="B314" s="101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IFERROR(VLOOKUP(B314,input_589010!L:R,7,FALSE),VLOOKUP(tables_589010!C314,input_589010!A:H,8,FALSE))</f>
        <v>19200</v>
      </c>
      <c r="P314" s="46">
        <f t="shared" ca="1" si="13"/>
        <v>4.0000000000150088E-4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101" t="str">
        <f ca="1">input_589010!A$2</f>
        <v>589010</v>
      </c>
      <c r="B315" s="101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IFERROR(VLOOKUP(B315,input_589010!L:R,7,FALSE),VLOOKUP(tables_589010!C315,input_589010!A:H,8,FALSE))</f>
        <v>19200</v>
      </c>
      <c r="P315" s="46">
        <f t="shared" ca="1" si="13"/>
        <v>4.0000000000150088E-4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101" t="str">
        <f ca="1">input_589010!A$2</f>
        <v>589010</v>
      </c>
      <c r="B316" s="101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IFERROR(VLOOKUP(B316,input_589010!L:R,7,FALSE),VLOOKUP(tables_589010!C316,input_589010!A:H,8,FALSE))</f>
        <v>19200</v>
      </c>
      <c r="P316" s="46">
        <f t="shared" ca="1" si="13"/>
        <v>4.0000000000150088E-4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101" t="str">
        <f ca="1">input_589010!A$2</f>
        <v>589010</v>
      </c>
      <c r="B317" s="101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IFERROR(VLOOKUP(B317,input_589010!L:R,7,FALSE),VLOOKUP(tables_589010!C317,input_589010!A:H,8,FALSE))</f>
        <v>19200</v>
      </c>
      <c r="P317" s="46">
        <f t="shared" ca="1" si="13"/>
        <v>4.0000000000150088E-4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101" t="str">
        <f ca="1">input_589010!A$2</f>
        <v>589010</v>
      </c>
      <c r="B318" s="101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IFERROR(VLOOKUP(B318,input_589010!L:R,7,FALSE),VLOOKUP(tables_589010!C318,input_589010!A:H,8,FALSE))</f>
        <v>297142.85713999998</v>
      </c>
      <c r="P318" s="46">
        <f t="shared" ca="1" si="13"/>
        <v>6.1904761904398942E-3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101" t="str">
        <f ca="1">input_589010!A$2</f>
        <v>589010</v>
      </c>
      <c r="B319" s="101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IFERROR(VLOOKUP(B319,input_589010!L:R,7,FALSE),VLOOKUP(tables_589010!C319,input_589010!A:H,8,FALSE))</f>
        <v>80000</v>
      </c>
      <c r="P319" s="46">
        <f t="shared" ca="1" si="13"/>
        <v>1.6666666666729202E-3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101" t="str">
        <f ca="1">input_589010!A$2</f>
        <v>589010</v>
      </c>
      <c r="B320" s="101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IFERROR(VLOOKUP(B320,input_589010!L:R,7,FALSE),VLOOKUP(tables_589010!C320,input_589010!A:H,8,FALSE))</f>
        <v>19200</v>
      </c>
      <c r="P320" s="46">
        <f t="shared" ca="1" si="13"/>
        <v>4.0000000000150088E-4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101" t="str">
        <f ca="1">input_589010!A$2</f>
        <v>589010</v>
      </c>
      <c r="B321" s="101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IFERROR(VLOOKUP(B321,input_589010!L:R,7,FALSE),VLOOKUP(tables_589010!C321,input_589010!A:H,8,FALSE))</f>
        <v>19200</v>
      </c>
      <c r="P321" s="46">
        <f t="shared" ca="1" si="13"/>
        <v>4.0000000000150088E-4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101" t="str">
        <f ca="1">input_589010!A$2</f>
        <v>589010</v>
      </c>
      <c r="B322" s="101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IFERROR(VLOOKUP(B322,input_589010!L:R,7,FALSE),VLOOKUP(tables_589010!C322,input_589010!A:H,8,FALSE))</f>
        <v>19200</v>
      </c>
      <c r="P322" s="46">
        <f t="shared" ref="P322:P360" ca="1" si="23">O322/SUM(O:O)</f>
        <v>4.0000000000150088E-4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101" t="str">
        <f ca="1">input_589010!A$2</f>
        <v>589010</v>
      </c>
      <c r="B323" s="101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IFERROR(VLOOKUP(B323,input_589010!L:R,7,FALSE),VLOOKUP(tables_589010!C323,input_589010!A:H,8,FALSE))</f>
        <v>19200</v>
      </c>
      <c r="P323" s="46">
        <f t="shared" ca="1" si="23"/>
        <v>4.0000000000150088E-4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101" t="str">
        <f ca="1">input_589010!A$2</f>
        <v>589010</v>
      </c>
      <c r="B324" s="101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IFERROR(VLOOKUP(B324,input_589010!L:R,7,FALSE),VLOOKUP(tables_589010!C324,input_589010!A:H,8,FALSE))</f>
        <v>297142.85713999998</v>
      </c>
      <c r="P324" s="46">
        <f t="shared" ca="1" si="23"/>
        <v>6.1904761904398942E-3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101" t="str">
        <f ca="1">input_589010!A$2</f>
        <v>589010</v>
      </c>
      <c r="B325" s="101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IFERROR(VLOOKUP(B325,input_589010!L:R,7,FALSE),VLOOKUP(tables_589010!C325,input_589010!A:H,8,FALSE))</f>
        <v>80000</v>
      </c>
      <c r="P325" s="46">
        <f t="shared" ca="1" si="23"/>
        <v>1.6666666666729202E-3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101" t="str">
        <f ca="1">input_589010!A$2</f>
        <v>589010</v>
      </c>
      <c r="B326" s="101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IFERROR(VLOOKUP(B326,input_589010!L:R,7,FALSE),VLOOKUP(tables_589010!C326,input_589010!A:H,8,FALSE))</f>
        <v>297142.85713999998</v>
      </c>
      <c r="P326" s="46">
        <f t="shared" ca="1" si="23"/>
        <v>6.1904761904398942E-3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101" t="str">
        <f ca="1">input_589010!A$2</f>
        <v>589010</v>
      </c>
      <c r="B327" s="101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IFERROR(VLOOKUP(B327,input_589010!L:R,7,FALSE),VLOOKUP(tables_589010!C327,input_589010!A:H,8,FALSE))</f>
        <v>80000</v>
      </c>
      <c r="P327" s="46">
        <f t="shared" ca="1" si="23"/>
        <v>1.6666666666729202E-3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101" t="str">
        <f ca="1">input_589010!A$2</f>
        <v>589010</v>
      </c>
      <c r="B328" s="101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IFERROR(VLOOKUP(B328,input_589010!L:R,7,FALSE),VLOOKUP(tables_589010!C328,input_589010!A:H,8,FALSE))</f>
        <v>19200</v>
      </c>
      <c r="P328" s="46">
        <f t="shared" ca="1" si="23"/>
        <v>4.0000000000150088E-4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101" t="str">
        <f ca="1">input_589010!A$2</f>
        <v>589010</v>
      </c>
      <c r="B329" s="101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IFERROR(VLOOKUP(B329,input_589010!L:R,7,FALSE),VLOOKUP(tables_589010!C329,input_589010!A:H,8,FALSE))</f>
        <v>19200</v>
      </c>
      <c r="P329" s="46">
        <f t="shared" ca="1" si="23"/>
        <v>4.0000000000150088E-4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101" t="str">
        <f ca="1">input_589010!A$2</f>
        <v>589010</v>
      </c>
      <c r="B330" s="101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IFERROR(VLOOKUP(B330,input_589010!L:R,7,FALSE),VLOOKUP(tables_589010!C330,input_589010!A:H,8,FALSE))</f>
        <v>19200</v>
      </c>
      <c r="P330" s="46">
        <f t="shared" ca="1" si="23"/>
        <v>4.0000000000150088E-4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101" t="str">
        <f ca="1">input_589010!A$2</f>
        <v>589010</v>
      </c>
      <c r="B331" s="103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IFERROR(VLOOKUP(B331,input_589010!L:R,7,FALSE),VLOOKUP(tables_589010!C331,input_589010!A:H,8,FALSE))</f>
        <v>19200</v>
      </c>
      <c r="P331" s="46">
        <f t="shared" ca="1" si="23"/>
        <v>4.0000000000150088E-4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101" t="str">
        <f ca="1">input_589010!A$2</f>
        <v>589010</v>
      </c>
      <c r="B332" s="103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IFERROR(VLOOKUP(B332,input_589010!L:R,7,FALSE),VLOOKUP(tables_589010!C332,input_589010!A:H,8,FALSE))</f>
        <v>19200</v>
      </c>
      <c r="P332" s="46">
        <f t="shared" ca="1" si="23"/>
        <v>4.0000000000150088E-4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101" t="str">
        <f ca="1">input_589010!A$2</f>
        <v>589010</v>
      </c>
      <c r="B333" s="103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IFERROR(VLOOKUP(B333,input_589010!L:R,7,FALSE),VLOOKUP(tables_589010!C333,input_589010!A:H,8,FALSE))</f>
        <v>19200</v>
      </c>
      <c r="P333" s="46">
        <f t="shared" ca="1" si="23"/>
        <v>4.0000000000150088E-4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101" t="str">
        <f ca="1">input_589010!A$2</f>
        <v>589010</v>
      </c>
      <c r="B334" s="104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IFERROR(VLOOKUP(B334,input_589010!L:R,7,FALSE),VLOOKUP(tables_589010!C334,input_589010!A:H,8,FALSE))</f>
        <v>297142.85713999998</v>
      </c>
      <c r="P334" s="46">
        <f t="shared" ca="1" si="23"/>
        <v>6.1904761904398942E-3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101" t="str">
        <f ca="1">input_589010!A$2</f>
        <v>589010</v>
      </c>
      <c r="B335" s="103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IFERROR(VLOOKUP(B335,input_589010!L:R,7,FALSE),VLOOKUP(tables_589010!C335,input_589010!A:H,8,FALSE))</f>
        <v>80000</v>
      </c>
      <c r="P335" s="46">
        <f t="shared" ca="1" si="23"/>
        <v>1.6666666666729202E-3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101" t="str">
        <f ca="1">input_589010!A$2</f>
        <v>589010</v>
      </c>
      <c r="B336" s="103">
        <v>1228</v>
      </c>
      <c r="C336" s="7" t="str">
        <f t="shared" ref="C336:C340" si="28">D336&amp;J336&amp;E336&amp;F336&amp;G336</f>
        <v>PremiumSS5R5only</v>
      </c>
      <c r="D336" s="7" t="str">
        <f t="shared" ref="D336:D340" si="29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IFERROR(VLOOKUP(B336,input_589010!L:R,7,FALSE),VLOOKUP(tables_589010!C336,input_589010!A:H,8,FALSE))</f>
        <v>19200</v>
      </c>
      <c r="P336" s="46">
        <f t="shared" ca="1" si="23"/>
        <v>4.0000000000150088E-4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101" t="str">
        <f ca="1">input_589010!A$2</f>
        <v>589010</v>
      </c>
      <c r="B337" s="103">
        <v>1226</v>
      </c>
      <c r="C337" s="7" t="str">
        <f t="shared" si="28"/>
        <v>PremiumSS5R5only</v>
      </c>
      <c r="D337" s="7" t="str">
        <f t="shared" si="29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IFERROR(VLOOKUP(B337,input_589010!L:R,7,FALSE),VLOOKUP(tables_589010!C337,input_589010!A:H,8,FALSE))</f>
        <v>19200</v>
      </c>
      <c r="P337" s="46">
        <f t="shared" ca="1" si="23"/>
        <v>4.0000000000150088E-4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101" t="str">
        <f ca="1">input_589010!A$2</f>
        <v>589010</v>
      </c>
      <c r="B338" s="103">
        <v>1230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IFERROR(VLOOKUP(B338,input_589010!L:R,7,FALSE),VLOOKUP(tables_589010!C338,input_589010!A:H,8,FALSE))</f>
        <v>19200</v>
      </c>
      <c r="P338" s="46">
        <f t="shared" ca="1" si="23"/>
        <v>4.0000000000150088E-4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101" t="str">
        <f ca="1">input_589010!A$2</f>
        <v>589010</v>
      </c>
      <c r="B339" s="104">
        <v>1224</v>
      </c>
      <c r="C339" s="7" t="str">
        <f t="shared" si="28"/>
        <v>Premium4R3less</v>
      </c>
      <c r="D339" s="7" t="str">
        <f t="shared" si="29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IFERROR(VLOOKUP(B339,input_589010!L:R,7,FALSE),VLOOKUP(tables_589010!C339,input_589010!A:H,8,FALSE))</f>
        <v>297142.85713999998</v>
      </c>
      <c r="P339" s="46">
        <f t="shared" ca="1" si="23"/>
        <v>6.1904761904398942E-3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101" t="str">
        <f ca="1">input_589010!A$2</f>
        <v>589010</v>
      </c>
      <c r="B340" s="103">
        <v>1225</v>
      </c>
      <c r="C340" s="7" t="str">
        <f t="shared" si="28"/>
        <v>Premium5R3less</v>
      </c>
      <c r="D340" s="7" t="str">
        <f t="shared" si="29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IFERROR(VLOOKUP(B340,input_589010!L:R,7,FALSE),VLOOKUP(tables_589010!C340,input_589010!A:H,8,FALSE))</f>
        <v>80000</v>
      </c>
      <c r="P340" s="46">
        <f t="shared" ca="1" si="23"/>
        <v>1.6666666666729202E-3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101" t="str">
        <f ca="1">input_589010!A$2</f>
        <v>589010</v>
      </c>
      <c r="B341" s="101">
        <v>1250</v>
      </c>
      <c r="C341" s="7" t="str">
        <f t="shared" ref="C341:C345" si="30">D341&amp;J341&amp;E341&amp;F341&amp;G341</f>
        <v>PremiumSS5R5only</v>
      </c>
      <c r="D341" s="7" t="str">
        <f t="shared" ref="D341:D345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IFERROR(VLOOKUP(B341,input_589010!L:R,7,FALSE),VLOOKUP(tables_589010!C341,input_589010!A:H,8,FALSE))</f>
        <v>19200</v>
      </c>
      <c r="P341" s="46">
        <f t="shared" ca="1" si="23"/>
        <v>4.0000000000150088E-4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101" t="str">
        <f ca="1">input_589010!A$2</f>
        <v>589010</v>
      </c>
      <c r="B342" s="101">
        <v>1244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IFERROR(VLOOKUP(B342,input_589010!L:R,7,FALSE),VLOOKUP(tables_589010!C342,input_589010!A:H,8,FALSE))</f>
        <v>19200</v>
      </c>
      <c r="P342" s="46">
        <f t="shared" ca="1" si="23"/>
        <v>4.0000000000150088E-4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101" t="str">
        <f ca="1">input_589010!A$2</f>
        <v>589010</v>
      </c>
      <c r="B343" s="101">
        <v>1246</v>
      </c>
      <c r="C343" s="7" t="str">
        <f t="shared" si="30"/>
        <v>PremiumSS5R5only</v>
      </c>
      <c r="D343" s="7" t="str">
        <f t="shared" si="31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IFERROR(VLOOKUP(B343,input_589010!L:R,7,FALSE),VLOOKUP(tables_589010!C343,input_589010!A:H,8,FALSE))</f>
        <v>19200</v>
      </c>
      <c r="P343" s="46">
        <f t="shared" ca="1" si="23"/>
        <v>4.0000000000150088E-4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101" t="str">
        <f ca="1">input_589010!A$2</f>
        <v>589010</v>
      </c>
      <c r="B344" s="101">
        <v>1248</v>
      </c>
      <c r="C344" s="7" t="str">
        <f t="shared" si="30"/>
        <v>Premium4R3less</v>
      </c>
      <c r="D344" s="7" t="str">
        <f t="shared" si="31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IFERROR(VLOOKUP(B344,input_589010!L:R,7,FALSE),VLOOKUP(tables_589010!C344,input_589010!A:H,8,FALSE))</f>
        <v>297142.85713999998</v>
      </c>
      <c r="P344" s="46">
        <f t="shared" ca="1" si="23"/>
        <v>6.1904761904398942E-3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101" t="str">
        <f ca="1">input_589010!A$2</f>
        <v>589010</v>
      </c>
      <c r="B345" s="101">
        <v>1249</v>
      </c>
      <c r="C345" s="7" t="str">
        <f t="shared" si="30"/>
        <v>Premium5R3less</v>
      </c>
      <c r="D345" s="7" t="str">
        <f t="shared" si="31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IFERROR(VLOOKUP(B345,input_589010!L:R,7,FALSE),VLOOKUP(tables_589010!C345,input_589010!A:H,8,FALSE))</f>
        <v>80000</v>
      </c>
      <c r="P345" s="46">
        <f t="shared" ca="1" si="23"/>
        <v>1.6666666666729202E-3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101" t="str">
        <f ca="1">input_589010!A$2</f>
        <v>589010</v>
      </c>
      <c r="B346" s="101">
        <v>1260</v>
      </c>
      <c r="C346" s="7" t="str">
        <f t="shared" ref="C346:C348" si="32">D346&amp;J346&amp;E346&amp;F346&amp;G346</f>
        <v>PremiumSS5R5only</v>
      </c>
      <c r="D346" s="7" t="str">
        <f t="shared" ref="D346:D348" si="33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IFERROR(VLOOKUP(B346,input_589010!L:R,7,FALSE),VLOOKUP(tables_589010!C346,input_589010!A:H,8,FALSE))</f>
        <v>19200</v>
      </c>
      <c r="P346" s="46">
        <f t="shared" ca="1" si="23"/>
        <v>4.0000000000150088E-4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101" t="str">
        <f ca="1">input_589010!A$2</f>
        <v>589010</v>
      </c>
      <c r="B347" s="101">
        <v>1262</v>
      </c>
      <c r="C347" s="7" t="str">
        <f t="shared" si="32"/>
        <v>PremiumSS5R5only</v>
      </c>
      <c r="D347" s="7" t="str">
        <f t="shared" si="33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IFERROR(VLOOKUP(B347,input_589010!L:R,7,FALSE),VLOOKUP(tables_589010!C347,input_589010!A:H,8,FALSE))</f>
        <v>19200</v>
      </c>
      <c r="P347" s="46">
        <f t="shared" ca="1" si="23"/>
        <v>4.0000000000150088E-4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101" t="str">
        <f ca="1">input_589010!A$2</f>
        <v>589010</v>
      </c>
      <c r="B348" s="101">
        <v>1264</v>
      </c>
      <c r="C348" s="7" t="str">
        <f t="shared" si="32"/>
        <v>PremiumSS5R5only</v>
      </c>
      <c r="D348" s="7" t="str">
        <f t="shared" si="33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IFERROR(VLOOKUP(B348,input_589010!L:R,7,FALSE),VLOOKUP(tables_589010!C348,input_589010!A:H,8,FALSE))</f>
        <v>19200</v>
      </c>
      <c r="P348" s="46">
        <f t="shared" ca="1" si="23"/>
        <v>4.0000000000150088E-4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101" t="str">
        <f ca="1">input_589010!A$2</f>
        <v>589010</v>
      </c>
      <c r="B349" s="101">
        <v>1266</v>
      </c>
      <c r="C349" s="7" t="str">
        <f t="shared" ref="C349" si="34">D349&amp;J349&amp;E349&amp;F349&amp;G349</f>
        <v>Premium4R3less</v>
      </c>
      <c r="D349" s="7" t="str">
        <f t="shared" ref="D349" si="35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IFERROR(VLOOKUP(B349,input_589010!L:R,7,FALSE),VLOOKUP(tables_589010!C349,input_589010!A:H,8,FALSE))</f>
        <v>297142.85713999998</v>
      </c>
      <c r="P349" s="46">
        <f t="shared" ca="1" si="23"/>
        <v>6.1904761904398942E-3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101" t="str">
        <f ca="1">input_589010!A$2</f>
        <v>589010</v>
      </c>
      <c r="B350" s="101">
        <v>1267</v>
      </c>
      <c r="C350" s="7" t="str">
        <f t="shared" ref="C350" si="36">D350&amp;J350&amp;E350&amp;F350&amp;G350</f>
        <v>Premium5R3less</v>
      </c>
      <c r="D350" s="7" t="str">
        <f t="shared" ref="D350" si="37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IFERROR(VLOOKUP(B350,input_589010!L:R,7,FALSE),VLOOKUP(tables_589010!C350,input_589010!A:H,8,FALSE))</f>
        <v>80000</v>
      </c>
      <c r="P350" s="46">
        <f t="shared" ca="1" si="23"/>
        <v>1.6666666666729202E-3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101" t="str">
        <f ca="1">input_589010!A$2</f>
        <v>589010</v>
      </c>
      <c r="B351" s="101">
        <v>1332</v>
      </c>
      <c r="C351" s="7" t="str">
        <f t="shared" ref="C351:C354" si="38">D351&amp;J351&amp;E351&amp;F351&amp;G351</f>
        <v>PremiumSS5R5only</v>
      </c>
      <c r="D351" s="7" t="str">
        <f t="shared" ref="D351:D354" si="39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IFERROR(VLOOKUP(B351,input_589010!L:R,7,FALSE),VLOOKUP(tables_589010!C351,input_589010!A:H,8,FALSE))</f>
        <v>19200</v>
      </c>
      <c r="P351" s="46">
        <f t="shared" ca="1" si="23"/>
        <v>4.0000000000150088E-4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101" t="str">
        <f ca="1">input_589010!A$2</f>
        <v>589010</v>
      </c>
      <c r="B352" s="101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IFERROR(VLOOKUP(B352,input_589010!L:R,7,FALSE),VLOOKUP(tables_589010!C352,input_589010!A:H,8,FALSE))</f>
        <v>19200</v>
      </c>
      <c r="P352" s="46">
        <f t="shared" ca="1" si="23"/>
        <v>4.0000000000150088E-4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101" t="str">
        <f ca="1">input_589010!A$2</f>
        <v>589010</v>
      </c>
      <c r="B353" s="101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IFERROR(VLOOKUP(B353,input_589010!L:R,7,FALSE),VLOOKUP(tables_589010!C353,input_589010!A:H,8,FALSE))</f>
        <v>19200</v>
      </c>
      <c r="P353" s="46">
        <f t="shared" ca="1" si="23"/>
        <v>4.0000000000150088E-4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101" t="str">
        <f ca="1">input_589010!A$2</f>
        <v>589010</v>
      </c>
      <c r="B354" s="101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IFERROR(VLOOKUP(B354,input_589010!L:R,7,FALSE),VLOOKUP(tables_589010!C354,input_589010!A:H,8,FALSE))</f>
        <v>297142.85713999998</v>
      </c>
      <c r="P354" s="46">
        <f t="shared" ca="1" si="23"/>
        <v>6.1904761904398942E-3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101" t="str">
        <f ca="1">input_589010!A$2</f>
        <v>589010</v>
      </c>
      <c r="B355" s="101">
        <v>1335</v>
      </c>
      <c r="C355" s="7" t="str">
        <f t="shared" ref="C355:C359" si="40">D355&amp;J355&amp;E355&amp;F355&amp;G355</f>
        <v>Premium5R3less</v>
      </c>
      <c r="D355" s="7" t="str">
        <f t="shared" ref="D355:D359" si="41">IF(OR(I355="PremiumSS",I355="PremiumSSw"),"PremiumSS",IF(I355="PremiumSSS",I355,IF(I355="PremiumW",IF(J355=5,"premium",I355),"Premium")))</f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IFERROR(VLOOKUP(B355,input_589010!L:R,7,FALSE),VLOOKUP(tables_589010!C355,input_589010!A:H,8,FALSE))</f>
        <v>80000</v>
      </c>
      <c r="P355" s="46">
        <f t="shared" ca="1" si="23"/>
        <v>1.6666666666729202E-3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s="102" customFormat="1" ht="21" customHeight="1" x14ac:dyDescent="0.15">
      <c r="A356" s="101" t="str">
        <f ca="1">input_589010!A$2</f>
        <v>589010</v>
      </c>
      <c r="B356" s="101">
        <v>1385</v>
      </c>
      <c r="C356" s="7" t="str">
        <f t="shared" ref="C356:C362" si="42">D356&amp;J356&amp;E356&amp;F356&amp;G356</f>
        <v>PremiumSS5R5only</v>
      </c>
      <c r="D356" s="7" t="str">
        <f t="shared" ref="D356:D362" si="43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いばら姫</v>
      </c>
      <c r="I356" s="7" t="str">
        <f>VLOOKUP(B356,[1]characters!$A:$J,10,FALSE)</f>
        <v>PremiumSSw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attack</v>
      </c>
      <c r="M356" s="7" t="str">
        <f>VLOOKUP(B356,[1]characters!$A:$M,13,FALSE)</f>
        <v>fantasy</v>
      </c>
      <c r="N356" s="7">
        <f>VLOOKUP(B356,[1]characters!$A:$G,7,FALSE)</f>
        <v>0</v>
      </c>
      <c r="O356" s="45">
        <f ca="1">IFERROR(VLOOKUP(B356,input_589010!L:R,7,FALSE),VLOOKUP(tables_589010!C356,input_589010!A:H,8,FALSE))</f>
        <v>19200</v>
      </c>
      <c r="P356" s="46">
        <f t="shared" ref="P356:P362" ca="1" si="44">O356/SUM(O:O)</f>
        <v>4.0000000000150088E-4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s="102" customFormat="1" ht="21" customHeight="1" x14ac:dyDescent="0.15">
      <c r="A357" s="101" t="str">
        <f ca="1">input_589010!A$2</f>
        <v>589010</v>
      </c>
      <c r="B357" s="101">
        <v>1387</v>
      </c>
      <c r="C357" s="7" t="str">
        <f t="shared" si="42"/>
        <v>PremiumSS5R5only</v>
      </c>
      <c r="D357" s="7" t="str">
        <f t="shared" si="43"/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ダルタニャン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attack</v>
      </c>
      <c r="M357" s="7" t="str">
        <f>VLOOKUP(B357,[1]characters!$A:$M,13,FALSE)</f>
        <v>hero</v>
      </c>
      <c r="N357" s="7">
        <f>VLOOKUP(B357,[1]characters!$A:$G,7,FALSE)</f>
        <v>0</v>
      </c>
      <c r="O357" s="45">
        <f ca="1">IFERROR(VLOOKUP(B357,input_589010!L:R,7,FALSE),VLOOKUP(tables_589010!C357,input_589010!A:H,8,FALSE))</f>
        <v>19200</v>
      </c>
      <c r="P357" s="46">
        <f t="shared" ca="1" si="44"/>
        <v>4.0000000000150088E-4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s="102" customFormat="1" ht="21" customHeight="1" x14ac:dyDescent="0.15">
      <c r="A358" s="101" t="str">
        <f ca="1">input_589010!A$2</f>
        <v>589010</v>
      </c>
      <c r="B358" s="101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IFERROR(VLOOKUP(B358,input_589010!L:R,7,FALSE),VLOOKUP(tables_589010!C358,input_589010!A:H,8,FALSE))</f>
        <v>19200</v>
      </c>
      <c r="P358" s="46">
        <f t="shared" ca="1" si="44"/>
        <v>4.0000000000150088E-4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s="102" customFormat="1" ht="21" customHeight="1" x14ac:dyDescent="0.15">
      <c r="A359" s="101" t="str">
        <f ca="1">input_589010!A$2</f>
        <v>589010</v>
      </c>
      <c r="B359" s="101">
        <v>1381</v>
      </c>
      <c r="C359" s="7" t="str">
        <f t="shared" si="42"/>
        <v>Premium4R3less</v>
      </c>
      <c r="D359" s="7" t="str">
        <f t="shared" si="43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ガリバー</v>
      </c>
      <c r="I359" s="7" t="str">
        <f>VLOOKUP(B359,[1]characters!$A:$J,10,FALSE)</f>
        <v>PremiumS</v>
      </c>
      <c r="J359" s="7">
        <f>VLOOKUP(B359,[1]characters!$A:$I,9,FALSE)</f>
        <v>4</v>
      </c>
      <c r="K359" s="7" t="str">
        <f>VLOOKUP(B359,[1]characters!$A:$H,8,FALSE)</f>
        <v>red</v>
      </c>
      <c r="L359" s="7" t="str">
        <f>VLOOKUP(B359,[1]characters!$A:$K,11,FALSE)</f>
        <v>hp</v>
      </c>
      <c r="M359" s="7" t="str">
        <f>VLOOKUP(B359,[1]characters!$A:$M,13,FALSE)</f>
        <v>human</v>
      </c>
      <c r="N359" s="7">
        <f>VLOOKUP(B359,[1]characters!$A:$G,7,FALSE)</f>
        <v>0</v>
      </c>
      <c r="O359" s="45">
        <f ca="1">IFERROR(VLOOKUP(B359,input_589010!L:R,7,FALSE),VLOOKUP(tables_589010!C359,input_589010!A:H,8,FALSE))</f>
        <v>297142.85713999998</v>
      </c>
      <c r="P359" s="46">
        <f t="shared" ca="1" si="44"/>
        <v>6.1904761904398942E-3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s="102" customFormat="1" ht="21" customHeight="1" x14ac:dyDescent="0.15">
      <c r="A360" s="101" t="str">
        <f ca="1">input_589010!A$2</f>
        <v>589010</v>
      </c>
      <c r="B360" s="101">
        <v>1382</v>
      </c>
      <c r="C360" s="7" t="str">
        <f t="shared" si="42"/>
        <v>Premium5R3less</v>
      </c>
      <c r="D360" s="7" t="str">
        <f t="shared" si="43"/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賢巨なる渡来者 ガリバー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red</v>
      </c>
      <c r="L360" s="7" t="str">
        <f>VLOOKUP(B360,[1]characters!$A:$K,11,FALSE)</f>
        <v>hp</v>
      </c>
      <c r="M360" s="7" t="str">
        <f>VLOOKUP(B360,[1]characters!$A:$M,13,FALSE)</f>
        <v>human</v>
      </c>
      <c r="N360" s="7">
        <f>VLOOKUP(B360,[1]characters!$A:$G,7,FALSE)</f>
        <v>0</v>
      </c>
      <c r="O360" s="45">
        <f ca="1">IFERROR(VLOOKUP(B360,input_589010!L:R,7,FALSE),VLOOKUP(tables_589010!C360,input_589010!A:H,8,FALSE))</f>
        <v>80000</v>
      </c>
      <c r="P360" s="46">
        <f t="shared" ca="1" si="44"/>
        <v>1.6666666666729202E-3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101" t="str">
        <f ca="1">input_589010!A$2</f>
        <v>589010</v>
      </c>
      <c r="B361" s="5">
        <v>1444</v>
      </c>
      <c r="C361" s="7" t="str">
        <f t="shared" ref="C361" si="45">D361&amp;J361&amp;E361&amp;F361&amp;G361</f>
        <v>PremiumSS5R5only</v>
      </c>
      <c r="D361" s="7" t="str">
        <f t="shared" ref="D361" si="46">IF(OR(I361="PremiumSS",I361="PremiumSSw"),"PremiumSS",IF(I361="PremiumSSS",I361,IF(I361="PremiumW",IF(J361=5,"premium",I361),"Premium")))</f>
        <v>PremiumSS</v>
      </c>
      <c r="E361" s="7" t="str">
        <f>IF(COUNTIF('R6追加前'!A:A,B361)=0,IF(OR(I361="PremiumSS",I361="PremiumSSw"),"R5only","R3less"),"")</f>
        <v>R5only</v>
      </c>
      <c r="F361" s="7" t="str">
        <f>IF(COUNTIF('R6開放'!A:A,B361)&gt;0,"R6release","")</f>
        <v/>
      </c>
      <c r="G361" s="7"/>
      <c r="H361" s="7" t="str">
        <f>VLOOKUP(B361,[1]characters!$A:$C,3,FALSE)</f>
        <v>クレオパトラR5</v>
      </c>
      <c r="I361" s="7" t="str">
        <f>VLOOKUP(B361,[1]characters!$A:$J,10,FALSE)</f>
        <v>PremiumSSw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>
        <f>VLOOKUP(B361,[1]characters!$A:$G,7,FALSE)</f>
        <v>0</v>
      </c>
      <c r="O361" s="45">
        <f>IFERROR(VLOOKUP(B361,input_589010!L:R,7,FALSE),VLOOKUP(tables_589010!C361,input_589010!A:H,8,FALSE))</f>
        <v>480000</v>
      </c>
      <c r="P361" s="46">
        <f t="shared" ref="P361" ca="1" si="47">O361/SUM(O:O)</f>
        <v>1.0000000000037522E-2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5">
        <v>20</v>
      </c>
    </row>
    <row r="362" spans="1:22" ht="21" customHeight="1" x14ac:dyDescent="0.15">
      <c r="A362" s="101" t="str">
        <f ca="1">input_589010!A$2</f>
        <v>589010</v>
      </c>
      <c r="B362" s="5">
        <v>1446</v>
      </c>
      <c r="C362" s="7" t="str">
        <f t="shared" ref="C362:C365" si="48">D362&amp;J362&amp;E362&amp;F362&amp;G362</f>
        <v>PremiumSS5R5only</v>
      </c>
      <c r="D362" s="7" t="str">
        <f t="shared" ref="D362:D365" si="49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カエサルR5</v>
      </c>
      <c r="I362" s="7" t="str">
        <f>VLOOKUP(B362,[1]characters!$A:$J,10,FALSE)</f>
        <v>PremiumSS</v>
      </c>
      <c r="J362" s="7">
        <f>VLOOKUP(B362,[1]characters!$A:$I,9,FALSE)</f>
        <v>5</v>
      </c>
      <c r="K362" s="7" t="str">
        <f>VLOOKUP(B362,[1]characters!$A:$H,8,FALSE)</f>
        <v>green</v>
      </c>
      <c r="L362" s="7" t="str">
        <f>VLOOKUP(B362,[1]characters!$A:$K,11,FALSE)</f>
        <v>technical</v>
      </c>
      <c r="M362" s="7" t="str">
        <f>VLOOKUP(B362,[1]characters!$A:$M,13,FALSE)</f>
        <v>hero</v>
      </c>
      <c r="N362" s="7">
        <f>VLOOKUP(B362,[1]characters!$A:$G,7,FALSE)</f>
        <v>0</v>
      </c>
      <c r="O362" s="45">
        <f>IFERROR(VLOOKUP(B362,input_589010!L:R,7,FALSE),VLOOKUP(tables_589010!C362,input_589010!A:H,8,FALSE))</f>
        <v>1440000</v>
      </c>
      <c r="P362" s="46">
        <f t="shared" ref="P362:P365" ca="1" si="50">O362/SUM(O:O)</f>
        <v>3.0000000000112565E-2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5">
        <v>5</v>
      </c>
    </row>
    <row r="363" spans="1:22" ht="21" customHeight="1" x14ac:dyDescent="0.15">
      <c r="A363" s="101" t="str">
        <f ca="1">input_589010!A$2</f>
        <v>589010</v>
      </c>
      <c r="B363" s="5">
        <v>1448</v>
      </c>
      <c r="C363" s="7" t="str">
        <f t="shared" si="48"/>
        <v>PremiumSS5R5only</v>
      </c>
      <c r="D363" s="7" t="str">
        <f t="shared" si="49"/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ハンニバルR5</v>
      </c>
      <c r="I363" s="7" t="str">
        <f>VLOOKUP(B363,[1]characters!$A:$J,10,FALSE)</f>
        <v>PremiumSS</v>
      </c>
      <c r="J363" s="7">
        <f>VLOOKUP(B363,[1]characters!$A:$I,9,FALSE)</f>
        <v>5</v>
      </c>
      <c r="K363" s="7" t="str">
        <f>VLOOKUP(B363,[1]characters!$A:$H,8,FALSE)</f>
        <v>blue</v>
      </c>
      <c r="L363" s="7" t="str">
        <f>VLOOKUP(B363,[1]characters!$A:$K,11,FALSE)</f>
        <v>balance</v>
      </c>
      <c r="M363" s="7" t="str">
        <f>VLOOKUP(B363,[1]characters!$A:$M,13,FALSE)</f>
        <v>hero</v>
      </c>
      <c r="N363" s="7">
        <f>VLOOKUP(B363,[1]characters!$A:$G,7,FALSE)</f>
        <v>0</v>
      </c>
      <c r="O363" s="45">
        <f>IFERROR(VLOOKUP(B363,input_589010!L:R,7,FALSE),VLOOKUP(tables_589010!C363,input_589010!A:H,8,FALSE))</f>
        <v>1440000</v>
      </c>
      <c r="P363" s="46">
        <f t="shared" ca="1" si="50"/>
        <v>3.0000000000112565E-2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5">
        <v>5</v>
      </c>
    </row>
    <row r="364" spans="1:22" ht="21" customHeight="1" x14ac:dyDescent="0.15">
      <c r="A364" s="101" t="str">
        <f ca="1">input_589010!A$2</f>
        <v>589010</v>
      </c>
      <c r="B364" s="5">
        <v>1450</v>
      </c>
      <c r="C364" s="7" t="str">
        <f t="shared" si="48"/>
        <v>Premium4R3less</v>
      </c>
      <c r="D364" s="7" t="str">
        <f t="shared" si="49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ブーディカR4</v>
      </c>
      <c r="I364" s="7" t="str">
        <f>VLOOKUP(B364,[1]characters!$A:$J,10,FALSE)</f>
        <v>PremiumS</v>
      </c>
      <c r="J364" s="7">
        <f>VLOOKUP(B364,[1]characters!$A:$I,9,FALSE)</f>
        <v>4</v>
      </c>
      <c r="K364" s="7" t="str">
        <f>VLOOKUP(B364,[1]characters!$A:$H,8,FALSE)</f>
        <v>yellow</v>
      </c>
      <c r="L364" s="7" t="str">
        <f>VLOOKUP(B364,[1]characters!$A:$K,11,FALSE)</f>
        <v>heal</v>
      </c>
      <c r="M364" s="7" t="str">
        <f>VLOOKUP(B364,[1]characters!$A:$M,13,FALSE)</f>
        <v>hero</v>
      </c>
      <c r="N364" s="7">
        <f>VLOOKUP(B364,[1]characters!$A:$G,7,FALSE)</f>
        <v>0</v>
      </c>
      <c r="O364" s="45">
        <f>IFERROR(VLOOKUP(B364,input_589010!L:R,7,FALSE),VLOOKUP(tables_589010!C364,input_589010!A:H,8,FALSE))</f>
        <v>2400000</v>
      </c>
      <c r="P364" s="46">
        <f t="shared" ca="1" si="50"/>
        <v>5.000000000018761E-2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5">
        <v>3</v>
      </c>
    </row>
    <row r="365" spans="1:22" ht="21" customHeight="1" x14ac:dyDescent="0.15">
      <c r="A365" s="101" t="str">
        <f ca="1">input_589010!A$2</f>
        <v>589010</v>
      </c>
      <c r="B365" s="5">
        <v>1451</v>
      </c>
      <c r="C365" s="7" t="str">
        <f t="shared" si="48"/>
        <v>Premium5R3less</v>
      </c>
      <c r="D365" s="7" t="str">
        <f t="shared" si="49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ブーディカR5</v>
      </c>
      <c r="I365" s="7" t="str">
        <f>VLOOKUP(B365,[1]characters!$A:$J,10,FALSE)</f>
        <v>PremiumS</v>
      </c>
      <c r="J365" s="7">
        <f>VLOOKUP(B365,[1]characters!$A:$I,9,FALSE)</f>
        <v>5</v>
      </c>
      <c r="K365" s="7" t="str">
        <f>VLOOKUP(B365,[1]characters!$A:$H,8,FALSE)</f>
        <v>yellow</v>
      </c>
      <c r="L365" s="7" t="str">
        <f>VLOOKUP(B365,[1]characters!$A:$K,11,FALSE)</f>
        <v>heal</v>
      </c>
      <c r="M365" s="7" t="str">
        <f>VLOOKUP(B365,[1]characters!$A:$M,13,FALSE)</f>
        <v>hero</v>
      </c>
      <c r="N365" s="7">
        <f>VLOOKUP(B365,[1]characters!$A:$G,7,FALSE)</f>
        <v>0</v>
      </c>
      <c r="O365" s="45">
        <f>IFERROR(VLOOKUP(B365,input_589010!L:R,7,FALSE),VLOOKUP(tables_589010!C365,input_589010!A:H,8,FALSE))</f>
        <v>2400000</v>
      </c>
      <c r="P365" s="46">
        <f t="shared" ca="1" si="50"/>
        <v>5.000000000018761E-2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5">
        <v>3</v>
      </c>
    </row>
  </sheetData>
  <autoFilter ref="A1:V350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F49" sqref="F48: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589100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1444</v>
      </c>
      <c r="M3" s="37" t="str">
        <f>VLOOKUP(L3,[1]characters!$A:$C,3,FALSE)</f>
        <v>クレオパトラR5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VLOOKUP(L3,tables_589100!B:C,2,FALSE)</f>
        <v>PremiumSS5R5only</v>
      </c>
      <c r="R3" s="62">
        <f t="shared" ref="R3:R20" si="1">N3*A$36</f>
        <v>480000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1446</v>
      </c>
      <c r="M4" s="37" t="str">
        <f>VLOOKUP(L4,[1]characters!$A:$C,3,FALSE)</f>
        <v>カエサルR5</v>
      </c>
      <c r="N4" s="63">
        <v>0.03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VLOOKUP(L4,tables_589100!B:C,2,FALSE)</f>
        <v>PremiumSS5R5only</v>
      </c>
      <c r="R4" s="62">
        <f t="shared" si="1"/>
        <v>1440000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3.9999999999999996E-4</v>
      </c>
      <c r="F5">
        <f>(COUNTIF(tables_589100!C:C,input_589100!A28)+COUNTIF(tables_589100!C:C,input_589100!A29))</f>
        <v>78</v>
      </c>
      <c r="H5" s="83">
        <v>7.0000000000000007E-2</v>
      </c>
      <c r="I5" s="31">
        <v>3</v>
      </c>
      <c r="L5" s="1">
        <v>1448</v>
      </c>
      <c r="M5" s="37" t="str">
        <f>VLOOKUP(L5,[1]characters!$A:$C,3,FALSE)</f>
        <v>ハンニバルR5</v>
      </c>
      <c r="N5" s="63">
        <v>0.03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VLOOKUP(L5,tables_589100!B:C,2,FALSE)</f>
        <v>PremiumSS5R5only</v>
      </c>
      <c r="R5" s="62">
        <f t="shared" si="1"/>
        <v>1440000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</v>
      </c>
      <c r="D6" t="s">
        <v>202</v>
      </c>
      <c r="E6" s="76">
        <f>(B10-H6)/(F6-I6)</f>
        <v>8.3333333333333332E-3</v>
      </c>
      <c r="F6">
        <f>(COUNTIF(tables_589100!C:C,input_589100!A25)+COUNTIF(tables_589100!C:C,input_589100!A18)+COUNTIF(tables_589100!C:C,input_589100!A20)+COUNTIF(tables_589100!C:C,input_589100!A22))</f>
        <v>98</v>
      </c>
      <c r="H6" s="88">
        <v>0.1</v>
      </c>
      <c r="I6" s="31">
        <v>2</v>
      </c>
      <c r="L6" s="1">
        <v>1450</v>
      </c>
      <c r="M6" s="37" t="str">
        <f>VLOOKUP(L6,[1]characters!$A:$C,3,FALSE)</f>
        <v>ブーディカR4</v>
      </c>
      <c r="N6" s="63">
        <v>0.05</v>
      </c>
      <c r="O6" s="37">
        <f>VLOOKUP(L6,[1]characters!$A:$I,9,FALSE)</f>
        <v>4</v>
      </c>
      <c r="P6" s="37" t="str">
        <f>VLOOKUP(L6,[1]characters!$A:$J,10,FALSE)</f>
        <v>PremiumS</v>
      </c>
      <c r="Q6" s="37" t="str">
        <f>VLOOKUP(L6,tables_589100!B:C,2,FALSE)</f>
        <v>Premium4R3less</v>
      </c>
      <c r="R6" s="62">
        <f t="shared" si="1"/>
        <v>2400000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1">
        <v>1451</v>
      </c>
      <c r="M7" s="37" t="str">
        <f>VLOOKUP(L7,[1]characters!$A:$C,3,FALSE)</f>
        <v>ブーディカR5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VLOOKUP(L7,tables_589100!B:C,2,FALSE)</f>
        <v>Premium5R3less</v>
      </c>
      <c r="R7" s="62">
        <f t="shared" si="1"/>
        <v>2400000</v>
      </c>
      <c r="S7">
        <v>597</v>
      </c>
      <c r="U7" s="33" t="s">
        <v>196</v>
      </c>
      <c r="V7" s="54">
        <f t="shared" si="0"/>
        <v>0.05</v>
      </c>
    </row>
    <row r="8" spans="1:22" x14ac:dyDescent="0.15">
      <c r="A8" s="57"/>
      <c r="B8" s="71"/>
      <c r="E8" s="76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VLOOKUP(L8,tables_589100!B:C,2,FALSE)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0.05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VLOOKUP(L9,tables_589100!B:C,2,FALSE)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VLOOKUP(L10,tables_589100!B:C,2,FALSE)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VLOOKUP(L11,tables_589100!B:C,2,FALSE)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VLOOKUP(L12,tables_589100!B:C,2,FALSE)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VLOOKUP(L13,tables_589100!B:C,2,FALSE)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VLOOKUP(L14,tables_589100!B:C,2,FALSE)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7.0000000000000007E-2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VLOOKUP(L15,tables_589100!B:C,2,FALSE)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VLOOKUP(L16,tables_589100!B:C,2,FALSE)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COUNTIF(tables_589100!C:C,input_589100!A17)-COUNTIF(Q:Q,A17)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VLOOKUP(L17,tables_589100!B:C,2,FALSE)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0.23770666666666673</v>
      </c>
      <c r="C18" s="84">
        <f t="shared" si="2"/>
        <v>0</v>
      </c>
      <c r="D18" s="74">
        <f t="shared" si="3"/>
        <v>0.23770666666666673</v>
      </c>
      <c r="E18">
        <f>COUNTIF(tables_589100!C:C,input_589100!A18)-COUNTIF(Q:Q,A18)</f>
        <v>20</v>
      </c>
      <c r="F18" s="43">
        <f>IFERROR(B18/E18,0)</f>
        <v>1.1885333333333336E-2</v>
      </c>
      <c r="G18">
        <f t="shared" si="4"/>
        <v>11409920.000000004</v>
      </c>
      <c r="H18">
        <f t="shared" si="5"/>
        <v>570496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VLOOKUP(L18,tables_589100!B:C,2,FALSE)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COUNTIF(tables_589100!C:C,input_589100!A19)-COUNTIF(Q:Q,A19)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VLOOKUP(L19,tables_589100!B:C,2,FALSE)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0.34666666666666668</v>
      </c>
      <c r="C20" s="84">
        <f t="shared" si="2"/>
        <v>0</v>
      </c>
      <c r="D20" s="74">
        <f t="shared" si="3"/>
        <v>0.34666666666666668</v>
      </c>
      <c r="E20">
        <f>COUNTIF(tables_589100!C:C,input_589100!A20)-COUNTIF(Q:Q,A20)</f>
        <v>52</v>
      </c>
      <c r="F20" s="43">
        <f t="shared" si="8"/>
        <v>6.6666666666666671E-3</v>
      </c>
      <c r="G20">
        <f t="shared" si="4"/>
        <v>16640000</v>
      </c>
      <c r="H20">
        <f t="shared" si="5"/>
        <v>320000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VLOOKUP(L20,tables_589100!B:C,2,FALSE)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7.29333333333336E-3</v>
      </c>
      <c r="C21" s="84">
        <f t="shared" si="2"/>
        <v>0</v>
      </c>
      <c r="D21" s="74">
        <f t="shared" si="3"/>
        <v>7.29333333333336E-3</v>
      </c>
      <c r="E21">
        <f>COUNTIF(tables_589100!C:C,input_589100!A21)-COUNTIF(Q:Q,A21)</f>
        <v>52</v>
      </c>
      <c r="F21" s="43">
        <f t="shared" si="8"/>
        <v>1.4025641025641077E-4</v>
      </c>
      <c r="G21">
        <f t="shared" si="4"/>
        <v>350080.00000000128</v>
      </c>
      <c r="H21">
        <f t="shared" si="5"/>
        <v>6732.3076899999996</v>
      </c>
      <c r="I21">
        <f t="shared" si="6"/>
        <v>0.30768999999963853</v>
      </c>
      <c r="J21">
        <f t="shared" si="7"/>
        <v>3.2500243751866318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0.12999999999999998</v>
      </c>
      <c r="C22" s="84">
        <f t="shared" si="2"/>
        <v>0.05</v>
      </c>
      <c r="D22" s="74">
        <f t="shared" si="3"/>
        <v>7.9999999999999974E-2</v>
      </c>
      <c r="E22">
        <f>COUNTIF(tables_589100!C:C,input_589100!A22)-COUNTIF(Q:Q,A22)</f>
        <v>21</v>
      </c>
      <c r="F22" s="43">
        <f t="shared" si="8"/>
        <v>6.190476190476189E-3</v>
      </c>
      <c r="G22">
        <f t="shared" si="4"/>
        <v>6239999.9999999991</v>
      </c>
      <c r="H22">
        <f t="shared" si="5"/>
        <v>297142.85713999998</v>
      </c>
      <c r="I22">
        <f t="shared" si="6"/>
        <v>0.8571399999782443</v>
      </c>
      <c r="J22">
        <f t="shared" si="7"/>
        <v>1.1666705555981307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4.5000000000000005E-2</v>
      </c>
      <c r="C23" s="84">
        <f t="shared" si="2"/>
        <v>0.05</v>
      </c>
      <c r="D23" s="74">
        <f t="shared" si="3"/>
        <v>-4.9999999999999975E-3</v>
      </c>
      <c r="E23">
        <f>COUNTIF(tables_589100!C:C,input_589100!A23)-COUNTIF(Q:Q,A23)</f>
        <v>27</v>
      </c>
      <c r="F23" s="43">
        <f t="shared" si="8"/>
        <v>1.6666666666666668E-3</v>
      </c>
      <c r="G23">
        <f t="shared" si="4"/>
        <v>2160000.0000000005</v>
      </c>
      <c r="H23">
        <f t="shared" si="5"/>
        <v>80000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COUNTIF(tables_589100!C:C,input_589100!A24)-COUNTIF(Q:Q,A24)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2.6666666666666668E-2</v>
      </c>
      <c r="C25" s="84">
        <f t="shared" si="2"/>
        <v>0</v>
      </c>
      <c r="D25" s="74">
        <f t="shared" si="3"/>
        <v>2.6666666666666668E-2</v>
      </c>
      <c r="E25">
        <f>COUNTIF(tables_589100!C:C,input_589100!A25)-COUNTIF(Q:Q,A25)</f>
        <v>4</v>
      </c>
      <c r="F25" s="43">
        <f t="shared" si="8"/>
        <v>6.6666666666666671E-3</v>
      </c>
      <c r="G25">
        <f t="shared" si="4"/>
        <v>1280000</v>
      </c>
      <c r="H25">
        <f t="shared" si="5"/>
        <v>320000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6.6666666666666671E-3</v>
      </c>
      <c r="C26" s="84">
        <f t="shared" si="2"/>
        <v>0</v>
      </c>
      <c r="D26" s="74">
        <f t="shared" si="3"/>
        <v>6.6666666666666671E-3</v>
      </c>
      <c r="E26">
        <f>COUNTIF(tables_589100!C:C,input_589100!A26)-COUNTIF(Q:Q,A26)</f>
        <v>4</v>
      </c>
      <c r="F26" s="43">
        <f t="shared" si="8"/>
        <v>1.6666666666666668E-3</v>
      </c>
      <c r="G26">
        <f t="shared" si="4"/>
        <v>320000</v>
      </c>
      <c r="H26">
        <f t="shared" si="5"/>
        <v>80000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8.9599999999999992E-3</v>
      </c>
      <c r="C27" s="84">
        <f t="shared" si="2"/>
        <v>0</v>
      </c>
      <c r="D27" s="74">
        <f t="shared" si="3"/>
        <v>8.9599999999999992E-3</v>
      </c>
      <c r="E27">
        <f>COUNTIF(tables_589100!C:C,input_589100!A27)-COUNTIF(Q:Q,A27)</f>
        <v>28</v>
      </c>
      <c r="F27" s="43">
        <f>IFERROR(B27/E27,0)</f>
        <v>3.1999999999999997E-4</v>
      </c>
      <c r="G27">
        <f t="shared" si="4"/>
        <v>430079.99999999994</v>
      </c>
      <c r="H27">
        <f t="shared" si="5"/>
        <v>15360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2.2399999999999998E-3</v>
      </c>
      <c r="C28" s="84">
        <f t="shared" si="2"/>
        <v>0</v>
      </c>
      <c r="D28" s="74">
        <f t="shared" si="3"/>
        <v>2.2399999999999998E-3</v>
      </c>
      <c r="E28">
        <f>COUNTIF(tables_589100!C:C,input_589100!A28)-COUNTIF(Q:Q,A28)</f>
        <v>28</v>
      </c>
      <c r="F28" s="43">
        <f t="shared" si="8"/>
        <v>7.9999999999999993E-5</v>
      </c>
      <c r="G28">
        <f t="shared" si="4"/>
        <v>107519.99999999999</v>
      </c>
      <c r="H28">
        <f t="shared" si="5"/>
        <v>3840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1.8799999999999997E-2</v>
      </c>
      <c r="C29" s="84">
        <f t="shared" si="2"/>
        <v>7.0000000000000007E-2</v>
      </c>
      <c r="D29" s="74">
        <f t="shared" si="3"/>
        <v>-5.1200000000000009E-2</v>
      </c>
      <c r="E29">
        <f>COUNTIF(tables_589100!C:C,input_589100!A29)-COUNTIF(Q:Q,A29)</f>
        <v>47</v>
      </c>
      <c r="F29" s="43">
        <f t="shared" si="8"/>
        <v>3.9999999999999996E-4</v>
      </c>
      <c r="G29">
        <f t="shared" si="4"/>
        <v>902399.99999999988</v>
      </c>
      <c r="H29">
        <f t="shared" si="5"/>
        <v>19200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COUNTIF(tables_589100!C:C,input_589100!A30)-COUNTIF(Q:Q,A30)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COUNTIF(tables_589100!C:C,input_589100!A31)-COUNTIF(Q:Q,A31)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0.83000000000000018</v>
      </c>
      <c r="C32" s="41">
        <f>SUM(C19:C31)</f>
        <v>0.17</v>
      </c>
      <c r="D32" s="42">
        <f t="shared" si="3"/>
        <v>0.66000000000000014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48000000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SUMIF(tables_589100!C:C,input_589100!A40,tables_589100!O:O)</f>
        <v>0</v>
      </c>
      <c r="C40" s="54">
        <f t="shared" ref="C40:C46" ca="1" si="9">B40/B$47</f>
        <v>0</v>
      </c>
      <c r="E40">
        <v>3</v>
      </c>
      <c r="F40">
        <f ca="1">SUMIF(tables_589100!J:J,input_589100!E40,tables_589100!O:O)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SUMIF(tables_589100!C:C,input_589100!A41,tables_589100!O:O)</f>
        <v>16640000</v>
      </c>
      <c r="C41" s="54">
        <f t="shared" ca="1" si="9"/>
        <v>0.9493555336538505</v>
      </c>
      <c r="E41">
        <v>4</v>
      </c>
      <c r="F41">
        <f ca="1">SUMIF(tables_589100!J:J,input_589100!E41,tables_589100!O:O)</f>
        <v>38399999.999939986</v>
      </c>
      <c r="G41">
        <f ca="1">F41/A36</f>
        <v>0.79999999999874971</v>
      </c>
    </row>
    <row r="42" spans="1:7" x14ac:dyDescent="0.15">
      <c r="A42" s="33" t="s">
        <v>106</v>
      </c>
      <c r="B42">
        <f ca="1">SUMIF(tables_589100!C:C,input_589100!A42,tables_589100!O:O)</f>
        <v>430080</v>
      </c>
      <c r="C42" s="54">
        <f t="shared" ca="1" si="9"/>
        <v>2.4537189177514903E-2</v>
      </c>
      <c r="E42">
        <v>5</v>
      </c>
      <c r="F42">
        <f ca="1">SUMIF(tables_589100!J:J,input_589100!E42,tables_589100!O:O)</f>
        <v>9599999.9998799991</v>
      </c>
      <c r="G42">
        <f ca="1">F42/A36</f>
        <v>0.19999999999749998</v>
      </c>
    </row>
    <row r="43" spans="1:7" x14ac:dyDescent="0.15">
      <c r="A43" s="33" t="s">
        <v>109</v>
      </c>
      <c r="B43">
        <f>SUMIF(tables_589100!C:C,input_589100!A43,tables_589100!O:O)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SUMIF(tables_589100!C:C,input_589100!A44,tables_589100!O:O)</f>
        <v>350079.99987999961</v>
      </c>
      <c r="C44" s="54">
        <f t="shared" ca="1" si="9"/>
        <v>1.9972979874255826E-2</v>
      </c>
      <c r="E44" t="s">
        <v>54</v>
      </c>
      <c r="F44" s="55"/>
    </row>
    <row r="45" spans="1:7" x14ac:dyDescent="0.15">
      <c r="A45" s="33" t="s">
        <v>107</v>
      </c>
      <c r="B45">
        <f ca="1">SUMIF(tables_589100!C:C,input_589100!A45,tables_589100!O:O)</f>
        <v>107520</v>
      </c>
      <c r="C45" s="54">
        <f t="shared" ca="1" si="9"/>
        <v>6.1342972943787257E-3</v>
      </c>
      <c r="E45" t="s">
        <v>204</v>
      </c>
      <c r="F45" s="55">
        <f ca="1">SUMIF(tables_589100!I:I,input_589100!E45,tables_589100!P:P)</f>
        <v>0.24770666666759619</v>
      </c>
    </row>
    <row r="46" spans="1:7" x14ac:dyDescent="0.15">
      <c r="A46" s="33" t="s">
        <v>108</v>
      </c>
      <c r="B46">
        <f>SUMIF(tables_589100!C:C,input_589100!A46,tables_589100!O:O)</f>
        <v>0</v>
      </c>
      <c r="C46" s="54">
        <f t="shared" ca="1" si="9"/>
        <v>0</v>
      </c>
      <c r="E46" t="s">
        <v>205</v>
      </c>
      <c r="F46" s="55">
        <f ca="1">SUMIF(tables_589100!I:I,input_589100!E46,tables_589100!P:P)</f>
        <v>0.140717692307403</v>
      </c>
    </row>
    <row r="47" spans="1:7" x14ac:dyDescent="0.15">
      <c r="A47" s="39" t="s">
        <v>59</v>
      </c>
      <c r="B47">
        <f ca="1">SUM(B40:B46)</f>
        <v>17527679.999880001</v>
      </c>
      <c r="C47" s="55">
        <f ca="1">SUM(C40:C46)</f>
        <v>1</v>
      </c>
      <c r="E47" t="s">
        <v>206</v>
      </c>
      <c r="F47" s="55">
        <f ca="1">SUMIF(tables_589100!I:I,input_589100!E47,tables_589100!P:P)</f>
        <v>0.51157564102462805</v>
      </c>
    </row>
    <row r="48" spans="1:7" x14ac:dyDescent="0.15">
      <c r="E48" t="s">
        <v>207</v>
      </c>
      <c r="F48" s="55">
        <f ca="1">SUMIF(tables_589100!I:I,input_589100!E48,tables_589100!P:P)</f>
        <v>8.6000000000322679E-2</v>
      </c>
    </row>
    <row r="49" spans="5:6" x14ac:dyDescent="0.15">
      <c r="E49" t="s">
        <v>252</v>
      </c>
      <c r="F49" s="55">
        <f ca="1">SUMIF(tables_589100!I:I,input_589100!E49,tables_589100!P:P)</f>
        <v>1.4000000000052529E-2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5"/>
  <sheetViews>
    <sheetView showGridLines="0" zoomScale="75" zoomScaleNormal="75" zoomScalePageLayoutView="75" workbookViewId="0">
      <pane ySplit="1" topLeftCell="A325" activePane="bottomLeft" state="frozen"/>
      <selection activeCell="D34" sqref="D34"/>
      <selection pane="bottomLeft" activeCell="B361" sqref="B361:B36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101" t="str">
        <f ca="1">input_589100!A$2</f>
        <v>589100</v>
      </c>
      <c r="B2" s="103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IFERROR(VLOOKUP(B2,input_589100!L:R,7,FALSE),VLOOKUP(tables_589100!C2,input_589100!A:H,8,FALSE))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101" t="str">
        <f ca="1">input_589100!A$2</f>
        <v>589100</v>
      </c>
      <c r="B3" s="103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IFERROR(VLOOKUP(B3,input_589100!L:R,7,FALSE),VLOOKUP(tables_589100!C3,input_589100!A:H,8,FALSE))</f>
        <v>570496</v>
      </c>
      <c r="P3" s="46">
        <f t="shared" ca="1" si="1"/>
        <v>1.1885333333377929E-2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101" t="str">
        <f ca="1">input_589100!A$2</f>
        <v>589100</v>
      </c>
      <c r="B4" s="103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IFERROR(VLOOKUP(B4,input_589100!L:R,7,FALSE),VLOOKUP(tables_589100!C4,input_589100!A:H,8,FALSE))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101" t="str">
        <f ca="1">input_589100!A$2</f>
        <v>589100</v>
      </c>
      <c r="B5" s="103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IFERROR(VLOOKUP(B5,input_589100!L:R,7,FALSE),VLOOKUP(tables_589100!C5,input_589100!A:H,8,FALSE))</f>
        <v>570496</v>
      </c>
      <c r="P5" s="46">
        <f t="shared" ca="1" si="1"/>
        <v>1.1885333333377929E-2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101" t="str">
        <f ca="1">input_589100!A$2</f>
        <v>589100</v>
      </c>
      <c r="B6" s="103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IFERROR(VLOOKUP(B6,input_589100!L:R,7,FALSE),VLOOKUP(tables_589100!C6,input_589100!A:H,8,FALSE))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101" t="str">
        <f ca="1">input_589100!A$2</f>
        <v>589100</v>
      </c>
      <c r="B7" s="103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IFERROR(VLOOKUP(B7,input_589100!L:R,7,FALSE),VLOOKUP(tables_589100!C7,input_589100!A:H,8,FALSE))</f>
        <v>570496</v>
      </c>
      <c r="P7" s="46">
        <f t="shared" ca="1" si="1"/>
        <v>1.1885333333377929E-2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101" t="str">
        <f ca="1">input_589100!A$2</f>
        <v>589100</v>
      </c>
      <c r="B8" s="103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IFERROR(VLOOKUP(B8,input_589100!L:R,7,FALSE),VLOOKUP(tables_589100!C8,input_589100!A:H,8,FALSE))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101" t="str">
        <f ca="1">input_589100!A$2</f>
        <v>589100</v>
      </c>
      <c r="B9" s="103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IFERROR(VLOOKUP(B9,input_589100!L:R,7,FALSE),VLOOKUP(tables_589100!C9,input_589100!A:H,8,FALSE))</f>
        <v>570496</v>
      </c>
      <c r="P9" s="46">
        <f t="shared" ca="1" si="1"/>
        <v>1.1885333333377929E-2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101" t="str">
        <f ca="1">input_589100!A$2</f>
        <v>589100</v>
      </c>
      <c r="B10" s="103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IFERROR(VLOOKUP(B10,input_589100!L:R,7,FALSE),VLOOKUP(tables_589100!C10,input_589100!A:H,8,FALSE))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101" t="str">
        <f ca="1">input_589100!A$2</f>
        <v>589100</v>
      </c>
      <c r="B11" s="103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IFERROR(VLOOKUP(B11,input_589100!L:R,7,FALSE),VLOOKUP(tables_589100!C11,input_589100!A:H,8,FALSE))</f>
        <v>570496</v>
      </c>
      <c r="P11" s="46">
        <f t="shared" ca="1" si="1"/>
        <v>1.1885333333377929E-2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101" t="str">
        <f ca="1">input_589100!A$2</f>
        <v>589100</v>
      </c>
      <c r="B12" s="104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IFERROR(VLOOKUP(B12,input_589100!L:R,7,FALSE),VLOOKUP(tables_589100!C12,input_589100!A:H,8,FALSE))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101" t="str">
        <f ca="1">input_589100!A$2</f>
        <v>589100</v>
      </c>
      <c r="B13" s="104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IFERROR(VLOOKUP(B13,input_589100!L:R,7,FALSE),VLOOKUP(tables_589100!C13,input_589100!A:H,8,FALSE))</f>
        <v>570496</v>
      </c>
      <c r="P13" s="46">
        <f t="shared" ca="1" si="1"/>
        <v>1.1885333333377929E-2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101" t="str">
        <f ca="1">input_589100!A$2</f>
        <v>589100</v>
      </c>
      <c r="B14" s="103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IFERROR(VLOOKUP(B14,input_589100!L:R,7,FALSE),VLOOKUP(tables_589100!C14,input_589100!A:H,8,FALSE))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101" t="str">
        <f ca="1">input_589100!A$2</f>
        <v>589100</v>
      </c>
      <c r="B15" s="103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IFERROR(VLOOKUP(B15,input_589100!L:R,7,FALSE),VLOOKUP(tables_589100!C15,input_589100!A:H,8,FALSE))</f>
        <v>570496</v>
      </c>
      <c r="P15" s="46">
        <f t="shared" ca="1" si="1"/>
        <v>1.1885333333377929E-2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101" t="str">
        <f ca="1">input_589100!A$2</f>
        <v>589100</v>
      </c>
      <c r="B16" s="103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IFERROR(VLOOKUP(B16,input_589100!L:R,7,FALSE),VLOOKUP(tables_589100!C16,input_589100!A:H,8,FALSE))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101" t="str">
        <f ca="1">input_589100!A$2</f>
        <v>589100</v>
      </c>
      <c r="B17" s="103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IFERROR(VLOOKUP(B17,input_589100!L:R,7,FALSE),VLOOKUP(tables_589100!C17,input_589100!A:H,8,FALSE))</f>
        <v>570496</v>
      </c>
      <c r="P17" s="46">
        <f t="shared" ca="1" si="1"/>
        <v>1.1885333333377929E-2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101" t="str">
        <f ca="1">input_589100!A$2</f>
        <v>589100</v>
      </c>
      <c r="B18" s="103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IFERROR(VLOOKUP(B18,input_589100!L:R,7,FALSE),VLOOKUP(tables_589100!C18,input_589100!A:H,8,FALSE))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101" t="str">
        <f ca="1">input_589100!A$2</f>
        <v>589100</v>
      </c>
      <c r="B19" s="103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IFERROR(VLOOKUP(B19,input_589100!L:R,7,FALSE),VLOOKUP(tables_589100!C19,input_589100!A:H,8,FALSE))</f>
        <v>570496</v>
      </c>
      <c r="P19" s="46">
        <f t="shared" ca="1" si="1"/>
        <v>1.1885333333377929E-2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101" t="str">
        <f ca="1">input_589100!A$2</f>
        <v>589100</v>
      </c>
      <c r="B20" s="103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IFERROR(VLOOKUP(B20,input_589100!L:R,7,FALSE),VLOOKUP(tables_589100!C20,input_589100!A:H,8,FALSE))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101" t="str">
        <f ca="1">input_589100!A$2</f>
        <v>589100</v>
      </c>
      <c r="B21" s="103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IFERROR(VLOOKUP(B21,input_589100!L:R,7,FALSE),VLOOKUP(tables_589100!C21,input_589100!A:H,8,FALSE))</f>
        <v>570496</v>
      </c>
      <c r="P21" s="46">
        <f t="shared" ca="1" si="1"/>
        <v>1.1885333333377929E-2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101" t="str">
        <f ca="1">input_589100!A$2</f>
        <v>589100</v>
      </c>
      <c r="B22" s="103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IFERROR(VLOOKUP(B22,input_589100!L:R,7,FALSE),VLOOKUP(tables_589100!C22,input_589100!A:H,8,FALSE))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101" t="str">
        <f ca="1">input_589100!A$2</f>
        <v>589100</v>
      </c>
      <c r="B23" s="103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IFERROR(VLOOKUP(B23,input_589100!L:R,7,FALSE),VLOOKUP(tables_589100!C23,input_589100!A:H,8,FALSE))</f>
        <v>570496</v>
      </c>
      <c r="P23" s="46">
        <f t="shared" ca="1" si="1"/>
        <v>1.1885333333377929E-2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101" t="str">
        <f ca="1">input_589100!A$2</f>
        <v>589100</v>
      </c>
      <c r="B24" s="103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IFERROR(VLOOKUP(B24,input_589100!L:R,7,FALSE),VLOOKUP(tables_589100!C24,input_589100!A:H,8,FALSE))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101" t="str">
        <f ca="1">input_589100!A$2</f>
        <v>589100</v>
      </c>
      <c r="B25" s="103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IFERROR(VLOOKUP(B25,input_589100!L:R,7,FALSE),VLOOKUP(tables_589100!C25,input_589100!A:H,8,FALSE))</f>
        <v>570496</v>
      </c>
      <c r="P25" s="46">
        <f t="shared" ca="1" si="1"/>
        <v>1.1885333333377929E-2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101" t="str">
        <f ca="1">input_589100!A$2</f>
        <v>589100</v>
      </c>
      <c r="B26" s="103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IFERROR(VLOOKUP(B26,input_589100!L:R,7,FALSE),VLOOKUP(tables_589100!C26,input_589100!A:H,8,FALSE))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101" t="str">
        <f ca="1">input_589100!A$2</f>
        <v>589100</v>
      </c>
      <c r="B27" s="103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IFERROR(VLOOKUP(B27,input_589100!L:R,7,FALSE),VLOOKUP(tables_589100!C27,input_589100!A:H,8,FALSE))</f>
        <v>570496</v>
      </c>
      <c r="P27" s="46">
        <f t="shared" ca="1" si="1"/>
        <v>1.1885333333377929E-2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101" t="str">
        <f ca="1">input_589100!A$2</f>
        <v>589100</v>
      </c>
      <c r="B28" s="103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IFERROR(VLOOKUP(B28,input_589100!L:R,7,FALSE),VLOOKUP(tables_589100!C28,input_589100!A:H,8,FALSE))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101" t="str">
        <f ca="1">input_589100!A$2</f>
        <v>589100</v>
      </c>
      <c r="B29" s="103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IFERROR(VLOOKUP(B29,input_589100!L:R,7,FALSE),VLOOKUP(tables_589100!C29,input_589100!A:H,8,FALSE))</f>
        <v>570496</v>
      </c>
      <c r="P29" s="46">
        <f t="shared" ca="1" si="1"/>
        <v>1.1885333333377929E-2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101" t="str">
        <f ca="1">input_589100!A$2</f>
        <v>589100</v>
      </c>
      <c r="B30" s="103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IFERROR(VLOOKUP(B30,input_589100!L:R,7,FALSE),VLOOKUP(tables_589100!C30,input_589100!A:H,8,FALSE))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101" t="str">
        <f ca="1">input_589100!A$2</f>
        <v>589100</v>
      </c>
      <c r="B31" s="103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IFERROR(VLOOKUP(B31,input_589100!L:R,7,FALSE),VLOOKUP(tables_589100!C31,input_589100!A:H,8,FALSE))</f>
        <v>570496</v>
      </c>
      <c r="P31" s="46">
        <f t="shared" ca="1" si="1"/>
        <v>1.1885333333377929E-2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101" t="str">
        <f ca="1">input_589100!A$2</f>
        <v>589100</v>
      </c>
      <c r="B32" s="103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IFERROR(VLOOKUP(B32,input_589100!L:R,7,FALSE),VLOOKUP(tables_589100!C32,input_589100!A:H,8,FALSE))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101" t="str">
        <f ca="1">input_589100!A$2</f>
        <v>589100</v>
      </c>
      <c r="B33" s="103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IFERROR(VLOOKUP(B33,input_589100!L:R,7,FALSE),VLOOKUP(tables_589100!C33,input_589100!A:H,8,FALSE))</f>
        <v>570496</v>
      </c>
      <c r="P33" s="46">
        <f t="shared" ca="1" si="1"/>
        <v>1.1885333333377929E-2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101" t="str">
        <f ca="1">input_589100!A$2</f>
        <v>589100</v>
      </c>
      <c r="B34" s="103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IFERROR(VLOOKUP(B34,input_589100!L:R,7,FALSE),VLOOKUP(tables_589100!C34,input_589100!A:H,8,FALSE))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101" t="str">
        <f ca="1">input_589100!A$2</f>
        <v>589100</v>
      </c>
      <c r="B35" s="103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IFERROR(VLOOKUP(B35,input_589100!L:R,7,FALSE),VLOOKUP(tables_589100!C35,input_589100!A:H,8,FALSE))</f>
        <v>570496</v>
      </c>
      <c r="P35" s="46">
        <f t="shared" ca="1" si="1"/>
        <v>1.1885333333377929E-2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101" t="str">
        <f ca="1">input_589100!A$2</f>
        <v>589100</v>
      </c>
      <c r="B36" s="103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IFERROR(VLOOKUP(B36,input_589100!L:R,7,FALSE),VLOOKUP(tables_589100!C36,input_589100!A:H,8,FALSE))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101" t="str">
        <f ca="1">input_589100!A$2</f>
        <v>589100</v>
      </c>
      <c r="B37" s="103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IFERROR(VLOOKUP(B37,input_589100!L:R,7,FALSE),VLOOKUP(tables_589100!C37,input_589100!A:H,8,FALSE))</f>
        <v>570496</v>
      </c>
      <c r="P37" s="46">
        <f t="shared" ca="1" si="1"/>
        <v>1.1885333333377929E-2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101" t="str">
        <f ca="1">input_589100!A$2</f>
        <v>589100</v>
      </c>
      <c r="B38" s="103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IFERROR(VLOOKUP(B38,input_589100!L:R,7,FALSE),VLOOKUP(tables_589100!C38,input_589100!A:H,8,FALSE))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101" t="str">
        <f ca="1">input_589100!A$2</f>
        <v>589100</v>
      </c>
      <c r="B39" s="103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IFERROR(VLOOKUP(B39,input_589100!L:R,7,FALSE),VLOOKUP(tables_589100!C39,input_589100!A:H,8,FALSE))</f>
        <v>570496</v>
      </c>
      <c r="P39" s="46">
        <f t="shared" ca="1" si="1"/>
        <v>1.1885333333377929E-2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101" t="str">
        <f ca="1">input_589100!A$2</f>
        <v>589100</v>
      </c>
      <c r="B40" s="103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IFERROR(VLOOKUP(B40,input_589100!L:R,7,FALSE),VLOOKUP(tables_589100!C40,input_589100!A:H,8,FALSE))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101" t="str">
        <f ca="1">input_589100!A$2</f>
        <v>589100</v>
      </c>
      <c r="B41" s="103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IFERROR(VLOOKUP(B41,input_589100!L:R,7,FALSE),VLOOKUP(tables_589100!C41,input_589100!A:H,8,FALSE))</f>
        <v>570496</v>
      </c>
      <c r="P41" s="46">
        <f t="shared" ca="1" si="1"/>
        <v>1.1885333333377929E-2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101" t="str">
        <f ca="1">input_589100!A$2</f>
        <v>589100</v>
      </c>
      <c r="B42" s="103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IFERROR(VLOOKUP(B42,input_589100!L:R,7,FALSE),VLOOKUP(tables_589100!C42,input_589100!A:H,8,FALSE))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101" t="str">
        <f ca="1">input_589100!A$2</f>
        <v>589100</v>
      </c>
      <c r="B43" s="103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IFERROR(VLOOKUP(B43,input_589100!L:R,7,FALSE),VLOOKUP(tables_589100!C43,input_589100!A:H,8,FALSE))</f>
        <v>320000</v>
      </c>
      <c r="P43" s="46">
        <f t="shared" ca="1" si="1"/>
        <v>6.6666666666916809E-3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101" t="str">
        <f ca="1">input_589100!A$2</f>
        <v>589100</v>
      </c>
      <c r="B44" s="103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IFERROR(VLOOKUP(B44,input_589100!L:R,7,FALSE),VLOOKUP(tables_589100!C44,input_589100!A:H,8,FALSE))</f>
        <v>80000</v>
      </c>
      <c r="P44" s="46">
        <f t="shared" ca="1" si="1"/>
        <v>1.6666666666729202E-3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101" t="str">
        <f ca="1">input_589100!A$2</f>
        <v>589100</v>
      </c>
      <c r="B45" s="103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IFERROR(VLOOKUP(B45,input_589100!L:R,7,FALSE),VLOOKUP(tables_589100!C45,input_589100!A:H,8,FALSE))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101" t="str">
        <f ca="1">input_589100!A$2</f>
        <v>589100</v>
      </c>
      <c r="B46" s="103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IFERROR(VLOOKUP(B46,input_589100!L:R,7,FALSE),VLOOKUP(tables_589100!C46,input_589100!A:H,8,FALSE))</f>
        <v>320000</v>
      </c>
      <c r="P46" s="46">
        <f t="shared" ca="1" si="1"/>
        <v>6.6666666666916809E-3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101" t="str">
        <f ca="1">input_589100!A$2</f>
        <v>589100</v>
      </c>
      <c r="B47" s="103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IFERROR(VLOOKUP(B47,input_589100!L:R,7,FALSE),VLOOKUP(tables_589100!C47,input_589100!A:H,8,FALSE))</f>
        <v>80000</v>
      </c>
      <c r="P47" s="46">
        <f t="shared" ca="1" si="1"/>
        <v>1.6666666666729202E-3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101" t="str">
        <f ca="1">input_589100!A$2</f>
        <v>589100</v>
      </c>
      <c r="B48" s="103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IFERROR(VLOOKUP(B48,input_589100!L:R,7,FALSE),VLOOKUP(tables_589100!C48,input_589100!A:H,8,FALSE))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101" t="str">
        <f ca="1">input_589100!A$2</f>
        <v>589100</v>
      </c>
      <c r="B49" s="103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IFERROR(VLOOKUP(B49,input_589100!L:R,7,FALSE),VLOOKUP(tables_589100!C49,input_589100!A:H,8,FALSE))</f>
        <v>320000</v>
      </c>
      <c r="P49" s="46">
        <f t="shared" ca="1" si="1"/>
        <v>6.6666666666916809E-3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101" t="str">
        <f ca="1">input_589100!A$2</f>
        <v>589100</v>
      </c>
      <c r="B50" s="103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IFERROR(VLOOKUP(B50,input_589100!L:R,7,FALSE),VLOOKUP(tables_589100!C50,input_589100!A:H,8,FALSE))</f>
        <v>80000</v>
      </c>
      <c r="P50" s="46">
        <f t="shared" ca="1" si="1"/>
        <v>1.6666666666729202E-3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101" t="str">
        <f ca="1">input_589100!A$2</f>
        <v>589100</v>
      </c>
      <c r="B51" s="103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IFERROR(VLOOKUP(B51,input_589100!L:R,7,FALSE),VLOOKUP(tables_589100!C51,input_589100!A:H,8,FALSE))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101" t="str">
        <f ca="1">input_589100!A$2</f>
        <v>589100</v>
      </c>
      <c r="B52" s="103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IFERROR(VLOOKUP(B52,input_589100!L:R,7,FALSE),VLOOKUP(tables_589100!C52,input_589100!A:H,8,FALSE))</f>
        <v>320000</v>
      </c>
      <c r="P52" s="46">
        <f t="shared" ca="1" si="1"/>
        <v>6.6666666666916809E-3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101" t="str">
        <f ca="1">input_589100!A$2</f>
        <v>589100</v>
      </c>
      <c r="B53" s="103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IFERROR(VLOOKUP(B53,input_589100!L:R,7,FALSE),VLOOKUP(tables_589100!C53,input_589100!A:H,8,FALSE))</f>
        <v>6732.3076899999996</v>
      </c>
      <c r="P53" s="46">
        <f t="shared" ca="1" si="1"/>
        <v>1.4025641020885959E-4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101" t="str">
        <f ca="1">input_589100!A$2</f>
        <v>589100</v>
      </c>
      <c r="B54" s="103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IFERROR(VLOOKUP(B54,input_589100!L:R,7,FALSE),VLOOKUP(tables_589100!C54,input_589100!A:H,8,FALSE))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101" t="str">
        <f ca="1">input_589100!A$2</f>
        <v>589100</v>
      </c>
      <c r="B55" s="103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IFERROR(VLOOKUP(B55,input_589100!L:R,7,FALSE),VLOOKUP(tables_589100!C55,input_589100!A:H,8,FALSE))</f>
        <v>320000</v>
      </c>
      <c r="P55" s="46">
        <f t="shared" ca="1" si="1"/>
        <v>6.6666666666916809E-3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101" t="str">
        <f ca="1">input_589100!A$2</f>
        <v>589100</v>
      </c>
      <c r="B56" s="103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IFERROR(VLOOKUP(B56,input_589100!L:R,7,FALSE),VLOOKUP(tables_589100!C56,input_589100!A:H,8,FALSE))</f>
        <v>6732.3076899999996</v>
      </c>
      <c r="P56" s="46">
        <f t="shared" ca="1" si="1"/>
        <v>1.4025641020885959E-4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101" t="str">
        <f ca="1">input_589100!A$2</f>
        <v>589100</v>
      </c>
      <c r="B57" s="103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IFERROR(VLOOKUP(B57,input_589100!L:R,7,FALSE),VLOOKUP(tables_589100!C57,input_589100!A:H,8,FALSE))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101" t="str">
        <f ca="1">input_589100!A$2</f>
        <v>589100</v>
      </c>
      <c r="B58" s="103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IFERROR(VLOOKUP(B58,input_589100!L:R,7,FALSE),VLOOKUP(tables_589100!C58,input_589100!A:H,8,FALSE))</f>
        <v>320000</v>
      </c>
      <c r="P58" s="46">
        <f t="shared" ca="1" si="1"/>
        <v>6.6666666666916809E-3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101" t="str">
        <f ca="1">input_589100!A$2</f>
        <v>589100</v>
      </c>
      <c r="B59" s="103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IFERROR(VLOOKUP(B59,input_589100!L:R,7,FALSE),VLOOKUP(tables_589100!C59,input_589100!A:H,8,FALSE))</f>
        <v>6732.3076899999996</v>
      </c>
      <c r="P59" s="46">
        <f t="shared" ca="1" si="1"/>
        <v>1.4025641020885959E-4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101" t="str">
        <f ca="1">input_589100!A$2</f>
        <v>589100</v>
      </c>
      <c r="B60" s="103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IFERROR(VLOOKUP(B60,input_589100!L:R,7,FALSE),VLOOKUP(tables_589100!C60,input_589100!A:H,8,FALSE))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101" t="str">
        <f ca="1">input_589100!A$2</f>
        <v>589100</v>
      </c>
      <c r="B61" s="103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IFERROR(VLOOKUP(B61,input_589100!L:R,7,FALSE),VLOOKUP(tables_589100!C61,input_589100!A:H,8,FALSE))</f>
        <v>320000</v>
      </c>
      <c r="P61" s="46">
        <f t="shared" ca="1" si="1"/>
        <v>6.6666666666916809E-3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101" t="str">
        <f ca="1">input_589100!A$2</f>
        <v>589100</v>
      </c>
      <c r="B62" s="104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IFERROR(VLOOKUP(B62,input_589100!L:R,7,FALSE),VLOOKUP(tables_589100!C62,input_589100!A:H,8,FALSE))</f>
        <v>6732.3076899999996</v>
      </c>
      <c r="P62" s="46">
        <f t="shared" ca="1" si="1"/>
        <v>1.4025641020885959E-4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101" t="str">
        <f ca="1">input_589100!A$2</f>
        <v>589100</v>
      </c>
      <c r="B63" s="104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IFERROR(VLOOKUP(B63,input_589100!L:R,7,FALSE),VLOOKUP(tables_589100!C63,input_589100!A:H,8,FALSE))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101" t="str">
        <f ca="1">input_589100!A$2</f>
        <v>589100</v>
      </c>
      <c r="B64" s="104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IFERROR(VLOOKUP(B64,input_589100!L:R,7,FALSE),VLOOKUP(tables_589100!C64,input_589100!A:H,8,FALSE))</f>
        <v>320000</v>
      </c>
      <c r="P64" s="46">
        <f t="shared" ca="1" si="1"/>
        <v>6.6666666666916809E-3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101" t="str">
        <f ca="1">input_589100!A$2</f>
        <v>589100</v>
      </c>
      <c r="B65" s="104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IFERROR(VLOOKUP(B65,input_589100!L:R,7,FALSE),VLOOKUP(tables_589100!C65,input_589100!A:H,8,FALSE))</f>
        <v>6732.3076899999996</v>
      </c>
      <c r="P65" s="46">
        <f t="shared" ca="1" si="1"/>
        <v>1.4025641020885959E-4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101" t="str">
        <f ca="1">input_589100!A$2</f>
        <v>589100</v>
      </c>
      <c r="B66" s="103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IFERROR(VLOOKUP(B66,input_589100!L:R,7,FALSE),VLOOKUP(tables_589100!C66,input_589100!A:H,8,FALSE))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101" t="str">
        <f ca="1">input_589100!A$2</f>
        <v>589100</v>
      </c>
      <c r="B67" s="103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IFERROR(VLOOKUP(B67,input_589100!L:R,7,FALSE),VLOOKUP(tables_589100!C67,input_589100!A:H,8,FALSE))</f>
        <v>320000</v>
      </c>
      <c r="P67" s="46">
        <f t="shared" ca="1" si="4"/>
        <v>6.6666666666916809E-3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101" t="str">
        <f ca="1">input_589100!A$2</f>
        <v>589100</v>
      </c>
      <c r="B68" s="103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IFERROR(VLOOKUP(B68,input_589100!L:R,7,FALSE),VLOOKUP(tables_589100!C68,input_589100!A:H,8,FALSE))</f>
        <v>6732.3076899999996</v>
      </c>
      <c r="P68" s="46">
        <f t="shared" ca="1" si="4"/>
        <v>1.4025641020885959E-4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101" t="str">
        <f ca="1">input_589100!A$2</f>
        <v>589100</v>
      </c>
      <c r="B69" s="103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IFERROR(VLOOKUP(B69,input_589100!L:R,7,FALSE),VLOOKUP(tables_589100!C69,input_589100!A:H,8,FALSE))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101" t="str">
        <f ca="1">input_589100!A$2</f>
        <v>589100</v>
      </c>
      <c r="B70" s="103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IFERROR(VLOOKUP(B70,input_589100!L:R,7,FALSE),VLOOKUP(tables_589100!C70,input_589100!A:H,8,FALSE))</f>
        <v>320000</v>
      </c>
      <c r="P70" s="46">
        <f t="shared" ca="1" si="4"/>
        <v>6.6666666666916809E-3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101" t="str">
        <f ca="1">input_589100!A$2</f>
        <v>589100</v>
      </c>
      <c r="B71" s="103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IFERROR(VLOOKUP(B71,input_589100!L:R,7,FALSE),VLOOKUP(tables_589100!C71,input_589100!A:H,8,FALSE))</f>
        <v>6732.3076899999996</v>
      </c>
      <c r="P71" s="46">
        <f t="shared" ca="1" si="4"/>
        <v>1.4025641020885959E-4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101" t="str">
        <f ca="1">input_589100!A$2</f>
        <v>589100</v>
      </c>
      <c r="B72" s="103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IFERROR(VLOOKUP(B72,input_589100!L:R,7,FALSE),VLOOKUP(tables_589100!C72,input_589100!A:H,8,FALSE))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101" t="str">
        <f ca="1">input_589100!A$2</f>
        <v>589100</v>
      </c>
      <c r="B73" s="103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IFERROR(VLOOKUP(B73,input_589100!L:R,7,FALSE),VLOOKUP(tables_589100!C73,input_589100!A:H,8,FALSE))</f>
        <v>320000</v>
      </c>
      <c r="P73" s="46">
        <f t="shared" ca="1" si="4"/>
        <v>6.6666666666916809E-3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101" t="str">
        <f ca="1">input_589100!A$2</f>
        <v>589100</v>
      </c>
      <c r="B74" s="103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IFERROR(VLOOKUP(B74,input_589100!L:R,7,FALSE),VLOOKUP(tables_589100!C74,input_589100!A:H,8,FALSE))</f>
        <v>6732.3076899999996</v>
      </c>
      <c r="P74" s="46">
        <f t="shared" ca="1" si="4"/>
        <v>1.4025641020885959E-4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101" t="str">
        <f ca="1">input_589100!A$2</f>
        <v>589100</v>
      </c>
      <c r="B75" s="103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IFERROR(VLOOKUP(B75,input_589100!L:R,7,FALSE),VLOOKUP(tables_589100!C75,input_589100!A:H,8,FALSE))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101" t="str">
        <f ca="1">input_589100!A$2</f>
        <v>589100</v>
      </c>
      <c r="B76" s="103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IFERROR(VLOOKUP(B76,input_589100!L:R,7,FALSE),VLOOKUP(tables_589100!C76,input_589100!A:H,8,FALSE))</f>
        <v>320000</v>
      </c>
      <c r="P76" s="46">
        <f t="shared" ca="1" si="4"/>
        <v>6.6666666666916809E-3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101" t="str">
        <f ca="1">input_589100!A$2</f>
        <v>589100</v>
      </c>
      <c r="B77" s="101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IFERROR(VLOOKUP(B77,input_589100!L:R,7,FALSE),VLOOKUP(tables_589100!C77,input_589100!A:H,8,FALSE))</f>
        <v>6732.3076899999996</v>
      </c>
      <c r="P77" s="46">
        <f t="shared" ca="1" si="4"/>
        <v>1.4025641020885959E-4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101" t="str">
        <f ca="1">input_589100!A$2</f>
        <v>589100</v>
      </c>
      <c r="B78" s="101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IFERROR(VLOOKUP(B78,input_589100!L:R,7,FALSE),VLOOKUP(tables_589100!C78,input_589100!A:H,8,FALSE))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101" t="str">
        <f ca="1">input_589100!A$2</f>
        <v>589100</v>
      </c>
      <c r="B79" s="101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IFERROR(VLOOKUP(B79,input_589100!L:R,7,FALSE),VLOOKUP(tables_589100!C79,input_589100!A:H,8,FALSE))</f>
        <v>320000</v>
      </c>
      <c r="P79" s="46">
        <f t="shared" ca="1" si="4"/>
        <v>6.6666666666916809E-3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101" t="str">
        <f ca="1">input_589100!A$2</f>
        <v>589100</v>
      </c>
      <c r="B80" s="101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IFERROR(VLOOKUP(B80,input_589100!L:R,7,FALSE),VLOOKUP(tables_589100!C80,input_589100!A:H,8,FALSE))</f>
        <v>6732.3076899999996</v>
      </c>
      <c r="P80" s="46">
        <f t="shared" ca="1" si="4"/>
        <v>1.4025641020885959E-4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101" t="str">
        <f ca="1">input_589100!A$2</f>
        <v>589100</v>
      </c>
      <c r="B81" s="101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IFERROR(VLOOKUP(B81,input_589100!L:R,7,FALSE),VLOOKUP(tables_589100!C81,input_589100!A:H,8,FALSE))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101" t="str">
        <f ca="1">input_589100!A$2</f>
        <v>589100</v>
      </c>
      <c r="B82" s="101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IFERROR(VLOOKUP(B82,input_589100!L:R,7,FALSE),VLOOKUP(tables_589100!C82,input_589100!A:H,8,FALSE))</f>
        <v>320000</v>
      </c>
      <c r="P82" s="46">
        <f t="shared" ca="1" si="4"/>
        <v>6.6666666666916809E-3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101" t="str">
        <f ca="1">input_589100!A$2</f>
        <v>589100</v>
      </c>
      <c r="B83" s="101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IFERROR(VLOOKUP(B83,input_589100!L:R,7,FALSE),VLOOKUP(tables_589100!C83,input_589100!A:H,8,FALSE))</f>
        <v>6732.3076899999996</v>
      </c>
      <c r="P83" s="46">
        <f t="shared" ca="1" si="4"/>
        <v>1.4025641020885959E-4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101" t="str">
        <f ca="1">input_589100!A$2</f>
        <v>589100</v>
      </c>
      <c r="B84" s="101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IFERROR(VLOOKUP(B84,input_589100!L:R,7,FALSE),VLOOKUP(tables_589100!C84,input_589100!A:H,8,FALSE))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101" t="str">
        <f ca="1">input_589100!A$2</f>
        <v>589100</v>
      </c>
      <c r="B85" s="101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IFERROR(VLOOKUP(B85,input_589100!L:R,7,FALSE),VLOOKUP(tables_589100!C85,input_589100!A:H,8,FALSE))</f>
        <v>320000</v>
      </c>
      <c r="P85" s="46">
        <f t="shared" ca="1" si="4"/>
        <v>6.6666666666916809E-3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101" t="str">
        <f ca="1">input_589100!A$2</f>
        <v>589100</v>
      </c>
      <c r="B86" s="101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IFERROR(VLOOKUP(B86,input_589100!L:R,7,FALSE),VLOOKUP(tables_589100!C86,input_589100!A:H,8,FALSE))</f>
        <v>6732.3076899999996</v>
      </c>
      <c r="P86" s="46">
        <f t="shared" ca="1" si="4"/>
        <v>1.4025641020885959E-4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101" t="str">
        <f ca="1">input_589100!A$2</f>
        <v>589100</v>
      </c>
      <c r="B87" s="101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IFERROR(VLOOKUP(B87,input_589100!L:R,7,FALSE),VLOOKUP(tables_589100!C87,input_589100!A:H,8,FALSE))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101" t="str">
        <f ca="1">input_589100!A$2</f>
        <v>589100</v>
      </c>
      <c r="B88" s="101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IFERROR(VLOOKUP(B88,input_589100!L:R,7,FALSE),VLOOKUP(tables_589100!C88,input_589100!A:H,8,FALSE))</f>
        <v>320000</v>
      </c>
      <c r="P88" s="46">
        <f t="shared" ca="1" si="4"/>
        <v>6.6666666666916809E-3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101" t="str">
        <f ca="1">input_589100!A$2</f>
        <v>589100</v>
      </c>
      <c r="B89" s="101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IFERROR(VLOOKUP(B89,input_589100!L:R,7,FALSE),VLOOKUP(tables_589100!C89,input_589100!A:H,8,FALSE))</f>
        <v>6732.3076899999996</v>
      </c>
      <c r="P89" s="46">
        <f t="shared" ca="1" si="4"/>
        <v>1.4025641020885959E-4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101" t="str">
        <f ca="1">input_589100!A$2</f>
        <v>589100</v>
      </c>
      <c r="B90" s="101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IFERROR(VLOOKUP(B90,input_589100!L:R,7,FALSE),VLOOKUP(tables_589100!C90,input_589100!A:H,8,FALSE))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101" t="str">
        <f ca="1">input_589100!A$2</f>
        <v>589100</v>
      </c>
      <c r="B91" s="101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IFERROR(VLOOKUP(B91,input_589100!L:R,7,FALSE),VLOOKUP(tables_589100!C91,input_589100!A:H,8,FALSE))</f>
        <v>320000</v>
      </c>
      <c r="P91" s="46">
        <f t="shared" ca="1" si="4"/>
        <v>6.6666666666916809E-3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101" t="str">
        <f ca="1">input_589100!A$2</f>
        <v>589100</v>
      </c>
      <c r="B92" s="101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IFERROR(VLOOKUP(B92,input_589100!L:R,7,FALSE),VLOOKUP(tables_589100!C92,input_589100!A:H,8,FALSE))</f>
        <v>6732.3076899999996</v>
      </c>
      <c r="P92" s="46">
        <f t="shared" ca="1" si="4"/>
        <v>1.4025641020885959E-4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101" t="str">
        <f ca="1">input_589100!A$2</f>
        <v>589100</v>
      </c>
      <c r="B93" s="101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IFERROR(VLOOKUP(B93,input_589100!L:R,7,FALSE),VLOOKUP(tables_589100!C93,input_589100!A:H,8,FALSE))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101" t="str">
        <f ca="1">input_589100!A$2</f>
        <v>589100</v>
      </c>
      <c r="B94" s="101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IFERROR(VLOOKUP(B94,input_589100!L:R,7,FALSE),VLOOKUP(tables_589100!C94,input_589100!A:H,8,FALSE))</f>
        <v>320000</v>
      </c>
      <c r="P94" s="46">
        <f t="shared" ca="1" si="4"/>
        <v>6.6666666666916809E-3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101" t="str">
        <f ca="1">input_589100!A$2</f>
        <v>589100</v>
      </c>
      <c r="B95" s="101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IFERROR(VLOOKUP(B95,input_589100!L:R,7,FALSE),VLOOKUP(tables_589100!C95,input_589100!A:H,8,FALSE))</f>
        <v>6732.3076899999996</v>
      </c>
      <c r="P95" s="46">
        <f t="shared" ca="1" si="4"/>
        <v>1.4025641020885959E-4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101" t="str">
        <f ca="1">input_589100!A$2</f>
        <v>589100</v>
      </c>
      <c r="B96" s="101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IFERROR(VLOOKUP(B96,input_589100!L:R,7,FALSE),VLOOKUP(tables_589100!C96,input_589100!A:H,8,FALSE))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101" t="str">
        <f ca="1">input_589100!A$2</f>
        <v>589100</v>
      </c>
      <c r="B97" s="101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IFERROR(VLOOKUP(B97,input_589100!L:R,7,FALSE),VLOOKUP(tables_589100!C97,input_589100!A:H,8,FALSE))</f>
        <v>320000</v>
      </c>
      <c r="P97" s="46">
        <f t="shared" ca="1" si="4"/>
        <v>6.6666666666916809E-3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101" t="str">
        <f ca="1">input_589100!A$2</f>
        <v>589100</v>
      </c>
      <c r="B98" s="101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IFERROR(VLOOKUP(B98,input_589100!L:R,7,FALSE),VLOOKUP(tables_589100!C98,input_589100!A:H,8,FALSE))</f>
        <v>6732.3076899999996</v>
      </c>
      <c r="P98" s="46">
        <f t="shared" ca="1" si="4"/>
        <v>1.4025641020885959E-4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101" t="str">
        <f ca="1">input_589100!A$2</f>
        <v>589100</v>
      </c>
      <c r="B99" s="101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IFERROR(VLOOKUP(B99,input_589100!L:R,7,FALSE),VLOOKUP(tables_589100!C99,input_589100!A:H,8,FALSE))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101" t="str">
        <f ca="1">input_589100!A$2</f>
        <v>589100</v>
      </c>
      <c r="B100" s="101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IFERROR(VLOOKUP(B100,input_589100!L:R,7,FALSE),VLOOKUP(tables_589100!C100,input_589100!A:H,8,FALSE))</f>
        <v>320000</v>
      </c>
      <c r="P100" s="46">
        <f t="shared" ca="1" si="4"/>
        <v>6.6666666666916809E-3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101" t="str">
        <f ca="1">input_589100!A$2</f>
        <v>589100</v>
      </c>
      <c r="B101" s="101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IFERROR(VLOOKUP(B101,input_589100!L:R,7,FALSE),VLOOKUP(tables_589100!C101,input_589100!A:H,8,FALSE))</f>
        <v>6732.3076899999996</v>
      </c>
      <c r="P101" s="46">
        <f t="shared" ca="1" si="4"/>
        <v>1.4025641020885959E-4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101" t="str">
        <f ca="1">input_589100!A$2</f>
        <v>589100</v>
      </c>
      <c r="B102" s="101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IFERROR(VLOOKUP(B102,input_589100!L:R,7,FALSE),VLOOKUP(tables_589100!C102,input_589100!A:H,8,FALSE))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101" t="str">
        <f ca="1">input_589100!A$2</f>
        <v>589100</v>
      </c>
      <c r="B103" s="101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IFERROR(VLOOKUP(B103,input_589100!L:R,7,FALSE),VLOOKUP(tables_589100!C103,input_589100!A:H,8,FALSE))</f>
        <v>320000</v>
      </c>
      <c r="P103" s="46">
        <f t="shared" ca="1" si="4"/>
        <v>6.6666666666916809E-3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101" t="str">
        <f ca="1">input_589100!A$2</f>
        <v>589100</v>
      </c>
      <c r="B104" s="101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IFERROR(VLOOKUP(B104,input_589100!L:R,7,FALSE),VLOOKUP(tables_589100!C104,input_589100!A:H,8,FALSE))</f>
        <v>6732.3076899999996</v>
      </c>
      <c r="P104" s="46">
        <f t="shared" ca="1" si="4"/>
        <v>1.4025641020885959E-4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101" t="str">
        <f ca="1">input_589100!A$2</f>
        <v>589100</v>
      </c>
      <c r="B105" s="101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IFERROR(VLOOKUP(B105,input_589100!L:R,7,FALSE),VLOOKUP(tables_589100!C105,input_589100!A:H,8,FALSE))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101" t="str">
        <f ca="1">input_589100!A$2</f>
        <v>589100</v>
      </c>
      <c r="B106" s="101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IFERROR(VLOOKUP(B106,input_589100!L:R,7,FALSE),VLOOKUP(tables_589100!C106,input_589100!A:H,8,FALSE))</f>
        <v>320000</v>
      </c>
      <c r="P106" s="46">
        <f t="shared" ca="1" si="4"/>
        <v>6.6666666666916809E-3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101" t="str">
        <f ca="1">input_589100!A$2</f>
        <v>589100</v>
      </c>
      <c r="B107" s="101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IFERROR(VLOOKUP(B107,input_589100!L:R,7,FALSE),VLOOKUP(tables_589100!C107,input_589100!A:H,8,FALSE))</f>
        <v>6732.3076899999996</v>
      </c>
      <c r="P107" s="46">
        <f t="shared" ca="1" si="4"/>
        <v>1.4025641020885959E-4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101" t="str">
        <f ca="1">input_589100!A$2</f>
        <v>589100</v>
      </c>
      <c r="B108" s="101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IFERROR(VLOOKUP(B108,input_589100!L:R,7,FALSE),VLOOKUP(tables_589100!C108,input_589100!A:H,8,FALSE))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101" t="str">
        <f ca="1">input_589100!A$2</f>
        <v>589100</v>
      </c>
      <c r="B109" s="101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IFERROR(VLOOKUP(B109,input_589100!L:R,7,FALSE),VLOOKUP(tables_589100!C109,input_589100!A:H,8,FALSE))</f>
        <v>320000</v>
      </c>
      <c r="P109" s="46">
        <f t="shared" ca="1" si="4"/>
        <v>6.6666666666916809E-3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101" t="str">
        <f ca="1">input_589100!A$2</f>
        <v>589100</v>
      </c>
      <c r="B110" s="101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IFERROR(VLOOKUP(B110,input_589100!L:R,7,FALSE),VLOOKUP(tables_589100!C110,input_589100!A:H,8,FALSE))</f>
        <v>6732.3076899999996</v>
      </c>
      <c r="P110" s="46">
        <f t="shared" ca="1" si="4"/>
        <v>1.4025641020885959E-4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101" t="str">
        <f ca="1">input_589100!A$2</f>
        <v>589100</v>
      </c>
      <c r="B111" s="101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IFERROR(VLOOKUP(B111,input_589100!L:R,7,FALSE),VLOOKUP(tables_589100!C111,input_589100!A:H,8,FALSE))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101" t="str">
        <f ca="1">input_589100!A$2</f>
        <v>589100</v>
      </c>
      <c r="B112" s="101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IFERROR(VLOOKUP(B112,input_589100!L:R,7,FALSE),VLOOKUP(tables_589100!C112,input_589100!A:H,8,FALSE))</f>
        <v>320000</v>
      </c>
      <c r="P112" s="46">
        <f t="shared" ca="1" si="4"/>
        <v>6.6666666666916809E-3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101" t="str">
        <f ca="1">input_589100!A$2</f>
        <v>589100</v>
      </c>
      <c r="B113" s="101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IFERROR(VLOOKUP(B113,input_589100!L:R,7,FALSE),VLOOKUP(tables_589100!C113,input_589100!A:H,8,FALSE))</f>
        <v>80000</v>
      </c>
      <c r="P113" s="46">
        <f t="shared" ca="1" si="4"/>
        <v>1.6666666666729202E-3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101" t="str">
        <f ca="1">input_589100!A$2</f>
        <v>589100</v>
      </c>
      <c r="B114" s="101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IFERROR(VLOOKUP(B114,input_589100!L:R,7,FALSE),VLOOKUP(tables_589100!C114,input_589100!A:H,8,FALSE))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101" t="str">
        <f ca="1">input_589100!A$2</f>
        <v>589100</v>
      </c>
      <c r="B115" s="101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IFERROR(VLOOKUP(B115,input_589100!L:R,7,FALSE),VLOOKUP(tables_589100!C115,input_589100!A:H,8,FALSE))</f>
        <v>320000</v>
      </c>
      <c r="P115" s="46">
        <f t="shared" ca="1" si="4"/>
        <v>6.6666666666916809E-3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101" t="str">
        <f ca="1">input_589100!A$2</f>
        <v>589100</v>
      </c>
      <c r="B116" s="101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IFERROR(VLOOKUP(B116,input_589100!L:R,7,FALSE),VLOOKUP(tables_589100!C116,input_589100!A:H,8,FALSE))</f>
        <v>6732.3076899999996</v>
      </c>
      <c r="P116" s="46">
        <f t="shared" ca="1" si="4"/>
        <v>1.4025641020885959E-4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101" t="str">
        <f ca="1">input_589100!A$2</f>
        <v>589100</v>
      </c>
      <c r="B117" s="101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IFERROR(VLOOKUP(B117,input_589100!L:R,7,FALSE),VLOOKUP(tables_589100!C117,input_589100!A:H,8,FALSE))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101" t="str">
        <f ca="1">input_589100!A$2</f>
        <v>589100</v>
      </c>
      <c r="B118" s="101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IFERROR(VLOOKUP(B118,input_589100!L:R,7,FALSE),VLOOKUP(tables_589100!C118,input_589100!A:H,8,FALSE))</f>
        <v>320000</v>
      </c>
      <c r="P118" s="46">
        <f t="shared" ca="1" si="4"/>
        <v>6.6666666666916809E-3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101" t="str">
        <f ca="1">input_589100!A$2</f>
        <v>589100</v>
      </c>
      <c r="B119" s="101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IFERROR(VLOOKUP(B119,input_589100!L:R,7,FALSE),VLOOKUP(tables_589100!C119,input_589100!A:H,8,FALSE))</f>
        <v>6732.3076899999996</v>
      </c>
      <c r="P119" s="46">
        <f t="shared" ca="1" si="4"/>
        <v>1.4025641020885959E-4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101" t="str">
        <f ca="1">input_589100!A$2</f>
        <v>589100</v>
      </c>
      <c r="B120" s="101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IFERROR(VLOOKUP(B120,input_589100!L:R,7,FALSE),VLOOKUP(tables_589100!C120,input_589100!A:H,8,FALSE))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101" t="str">
        <f ca="1">input_589100!A$2</f>
        <v>589100</v>
      </c>
      <c r="B121" s="101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IFERROR(VLOOKUP(B121,input_589100!L:R,7,FALSE),VLOOKUP(tables_589100!C121,input_589100!A:H,8,FALSE))</f>
        <v>320000</v>
      </c>
      <c r="P121" s="46">
        <f t="shared" ca="1" si="4"/>
        <v>6.6666666666916809E-3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101" t="str">
        <f ca="1">input_589100!A$2</f>
        <v>589100</v>
      </c>
      <c r="B122" s="101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IFERROR(VLOOKUP(B122,input_589100!L:R,7,FALSE),VLOOKUP(tables_589100!C122,input_589100!A:H,8,FALSE))</f>
        <v>6732.3076899999996</v>
      </c>
      <c r="P122" s="46">
        <f t="shared" ca="1" si="4"/>
        <v>1.4025641020885959E-4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101" t="str">
        <f ca="1">input_589100!A$2</f>
        <v>589100</v>
      </c>
      <c r="B123" s="101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IFERROR(VLOOKUP(B123,input_589100!L:R,7,FALSE),VLOOKUP(tables_589100!C123,input_589100!A:H,8,FALSE))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101" t="str">
        <f ca="1">input_589100!A$2</f>
        <v>589100</v>
      </c>
      <c r="B124" s="101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IFERROR(VLOOKUP(B124,input_589100!L:R,7,FALSE),VLOOKUP(tables_589100!C124,input_589100!A:H,8,FALSE))</f>
        <v>320000</v>
      </c>
      <c r="P124" s="46">
        <f t="shared" ca="1" si="4"/>
        <v>6.6666666666916809E-3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101" t="str">
        <f ca="1">input_589100!A$2</f>
        <v>589100</v>
      </c>
      <c r="B125" s="103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IFERROR(VLOOKUP(B125,input_589100!L:R,7,FALSE),VLOOKUP(tables_589100!C125,input_589100!A:H,8,FALSE))</f>
        <v>6732.3076899999996</v>
      </c>
      <c r="P125" s="46">
        <f t="shared" ca="1" si="4"/>
        <v>1.4025641020885959E-4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101" t="str">
        <f ca="1">input_589100!A$2</f>
        <v>589100</v>
      </c>
      <c r="B126" s="103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IFERROR(VLOOKUP(B126,input_589100!L:R,7,FALSE),VLOOKUP(tables_589100!C126,input_589100!A:H,8,FALSE))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101" t="str">
        <f ca="1">input_589100!A$2</f>
        <v>589100</v>
      </c>
      <c r="B127" s="103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IFERROR(VLOOKUP(B127,input_589100!L:R,7,FALSE),VLOOKUP(tables_589100!C127,input_589100!A:H,8,FALSE))</f>
        <v>320000</v>
      </c>
      <c r="P127" s="46">
        <f t="shared" ca="1" si="4"/>
        <v>6.6666666666916809E-3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101" t="str">
        <f ca="1">input_589100!A$2</f>
        <v>589100</v>
      </c>
      <c r="B128" s="103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IFERROR(VLOOKUP(B128,input_589100!L:R,7,FALSE),VLOOKUP(tables_589100!C128,input_589100!A:H,8,FALSE))</f>
        <v>6732.3076899999996</v>
      </c>
      <c r="P128" s="46">
        <f t="shared" ca="1" si="4"/>
        <v>1.4025641020885959E-4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101" t="str">
        <f ca="1">input_589100!A$2</f>
        <v>589100</v>
      </c>
      <c r="B129" s="103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IFERROR(VLOOKUP(B129,input_589100!L:R,7,FALSE),VLOOKUP(tables_589100!C129,input_589100!A:H,8,FALSE))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101" t="str">
        <f ca="1">input_589100!A$2</f>
        <v>589100</v>
      </c>
      <c r="B130" s="103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IFERROR(VLOOKUP(B130,input_589100!L:R,7,FALSE),VLOOKUP(tables_589100!C130,input_589100!A:H,8,FALSE))</f>
        <v>320000</v>
      </c>
      <c r="P130" s="46">
        <f t="shared" ref="P130:P193" ca="1" si="7">O130/SUM(O:O)</f>
        <v>6.6666666666916809E-3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101" t="str">
        <f ca="1">input_589100!A$2</f>
        <v>589100</v>
      </c>
      <c r="B131" s="103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IFERROR(VLOOKUP(B131,input_589100!L:R,7,FALSE),VLOOKUP(tables_589100!C131,input_589100!A:H,8,FALSE))</f>
        <v>6732.3076899999996</v>
      </c>
      <c r="P131" s="46">
        <f t="shared" ca="1" si="7"/>
        <v>1.4025641020885959E-4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101" t="str">
        <f ca="1">input_589100!A$2</f>
        <v>589100</v>
      </c>
      <c r="B132" s="103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IFERROR(VLOOKUP(B132,input_589100!L:R,7,FALSE),VLOOKUP(tables_589100!C132,input_589100!A:H,8,FALSE))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101" t="str">
        <f ca="1">input_589100!A$2</f>
        <v>589100</v>
      </c>
      <c r="B133" s="103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IFERROR(VLOOKUP(B133,input_589100!L:R,7,FALSE),VLOOKUP(tables_589100!C133,input_589100!A:H,8,FALSE))</f>
        <v>320000</v>
      </c>
      <c r="P133" s="46">
        <f t="shared" ca="1" si="7"/>
        <v>6.6666666666916809E-3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101" t="str">
        <f ca="1">input_589100!A$2</f>
        <v>589100</v>
      </c>
      <c r="B134" s="103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IFERROR(VLOOKUP(B134,input_589100!L:R,7,FALSE),VLOOKUP(tables_589100!C134,input_589100!A:H,8,FALSE))</f>
        <v>6732.3076899999996</v>
      </c>
      <c r="P134" s="46">
        <f t="shared" ca="1" si="7"/>
        <v>1.4025641020885959E-4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101" t="str">
        <f ca="1">input_589100!A$2</f>
        <v>589100</v>
      </c>
      <c r="B135" s="103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IFERROR(VLOOKUP(B135,input_589100!L:R,7,FALSE),VLOOKUP(tables_589100!C135,input_589100!A:H,8,FALSE))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101" t="str">
        <f ca="1">input_589100!A$2</f>
        <v>589100</v>
      </c>
      <c r="B136" s="104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IFERROR(VLOOKUP(B136,input_589100!L:R,7,FALSE),VLOOKUP(tables_589100!C136,input_589100!A:H,8,FALSE))</f>
        <v>320000</v>
      </c>
      <c r="P136" s="46">
        <f t="shared" ca="1" si="7"/>
        <v>6.6666666666916809E-3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101" t="str">
        <f ca="1">input_589100!A$2</f>
        <v>589100</v>
      </c>
      <c r="B137" s="104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IFERROR(VLOOKUP(B137,input_589100!L:R,7,FALSE),VLOOKUP(tables_589100!C137,input_589100!A:H,8,FALSE))</f>
        <v>6732.3076899999996</v>
      </c>
      <c r="P137" s="46">
        <f t="shared" ca="1" si="7"/>
        <v>1.4025641020885959E-4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101" t="str">
        <f ca="1">input_589100!A$2</f>
        <v>589100</v>
      </c>
      <c r="B138" s="103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IFERROR(VLOOKUP(B138,input_589100!L:R,7,FALSE),VLOOKUP(tables_589100!C138,input_589100!A:H,8,FALSE))</f>
        <v>15360</v>
      </c>
      <c r="P138" s="46">
        <f t="shared" ca="1" si="7"/>
        <v>3.2000000000120067E-4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101" t="str">
        <f ca="1">input_589100!A$2</f>
        <v>589100</v>
      </c>
      <c r="B139" s="103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IFERROR(VLOOKUP(B139,input_589100!L:R,7,FALSE),VLOOKUP(tables_589100!C139,input_589100!A:H,8,FALSE))</f>
        <v>3840</v>
      </c>
      <c r="P139" s="46">
        <f t="shared" ca="1" si="7"/>
        <v>8.0000000000300168E-5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101" t="str">
        <f ca="1">input_589100!A$2</f>
        <v>589100</v>
      </c>
      <c r="B140" s="103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IFERROR(VLOOKUP(B140,input_589100!L:R,7,FALSE),VLOOKUP(tables_589100!C140,input_589100!A:H,8,FALSE))</f>
        <v>15360</v>
      </c>
      <c r="P140" s="46">
        <f t="shared" ca="1" si="7"/>
        <v>3.2000000000120067E-4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101" t="str">
        <f ca="1">input_589100!A$2</f>
        <v>589100</v>
      </c>
      <c r="B141" s="103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IFERROR(VLOOKUP(B141,input_589100!L:R,7,FALSE),VLOOKUP(tables_589100!C141,input_589100!A:H,8,FALSE))</f>
        <v>3840</v>
      </c>
      <c r="P141" s="46">
        <f t="shared" ca="1" si="7"/>
        <v>8.0000000000300168E-5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101" t="str">
        <f ca="1">input_589100!A$2</f>
        <v>589100</v>
      </c>
      <c r="B142" s="103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IFERROR(VLOOKUP(B142,input_589100!L:R,7,FALSE),VLOOKUP(tables_589100!C142,input_589100!A:H,8,FALSE))</f>
        <v>15360</v>
      </c>
      <c r="P142" s="46">
        <f t="shared" ca="1" si="7"/>
        <v>3.2000000000120067E-4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101" t="str">
        <f ca="1">input_589100!A$2</f>
        <v>589100</v>
      </c>
      <c r="B143" s="103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IFERROR(VLOOKUP(B143,input_589100!L:R,7,FALSE),VLOOKUP(tables_589100!C143,input_589100!A:H,8,FALSE))</f>
        <v>3840</v>
      </c>
      <c r="P143" s="46">
        <f t="shared" ca="1" si="7"/>
        <v>8.0000000000300168E-5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101" t="str">
        <f ca="1">input_589100!A$2</f>
        <v>589100</v>
      </c>
      <c r="B144" s="103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IFERROR(VLOOKUP(B144,input_589100!L:R,7,FALSE),VLOOKUP(tables_589100!C144,input_589100!A:H,8,FALSE))</f>
        <v>15360</v>
      </c>
      <c r="P144" s="46">
        <f t="shared" ca="1" si="7"/>
        <v>3.2000000000120067E-4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101" t="str">
        <f ca="1">input_589100!A$2</f>
        <v>589100</v>
      </c>
      <c r="B145" s="103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IFERROR(VLOOKUP(B145,input_589100!L:R,7,FALSE),VLOOKUP(tables_589100!C145,input_589100!A:H,8,FALSE))</f>
        <v>3840</v>
      </c>
      <c r="P145" s="46">
        <f t="shared" ca="1" si="7"/>
        <v>8.0000000000300168E-5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101" t="str">
        <f ca="1">input_589100!A$2</f>
        <v>589100</v>
      </c>
      <c r="B146" s="103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IFERROR(VLOOKUP(B146,input_589100!L:R,7,FALSE),VLOOKUP(tables_589100!C146,input_589100!A:H,8,FALSE))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101" t="str">
        <f ca="1">input_589100!A$2</f>
        <v>589100</v>
      </c>
      <c r="B147" s="103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IFERROR(VLOOKUP(B147,input_589100!L:R,7,FALSE),VLOOKUP(tables_589100!C147,input_589100!A:H,8,FALSE))</f>
        <v>320000</v>
      </c>
      <c r="P147" s="46">
        <f t="shared" ca="1" si="7"/>
        <v>6.6666666666916809E-3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101" t="str">
        <f ca="1">input_589100!A$2</f>
        <v>589100</v>
      </c>
      <c r="B148" s="103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IFERROR(VLOOKUP(B148,input_589100!L:R,7,FALSE),VLOOKUP(tables_589100!C148,input_589100!A:H,8,FALSE))</f>
        <v>6732.3076899999996</v>
      </c>
      <c r="P148" s="46">
        <f t="shared" ca="1" si="7"/>
        <v>1.4025641020885959E-4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101" t="str">
        <f ca="1">input_589100!A$2</f>
        <v>589100</v>
      </c>
      <c r="B149" s="103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IFERROR(VLOOKUP(B149,input_589100!L:R,7,FALSE),VLOOKUP(tables_589100!C149,input_589100!A:H,8,FALSE))</f>
        <v>15360</v>
      </c>
      <c r="P149" s="46">
        <f t="shared" ca="1" si="7"/>
        <v>3.2000000000120067E-4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101" t="str">
        <f ca="1">input_589100!A$2</f>
        <v>589100</v>
      </c>
      <c r="B150" s="103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IFERROR(VLOOKUP(B150,input_589100!L:R,7,FALSE),VLOOKUP(tables_589100!C150,input_589100!A:H,8,FALSE))</f>
        <v>3840</v>
      </c>
      <c r="P150" s="46">
        <f t="shared" ca="1" si="7"/>
        <v>8.0000000000300168E-5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101" t="str">
        <f ca="1">input_589100!A$2</f>
        <v>589100</v>
      </c>
      <c r="B151" s="103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IFERROR(VLOOKUP(B151,input_589100!L:R,7,FALSE),VLOOKUP(tables_589100!C151,input_589100!A:H,8,FALSE))</f>
        <v>15360</v>
      </c>
      <c r="P151" s="46">
        <f t="shared" ca="1" si="7"/>
        <v>3.2000000000120067E-4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101" t="str">
        <f ca="1">input_589100!A$2</f>
        <v>589100</v>
      </c>
      <c r="B152" s="103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IFERROR(VLOOKUP(B152,input_589100!L:R,7,FALSE),VLOOKUP(tables_589100!C152,input_589100!A:H,8,FALSE))</f>
        <v>3840</v>
      </c>
      <c r="P152" s="46">
        <f t="shared" ca="1" si="7"/>
        <v>8.0000000000300168E-5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101" t="str">
        <f ca="1">input_589100!A$2</f>
        <v>589100</v>
      </c>
      <c r="B153" s="103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IFERROR(VLOOKUP(B153,input_589100!L:R,7,FALSE),VLOOKUP(tables_589100!C153,input_589100!A:H,8,FALSE))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101" t="str">
        <f ca="1">input_589100!A$2</f>
        <v>589100</v>
      </c>
      <c r="B154" s="103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IFERROR(VLOOKUP(B154,input_589100!L:R,7,FALSE),VLOOKUP(tables_589100!C154,input_589100!A:H,8,FALSE))</f>
        <v>320000</v>
      </c>
      <c r="P154" s="46">
        <f t="shared" ca="1" si="7"/>
        <v>6.6666666666916809E-3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101" t="str">
        <f ca="1">input_589100!A$2</f>
        <v>589100</v>
      </c>
      <c r="B155" s="103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IFERROR(VLOOKUP(B155,input_589100!L:R,7,FALSE),VLOOKUP(tables_589100!C155,input_589100!A:H,8,FALSE))</f>
        <v>6732.3076899999996</v>
      </c>
      <c r="P155" s="46">
        <f t="shared" ca="1" si="7"/>
        <v>1.4025641020885959E-4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101" t="str">
        <f ca="1">input_589100!A$2</f>
        <v>589100</v>
      </c>
      <c r="B156" s="103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IFERROR(VLOOKUP(B156,input_589100!L:R,7,FALSE),VLOOKUP(tables_589100!C156,input_589100!A:H,8,FALSE))</f>
        <v>15360</v>
      </c>
      <c r="P156" s="46">
        <f t="shared" ca="1" si="7"/>
        <v>3.2000000000120067E-4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101" t="str">
        <f ca="1">input_589100!A$2</f>
        <v>589100</v>
      </c>
      <c r="B157" s="103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IFERROR(VLOOKUP(B157,input_589100!L:R,7,FALSE),VLOOKUP(tables_589100!C157,input_589100!A:H,8,FALSE))</f>
        <v>3840</v>
      </c>
      <c r="P157" s="46">
        <f t="shared" ca="1" si="7"/>
        <v>8.0000000000300168E-5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101" t="str">
        <f ca="1">input_589100!A$2</f>
        <v>589100</v>
      </c>
      <c r="B158" s="103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IFERROR(VLOOKUP(B158,input_589100!L:R,7,FALSE),VLOOKUP(tables_589100!C158,input_589100!A:H,8,FALSE))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101" t="str">
        <f ca="1">input_589100!A$2</f>
        <v>589100</v>
      </c>
      <c r="B159" s="103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IFERROR(VLOOKUP(B159,input_589100!L:R,7,FALSE),VLOOKUP(tables_589100!C159,input_589100!A:H,8,FALSE))</f>
        <v>320000</v>
      </c>
      <c r="P159" s="46">
        <f t="shared" ca="1" si="7"/>
        <v>6.6666666666916809E-3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101" t="str">
        <f ca="1">input_589100!A$2</f>
        <v>589100</v>
      </c>
      <c r="B160" s="103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IFERROR(VLOOKUP(B160,input_589100!L:R,7,FALSE),VLOOKUP(tables_589100!C160,input_589100!A:H,8,FALSE))</f>
        <v>6732.3076899999996</v>
      </c>
      <c r="P160" s="46">
        <f t="shared" ca="1" si="7"/>
        <v>1.4025641020885959E-4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101" t="str">
        <f ca="1">input_589100!A$2</f>
        <v>589100</v>
      </c>
      <c r="B161" s="103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IFERROR(VLOOKUP(B161,input_589100!L:R,7,FALSE),VLOOKUP(tables_589100!C161,input_589100!A:H,8,FALSE))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101" t="str">
        <f ca="1">input_589100!A$2</f>
        <v>589100</v>
      </c>
      <c r="B162" s="103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IFERROR(VLOOKUP(B162,input_589100!L:R,7,FALSE),VLOOKUP(tables_589100!C162,input_589100!A:H,8,FALSE))</f>
        <v>320000</v>
      </c>
      <c r="P162" s="46">
        <f t="shared" ca="1" si="7"/>
        <v>6.6666666666916809E-3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101" t="str">
        <f ca="1">input_589100!A$2</f>
        <v>589100</v>
      </c>
      <c r="B163" s="103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IFERROR(VLOOKUP(B163,input_589100!L:R,7,FALSE),VLOOKUP(tables_589100!C163,input_589100!A:H,8,FALSE))</f>
        <v>6732.3076899999996</v>
      </c>
      <c r="P163" s="46">
        <f t="shared" ca="1" si="7"/>
        <v>1.4025641020885959E-4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101" t="str">
        <f ca="1">input_589100!A$2</f>
        <v>589100</v>
      </c>
      <c r="B164" s="103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IFERROR(VLOOKUP(B164,input_589100!L:R,7,FALSE),VLOOKUP(tables_589100!C164,input_589100!A:H,8,FALSE))</f>
        <v>15360</v>
      </c>
      <c r="P164" s="46">
        <f t="shared" ca="1" si="7"/>
        <v>3.2000000000120067E-4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101" t="str">
        <f ca="1">input_589100!A$2</f>
        <v>589100</v>
      </c>
      <c r="B165" s="103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IFERROR(VLOOKUP(B165,input_589100!L:R,7,FALSE),VLOOKUP(tables_589100!C165,input_589100!A:H,8,FALSE))</f>
        <v>3840</v>
      </c>
      <c r="P165" s="46">
        <f t="shared" ca="1" si="7"/>
        <v>8.0000000000300168E-5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101" t="str">
        <f ca="1">input_589100!A$2</f>
        <v>589100</v>
      </c>
      <c r="B166" s="103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IFERROR(VLOOKUP(B166,input_589100!L:R,7,FALSE),VLOOKUP(tables_589100!C166,input_589100!A:H,8,FALSE))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101" t="str">
        <f ca="1">input_589100!A$2</f>
        <v>589100</v>
      </c>
      <c r="B167" s="103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IFERROR(VLOOKUP(B167,input_589100!L:R,7,FALSE),VLOOKUP(tables_589100!C167,input_589100!A:H,8,FALSE))</f>
        <v>320000</v>
      </c>
      <c r="P167" s="46">
        <f t="shared" ca="1" si="7"/>
        <v>6.6666666666916809E-3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101" t="str">
        <f ca="1">input_589100!A$2</f>
        <v>589100</v>
      </c>
      <c r="B168" s="103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IFERROR(VLOOKUP(B168,input_589100!L:R,7,FALSE),VLOOKUP(tables_589100!C168,input_589100!A:H,8,FALSE))</f>
        <v>6732.3076899999996</v>
      </c>
      <c r="P168" s="46">
        <f t="shared" ca="1" si="7"/>
        <v>1.4025641020885959E-4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101" t="str">
        <f ca="1">input_589100!A$2</f>
        <v>589100</v>
      </c>
      <c r="B169" s="103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IFERROR(VLOOKUP(B169,input_589100!L:R,7,FALSE),VLOOKUP(tables_589100!C169,input_589100!A:H,8,FALSE))</f>
        <v>15360</v>
      </c>
      <c r="P169" s="46">
        <f t="shared" ca="1" si="7"/>
        <v>3.2000000000120067E-4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101" t="str">
        <f ca="1">input_589100!A$2</f>
        <v>589100</v>
      </c>
      <c r="B170" s="103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IFERROR(VLOOKUP(B170,input_589100!L:R,7,FALSE),VLOOKUP(tables_589100!C170,input_589100!A:H,8,FALSE))</f>
        <v>3840</v>
      </c>
      <c r="P170" s="46">
        <f t="shared" ca="1" si="7"/>
        <v>8.0000000000300168E-5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101" t="str">
        <f ca="1">input_589100!A$2</f>
        <v>589100</v>
      </c>
      <c r="B171" s="103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IFERROR(VLOOKUP(B171,input_589100!L:R,7,FALSE),VLOOKUP(tables_589100!C171,input_589100!A:H,8,FALSE))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101" t="str">
        <f ca="1">input_589100!A$2</f>
        <v>589100</v>
      </c>
      <c r="B172" s="103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IFERROR(VLOOKUP(B172,input_589100!L:R,7,FALSE),VLOOKUP(tables_589100!C172,input_589100!A:H,8,FALSE))</f>
        <v>320000</v>
      </c>
      <c r="P172" s="46">
        <f t="shared" ca="1" si="7"/>
        <v>6.6666666666916809E-3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101" t="str">
        <f ca="1">input_589100!A$2</f>
        <v>589100</v>
      </c>
      <c r="B173" s="103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IFERROR(VLOOKUP(B173,input_589100!L:R,7,FALSE),VLOOKUP(tables_589100!C173,input_589100!A:H,8,FALSE))</f>
        <v>6732.3076899999996</v>
      </c>
      <c r="P173" s="46">
        <f t="shared" ca="1" si="7"/>
        <v>1.4025641020885959E-4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101" t="str">
        <f ca="1">input_589100!A$2</f>
        <v>589100</v>
      </c>
      <c r="B174" s="103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IFERROR(VLOOKUP(B174,input_589100!L:R,7,FALSE),VLOOKUP(tables_589100!C174,input_589100!A:H,8,FALSE))</f>
        <v>15360</v>
      </c>
      <c r="P174" s="46">
        <f t="shared" ca="1" si="7"/>
        <v>3.2000000000120067E-4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101" t="str">
        <f ca="1">input_589100!A$2</f>
        <v>589100</v>
      </c>
      <c r="B175" s="103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IFERROR(VLOOKUP(B175,input_589100!L:R,7,FALSE),VLOOKUP(tables_589100!C175,input_589100!A:H,8,FALSE))</f>
        <v>3840</v>
      </c>
      <c r="P175" s="46">
        <f t="shared" ca="1" si="7"/>
        <v>8.0000000000300168E-5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101" t="str">
        <f ca="1">input_589100!A$2</f>
        <v>589100</v>
      </c>
      <c r="B176" s="103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IFERROR(VLOOKUP(B176,input_589100!L:R,7,FALSE),VLOOKUP(tables_589100!C176,input_589100!A:H,8,FALSE))</f>
        <v>15360</v>
      </c>
      <c r="P176" s="46">
        <f t="shared" ca="1" si="7"/>
        <v>3.2000000000120067E-4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101" t="str">
        <f ca="1">input_589100!A$2</f>
        <v>589100</v>
      </c>
      <c r="B177" s="103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IFERROR(VLOOKUP(B177,input_589100!L:R,7,FALSE),VLOOKUP(tables_589100!C177,input_589100!A:H,8,FALSE))</f>
        <v>3840</v>
      </c>
      <c r="P177" s="46">
        <f t="shared" ca="1" si="7"/>
        <v>8.0000000000300168E-5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101" t="str">
        <f ca="1">input_589100!A$2</f>
        <v>589100</v>
      </c>
      <c r="B178" s="103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IFERROR(VLOOKUP(B178,input_589100!L:R,7,FALSE),VLOOKUP(tables_589100!C178,input_589100!A:H,8,FALSE))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101" t="str">
        <f ca="1">input_589100!A$2</f>
        <v>589100</v>
      </c>
      <c r="B179" s="103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IFERROR(VLOOKUP(B179,input_589100!L:R,7,FALSE),VLOOKUP(tables_589100!C179,input_589100!A:H,8,FALSE))</f>
        <v>320000</v>
      </c>
      <c r="P179" s="46">
        <f t="shared" ca="1" si="7"/>
        <v>6.6666666666916809E-3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101" t="str">
        <f ca="1">input_589100!A$2</f>
        <v>589100</v>
      </c>
      <c r="B180" s="103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IFERROR(VLOOKUP(B180,input_589100!L:R,7,FALSE),VLOOKUP(tables_589100!C180,input_589100!A:H,8,FALSE))</f>
        <v>6732.3076899999996</v>
      </c>
      <c r="P180" s="46">
        <f t="shared" ca="1" si="7"/>
        <v>1.4025641020885959E-4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101" t="str">
        <f ca="1">input_589100!A$2</f>
        <v>589100</v>
      </c>
      <c r="B181" s="103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IFERROR(VLOOKUP(B181,input_589100!L:R,7,FALSE),VLOOKUP(tables_589100!C181,input_589100!A:H,8,FALSE))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101" t="str">
        <f ca="1">input_589100!A$2</f>
        <v>589100</v>
      </c>
      <c r="B182" s="103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IFERROR(VLOOKUP(B182,input_589100!L:R,7,FALSE),VLOOKUP(tables_589100!C182,input_589100!A:H,8,FALSE))</f>
        <v>320000</v>
      </c>
      <c r="P182" s="46">
        <f t="shared" ca="1" si="7"/>
        <v>6.6666666666916809E-3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101" t="str">
        <f ca="1">input_589100!A$2</f>
        <v>589100</v>
      </c>
      <c r="B183" s="103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IFERROR(VLOOKUP(B183,input_589100!L:R,7,FALSE),VLOOKUP(tables_589100!C183,input_589100!A:H,8,FALSE))</f>
        <v>6732.3076899999996</v>
      </c>
      <c r="P183" s="46">
        <f t="shared" ca="1" si="7"/>
        <v>1.4025641020885959E-4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101" t="str">
        <f ca="1">input_589100!A$2</f>
        <v>589100</v>
      </c>
      <c r="B184" s="103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IFERROR(VLOOKUP(B184,input_589100!L:R,7,FALSE),VLOOKUP(tables_589100!C184,input_589100!A:H,8,FALSE))</f>
        <v>15360</v>
      </c>
      <c r="P184" s="46">
        <f t="shared" ca="1" si="7"/>
        <v>3.2000000000120067E-4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101" t="str">
        <f ca="1">input_589100!A$2</f>
        <v>589100</v>
      </c>
      <c r="B185" s="103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IFERROR(VLOOKUP(B185,input_589100!L:R,7,FALSE),VLOOKUP(tables_589100!C185,input_589100!A:H,8,FALSE))</f>
        <v>3840</v>
      </c>
      <c r="P185" s="46">
        <f t="shared" ca="1" si="7"/>
        <v>8.0000000000300168E-5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101" t="str">
        <f ca="1">input_589100!A$2</f>
        <v>589100</v>
      </c>
      <c r="B186" s="104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IFERROR(VLOOKUP(B186,input_589100!L:R,7,FALSE),VLOOKUP(tables_589100!C186,input_589100!A:H,8,FALSE))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101" t="str">
        <f ca="1">input_589100!A$2</f>
        <v>589100</v>
      </c>
      <c r="B187" s="104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IFERROR(VLOOKUP(B187,input_589100!L:R,7,FALSE),VLOOKUP(tables_589100!C187,input_589100!A:H,8,FALSE))</f>
        <v>320000</v>
      </c>
      <c r="P187" s="46">
        <f t="shared" ca="1" si="7"/>
        <v>6.6666666666916809E-3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101" t="str">
        <f ca="1">input_589100!A$2</f>
        <v>589100</v>
      </c>
      <c r="B188" s="104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IFERROR(VLOOKUP(B188,input_589100!L:R,7,FALSE),VLOOKUP(tables_589100!C188,input_589100!A:H,8,FALSE))</f>
        <v>6732.3076899999996</v>
      </c>
      <c r="P188" s="46">
        <f t="shared" ca="1" si="7"/>
        <v>1.4025641020885959E-4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101" t="str">
        <f ca="1">input_589100!A$2</f>
        <v>589100</v>
      </c>
      <c r="B189" s="104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IFERROR(VLOOKUP(B189,input_589100!L:R,7,FALSE),VLOOKUP(tables_589100!C189,input_589100!A:H,8,FALSE))</f>
        <v>15360</v>
      </c>
      <c r="P189" s="46">
        <f t="shared" ca="1" si="7"/>
        <v>3.2000000000120067E-4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101" t="str">
        <f ca="1">input_589100!A$2</f>
        <v>589100</v>
      </c>
      <c r="B190" s="103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IFERROR(VLOOKUP(B190,input_589100!L:R,7,FALSE),VLOOKUP(tables_589100!C190,input_589100!A:H,8,FALSE))</f>
        <v>3840</v>
      </c>
      <c r="P190" s="46">
        <f t="shared" ca="1" si="7"/>
        <v>8.0000000000300168E-5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101" t="str">
        <f ca="1">input_589100!A$2</f>
        <v>589100</v>
      </c>
      <c r="B191" s="103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IFERROR(VLOOKUP(B191,input_589100!L:R,7,FALSE),VLOOKUP(tables_589100!C191,input_589100!A:H,8,FALSE))</f>
        <v>15360</v>
      </c>
      <c r="P191" s="46">
        <f t="shared" ca="1" si="7"/>
        <v>3.2000000000120067E-4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101" t="str">
        <f ca="1">input_589100!A$2</f>
        <v>589100</v>
      </c>
      <c r="B192" s="103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IFERROR(VLOOKUP(B192,input_589100!L:R,7,FALSE),VLOOKUP(tables_589100!C192,input_589100!A:H,8,FALSE))</f>
        <v>3840</v>
      </c>
      <c r="P192" s="46">
        <f t="shared" ca="1" si="7"/>
        <v>8.0000000000300168E-5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101" t="str">
        <f ca="1">input_589100!A$2</f>
        <v>589100</v>
      </c>
      <c r="B193" s="103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IFERROR(VLOOKUP(B193,input_589100!L:R,7,FALSE),VLOOKUP(tables_589100!C193,input_589100!A:H,8,FALSE))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101" t="str">
        <f ca="1">input_589100!A$2</f>
        <v>589100</v>
      </c>
      <c r="B194" s="103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IFERROR(VLOOKUP(B194,input_589100!L:R,7,FALSE),VLOOKUP(tables_589100!C194,input_589100!A:H,8,FALSE))</f>
        <v>320000</v>
      </c>
      <c r="P194" s="46">
        <f t="shared" ref="P194:P257" ca="1" si="10">O194/SUM(O:O)</f>
        <v>6.6666666666916809E-3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101" t="str">
        <f ca="1">input_589100!A$2</f>
        <v>589100</v>
      </c>
      <c r="B195" s="103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IFERROR(VLOOKUP(B195,input_589100!L:R,7,FALSE),VLOOKUP(tables_589100!C195,input_589100!A:H,8,FALSE))</f>
        <v>6732.3076899999996</v>
      </c>
      <c r="P195" s="46">
        <f t="shared" ca="1" si="10"/>
        <v>1.4025641020885959E-4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101" t="str">
        <f ca="1">input_589100!A$2</f>
        <v>589100</v>
      </c>
      <c r="B196" s="103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IFERROR(VLOOKUP(B196,input_589100!L:R,7,FALSE),VLOOKUP(tables_589100!C196,input_589100!A:H,8,FALSE))</f>
        <v>15360</v>
      </c>
      <c r="P196" s="46">
        <f t="shared" ca="1" si="10"/>
        <v>3.2000000000120067E-4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101" t="str">
        <f ca="1">input_589100!A$2</f>
        <v>589100</v>
      </c>
      <c r="B197" s="103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IFERROR(VLOOKUP(B197,input_589100!L:R,7,FALSE),VLOOKUP(tables_589100!C197,input_589100!A:H,8,FALSE))</f>
        <v>3840</v>
      </c>
      <c r="P197" s="46">
        <f t="shared" ca="1" si="10"/>
        <v>8.0000000000300168E-5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101" t="str">
        <f ca="1">input_589100!A$2</f>
        <v>589100</v>
      </c>
      <c r="B198" s="103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IFERROR(VLOOKUP(B198,input_589100!L:R,7,FALSE),VLOOKUP(tables_589100!C198,input_589100!A:H,8,FALSE))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101" t="str">
        <f ca="1">input_589100!A$2</f>
        <v>589100</v>
      </c>
      <c r="B199" s="103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IFERROR(VLOOKUP(B199,input_589100!L:R,7,FALSE),VLOOKUP(tables_589100!C199,input_589100!A:H,8,FALSE))</f>
        <v>320000</v>
      </c>
      <c r="P199" s="46">
        <f t="shared" ca="1" si="10"/>
        <v>6.6666666666916809E-3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101" t="str">
        <f ca="1">input_589100!A$2</f>
        <v>589100</v>
      </c>
      <c r="B200" s="103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IFERROR(VLOOKUP(B200,input_589100!L:R,7,FALSE),VLOOKUP(tables_589100!C200,input_589100!A:H,8,FALSE))</f>
        <v>6732.3076899999996</v>
      </c>
      <c r="P200" s="46">
        <f t="shared" ca="1" si="10"/>
        <v>1.4025641020885959E-4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101" t="str">
        <f ca="1">input_589100!A$2</f>
        <v>589100</v>
      </c>
      <c r="B201" s="103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IFERROR(VLOOKUP(B201,input_589100!L:R,7,FALSE),VLOOKUP(tables_589100!C201,input_589100!A:H,8,FALSE))</f>
        <v>15360</v>
      </c>
      <c r="P201" s="46">
        <f t="shared" ca="1" si="10"/>
        <v>3.2000000000120067E-4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101" t="str">
        <f ca="1">input_589100!A$2</f>
        <v>589100</v>
      </c>
      <c r="B202" s="103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IFERROR(VLOOKUP(B202,input_589100!L:R,7,FALSE),VLOOKUP(tables_589100!C202,input_589100!A:H,8,FALSE))</f>
        <v>3840</v>
      </c>
      <c r="P202" s="46">
        <f t="shared" ca="1" si="10"/>
        <v>8.0000000000300168E-5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101" t="str">
        <f ca="1">input_589100!A$2</f>
        <v>589100</v>
      </c>
      <c r="B203" s="103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IFERROR(VLOOKUP(B203,input_589100!L:R,7,FALSE),VLOOKUP(tables_589100!C203,input_589100!A:H,8,FALSE))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101" t="str">
        <f ca="1">input_589100!A$2</f>
        <v>589100</v>
      </c>
      <c r="B204" s="103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IFERROR(VLOOKUP(B204,input_589100!L:R,7,FALSE),VLOOKUP(tables_589100!C204,input_589100!A:H,8,FALSE))</f>
        <v>320000</v>
      </c>
      <c r="P204" s="46">
        <f t="shared" ca="1" si="10"/>
        <v>6.6666666666916809E-3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101" t="str">
        <f ca="1">input_589100!A$2</f>
        <v>589100</v>
      </c>
      <c r="B205" s="103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IFERROR(VLOOKUP(B205,input_589100!L:R,7,FALSE),VLOOKUP(tables_589100!C205,input_589100!A:H,8,FALSE))</f>
        <v>6732.3076899999996</v>
      </c>
      <c r="P205" s="46">
        <f t="shared" ca="1" si="10"/>
        <v>1.4025641020885959E-4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101" t="str">
        <f ca="1">input_589100!A$2</f>
        <v>589100</v>
      </c>
      <c r="B206" s="103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IFERROR(VLOOKUP(B206,input_589100!L:R,7,FALSE),VLOOKUP(tables_589100!C206,input_589100!A:H,8,FALSE))</f>
        <v>15360</v>
      </c>
      <c r="P206" s="46">
        <f t="shared" ca="1" si="10"/>
        <v>3.2000000000120067E-4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101" t="str">
        <f ca="1">input_589100!A$2</f>
        <v>589100</v>
      </c>
      <c r="B207" s="103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IFERROR(VLOOKUP(B207,input_589100!L:R,7,FALSE),VLOOKUP(tables_589100!C207,input_589100!A:H,8,FALSE))</f>
        <v>3840</v>
      </c>
      <c r="P207" s="46">
        <f t="shared" ca="1" si="10"/>
        <v>8.0000000000300168E-5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101" t="str">
        <f ca="1">input_589100!A$2</f>
        <v>589100</v>
      </c>
      <c r="B208" s="103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IFERROR(VLOOKUP(B208,input_589100!L:R,7,FALSE),VLOOKUP(tables_589100!C208,input_589100!A:H,8,FALSE))</f>
        <v>15360</v>
      </c>
      <c r="P208" s="46">
        <f t="shared" ca="1" si="10"/>
        <v>3.2000000000120067E-4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101" t="str">
        <f ca="1">input_589100!A$2</f>
        <v>589100</v>
      </c>
      <c r="B209" s="103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IFERROR(VLOOKUP(B209,input_589100!L:R,7,FALSE),VLOOKUP(tables_589100!C209,input_589100!A:H,8,FALSE))</f>
        <v>3840</v>
      </c>
      <c r="P209" s="46">
        <f t="shared" ca="1" si="10"/>
        <v>8.0000000000300168E-5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101" t="str">
        <f ca="1">input_589100!A$2</f>
        <v>589100</v>
      </c>
      <c r="B210" s="103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IFERROR(VLOOKUP(B210,input_589100!L:R,7,FALSE),VLOOKUP(tables_589100!C210,input_589100!A:H,8,FALSE))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101" t="str">
        <f ca="1">input_589100!A$2</f>
        <v>589100</v>
      </c>
      <c r="B211" s="103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IFERROR(VLOOKUP(B211,input_589100!L:R,7,FALSE),VLOOKUP(tables_589100!C211,input_589100!A:H,8,FALSE))</f>
        <v>320000</v>
      </c>
      <c r="P211" s="46">
        <f t="shared" ca="1" si="10"/>
        <v>6.6666666666916809E-3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101" t="str">
        <f ca="1">input_589100!A$2</f>
        <v>589100</v>
      </c>
      <c r="B212" s="103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IFERROR(VLOOKUP(B212,input_589100!L:R,7,FALSE),VLOOKUP(tables_589100!C212,input_589100!A:H,8,FALSE))</f>
        <v>6732.3076899999996</v>
      </c>
      <c r="P212" s="46">
        <f t="shared" ca="1" si="10"/>
        <v>1.4025641020885959E-4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101" t="str">
        <f ca="1">input_589100!A$2</f>
        <v>589100</v>
      </c>
      <c r="B213" s="103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IFERROR(VLOOKUP(B213,input_589100!L:R,7,FALSE),VLOOKUP(tables_589100!C213,input_589100!A:H,8,FALSE))</f>
        <v>15360</v>
      </c>
      <c r="P213" s="46">
        <f t="shared" ca="1" si="10"/>
        <v>3.2000000000120067E-4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101" t="str">
        <f ca="1">input_589100!A$2</f>
        <v>589100</v>
      </c>
      <c r="B214" s="103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IFERROR(VLOOKUP(B214,input_589100!L:R,7,FALSE),VLOOKUP(tables_589100!C214,input_589100!A:H,8,FALSE))</f>
        <v>3840</v>
      </c>
      <c r="P214" s="46">
        <f t="shared" ca="1" si="10"/>
        <v>8.0000000000300168E-5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101" t="str">
        <f ca="1">input_589100!A$2</f>
        <v>589100</v>
      </c>
      <c r="B215" s="103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IFERROR(VLOOKUP(B215,input_589100!L:R,7,FALSE),VLOOKUP(tables_589100!C215,input_589100!A:H,8,FALSE))</f>
        <v>80000</v>
      </c>
      <c r="P215" s="46">
        <f t="shared" ca="1" si="10"/>
        <v>1.6666666666729202E-3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101" t="str">
        <f ca="1">input_589100!A$2</f>
        <v>589100</v>
      </c>
      <c r="B216" s="103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IFERROR(VLOOKUP(B216,input_589100!L:R,7,FALSE),VLOOKUP(tables_589100!C216,input_589100!A:H,8,FALSE))</f>
        <v>80000</v>
      </c>
      <c r="P216" s="46">
        <f t="shared" ca="1" si="10"/>
        <v>1.6666666666729202E-3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101" t="str">
        <f ca="1">input_589100!A$2</f>
        <v>589100</v>
      </c>
      <c r="B217" s="103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IFERROR(VLOOKUP(B217,input_589100!L:R,7,FALSE),VLOOKUP(tables_589100!C217,input_589100!A:H,8,FALSE))</f>
        <v>80000</v>
      </c>
      <c r="P217" s="46">
        <f t="shared" ca="1" si="10"/>
        <v>1.6666666666729202E-3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101" t="str">
        <f ca="1">input_589100!A$2</f>
        <v>589100</v>
      </c>
      <c r="B218" s="103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IFERROR(VLOOKUP(B218,input_589100!L:R,7,FALSE),VLOOKUP(tables_589100!C218,input_589100!A:H,8,FALSE))</f>
        <v>80000</v>
      </c>
      <c r="P218" s="46">
        <f t="shared" ca="1" si="10"/>
        <v>1.6666666666729202E-3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101" t="str">
        <f ca="1">input_589100!A$2</f>
        <v>589100</v>
      </c>
      <c r="B219" s="103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IFERROR(VLOOKUP(B219,input_589100!L:R,7,FALSE),VLOOKUP(tables_589100!C219,input_589100!A:H,8,FALSE))</f>
        <v>80000</v>
      </c>
      <c r="P219" s="46">
        <f t="shared" ca="1" si="10"/>
        <v>1.6666666666729202E-3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101" t="str">
        <f ca="1">input_589100!A$2</f>
        <v>589100</v>
      </c>
      <c r="B220" s="103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IFERROR(VLOOKUP(B220,input_589100!L:R,7,FALSE),VLOOKUP(tables_589100!C220,input_589100!A:H,8,FALSE))</f>
        <v>80000</v>
      </c>
      <c r="P220" s="46">
        <f t="shared" ca="1" si="10"/>
        <v>1.6666666666729202E-3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101" t="str">
        <f ca="1">input_589100!A$2</f>
        <v>589100</v>
      </c>
      <c r="B221" s="103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IFERROR(VLOOKUP(B221,input_589100!L:R,7,FALSE),VLOOKUP(tables_589100!C221,input_589100!A:H,8,FALSE))</f>
        <v>15360</v>
      </c>
      <c r="P221" s="46">
        <f t="shared" ca="1" si="10"/>
        <v>3.2000000000120067E-4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101" t="str">
        <f ca="1">input_589100!A$2</f>
        <v>589100</v>
      </c>
      <c r="B222" s="103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IFERROR(VLOOKUP(B222,input_589100!L:R,7,FALSE),VLOOKUP(tables_589100!C222,input_589100!A:H,8,FALSE))</f>
        <v>3840</v>
      </c>
      <c r="P222" s="46">
        <f t="shared" ca="1" si="10"/>
        <v>8.0000000000300168E-5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101" t="str">
        <f ca="1">input_589100!A$2</f>
        <v>589100</v>
      </c>
      <c r="B223" s="103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IFERROR(VLOOKUP(B223,input_589100!L:R,7,FALSE),VLOOKUP(tables_589100!C223,input_589100!A:H,8,FALSE))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101" t="str">
        <f ca="1">input_589100!A$2</f>
        <v>589100</v>
      </c>
      <c r="B224" s="103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IFERROR(VLOOKUP(B224,input_589100!L:R,7,FALSE),VLOOKUP(tables_589100!C224,input_589100!A:H,8,FALSE))</f>
        <v>320000</v>
      </c>
      <c r="P224" s="46">
        <f t="shared" ca="1" si="10"/>
        <v>6.6666666666916809E-3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101" t="str">
        <f ca="1">input_589100!A$2</f>
        <v>589100</v>
      </c>
      <c r="B225" s="103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IFERROR(VLOOKUP(B225,input_589100!L:R,7,FALSE),VLOOKUP(tables_589100!C225,input_589100!A:H,8,FALSE))</f>
        <v>6732.3076899999996</v>
      </c>
      <c r="P225" s="46">
        <f t="shared" ca="1" si="10"/>
        <v>1.4025641020885959E-4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101" t="str">
        <f ca="1">input_589100!A$2</f>
        <v>589100</v>
      </c>
      <c r="B226" s="103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IFERROR(VLOOKUP(B226,input_589100!L:R,7,FALSE),VLOOKUP(tables_589100!C226,input_589100!A:H,8,FALSE))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101" t="str">
        <f ca="1">input_589100!A$2</f>
        <v>589100</v>
      </c>
      <c r="B227" s="103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IFERROR(VLOOKUP(B227,input_589100!L:R,7,FALSE),VLOOKUP(tables_589100!C227,input_589100!A:H,8,FALSE))</f>
        <v>320000</v>
      </c>
      <c r="P227" s="46">
        <f t="shared" ca="1" si="10"/>
        <v>6.6666666666916809E-3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101" t="str">
        <f ca="1">input_589100!A$2</f>
        <v>589100</v>
      </c>
      <c r="B228" s="103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IFERROR(VLOOKUP(B228,input_589100!L:R,7,FALSE),VLOOKUP(tables_589100!C228,input_589100!A:H,8,FALSE))</f>
        <v>6732.3076899999996</v>
      </c>
      <c r="P228" s="46">
        <f t="shared" ca="1" si="10"/>
        <v>1.4025641020885959E-4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101" t="str">
        <f ca="1">input_589100!A$2</f>
        <v>589100</v>
      </c>
      <c r="B229" s="103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IFERROR(VLOOKUP(B229,input_589100!L:R,7,FALSE),VLOOKUP(tables_589100!C229,input_589100!A:H,8,FALSE))</f>
        <v>15360</v>
      </c>
      <c r="P229" s="46">
        <f t="shared" ca="1" si="10"/>
        <v>3.2000000000120067E-4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101" t="str">
        <f ca="1">input_589100!A$2</f>
        <v>589100</v>
      </c>
      <c r="B230" s="103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IFERROR(VLOOKUP(B230,input_589100!L:R,7,FALSE),VLOOKUP(tables_589100!C230,input_589100!A:H,8,FALSE))</f>
        <v>3840</v>
      </c>
      <c r="P230" s="46">
        <f t="shared" ca="1" si="10"/>
        <v>8.0000000000300168E-5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101" t="str">
        <f ca="1">input_589100!A$2</f>
        <v>589100</v>
      </c>
      <c r="B231" s="103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IFERROR(VLOOKUP(B231,input_589100!L:R,7,FALSE),VLOOKUP(tables_589100!C231,input_589100!A:H,8,FALSE))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101" t="str">
        <f ca="1">input_589100!A$2</f>
        <v>589100</v>
      </c>
      <c r="B232" s="103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IFERROR(VLOOKUP(B232,input_589100!L:R,7,FALSE),VLOOKUP(tables_589100!C232,input_589100!A:H,8,FALSE))</f>
        <v>320000</v>
      </c>
      <c r="P232" s="46">
        <f t="shared" ca="1" si="10"/>
        <v>6.6666666666916809E-3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101" t="str">
        <f ca="1">input_589100!A$2</f>
        <v>589100</v>
      </c>
      <c r="B233" s="103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IFERROR(VLOOKUP(B233,input_589100!L:R,7,FALSE),VLOOKUP(tables_589100!C233,input_589100!A:H,8,FALSE))</f>
        <v>6732.3076899999996</v>
      </c>
      <c r="P233" s="46">
        <f t="shared" ca="1" si="10"/>
        <v>1.4025641020885959E-4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101" t="str">
        <f ca="1">input_589100!A$2</f>
        <v>589100</v>
      </c>
      <c r="B234" s="103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IFERROR(VLOOKUP(B234,input_589100!L:R,7,FALSE),VLOOKUP(tables_589100!C234,input_589100!A:H,8,FALSE))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101" t="str">
        <f ca="1">input_589100!A$2</f>
        <v>589100</v>
      </c>
      <c r="B235" s="103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IFERROR(VLOOKUP(B235,input_589100!L:R,7,FALSE),VLOOKUP(tables_589100!C235,input_589100!A:H,8,FALSE))</f>
        <v>320000</v>
      </c>
      <c r="P235" s="46">
        <f t="shared" ca="1" si="10"/>
        <v>6.6666666666916809E-3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101" t="str">
        <f ca="1">input_589100!A$2</f>
        <v>589100</v>
      </c>
      <c r="B236" s="103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IFERROR(VLOOKUP(B236,input_589100!L:R,7,FALSE),VLOOKUP(tables_589100!C236,input_589100!A:H,8,FALSE))</f>
        <v>6732.3076899999996</v>
      </c>
      <c r="P236" s="46">
        <f t="shared" ca="1" si="10"/>
        <v>1.4025641020885959E-4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101" t="str">
        <f ca="1">input_589100!A$2</f>
        <v>589100</v>
      </c>
      <c r="B237" s="103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IFERROR(VLOOKUP(B237,input_589100!L:R,7,FALSE),VLOOKUP(tables_589100!C237,input_589100!A:H,8,FALSE))</f>
        <v>15360</v>
      </c>
      <c r="P237" s="46">
        <f t="shared" ca="1" si="10"/>
        <v>3.2000000000120067E-4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101" t="str">
        <f ca="1">input_589100!A$2</f>
        <v>589100</v>
      </c>
      <c r="B238" s="103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IFERROR(VLOOKUP(B238,input_589100!L:R,7,FALSE),VLOOKUP(tables_589100!C238,input_589100!A:H,8,FALSE))</f>
        <v>3840</v>
      </c>
      <c r="P238" s="46">
        <f t="shared" ca="1" si="10"/>
        <v>8.0000000000300168E-5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101" t="str">
        <f ca="1">input_589100!A$2</f>
        <v>589100</v>
      </c>
      <c r="B239" s="103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IFERROR(VLOOKUP(B239,input_589100!L:R,7,FALSE),VLOOKUP(tables_589100!C239,input_589100!A:H,8,FALSE))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101" t="str">
        <f ca="1">input_589100!A$2</f>
        <v>589100</v>
      </c>
      <c r="B240" s="103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IFERROR(VLOOKUP(B240,input_589100!L:R,7,FALSE),VLOOKUP(tables_589100!C240,input_589100!A:H,8,FALSE))</f>
        <v>320000</v>
      </c>
      <c r="P240" s="46">
        <f t="shared" ca="1" si="10"/>
        <v>6.6666666666916809E-3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101" t="str">
        <f ca="1">input_589100!A$2</f>
        <v>589100</v>
      </c>
      <c r="B241" s="103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IFERROR(VLOOKUP(B241,input_589100!L:R,7,FALSE),VLOOKUP(tables_589100!C241,input_589100!A:H,8,FALSE))</f>
        <v>6732.3076899999996</v>
      </c>
      <c r="P241" s="46">
        <f t="shared" ca="1" si="10"/>
        <v>1.4025641020885959E-4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101" t="str">
        <f ca="1">input_589100!A$2</f>
        <v>589100</v>
      </c>
      <c r="B242" s="103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IFERROR(VLOOKUP(B242,input_589100!L:R,7,FALSE),VLOOKUP(tables_589100!C242,input_589100!A:H,8,FALSE))</f>
        <v>15360</v>
      </c>
      <c r="P242" s="46">
        <f t="shared" ca="1" si="10"/>
        <v>3.2000000000120067E-4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101" t="str">
        <f ca="1">input_589100!A$2</f>
        <v>589100</v>
      </c>
      <c r="B243" s="103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IFERROR(VLOOKUP(B243,input_589100!L:R,7,FALSE),VLOOKUP(tables_589100!C243,input_589100!A:H,8,FALSE))</f>
        <v>3840</v>
      </c>
      <c r="P243" s="46">
        <f t="shared" ca="1" si="10"/>
        <v>8.0000000000300168E-5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101" t="str">
        <f ca="1">input_589100!A$2</f>
        <v>589100</v>
      </c>
      <c r="B244" s="103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IFERROR(VLOOKUP(B244,input_589100!L:R,7,FALSE),VLOOKUP(tables_589100!C244,input_589100!A:H,8,FALSE))</f>
        <v>15360</v>
      </c>
      <c r="P244" s="46">
        <f t="shared" ca="1" si="10"/>
        <v>3.2000000000120067E-4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101" t="str">
        <f ca="1">input_589100!A$2</f>
        <v>589100</v>
      </c>
      <c r="B245" s="103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IFERROR(VLOOKUP(B245,input_589100!L:R,7,FALSE),VLOOKUP(tables_589100!C245,input_589100!A:H,8,FALSE))</f>
        <v>3840</v>
      </c>
      <c r="P245" s="46">
        <f t="shared" ca="1" si="10"/>
        <v>8.0000000000300168E-5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101" t="str">
        <f ca="1">input_589100!A$2</f>
        <v>589100</v>
      </c>
      <c r="B246" s="103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IFERROR(VLOOKUP(B246,input_589100!L:R,7,FALSE),VLOOKUP(tables_589100!C246,input_589100!A:H,8,FALSE))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101" t="str">
        <f ca="1">input_589100!A$2</f>
        <v>589100</v>
      </c>
      <c r="B247" s="103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IFERROR(VLOOKUP(B247,input_589100!L:R,7,FALSE),VLOOKUP(tables_589100!C247,input_589100!A:H,8,FALSE))</f>
        <v>320000</v>
      </c>
      <c r="P247" s="46">
        <f t="shared" ca="1" si="10"/>
        <v>6.6666666666916809E-3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101" t="str">
        <f ca="1">input_589100!A$2</f>
        <v>589100</v>
      </c>
      <c r="B248" s="103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IFERROR(VLOOKUP(B248,input_589100!L:R,7,FALSE),VLOOKUP(tables_589100!C248,input_589100!A:H,8,FALSE))</f>
        <v>6732.3076899999996</v>
      </c>
      <c r="P248" s="46">
        <f t="shared" ca="1" si="10"/>
        <v>1.4025641020885959E-4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101" t="str">
        <f ca="1">input_589100!A$2</f>
        <v>589100</v>
      </c>
      <c r="B249" s="103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IFERROR(VLOOKUP(B249,input_589100!L:R,7,FALSE),VLOOKUP(tables_589100!C249,input_589100!A:H,8,FALSE))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101" t="str">
        <f ca="1">input_589100!A$2</f>
        <v>589100</v>
      </c>
      <c r="B250" s="103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IFERROR(VLOOKUP(B250,input_589100!L:R,7,FALSE),VLOOKUP(tables_589100!C250,input_589100!A:H,8,FALSE))</f>
        <v>320000</v>
      </c>
      <c r="P250" s="46">
        <f t="shared" ca="1" si="10"/>
        <v>6.6666666666916809E-3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101" t="str">
        <f ca="1">input_589100!A$2</f>
        <v>589100</v>
      </c>
      <c r="B251" s="103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IFERROR(VLOOKUP(B251,input_589100!L:R,7,FALSE),VLOOKUP(tables_589100!C251,input_589100!A:H,8,FALSE))</f>
        <v>6732.3076899999996</v>
      </c>
      <c r="P251" s="46">
        <f t="shared" ca="1" si="10"/>
        <v>1.4025641020885959E-4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101" t="str">
        <f ca="1">input_589100!A$2</f>
        <v>589100</v>
      </c>
      <c r="B252" s="103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IFERROR(VLOOKUP(B252,input_589100!L:R,7,FALSE),VLOOKUP(tables_589100!C252,input_589100!A:H,8,FALSE))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101" t="str">
        <f ca="1">input_589100!A$2</f>
        <v>589100</v>
      </c>
      <c r="B253" s="103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IFERROR(VLOOKUP(B253,input_589100!L:R,7,FALSE),VLOOKUP(tables_589100!C253,input_589100!A:H,8,FALSE))</f>
        <v>320000</v>
      </c>
      <c r="P253" s="46">
        <f t="shared" ca="1" si="10"/>
        <v>6.6666666666916809E-3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101" t="str">
        <f ca="1">input_589100!A$2</f>
        <v>589100</v>
      </c>
      <c r="B254" s="103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IFERROR(VLOOKUP(B254,input_589100!L:R,7,FALSE),VLOOKUP(tables_589100!C254,input_589100!A:H,8,FALSE))</f>
        <v>6732.3076899999996</v>
      </c>
      <c r="P254" s="46">
        <f t="shared" ca="1" si="10"/>
        <v>1.4025641020885959E-4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101" t="str">
        <f ca="1">input_589100!A$2</f>
        <v>589100</v>
      </c>
      <c r="B255" s="103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IFERROR(VLOOKUP(B255,input_589100!L:R,7,FALSE),VLOOKUP(tables_589100!C255,input_589100!A:H,8,FALSE))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101" t="str">
        <f ca="1">input_589100!A$2</f>
        <v>589100</v>
      </c>
      <c r="B256" s="103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IFERROR(VLOOKUP(B256,input_589100!L:R,7,FALSE),VLOOKUP(tables_589100!C256,input_589100!A:H,8,FALSE))</f>
        <v>320000</v>
      </c>
      <c r="P256" s="46">
        <f t="shared" ca="1" si="10"/>
        <v>6.6666666666916809E-3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101" t="str">
        <f ca="1">input_589100!A$2</f>
        <v>589100</v>
      </c>
      <c r="B257" s="103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IFERROR(VLOOKUP(B257,input_589100!L:R,7,FALSE),VLOOKUP(tables_589100!C257,input_589100!A:H,8,FALSE))</f>
        <v>6732.3076899999996</v>
      </c>
      <c r="P257" s="46">
        <f t="shared" ca="1" si="10"/>
        <v>1.4025641020885959E-4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101" t="str">
        <f ca="1">input_589100!A$2</f>
        <v>589100</v>
      </c>
      <c r="B258" s="103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IFERROR(VLOOKUP(B258,input_589100!L:R,7,FALSE),VLOOKUP(tables_589100!C258,input_589100!A:H,8,FALSE))</f>
        <v>15360</v>
      </c>
      <c r="P258" s="46">
        <f t="shared" ref="P258:P321" ca="1" si="13">O258/SUM(O:O)</f>
        <v>3.2000000000120067E-4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101" t="str">
        <f ca="1">input_589100!A$2</f>
        <v>589100</v>
      </c>
      <c r="B259" s="103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IFERROR(VLOOKUP(B259,input_589100!L:R,7,FALSE),VLOOKUP(tables_589100!C259,input_589100!A:H,8,FALSE))</f>
        <v>3840</v>
      </c>
      <c r="P259" s="46">
        <f t="shared" ca="1" si="13"/>
        <v>8.0000000000300168E-5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101" t="str">
        <f ca="1">input_589100!A$2</f>
        <v>589100</v>
      </c>
      <c r="B260" s="103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IFERROR(VLOOKUP(B260,input_589100!L:R,7,FALSE),VLOOKUP(tables_589100!C260,input_589100!A:H,8,FALSE))</f>
        <v>15360</v>
      </c>
      <c r="P260" s="46">
        <f t="shared" ca="1" si="13"/>
        <v>3.2000000000120067E-4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101" t="str">
        <f ca="1">input_589100!A$2</f>
        <v>589100</v>
      </c>
      <c r="B261" s="103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IFERROR(VLOOKUP(B261,input_589100!L:R,7,FALSE),VLOOKUP(tables_589100!C261,input_589100!A:H,8,FALSE))</f>
        <v>3840</v>
      </c>
      <c r="P261" s="46">
        <f t="shared" ca="1" si="13"/>
        <v>8.0000000000300168E-5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101" t="str">
        <f ca="1">input_589100!A$2</f>
        <v>589100</v>
      </c>
      <c r="B262" s="103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IFERROR(VLOOKUP(B262,input_589100!L:R,7,FALSE),VLOOKUP(tables_589100!C262,input_589100!A:H,8,FALSE))</f>
        <v>297142.85713999998</v>
      </c>
      <c r="P262" s="46">
        <f t="shared" ca="1" si="13"/>
        <v>6.1904761904398942E-3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101" t="str">
        <f ca="1">input_589100!A$2</f>
        <v>589100</v>
      </c>
      <c r="B263" s="103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IFERROR(VLOOKUP(B263,input_589100!L:R,7,FALSE),VLOOKUP(tables_589100!C263,input_589100!A:H,8,FALSE))</f>
        <v>80000</v>
      </c>
      <c r="P263" s="46">
        <f t="shared" ca="1" si="13"/>
        <v>1.6666666666729202E-3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101" t="str">
        <f ca="1">input_589100!A$2</f>
        <v>589100</v>
      </c>
      <c r="B264" s="103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IFERROR(VLOOKUP(B264,input_589100!L:R,7,FALSE),VLOOKUP(tables_589100!C264,input_589100!A:H,8,FALSE))</f>
        <v>297142.85713999998</v>
      </c>
      <c r="P264" s="46">
        <f t="shared" ca="1" si="13"/>
        <v>6.1904761904398942E-3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101" t="str">
        <f ca="1">input_589100!A$2</f>
        <v>589100</v>
      </c>
      <c r="B265" s="103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IFERROR(VLOOKUP(B265,input_589100!L:R,7,FALSE),VLOOKUP(tables_589100!C265,input_589100!A:H,8,FALSE))</f>
        <v>80000</v>
      </c>
      <c r="P265" s="46">
        <f t="shared" ca="1" si="13"/>
        <v>1.6666666666729202E-3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101" t="str">
        <f ca="1">input_589100!A$2</f>
        <v>589100</v>
      </c>
      <c r="B266" s="103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IFERROR(VLOOKUP(B266,input_589100!L:R,7,FALSE),VLOOKUP(tables_589100!C266,input_589100!A:H,8,FALSE))</f>
        <v>19200</v>
      </c>
      <c r="P266" s="46">
        <f t="shared" ca="1" si="13"/>
        <v>4.0000000000150088E-4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101" t="str">
        <f ca="1">input_589100!A$2</f>
        <v>589100</v>
      </c>
      <c r="B267" s="103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IFERROR(VLOOKUP(B267,input_589100!L:R,7,FALSE),VLOOKUP(tables_589100!C267,input_589100!A:H,8,FALSE))</f>
        <v>19200</v>
      </c>
      <c r="P267" s="46">
        <f t="shared" ca="1" si="13"/>
        <v>4.0000000000150088E-4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101" t="str">
        <f ca="1">input_589100!A$2</f>
        <v>589100</v>
      </c>
      <c r="B268" s="103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IFERROR(VLOOKUP(B268,input_589100!L:R,7,FALSE),VLOOKUP(tables_589100!C268,input_589100!A:H,8,FALSE))</f>
        <v>19200</v>
      </c>
      <c r="P268" s="46">
        <f t="shared" ca="1" si="13"/>
        <v>4.0000000000150088E-4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101" t="str">
        <f ca="1">input_589100!A$2</f>
        <v>589100</v>
      </c>
      <c r="B269" s="103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IFERROR(VLOOKUP(B269,input_589100!L:R,7,FALSE),VLOOKUP(tables_589100!C269,input_589100!A:H,8,FALSE))</f>
        <v>19200</v>
      </c>
      <c r="P269" s="46">
        <f t="shared" ca="1" si="13"/>
        <v>4.0000000000150088E-4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101" t="str">
        <f ca="1">input_589100!A$2</f>
        <v>589100</v>
      </c>
      <c r="B270" s="103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IFERROR(VLOOKUP(B270,input_589100!L:R,7,FALSE),VLOOKUP(tables_589100!C270,input_589100!A:H,8,FALSE))</f>
        <v>297142.85713999998</v>
      </c>
      <c r="P270" s="46">
        <f t="shared" ca="1" si="13"/>
        <v>6.1904761904398942E-3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101" t="str">
        <f ca="1">input_589100!A$2</f>
        <v>589100</v>
      </c>
      <c r="B271" s="10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IFERROR(VLOOKUP(B271,input_589100!L:R,7,FALSE),VLOOKUP(tables_589100!C271,input_589100!A:H,8,FALSE))</f>
        <v>80000</v>
      </c>
      <c r="P271" s="46">
        <f t="shared" ca="1" si="13"/>
        <v>1.6666666666729202E-3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101" t="str">
        <f ca="1">input_589100!A$2</f>
        <v>589100</v>
      </c>
      <c r="B272" s="10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IFERROR(VLOOKUP(B272,input_589100!L:R,7,FALSE),VLOOKUP(tables_589100!C272,input_589100!A:H,8,FALSE))</f>
        <v>297142.85713999998</v>
      </c>
      <c r="P272" s="46">
        <f t="shared" ca="1" si="13"/>
        <v>6.1904761904398942E-3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101" t="str">
        <f ca="1">input_589100!A$2</f>
        <v>589100</v>
      </c>
      <c r="B273" s="10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IFERROR(VLOOKUP(B273,input_589100!L:R,7,FALSE),VLOOKUP(tables_589100!C273,input_589100!A:H,8,FALSE))</f>
        <v>80000</v>
      </c>
      <c r="P273" s="46">
        <f t="shared" ca="1" si="13"/>
        <v>1.6666666666729202E-3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101" t="str">
        <f ca="1">input_589100!A$2</f>
        <v>589100</v>
      </c>
      <c r="B274" s="10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IFERROR(VLOOKUP(B274,input_589100!L:R,7,FALSE),VLOOKUP(tables_589100!C274,input_589100!A:H,8,FALSE))</f>
        <v>15360</v>
      </c>
      <c r="P274" s="46">
        <f t="shared" ca="1" si="13"/>
        <v>3.2000000000120067E-4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101" t="str">
        <f ca="1">input_589100!A$2</f>
        <v>589100</v>
      </c>
      <c r="B275" s="10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IFERROR(VLOOKUP(B275,input_589100!L:R,7,FALSE),VLOOKUP(tables_589100!C275,input_589100!A:H,8,FALSE))</f>
        <v>3840</v>
      </c>
      <c r="P275" s="46">
        <f t="shared" ca="1" si="13"/>
        <v>8.0000000000300168E-5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101" t="str">
        <f ca="1">input_589100!A$2</f>
        <v>589100</v>
      </c>
      <c r="B276" s="10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IFERROR(VLOOKUP(B276,input_589100!L:R,7,FALSE),VLOOKUP(tables_589100!C276,input_589100!A:H,8,FALSE))</f>
        <v>15360</v>
      </c>
      <c r="P276" s="46">
        <f t="shared" ca="1" si="13"/>
        <v>3.2000000000120067E-4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101" t="str">
        <f ca="1">input_589100!A$2</f>
        <v>589100</v>
      </c>
      <c r="B277" s="10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IFERROR(VLOOKUP(B277,input_589100!L:R,7,FALSE),VLOOKUP(tables_589100!C277,input_589100!A:H,8,FALSE))</f>
        <v>3840</v>
      </c>
      <c r="P277" s="46">
        <f t="shared" ca="1" si="13"/>
        <v>8.0000000000300168E-5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101" t="str">
        <f ca="1">input_589100!A$2</f>
        <v>589100</v>
      </c>
      <c r="B278" s="10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IFERROR(VLOOKUP(B278,input_589100!L:R,7,FALSE),VLOOKUP(tables_589100!C278,input_589100!A:H,8,FALSE))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101" t="str">
        <f ca="1">input_589100!A$2</f>
        <v>589100</v>
      </c>
      <c r="B279" s="10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IFERROR(VLOOKUP(B279,input_589100!L:R,7,FALSE),VLOOKUP(tables_589100!C279,input_589100!A:H,8,FALSE))</f>
        <v>320000</v>
      </c>
      <c r="P279" s="46">
        <f t="shared" ca="1" si="13"/>
        <v>6.6666666666916809E-3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101" t="str">
        <f ca="1">input_589100!A$2</f>
        <v>589100</v>
      </c>
      <c r="B280" s="10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IFERROR(VLOOKUP(B280,input_589100!L:R,7,FALSE),VLOOKUP(tables_589100!C280,input_589100!A:H,8,FALSE))</f>
        <v>6732.3076899999996</v>
      </c>
      <c r="P280" s="46">
        <f t="shared" ca="1" si="13"/>
        <v>1.4025641020885959E-4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101" t="str">
        <f ca="1">input_589100!A$2</f>
        <v>589100</v>
      </c>
      <c r="B281" s="10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IFERROR(VLOOKUP(B281,input_589100!L:R,7,FALSE),VLOOKUP(tables_589100!C281,input_589100!A:H,8,FALSE))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101" t="str">
        <f ca="1">input_589100!A$2</f>
        <v>589100</v>
      </c>
      <c r="B282" s="10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IFERROR(VLOOKUP(B282,input_589100!L:R,7,FALSE),VLOOKUP(tables_589100!C282,input_589100!A:H,8,FALSE))</f>
        <v>320000</v>
      </c>
      <c r="P282" s="46">
        <f t="shared" ca="1" si="13"/>
        <v>6.6666666666916809E-3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101" t="str">
        <f ca="1">input_589100!A$2</f>
        <v>589100</v>
      </c>
      <c r="B283" s="101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IFERROR(VLOOKUP(B283,input_589100!L:R,7,FALSE),VLOOKUP(tables_589100!C283,input_589100!A:H,8,FALSE))</f>
        <v>6732.3076899999996</v>
      </c>
      <c r="P283" s="46">
        <f t="shared" ca="1" si="13"/>
        <v>1.4025641020885959E-4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101" t="str">
        <f ca="1">input_589100!A$2</f>
        <v>589100</v>
      </c>
      <c r="B284" s="101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IFERROR(VLOOKUP(B284,input_589100!L:R,7,FALSE),VLOOKUP(tables_589100!C284,input_589100!A:H,8,FALSE))</f>
        <v>19200</v>
      </c>
      <c r="P284" s="46">
        <f t="shared" ca="1" si="13"/>
        <v>4.0000000000150088E-4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101" t="str">
        <f ca="1">input_589100!A$2</f>
        <v>589100</v>
      </c>
      <c r="B285" s="101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IFERROR(VLOOKUP(B285,input_589100!L:R,7,FALSE),VLOOKUP(tables_589100!C285,input_589100!A:H,8,FALSE))</f>
        <v>19200</v>
      </c>
      <c r="P285" s="46">
        <f t="shared" ca="1" si="13"/>
        <v>4.0000000000150088E-4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101" t="str">
        <f ca="1">input_589100!A$2</f>
        <v>589100</v>
      </c>
      <c r="B286" s="101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IFERROR(VLOOKUP(B286,input_589100!L:R,7,FALSE),VLOOKUP(tables_589100!C286,input_589100!A:H,8,FALSE))</f>
        <v>297142.85713999998</v>
      </c>
      <c r="P286" s="46">
        <f t="shared" ca="1" si="13"/>
        <v>6.1904761904398942E-3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101" t="str">
        <f ca="1">input_589100!A$2</f>
        <v>589100</v>
      </c>
      <c r="B287" s="101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IFERROR(VLOOKUP(B287,input_589100!L:R,7,FALSE),VLOOKUP(tables_589100!C287,input_589100!A:H,8,FALSE))</f>
        <v>80000</v>
      </c>
      <c r="P287" s="46">
        <f t="shared" ca="1" si="13"/>
        <v>1.6666666666729202E-3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101" t="str">
        <f ca="1">input_589100!A$2</f>
        <v>589100</v>
      </c>
      <c r="B288" s="101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IFERROR(VLOOKUP(B288,input_589100!L:R,7,FALSE),VLOOKUP(tables_589100!C288,input_589100!A:H,8,FALSE))</f>
        <v>297142.85713999998</v>
      </c>
      <c r="P288" s="46">
        <f t="shared" ca="1" si="13"/>
        <v>6.1904761904398942E-3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101" t="str">
        <f ca="1">input_589100!A$2</f>
        <v>589100</v>
      </c>
      <c r="B289" s="101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IFERROR(VLOOKUP(B289,input_589100!L:R,7,FALSE),VLOOKUP(tables_589100!C289,input_589100!A:H,8,FALSE))</f>
        <v>80000</v>
      </c>
      <c r="P289" s="46">
        <f t="shared" ca="1" si="13"/>
        <v>1.6666666666729202E-3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101" t="str">
        <f ca="1">input_589100!A$2</f>
        <v>589100</v>
      </c>
      <c r="B290" s="101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IFERROR(VLOOKUP(B290,input_589100!L:R,7,FALSE),VLOOKUP(tables_589100!C290,input_589100!A:H,8,FALSE))</f>
        <v>297142.85713999998</v>
      </c>
      <c r="P290" s="46">
        <f t="shared" ca="1" si="13"/>
        <v>6.1904761904398942E-3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101" t="str">
        <f ca="1">input_589100!A$2</f>
        <v>589100</v>
      </c>
      <c r="B291" s="101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IFERROR(VLOOKUP(B291,input_589100!L:R,7,FALSE),VLOOKUP(tables_589100!C291,input_589100!A:H,8,FALSE))</f>
        <v>80000</v>
      </c>
      <c r="P291" s="46">
        <f t="shared" ca="1" si="13"/>
        <v>1.6666666666729202E-3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101" t="str">
        <f ca="1">input_589100!A$2</f>
        <v>589100</v>
      </c>
      <c r="B292" s="101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IFERROR(VLOOKUP(B292,input_589100!L:R,7,FALSE),VLOOKUP(tables_589100!C292,input_589100!A:H,8,FALSE))</f>
        <v>297142.85713999998</v>
      </c>
      <c r="P292" s="46">
        <f t="shared" ca="1" si="13"/>
        <v>6.1904761904398942E-3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101" t="str">
        <f ca="1">input_589100!A$2</f>
        <v>589100</v>
      </c>
      <c r="B293" s="101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IFERROR(VLOOKUP(B293,input_589100!L:R,7,FALSE),VLOOKUP(tables_589100!C293,input_589100!A:H,8,FALSE))</f>
        <v>80000</v>
      </c>
      <c r="P293" s="46">
        <f t="shared" ca="1" si="13"/>
        <v>1.6666666666729202E-3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101" t="str">
        <f ca="1">input_589100!A$2</f>
        <v>589100</v>
      </c>
      <c r="B294" s="101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IFERROR(VLOOKUP(B294,input_589100!L:R,7,FALSE),VLOOKUP(tables_589100!C294,input_589100!A:H,8,FALSE))</f>
        <v>19200</v>
      </c>
      <c r="P294" s="46">
        <f t="shared" ca="1" si="13"/>
        <v>4.0000000000150088E-4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101" t="str">
        <f ca="1">input_589100!A$2</f>
        <v>589100</v>
      </c>
      <c r="B295" s="101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IFERROR(VLOOKUP(B295,input_589100!L:R,7,FALSE),VLOOKUP(tables_589100!C295,input_589100!A:H,8,FALSE))</f>
        <v>19200</v>
      </c>
      <c r="P295" s="46">
        <f t="shared" ca="1" si="13"/>
        <v>4.0000000000150088E-4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101" t="str">
        <f ca="1">input_589100!A$2</f>
        <v>589100</v>
      </c>
      <c r="B296" s="101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IFERROR(VLOOKUP(B296,input_589100!L:R,7,FALSE),VLOOKUP(tables_589100!C296,input_589100!A:H,8,FALSE))</f>
        <v>19200</v>
      </c>
      <c r="P296" s="46">
        <f t="shared" ca="1" si="13"/>
        <v>4.0000000000150088E-4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101" t="str">
        <f ca="1">input_589100!A$2</f>
        <v>589100</v>
      </c>
      <c r="B297" s="101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IFERROR(VLOOKUP(B297,input_589100!L:R,7,FALSE),VLOOKUP(tables_589100!C297,input_589100!A:H,8,FALSE))</f>
        <v>297142.85713999998</v>
      </c>
      <c r="P297" s="46">
        <f t="shared" ca="1" si="13"/>
        <v>6.1904761904398942E-3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101" t="str">
        <f ca="1">input_589100!A$2</f>
        <v>589100</v>
      </c>
      <c r="B298" s="101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IFERROR(VLOOKUP(B298,input_589100!L:R,7,FALSE),VLOOKUP(tables_589100!C298,input_589100!A:H,8,FALSE))</f>
        <v>80000</v>
      </c>
      <c r="P298" s="46">
        <f t="shared" ca="1" si="13"/>
        <v>1.6666666666729202E-3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101" t="str">
        <f ca="1">input_589100!A$2</f>
        <v>589100</v>
      </c>
      <c r="B299" s="101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IFERROR(VLOOKUP(B299,input_589100!L:R,7,FALSE),VLOOKUP(tables_589100!C299,input_589100!A:H,8,FALSE))</f>
        <v>19200</v>
      </c>
      <c r="P299" s="46">
        <f t="shared" ca="1" si="13"/>
        <v>4.0000000000150088E-4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101" t="str">
        <f ca="1">input_589100!A$2</f>
        <v>589100</v>
      </c>
      <c r="B300" s="101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IFERROR(VLOOKUP(B300,input_589100!L:R,7,FALSE),VLOOKUP(tables_589100!C300,input_589100!A:H,8,FALSE))</f>
        <v>19200</v>
      </c>
      <c r="P300" s="46">
        <f t="shared" ca="1" si="13"/>
        <v>4.0000000000150088E-4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101" t="str">
        <f ca="1">input_589100!A$2</f>
        <v>589100</v>
      </c>
      <c r="B301" s="101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IFERROR(VLOOKUP(B301,input_589100!L:R,7,FALSE),VLOOKUP(tables_589100!C301,input_589100!A:H,8,FALSE))</f>
        <v>19200</v>
      </c>
      <c r="P301" s="46">
        <f t="shared" ca="1" si="13"/>
        <v>4.0000000000150088E-4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101" t="str">
        <f ca="1">input_589100!A$2</f>
        <v>589100</v>
      </c>
      <c r="B302" s="101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IFERROR(VLOOKUP(B302,input_589100!L:R,7,FALSE),VLOOKUP(tables_589100!C302,input_589100!A:H,8,FALSE))</f>
        <v>19200</v>
      </c>
      <c r="P302" s="46">
        <f t="shared" ca="1" si="13"/>
        <v>4.0000000000150088E-4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101" t="str">
        <f ca="1">input_589100!A$2</f>
        <v>589100</v>
      </c>
      <c r="B303" s="101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IFERROR(VLOOKUP(B303,input_589100!L:R,7,FALSE),VLOOKUP(tables_589100!C303,input_589100!A:H,8,FALSE))</f>
        <v>297142.85713999998</v>
      </c>
      <c r="P303" s="46">
        <f t="shared" ca="1" si="13"/>
        <v>6.1904761904398942E-3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101" t="str">
        <f ca="1">input_589100!A$2</f>
        <v>589100</v>
      </c>
      <c r="B304" s="101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IFERROR(VLOOKUP(B304,input_589100!L:R,7,FALSE),VLOOKUP(tables_589100!C304,input_589100!A:H,8,FALSE))</f>
        <v>80000</v>
      </c>
      <c r="P304" s="46">
        <f t="shared" ca="1" si="13"/>
        <v>1.6666666666729202E-3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101" t="str">
        <f ca="1">input_589100!A$2</f>
        <v>589100</v>
      </c>
      <c r="B305" s="101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IFERROR(VLOOKUP(B305,input_589100!L:R,7,FALSE),VLOOKUP(tables_589100!C305,input_589100!A:H,8,FALSE))</f>
        <v>19200</v>
      </c>
      <c r="P305" s="46">
        <f t="shared" ca="1" si="13"/>
        <v>4.0000000000150088E-4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101" t="str">
        <f ca="1">input_589100!A$2</f>
        <v>589100</v>
      </c>
      <c r="B306" s="101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IFERROR(VLOOKUP(B306,input_589100!L:R,7,FALSE),VLOOKUP(tables_589100!C306,input_589100!A:H,8,FALSE))</f>
        <v>297142.85713999998</v>
      </c>
      <c r="P306" s="46">
        <f t="shared" ca="1" si="13"/>
        <v>6.1904761904398942E-3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101" t="str">
        <f ca="1">input_589100!A$2</f>
        <v>589100</v>
      </c>
      <c r="B307" s="101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IFERROR(VLOOKUP(B307,input_589100!L:R,7,FALSE),VLOOKUP(tables_589100!C307,input_589100!A:H,8,FALSE))</f>
        <v>80000</v>
      </c>
      <c r="P307" s="46">
        <f t="shared" ca="1" si="13"/>
        <v>1.6666666666729202E-3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101" t="str">
        <f ca="1">input_589100!A$2</f>
        <v>589100</v>
      </c>
      <c r="B308" s="101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IFERROR(VLOOKUP(B308,input_589100!L:R,7,FALSE),VLOOKUP(tables_589100!C308,input_589100!A:H,8,FALSE))</f>
        <v>19200</v>
      </c>
      <c r="P308" s="46">
        <f t="shared" ca="1" si="13"/>
        <v>4.0000000000150088E-4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101" t="str">
        <f ca="1">input_589100!A$2</f>
        <v>589100</v>
      </c>
      <c r="B309" s="101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IFERROR(VLOOKUP(B309,input_589100!L:R,7,FALSE),VLOOKUP(tables_589100!C309,input_589100!A:H,8,FALSE))</f>
        <v>19200</v>
      </c>
      <c r="P309" s="46">
        <f t="shared" ca="1" si="13"/>
        <v>4.0000000000150088E-4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101" t="str">
        <f ca="1">input_589100!A$2</f>
        <v>589100</v>
      </c>
      <c r="B310" s="101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IFERROR(VLOOKUP(B310,input_589100!L:R,7,FALSE),VLOOKUP(tables_589100!C310,input_589100!A:H,8,FALSE))</f>
        <v>19200</v>
      </c>
      <c r="P310" s="46">
        <f t="shared" ca="1" si="13"/>
        <v>4.0000000000150088E-4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101" t="str">
        <f ca="1">input_589100!A$2</f>
        <v>589100</v>
      </c>
      <c r="B311" s="101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IFERROR(VLOOKUP(B311,input_589100!L:R,7,FALSE),VLOOKUP(tables_589100!C311,input_589100!A:H,8,FALSE))</f>
        <v>297142.85713999998</v>
      </c>
      <c r="P311" s="46">
        <f t="shared" ca="1" si="13"/>
        <v>6.1904761904398942E-3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101" t="str">
        <f ca="1">input_589100!A$2</f>
        <v>589100</v>
      </c>
      <c r="B312" s="101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IFERROR(VLOOKUP(B312,input_589100!L:R,7,FALSE),VLOOKUP(tables_589100!C312,input_589100!A:H,8,FALSE))</f>
        <v>80000</v>
      </c>
      <c r="P312" s="46">
        <f t="shared" ca="1" si="13"/>
        <v>1.6666666666729202E-3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101" t="str">
        <f ca="1">input_589100!A$2</f>
        <v>589100</v>
      </c>
      <c r="B313" s="101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IFERROR(VLOOKUP(B313,input_589100!L:R,7,FALSE),VLOOKUP(tables_589100!C313,input_589100!A:H,8,FALSE))</f>
        <v>19200</v>
      </c>
      <c r="P313" s="46">
        <f t="shared" ca="1" si="13"/>
        <v>4.0000000000150088E-4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101" t="str">
        <f ca="1">input_589100!A$2</f>
        <v>589100</v>
      </c>
      <c r="B314" s="101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IFERROR(VLOOKUP(B314,input_589100!L:R,7,FALSE),VLOOKUP(tables_589100!C314,input_589100!A:H,8,FALSE))</f>
        <v>19200</v>
      </c>
      <c r="P314" s="46">
        <f t="shared" ca="1" si="13"/>
        <v>4.0000000000150088E-4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101" t="str">
        <f ca="1">input_589100!A$2</f>
        <v>589100</v>
      </c>
      <c r="B315" s="101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IFERROR(VLOOKUP(B315,input_589100!L:R,7,FALSE),VLOOKUP(tables_589100!C315,input_589100!A:H,8,FALSE))</f>
        <v>19200</v>
      </c>
      <c r="P315" s="46">
        <f t="shared" ca="1" si="13"/>
        <v>4.0000000000150088E-4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101" t="str">
        <f ca="1">input_589100!A$2</f>
        <v>589100</v>
      </c>
      <c r="B316" s="101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IFERROR(VLOOKUP(B316,input_589100!L:R,7,FALSE),VLOOKUP(tables_589100!C316,input_589100!A:H,8,FALSE))</f>
        <v>19200</v>
      </c>
      <c r="P316" s="46">
        <f t="shared" ca="1" si="13"/>
        <v>4.0000000000150088E-4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101" t="str">
        <f ca="1">input_589100!A$2</f>
        <v>589100</v>
      </c>
      <c r="B317" s="101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IFERROR(VLOOKUP(B317,input_589100!L:R,7,FALSE),VLOOKUP(tables_589100!C317,input_589100!A:H,8,FALSE))</f>
        <v>19200</v>
      </c>
      <c r="P317" s="46">
        <f t="shared" ca="1" si="13"/>
        <v>4.0000000000150088E-4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101" t="str">
        <f ca="1">input_589100!A$2</f>
        <v>589100</v>
      </c>
      <c r="B318" s="101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IFERROR(VLOOKUP(B318,input_589100!L:R,7,FALSE),VLOOKUP(tables_589100!C318,input_589100!A:H,8,FALSE))</f>
        <v>297142.85713999998</v>
      </c>
      <c r="P318" s="46">
        <f t="shared" ca="1" si="13"/>
        <v>6.1904761904398942E-3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101" t="str">
        <f ca="1">input_589100!A$2</f>
        <v>589100</v>
      </c>
      <c r="B319" s="101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IFERROR(VLOOKUP(B319,input_589100!L:R,7,FALSE),VLOOKUP(tables_589100!C319,input_589100!A:H,8,FALSE))</f>
        <v>80000</v>
      </c>
      <c r="P319" s="46">
        <f t="shared" ca="1" si="13"/>
        <v>1.6666666666729202E-3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101" t="str">
        <f ca="1">input_589100!A$2</f>
        <v>589100</v>
      </c>
      <c r="B320" s="101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IFERROR(VLOOKUP(B320,input_589100!L:R,7,FALSE),VLOOKUP(tables_589100!C320,input_589100!A:H,8,FALSE))</f>
        <v>19200</v>
      </c>
      <c r="P320" s="46">
        <f t="shared" ca="1" si="13"/>
        <v>4.0000000000150088E-4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101" t="str">
        <f ca="1">input_589100!A$2</f>
        <v>589100</v>
      </c>
      <c r="B321" s="101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IFERROR(VLOOKUP(B321,input_589100!L:R,7,FALSE),VLOOKUP(tables_589100!C321,input_589100!A:H,8,FALSE))</f>
        <v>19200</v>
      </c>
      <c r="P321" s="46">
        <f t="shared" ca="1" si="13"/>
        <v>4.0000000000150088E-4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101" t="str">
        <f ca="1">input_589100!A$2</f>
        <v>589100</v>
      </c>
      <c r="B322" s="101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IFERROR(VLOOKUP(B322,input_589100!L:R,7,FALSE),VLOOKUP(tables_589100!C322,input_589100!A:H,8,FALSE))</f>
        <v>19200</v>
      </c>
      <c r="P322" s="46">
        <f t="shared" ref="P322:P360" ca="1" si="26">O322/SUM(O:O)</f>
        <v>4.0000000000150088E-4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101" t="str">
        <f ca="1">input_589100!A$2</f>
        <v>589100</v>
      </c>
      <c r="B323" s="101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IFERROR(VLOOKUP(B323,input_589100!L:R,7,FALSE),VLOOKUP(tables_589100!C323,input_589100!A:H,8,FALSE))</f>
        <v>19200</v>
      </c>
      <c r="P323" s="46">
        <f t="shared" ca="1" si="26"/>
        <v>4.0000000000150088E-4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101" t="str">
        <f ca="1">input_589100!A$2</f>
        <v>589100</v>
      </c>
      <c r="B324" s="101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IFERROR(VLOOKUP(B324,input_589100!L:R,7,FALSE),VLOOKUP(tables_589100!C324,input_589100!A:H,8,FALSE))</f>
        <v>297142.85713999998</v>
      </c>
      <c r="P324" s="46">
        <f t="shared" ca="1" si="26"/>
        <v>6.1904761904398942E-3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101" t="str">
        <f ca="1">input_589100!A$2</f>
        <v>589100</v>
      </c>
      <c r="B325" s="101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IFERROR(VLOOKUP(B325,input_589100!L:R,7,FALSE),VLOOKUP(tables_589100!C325,input_589100!A:H,8,FALSE))</f>
        <v>80000</v>
      </c>
      <c r="P325" s="46">
        <f t="shared" ca="1" si="26"/>
        <v>1.6666666666729202E-3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101" t="str">
        <f ca="1">input_589100!A$2</f>
        <v>589100</v>
      </c>
      <c r="B326" s="101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IFERROR(VLOOKUP(B326,input_589100!L:R,7,FALSE),VLOOKUP(tables_589100!C326,input_589100!A:H,8,FALSE))</f>
        <v>297142.85713999998</v>
      </c>
      <c r="P326" s="46">
        <f t="shared" ca="1" si="26"/>
        <v>6.1904761904398942E-3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101" t="str">
        <f ca="1">input_589100!A$2</f>
        <v>589100</v>
      </c>
      <c r="B327" s="101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IFERROR(VLOOKUP(B327,input_589100!L:R,7,FALSE),VLOOKUP(tables_589100!C327,input_589100!A:H,8,FALSE))</f>
        <v>80000</v>
      </c>
      <c r="P327" s="46">
        <f t="shared" ca="1" si="26"/>
        <v>1.6666666666729202E-3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101" t="str">
        <f ca="1">input_589100!A$2</f>
        <v>589100</v>
      </c>
      <c r="B328" s="101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IFERROR(VLOOKUP(B328,input_589100!L:R,7,FALSE),VLOOKUP(tables_589100!C328,input_589100!A:H,8,FALSE))</f>
        <v>19200</v>
      </c>
      <c r="P328" s="46">
        <f t="shared" ca="1" si="26"/>
        <v>4.0000000000150088E-4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101" t="str">
        <f ca="1">input_589100!A$2</f>
        <v>589100</v>
      </c>
      <c r="B329" s="101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IFERROR(VLOOKUP(B329,input_589100!L:R,7,FALSE),VLOOKUP(tables_589100!C329,input_589100!A:H,8,FALSE))</f>
        <v>19200</v>
      </c>
      <c r="P329" s="46">
        <f t="shared" ca="1" si="26"/>
        <v>4.0000000000150088E-4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101" t="str">
        <f ca="1">input_589100!A$2</f>
        <v>589100</v>
      </c>
      <c r="B330" s="101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IFERROR(VLOOKUP(B330,input_589100!L:R,7,FALSE),VLOOKUP(tables_589100!C330,input_589100!A:H,8,FALSE))</f>
        <v>19200</v>
      </c>
      <c r="P330" s="46">
        <f t="shared" ca="1" si="26"/>
        <v>4.0000000000150088E-4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101" t="str">
        <f ca="1">input_589100!A$2</f>
        <v>589100</v>
      </c>
      <c r="B331" s="103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IFERROR(VLOOKUP(B331,input_589100!L:R,7,FALSE),VLOOKUP(tables_589100!C331,input_589100!A:H,8,FALSE))</f>
        <v>19200</v>
      </c>
      <c r="P331" s="46">
        <f t="shared" ca="1" si="26"/>
        <v>4.0000000000150088E-4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101" t="str">
        <f ca="1">input_589100!A$2</f>
        <v>589100</v>
      </c>
      <c r="B332" s="103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IFERROR(VLOOKUP(B332,input_589100!L:R,7,FALSE),VLOOKUP(tables_589100!C332,input_589100!A:H,8,FALSE))</f>
        <v>19200</v>
      </c>
      <c r="P332" s="46">
        <f t="shared" ca="1" si="26"/>
        <v>4.0000000000150088E-4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101" t="str">
        <f ca="1">input_589100!A$2</f>
        <v>589100</v>
      </c>
      <c r="B333" s="103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IFERROR(VLOOKUP(B333,input_589100!L:R,7,FALSE),VLOOKUP(tables_589100!C333,input_589100!A:H,8,FALSE))</f>
        <v>19200</v>
      </c>
      <c r="P333" s="46">
        <f t="shared" ca="1" si="26"/>
        <v>4.0000000000150088E-4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101" t="str">
        <f ca="1">input_589100!A$2</f>
        <v>589100</v>
      </c>
      <c r="B334" s="104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IFERROR(VLOOKUP(B334,input_589100!L:R,7,FALSE),VLOOKUP(tables_589100!C334,input_589100!A:H,8,FALSE))</f>
        <v>297142.85713999998</v>
      </c>
      <c r="P334" s="46">
        <f t="shared" ca="1" si="26"/>
        <v>6.1904761904398942E-3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101" t="str">
        <f ca="1">input_589100!A$2</f>
        <v>589100</v>
      </c>
      <c r="B335" s="103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IFERROR(VLOOKUP(B335,input_589100!L:R,7,FALSE),VLOOKUP(tables_589100!C335,input_589100!A:H,8,FALSE))</f>
        <v>80000</v>
      </c>
      <c r="P335" s="46">
        <f t="shared" ca="1" si="26"/>
        <v>1.6666666666729202E-3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101" t="str">
        <f ca="1">input_589100!A$2</f>
        <v>589100</v>
      </c>
      <c r="B336" s="103">
        <v>1228</v>
      </c>
      <c r="C336" s="7" t="str">
        <f t="shared" ref="C336:C340" si="31">D336&amp;J336&amp;E336&amp;F336&amp;G336</f>
        <v>PremiumSS5R5only</v>
      </c>
      <c r="D336" s="7" t="str">
        <f t="shared" ref="D336:D340" si="32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芥川龍之介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blue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IFERROR(VLOOKUP(B336,input_589100!L:R,7,FALSE),VLOOKUP(tables_589100!C336,input_589100!A:H,8,FALSE))</f>
        <v>19200</v>
      </c>
      <c r="P336" s="46">
        <f t="shared" ca="1" si="26"/>
        <v>4.0000000000150088E-4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101" t="str">
        <f ca="1">input_589100!A$2</f>
        <v>589100</v>
      </c>
      <c r="B337" s="103">
        <v>1226</v>
      </c>
      <c r="C337" s="7" t="str">
        <f t="shared" si="31"/>
        <v>PremiumSS5R5only</v>
      </c>
      <c r="D337" s="7" t="str">
        <f t="shared" si="32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トルストイ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green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IFERROR(VLOOKUP(B337,input_589100!L:R,7,FALSE),VLOOKUP(tables_589100!C337,input_589100!A:H,8,FALSE))</f>
        <v>19200</v>
      </c>
      <c r="P337" s="46">
        <f t="shared" ca="1" si="26"/>
        <v>4.0000000000150088E-4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101" t="str">
        <f ca="1">input_589100!A$2</f>
        <v>589100</v>
      </c>
      <c r="B338" s="103">
        <v>1230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夏目漱石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yellow</v>
      </c>
      <c r="L338" s="7" t="str">
        <f>VLOOKUP(B338,[1]characters!$A:$K,11,FALSE)</f>
        <v>heal</v>
      </c>
      <c r="M338" s="7" t="str">
        <f>VLOOKUP(B338,[1]characters!$A:$M,13,FALSE)</f>
        <v>animal</v>
      </c>
      <c r="N338" s="7">
        <f>VLOOKUP(B338,[1]characters!$A:$G,7,FALSE)</f>
        <v>0</v>
      </c>
      <c r="O338" s="45">
        <f ca="1">IFERROR(VLOOKUP(B338,input_589100!L:R,7,FALSE),VLOOKUP(tables_589100!C338,input_589100!A:H,8,FALSE))</f>
        <v>19200</v>
      </c>
      <c r="P338" s="46">
        <f t="shared" ca="1" si="26"/>
        <v>4.0000000000150088E-4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101" t="str">
        <f ca="1">input_589100!A$2</f>
        <v>589100</v>
      </c>
      <c r="B339" s="104">
        <v>1224</v>
      </c>
      <c r="C339" s="7" t="str">
        <f t="shared" si="31"/>
        <v>Premium4R3less</v>
      </c>
      <c r="D339" s="7" t="str">
        <f t="shared" si="32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セルバンテス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red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IFERROR(VLOOKUP(B339,input_589100!L:R,7,FALSE),VLOOKUP(tables_589100!C339,input_589100!A:H,8,FALSE))</f>
        <v>297142.85713999998</v>
      </c>
      <c r="P339" s="46">
        <f t="shared" ca="1" si="26"/>
        <v>6.1904761904398942E-3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101" t="str">
        <f ca="1">input_589100!A$2</f>
        <v>589100</v>
      </c>
      <c r="B340" s="103">
        <v>1225</v>
      </c>
      <c r="C340" s="7" t="str">
        <f t="shared" si="31"/>
        <v>Premium5R3less</v>
      </c>
      <c r="D340" s="7" t="str">
        <f t="shared" si="32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優柔なる風断者 セルバンテス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red</v>
      </c>
      <c r="L340" s="7" t="str">
        <f>VLOOKUP(B340,[1]characters!$A:$K,11,FALSE)</f>
        <v>attack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IFERROR(VLOOKUP(B340,input_589100!L:R,7,FALSE),VLOOKUP(tables_589100!C340,input_589100!A:H,8,FALSE))</f>
        <v>80000</v>
      </c>
      <c r="P340" s="46">
        <f t="shared" ca="1" si="26"/>
        <v>1.6666666666729202E-3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101" t="str">
        <f ca="1">input_589100!A$2</f>
        <v>589100</v>
      </c>
      <c r="B341" s="101">
        <v>1250</v>
      </c>
      <c r="C341" s="7" t="str">
        <f t="shared" ref="C341:C345" si="33">D341&amp;J341&amp;E341&amp;F341&amp;G341</f>
        <v>PremiumSS5R5only</v>
      </c>
      <c r="D341" s="7" t="str">
        <f t="shared" ref="D341:D345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IFERROR(VLOOKUP(B341,input_589100!L:R,7,FALSE),VLOOKUP(tables_589100!C341,input_589100!A:H,8,FALSE))</f>
        <v>19200</v>
      </c>
      <c r="P341" s="46">
        <f t="shared" ca="1" si="26"/>
        <v>4.0000000000150088E-4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101" t="str">
        <f ca="1">input_589100!A$2</f>
        <v>589100</v>
      </c>
      <c r="B342" s="101">
        <v>1244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猿飛佐助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red</v>
      </c>
      <c r="L342" s="7" t="str">
        <f>VLOOKUP(B342,[1]characters!$A:$K,11,FALSE)</f>
        <v>attack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IFERROR(VLOOKUP(B342,input_589100!L:R,7,FALSE),VLOOKUP(tables_589100!C342,input_589100!A:H,8,FALSE))</f>
        <v>19200</v>
      </c>
      <c r="P342" s="46">
        <f t="shared" ca="1" si="26"/>
        <v>4.0000000000150088E-4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101" t="str">
        <f ca="1">input_589100!A$2</f>
        <v>589100</v>
      </c>
      <c r="B343" s="101">
        <v>1246</v>
      </c>
      <c r="C343" s="7" t="str">
        <f t="shared" si="33"/>
        <v>PremiumSS5R5only</v>
      </c>
      <c r="D343" s="7" t="str">
        <f t="shared" si="34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望月千代女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green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IFERROR(VLOOKUP(B343,input_589100!L:R,7,FALSE),VLOOKUP(tables_589100!C343,input_589100!A:H,8,FALSE))</f>
        <v>19200</v>
      </c>
      <c r="P343" s="46">
        <f t="shared" ca="1" si="26"/>
        <v>4.0000000000150088E-4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101" t="str">
        <f ca="1">input_589100!A$2</f>
        <v>589100</v>
      </c>
      <c r="B344" s="101">
        <v>1248</v>
      </c>
      <c r="C344" s="7" t="str">
        <f t="shared" si="33"/>
        <v>Premium4R3less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寧々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IFERROR(VLOOKUP(B344,input_589100!L:R,7,FALSE),VLOOKUP(tables_589100!C344,input_589100!A:H,8,FALSE))</f>
        <v>297142.85713999998</v>
      </c>
      <c r="P344" s="46">
        <f t="shared" ca="1" si="26"/>
        <v>6.1904761904398942E-3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101" t="str">
        <f ca="1">input_589100!A$2</f>
        <v>589100</v>
      </c>
      <c r="B345" s="101">
        <v>1249</v>
      </c>
      <c r="C345" s="7" t="str">
        <f t="shared" si="33"/>
        <v>Premium5R3less</v>
      </c>
      <c r="D345" s="7" t="str">
        <f t="shared" si="34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君臨する姐御様 寧々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blue</v>
      </c>
      <c r="L345" s="7" t="str">
        <f>VLOOKUP(B345,[1]characters!$A:$K,11,FALSE)</f>
        <v>heal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IFERROR(VLOOKUP(B345,input_589100!L:R,7,FALSE),VLOOKUP(tables_589100!C345,input_589100!A:H,8,FALSE))</f>
        <v>80000</v>
      </c>
      <c r="P345" s="46">
        <f t="shared" ca="1" si="26"/>
        <v>1.6666666666729202E-3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101" t="str">
        <f ca="1">input_589100!A$2</f>
        <v>589100</v>
      </c>
      <c r="B346" s="101">
        <v>1260</v>
      </c>
      <c r="C346" s="7" t="str">
        <f t="shared" ref="C346:C350" si="35">D346&amp;J346&amp;E346&amp;F346&amp;G346</f>
        <v>PremiumSS5R5only</v>
      </c>
      <c r="D346" s="7" t="str">
        <f t="shared" ref="D346:D350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IFERROR(VLOOKUP(B346,input_589100!L:R,7,FALSE),VLOOKUP(tables_589100!C346,input_589100!A:H,8,FALSE))</f>
        <v>19200</v>
      </c>
      <c r="P346" s="46">
        <f t="shared" ca="1" si="26"/>
        <v>4.0000000000150088E-4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101" t="str">
        <f ca="1">input_589100!A$2</f>
        <v>589100</v>
      </c>
      <c r="B347" s="101">
        <v>1262</v>
      </c>
      <c r="C347" s="7" t="str">
        <f t="shared" si="35"/>
        <v>PremiumSS5R5only</v>
      </c>
      <c r="D347" s="7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IFERROR(VLOOKUP(B347,input_589100!L:R,7,FALSE),VLOOKUP(tables_589100!C347,input_589100!A:H,8,FALSE))</f>
        <v>19200</v>
      </c>
      <c r="P347" s="46">
        <f t="shared" ca="1" si="26"/>
        <v>4.0000000000150088E-4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101" t="str">
        <f ca="1">input_589100!A$2</f>
        <v>589100</v>
      </c>
      <c r="B348" s="101">
        <v>1264</v>
      </c>
      <c r="C348" s="7" t="str">
        <f t="shared" si="35"/>
        <v>PremiumSS5R5only</v>
      </c>
      <c r="D348" s="7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IFERROR(VLOOKUP(B348,input_589100!L:R,7,FALSE),VLOOKUP(tables_589100!C348,input_589100!A:H,8,FALSE))</f>
        <v>19200</v>
      </c>
      <c r="P348" s="46">
        <f t="shared" ca="1" si="26"/>
        <v>4.0000000000150088E-4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101" t="str">
        <f ca="1">input_589100!A$2</f>
        <v>589100</v>
      </c>
      <c r="B349" s="101">
        <v>1266</v>
      </c>
      <c r="C349" s="7" t="str">
        <f t="shared" si="35"/>
        <v>Premium4R3less</v>
      </c>
      <c r="D349" s="7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IFERROR(VLOOKUP(B349,input_589100!L:R,7,FALSE),VLOOKUP(tables_589100!C349,input_589100!A:H,8,FALSE))</f>
        <v>297142.85713999998</v>
      </c>
      <c r="P349" s="46">
        <f t="shared" ca="1" si="26"/>
        <v>6.1904761904398942E-3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101" t="str">
        <f ca="1">input_589100!A$2</f>
        <v>589100</v>
      </c>
      <c r="B350" s="101">
        <v>1267</v>
      </c>
      <c r="C350" s="7" t="str">
        <f t="shared" si="35"/>
        <v>Premium5R3less</v>
      </c>
      <c r="D350" s="7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IFERROR(VLOOKUP(B350,input_589100!L:R,7,FALSE),VLOOKUP(tables_589100!C350,input_589100!A:H,8,FALSE))</f>
        <v>80000</v>
      </c>
      <c r="P350" s="46">
        <f t="shared" ca="1" si="26"/>
        <v>1.6666666666729202E-3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101" t="str">
        <f ca="1">input_589100!A$2</f>
        <v>589100</v>
      </c>
      <c r="B351" s="101">
        <v>1332</v>
      </c>
      <c r="C351" s="7" t="str">
        <f t="shared" ref="C351:C355" si="37">D351&amp;J351&amp;E351&amp;F351&amp;G351</f>
        <v>PremiumSS5R5only</v>
      </c>
      <c r="D351" s="7" t="str">
        <f t="shared" ref="D351:D355" si="38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IFERROR(VLOOKUP(B351,input_589100!L:R,7,FALSE),VLOOKUP(tables_589100!C351,input_589100!A:H,8,FALSE))</f>
        <v>19200</v>
      </c>
      <c r="P351" s="46">
        <f t="shared" ca="1" si="26"/>
        <v>4.0000000000150088E-4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101" t="str">
        <f ca="1">input_589100!A$2</f>
        <v>589100</v>
      </c>
      <c r="B352" s="101">
        <v>1336</v>
      </c>
      <c r="C352" s="7" t="str">
        <f t="shared" si="37"/>
        <v>PremiumSS5R5only</v>
      </c>
      <c r="D352" s="7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IFERROR(VLOOKUP(B352,input_589100!L:R,7,FALSE),VLOOKUP(tables_589100!C352,input_589100!A:H,8,FALSE))</f>
        <v>19200</v>
      </c>
      <c r="P352" s="46">
        <f t="shared" ca="1" si="26"/>
        <v>4.0000000000150088E-4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101" t="str">
        <f ca="1">input_589100!A$2</f>
        <v>589100</v>
      </c>
      <c r="B353" s="101">
        <v>1338</v>
      </c>
      <c r="C353" s="7" t="str">
        <f t="shared" si="37"/>
        <v>PremiumSS5R5only</v>
      </c>
      <c r="D353" s="7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IFERROR(VLOOKUP(B353,input_589100!L:R,7,FALSE),VLOOKUP(tables_589100!C353,input_589100!A:H,8,FALSE))</f>
        <v>19200</v>
      </c>
      <c r="P353" s="46">
        <f t="shared" ca="1" si="26"/>
        <v>4.0000000000150088E-4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101" t="str">
        <f ca="1">input_589100!A$2</f>
        <v>589100</v>
      </c>
      <c r="B354" s="101">
        <v>1334</v>
      </c>
      <c r="C354" s="7" t="str">
        <f t="shared" si="37"/>
        <v>Premium4R3less</v>
      </c>
      <c r="D354" s="7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IFERROR(VLOOKUP(B354,input_589100!L:R,7,FALSE),VLOOKUP(tables_589100!C354,input_589100!A:H,8,FALSE))</f>
        <v>297142.85713999998</v>
      </c>
      <c r="P354" s="46">
        <f t="shared" ca="1" si="26"/>
        <v>6.1904761904398942E-3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101" t="str">
        <f ca="1">input_589100!A$2</f>
        <v>589100</v>
      </c>
      <c r="B355" s="101">
        <v>1335</v>
      </c>
      <c r="C355" s="7" t="str">
        <f t="shared" si="37"/>
        <v>Premium5R3less</v>
      </c>
      <c r="D355" s="7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IFERROR(VLOOKUP(B355,input_589100!L:R,7,FALSE),VLOOKUP(tables_589100!C355,input_589100!A:H,8,FALSE))</f>
        <v>80000</v>
      </c>
      <c r="P355" s="46">
        <f t="shared" ca="1" si="26"/>
        <v>1.6666666666729202E-3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s="102" customFormat="1" ht="21" customHeight="1" x14ac:dyDescent="0.15">
      <c r="A356" s="101" t="str">
        <f ca="1">input_589100!A$2</f>
        <v>589100</v>
      </c>
      <c r="B356" s="101">
        <v>1385</v>
      </c>
      <c r="C356" s="7" t="str">
        <f t="shared" ref="C356" si="39">D356&amp;J356&amp;E356&amp;F356&amp;G356</f>
        <v>PremiumSS5R5only</v>
      </c>
      <c r="D356" s="7" t="str">
        <f t="shared" ref="D356" si="40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いばら姫</v>
      </c>
      <c r="I356" s="7" t="str">
        <f>VLOOKUP(B356,[1]characters!$A:$J,10,FALSE)</f>
        <v>PremiumSSw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attack</v>
      </c>
      <c r="M356" s="7" t="str">
        <f>VLOOKUP(B356,[1]characters!$A:$M,13,FALSE)</f>
        <v>fantasy</v>
      </c>
      <c r="N356" s="7">
        <f>VLOOKUP(B356,[1]characters!$A:$G,7,FALSE)</f>
        <v>0</v>
      </c>
      <c r="O356" s="45">
        <f ca="1">IFERROR(VLOOKUP(B356,input_589100!L:R,7,FALSE),VLOOKUP(tables_589100!C356,input_589100!A:H,8,FALSE))</f>
        <v>19200</v>
      </c>
      <c r="P356" s="46">
        <f t="shared" ref="P356" ca="1" si="41">O356/SUM(O:O)</f>
        <v>4.0000000000150088E-4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s="102" customFormat="1" ht="21" customHeight="1" x14ac:dyDescent="0.15">
      <c r="A357" s="101" t="str">
        <f ca="1">input_589100!A$2</f>
        <v>589100</v>
      </c>
      <c r="B357" s="101">
        <v>1387</v>
      </c>
      <c r="C357" s="7" t="str">
        <f t="shared" ref="C357:C360" si="42">D357&amp;J357&amp;E357&amp;F357&amp;G357</f>
        <v>PremiumSS5R5only</v>
      </c>
      <c r="D357" s="7" t="str">
        <f t="shared" ref="D357:D360" si="43">IF(OR(I357="PremiumSS",I357="PremiumSSw"),"PremiumSS",IF(I357="PremiumSSS",I357,IF(I357="PremiumW",IF(J357=5,"premium",I357),"Premium")))</f>
        <v>PremiumSS</v>
      </c>
      <c r="E357" s="7" t="str">
        <f>IF(COUNTIF('R6追加前'!A:A,B357)=0,IF(OR(I357="PremiumSS",I357="PremiumSSw"),"R5only","R3less"),"")</f>
        <v>R5only</v>
      </c>
      <c r="F357" s="7" t="str">
        <f>IF(COUNTIF('R6開放'!A:A,B357)&gt;0,"R6release","")</f>
        <v/>
      </c>
      <c r="G357" s="7"/>
      <c r="H357" s="7" t="str">
        <f>VLOOKUP(B357,[1]characters!$A:$C,3,FALSE)</f>
        <v>ダルタニャン</v>
      </c>
      <c r="I357" s="7" t="str">
        <f>VLOOKUP(B357,[1]characters!$A:$J,10,FALSE)</f>
        <v>PremiumSS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attack</v>
      </c>
      <c r="M357" s="7" t="str">
        <f>VLOOKUP(B357,[1]characters!$A:$M,13,FALSE)</f>
        <v>hero</v>
      </c>
      <c r="N357" s="7">
        <f>VLOOKUP(B357,[1]characters!$A:$G,7,FALSE)</f>
        <v>0</v>
      </c>
      <c r="O357" s="45">
        <f ca="1">IFERROR(VLOOKUP(B357,input_589100!L:R,7,FALSE),VLOOKUP(tables_589100!C357,input_589100!A:H,8,FALSE))</f>
        <v>19200</v>
      </c>
      <c r="P357" s="46">
        <f t="shared" ref="P357:P360" ca="1" si="44">O357/SUM(O:O)</f>
        <v>4.0000000000150088E-4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s="102" customFormat="1" ht="21" customHeight="1" x14ac:dyDescent="0.15">
      <c r="A358" s="101" t="str">
        <f ca="1">input_589100!A$2</f>
        <v>589100</v>
      </c>
      <c r="B358" s="101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IFERROR(VLOOKUP(B358,input_589100!L:R,7,FALSE),VLOOKUP(tables_589100!C358,input_589100!A:H,8,FALSE))</f>
        <v>19200</v>
      </c>
      <c r="P358" s="46">
        <f t="shared" ca="1" si="44"/>
        <v>4.0000000000150088E-4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s="102" customFormat="1" ht="21" customHeight="1" x14ac:dyDescent="0.15">
      <c r="A359" s="101" t="str">
        <f ca="1">input_589100!A$2</f>
        <v>589100</v>
      </c>
      <c r="B359" s="101">
        <v>1381</v>
      </c>
      <c r="C359" s="7" t="str">
        <f t="shared" si="42"/>
        <v>Premium4R3less</v>
      </c>
      <c r="D359" s="7" t="str">
        <f t="shared" si="43"/>
        <v>Premium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ガリバー</v>
      </c>
      <c r="I359" s="7" t="str">
        <f>VLOOKUP(B359,[1]characters!$A:$J,10,FALSE)</f>
        <v>PremiumS</v>
      </c>
      <c r="J359" s="7">
        <f>VLOOKUP(B359,[1]characters!$A:$I,9,FALSE)</f>
        <v>4</v>
      </c>
      <c r="K359" s="7" t="str">
        <f>VLOOKUP(B359,[1]characters!$A:$H,8,FALSE)</f>
        <v>red</v>
      </c>
      <c r="L359" s="7" t="str">
        <f>VLOOKUP(B359,[1]characters!$A:$K,11,FALSE)</f>
        <v>hp</v>
      </c>
      <c r="M359" s="7" t="str">
        <f>VLOOKUP(B359,[1]characters!$A:$M,13,FALSE)</f>
        <v>human</v>
      </c>
      <c r="N359" s="7">
        <f>VLOOKUP(B359,[1]characters!$A:$G,7,FALSE)</f>
        <v>0</v>
      </c>
      <c r="O359" s="45">
        <f ca="1">IFERROR(VLOOKUP(B359,input_589100!L:R,7,FALSE),VLOOKUP(tables_589100!C359,input_589100!A:H,8,FALSE))</f>
        <v>297142.85713999998</v>
      </c>
      <c r="P359" s="46">
        <f t="shared" ca="1" si="44"/>
        <v>6.1904761904398942E-3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s="102" customFormat="1" ht="21" customHeight="1" x14ac:dyDescent="0.15">
      <c r="A360" s="101" t="str">
        <f ca="1">input_589100!A$2</f>
        <v>589100</v>
      </c>
      <c r="B360" s="101">
        <v>1382</v>
      </c>
      <c r="C360" s="7" t="str">
        <f t="shared" si="42"/>
        <v>Premium5R3less</v>
      </c>
      <c r="D360" s="7" t="str">
        <f t="shared" si="43"/>
        <v>Premium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賢巨なる渡来者 ガリバー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red</v>
      </c>
      <c r="L360" s="7" t="str">
        <f>VLOOKUP(B360,[1]characters!$A:$K,11,FALSE)</f>
        <v>hp</v>
      </c>
      <c r="M360" s="7" t="str">
        <f>VLOOKUP(B360,[1]characters!$A:$M,13,FALSE)</f>
        <v>human</v>
      </c>
      <c r="N360" s="7">
        <f>VLOOKUP(B360,[1]characters!$A:$G,7,FALSE)</f>
        <v>0</v>
      </c>
      <c r="O360" s="45">
        <f ca="1">IFERROR(VLOOKUP(B360,input_589100!L:R,7,FALSE),VLOOKUP(tables_589100!C360,input_589100!A:H,8,FALSE))</f>
        <v>80000</v>
      </c>
      <c r="P360" s="46">
        <f t="shared" ca="1" si="44"/>
        <v>1.6666666666729202E-3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101" t="str">
        <f ca="1">input_589100!A$2</f>
        <v>589100</v>
      </c>
      <c r="B361" s="5">
        <v>1444</v>
      </c>
      <c r="C361" s="7" t="str">
        <f t="shared" ref="C361" si="45">D361&amp;J361&amp;E361&amp;F361&amp;G361</f>
        <v>PremiumSS5R5only</v>
      </c>
      <c r="D361" s="7" t="str">
        <f t="shared" ref="D361" si="46">IF(OR(I361="PremiumSS",I361="PremiumSSw"),"PremiumSS",IF(I361="PremiumSSS",I361,IF(I361="PremiumW",IF(J361=5,"premium",I361),"Premium")))</f>
        <v>PremiumSS</v>
      </c>
      <c r="E361" s="7" t="str">
        <f>IF(COUNTIF('R6追加前'!A:A,B361)=0,IF(OR(I361="PremiumSS",I361="PremiumSSw"),"R5only","R3less"),"")</f>
        <v>R5only</v>
      </c>
      <c r="F361" s="7" t="str">
        <f>IF(COUNTIF('R6開放'!A:A,B361)&gt;0,"R6release","")</f>
        <v/>
      </c>
      <c r="G361" s="7"/>
      <c r="H361" s="7" t="str">
        <f>VLOOKUP(B361,[1]characters!$A:$C,3,FALSE)</f>
        <v>クレオパトラR5</v>
      </c>
      <c r="I361" s="7" t="str">
        <f>VLOOKUP(B361,[1]characters!$A:$J,10,FALSE)</f>
        <v>PremiumSSw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>
        <f>VLOOKUP(B361,[1]characters!$A:$G,7,FALSE)</f>
        <v>0</v>
      </c>
      <c r="O361" s="45">
        <f>IFERROR(VLOOKUP(B361,input_589100!L:R,7,FALSE),VLOOKUP(tables_589100!C361,input_589100!A:H,8,FALSE))</f>
        <v>480000</v>
      </c>
      <c r="P361" s="46">
        <f t="shared" ref="P361" ca="1" si="47">O361/SUM(O:O)</f>
        <v>1.0000000000037522E-2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99">
        <v>20</v>
      </c>
    </row>
    <row r="362" spans="1:22" ht="21" customHeight="1" x14ac:dyDescent="0.15">
      <c r="A362" s="101" t="str">
        <f ca="1">input_589100!A$2</f>
        <v>589100</v>
      </c>
      <c r="B362" s="5">
        <v>1446</v>
      </c>
      <c r="C362" s="7" t="str">
        <f t="shared" ref="C362:C365" si="48">D362&amp;J362&amp;E362&amp;F362&amp;G362</f>
        <v>PremiumSS5R5only</v>
      </c>
      <c r="D362" s="7" t="str">
        <f t="shared" ref="D362:D365" si="49">IF(OR(I362="PremiumSS",I362="PremiumSSw"),"PremiumSS",IF(I362="PremiumSSS",I362,IF(I362="PremiumW",IF(J362=5,"premium",I362),"Premium")))</f>
        <v>PremiumSS</v>
      </c>
      <c r="E362" s="7" t="str">
        <f>IF(COUNTIF('R6追加前'!A:A,B362)=0,IF(OR(I362="PremiumSS",I362="PremiumSSw"),"R5only","R3less"),"")</f>
        <v>R5only</v>
      </c>
      <c r="F362" s="7" t="str">
        <f>IF(COUNTIF('R6開放'!A:A,B362)&gt;0,"R6release","")</f>
        <v/>
      </c>
      <c r="G362" s="7"/>
      <c r="H362" s="7" t="str">
        <f>VLOOKUP(B362,[1]characters!$A:$C,3,FALSE)</f>
        <v>カエサルR5</v>
      </c>
      <c r="I362" s="7" t="str">
        <f>VLOOKUP(B362,[1]characters!$A:$J,10,FALSE)</f>
        <v>PremiumSS</v>
      </c>
      <c r="J362" s="7">
        <f>VLOOKUP(B362,[1]characters!$A:$I,9,FALSE)</f>
        <v>5</v>
      </c>
      <c r="K362" s="7" t="str">
        <f>VLOOKUP(B362,[1]characters!$A:$H,8,FALSE)</f>
        <v>green</v>
      </c>
      <c r="L362" s="7" t="str">
        <f>VLOOKUP(B362,[1]characters!$A:$K,11,FALSE)</f>
        <v>technical</v>
      </c>
      <c r="M362" s="7" t="str">
        <f>VLOOKUP(B362,[1]characters!$A:$M,13,FALSE)</f>
        <v>hero</v>
      </c>
      <c r="N362" s="7">
        <f>VLOOKUP(B362,[1]characters!$A:$G,7,FALSE)</f>
        <v>0</v>
      </c>
      <c r="O362" s="45">
        <f>IFERROR(VLOOKUP(B362,input_589100!L:R,7,FALSE),VLOOKUP(tables_589100!C362,input_589100!A:H,8,FALSE))</f>
        <v>1440000</v>
      </c>
      <c r="P362" s="46">
        <f t="shared" ref="P362:P365" ca="1" si="50">O362/SUM(O:O)</f>
        <v>3.0000000000112565E-2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99">
        <v>5</v>
      </c>
    </row>
    <row r="363" spans="1:22" ht="21" customHeight="1" x14ac:dyDescent="0.15">
      <c r="A363" s="101" t="str">
        <f ca="1">input_589100!A$2</f>
        <v>589100</v>
      </c>
      <c r="B363" s="5">
        <v>1448</v>
      </c>
      <c r="C363" s="7" t="str">
        <f t="shared" si="48"/>
        <v>PremiumSS5R5only</v>
      </c>
      <c r="D363" s="7" t="str">
        <f t="shared" si="49"/>
        <v>PremiumSS</v>
      </c>
      <c r="E363" s="7" t="str">
        <f>IF(COUNTIF('R6追加前'!A:A,B363)=0,IF(OR(I363="PremiumSS",I363="PremiumSSw"),"R5only","R3less"),"")</f>
        <v>R5only</v>
      </c>
      <c r="F363" s="7" t="str">
        <f>IF(COUNTIF('R6開放'!A:A,B363)&gt;0,"R6release","")</f>
        <v/>
      </c>
      <c r="G363" s="7"/>
      <c r="H363" s="7" t="str">
        <f>VLOOKUP(B363,[1]characters!$A:$C,3,FALSE)</f>
        <v>ハンニバルR5</v>
      </c>
      <c r="I363" s="7" t="str">
        <f>VLOOKUP(B363,[1]characters!$A:$J,10,FALSE)</f>
        <v>PremiumSS</v>
      </c>
      <c r="J363" s="7">
        <f>VLOOKUP(B363,[1]characters!$A:$I,9,FALSE)</f>
        <v>5</v>
      </c>
      <c r="K363" s="7" t="str">
        <f>VLOOKUP(B363,[1]characters!$A:$H,8,FALSE)</f>
        <v>blue</v>
      </c>
      <c r="L363" s="7" t="str">
        <f>VLOOKUP(B363,[1]characters!$A:$K,11,FALSE)</f>
        <v>balance</v>
      </c>
      <c r="M363" s="7" t="str">
        <f>VLOOKUP(B363,[1]characters!$A:$M,13,FALSE)</f>
        <v>hero</v>
      </c>
      <c r="N363" s="7">
        <f>VLOOKUP(B363,[1]characters!$A:$G,7,FALSE)</f>
        <v>0</v>
      </c>
      <c r="O363" s="45">
        <f>IFERROR(VLOOKUP(B363,input_589100!L:R,7,FALSE),VLOOKUP(tables_589100!C363,input_589100!A:H,8,FALSE))</f>
        <v>1440000</v>
      </c>
      <c r="P363" s="46">
        <f t="shared" ca="1" si="50"/>
        <v>3.0000000000112565E-2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99">
        <v>5</v>
      </c>
    </row>
    <row r="364" spans="1:22" ht="21" customHeight="1" x14ac:dyDescent="0.15">
      <c r="A364" s="101" t="str">
        <f ca="1">input_589100!A$2</f>
        <v>589100</v>
      </c>
      <c r="B364" s="5">
        <v>1450</v>
      </c>
      <c r="C364" s="7" t="str">
        <f t="shared" si="48"/>
        <v>Premium4R3less</v>
      </c>
      <c r="D364" s="7" t="str">
        <f t="shared" si="49"/>
        <v>Premium</v>
      </c>
      <c r="E364" s="7" t="str">
        <f>IF(COUNTIF('R6追加前'!A:A,B364)=0,IF(OR(I364="PremiumSS",I364="PremiumSSw"),"R5only","R3less"),"")</f>
        <v>R3less</v>
      </c>
      <c r="F364" s="7" t="str">
        <f>IF(COUNTIF('R6開放'!A:A,B364)&gt;0,"R6release","")</f>
        <v/>
      </c>
      <c r="G364" s="7"/>
      <c r="H364" s="7" t="str">
        <f>VLOOKUP(B364,[1]characters!$A:$C,3,FALSE)</f>
        <v>ブーディカR4</v>
      </c>
      <c r="I364" s="7" t="str">
        <f>VLOOKUP(B364,[1]characters!$A:$J,10,FALSE)</f>
        <v>PremiumS</v>
      </c>
      <c r="J364" s="7">
        <f>VLOOKUP(B364,[1]characters!$A:$I,9,FALSE)</f>
        <v>4</v>
      </c>
      <c r="K364" s="7" t="str">
        <f>VLOOKUP(B364,[1]characters!$A:$H,8,FALSE)</f>
        <v>yellow</v>
      </c>
      <c r="L364" s="7" t="str">
        <f>VLOOKUP(B364,[1]characters!$A:$K,11,FALSE)</f>
        <v>heal</v>
      </c>
      <c r="M364" s="7" t="str">
        <f>VLOOKUP(B364,[1]characters!$A:$M,13,FALSE)</f>
        <v>hero</v>
      </c>
      <c r="N364" s="7">
        <f>VLOOKUP(B364,[1]characters!$A:$G,7,FALSE)</f>
        <v>0</v>
      </c>
      <c r="O364" s="45">
        <f>IFERROR(VLOOKUP(B364,input_589100!L:R,7,FALSE),VLOOKUP(tables_589100!C364,input_589100!A:H,8,FALSE))</f>
        <v>2400000</v>
      </c>
      <c r="P364" s="46">
        <f t="shared" ca="1" si="50"/>
        <v>5.000000000018761E-2</v>
      </c>
      <c r="Q364" s="30">
        <v>1</v>
      </c>
      <c r="R364" s="30">
        <v>0</v>
      </c>
      <c r="S364" s="30">
        <v>0</v>
      </c>
      <c r="T364" s="30">
        <v>0</v>
      </c>
      <c r="U364" s="30">
        <v>0</v>
      </c>
      <c r="V364" s="99">
        <v>3</v>
      </c>
    </row>
    <row r="365" spans="1:22" ht="21" customHeight="1" x14ac:dyDescent="0.15">
      <c r="A365" s="101" t="str">
        <f ca="1">input_589100!A$2</f>
        <v>589100</v>
      </c>
      <c r="B365" s="5">
        <v>1451</v>
      </c>
      <c r="C365" s="7" t="str">
        <f t="shared" si="48"/>
        <v>Premium5R3less</v>
      </c>
      <c r="D365" s="7" t="str">
        <f t="shared" si="49"/>
        <v>Premium</v>
      </c>
      <c r="E365" s="7" t="str">
        <f>IF(COUNTIF('R6追加前'!A:A,B365)=0,IF(OR(I365="PremiumSS",I365="PremiumSSw"),"R5only","R3less"),"")</f>
        <v>R3less</v>
      </c>
      <c r="F365" s="7" t="str">
        <f>IF(COUNTIF('R6開放'!A:A,B365)&gt;0,"R6release","")</f>
        <v/>
      </c>
      <c r="G365" s="7"/>
      <c r="H365" s="7" t="str">
        <f>VLOOKUP(B365,[1]characters!$A:$C,3,FALSE)</f>
        <v>ブーディカR5</v>
      </c>
      <c r="I365" s="7" t="str">
        <f>VLOOKUP(B365,[1]characters!$A:$J,10,FALSE)</f>
        <v>PremiumS</v>
      </c>
      <c r="J365" s="7">
        <f>VLOOKUP(B365,[1]characters!$A:$I,9,FALSE)</f>
        <v>5</v>
      </c>
      <c r="K365" s="7" t="str">
        <f>VLOOKUP(B365,[1]characters!$A:$H,8,FALSE)</f>
        <v>yellow</v>
      </c>
      <c r="L365" s="7" t="str">
        <f>VLOOKUP(B365,[1]characters!$A:$K,11,FALSE)</f>
        <v>heal</v>
      </c>
      <c r="M365" s="7" t="str">
        <f>VLOOKUP(B365,[1]characters!$A:$M,13,FALSE)</f>
        <v>hero</v>
      </c>
      <c r="N365" s="7">
        <f>VLOOKUP(B365,[1]characters!$A:$G,7,FALSE)</f>
        <v>0</v>
      </c>
      <c r="O365" s="45">
        <f>IFERROR(VLOOKUP(B365,input_589100!L:R,7,FALSE),VLOOKUP(tables_589100!C365,input_589100!A:H,8,FALSE))</f>
        <v>2400000</v>
      </c>
      <c r="P365" s="46">
        <f t="shared" ca="1" si="50"/>
        <v>5.000000000018761E-2</v>
      </c>
      <c r="Q365" s="30">
        <v>1</v>
      </c>
      <c r="R365" s="30">
        <v>0</v>
      </c>
      <c r="S365" s="30">
        <v>0</v>
      </c>
      <c r="T365" s="30">
        <v>0</v>
      </c>
      <c r="U365" s="30">
        <v>0</v>
      </c>
      <c r="V365" s="99">
        <v>3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589105</v>
      </c>
      <c r="B2" s="5">
        <v>1444</v>
      </c>
      <c r="C2" s="7" t="str">
        <f t="shared" ref="C2:C3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クレオパトラR5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technical</v>
      </c>
      <c r="M2" s="7" t="str">
        <f>VLOOKUP(B2,[1]characters!$A:$M,13,FALSE)</f>
        <v>human</v>
      </c>
      <c r="N2" s="7">
        <f>VLOOKUP(B2,[1]characters!$A:$G,7,FALSE)</f>
        <v>0</v>
      </c>
      <c r="O2" s="45">
        <v>30</v>
      </c>
      <c r="P2" s="46">
        <f t="shared" ref="P2:P3" si="1">O2/SUM(O:O)</f>
        <v>0.3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20</v>
      </c>
    </row>
    <row r="3" spans="1:22" ht="21" customHeight="1" x14ac:dyDescent="0.15">
      <c r="A3" s="2">
        <v>589105</v>
      </c>
      <c r="B3" s="5">
        <v>1446</v>
      </c>
      <c r="C3" s="7" t="str">
        <f t="shared" si="0"/>
        <v>PremiumSS5R5only</v>
      </c>
      <c r="D3" s="7" t="str">
        <f t="shared" ref="D3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カエサルR5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technical</v>
      </c>
      <c r="M3" s="7" t="str">
        <f>VLOOKUP(B3,[1]characters!$A:$M,13,FALSE)</f>
        <v>hero</v>
      </c>
      <c r="N3" s="7">
        <f>VLOOKUP(B3,[1]characters!$A:$G,7,FALSE)</f>
        <v>0</v>
      </c>
      <c r="O3" s="45">
        <v>35</v>
      </c>
      <c r="P3" s="46">
        <f t="shared" si="1"/>
        <v>0.35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5</v>
      </c>
    </row>
    <row r="4" spans="1:22" ht="21" customHeight="1" x14ac:dyDescent="0.15">
      <c r="A4" s="2">
        <v>589105</v>
      </c>
      <c r="B4" s="5">
        <v>1448</v>
      </c>
      <c r="C4" s="7" t="str">
        <f t="shared" ref="C4" si="3">D4&amp;J4&amp;E4&amp;F4&amp;G4</f>
        <v>PremiumSS5R5only</v>
      </c>
      <c r="D4" s="7" t="str">
        <f t="shared" ref="D4" si="4">IF(OR(I4="PremiumSS",I4="PremiumSSw"),"PremiumSS",IF(I4="PremiumSSS",I4,IF(I4="PremiumW",I4,"Premium")))</f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ハンニバルR5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hero</v>
      </c>
      <c r="N4" s="7">
        <f>VLOOKUP(B4,[1]characters!$A:$G,7,FALSE)</f>
        <v>0</v>
      </c>
      <c r="O4" s="45">
        <v>35</v>
      </c>
      <c r="P4" s="46">
        <f t="shared" ref="P4" si="5">O4/SUM(O:O)</f>
        <v>0.35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5</v>
      </c>
    </row>
    <row r="5" spans="1:22" customFormat="1" ht="21" customHeight="1" x14ac:dyDescent="0.15"/>
    <row r="6" spans="1:22" customFormat="1" ht="21" customHeight="1" x14ac:dyDescent="0.15"/>
    <row r="7" spans="1:22" ht="21" customHeight="1" x14ac:dyDescent="0.1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96"/>
      <c r="P7" s="97"/>
      <c r="Q7" s="98"/>
      <c r="R7" s="98"/>
      <c r="S7" s="98"/>
      <c r="T7" s="98"/>
      <c r="U7" s="98"/>
      <c r="V7" s="98"/>
    </row>
    <row r="8" spans="1:22" ht="21" customHeight="1" x14ac:dyDescent="0.1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96"/>
      <c r="P8" s="97"/>
      <c r="Q8" s="98"/>
      <c r="R8" s="98"/>
      <c r="S8" s="98"/>
      <c r="T8" s="98"/>
      <c r="U8" s="98"/>
      <c r="V8" s="98"/>
    </row>
    <row r="9" spans="1:22" ht="21" customHeight="1" x14ac:dyDescent="0.1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96"/>
      <c r="P9" s="97"/>
      <c r="Q9" s="98"/>
      <c r="R9" s="98"/>
      <c r="S9" s="98"/>
      <c r="T9" s="98"/>
      <c r="U9" s="98"/>
      <c r="V9" s="98"/>
    </row>
    <row r="10" spans="1:22" ht="21" customHeight="1" x14ac:dyDescent="0.1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96"/>
      <c r="P10" s="97"/>
      <c r="Q10" s="98"/>
      <c r="R10" s="98"/>
      <c r="S10" s="98"/>
      <c r="T10" s="98"/>
      <c r="U10" s="98"/>
      <c r="V10" s="98"/>
    </row>
    <row r="11" spans="1:22" ht="21" customHeight="1" x14ac:dyDescent="0.1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96"/>
      <c r="P11" s="97"/>
      <c r="Q11" s="98"/>
      <c r="R11" s="98"/>
      <c r="S11" s="98"/>
      <c r="T11" s="98"/>
      <c r="U11" s="98"/>
      <c r="V11" s="98"/>
    </row>
    <row r="12" spans="1:22" ht="21" customHeight="1" x14ac:dyDescent="0.1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96"/>
      <c r="P12" s="97"/>
      <c r="Q12" s="98"/>
      <c r="R12" s="98"/>
      <c r="S12" s="98"/>
      <c r="T12" s="98"/>
      <c r="U12" s="98"/>
      <c r="V12" s="98"/>
    </row>
    <row r="13" spans="1:22" ht="21" customHeight="1" x14ac:dyDescent="0.1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96"/>
      <c r="P13" s="97"/>
      <c r="Q13" s="98"/>
      <c r="R13" s="98"/>
      <c r="S13" s="98"/>
      <c r="T13" s="98"/>
      <c r="U13" s="98"/>
      <c r="V13" s="98"/>
    </row>
    <row r="14" spans="1:22" ht="21" customHeight="1" x14ac:dyDescent="0.1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96"/>
      <c r="P14" s="97"/>
      <c r="Q14" s="98"/>
      <c r="R14" s="98"/>
      <c r="S14" s="98"/>
      <c r="T14" s="98"/>
      <c r="U14" s="98"/>
      <c r="V14" s="98"/>
    </row>
    <row r="15" spans="1:22" ht="21" customHeight="1" x14ac:dyDescent="0.1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96"/>
      <c r="P15" s="97"/>
      <c r="Q15" s="98"/>
      <c r="R15" s="98"/>
      <c r="S15" s="98"/>
      <c r="T15" s="98"/>
      <c r="U15" s="98"/>
      <c r="V15" s="98"/>
    </row>
    <row r="16" spans="1:22" ht="21" customHeight="1" x14ac:dyDescent="0.1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96"/>
      <c r="P16" s="97"/>
      <c r="Q16" s="98"/>
      <c r="R16" s="98"/>
      <c r="S16" s="98"/>
      <c r="T16" s="98"/>
      <c r="U16" s="98"/>
      <c r="V16" s="98"/>
    </row>
    <row r="17" spans="1:22" ht="21" customHeight="1" x14ac:dyDescent="0.1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96"/>
      <c r="P17" s="97"/>
      <c r="Q17" s="98"/>
      <c r="R17" s="98"/>
      <c r="S17" s="98"/>
      <c r="T17" s="98"/>
      <c r="U17" s="98"/>
      <c r="V17" s="98"/>
    </row>
    <row r="18" spans="1:22" ht="21" customHeight="1" x14ac:dyDescent="0.1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96"/>
      <c r="P18" s="97"/>
      <c r="Q18" s="98"/>
      <c r="R18" s="98"/>
      <c r="S18" s="98"/>
      <c r="T18" s="98"/>
      <c r="U18" s="98"/>
      <c r="V18" s="98"/>
    </row>
    <row r="19" spans="1:22" ht="21" customHeight="1" x14ac:dyDescent="0.1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96"/>
      <c r="P19" s="97"/>
      <c r="Q19" s="98"/>
      <c r="R19" s="98"/>
      <c r="S19" s="98"/>
      <c r="T19" s="98"/>
      <c r="U19" s="98"/>
      <c r="V19" s="98"/>
    </row>
    <row r="20" spans="1:22" ht="21" customHeight="1" x14ac:dyDescent="0.1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96"/>
      <c r="P20" s="97"/>
      <c r="Q20" s="98"/>
      <c r="R20" s="98"/>
      <c r="S20" s="98"/>
      <c r="T20" s="98"/>
      <c r="U20" s="98"/>
      <c r="V20" s="98"/>
    </row>
    <row r="21" spans="1:22" ht="21" customHeight="1" x14ac:dyDescent="0.1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96"/>
      <c r="P21" s="97"/>
      <c r="Q21" s="98"/>
      <c r="R21" s="98"/>
      <c r="S21" s="98"/>
      <c r="T21" s="98"/>
      <c r="U21" s="98"/>
      <c r="V21" s="98"/>
    </row>
    <row r="22" spans="1:22" ht="21" customHeight="1" x14ac:dyDescent="0.1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96"/>
      <c r="P22" s="97"/>
      <c r="Q22" s="98"/>
      <c r="R22" s="98"/>
      <c r="S22" s="98"/>
      <c r="T22" s="98"/>
      <c r="U22" s="98"/>
      <c r="V22" s="98"/>
    </row>
    <row r="23" spans="1:22" ht="21" customHeight="1" x14ac:dyDescent="0.1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96"/>
      <c r="P23" s="97"/>
      <c r="Q23" s="98"/>
      <c r="R23" s="98"/>
      <c r="S23" s="98"/>
      <c r="T23" s="98"/>
      <c r="U23" s="98"/>
      <c r="V23" s="98"/>
    </row>
    <row r="24" spans="1:22" ht="21" customHeight="1" x14ac:dyDescent="0.1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96"/>
      <c r="P24" s="97"/>
      <c r="Q24" s="98"/>
      <c r="R24" s="98"/>
      <c r="S24" s="98"/>
      <c r="T24" s="98"/>
      <c r="U24" s="98"/>
      <c r="V24" s="98"/>
    </row>
    <row r="25" spans="1:22" ht="21" customHeight="1" x14ac:dyDescent="0.1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96"/>
      <c r="P25" s="97"/>
      <c r="Q25" s="98"/>
      <c r="R25" s="98"/>
      <c r="S25" s="98"/>
      <c r="T25" s="98"/>
      <c r="U25" s="98"/>
      <c r="V25" s="98"/>
    </row>
    <row r="26" spans="1:22" ht="21" customHeight="1" x14ac:dyDescent="0.1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96"/>
      <c r="P26" s="97"/>
      <c r="Q26" s="98"/>
      <c r="R26" s="98"/>
      <c r="S26" s="98"/>
      <c r="T26" s="98"/>
      <c r="U26" s="98"/>
      <c r="V26" s="98"/>
    </row>
    <row r="27" spans="1:22" ht="21" customHeight="1" x14ac:dyDescent="0.1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96"/>
      <c r="P27" s="97"/>
      <c r="Q27" s="98"/>
      <c r="R27" s="98"/>
      <c r="S27" s="98"/>
      <c r="T27" s="98"/>
      <c r="U27" s="98"/>
      <c r="V27" s="98"/>
    </row>
    <row r="28" spans="1:22" ht="21" customHeight="1" x14ac:dyDescent="0.1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96"/>
      <c r="P28" s="97"/>
      <c r="Q28" s="98"/>
      <c r="R28" s="98"/>
      <c r="S28" s="98"/>
      <c r="T28" s="98"/>
      <c r="U28" s="98"/>
      <c r="V28" s="98"/>
    </row>
    <row r="29" spans="1:22" ht="21" customHeight="1" x14ac:dyDescent="0.1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96"/>
      <c r="P29" s="97"/>
      <c r="Q29" s="98"/>
      <c r="R29" s="98"/>
      <c r="S29" s="98"/>
      <c r="T29" s="98"/>
      <c r="U29" s="98"/>
      <c r="V29" s="98"/>
    </row>
    <row r="30" spans="1:22" ht="21" customHeight="1" x14ac:dyDescent="0.1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96"/>
      <c r="P30" s="97"/>
      <c r="Q30" s="98"/>
      <c r="R30" s="98"/>
      <c r="S30" s="98"/>
      <c r="T30" s="98"/>
      <c r="U30" s="98"/>
      <c r="V30" s="98"/>
    </row>
    <row r="31" spans="1:22" ht="21" customHeight="1" x14ac:dyDescent="0.1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96"/>
      <c r="P31" s="97"/>
      <c r="Q31" s="98"/>
      <c r="R31" s="98"/>
      <c r="S31" s="98"/>
      <c r="T31" s="98"/>
      <c r="U31" s="98"/>
      <c r="V31" s="98"/>
    </row>
    <row r="32" spans="1:22" ht="21" customHeight="1" x14ac:dyDescent="0.1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96"/>
      <c r="P32" s="97"/>
      <c r="Q32" s="98"/>
      <c r="R32" s="98"/>
      <c r="S32" s="98"/>
      <c r="T32" s="98"/>
      <c r="U32" s="98"/>
      <c r="V32" s="98"/>
    </row>
    <row r="33" spans="1:22" ht="21" customHeight="1" x14ac:dyDescent="0.1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96"/>
      <c r="P33" s="97"/>
      <c r="Q33" s="98"/>
      <c r="R33" s="98"/>
      <c r="S33" s="98"/>
      <c r="T33" s="98"/>
      <c r="U33" s="98"/>
      <c r="V33" s="98"/>
    </row>
    <row r="34" spans="1:22" ht="21" customHeight="1" x14ac:dyDescent="0.1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96"/>
      <c r="P34" s="97"/>
      <c r="Q34" s="98"/>
      <c r="R34" s="98"/>
      <c r="S34" s="98"/>
      <c r="T34" s="98"/>
      <c r="U34" s="98"/>
      <c r="V34" s="98"/>
    </row>
    <row r="35" spans="1:22" ht="21" customHeight="1" x14ac:dyDescent="0.15">
      <c r="A35" s="85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96"/>
      <c r="P35" s="97"/>
      <c r="Q35" s="98"/>
      <c r="R35" s="98"/>
      <c r="S35" s="98"/>
      <c r="T35" s="98"/>
      <c r="U35" s="98"/>
      <c r="V35" s="98"/>
    </row>
    <row r="36" spans="1:22" ht="21" customHeight="1" x14ac:dyDescent="0.15">
      <c r="A36" s="85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96"/>
      <c r="P36" s="97"/>
      <c r="Q36" s="98"/>
      <c r="R36" s="98"/>
      <c r="S36" s="98"/>
      <c r="T36" s="98"/>
      <c r="U36" s="98"/>
      <c r="V36" s="98"/>
    </row>
    <row r="37" spans="1:22" ht="21" customHeight="1" x14ac:dyDescent="0.15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96"/>
      <c r="P37" s="97"/>
      <c r="Q37" s="98"/>
      <c r="R37" s="98"/>
      <c r="S37" s="98"/>
      <c r="T37" s="98"/>
      <c r="U37" s="98"/>
      <c r="V37" s="98"/>
    </row>
    <row r="38" spans="1:22" ht="21" customHeight="1" x14ac:dyDescent="0.15">
      <c r="A38" s="85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96"/>
      <c r="P38" s="97"/>
      <c r="Q38" s="98"/>
      <c r="R38" s="98"/>
      <c r="S38" s="98"/>
      <c r="T38" s="98"/>
      <c r="U38" s="98"/>
      <c r="V38" s="98"/>
    </row>
    <row r="39" spans="1:22" ht="21" customHeight="1" x14ac:dyDescent="0.15">
      <c r="A39" s="85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96"/>
      <c r="P39" s="97"/>
      <c r="Q39" s="98"/>
      <c r="R39" s="98"/>
      <c r="S39" s="98"/>
      <c r="T39" s="98"/>
      <c r="U39" s="98"/>
      <c r="V39" s="98"/>
    </row>
    <row r="40" spans="1:22" ht="21" customHeight="1" x14ac:dyDescent="0.15">
      <c r="A40" s="85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96"/>
      <c r="P40" s="97"/>
      <c r="Q40" s="98"/>
      <c r="R40" s="98"/>
      <c r="S40" s="98"/>
      <c r="T40" s="98"/>
      <c r="U40" s="98"/>
      <c r="V40" s="98"/>
    </row>
    <row r="41" spans="1:22" ht="21" customHeight="1" x14ac:dyDescent="0.1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96"/>
      <c r="P41" s="97"/>
      <c r="Q41" s="98"/>
      <c r="R41" s="98"/>
      <c r="S41" s="98"/>
      <c r="T41" s="98"/>
      <c r="U41" s="98"/>
      <c r="V41" s="98"/>
    </row>
    <row r="42" spans="1:22" ht="21" customHeight="1" x14ac:dyDescent="0.1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96"/>
      <c r="P42" s="97"/>
      <c r="Q42" s="98"/>
      <c r="R42" s="98"/>
      <c r="S42" s="98"/>
      <c r="T42" s="98"/>
      <c r="U42" s="98"/>
      <c r="V42" s="98"/>
    </row>
    <row r="43" spans="1:22" ht="21" customHeight="1" x14ac:dyDescent="0.1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96"/>
      <c r="P43" s="97"/>
      <c r="Q43" s="98"/>
      <c r="R43" s="98"/>
      <c r="S43" s="98"/>
      <c r="T43" s="98"/>
      <c r="U43" s="98"/>
      <c r="V43" s="98"/>
    </row>
    <row r="44" spans="1:22" ht="21" customHeight="1" x14ac:dyDescent="0.1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96"/>
      <c r="P44" s="97"/>
      <c r="Q44" s="98"/>
      <c r="R44" s="98"/>
      <c r="S44" s="98"/>
      <c r="T44" s="98"/>
      <c r="U44" s="98"/>
      <c r="V44" s="98"/>
    </row>
    <row r="45" spans="1:22" ht="21" customHeight="1" x14ac:dyDescent="0.1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96"/>
      <c r="P45" s="97"/>
      <c r="Q45" s="98"/>
      <c r="R45" s="98"/>
      <c r="S45" s="98"/>
      <c r="T45" s="98"/>
      <c r="U45" s="98"/>
      <c r="V45" s="98"/>
    </row>
    <row r="46" spans="1:22" ht="21" customHeight="1" x14ac:dyDescent="0.1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96"/>
      <c r="P46" s="97"/>
      <c r="Q46" s="98"/>
      <c r="R46" s="98"/>
      <c r="S46" s="98"/>
      <c r="T46" s="98"/>
      <c r="U46" s="98"/>
      <c r="V46" s="98"/>
    </row>
    <row r="47" spans="1:22" ht="21" customHeight="1" x14ac:dyDescent="0.15">
      <c r="A47" s="85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96"/>
      <c r="P47" s="97"/>
      <c r="Q47" s="98"/>
      <c r="R47" s="98"/>
      <c r="S47" s="98"/>
      <c r="T47" s="98"/>
      <c r="U47" s="98"/>
      <c r="V47" s="98"/>
    </row>
    <row r="48" spans="1:22" ht="21" customHeight="1" x14ac:dyDescent="0.15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96"/>
      <c r="P48" s="97"/>
      <c r="Q48" s="98"/>
      <c r="R48" s="98"/>
      <c r="S48" s="98"/>
      <c r="T48" s="98"/>
      <c r="U48" s="98"/>
      <c r="V48" s="98"/>
    </row>
    <row r="49" spans="1:22" ht="21" customHeight="1" x14ac:dyDescent="0.15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96"/>
      <c r="P49" s="97"/>
      <c r="Q49" s="98"/>
      <c r="R49" s="98"/>
      <c r="S49" s="98"/>
      <c r="T49" s="98"/>
      <c r="U49" s="98"/>
      <c r="V49" s="98"/>
    </row>
    <row r="50" spans="1:22" ht="21" customHeight="1" x14ac:dyDescent="0.15">
      <c r="A50" s="85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96"/>
      <c r="P50" s="97"/>
      <c r="Q50" s="98"/>
      <c r="R50" s="98"/>
      <c r="S50" s="98"/>
      <c r="T50" s="98"/>
      <c r="U50" s="98"/>
      <c r="V50" s="98"/>
    </row>
    <row r="51" spans="1:22" ht="21" customHeight="1" x14ac:dyDescent="0.15">
      <c r="A51" s="85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96"/>
      <c r="P51" s="97"/>
      <c r="Q51" s="98"/>
      <c r="R51" s="98"/>
      <c r="S51" s="98"/>
      <c r="T51" s="98"/>
      <c r="U51" s="98"/>
      <c r="V51" s="98"/>
    </row>
    <row r="52" spans="1:22" ht="21" customHeight="1" x14ac:dyDescent="0.15">
      <c r="A52" s="85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96"/>
      <c r="P52" s="97"/>
      <c r="Q52" s="98"/>
      <c r="R52" s="98"/>
      <c r="S52" s="98"/>
      <c r="T52" s="98"/>
      <c r="U52" s="98"/>
      <c r="V52" s="98"/>
    </row>
    <row r="53" spans="1:22" ht="21" customHeight="1" x14ac:dyDescent="0.15">
      <c r="A53" s="85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96"/>
      <c r="P53" s="97"/>
      <c r="Q53" s="98"/>
      <c r="R53" s="98"/>
      <c r="S53" s="98"/>
      <c r="T53" s="98"/>
      <c r="U53" s="98"/>
      <c r="V53" s="98"/>
    </row>
    <row r="54" spans="1:22" ht="21" customHeight="1" x14ac:dyDescent="0.1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96"/>
      <c r="P54" s="97"/>
      <c r="Q54" s="98"/>
      <c r="R54" s="98"/>
      <c r="S54" s="98"/>
      <c r="T54" s="98"/>
      <c r="U54" s="98"/>
      <c r="V54" s="98"/>
    </row>
    <row r="55" spans="1:22" ht="21" customHeight="1" x14ac:dyDescent="0.15">
      <c r="A55" s="85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96"/>
      <c r="P55" s="97"/>
      <c r="Q55" s="98"/>
      <c r="R55" s="98"/>
      <c r="S55" s="98"/>
      <c r="T55" s="98"/>
      <c r="U55" s="98"/>
      <c r="V55" s="98"/>
    </row>
    <row r="56" spans="1:22" ht="21" customHeight="1" x14ac:dyDescent="0.15">
      <c r="A56" s="85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96"/>
      <c r="P56" s="97"/>
      <c r="Q56" s="98"/>
      <c r="R56" s="98"/>
      <c r="S56" s="98"/>
      <c r="T56" s="98"/>
      <c r="U56" s="98"/>
      <c r="V56" s="98"/>
    </row>
    <row r="57" spans="1:22" ht="21" customHeight="1" x14ac:dyDescent="0.15">
      <c r="A57" s="85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96"/>
      <c r="P57" s="97"/>
      <c r="Q57" s="98"/>
      <c r="R57" s="98"/>
      <c r="S57" s="98"/>
      <c r="T57" s="98"/>
      <c r="U57" s="98"/>
      <c r="V57" s="98"/>
    </row>
    <row r="58" spans="1:22" ht="21" customHeight="1" x14ac:dyDescent="0.15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96"/>
      <c r="P58" s="97"/>
      <c r="Q58" s="98"/>
      <c r="R58" s="98"/>
      <c r="S58" s="98"/>
      <c r="T58" s="98"/>
      <c r="U58" s="98"/>
      <c r="V58" s="98"/>
    </row>
    <row r="59" spans="1:22" ht="21" customHeight="1" x14ac:dyDescent="0.15">
      <c r="A59" s="85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96"/>
      <c r="P59" s="97"/>
      <c r="Q59" s="98"/>
      <c r="R59" s="98"/>
      <c r="S59" s="98"/>
      <c r="T59" s="98"/>
      <c r="U59" s="98"/>
      <c r="V59" s="98"/>
    </row>
    <row r="60" spans="1:22" ht="21" customHeight="1" x14ac:dyDescent="0.15">
      <c r="A60" s="85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96"/>
      <c r="P60" s="97"/>
      <c r="Q60" s="98"/>
      <c r="R60" s="98"/>
      <c r="S60" s="98"/>
      <c r="T60" s="98"/>
      <c r="U60" s="98"/>
      <c r="V60" s="98"/>
    </row>
    <row r="61" spans="1:22" ht="21" customHeight="1" x14ac:dyDescent="0.15">
      <c r="A61" s="85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96"/>
      <c r="P61" s="97"/>
      <c r="Q61" s="98"/>
      <c r="R61" s="98"/>
      <c r="S61" s="98"/>
      <c r="T61" s="98"/>
      <c r="U61" s="98"/>
      <c r="V61" s="98"/>
    </row>
    <row r="62" spans="1:22" ht="21" customHeight="1" x14ac:dyDescent="0.15">
      <c r="A62" s="85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96"/>
      <c r="P62" s="97"/>
      <c r="Q62" s="98"/>
      <c r="R62" s="98"/>
      <c r="S62" s="98"/>
      <c r="T62" s="98"/>
      <c r="U62" s="98"/>
      <c r="V62" s="98"/>
    </row>
    <row r="63" spans="1:22" ht="21" customHeight="1" x14ac:dyDescent="0.15">
      <c r="A63" s="85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96"/>
      <c r="P63" s="97"/>
      <c r="Q63" s="98"/>
      <c r="R63" s="98"/>
      <c r="S63" s="98"/>
      <c r="T63" s="98"/>
      <c r="U63" s="98"/>
      <c r="V63" s="98"/>
    </row>
    <row r="64" spans="1:22" ht="21" customHeight="1" x14ac:dyDescent="0.15">
      <c r="A64" s="85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96"/>
      <c r="P64" s="97"/>
      <c r="Q64" s="98"/>
      <c r="R64" s="98"/>
      <c r="S64" s="98"/>
      <c r="T64" s="98"/>
      <c r="U64" s="98"/>
      <c r="V64" s="98"/>
    </row>
    <row r="65" spans="1:22" ht="21" customHeight="1" x14ac:dyDescent="0.15">
      <c r="A65" s="85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96"/>
      <c r="P65" s="97"/>
      <c r="Q65" s="98"/>
      <c r="R65" s="98"/>
      <c r="S65" s="98"/>
      <c r="T65" s="98"/>
      <c r="U65" s="98"/>
      <c r="V65" s="98"/>
    </row>
    <row r="66" spans="1:22" ht="21" customHeight="1" x14ac:dyDescent="0.15">
      <c r="A66" s="85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96"/>
      <c r="P66" s="97"/>
      <c r="Q66" s="98"/>
      <c r="R66" s="98"/>
      <c r="S66" s="98"/>
      <c r="T66" s="98"/>
      <c r="U66" s="98"/>
      <c r="V66" s="98"/>
    </row>
    <row r="67" spans="1:22" ht="21" customHeight="1" x14ac:dyDescent="0.15">
      <c r="A67" s="85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96"/>
      <c r="P67" s="97"/>
      <c r="Q67" s="98"/>
      <c r="R67" s="98"/>
      <c r="S67" s="98"/>
      <c r="T67" s="98"/>
      <c r="U67" s="98"/>
      <c r="V67" s="98"/>
    </row>
    <row r="68" spans="1:22" ht="21" customHeight="1" x14ac:dyDescent="0.15">
      <c r="A68" s="85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96"/>
      <c r="P68" s="97"/>
      <c r="Q68" s="98"/>
      <c r="R68" s="98"/>
      <c r="S68" s="98"/>
      <c r="T68" s="98"/>
      <c r="U68" s="98"/>
      <c r="V68" s="98"/>
    </row>
    <row r="69" spans="1:22" ht="21" customHeight="1" x14ac:dyDescent="0.15">
      <c r="A69" s="85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96"/>
      <c r="P69" s="97"/>
      <c r="Q69" s="98"/>
      <c r="R69" s="98"/>
      <c r="S69" s="98"/>
      <c r="T69" s="98"/>
      <c r="U69" s="98"/>
      <c r="V69" s="98"/>
    </row>
    <row r="70" spans="1:22" ht="21" customHeight="1" x14ac:dyDescent="0.15">
      <c r="A70" s="85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96"/>
      <c r="P70" s="97"/>
      <c r="Q70" s="98"/>
      <c r="R70" s="98"/>
      <c r="S70" s="98"/>
      <c r="T70" s="98"/>
      <c r="U70" s="98"/>
      <c r="V70" s="98"/>
    </row>
    <row r="71" spans="1:22" ht="21" customHeight="1" x14ac:dyDescent="0.15">
      <c r="A71" s="85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96"/>
      <c r="P71" s="97"/>
      <c r="Q71" s="98"/>
      <c r="R71" s="98"/>
      <c r="S71" s="98"/>
      <c r="T71" s="98"/>
      <c r="U71" s="98"/>
      <c r="V71" s="98"/>
    </row>
    <row r="72" spans="1:22" ht="21" customHeight="1" x14ac:dyDescent="0.15">
      <c r="A72" s="85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96"/>
      <c r="P72" s="97"/>
      <c r="Q72" s="98"/>
      <c r="R72" s="98"/>
      <c r="S72" s="98"/>
      <c r="T72" s="98"/>
      <c r="U72" s="98"/>
      <c r="V72" s="98"/>
    </row>
    <row r="73" spans="1:22" ht="21" customHeight="1" x14ac:dyDescent="0.15">
      <c r="A73" s="85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96"/>
      <c r="P73" s="97"/>
      <c r="Q73" s="98"/>
      <c r="R73" s="98"/>
      <c r="S73" s="98"/>
      <c r="T73" s="98"/>
      <c r="U73" s="98"/>
      <c r="V73" s="98"/>
    </row>
    <row r="74" spans="1:22" ht="21" customHeight="1" x14ac:dyDescent="0.15">
      <c r="A74" s="85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96"/>
      <c r="P74" s="97"/>
      <c r="Q74" s="98"/>
      <c r="R74" s="98"/>
      <c r="S74" s="98"/>
      <c r="T74" s="98"/>
      <c r="U74" s="98"/>
      <c r="V74" s="98"/>
    </row>
    <row r="75" spans="1:22" ht="21" customHeight="1" x14ac:dyDescent="0.15">
      <c r="A75" s="85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96"/>
      <c r="P75" s="97"/>
      <c r="Q75" s="98"/>
      <c r="R75" s="98"/>
      <c r="S75" s="98"/>
      <c r="T75" s="98"/>
      <c r="U75" s="98"/>
      <c r="V75" s="98"/>
    </row>
    <row r="76" spans="1:22" ht="21" customHeight="1" x14ac:dyDescent="0.15">
      <c r="A76" s="85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96"/>
      <c r="P76" s="97"/>
      <c r="Q76" s="98"/>
      <c r="R76" s="98"/>
      <c r="S76" s="98"/>
      <c r="T76" s="98"/>
      <c r="U76" s="98"/>
      <c r="V76" s="98"/>
    </row>
    <row r="77" spans="1:22" ht="21" customHeight="1" x14ac:dyDescent="0.15">
      <c r="A77" s="85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96"/>
      <c r="P77" s="97"/>
      <c r="Q77" s="98"/>
      <c r="R77" s="98"/>
      <c r="S77" s="98"/>
      <c r="T77" s="98"/>
      <c r="U77" s="98"/>
      <c r="V77" s="98"/>
    </row>
    <row r="78" spans="1:22" ht="21" customHeight="1" x14ac:dyDescent="0.15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96"/>
      <c r="P78" s="97"/>
      <c r="Q78" s="98"/>
      <c r="R78" s="98"/>
      <c r="S78" s="98"/>
      <c r="T78" s="98"/>
      <c r="U78" s="98"/>
      <c r="V78" s="98"/>
    </row>
    <row r="79" spans="1:22" ht="21" customHeight="1" x14ac:dyDescent="0.15">
      <c r="A79" s="85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96"/>
      <c r="P79" s="97"/>
      <c r="Q79" s="98"/>
      <c r="R79" s="98"/>
      <c r="S79" s="98"/>
      <c r="T79" s="98"/>
      <c r="U79" s="98"/>
      <c r="V79" s="98"/>
    </row>
    <row r="80" spans="1:22" ht="21" customHeight="1" x14ac:dyDescent="0.15">
      <c r="A80" s="85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96"/>
      <c r="P80" s="97"/>
      <c r="Q80" s="98"/>
      <c r="R80" s="98"/>
      <c r="S80" s="98"/>
      <c r="T80" s="98"/>
      <c r="U80" s="98"/>
      <c r="V80" s="98"/>
    </row>
    <row r="81" spans="1:22" ht="21" customHeight="1" x14ac:dyDescent="0.15">
      <c r="A81" s="85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96"/>
      <c r="P81" s="97"/>
      <c r="Q81" s="98"/>
      <c r="R81" s="98"/>
      <c r="S81" s="98"/>
      <c r="T81" s="98"/>
      <c r="U81" s="98"/>
      <c r="V81" s="98"/>
    </row>
    <row r="82" spans="1:22" ht="21" customHeight="1" x14ac:dyDescent="0.15">
      <c r="A82" s="85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96"/>
      <c r="P82" s="97"/>
      <c r="Q82" s="98"/>
      <c r="R82" s="98"/>
      <c r="S82" s="98"/>
      <c r="T82" s="98"/>
      <c r="U82" s="98"/>
      <c r="V82" s="98"/>
    </row>
    <row r="83" spans="1:22" ht="21" customHeight="1" x14ac:dyDescent="0.15">
      <c r="A83" s="85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96"/>
      <c r="P83" s="97"/>
      <c r="Q83" s="98"/>
      <c r="R83" s="98"/>
      <c r="S83" s="98"/>
      <c r="T83" s="98"/>
      <c r="U83" s="98"/>
      <c r="V83" s="98"/>
    </row>
    <row r="84" spans="1:22" ht="21" customHeight="1" x14ac:dyDescent="0.15">
      <c r="A84" s="85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96"/>
      <c r="P84" s="97"/>
      <c r="Q84" s="98"/>
      <c r="R84" s="98"/>
      <c r="S84" s="98"/>
      <c r="T84" s="98"/>
      <c r="U84" s="98"/>
      <c r="V84" s="98"/>
    </row>
    <row r="85" spans="1:22" ht="21" customHeight="1" x14ac:dyDescent="0.15">
      <c r="A85" s="85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96"/>
      <c r="P85" s="97"/>
      <c r="Q85" s="98"/>
      <c r="R85" s="98"/>
      <c r="S85" s="98"/>
      <c r="T85" s="98"/>
      <c r="U85" s="98"/>
      <c r="V85" s="98"/>
    </row>
    <row r="86" spans="1:22" ht="21" customHeight="1" x14ac:dyDescent="0.15">
      <c r="A86" s="85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96"/>
      <c r="P86" s="97"/>
      <c r="Q86" s="98"/>
      <c r="R86" s="98"/>
      <c r="S86" s="98"/>
      <c r="T86" s="98"/>
      <c r="U86" s="98"/>
      <c r="V86" s="98"/>
    </row>
    <row r="87" spans="1:22" ht="21" customHeight="1" x14ac:dyDescent="0.15">
      <c r="A87" s="85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96"/>
      <c r="P87" s="97"/>
      <c r="Q87" s="98"/>
      <c r="R87" s="98"/>
      <c r="S87" s="98"/>
      <c r="T87" s="98"/>
      <c r="U87" s="98"/>
      <c r="V87" s="98"/>
    </row>
    <row r="88" spans="1:22" ht="21" customHeight="1" x14ac:dyDescent="0.15">
      <c r="A88" s="85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96"/>
      <c r="P88" s="97"/>
      <c r="Q88" s="98"/>
      <c r="R88" s="98"/>
      <c r="S88" s="98"/>
      <c r="T88" s="98"/>
      <c r="U88" s="98"/>
      <c r="V88" s="98"/>
    </row>
    <row r="89" spans="1:22" ht="21" customHeight="1" x14ac:dyDescent="0.15">
      <c r="A89" s="85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96"/>
      <c r="P89" s="97"/>
      <c r="Q89" s="98"/>
      <c r="R89" s="98"/>
      <c r="S89" s="98"/>
      <c r="T89" s="98"/>
      <c r="U89" s="98"/>
      <c r="V89" s="98"/>
    </row>
    <row r="90" spans="1:22" ht="21" customHeight="1" x14ac:dyDescent="0.15">
      <c r="A90" s="85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96"/>
      <c r="P90" s="97"/>
      <c r="Q90" s="98"/>
      <c r="R90" s="98"/>
      <c r="S90" s="98"/>
      <c r="T90" s="98"/>
      <c r="U90" s="98"/>
      <c r="V90" s="98"/>
    </row>
    <row r="91" spans="1:22" ht="21" customHeight="1" x14ac:dyDescent="0.15">
      <c r="A91" s="85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96"/>
      <c r="P91" s="97"/>
      <c r="Q91" s="98"/>
      <c r="R91" s="98"/>
      <c r="S91" s="98"/>
      <c r="T91" s="98"/>
      <c r="U91" s="98"/>
      <c r="V91" s="98"/>
    </row>
    <row r="92" spans="1:22" ht="21" customHeight="1" x14ac:dyDescent="0.15">
      <c r="A92" s="85"/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96"/>
      <c r="P92" s="97"/>
      <c r="Q92" s="98"/>
      <c r="R92" s="98"/>
      <c r="S92" s="98"/>
      <c r="T92" s="98"/>
      <c r="U92" s="98"/>
      <c r="V92" s="98"/>
    </row>
    <row r="93" spans="1:22" ht="21" customHeight="1" x14ac:dyDescent="0.15">
      <c r="A93" s="85"/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96"/>
      <c r="P93" s="97"/>
      <c r="Q93" s="98"/>
      <c r="R93" s="98"/>
      <c r="S93" s="98"/>
      <c r="T93" s="98"/>
      <c r="U93" s="98"/>
      <c r="V93" s="98"/>
    </row>
    <row r="94" spans="1:22" ht="21" customHeight="1" x14ac:dyDescent="0.15">
      <c r="A94" s="85"/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96"/>
      <c r="P94" s="97"/>
      <c r="Q94" s="98"/>
      <c r="R94" s="98"/>
      <c r="S94" s="98"/>
      <c r="T94" s="98"/>
      <c r="U94" s="98"/>
      <c r="V94" s="98"/>
    </row>
    <row r="95" spans="1:22" ht="21" customHeight="1" x14ac:dyDescent="0.15">
      <c r="A95" s="85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96"/>
      <c r="P95" s="97"/>
      <c r="Q95" s="98"/>
      <c r="R95" s="98"/>
      <c r="S95" s="98"/>
      <c r="T95" s="98"/>
      <c r="U95" s="98"/>
      <c r="V95" s="98"/>
    </row>
    <row r="96" spans="1:22" ht="21" customHeight="1" x14ac:dyDescent="0.15">
      <c r="A96" s="85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96"/>
      <c r="P96" s="97"/>
      <c r="Q96" s="98"/>
      <c r="R96" s="98"/>
      <c r="S96" s="98"/>
      <c r="T96" s="98"/>
      <c r="U96" s="98"/>
      <c r="V96" s="98"/>
    </row>
    <row r="97" spans="1:22" ht="21" customHeight="1" x14ac:dyDescent="0.15">
      <c r="A97" s="85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96"/>
      <c r="P97" s="97"/>
      <c r="Q97" s="98"/>
      <c r="R97" s="98"/>
      <c r="S97" s="98"/>
      <c r="T97" s="98"/>
      <c r="U97" s="98"/>
      <c r="V97" s="98"/>
    </row>
    <row r="98" spans="1:22" ht="21" customHeight="1" x14ac:dyDescent="0.15">
      <c r="A98" s="85"/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96"/>
      <c r="P98" s="97"/>
      <c r="Q98" s="98"/>
      <c r="R98" s="98"/>
      <c r="S98" s="98"/>
      <c r="T98" s="98"/>
      <c r="U98" s="98"/>
      <c r="V98" s="98"/>
    </row>
    <row r="99" spans="1:22" ht="21" customHeight="1" x14ac:dyDescent="0.15">
      <c r="A99" s="85"/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96"/>
      <c r="P99" s="97"/>
      <c r="Q99" s="98"/>
      <c r="R99" s="98"/>
      <c r="S99" s="98"/>
      <c r="T99" s="98"/>
      <c r="U99" s="98"/>
      <c r="V99" s="98"/>
    </row>
    <row r="100" spans="1:22" ht="21" customHeight="1" x14ac:dyDescent="0.15">
      <c r="A100" s="85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96"/>
      <c r="P100" s="97"/>
      <c r="Q100" s="98"/>
      <c r="R100" s="98"/>
      <c r="S100" s="98"/>
      <c r="T100" s="98"/>
      <c r="U100" s="98"/>
      <c r="V100" s="98"/>
    </row>
    <row r="101" spans="1:22" ht="21" customHeight="1" x14ac:dyDescent="0.15">
      <c r="A101" s="85"/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96"/>
      <c r="P101" s="97"/>
      <c r="Q101" s="98"/>
      <c r="R101" s="98"/>
      <c r="S101" s="98"/>
      <c r="T101" s="98"/>
      <c r="U101" s="98"/>
      <c r="V101" s="98"/>
    </row>
    <row r="102" spans="1:22" ht="21" customHeight="1" x14ac:dyDescent="0.15">
      <c r="A102" s="85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96"/>
      <c r="P102" s="97"/>
      <c r="Q102" s="98"/>
      <c r="R102" s="98"/>
      <c r="S102" s="98"/>
      <c r="T102" s="98"/>
      <c r="U102" s="98"/>
      <c r="V102" s="98"/>
    </row>
    <row r="103" spans="1:22" ht="21" customHeight="1" x14ac:dyDescent="0.15">
      <c r="A103" s="85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96"/>
      <c r="P103" s="97"/>
      <c r="Q103" s="98"/>
      <c r="R103" s="98"/>
      <c r="S103" s="98"/>
      <c r="T103" s="98"/>
      <c r="U103" s="98"/>
      <c r="V103" s="98"/>
    </row>
    <row r="104" spans="1:22" ht="21" customHeight="1" x14ac:dyDescent="0.15">
      <c r="A104" s="85"/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96"/>
      <c r="P104" s="97"/>
      <c r="Q104" s="98"/>
      <c r="R104" s="98"/>
      <c r="S104" s="98"/>
      <c r="T104" s="98"/>
      <c r="U104" s="98"/>
      <c r="V104" s="98"/>
    </row>
    <row r="105" spans="1:22" ht="21" customHeight="1" x14ac:dyDescent="0.15">
      <c r="A105" s="85"/>
      <c r="B105" s="85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96"/>
      <c r="P105" s="97"/>
      <c r="Q105" s="98"/>
      <c r="R105" s="98"/>
      <c r="S105" s="98"/>
      <c r="T105" s="98"/>
      <c r="U105" s="98"/>
      <c r="V105" s="98"/>
    </row>
    <row r="106" spans="1:22" ht="21" customHeight="1" x14ac:dyDescent="0.15">
      <c r="A106" s="85"/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96"/>
      <c r="P106" s="97"/>
      <c r="Q106" s="98"/>
      <c r="R106" s="98"/>
      <c r="S106" s="98"/>
      <c r="T106" s="98"/>
      <c r="U106" s="98"/>
      <c r="V106" s="98"/>
    </row>
    <row r="107" spans="1:22" ht="21" customHeight="1" x14ac:dyDescent="0.15">
      <c r="A107" s="85"/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96"/>
      <c r="P107" s="97"/>
      <c r="Q107" s="98"/>
      <c r="R107" s="98"/>
      <c r="S107" s="98"/>
      <c r="T107" s="98"/>
      <c r="U107" s="98"/>
      <c r="V107" s="98"/>
    </row>
    <row r="108" spans="1:22" ht="21" customHeight="1" x14ac:dyDescent="0.15">
      <c r="A108" s="85"/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96"/>
      <c r="P108" s="97"/>
      <c r="Q108" s="98"/>
      <c r="R108" s="98"/>
      <c r="S108" s="98"/>
      <c r="T108" s="98"/>
      <c r="U108" s="98"/>
      <c r="V108" s="98"/>
    </row>
    <row r="109" spans="1:22" ht="21" customHeight="1" x14ac:dyDescent="0.15">
      <c r="A109" s="85"/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96"/>
      <c r="P109" s="97"/>
      <c r="Q109" s="98"/>
      <c r="R109" s="98"/>
      <c r="S109" s="98"/>
      <c r="T109" s="98"/>
      <c r="U109" s="98"/>
      <c r="V109" s="98"/>
    </row>
    <row r="110" spans="1:22" ht="21" customHeight="1" x14ac:dyDescent="0.15">
      <c r="A110" s="85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96"/>
      <c r="P110" s="97"/>
      <c r="Q110" s="98"/>
      <c r="R110" s="98"/>
      <c r="S110" s="98"/>
      <c r="T110" s="98"/>
      <c r="U110" s="98"/>
      <c r="V110" s="98"/>
    </row>
    <row r="111" spans="1:22" ht="21" customHeight="1" x14ac:dyDescent="0.15">
      <c r="A111" s="85"/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96"/>
      <c r="P111" s="97"/>
      <c r="Q111" s="98"/>
      <c r="R111" s="98"/>
      <c r="S111" s="98"/>
      <c r="T111" s="98"/>
      <c r="U111" s="98"/>
      <c r="V111" s="98"/>
    </row>
    <row r="112" spans="1:22" ht="21" customHeight="1" x14ac:dyDescent="0.15">
      <c r="A112" s="85"/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96"/>
      <c r="P112" s="97"/>
      <c r="Q112" s="98"/>
      <c r="R112" s="98"/>
      <c r="S112" s="98"/>
      <c r="T112" s="98"/>
      <c r="U112" s="98"/>
      <c r="V112" s="98"/>
    </row>
    <row r="113" spans="1:22" ht="21" customHeight="1" x14ac:dyDescent="0.15">
      <c r="A113" s="85"/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96"/>
      <c r="P113" s="97"/>
      <c r="Q113" s="98"/>
      <c r="R113" s="98"/>
      <c r="S113" s="98"/>
      <c r="T113" s="98"/>
      <c r="U113" s="98"/>
      <c r="V113" s="98"/>
    </row>
    <row r="114" spans="1:22" ht="21" customHeight="1" x14ac:dyDescent="0.15">
      <c r="A114" s="85"/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96"/>
      <c r="P114" s="97"/>
      <c r="Q114" s="98"/>
      <c r="R114" s="98"/>
      <c r="S114" s="98"/>
      <c r="T114" s="98"/>
      <c r="U114" s="98"/>
      <c r="V114" s="98"/>
    </row>
    <row r="115" spans="1:22" ht="21" customHeight="1" x14ac:dyDescent="0.15">
      <c r="A115" s="85"/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96"/>
      <c r="P115" s="97"/>
      <c r="Q115" s="98"/>
      <c r="R115" s="98"/>
      <c r="S115" s="98"/>
      <c r="T115" s="98"/>
      <c r="U115" s="98"/>
      <c r="V115" s="98"/>
    </row>
    <row r="116" spans="1:22" ht="21" customHeight="1" x14ac:dyDescent="0.15">
      <c r="A116" s="85"/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96"/>
      <c r="P116" s="97"/>
      <c r="Q116" s="98"/>
      <c r="R116" s="98"/>
      <c r="S116" s="98"/>
      <c r="T116" s="98"/>
      <c r="U116" s="98"/>
      <c r="V116" s="98"/>
    </row>
    <row r="117" spans="1:22" ht="21" customHeight="1" x14ac:dyDescent="0.15">
      <c r="A117" s="85"/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96"/>
      <c r="P117" s="97"/>
      <c r="Q117" s="98"/>
      <c r="R117" s="98"/>
      <c r="S117" s="98"/>
      <c r="T117" s="98"/>
      <c r="U117" s="98"/>
      <c r="V117" s="98"/>
    </row>
    <row r="118" spans="1:22" ht="21" customHeight="1" x14ac:dyDescent="0.15">
      <c r="A118" s="85"/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96"/>
      <c r="P118" s="97"/>
      <c r="Q118" s="98"/>
      <c r="R118" s="98"/>
      <c r="S118" s="98"/>
      <c r="T118" s="98"/>
      <c r="U118" s="98"/>
      <c r="V118" s="98"/>
    </row>
    <row r="119" spans="1:22" ht="21" customHeight="1" x14ac:dyDescent="0.15">
      <c r="A119" s="85"/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96"/>
      <c r="P119" s="97"/>
      <c r="Q119" s="98"/>
      <c r="R119" s="98"/>
      <c r="S119" s="98"/>
      <c r="T119" s="98"/>
      <c r="U119" s="98"/>
      <c r="V119" s="98"/>
    </row>
    <row r="120" spans="1:22" ht="21" customHeight="1" x14ac:dyDescent="0.15">
      <c r="A120" s="85"/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96"/>
      <c r="P120" s="97"/>
      <c r="Q120" s="98"/>
      <c r="R120" s="98"/>
      <c r="S120" s="98"/>
      <c r="T120" s="98"/>
      <c r="U120" s="98"/>
      <c r="V120" s="98"/>
    </row>
    <row r="121" spans="1:22" ht="21" customHeight="1" x14ac:dyDescent="0.15">
      <c r="A121" s="85"/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96"/>
      <c r="P121" s="97"/>
      <c r="Q121" s="98"/>
      <c r="R121" s="98"/>
      <c r="S121" s="98"/>
      <c r="T121" s="98"/>
      <c r="U121" s="98"/>
      <c r="V121" s="98"/>
    </row>
    <row r="122" spans="1:22" ht="21" customHeight="1" x14ac:dyDescent="0.15">
      <c r="A122" s="85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96"/>
      <c r="P122" s="97"/>
      <c r="Q122" s="98"/>
      <c r="R122" s="98"/>
      <c r="S122" s="98"/>
      <c r="T122" s="98"/>
      <c r="U122" s="98"/>
      <c r="V122" s="98"/>
    </row>
    <row r="123" spans="1:22" ht="21" customHeight="1" x14ac:dyDescent="0.15">
      <c r="A123" s="85"/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96"/>
      <c r="P123" s="97"/>
      <c r="Q123" s="98"/>
      <c r="R123" s="98"/>
      <c r="S123" s="98"/>
      <c r="T123" s="98"/>
      <c r="U123" s="98"/>
      <c r="V123" s="98"/>
    </row>
    <row r="124" spans="1:22" ht="21" customHeight="1" x14ac:dyDescent="0.15">
      <c r="A124" s="85"/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96"/>
      <c r="P124" s="97"/>
      <c r="Q124" s="98"/>
      <c r="R124" s="98"/>
      <c r="S124" s="98"/>
      <c r="T124" s="98"/>
      <c r="U124" s="98"/>
      <c r="V124" s="98"/>
    </row>
    <row r="125" spans="1:22" ht="21" customHeight="1" x14ac:dyDescent="0.15">
      <c r="A125" s="85"/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96"/>
      <c r="P125" s="97"/>
      <c r="Q125" s="98"/>
      <c r="R125" s="98"/>
      <c r="S125" s="98"/>
      <c r="T125" s="98"/>
      <c r="U125" s="98"/>
      <c r="V125" s="98"/>
    </row>
    <row r="126" spans="1:22" ht="21" customHeight="1" x14ac:dyDescent="0.15">
      <c r="A126" s="85"/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96"/>
      <c r="P126" s="97"/>
      <c r="Q126" s="98"/>
      <c r="R126" s="98"/>
      <c r="S126" s="98"/>
      <c r="T126" s="98"/>
      <c r="U126" s="98"/>
      <c r="V126" s="98"/>
    </row>
    <row r="127" spans="1:22" ht="21" customHeight="1" x14ac:dyDescent="0.15">
      <c r="A127" s="85"/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96"/>
      <c r="P127" s="97"/>
      <c r="Q127" s="98"/>
      <c r="R127" s="98"/>
      <c r="S127" s="98"/>
      <c r="T127" s="98"/>
      <c r="U127" s="98"/>
      <c r="V127" s="98"/>
    </row>
    <row r="128" spans="1:22" ht="21" customHeight="1" x14ac:dyDescent="0.15">
      <c r="A128" s="85"/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96"/>
      <c r="P128" s="97"/>
      <c r="Q128" s="98"/>
      <c r="R128" s="98"/>
      <c r="S128" s="98"/>
      <c r="T128" s="98"/>
      <c r="U128" s="98"/>
      <c r="V128" s="98"/>
    </row>
    <row r="129" spans="1:22" ht="21" customHeight="1" x14ac:dyDescent="0.15">
      <c r="A129" s="85"/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96"/>
      <c r="P129" s="97"/>
      <c r="Q129" s="98"/>
      <c r="R129" s="98"/>
      <c r="S129" s="98"/>
      <c r="T129" s="98"/>
      <c r="U129" s="98"/>
      <c r="V129" s="98"/>
    </row>
    <row r="130" spans="1:22" ht="21" customHeight="1" x14ac:dyDescent="0.15">
      <c r="A130" s="85"/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96"/>
      <c r="P130" s="97"/>
      <c r="Q130" s="98"/>
      <c r="R130" s="98"/>
      <c r="S130" s="98"/>
      <c r="T130" s="98"/>
      <c r="U130" s="98"/>
      <c r="V130" s="98"/>
    </row>
    <row r="131" spans="1:22" ht="21" customHeight="1" x14ac:dyDescent="0.15">
      <c r="A131" s="85"/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96"/>
      <c r="P131" s="97"/>
      <c r="Q131" s="98"/>
      <c r="R131" s="98"/>
      <c r="S131" s="98"/>
      <c r="T131" s="98"/>
      <c r="U131" s="98"/>
      <c r="V131" s="98"/>
    </row>
    <row r="132" spans="1:22" ht="21" customHeight="1" x14ac:dyDescent="0.15">
      <c r="A132" s="85"/>
      <c r="B132" s="85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96"/>
      <c r="P132" s="97"/>
      <c r="Q132" s="98"/>
      <c r="R132" s="98"/>
      <c r="S132" s="98"/>
      <c r="T132" s="98"/>
      <c r="U132" s="98"/>
      <c r="V132" s="98"/>
    </row>
    <row r="133" spans="1:22" ht="21" customHeight="1" x14ac:dyDescent="0.15">
      <c r="A133" s="85"/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96"/>
      <c r="P133" s="97"/>
      <c r="Q133" s="98"/>
      <c r="R133" s="98"/>
      <c r="S133" s="98"/>
      <c r="T133" s="98"/>
      <c r="U133" s="98"/>
      <c r="V133" s="98"/>
    </row>
    <row r="134" spans="1:22" ht="21" customHeight="1" x14ac:dyDescent="0.15">
      <c r="A134" s="85"/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96"/>
      <c r="P134" s="97"/>
      <c r="Q134" s="98"/>
      <c r="R134" s="98"/>
      <c r="S134" s="98"/>
      <c r="T134" s="98"/>
      <c r="U134" s="98"/>
      <c r="V134" s="98"/>
    </row>
    <row r="135" spans="1:22" ht="21" customHeight="1" x14ac:dyDescent="0.15">
      <c r="A135" s="85"/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96"/>
      <c r="P135" s="97"/>
      <c r="Q135" s="98"/>
      <c r="R135" s="98"/>
      <c r="S135" s="98"/>
      <c r="T135" s="98"/>
      <c r="U135" s="98"/>
      <c r="V135" s="98"/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G12" sqref="G1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input_589010</vt:lpstr>
      <vt:lpstr>tables_589010</vt:lpstr>
      <vt:lpstr>input_589100</vt:lpstr>
      <vt:lpstr>tables_589100</vt:lpstr>
      <vt:lpstr>tables_settle_589105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2017-04-27T03:12:11Z</dcterms:modified>
</cp:coreProperties>
</file>