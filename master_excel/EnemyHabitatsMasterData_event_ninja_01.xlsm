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5940" yWindow="460" windowWidth="32440" windowHeight="1986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21" l="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AD17" i="1"/>
  <c r="AF17" i="1"/>
  <c r="AI17" i="1"/>
  <c r="AG17" i="1"/>
  <c r="AE17" i="1"/>
  <c r="E5" i="9"/>
  <c r="E4" i="9"/>
  <c r="X17" i="1"/>
  <c r="V17" i="1"/>
  <c r="T17" i="1"/>
  <c r="Q17" i="1"/>
  <c r="P17" i="1"/>
  <c r="O17" i="1"/>
  <c r="N17" i="1"/>
  <c r="M17" i="1"/>
  <c r="H17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17" i="1"/>
  <c r="I17" i="1"/>
  <c r="D17" i="1"/>
  <c r="F17" i="1"/>
  <c r="E17" i="1"/>
  <c r="A17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E22" i="9"/>
  <c r="A29" i="9"/>
  <c r="D29" i="9"/>
  <c r="E29" i="9"/>
  <c r="G29" i="9"/>
  <c r="H29" i="9"/>
  <c r="I29" i="9"/>
  <c r="J29" i="9"/>
  <c r="K29" i="9"/>
  <c r="L29" i="9"/>
  <c r="M29" i="9"/>
  <c r="N29" i="9"/>
  <c r="J27" i="11"/>
  <c r="J29" i="11"/>
  <c r="O29" i="9"/>
  <c r="A30" i="9"/>
  <c r="D30" i="9"/>
  <c r="E30" i="9"/>
  <c r="G30" i="9"/>
  <c r="H30" i="9"/>
  <c r="I30" i="9"/>
  <c r="J30" i="9"/>
  <c r="K30" i="9"/>
  <c r="L30" i="9"/>
  <c r="M30" i="9"/>
  <c r="N30" i="9"/>
  <c r="J28" i="11"/>
  <c r="J30" i="11"/>
  <c r="O30" i="9"/>
  <c r="A31" i="9"/>
  <c r="D31" i="9"/>
  <c r="E31" i="9"/>
  <c r="G31" i="9"/>
  <c r="H31" i="9"/>
  <c r="I31" i="9"/>
  <c r="J31" i="9"/>
  <c r="K31" i="9"/>
  <c r="L31" i="9"/>
  <c r="M31" i="9"/>
  <c r="N31" i="9"/>
  <c r="J31" i="11"/>
  <c r="O31" i="9"/>
  <c r="A32" i="9"/>
  <c r="D32" i="9"/>
  <c r="E32" i="9"/>
  <c r="G32" i="9"/>
  <c r="H32" i="9"/>
  <c r="I32" i="9"/>
  <c r="J32" i="9"/>
  <c r="K32" i="9"/>
  <c r="L32" i="9"/>
  <c r="M32" i="9"/>
  <c r="N32" i="9"/>
  <c r="J32" i="11"/>
  <c r="O32" i="9"/>
  <c r="A33" i="9"/>
  <c r="D33" i="9"/>
  <c r="E33" i="9"/>
  <c r="G33" i="9"/>
  <c r="H33" i="9"/>
  <c r="I33" i="9"/>
  <c r="J33" i="9"/>
  <c r="K33" i="9"/>
  <c r="L33" i="9"/>
  <c r="M33" i="9"/>
  <c r="N33" i="9"/>
  <c r="J33" i="11"/>
  <c r="O33" i="9"/>
  <c r="A34" i="9"/>
  <c r="D34" i="9"/>
  <c r="E34" i="9"/>
  <c r="G34" i="9"/>
  <c r="H34" i="9"/>
  <c r="I34" i="9"/>
  <c r="J34" i="9"/>
  <c r="K34" i="9"/>
  <c r="L34" i="9"/>
  <c r="M34" i="9"/>
  <c r="N34" i="9"/>
  <c r="J34" i="11"/>
  <c r="O34" i="9"/>
  <c r="G2" i="10"/>
  <c r="J2" i="10"/>
  <c r="I2" i="10"/>
  <c r="K2" i="10"/>
  <c r="H2" i="10"/>
  <c r="L2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A3" i="9"/>
  <c r="D3" i="9"/>
  <c r="E3" i="9"/>
  <c r="G3" i="9"/>
  <c r="H3" i="9"/>
  <c r="I3" i="9"/>
  <c r="J3" i="9"/>
  <c r="K3" i="9"/>
  <c r="L3" i="9"/>
  <c r="M3" i="9"/>
  <c r="N3" i="9"/>
  <c r="J3" i="11"/>
  <c r="O3" i="9"/>
  <c r="A4" i="9"/>
  <c r="D4" i="9"/>
  <c r="G4" i="9"/>
  <c r="H4" i="9"/>
  <c r="I4" i="9"/>
  <c r="J4" i="9"/>
  <c r="K4" i="9"/>
  <c r="L4" i="9"/>
  <c r="M4" i="9"/>
  <c r="N4" i="9"/>
  <c r="J4" i="11"/>
  <c r="O4" i="9"/>
  <c r="A5" i="9"/>
  <c r="D5" i="9"/>
  <c r="G5" i="9"/>
  <c r="H5" i="9"/>
  <c r="I5" i="9"/>
  <c r="J5" i="9"/>
  <c r="K5" i="9"/>
  <c r="L5" i="9"/>
  <c r="M5" i="9"/>
  <c r="N5" i="9"/>
  <c r="J5" i="11"/>
  <c r="O5" i="9"/>
  <c r="A6" i="9"/>
  <c r="D6" i="9"/>
  <c r="E6" i="9"/>
  <c r="G6" i="9"/>
  <c r="H6" i="9"/>
  <c r="I6" i="9"/>
  <c r="J6" i="9"/>
  <c r="K6" i="9"/>
  <c r="L6" i="9"/>
  <c r="M6" i="9"/>
  <c r="N6" i="9"/>
  <c r="J6" i="11"/>
  <c r="O6" i="9"/>
  <c r="A7" i="9"/>
  <c r="D7" i="9"/>
  <c r="E7" i="9"/>
  <c r="G7" i="9"/>
  <c r="H7" i="9"/>
  <c r="I7" i="9"/>
  <c r="J7" i="9"/>
  <c r="K7" i="9"/>
  <c r="L7" i="9"/>
  <c r="M7" i="9"/>
  <c r="N7" i="9"/>
  <c r="J7" i="11"/>
  <c r="O7" i="9"/>
  <c r="A8" i="9"/>
  <c r="D8" i="9"/>
  <c r="E8" i="9"/>
  <c r="G8" i="9"/>
  <c r="H8" i="9"/>
  <c r="I8" i="9"/>
  <c r="J8" i="9"/>
  <c r="K8" i="9"/>
  <c r="L8" i="9"/>
  <c r="M8" i="9"/>
  <c r="N8" i="9"/>
  <c r="J8" i="11"/>
  <c r="O8" i="9"/>
  <c r="A9" i="9"/>
  <c r="D9" i="9"/>
  <c r="E9" i="9"/>
  <c r="G9" i="9"/>
  <c r="H9" i="9"/>
  <c r="I9" i="9"/>
  <c r="J9" i="9"/>
  <c r="K9" i="9"/>
  <c r="L9" i="9"/>
  <c r="M9" i="9"/>
  <c r="N9" i="9"/>
  <c r="J9" i="11"/>
  <c r="O9" i="9"/>
  <c r="A10" i="9"/>
  <c r="D10" i="9"/>
  <c r="E10" i="9"/>
  <c r="G10" i="9"/>
  <c r="H10" i="9"/>
  <c r="I10" i="9"/>
  <c r="J10" i="9"/>
  <c r="K10" i="9"/>
  <c r="L10" i="9"/>
  <c r="M10" i="9"/>
  <c r="N10" i="9"/>
  <c r="J10" i="11"/>
  <c r="O10" i="9"/>
  <c r="A11" i="9"/>
  <c r="D11" i="9"/>
  <c r="E11" i="9"/>
  <c r="G11" i="9"/>
  <c r="H11" i="9"/>
  <c r="I11" i="9"/>
  <c r="J11" i="9"/>
  <c r="K11" i="9"/>
  <c r="L11" i="9"/>
  <c r="M11" i="9"/>
  <c r="N11" i="9"/>
  <c r="J11" i="11"/>
  <c r="O11" i="9"/>
  <c r="A12" i="9"/>
  <c r="D12" i="9"/>
  <c r="E12" i="9"/>
  <c r="G12" i="9"/>
  <c r="H12" i="9"/>
  <c r="I12" i="9"/>
  <c r="J12" i="9"/>
  <c r="K12" i="9"/>
  <c r="L12" i="9"/>
  <c r="M12" i="9"/>
  <c r="N12" i="9"/>
  <c r="J12" i="11"/>
  <c r="O12" i="9"/>
  <c r="A13" i="9"/>
  <c r="D13" i="9"/>
  <c r="E13" i="9"/>
  <c r="G13" i="9"/>
  <c r="H13" i="9"/>
  <c r="I13" i="9"/>
  <c r="J13" i="9"/>
  <c r="K13" i="9"/>
  <c r="L13" i="9"/>
  <c r="M13" i="9"/>
  <c r="N13" i="9"/>
  <c r="J13" i="11"/>
  <c r="O13" i="9"/>
  <c r="A14" i="9"/>
  <c r="D14" i="9"/>
  <c r="E14" i="9"/>
  <c r="G14" i="9"/>
  <c r="H14" i="9"/>
  <c r="I14" i="9"/>
  <c r="J14" i="9"/>
  <c r="K14" i="9"/>
  <c r="L14" i="9"/>
  <c r="M14" i="9"/>
  <c r="N14" i="9"/>
  <c r="J14" i="11"/>
  <c r="O14" i="9"/>
  <c r="A15" i="9"/>
  <c r="D15" i="9"/>
  <c r="E15" i="9"/>
  <c r="G15" i="9"/>
  <c r="H15" i="9"/>
  <c r="I15" i="9"/>
  <c r="J15" i="9"/>
  <c r="K15" i="9"/>
  <c r="L15" i="9"/>
  <c r="M15" i="9"/>
  <c r="N15" i="9"/>
  <c r="J15" i="11"/>
  <c r="O15" i="9"/>
  <c r="A16" i="9"/>
  <c r="D16" i="9"/>
  <c r="E16" i="9"/>
  <c r="G16" i="9"/>
  <c r="H16" i="9"/>
  <c r="I16" i="9"/>
  <c r="J16" i="9"/>
  <c r="K16" i="9"/>
  <c r="L16" i="9"/>
  <c r="M16" i="9"/>
  <c r="N16" i="9"/>
  <c r="J16" i="11"/>
  <c r="O16" i="9"/>
  <c r="A17" i="9"/>
  <c r="D17" i="9"/>
  <c r="E17" i="9"/>
  <c r="G17" i="9"/>
  <c r="H17" i="9"/>
  <c r="I17" i="9"/>
  <c r="J17" i="9"/>
  <c r="K17" i="9"/>
  <c r="L17" i="9"/>
  <c r="M17" i="9"/>
  <c r="N17" i="9"/>
  <c r="J17" i="11"/>
  <c r="O17" i="9"/>
  <c r="A18" i="9"/>
  <c r="D18" i="9"/>
  <c r="E18" i="9"/>
  <c r="G18" i="9"/>
  <c r="H18" i="9"/>
  <c r="I18" i="9"/>
  <c r="J18" i="9"/>
  <c r="K18" i="9"/>
  <c r="L18" i="9"/>
  <c r="M18" i="9"/>
  <c r="N18" i="9"/>
  <c r="J18" i="11"/>
  <c r="O18" i="9"/>
  <c r="A19" i="9"/>
  <c r="D19" i="9"/>
  <c r="E19" i="9"/>
  <c r="G19" i="9"/>
  <c r="H19" i="9"/>
  <c r="I19" i="9"/>
  <c r="J19" i="9"/>
  <c r="K19" i="9"/>
  <c r="L19" i="9"/>
  <c r="M19" i="9"/>
  <c r="N19" i="9"/>
  <c r="J19" i="11"/>
  <c r="O19" i="9"/>
  <c r="A20" i="9"/>
  <c r="D20" i="9"/>
  <c r="E20" i="9"/>
  <c r="G20" i="9"/>
  <c r="H20" i="9"/>
  <c r="I20" i="9"/>
  <c r="J20" i="9"/>
  <c r="K20" i="9"/>
  <c r="L20" i="9"/>
  <c r="M20" i="9"/>
  <c r="N20" i="9"/>
  <c r="J20" i="11"/>
  <c r="O20" i="9"/>
  <c r="A21" i="9"/>
  <c r="D21" i="9"/>
  <c r="E21" i="9"/>
  <c r="G21" i="9"/>
  <c r="H21" i="9"/>
  <c r="I21" i="9"/>
  <c r="J21" i="9"/>
  <c r="K21" i="9"/>
  <c r="L21" i="9"/>
  <c r="M21" i="9"/>
  <c r="N21" i="9"/>
  <c r="J21" i="11"/>
  <c r="O21" i="9"/>
  <c r="A22" i="9"/>
  <c r="D22" i="9"/>
  <c r="G22" i="9"/>
  <c r="H22" i="9"/>
  <c r="I22" i="9"/>
  <c r="J22" i="9"/>
  <c r="K22" i="9"/>
  <c r="L22" i="9"/>
  <c r="M22" i="9"/>
  <c r="N22" i="9"/>
  <c r="J22" i="11"/>
  <c r="O22" i="9"/>
  <c r="A23" i="9"/>
  <c r="D23" i="9"/>
  <c r="E23" i="9"/>
  <c r="G23" i="9"/>
  <c r="H23" i="9"/>
  <c r="I23" i="9"/>
  <c r="J23" i="9"/>
  <c r="K23" i="9"/>
  <c r="L23" i="9"/>
  <c r="M23" i="9"/>
  <c r="N23" i="9"/>
  <c r="J23" i="11"/>
  <c r="O23" i="9"/>
  <c r="A24" i="9"/>
  <c r="D24" i="9"/>
  <c r="E24" i="9"/>
  <c r="G24" i="9"/>
  <c r="H24" i="9"/>
  <c r="I24" i="9"/>
  <c r="J24" i="9"/>
  <c r="K24" i="9"/>
  <c r="L24" i="9"/>
  <c r="M24" i="9"/>
  <c r="N24" i="9"/>
  <c r="J24" i="11"/>
  <c r="O24" i="9"/>
  <c r="A25" i="9"/>
  <c r="D25" i="9"/>
  <c r="E25" i="9"/>
  <c r="G25" i="9"/>
  <c r="H25" i="9"/>
  <c r="I25" i="9"/>
  <c r="J25" i="9"/>
  <c r="K25" i="9"/>
  <c r="L25" i="9"/>
  <c r="M25" i="9"/>
  <c r="N25" i="9"/>
  <c r="J25" i="11"/>
  <c r="O25" i="9"/>
  <c r="A26" i="9"/>
  <c r="D26" i="9"/>
  <c r="E26" i="9"/>
  <c r="G26" i="9"/>
  <c r="H26" i="9"/>
  <c r="I26" i="9"/>
  <c r="J26" i="9"/>
  <c r="K26" i="9"/>
  <c r="L26" i="9"/>
  <c r="M26" i="9"/>
  <c r="N26" i="9"/>
  <c r="J26" i="11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A28" i="9"/>
  <c r="D28" i="9"/>
  <c r="E28" i="9"/>
  <c r="G28" i="9"/>
  <c r="H28" i="9"/>
  <c r="I28" i="9"/>
  <c r="J28" i="9"/>
  <c r="K28" i="9"/>
  <c r="L28" i="9"/>
  <c r="M28" i="9"/>
  <c r="N28" i="9"/>
  <c r="O28" i="9"/>
  <c r="G4" i="10"/>
  <c r="H4" i="10"/>
  <c r="I4" i="10"/>
  <c r="J4" i="10"/>
  <c r="K4" i="10"/>
  <c r="L4" i="10"/>
  <c r="M4" i="10"/>
  <c r="M13" i="10"/>
  <c r="M21" i="10"/>
  <c r="N21" i="10"/>
  <c r="Q21" i="10"/>
  <c r="P21" i="10"/>
  <c r="R21" i="10"/>
  <c r="O21" i="10"/>
  <c r="S21" i="10"/>
  <c r="N13" i="10"/>
  <c r="Q13" i="10"/>
  <c r="P13" i="10"/>
  <c r="R13" i="10"/>
  <c r="O13" i="10"/>
  <c r="S13" i="10"/>
  <c r="N4" i="10"/>
  <c r="O4" i="10"/>
  <c r="P4" i="10"/>
  <c r="Q4" i="10"/>
  <c r="R4" i="10"/>
  <c r="S4" i="10"/>
  <c r="T4" i="10"/>
  <c r="U4" i="10"/>
  <c r="V4" i="10"/>
  <c r="W4" i="10"/>
  <c r="X4" i="10"/>
  <c r="Y4" i="10"/>
  <c r="G3" i="10"/>
  <c r="H3" i="10"/>
  <c r="I3" i="10"/>
  <c r="J3" i="10"/>
  <c r="K3" i="10"/>
  <c r="L3" i="10"/>
  <c r="M3" i="10"/>
  <c r="M14" i="10"/>
  <c r="M22" i="10"/>
  <c r="N22" i="10"/>
  <c r="Q22" i="10"/>
  <c r="P22" i="10"/>
  <c r="R22" i="10"/>
  <c r="O22" i="10"/>
  <c r="S22" i="10"/>
  <c r="N14" i="10"/>
  <c r="Q14" i="10"/>
  <c r="P14" i="10"/>
  <c r="R14" i="10"/>
  <c r="O14" i="10"/>
  <c r="S14" i="10"/>
  <c r="N3" i="10"/>
  <c r="O3" i="10"/>
  <c r="P3" i="10"/>
  <c r="Q3" i="10"/>
  <c r="R3" i="10"/>
  <c r="S3" i="10"/>
  <c r="T3" i="10"/>
  <c r="U3" i="10"/>
  <c r="V3" i="10"/>
  <c r="W3" i="10"/>
  <c r="X3" i="10"/>
  <c r="Y3" i="10"/>
  <c r="G5" i="10"/>
  <c r="H5" i="10"/>
  <c r="I5" i="10"/>
  <c r="J5" i="10"/>
  <c r="K5" i="10"/>
  <c r="L5" i="10"/>
  <c r="M5" i="10"/>
  <c r="M15" i="10"/>
  <c r="M2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7" i="10"/>
  <c r="H7" i="10"/>
  <c r="I7" i="10"/>
  <c r="J7" i="10"/>
  <c r="K7" i="10"/>
  <c r="L7" i="10"/>
  <c r="M7" i="10"/>
  <c r="M16" i="10"/>
  <c r="N16" i="10"/>
  <c r="Q16" i="10"/>
  <c r="P16" i="10"/>
  <c r="R16" i="10"/>
  <c r="O16" i="10"/>
  <c r="S16" i="10"/>
  <c r="N7" i="10"/>
  <c r="O7" i="10"/>
  <c r="P7" i="10"/>
  <c r="Q7" i="10"/>
  <c r="R7" i="10"/>
  <c r="S7" i="10"/>
  <c r="T7" i="10"/>
  <c r="U7" i="10"/>
  <c r="V7" i="10"/>
  <c r="W7" i="10"/>
  <c r="X7" i="10"/>
  <c r="Y7" i="10"/>
  <c r="G6" i="10"/>
  <c r="H6" i="10"/>
  <c r="I6" i="10"/>
  <c r="J6" i="10"/>
  <c r="K6" i="10"/>
  <c r="L6" i="10"/>
  <c r="M6" i="10"/>
  <c r="M17" i="10"/>
  <c r="M31" i="10"/>
  <c r="N31" i="10"/>
  <c r="Q31" i="10"/>
  <c r="P31" i="10"/>
  <c r="R31" i="10"/>
  <c r="O31" i="10"/>
  <c r="S31" i="10"/>
  <c r="N17" i="10"/>
  <c r="Q17" i="10"/>
  <c r="P17" i="10"/>
  <c r="R17" i="10"/>
  <c r="O17" i="10"/>
  <c r="S17" i="10"/>
  <c r="N6" i="10"/>
  <c r="O6" i="10"/>
  <c r="P6" i="10"/>
  <c r="Q6" i="10"/>
  <c r="R6" i="10"/>
  <c r="S6" i="10"/>
  <c r="T6" i="10"/>
  <c r="U6" i="10"/>
  <c r="V6" i="10"/>
  <c r="W6" i="10"/>
  <c r="X6" i="10"/>
  <c r="Y6" i="10"/>
  <c r="G8" i="10"/>
  <c r="H8" i="10"/>
  <c r="I8" i="10"/>
  <c r="J8" i="10"/>
  <c r="K8" i="10"/>
  <c r="L8" i="10"/>
  <c r="M8" i="10"/>
  <c r="M18" i="10"/>
  <c r="M32" i="10"/>
  <c r="N32" i="10"/>
  <c r="Q32" i="10"/>
  <c r="P32" i="10"/>
  <c r="R32" i="10"/>
  <c r="O32" i="10"/>
  <c r="S32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M23" i="10"/>
  <c r="N23" i="10"/>
  <c r="Q23" i="10"/>
  <c r="P23" i="10"/>
  <c r="R23" i="10"/>
  <c r="O23" i="10"/>
  <c r="S23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4" i="10"/>
  <c r="N24" i="10"/>
  <c r="Q24" i="10"/>
  <c r="P24" i="10"/>
  <c r="R24" i="10"/>
  <c r="O24" i="10"/>
  <c r="S24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0" i="10"/>
  <c r="M26" i="10"/>
  <c r="N26" i="10"/>
  <c r="Q26" i="10"/>
  <c r="P26" i="10"/>
  <c r="R26" i="10"/>
  <c r="O26" i="10"/>
  <c r="S26" i="10"/>
  <c r="N20" i="10"/>
  <c r="Q20" i="10"/>
  <c r="P20" i="10"/>
  <c r="R20" i="10"/>
  <c r="O20" i="10"/>
  <c r="S20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E2" i="9"/>
  <c r="Y3" i="7"/>
  <c r="Y4" i="7"/>
  <c r="Y2" i="7"/>
  <c r="X2" i="1"/>
  <c r="W2" i="7"/>
  <c r="A3" i="7"/>
  <c r="D3" i="7"/>
  <c r="E3" i="7"/>
  <c r="F3" i="7"/>
  <c r="H3" i="7"/>
  <c r="I3" i="7"/>
  <c r="J3" i="7"/>
  <c r="N3" i="7"/>
  <c r="O3" i="7"/>
  <c r="P3" i="7"/>
  <c r="Q3" i="7"/>
  <c r="R3" i="7"/>
  <c r="U3" i="7"/>
  <c r="W3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AD22" i="1"/>
  <c r="AF22" i="1"/>
  <c r="AI22" i="1"/>
  <c r="AG22" i="1"/>
  <c r="AE22" i="1"/>
  <c r="X22" i="1"/>
  <c r="V22" i="1"/>
  <c r="T22" i="1"/>
  <c r="Q22" i="1"/>
  <c r="P22" i="1"/>
  <c r="O22" i="1"/>
  <c r="N22" i="1"/>
  <c r="M22" i="1"/>
  <c r="H22" i="1"/>
  <c r="J22" i="1"/>
  <c r="I22" i="1"/>
  <c r="D22" i="1"/>
  <c r="F22" i="1"/>
  <c r="E22" i="1"/>
  <c r="A22" i="1"/>
  <c r="AD21" i="1"/>
  <c r="AF21" i="1"/>
  <c r="AI21" i="1"/>
  <c r="AG21" i="1"/>
  <c r="AE21" i="1"/>
  <c r="X21" i="1"/>
  <c r="V21" i="1"/>
  <c r="T21" i="1"/>
  <c r="Q21" i="1"/>
  <c r="P21" i="1"/>
  <c r="O21" i="1"/>
  <c r="N21" i="1"/>
  <c r="M21" i="1"/>
  <c r="H21" i="1"/>
  <c r="J21" i="1"/>
  <c r="I21" i="1"/>
  <c r="D21" i="1"/>
  <c r="F21" i="1"/>
  <c r="E21" i="1"/>
  <c r="A21" i="1"/>
  <c r="AD20" i="1"/>
  <c r="AF20" i="1"/>
  <c r="AI20" i="1"/>
  <c r="AG20" i="1"/>
  <c r="AE20" i="1"/>
  <c r="X20" i="1"/>
  <c r="V20" i="1"/>
  <c r="T20" i="1"/>
  <c r="Q20" i="1"/>
  <c r="P20" i="1"/>
  <c r="O20" i="1"/>
  <c r="N20" i="1"/>
  <c r="M20" i="1"/>
  <c r="H20" i="1"/>
  <c r="J20" i="1"/>
  <c r="I20" i="1"/>
  <c r="D20" i="1"/>
  <c r="F20" i="1"/>
  <c r="E20" i="1"/>
  <c r="A20" i="1"/>
  <c r="AD19" i="1"/>
  <c r="AF19" i="1"/>
  <c r="AI19" i="1"/>
  <c r="AG19" i="1"/>
  <c r="AE19" i="1"/>
  <c r="X19" i="1"/>
  <c r="V19" i="1"/>
  <c r="T19" i="1"/>
  <c r="Q19" i="1"/>
  <c r="P19" i="1"/>
  <c r="O19" i="1"/>
  <c r="N19" i="1"/>
  <c r="M19" i="1"/>
  <c r="H19" i="1"/>
  <c r="J19" i="1"/>
  <c r="I19" i="1"/>
  <c r="D19" i="1"/>
  <c r="F19" i="1"/>
  <c r="E19" i="1"/>
  <c r="A19" i="1"/>
  <c r="AD18" i="1"/>
  <c r="AF18" i="1"/>
  <c r="AI18" i="1"/>
  <c r="AG18" i="1"/>
  <c r="AE18" i="1"/>
  <c r="X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D16" i="1"/>
  <c r="AF16" i="1"/>
  <c r="AI16" i="1"/>
  <c r="AG16" i="1"/>
  <c r="AE16" i="1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X5" i="1"/>
  <c r="X6" i="1"/>
  <c r="X7" i="1"/>
  <c r="X8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AD5" i="1"/>
  <c r="AE5" i="1"/>
  <c r="AF5" i="1"/>
  <c r="AG5" i="1"/>
  <c r="AI5" i="1"/>
  <c r="A6" i="1"/>
  <c r="D6" i="1"/>
  <c r="E6" i="1"/>
  <c r="F6" i="1"/>
  <c r="H6" i="1"/>
  <c r="I6" i="1"/>
  <c r="J6" i="1"/>
  <c r="M6" i="1"/>
  <c r="N6" i="1"/>
  <c r="O6" i="1"/>
  <c r="P6" i="1"/>
  <c r="Q6" i="1"/>
  <c r="T6" i="1"/>
  <c r="V6" i="1"/>
  <c r="AD6" i="1"/>
  <c r="AE6" i="1"/>
  <c r="AF6" i="1"/>
  <c r="AG6" i="1"/>
  <c r="AI6" i="1"/>
  <c r="A7" i="1"/>
  <c r="D7" i="1"/>
  <c r="E7" i="1"/>
  <c r="F7" i="1"/>
  <c r="H7" i="1"/>
  <c r="I7" i="1"/>
  <c r="J7" i="1"/>
  <c r="M7" i="1"/>
  <c r="N7" i="1"/>
  <c r="O7" i="1"/>
  <c r="P7" i="1"/>
  <c r="Q7" i="1"/>
  <c r="T7" i="1"/>
  <c r="V7" i="1"/>
  <c r="AD7" i="1"/>
  <c r="AE7" i="1"/>
  <c r="AF7" i="1"/>
  <c r="AG7" i="1"/>
  <c r="AI7" i="1"/>
  <c r="A8" i="1"/>
  <c r="D8" i="1"/>
  <c r="E8" i="1"/>
  <c r="F8" i="1"/>
  <c r="H8" i="1"/>
  <c r="I8" i="1"/>
  <c r="J8" i="1"/>
  <c r="M8" i="1"/>
  <c r="N8" i="1"/>
  <c r="O8" i="1"/>
  <c r="P8" i="1"/>
  <c r="Q8" i="1"/>
  <c r="T8" i="1"/>
  <c r="V8" i="1"/>
  <c r="AD8" i="1"/>
  <c r="AE8" i="1"/>
  <c r="AF8" i="1"/>
  <c r="AG8" i="1"/>
  <c r="AI8" i="1"/>
  <c r="H2" i="1"/>
  <c r="H4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U2" i="7"/>
  <c r="V4" i="1"/>
  <c r="V2" i="1"/>
  <c r="T4" i="1"/>
  <c r="T2" i="1"/>
  <c r="E13" i="16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D4" i="1"/>
  <c r="AG4" i="1"/>
  <c r="AF4" i="1"/>
  <c r="AE4" i="1"/>
  <c r="AD2" i="1"/>
  <c r="AG2" i="1"/>
  <c r="AF2" i="1"/>
  <c r="AE2" i="1"/>
  <c r="X4" i="1"/>
  <c r="Q4" i="1"/>
  <c r="P4" i="1"/>
  <c r="O4" i="1"/>
  <c r="N4" i="1"/>
  <c r="M4" i="1"/>
  <c r="Q2" i="1"/>
  <c r="P2" i="1"/>
  <c r="O2" i="1"/>
  <c r="N2" i="1"/>
  <c r="M2" i="1"/>
  <c r="M2" i="10"/>
  <c r="T2" i="10"/>
  <c r="V2" i="10"/>
  <c r="N2" i="10"/>
  <c r="P2" i="10"/>
  <c r="X2" i="10"/>
  <c r="W2" i="10"/>
  <c r="U2" i="10"/>
  <c r="Y2" i="10"/>
  <c r="R2" i="10"/>
  <c r="Q2" i="10"/>
  <c r="O2" i="10"/>
  <c r="S2" i="10"/>
  <c r="AI2" i="1"/>
  <c r="H2" i="7"/>
  <c r="J2" i="7"/>
  <c r="E8" i="16"/>
  <c r="E7" i="16"/>
  <c r="E6" i="16"/>
  <c r="E5" i="16"/>
  <c r="E4" i="16"/>
  <c r="E3" i="16"/>
  <c r="E2" i="16"/>
  <c r="A4" i="1"/>
  <c r="A2" i="1"/>
  <c r="AI4" i="1"/>
  <c r="A2" i="9"/>
  <c r="J4" i="1"/>
  <c r="I4" i="1"/>
  <c r="D4" i="1"/>
  <c r="F4" i="1"/>
  <c r="E4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<sst xmlns="http://schemas.openxmlformats.org/spreadsheetml/2006/main" count="1179" uniqueCount="436">
  <si>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</si>
  <si>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</si>
  <si>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</si>
  <si>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</si>
  <si>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</si>
  <si>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</si>
  <si>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</si>
  <si>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</si>
  <si>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</si>
  <si>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</si>
  <si>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</si>
  <si>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</si>
  <si>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</si>
  <si>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</si>
  <si>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</si>
  <si>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</si>
  <si>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</si>
  <si>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</si>
  <si>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</si>
  <si>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</si>
  <si>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</si>
  <si>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</si>
  <si>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</si>
  <si>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</si>
  <si>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</si>
  <si>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</si>
  <si>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</si>
  <si>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</si>
  <si>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</si>
  <si>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</si>
  <si>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</si>
  <si>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</si>
  <si>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</si>
  <si>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</si>
  <si>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</si>
  <si>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</si>
  <si>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</si>
  <si>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</si>
  <si>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</si>
  <si>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</si>
  <si>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</si>
  <si>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</si>
  <si>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</si>
  <si>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</si>
  <si>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</si>
  <si>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</si>
  <si>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</si>
  <si>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</si>
  <si>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</si>
  <si>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</si>
  <si>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</si>
  <si>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</si>
  <si>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</si>
  <si>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</si>
  <si>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</si>
  <si>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</si>
  <si>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</si>
  <si>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</si>
  <si>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</si>
  <si>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</si>
  <si>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</si>
  <si>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</si>
  <si>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</si>
  <si>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</si>
  <si>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</si>
  <si>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</si>
  <si>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</si>
  <si>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</si>
  <si>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</si>
  <si>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</si>
  <si>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</si>
  <si>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</si>
  <si>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</si>
  <si>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</si>
  <si>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</si>
  <si>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</si>
  <si>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</si>
  <si>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</si>
  <si>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</si>
  <si>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</si>
  <si>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</si>
  <si>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</si>
  <si>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</si>
  <si>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</si>
  <si>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</si>
  <si>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</si>
  <si>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</si>
  <si>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</si>
  <si>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</si>
  <si>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</si>
  <si>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</si>
  <si>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</si>
  <si>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</si>
  <si>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</si>
  <si>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</si>
  <si>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</si>
  <si>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</si>
  <si>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</si>
  <si>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</si>
  <si>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</si>
  <si>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</si>
  <si>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</si>
  <si>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</si>
  <si>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</si>
  <si>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</si>
  <si>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</si>
  <si>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</si>
  <si>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</si>
  <si>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</si>
  <si>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</si>
  <si>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</si>
  <si>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</si>
  <si>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</si>
  <si>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</si>
  <si>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</si>
  <si>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</si>
  <si>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</si>
  <si>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</si>
  <si>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</si>
  <si>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</si>
  <si>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</si>
  <si>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</si>
  <si>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</si>
  <si>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</si>
  <si>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</si>
  <si>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</si>
  <si>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</si>
  <si>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</si>
  <si>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</si>
  <si>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</si>
  <si>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</si>
  <si>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</si>
  <si>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</si>
  <si>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</si>
  <si>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</si>
  <si>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</si>
  <si>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</si>
  <si>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</si>
  <si>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</si>
  <si>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</si>
  <si>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</si>
  <si>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</si>
  <si>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</si>
  <si>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</si>
  <si>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</si>
  <si>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</si>
  <si>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</si>
  <si>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</si>
  <si>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</si>
  <si>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</si>
  <si>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</si>
  <si>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</si>
  <si>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</si>
  <si>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</si>
  <si>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</si>
  <si>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</si>
  <si>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</si>
  <si>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</si>
  <si>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</si>
  <si>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</si>
  <si>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</si>
  <si>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</si>
  <si>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</si>
  <si>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</si>
  <si>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</si>
  <si>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</si>
  <si>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</si>
  <si>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</si>
  <si>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</si>
  <si>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</si>
  <si>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</si>
  <si>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</si>
  <si>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</si>
  <si>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</si>
  <si>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</si>
  <si>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</si>
  <si>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</si>
  <si>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</si>
  <si>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</si>
  <si>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</si>
  <si>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</si>
  <si>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</si>
  <si>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</si>
  <si>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</si>
  <si>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</si>
  <si>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</si>
  <si>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</si>
  <si>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</si>
  <si>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</si>
  <si>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</si>
  <si>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</si>
  <si>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</si>
  <si>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</si>
  <si>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</si>
  <si>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</si>
  <si>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</si>
  <si>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</si>
  <si>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</si>
  <si>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</si>
  <si>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</si>
  <si>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</si>
  <si>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</si>
  <si>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</si>
  <si>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</si>
  <si>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</si>
  <si>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</si>
  <si>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</si>
  <si>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</si>
  <si>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</si>
  <si>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</si>
  <si>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</si>
  <si>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</si>
  <si>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</si>
  <si>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</si>
  <si>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</si>
  <si>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</si>
  <si>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</si>
  <si>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</si>
  <si>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</si>
  <si>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</si>
  <si>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</si>
  <si>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</si>
  <si>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</si>
  <si>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</si>
  <si>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</si>
  <si>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</si>
  <si>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</si>
  <si>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</si>
  <si>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</si>
  <si>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</si>
  <si>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</si>
  <si>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</si>
  <si>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</si>
  <si>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</si>
  <si>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</si>
  <si>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</si>
  <si>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</si>
  <si>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</si>
  <si>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</si>
  <si>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</si>
  <si>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</si>
  <si>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</si>
  <si>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</si>
  <si>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</si>
  <si>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</si>
  <si>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</si>
  <si>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</si>
  <si>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</si>
  <si>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</si>
  <si>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</si>
  <si>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old</t>
  </si>
  <si>
    <t>侵入者ハッケン
スキャン中デス</t>
    <phoneticPr fontId="5"/>
  </si>
  <si>
    <t>null</t>
    <phoneticPr fontId="5"/>
  </si>
  <si>
    <t>狐の祟り</t>
    <phoneticPr fontId="5"/>
  </si>
  <si>
    <t>[effect:spread, val:0.28]</t>
    <phoneticPr fontId="5"/>
  </si>
  <si>
    <t>[effect:degrade_unit, target:unit_all, turn:2, status:heal, val:0.5, calc:mul, animation:degrade_unit_all_heal],[effect:rush, count:1, val:0.9]</t>
    <phoneticPr fontId="5"/>
  </si>
  <si>
    <t>クリティカル！</t>
    <phoneticPr fontId="5"/>
  </si>
  <si>
    <t>[effect:sleep, target:unit_one, turn:1, rate:1, animation:sleep02]</t>
    <phoneticPr fontId="5"/>
  </si>
  <si>
    <t>[effect:virus, turn:-1, rate:1, val:0.1, animation:enemy_virus],[effect:rush, count:1, val:0.9]</t>
    <phoneticPr fontId="5"/>
  </si>
  <si>
    <t>状態異常耐性</t>
    <phoneticPr fontId="5"/>
  </si>
  <si>
    <t>ユニット単体に1ターンスキルバインド</t>
    <phoneticPr fontId="5"/>
  </si>
  <si>
    <t>3回連続攻撃</t>
    <phoneticPr fontId="5"/>
  </si>
  <si>
    <t>攻撃力UP</t>
    <phoneticPr fontId="5"/>
  </si>
  <si>
    <t>2ターンユニット全体の回復力50%DOWN+単体攻撃</t>
    <phoneticPr fontId="5"/>
  </si>
  <si>
    <t>全体攻撃</t>
    <phoneticPr fontId="5"/>
  </si>
  <si>
    <t>サンダーバードの攻撃頻度UP</t>
    <phoneticPr fontId="5"/>
  </si>
  <si>
    <t>解除するまでウィルス</t>
    <phoneticPr fontId="5"/>
  </si>
  <si>
    <t>解除するまでウィルス</t>
    <phoneticPr fontId="5"/>
  </si>
  <si>
    <t>解除するまでウィルス+単体攻撃</t>
    <phoneticPr fontId="5"/>
  </si>
  <si>
    <t>ランダムで緑パネルに8個変換+単体攻撃</t>
    <phoneticPr fontId="5"/>
  </si>
  <si>
    <t>全てのプラス効果を解除</t>
    <phoneticPr fontId="5"/>
  </si>
  <si>
    <t>ユニット単体に1ターンスリープ</t>
    <phoneticPr fontId="5"/>
  </si>
  <si>
    <t>[effect:rush, count:1, val:1.45],[effect:freq_turn, target:myself, turn:-1, val:1, animation:enemy_freq_turn]</t>
    <phoneticPr fontId="5"/>
  </si>
  <si>
    <t>[effect:rush, count:1, val:1.55]</t>
    <phoneticPr fontId="5"/>
  </si>
  <si>
    <t>[effect:rush, count:1, val:1.28]</t>
    <phoneticPr fontId="5"/>
  </si>
  <si>
    <t>[effect:rush, count:1, val:0.9],[effect:freq_turn, target:myself, turn:1, val:1, animation:enemy_freq_turn]</t>
    <phoneticPr fontId="5"/>
  </si>
  <si>
    <t>1ターン自身の攻撃頻度UP+
単体攻撃</t>
    <phoneticPr fontId="5"/>
  </si>
  <si>
    <t>風おこし</t>
    <phoneticPr fontId="5"/>
  </si>
  <si>
    <t>秘すれば茶</t>
    <phoneticPr fontId="5"/>
  </si>
  <si>
    <t>茶葉収穫祭</t>
    <phoneticPr fontId="5"/>
  </si>
  <si>
    <t>柄杓の舞</t>
    <phoneticPr fontId="5"/>
  </si>
  <si>
    <t>[effect:rush, count:6, val:0.19]</t>
    <phoneticPr fontId="5"/>
  </si>
  <si>
    <t>6回連続攻撃</t>
    <phoneticPr fontId="5"/>
  </si>
  <si>
    <t>後から苦〜いのが
じわじわくるのじゃ！</t>
    <phoneticPr fontId="5"/>
  </si>
  <si>
    <t>おかわりはいかがかな</t>
    <phoneticPr fontId="5"/>
  </si>
  <si>
    <t>眠りの香合</t>
    <phoneticPr fontId="5"/>
  </si>
  <si>
    <t>必中真剣・詠</t>
    <phoneticPr fontId="5"/>
  </si>
  <si>
    <t>必中真剣・序</t>
    <phoneticPr fontId="5"/>
  </si>
  <si>
    <t>必中真剣・破</t>
    <phoneticPr fontId="5"/>
  </si>
  <si>
    <t>必中真剣・急</t>
    <phoneticPr fontId="5"/>
  </si>
  <si>
    <t>必中真剣・終</t>
    <phoneticPr fontId="5"/>
  </si>
  <si>
    <t>神速の舞</t>
    <phoneticPr fontId="5"/>
  </si>
  <si>
    <t>大旋風</t>
    <phoneticPr fontId="5"/>
  </si>
  <si>
    <t>雷鳥の翼</t>
    <phoneticPr fontId="5"/>
  </si>
  <si>
    <t>みなぎる闘志</t>
    <phoneticPr fontId="5"/>
  </si>
  <si>
    <t>[effect:damage_anti_abnormal, target:unit_all, color:yellow, target_effect01:virus, val1:0.38, val2:0.1]</t>
    <phoneticPr fontId="5"/>
  </si>
  <si>
    <t>[effect:force_change_block, new_block:block_green, target:block_all, ignore01:crash, ignore02:crack_bomb, ignore03:color_break, ignore04:block_green, count:8, val:0, animation:change_block],[effect:rush, count:1, val:0.9]</t>
    <phoneticPr fontId="5"/>
  </si>
  <si>
    <t>[effect:rush, count:3, val:0.42]</t>
    <phoneticPr fontId="5"/>
  </si>
  <si>
    <t>[effect:rush, count:1, val:1.69]</t>
    <phoneticPr fontId="5"/>
  </si>
  <si>
    <t>利休様のお茶
飲んだことある？</t>
    <phoneticPr fontId="5"/>
  </si>
  <si>
    <t>治癒封じ</t>
    <phoneticPr fontId="5"/>
  </si>
  <si>
    <t>茶筅乱舞</t>
    <phoneticPr fontId="5"/>
  </si>
  <si>
    <t>4回連続攻撃</t>
    <phoneticPr fontId="5"/>
  </si>
  <si>
    <t>7回連続攻撃</t>
    <phoneticPr fontId="5"/>
  </si>
  <si>
    <t>[effect:rush, count:4, val:0.34]</t>
    <phoneticPr fontId="5"/>
  </si>
  <si>
    <t>緑パネルを吸収して攻撃</t>
    <phoneticPr fontId="5"/>
  </si>
  <si>
    <t>豊臣のため…
いまだお若い殿のため…！</t>
    <phoneticPr fontId="5"/>
  </si>
  <si>
    <t>熱々茶釜</t>
    <phoneticPr fontId="5"/>
  </si>
  <si>
    <t>ja</t>
    <phoneticPr fontId="5"/>
  </si>
  <si>
    <t>袖振り舞</t>
    <phoneticPr fontId="5"/>
  </si>
  <si>
    <t>参った　降参じゃ！</t>
    <phoneticPr fontId="5"/>
  </si>
  <si>
    <t>追毒の湯</t>
    <phoneticPr fontId="5"/>
  </si>
  <si>
    <t>信長殿が取り逃がした天下を…
我らが必ず！</t>
    <phoneticPr fontId="5"/>
  </si>
  <si>
    <t>ふむ　ここが
バビロニア・タワー…</t>
    <phoneticPr fontId="5"/>
  </si>
  <si>
    <t>30043_1</t>
  </si>
  <si>
    <t>everyone</t>
  </si>
  <si>
    <t>null</t>
  </si>
  <si>
    <t>link</t>
  </si>
  <si>
    <t>unit</t>
  </si>
  <si>
    <t>30043_2</t>
  </si>
  <si>
    <t>30043_3</t>
  </si>
  <si>
    <t>2015-03-27 00:00:00</t>
  </si>
  <si>
    <t>2970-01-01 09:00:00</t>
  </si>
  <si>
    <t>2015-03-27 00:00:01</t>
  </si>
  <si>
    <t>2970-01-01 09:00:01</t>
  </si>
  <si>
    <t>2015-03-27 00:00:02</t>
  </si>
  <si>
    <t>2970-01-01 09:00:02</t>
  </si>
  <si>
    <t>2015-03-27 00:00:03</t>
  </si>
  <si>
    <t>2970-01-01 09:00:03</t>
  </si>
  <si>
    <t>2015-03-27 00:00:04</t>
  </si>
  <si>
    <t>2970-01-01 09:00:04</t>
  </si>
  <si>
    <t>2015-03-27 00:00:05</t>
  </si>
  <si>
    <t>2970-01-01 09:00:05</t>
  </si>
  <si>
    <t>2015-03-27 00:00:06</t>
  </si>
  <si>
    <t>2970-01-01 09:00:06</t>
  </si>
  <si>
    <t>2015-03-27 00:00:07</t>
  </si>
  <si>
    <t>2970-01-01 09:00:07</t>
  </si>
  <si>
    <t>2015-03-27 00:00:08</t>
  </si>
  <si>
    <t>2970-01-01 09:00:08</t>
  </si>
  <si>
    <t>2015-03-27 00:00:09</t>
  </si>
  <si>
    <t>2970-01-01 09:00:09</t>
  </si>
  <si>
    <t>2015-03-27 00:00:10</t>
  </si>
  <si>
    <t>2970-01-01 09:00:10</t>
  </si>
  <si>
    <t>2015-03-27 00:00:11</t>
  </si>
  <si>
    <t>2970-01-01 09:00:11</t>
  </si>
  <si>
    <t>2015-03-27 00:00:12</t>
  </si>
  <si>
    <t>2970-01-01 09:00:12</t>
  </si>
  <si>
    <t>2015-03-27 00:00:13</t>
  </si>
  <si>
    <t>2970-01-01 09:00:13</t>
  </si>
  <si>
    <t>2015-03-27 00:00:14</t>
  </si>
  <si>
    <t>2970-01-01 09:00:14</t>
  </si>
  <si>
    <t>2015-03-27 00:00:15</t>
  </si>
  <si>
    <t>2970-01-01 09:00:15</t>
  </si>
  <si>
    <t>2015-03-27 00:00:16</t>
  </si>
  <si>
    <t>2970-01-01 09:00:16</t>
  </si>
  <si>
    <t>2015-03-27 00:00:17</t>
  </si>
  <si>
    <t>2970-01-01 09:00:17</t>
  </si>
  <si>
    <t>2015-03-27 00:00:18</t>
  </si>
  <si>
    <t>2970-01-01 09:00:18</t>
  </si>
  <si>
    <t>2015-03-27 00:00:19</t>
  </si>
  <si>
    <t>2970-01-01 09:00:19</t>
  </si>
  <si>
    <t>2015-03-27 00:00:20</t>
  </si>
  <si>
    <t>2970-01-01 09:00:20</t>
  </si>
  <si>
    <t>2015-03-27 00:00:21</t>
  </si>
  <si>
    <t>2970-01-01 09:00:21</t>
  </si>
  <si>
    <t>2015-03-27 00:00:22</t>
  </si>
  <si>
    <t>2970-01-01 09:00:22</t>
  </si>
  <si>
    <t>2015-03-27 00:00:23</t>
  </si>
  <si>
    <t>2970-01-01 09:00:23</t>
  </si>
  <si>
    <t>2015-03-27 00:00:24</t>
  </si>
  <si>
    <t>2970-01-01 09:00:24</t>
  </si>
  <si>
    <t>2015-03-27 00:00:25</t>
  </si>
  <si>
    <t>2970-01-01 09:00:25</t>
  </si>
  <si>
    <t>2015-03-27 00:00:26</t>
  </si>
  <si>
    <t>2970-01-01 09:00:26</t>
  </si>
  <si>
    <t>2015-03-27 00:00:27</t>
  </si>
  <si>
    <t>2970-01-01 09:00:27</t>
  </si>
  <si>
    <t>2015-03-27 00:00:28</t>
  </si>
  <si>
    <t>2970-01-01 09:00:28</t>
  </si>
  <si>
    <t>2015-03-27 00:00:29</t>
  </si>
  <si>
    <t>2970-01-01 09:00:29</t>
  </si>
  <si>
    <t>2015-03-27 00:00:30</t>
  </si>
  <si>
    <t>2970-01-01 09:00:30</t>
  </si>
  <si>
    <t>2015-03-27 00:00:31</t>
  </si>
  <si>
    <t>2970-01-01 09:00:31</t>
  </si>
  <si>
    <t>むむっ　私としたことが…
見つかってしまうとは</t>
    <phoneticPr fontId="5"/>
  </si>
  <si>
    <t>警備AIの相手は頼みますぞ！</t>
    <phoneticPr fontId="5"/>
  </si>
  <si>
    <t>ほっほ
三十六計逃げるに如かず、ですな！</t>
    <phoneticPr fontId="5"/>
  </si>
  <si>
    <t>おお、追いつかれてしまった
なに…まずは一服されよ</t>
    <phoneticPr fontId="5"/>
  </si>
  <si>
    <t>データは取れた…
半兵衛殿　後は頼みますぞい…</t>
    <phoneticPr fontId="5"/>
  </si>
  <si>
    <t>必ずや　殿を
天下人にしてみせましょうぞ！</t>
    <phoneticPr fontId="5"/>
  </si>
  <si>
    <t>1フロア目のエネミーは
スキルバインドを放つほかに
特に厄介な攻撃はしません
1体ずつ確実に倒しましょう</t>
    <phoneticPr fontId="5"/>
  </si>
  <si>
    <t>2フロア目でテマリから倒した場合
タマモが強力なウィルスを放ちます
ウィルスの対処ができない場合は
タマモから先に倒しましょう</t>
    <phoneticPr fontId="5"/>
  </si>
  <si>
    <t>3フロア目のサンダーバードは
沢庵のスキルによって行動頻度がUPします
サンダーバードを優先して倒しましょう</t>
    <phoneticPr fontId="5"/>
  </si>
  <si>
    <t>3フロア目の沢庵の攻撃は
ターンが経過するにつれ強くなります
スキルやフィーバーを使って
素早く倒しましょう</t>
    <phoneticPr fontId="5"/>
  </si>
  <si>
    <t>1ゲージ目の千利休の
緑パネル吸収攻撃が強力です
盤面の緑パネルを優先的に処理し
ダメージを抑えましょう</t>
    <phoneticPr fontId="5"/>
  </si>
  <si>
    <t>2ゲージ目の千利休のウィルス攻撃は
ターン経過で威力が増していきます
スキルやフィーバーを使って
素早く倒しましょう</t>
    <phoneticPr fontId="5"/>
  </si>
  <si>
    <t>[effect:critical, val:1.58, animation:enemy_critical]</t>
    <phoneticPr fontId="5"/>
  </si>
  <si>
    <t>豊臣の勢力拡大のため…
この施設のAIたちが必要なのです</t>
    <phoneticPr fontId="5"/>
  </si>
  <si>
    <t>[effect:rush, count:7, val:0.18]</t>
    <phoneticPr fontId="5"/>
  </si>
  <si>
    <t>[effect:break_attack_fix, target:unit_all, val:110, lowest_val:600, count:-1, color:yellow, block01:block_green]</t>
    <phoneticPr fontId="5"/>
  </si>
  <si>
    <t>だんだん強くなる単体攻撃</t>
    <phoneticPr fontId="5"/>
  </si>
  <si>
    <t>だんだん強くなる単体攻撃</t>
    <phoneticPr fontId="5"/>
  </si>
  <si>
    <t>だんだん強くなる単体攻撃+自身の攻撃頻度UP</t>
    <phoneticPr fontId="5"/>
  </si>
  <si>
    <t>だんだん強くなる単体攻撃</t>
    <phoneticPr fontId="5"/>
  </si>
  <si>
    <t>クリティカル！</t>
    <phoneticPr fontId="5"/>
  </si>
  <si>
    <t>5ターンウィルス</t>
    <phoneticPr fontId="5"/>
  </si>
  <si>
    <t>5ターンウィルス</t>
    <phoneticPr fontId="5"/>
  </si>
  <si>
    <t>解除するまでウィルス</t>
    <phoneticPr fontId="5"/>
  </si>
  <si>
    <t>解除するまでウィルス+クリティカル！</t>
    <phoneticPr fontId="5"/>
  </si>
  <si>
    <t>解除するまでウィルス+クリティカル！</t>
    <phoneticPr fontId="5"/>
  </si>
  <si>
    <t>ウィルス状態のユニットに大ダメージの全体攻撃</t>
    <phoneticPr fontId="5"/>
  </si>
  <si>
    <t>いざ尋常に…</t>
  </si>
  <si>
    <t>風おこし</t>
  </si>
  <si>
    <t>必中真剣・序</t>
  </si>
  <si>
    <t>必中真剣・詠</t>
  </si>
  <si>
    <t>必中真剣・破</t>
  </si>
  <si>
    <t>必中真剣・急</t>
  </si>
  <si>
    <t>必中真剣・終</t>
  </si>
  <si>
    <t>[effect:enhance_enemy, target:myself, turn:-1, status:attack, val:0.5, calc:mul, animation:enemy_enhance_attack]</t>
    <phoneticPr fontId="5"/>
  </si>
  <si>
    <t>[effect:freq_turn, target:enemy_animal, turn:-1, val:1, animation:enemy_freq_turn],[effect:fix_speed, target:myself, turn:2]</t>
    <phoneticPr fontId="5"/>
  </si>
  <si>
    <t>[effect:rush, count:1, val:1],[effect:fix_speed, target:myself, turn:2]</t>
    <phoneticPr fontId="5"/>
  </si>
  <si>
    <t>[effect:hungup, target:unit_one, turn:1, rate:1, animation:hungup01]</t>
    <phoneticPr fontId="5"/>
  </si>
  <si>
    <r>
      <rPr>
        <b/>
        <sz val="14"/>
        <color theme="4" tint="0.39997558519241921"/>
        <rFont val="Arial"/>
      </rPr>
      <t>[effect:enemy_message, val1:1.8, val2:2]</t>
    </r>
    <r>
      <rPr>
        <b/>
        <sz val="14"/>
        <color theme="0" tint="-0.34998626667073579"/>
        <rFont val="Arial"/>
      </rPr>
      <t>,[effect:fix_speed, target:myself, turn:1]</t>
    </r>
    <phoneticPr fontId="5"/>
  </si>
  <si>
    <r>
      <rPr>
        <b/>
        <sz val="14"/>
        <color theme="4" tint="0.39997558519241921"/>
        <rFont val="Arial"/>
      </rPr>
      <t>[effect:enemy_message, val1:1.8, val2:2]</t>
    </r>
    <r>
      <rPr>
        <b/>
        <sz val="14"/>
        <color theme="0" tint="-0.34998626667073579"/>
        <rFont val="Arial"/>
      </rPr>
      <t>,[effect:suicide, val:1, dead_type:escape]</t>
    </r>
    <phoneticPr fontId="5"/>
  </si>
  <si>
    <r>
      <rPr>
        <b/>
        <sz val="14"/>
        <color theme="4" tint="0.39997558519241921"/>
        <rFont val="Arial"/>
      </rPr>
      <t>[effect:enemy_message, val1:1.8, val2:2]</t>
    </r>
    <r>
      <rPr>
        <b/>
        <sz val="14"/>
        <color theme="0" tint="-0.34998626667073579"/>
        <rFont val="Arial"/>
      </rPr>
      <t>,[effect:virus, turn:5, rate:1, val:0.06, animation:enemy_virus],[effect:fix_speed, target:myself, turn:2]</t>
    </r>
    <phoneticPr fontId="5"/>
  </si>
  <si>
    <r>
      <rPr>
        <b/>
        <sz val="14"/>
        <color theme="4" tint="0.39997558519241921"/>
        <rFont val="Arial"/>
      </rPr>
      <t>[effect:enemy_message, val1:1.8, val2:2]</t>
    </r>
    <r>
      <rPr>
        <b/>
        <sz val="14"/>
        <color theme="0" tint="-0.34998626667073579"/>
        <rFont val="Arial"/>
      </rPr>
      <t>,[effect:virus, turn:-1, rate:1, val:0.15, animation:enemy_virus]</t>
    </r>
    <phoneticPr fontId="5"/>
  </si>
  <si>
    <r>
      <rPr>
        <b/>
        <sz val="14"/>
        <color theme="4" tint="0.39997558519241921"/>
        <rFont val="Arial"/>
      </rPr>
      <t>[effect:enemy_message, val1:1.8, val2:2]</t>
    </r>
    <r>
      <rPr>
        <b/>
        <sz val="14"/>
        <color theme="0" tint="-0.34998626667073579"/>
        <rFont val="Arial"/>
      </rPr>
      <t>,[effect:virus, turn:5, rate:1, val:0.07, animation:enemy_virus],[effect:fix_speed, target:myself, turn:1]</t>
    </r>
    <phoneticPr fontId="5"/>
  </si>
  <si>
    <r>
      <rPr>
        <b/>
        <sz val="14"/>
        <color theme="4" tint="0.39997558519241921"/>
        <rFont val="Arial"/>
      </rPr>
      <t>[effect:enemy_message, val1:1.9, val2:2]</t>
    </r>
    <r>
      <rPr>
        <b/>
        <sz val="14"/>
        <color theme="0" tint="-0.34998626667073579"/>
        <rFont val="Arial"/>
      </rPr>
      <t>,[effect:virus, turn:-1, rate:1, val:0.12, animation:enemy_virus],[effect:fix_speed, target:myself, turn:1]</t>
    </r>
    <phoneticPr fontId="5"/>
  </si>
  <si>
    <r>
      <rPr>
        <b/>
        <sz val="14"/>
        <color theme="4" tint="0.39997558519241921"/>
        <rFont val="Arial"/>
      </rPr>
      <t>[effect:enemy_message, val1:1.8, val2:2]</t>
    </r>
    <r>
      <rPr>
        <b/>
        <sz val="14"/>
        <color theme="0" tint="-0.34998626667073579"/>
        <rFont val="Arial"/>
      </rPr>
      <t>,[effect:virus, turn:-1, rate:1, val:0.1, animation:enemy_virus],[effect:fix_speed, target:myself, turn:2]</t>
    </r>
    <phoneticPr fontId="5"/>
  </si>
  <si>
    <r>
      <rPr>
        <b/>
        <sz val="14"/>
        <color theme="4" tint="0.39997558519241921"/>
        <rFont val="Arial"/>
      </rPr>
      <t>[effect:enemy_message, val1:1.8, val2:2]</t>
    </r>
    <r>
      <rPr>
        <b/>
        <sz val="14"/>
        <color theme="0" tint="-0.34998626667073579"/>
        <rFont val="Arial"/>
      </rPr>
      <t>,[effect:remove_enhancement, target:unit_all, target_effect:all, target_type:buff, animation:frozen_wave]</t>
    </r>
    <phoneticPr fontId="5"/>
  </si>
  <si>
    <r>
      <rPr>
        <b/>
        <sz val="14"/>
        <color theme="4" tint="0.39997558519241921"/>
        <rFont val="Arial"/>
      </rPr>
      <t>[effect:enemy_message, val1:1.8, val2:2]</t>
    </r>
    <r>
      <rPr>
        <b/>
        <sz val="14"/>
        <color theme="0" tint="-0.34998626667073579"/>
        <rFont val="Arial"/>
      </rPr>
      <t>,[effect:virus, turn:-1, rate:1, val:0.13, animation:enemy_virus],[effect:rush, count:1, val:1.2]</t>
    </r>
    <phoneticPr fontId="5"/>
  </si>
  <si>
    <r>
      <rPr>
        <b/>
        <sz val="14"/>
        <color theme="4" tint="0.39997558519241921"/>
        <rFont val="Arial"/>
      </rPr>
      <t>[effect:enemy_message, val1:1.9, val2:2]</t>
    </r>
    <r>
      <rPr>
        <b/>
        <sz val="14"/>
        <color theme="0" tint="-0.34998626667073579"/>
        <rFont val="Arial"/>
      </rPr>
      <t>,[effect:virus, turn:-1, rate:1, val:0.15, animation:enemy_virus],[effect:rush, count:1, val:1.2]</t>
    </r>
    <phoneticPr fontId="5"/>
  </si>
  <si>
    <r>
      <rPr>
        <b/>
        <sz val="14"/>
        <color theme="4" tint="0.39997558519241921"/>
        <rFont val="Arial"/>
      </rPr>
      <t>[effect:enemy_message, val1:1.8, val2:2.2]</t>
    </r>
    <r>
      <rPr>
        <b/>
        <sz val="14"/>
        <color theme="0" tint="-0.34998626667073579"/>
        <rFont val="Arial"/>
      </rPr>
      <t>,[effect:suicide, val:1, dead_type:suicide]</t>
    </r>
    <phoneticPr fontId="5"/>
  </si>
  <si>
    <r>
      <rPr>
        <b/>
        <sz val="14"/>
        <color theme="4" tint="0.39997558519241921"/>
        <rFont val="Arial"/>
      </rPr>
      <t>[effect:enemy_message, val1:1.8, val2:2]</t>
    </r>
    <r>
      <rPr>
        <b/>
        <sz val="14"/>
        <color theme="0" tint="-0.34998626667073579"/>
        <rFont val="Arial"/>
      </rPr>
      <t>,[effect:tolerance, target:enemy_all, turn:-1, count:-1, tolerance_effect:all, animation:enemy_tolerance],[effect:fix_speed, target:myself, turn:2]</t>
    </r>
    <phoneticPr fontId="5"/>
  </si>
  <si>
    <t>さあ、耐えきってみせろ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</si>
</sst>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b/>
      <sz val="14"/>
      <color theme="0" tint="-0.34998626667073579"/>
      <name val="Arial"/>
    </font>
    <font>
      <b/>
      <sz val="14"/>
      <color theme="4" tint="0.39997558519241921"/>
      <name val="Arial"/>
    </font>
    <font>
      <sz val="10"/>
      <color theme="1" tint="4.9989318521683403E-2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2"/>
      <color theme="7" tint="-0.249977111117893"/>
      <name val="ＭＳ Ｐ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7" tint="0.39997558519241921"/>
        <bgColor indexed="64"/>
      </patternFill>
    </fill>
  </fills>
  <borders count="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double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theme="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 style="double">
        <color theme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theme="1"/>
      </bottom>
      <diagonal/>
    </border>
    <border>
      <left style="thin">
        <color indexed="8"/>
      </left>
      <right/>
      <top/>
      <bottom style="double">
        <color theme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theme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theme="1"/>
      </left>
      <right style="thin">
        <color theme="1"/>
      </right>
      <top style="double">
        <color auto="1"/>
      </top>
      <bottom style="double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theme="1"/>
      </left>
      <right style="thin">
        <color theme="1"/>
      </right>
      <top style="thin">
        <color auto="1"/>
      </top>
      <bottom style="double">
        <color auto="1"/>
      </bottom>
      <diagonal/>
    </border>
  </borders>
  <cellStyleXfs count="74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8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6" fillId="5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vertical="center"/>
    </xf>
    <xf numFmtId="0" fontId="4" fillId="3" borderId="24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0" fontId="4" fillId="0" borderId="26" xfId="0" applyFont="1" applyFill="1" applyBorder="1" applyAlignment="1">
      <alignment vertical="center"/>
    </xf>
    <xf numFmtId="0" fontId="6" fillId="5" borderId="26" xfId="0" applyFont="1" applyFill="1" applyBorder="1" applyAlignment="1">
      <alignment vertical="center"/>
    </xf>
    <xf numFmtId="0" fontId="4" fillId="0" borderId="26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vertical="center"/>
    </xf>
    <xf numFmtId="0" fontId="4" fillId="3" borderId="26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vertical="center"/>
    </xf>
    <xf numFmtId="0" fontId="4" fillId="34" borderId="1" xfId="0" applyFont="1" applyFill="1" applyBorder="1" applyAlignment="1">
      <alignment horizontal="center" vertical="center"/>
    </xf>
    <xf numFmtId="0" fontId="6" fillId="32" borderId="9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4" fillId="34" borderId="12" xfId="0" applyFont="1" applyFill="1" applyBorder="1" applyAlignment="1">
      <alignment horizontal="center" vertical="center"/>
    </xf>
    <xf numFmtId="0" fontId="8" fillId="0" borderId="27" xfId="0" applyFont="1" applyBorder="1" applyAlignment="1">
      <alignment vertical="center"/>
    </xf>
    <xf numFmtId="177" fontId="8" fillId="0" borderId="27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176" fontId="4" fillId="0" borderId="29" xfId="0" applyNumberFormat="1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vertical="center"/>
    </xf>
    <xf numFmtId="0" fontId="4" fillId="34" borderId="24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vertical="center"/>
    </xf>
    <xf numFmtId="0" fontId="8" fillId="0" borderId="31" xfId="0" applyFont="1" applyBorder="1" applyAlignment="1">
      <alignment vertical="center"/>
    </xf>
    <xf numFmtId="1" fontId="32" fillId="31" borderId="24" xfId="0" applyNumberFormat="1" applyFont="1" applyFill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6" fillId="32" borderId="30" xfId="0" applyFont="1" applyFill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16" fillId="0" borderId="8" xfId="0" applyFont="1" applyFill="1" applyBorder="1" applyAlignment="1">
      <alignment vertical="center"/>
    </xf>
    <xf numFmtId="0" fontId="16" fillId="6" borderId="2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right" vertical="center"/>
    </xf>
    <xf numFmtId="0" fontId="24" fillId="33" borderId="7" xfId="434" applyFill="1" applyBorder="1" applyAlignment="1"/>
    <xf numFmtId="0" fontId="4" fillId="35" borderId="6" xfId="0" applyFont="1" applyFill="1" applyBorder="1" applyAlignment="1">
      <alignment vertical="center"/>
    </xf>
    <xf numFmtId="0" fontId="4" fillId="35" borderId="33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0" borderId="40" xfId="0" applyFont="1" applyFill="1" applyBorder="1" applyAlignment="1">
      <alignment horizontal="left" vertical="center"/>
    </xf>
    <xf numFmtId="0" fontId="16" fillId="0" borderId="40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vertical="center"/>
    </xf>
    <xf numFmtId="14" fontId="16" fillId="0" borderId="12" xfId="0" applyNumberFormat="1" applyFont="1" applyFill="1" applyBorder="1" applyAlignment="1">
      <alignment horizontal="left" vertical="center"/>
    </xf>
    <xf numFmtId="0" fontId="16" fillId="3" borderId="40" xfId="0" applyFont="1" applyFill="1" applyBorder="1" applyAlignment="1">
      <alignment horizontal="left" vertical="center" wrapText="1"/>
    </xf>
    <xf numFmtId="0" fontId="16" fillId="3" borderId="40" xfId="0" applyFont="1" applyFill="1" applyBorder="1" applyAlignment="1">
      <alignment vertical="center"/>
    </xf>
    <xf numFmtId="0" fontId="52" fillId="0" borderId="38" xfId="0" applyFont="1" applyBorder="1"/>
    <xf numFmtId="0" fontId="52" fillId="0" borderId="34" xfId="0" applyFont="1" applyBorder="1"/>
    <xf numFmtId="0" fontId="52" fillId="0" borderId="36" xfId="0" applyFont="1" applyBorder="1"/>
    <xf numFmtId="0" fontId="52" fillId="0" borderId="12" xfId="0" applyFont="1" applyBorder="1"/>
    <xf numFmtId="0" fontId="16" fillId="0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right" vertical="center"/>
    </xf>
    <xf numFmtId="0" fontId="16" fillId="0" borderId="40" xfId="0" applyFont="1" applyFill="1" applyBorder="1" applyAlignment="1">
      <alignment vertical="center"/>
    </xf>
    <xf numFmtId="0" fontId="16" fillId="0" borderId="40" xfId="0" applyFont="1" applyFill="1" applyBorder="1" applyAlignment="1">
      <alignment horizontal="right" vertical="center"/>
    </xf>
    <xf numFmtId="0" fontId="16" fillId="36" borderId="7" xfId="0" applyFont="1" applyFill="1" applyBorder="1" applyAlignment="1">
      <alignment horizontal="right" vertical="center"/>
    </xf>
    <xf numFmtId="0" fontId="16" fillId="6" borderId="40" xfId="0" applyFont="1" applyFill="1" applyBorder="1" applyAlignment="1">
      <alignment horizontal="right"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40" xfId="0" applyFont="1" applyFill="1" applyBorder="1" applyAlignment="1">
      <alignment horizontal="left" vertical="center"/>
    </xf>
    <xf numFmtId="0" fontId="16" fillId="0" borderId="41" xfId="0" applyFont="1" applyFill="1" applyBorder="1" applyAlignment="1">
      <alignment vertical="center"/>
    </xf>
    <xf numFmtId="0" fontId="16" fillId="3" borderId="41" xfId="0" applyFont="1" applyFill="1" applyBorder="1" applyAlignment="1">
      <alignment horizontal="left" vertical="center"/>
    </xf>
    <xf numFmtId="0" fontId="16" fillId="3" borderId="41" xfId="0" applyFont="1" applyFill="1" applyBorder="1" applyAlignment="1">
      <alignment vertical="center"/>
    </xf>
    <xf numFmtId="0" fontId="16" fillId="37" borderId="40" xfId="0" applyFont="1" applyFill="1" applyBorder="1" applyAlignment="1">
      <alignment horizontal="left" vertical="center" wrapText="1"/>
    </xf>
    <xf numFmtId="0" fontId="52" fillId="6" borderId="36" xfId="0" applyFont="1" applyFill="1" applyBorder="1"/>
    <xf numFmtId="0" fontId="16" fillId="6" borderId="12" xfId="0" applyFont="1" applyFill="1" applyBorder="1" applyAlignment="1">
      <alignment horizontal="left" vertical="center"/>
    </xf>
    <xf numFmtId="0" fontId="16" fillId="6" borderId="12" xfId="0" applyFont="1" applyFill="1" applyBorder="1" applyAlignment="1">
      <alignment horizontal="left" vertical="center" wrapText="1"/>
    </xf>
    <xf numFmtId="0" fontId="52" fillId="6" borderId="34" xfId="0" applyFont="1" applyFill="1" applyBorder="1"/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6" fillId="32" borderId="11" xfId="0" applyFont="1" applyFill="1" applyBorder="1" applyAlignment="1">
      <alignment vertical="center"/>
    </xf>
    <xf numFmtId="0" fontId="52" fillId="0" borderId="7" xfId="0" applyFont="1" applyBorder="1"/>
    <xf numFmtId="0" fontId="52" fillId="37" borderId="34" xfId="0" applyFont="1" applyFill="1" applyBorder="1"/>
    <xf numFmtId="0" fontId="16" fillId="37" borderId="7" xfId="0" applyFont="1" applyFill="1" applyBorder="1" applyAlignment="1">
      <alignment horizontal="left" vertical="center"/>
    </xf>
    <xf numFmtId="0" fontId="16" fillId="37" borderId="12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vertical="center"/>
    </xf>
    <xf numFmtId="0" fontId="4" fillId="37" borderId="1" xfId="0" applyFont="1" applyFill="1" applyBorder="1" applyAlignment="1">
      <alignment horizontal="center" vertical="center"/>
    </xf>
    <xf numFmtId="0" fontId="11" fillId="0" borderId="43" xfId="0" applyFont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16" fillId="0" borderId="46" xfId="0" applyFont="1" applyFill="1" applyBorder="1" applyAlignment="1">
      <alignment horizontal="left" vertical="center"/>
    </xf>
    <xf numFmtId="0" fontId="16" fillId="0" borderId="46" xfId="0" applyFont="1" applyFill="1" applyBorder="1" applyAlignment="1">
      <alignment horizontal="left" vertical="center" wrapText="1"/>
    </xf>
    <xf numFmtId="0" fontId="52" fillId="0" borderId="44" xfId="0" applyFont="1" applyBorder="1" applyAlignment="1">
      <alignment vertical="center"/>
    </xf>
    <xf numFmtId="0" fontId="16" fillId="0" borderId="35" xfId="0" applyFont="1" applyFill="1" applyBorder="1" applyAlignment="1">
      <alignment vertical="center"/>
    </xf>
    <xf numFmtId="0" fontId="16" fillId="3" borderId="35" xfId="0" applyFont="1" applyFill="1" applyBorder="1" applyAlignment="1">
      <alignment horizontal="left" vertical="center"/>
    </xf>
    <xf numFmtId="0" fontId="16" fillId="3" borderId="35" xfId="0" applyFont="1" applyFill="1" applyBorder="1" applyAlignment="1">
      <alignment vertical="center"/>
    </xf>
    <xf numFmtId="0" fontId="16" fillId="0" borderId="47" xfId="0" applyFont="1" applyFill="1" applyBorder="1" applyAlignment="1">
      <alignment vertical="center"/>
    </xf>
    <xf numFmtId="0" fontId="16" fillId="36" borderId="12" xfId="0" applyFont="1" applyFill="1" applyBorder="1" applyAlignment="1">
      <alignment horizontal="right" vertical="center"/>
    </xf>
    <xf numFmtId="0" fontId="16" fillId="0" borderId="46" xfId="0" applyFont="1" applyFill="1" applyBorder="1" applyAlignment="1">
      <alignment horizontal="right" vertical="center"/>
    </xf>
    <xf numFmtId="0" fontId="52" fillId="0" borderId="48" xfId="0" applyFont="1" applyBorder="1"/>
    <xf numFmtId="0" fontId="52" fillId="0" borderId="50" xfId="0" applyFont="1" applyBorder="1"/>
    <xf numFmtId="0" fontId="16" fillId="0" borderId="2" xfId="0" applyFont="1" applyFill="1" applyBorder="1" applyAlignment="1">
      <alignment horizontal="left" vertical="center"/>
    </xf>
    <xf numFmtId="0" fontId="16" fillId="0" borderId="52" xfId="0" applyFont="1" applyFill="1" applyBorder="1" applyAlignment="1">
      <alignment horizontal="left" vertical="center" wrapText="1"/>
    </xf>
    <xf numFmtId="0" fontId="16" fillId="0" borderId="2" xfId="0" applyFont="1" applyFill="1" applyBorder="1" applyAlignment="1">
      <alignment horizontal="left" vertical="center" wrapText="1"/>
    </xf>
    <xf numFmtId="0" fontId="54" fillId="0" borderId="7" xfId="0" applyFont="1" applyFill="1" applyBorder="1" applyAlignment="1">
      <alignment horizontal="left" vertical="center" wrapText="1"/>
    </xf>
    <xf numFmtId="0" fontId="54" fillId="0" borderId="7" xfId="0" applyFont="1" applyFill="1" applyBorder="1" applyAlignment="1">
      <alignment vertical="center"/>
    </xf>
    <xf numFmtId="0" fontId="54" fillId="0" borderId="7" xfId="0" applyFont="1" applyFill="1" applyBorder="1" applyAlignment="1">
      <alignment horizontal="right" vertical="center"/>
    </xf>
    <xf numFmtId="0" fontId="16" fillId="6" borderId="2" xfId="0" applyFont="1" applyFill="1" applyBorder="1" applyAlignment="1">
      <alignment horizontal="left" vertical="center"/>
    </xf>
    <xf numFmtId="0" fontId="52" fillId="37" borderId="36" xfId="0" applyFont="1" applyFill="1" applyBorder="1"/>
    <xf numFmtId="0" fontId="16" fillId="37" borderId="12" xfId="0" applyFont="1" applyFill="1" applyBorder="1" applyAlignment="1">
      <alignment horizontal="left" vertical="center"/>
    </xf>
    <xf numFmtId="0" fontId="52" fillId="6" borderId="53" xfId="0" applyFont="1" applyFill="1" applyBorder="1"/>
    <xf numFmtId="0" fontId="52" fillId="6" borderId="7" xfId="0" applyFont="1" applyFill="1" applyBorder="1"/>
    <xf numFmtId="0" fontId="52" fillId="6" borderId="38" xfId="0" applyFont="1" applyFill="1" applyBorder="1"/>
    <xf numFmtId="0" fontId="16" fillId="6" borderId="40" xfId="0" applyFont="1" applyFill="1" applyBorder="1" applyAlignment="1">
      <alignment horizontal="left" vertical="center"/>
    </xf>
    <xf numFmtId="0" fontId="16" fillId="6" borderId="40" xfId="0" applyFont="1" applyFill="1" applyBorder="1" applyAlignment="1">
      <alignment horizontal="left" vertical="center" wrapText="1"/>
    </xf>
    <xf numFmtId="0" fontId="16" fillId="6" borderId="41" xfId="0" applyFont="1" applyFill="1" applyBorder="1" applyAlignment="1">
      <alignment horizontal="left" vertical="center" wrapText="1"/>
    </xf>
    <xf numFmtId="177" fontId="8" fillId="0" borderId="54" xfId="0" applyNumberFormat="1" applyFont="1" applyBorder="1" applyAlignment="1">
      <alignment vertical="center"/>
    </xf>
    <xf numFmtId="177" fontId="8" fillId="0" borderId="40" xfId="0" applyNumberFormat="1" applyFont="1" applyBorder="1" applyAlignment="1">
      <alignment vertical="center"/>
    </xf>
    <xf numFmtId="0" fontId="52" fillId="0" borderId="44" xfId="0" applyFont="1" applyBorder="1"/>
    <xf numFmtId="0" fontId="52" fillId="0" borderId="56" xfId="0" applyFont="1" applyBorder="1"/>
    <xf numFmtId="0" fontId="52" fillId="0" borderId="34" xfId="0" applyFont="1" applyBorder="1" applyAlignment="1"/>
    <xf numFmtId="0" fontId="0" fillId="3" borderId="7" xfId="615" applyFont="1" applyFill="1" applyBorder="1"/>
    <xf numFmtId="0" fontId="0" fillId="6" borderId="40" xfId="0" applyFill="1" applyBorder="1"/>
    <xf numFmtId="0" fontId="0" fillId="37" borderId="12" xfId="0" applyFill="1" applyBorder="1"/>
    <xf numFmtId="0" fontId="0" fillId="37" borderId="7" xfId="0" applyFill="1" applyBorder="1"/>
    <xf numFmtId="0" fontId="0" fillId="37" borderId="40" xfId="0" applyFill="1" applyBorder="1"/>
    <xf numFmtId="0" fontId="0" fillId="6" borderId="12" xfId="0" applyFill="1" applyBorder="1"/>
    <xf numFmtId="0" fontId="6" fillId="38" borderId="7" xfId="0" applyFont="1" applyFill="1" applyBorder="1" applyAlignment="1">
      <alignment vertical="center"/>
    </xf>
    <xf numFmtId="0" fontId="56" fillId="6" borderId="7" xfId="0" applyFont="1" applyFill="1" applyBorder="1"/>
    <xf numFmtId="0" fontId="55" fillId="6" borderId="7" xfId="0" applyFont="1" applyFill="1" applyBorder="1"/>
    <xf numFmtId="0" fontId="6" fillId="38" borderId="40" xfId="0" applyFont="1" applyFill="1" applyBorder="1" applyAlignment="1">
      <alignment vertical="center"/>
    </xf>
    <xf numFmtId="0" fontId="56" fillId="6" borderId="40" xfId="0" applyFont="1" applyFill="1" applyBorder="1"/>
    <xf numFmtId="0" fontId="6" fillId="32" borderId="12" xfId="0" applyFont="1" applyFill="1" applyBorder="1" applyAlignment="1">
      <alignment vertical="center"/>
    </xf>
    <xf numFmtId="0" fontId="6" fillId="32" borderId="7" xfId="0" applyFont="1" applyFill="1" applyBorder="1" applyAlignment="1">
      <alignment vertical="center"/>
    </xf>
    <xf numFmtId="0" fontId="56" fillId="37" borderId="7" xfId="0" applyFont="1" applyFill="1" applyBorder="1"/>
    <xf numFmtId="0" fontId="55" fillId="37" borderId="7" xfId="0" applyFont="1" applyFill="1" applyBorder="1"/>
    <xf numFmtId="0" fontId="6" fillId="32" borderId="40" xfId="0" applyFont="1" applyFill="1" applyBorder="1" applyAlignment="1">
      <alignment vertical="center"/>
    </xf>
    <xf numFmtId="0" fontId="56" fillId="37" borderId="40" xfId="0" applyFont="1" applyFill="1" applyBorder="1"/>
    <xf numFmtId="0" fontId="6" fillId="38" borderId="12" xfId="0" applyFont="1" applyFill="1" applyBorder="1" applyAlignment="1">
      <alignment vertical="center"/>
    </xf>
    <xf numFmtId="0" fontId="0" fillId="6" borderId="7" xfId="0" applyFill="1" applyBorder="1" applyAlignment="1">
      <alignment horizontal="right"/>
    </xf>
    <xf numFmtId="0" fontId="0" fillId="6" borderId="40" xfId="0" applyFill="1" applyBorder="1" applyAlignment="1">
      <alignment horizontal="right"/>
    </xf>
    <xf numFmtId="0" fontId="0" fillId="37" borderId="12" xfId="0" applyFill="1" applyBorder="1" applyAlignment="1">
      <alignment horizontal="right"/>
    </xf>
    <xf numFmtId="0" fontId="0" fillId="37" borderId="7" xfId="0" applyFill="1" applyBorder="1" applyAlignment="1">
      <alignment horizontal="right"/>
    </xf>
    <xf numFmtId="0" fontId="0" fillId="37" borderId="40" xfId="0" applyFill="1" applyBorder="1" applyAlignment="1">
      <alignment horizontal="right"/>
    </xf>
    <xf numFmtId="0" fontId="0" fillId="6" borderId="12" xfId="0" applyFill="1" applyBorder="1" applyAlignment="1">
      <alignment horizontal="right"/>
    </xf>
    <xf numFmtId="38" fontId="16" fillId="0" borderId="7" xfId="628" applyFont="1" applyFill="1" applyBorder="1" applyAlignment="1">
      <alignment horizontal="left" vertical="center" wrapText="1"/>
    </xf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38" fontId="16" fillId="0" borderId="12" xfId="628" applyFont="1" applyFill="1" applyBorder="1" applyAlignment="1">
      <alignment horizontal="left" vertical="center" wrapText="1"/>
    </xf>
    <xf numFmtId="0" fontId="0" fillId="0" borderId="12" xfId="0" applyBorder="1"/>
    <xf numFmtId="0" fontId="27" fillId="0" borderId="40" xfId="0" applyFont="1" applyFill="1" applyBorder="1"/>
    <xf numFmtId="0" fontId="28" fillId="0" borderId="40" xfId="0" applyFont="1" applyFill="1" applyBorder="1"/>
    <xf numFmtId="0" fontId="29" fillId="3" borderId="40" xfId="0" applyFont="1" applyFill="1" applyBorder="1" applyAlignment="1">
      <alignment vertical="center"/>
    </xf>
    <xf numFmtId="0" fontId="30" fillId="0" borderId="40" xfId="0" applyFont="1" applyFill="1" applyBorder="1"/>
    <xf numFmtId="0" fontId="29" fillId="0" borderId="40" xfId="0" applyFont="1" applyFill="1" applyBorder="1" applyAlignment="1">
      <alignment vertical="center"/>
    </xf>
    <xf numFmtId="0" fontId="30" fillId="30" borderId="40" xfId="0" applyFont="1" applyFill="1" applyBorder="1"/>
    <xf numFmtId="0" fontId="30" fillId="14" borderId="40" xfId="0" applyFont="1" applyFill="1" applyBorder="1"/>
    <xf numFmtId="0" fontId="31" fillId="0" borderId="40" xfId="0" applyFont="1" applyFill="1" applyBorder="1"/>
    <xf numFmtId="38" fontId="16" fillId="0" borderId="40" xfId="628" applyFont="1" applyFill="1" applyBorder="1" applyAlignment="1">
      <alignment horizontal="left" vertical="center" wrapText="1"/>
    </xf>
    <xf numFmtId="0" fontId="0" fillId="0" borderId="40" xfId="0" applyBorder="1"/>
    <xf numFmtId="38" fontId="16" fillId="6" borderId="7" xfId="628" applyFont="1" applyFill="1" applyBorder="1" applyAlignment="1">
      <alignment horizontal="left" vertical="center" wrapText="1"/>
    </xf>
    <xf numFmtId="38" fontId="16" fillId="6" borderId="40" xfId="628" applyFont="1" applyFill="1" applyBorder="1" applyAlignment="1">
      <alignment horizontal="left" vertical="center" wrapText="1"/>
    </xf>
    <xf numFmtId="38" fontId="16" fillId="6" borderId="12" xfId="628" applyFont="1" applyFill="1" applyBorder="1" applyAlignment="1">
      <alignment horizontal="left" vertical="center" wrapText="1"/>
    </xf>
    <xf numFmtId="0" fontId="16" fillId="39" borderId="10" xfId="0" applyFont="1" applyFill="1" applyBorder="1" applyAlignment="1">
      <alignment horizontal="left" vertical="center"/>
    </xf>
    <xf numFmtId="0" fontId="16" fillId="39" borderId="42" xfId="0" applyFont="1" applyFill="1" applyBorder="1" applyAlignment="1">
      <alignment horizontal="left" vertical="center"/>
    </xf>
    <xf numFmtId="0" fontId="16" fillId="39" borderId="45" xfId="0" applyFont="1" applyFill="1" applyBorder="1" applyAlignment="1">
      <alignment horizontal="left" vertical="center"/>
    </xf>
    <xf numFmtId="0" fontId="16" fillId="39" borderId="37" xfId="0" applyFont="1" applyFill="1" applyBorder="1" applyAlignment="1">
      <alignment horizontal="left" vertical="center"/>
    </xf>
    <xf numFmtId="0" fontId="16" fillId="39" borderId="55" xfId="0" applyFont="1" applyFill="1" applyBorder="1" applyAlignment="1">
      <alignment horizontal="left" vertical="center"/>
    </xf>
    <xf numFmtId="0" fontId="16" fillId="39" borderId="51" xfId="0" applyFont="1" applyFill="1" applyBorder="1" applyAlignment="1">
      <alignment horizontal="left" vertical="center"/>
    </xf>
    <xf numFmtId="0" fontId="16" fillId="39" borderId="7" xfId="0" applyFont="1" applyFill="1" applyBorder="1" applyAlignment="1">
      <alignment horizontal="left" vertical="center"/>
    </xf>
    <xf numFmtId="0" fontId="16" fillId="39" borderId="39" xfId="0" applyFont="1" applyFill="1" applyBorder="1" applyAlignment="1">
      <alignment horizontal="left" vertical="center"/>
    </xf>
    <xf numFmtId="0" fontId="16" fillId="39" borderId="2" xfId="0" applyFont="1" applyFill="1" applyBorder="1" applyAlignment="1">
      <alignment horizontal="left" vertical="center"/>
    </xf>
    <xf numFmtId="0" fontId="16" fillId="39" borderId="49" xfId="0" applyFont="1" applyFill="1" applyBorder="1" applyAlignment="1">
      <alignment horizontal="left" vertical="center"/>
    </xf>
    <xf numFmtId="0" fontId="11" fillId="12" borderId="12" xfId="0" applyFont="1" applyFill="1" applyBorder="1" applyAlignment="1">
      <alignment horizontal="left" vertical="center" wrapText="1"/>
    </xf>
    <xf numFmtId="0" fontId="11" fillId="0" borderId="12" xfId="0" applyFont="1" applyBorder="1" applyAlignment="1">
      <alignment horizontal="left" vertical="center" wrapText="1"/>
    </xf>
    <xf numFmtId="0" fontId="16" fillId="0" borderId="35" xfId="0" applyFont="1" applyFill="1" applyBorder="1" applyAlignment="1">
      <alignment horizontal="right" vertical="center"/>
    </xf>
  </cellXfs>
  <cellStyles count="74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workbookViewId="0">
      <selection activeCell="C22" sqref="C2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150" t="s">
        <v>250</v>
      </c>
      <c r="B2" s="57" t="s">
        <v>107</v>
      </c>
      <c r="C2" s="61">
        <v>30046</v>
      </c>
      <c r="D2" s="57" t="s">
        <v>108</v>
      </c>
      <c r="E2" s="56" t="str">
        <f>B2&amp;C2&amp;D2</f>
        <v>floors_30046.tmp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150" t="s">
        <v>250</v>
      </c>
      <c r="B3" s="57" t="s">
        <v>110</v>
      </c>
      <c r="C3" s="61">
        <v>30046</v>
      </c>
      <c r="D3" s="57" t="s">
        <v>108</v>
      </c>
      <c r="E3" s="56" t="str">
        <f>B3&amp;C3&amp;D3</f>
        <v>enemy_habitats_30046.tmp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177</v>
      </c>
    </row>
    <row r="4" spans="1:30" x14ac:dyDescent="0.15">
      <c r="A4" s="150" t="s">
        <v>250</v>
      </c>
      <c r="B4" s="57" t="s">
        <v>112</v>
      </c>
      <c r="C4" s="61">
        <v>30046</v>
      </c>
      <c r="D4" s="57" t="s">
        <v>108</v>
      </c>
      <c r="E4" s="56" t="str">
        <f>B4&amp;C4&amp;D4</f>
        <v>enemy_habitat_S_30046.tmp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150" t="s">
        <v>250</v>
      </c>
      <c r="B5" s="57" t="s">
        <v>114</v>
      </c>
      <c r="C5" s="61">
        <v>30046</v>
      </c>
      <c r="D5" s="57" t="s">
        <v>108</v>
      </c>
      <c r="E5" s="56" t="str">
        <f>B5&amp;C5&amp;D5</f>
        <v>enemy_skill_sets_30046.tmp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150" t="s">
        <v>250</v>
      </c>
      <c r="B6" s="57" t="s">
        <v>116</v>
      </c>
      <c r="C6" s="61">
        <v>30046</v>
      </c>
      <c r="D6" s="57" t="s">
        <v>117</v>
      </c>
      <c r="E6" s="56" t="str">
        <f t="shared" ref="E6:E10" si="0">B6&amp;C6&amp;D6</f>
        <v>enemy_skills_tmp_30046.tmp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150" t="s">
        <v>250</v>
      </c>
      <c r="B7" s="57" t="s">
        <v>118</v>
      </c>
      <c r="C7" s="61">
        <v>30046</v>
      </c>
      <c r="D7" s="57" t="s">
        <v>108</v>
      </c>
      <c r="E7" s="56" t="str">
        <f>B7&amp;C7&amp;D7</f>
        <v>enemy_skills_i18n_30046.tmp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150" t="s">
        <v>250</v>
      </c>
      <c r="B8" s="57" t="s">
        <v>120</v>
      </c>
      <c r="C8" s="61">
        <v>30046</v>
      </c>
      <c r="D8" s="57" t="s">
        <v>121</v>
      </c>
      <c r="E8" s="56" t="str">
        <f t="shared" si="0"/>
        <v>enemy_skill_triggers_30046.tmp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150" t="s">
        <v>250</v>
      </c>
      <c r="B9" s="66" t="s">
        <v>176</v>
      </c>
      <c r="C9" s="61">
        <v>30046</v>
      </c>
      <c r="D9" s="66" t="s">
        <v>170</v>
      </c>
      <c r="E9" s="67" t="str">
        <f t="shared" si="0"/>
        <v>stage_bug_bonuses_30046.tmp</v>
      </c>
      <c r="F9" s="66" t="s">
        <v>171</v>
      </c>
      <c r="G9" s="63" t="s">
        <v>151</v>
      </c>
      <c r="H9" s="63" t="s">
        <v>172</v>
      </c>
      <c r="I9" s="63" t="s">
        <v>173</v>
      </c>
      <c r="J9" s="65" t="s">
        <v>174</v>
      </c>
      <c r="K9" s="63" t="s">
        <v>175</v>
      </c>
      <c r="L9" s="63" t="s">
        <v>157</v>
      </c>
      <c r="M9" s="63" t="s">
        <v>158</v>
      </c>
      <c r="N9" s="63" t="s">
        <v>159</v>
      </c>
      <c r="O9" s="63" t="s">
        <v>160</v>
      </c>
      <c r="P9" s="63" t="s">
        <v>161</v>
      </c>
      <c r="Q9" s="63" t="s">
        <v>162</v>
      </c>
      <c r="R9" s="63" t="s">
        <v>163</v>
      </c>
      <c r="S9" s="63" t="s">
        <v>164</v>
      </c>
      <c r="T9" s="63" t="s">
        <v>165</v>
      </c>
      <c r="U9" s="63" t="s">
        <v>166</v>
      </c>
      <c r="V9" s="63" t="s">
        <v>167</v>
      </c>
      <c r="W9" s="63" t="s">
        <v>168</v>
      </c>
      <c r="X9" s="57"/>
      <c r="Y9" s="57"/>
      <c r="Z9" s="57"/>
      <c r="AA9" s="57"/>
      <c r="AB9" s="57"/>
      <c r="AC9" s="57"/>
      <c r="AD9" s="57"/>
    </row>
    <row r="10" spans="1:30" s="72" customFormat="1" x14ac:dyDescent="0.15">
      <c r="A10" s="150" t="s">
        <v>250</v>
      </c>
      <c r="B10" s="66" t="s">
        <v>200</v>
      </c>
      <c r="C10" s="61">
        <v>30046</v>
      </c>
      <c r="D10" s="66" t="s">
        <v>179</v>
      </c>
      <c r="E10" s="67" t="str">
        <f t="shared" si="0"/>
        <v>stage_hints_data_c_30046.tmp</v>
      </c>
      <c r="F10" s="66" t="s">
        <v>208</v>
      </c>
      <c r="G10" s="70" t="s">
        <v>180</v>
      </c>
      <c r="H10" s="70" t="s">
        <v>172</v>
      </c>
      <c r="I10" s="71" t="s">
        <v>181</v>
      </c>
      <c r="J10" s="65" t="s">
        <v>182</v>
      </c>
      <c r="K10" s="65" t="s">
        <v>183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2" customFormat="1" x14ac:dyDescent="0.15">
      <c r="A11" s="150" t="s">
        <v>250</v>
      </c>
      <c r="B11" s="66" t="s">
        <v>201</v>
      </c>
      <c r="C11" s="61">
        <v>30046</v>
      </c>
      <c r="D11" s="66" t="s">
        <v>170</v>
      </c>
      <c r="E11" s="67" t="str">
        <f t="shared" ref="E11:E13" si="1">B11&amp;C11&amp;D11</f>
        <v>stage_hints_data_f_30046.tmp</v>
      </c>
      <c r="F11" s="66" t="s">
        <v>210</v>
      </c>
      <c r="G11" s="70" t="s">
        <v>180</v>
      </c>
      <c r="H11" s="70" t="s">
        <v>172</v>
      </c>
      <c r="I11" s="71" t="s">
        <v>181</v>
      </c>
      <c r="J11" s="65" t="s">
        <v>182</v>
      </c>
      <c r="K11" s="65" t="s">
        <v>183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2" customFormat="1" x14ac:dyDescent="0.15">
      <c r="A12" s="150" t="s">
        <v>250</v>
      </c>
      <c r="B12" s="66" t="s">
        <v>202</v>
      </c>
      <c r="C12" s="61">
        <v>30046</v>
      </c>
      <c r="D12" s="66" t="s">
        <v>170</v>
      </c>
      <c r="E12" s="67" t="str">
        <f t="shared" si="1"/>
        <v>stage_hints_i18n_30046.tmp</v>
      </c>
      <c r="F12" s="66" t="s">
        <v>211</v>
      </c>
      <c r="G12" s="71" t="s">
        <v>203</v>
      </c>
      <c r="H12" s="92" t="s">
        <v>204</v>
      </c>
      <c r="I12" s="70" t="s">
        <v>205</v>
      </c>
      <c r="J12" s="97" t="s">
        <v>206</v>
      </c>
      <c r="K12" s="65" t="s">
        <v>207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2" customFormat="1" x14ac:dyDescent="0.15">
      <c r="A13" s="225" t="s">
        <v>247</v>
      </c>
      <c r="B13" s="66" t="s">
        <v>246</v>
      </c>
      <c r="C13" s="61">
        <v>30046</v>
      </c>
      <c r="D13" s="66" t="s">
        <v>227</v>
      </c>
      <c r="E13" s="67" t="str">
        <f t="shared" si="1"/>
        <v>stage_bonuses_30046.tmp</v>
      </c>
      <c r="F13" s="66" t="s">
        <v>226</v>
      </c>
      <c r="G13" s="70" t="s">
        <v>228</v>
      </c>
      <c r="H13" s="70" t="s">
        <v>229</v>
      </c>
      <c r="I13" s="70" t="s">
        <v>230</v>
      </c>
      <c r="J13" s="70" t="s">
        <v>231</v>
      </c>
      <c r="K13" s="70" t="s">
        <v>232</v>
      </c>
      <c r="L13" s="70" t="s">
        <v>233</v>
      </c>
      <c r="M13" s="70" t="s">
        <v>234</v>
      </c>
      <c r="N13" s="70" t="s">
        <v>235</v>
      </c>
      <c r="O13" s="70" t="s">
        <v>236</v>
      </c>
      <c r="P13" s="70" t="s">
        <v>237</v>
      </c>
      <c r="Q13" s="70" t="s">
        <v>238</v>
      </c>
      <c r="R13" s="70" t="s">
        <v>239</v>
      </c>
      <c r="S13" s="70" t="s">
        <v>240</v>
      </c>
      <c r="T13" s="70" t="s">
        <v>241</v>
      </c>
      <c r="U13" s="70" t="s">
        <v>242</v>
      </c>
      <c r="V13" s="70" t="s">
        <v>243</v>
      </c>
      <c r="W13" s="70" t="s">
        <v>244</v>
      </c>
      <c r="X13" s="70" t="s">
        <v>245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J18" sqref="J18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07" t="str">
        <f>G2&amp;"-"&amp;I2</f>
        <v>30046_1-1</v>
      </c>
      <c r="B2" s="107" t="str">
        <f>IF(COUNTIF(enemy_habitats!$H:$H,A2),"OK","NG")</f>
        <v>OK</v>
      </c>
      <c r="C2" s="108">
        <v>30046</v>
      </c>
      <c r="D2" s="18" t="str">
        <f ca="1">VLOOKUP($C2,OFFSET([2]quests!$A$1,0,0,COUNTA([2]quests!$A:$A),MATCH(D$1,[2]quests!$1:$1,0)-MATCH($C$1,[2]quests!$1:$1,0)+1),MATCH(D$1,[2]quests!$1:$1,0)-MATCH($C$1,[2]quests!$1:$1,0)+1,FALSE)</f>
        <v>千利の道も一歩から！</v>
      </c>
      <c r="E2" s="18" t="str">
        <f ca="1">VLOOKUP($C2,OFFSET([2]quests!$A$1,0,0,COUNTA([2]quests!$A:$A),MATCH(E$1,[2]quests!$1:$1,0)-MATCH($C$1,[2]quests!$1:$1,0)+1),MATCH(E$1,[2]quests!$1:$1,0)-MATCH($C$1,[2]quests!$1:$1,0)+1,FALSE)</f>
        <v>戦国シリーズ第二弾　超級</v>
      </c>
      <c r="F2" s="109">
        <v>1</v>
      </c>
      <c r="G2" s="23" t="str">
        <f>C2&amp;"_"&amp;F2</f>
        <v>30046_1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【中級】千利の道も一歩から！</v>
      </c>
      <c r="I2" s="109">
        <v>1</v>
      </c>
      <c r="J2" s="38">
        <v>60</v>
      </c>
      <c r="K2" s="38">
        <v>60</v>
      </c>
    </row>
    <row r="3" spans="1:11" ht="21" customHeight="1" x14ac:dyDescent="0.15">
      <c r="A3" s="107" t="str">
        <f t="shared" ref="A3:A13" si="0">G3&amp;"-"&amp;I3</f>
        <v>30046_1-2</v>
      </c>
      <c r="B3" s="107" t="str">
        <f>IF(COUNTIF(enemy_habitats!$H:$H,A3),"OK","NG")</f>
        <v>OK</v>
      </c>
      <c r="C3" s="108">
        <v>30046</v>
      </c>
      <c r="D3" s="18" t="str">
        <f ca="1">VLOOKUP($C3,OFFSET([2]quests!$A$1,0,0,COUNTA([2]quests!$A:$A),MATCH(D$1,[2]quests!$1:$1,0)-MATCH($C$1,[2]quests!$1:$1,0)+1),MATCH(D$1,[2]quests!$1:$1,0)-MATCH($C$1,[2]quests!$1:$1,0)+1,FALSE)</f>
        <v>千利の道も一歩から！</v>
      </c>
      <c r="E3" s="18" t="str">
        <f ca="1">VLOOKUP($C3,OFFSET([2]quests!$A$1,0,0,COUNTA([2]quests!$A:$A),MATCH(E$1,[2]quests!$1:$1,0)-MATCH($C$1,[2]quests!$1:$1,0)+1),MATCH(E$1,[2]quests!$1:$1,0)-MATCH($C$1,[2]quests!$1:$1,0)+1,FALSE)</f>
        <v>戦国シリーズ第二弾　超級</v>
      </c>
      <c r="F3" s="109">
        <v>1</v>
      </c>
      <c r="G3" s="23" t="str">
        <f t="shared" ref="G3:G13" si="1">C3&amp;"_"&amp;F3</f>
        <v>30046_1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【中級】千利の道も一歩から！</v>
      </c>
      <c r="I3" s="109">
        <v>2</v>
      </c>
      <c r="J3" s="38">
        <v>60</v>
      </c>
      <c r="K3" s="38">
        <v>60</v>
      </c>
    </row>
    <row r="4" spans="1:11" ht="21" customHeight="1" x14ac:dyDescent="0.15">
      <c r="A4" s="107" t="str">
        <f t="shared" si="0"/>
        <v>30046_1-3</v>
      </c>
      <c r="B4" s="107" t="str">
        <f>IF(COUNTIF(enemy_habitats!$H:$H,A4),"OK","NG")</f>
        <v>OK</v>
      </c>
      <c r="C4" s="108">
        <v>30046</v>
      </c>
      <c r="D4" s="18" t="str">
        <f ca="1">VLOOKUP($C4,OFFSET([2]quests!$A$1,0,0,COUNTA([2]quests!$A:$A),MATCH(D$1,[2]quests!$1:$1,0)-MATCH($C$1,[2]quests!$1:$1,0)+1),MATCH(D$1,[2]quests!$1:$1,0)-MATCH($C$1,[2]quests!$1:$1,0)+1,FALSE)</f>
        <v>千利の道も一歩から！</v>
      </c>
      <c r="E4" s="18" t="str">
        <f ca="1">VLOOKUP($C4,OFFSET([2]quests!$A$1,0,0,COUNTA([2]quests!$A:$A),MATCH(E$1,[2]quests!$1:$1,0)-MATCH($C$1,[2]quests!$1:$1,0)+1),MATCH(E$1,[2]quests!$1:$1,0)-MATCH($C$1,[2]quests!$1:$1,0)+1,FALSE)</f>
        <v>戦国シリーズ第二弾　超級</v>
      </c>
      <c r="F4" s="109">
        <v>1</v>
      </c>
      <c r="G4" s="23" t="str">
        <f t="shared" si="1"/>
        <v>30046_1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【中級】千利の道も一歩から！</v>
      </c>
      <c r="I4" s="109">
        <v>3</v>
      </c>
      <c r="J4" s="38">
        <v>60</v>
      </c>
      <c r="K4" s="38">
        <v>60</v>
      </c>
    </row>
    <row r="5" spans="1:11" ht="21" customHeight="1" thickBot="1" x14ac:dyDescent="0.2">
      <c r="A5" s="110" t="str">
        <f t="shared" si="0"/>
        <v>30046_1-4</v>
      </c>
      <c r="B5" s="110" t="str">
        <f>IF(COUNTIF(enemy_habitats!$H:$H,A5),"OK","NG")</f>
        <v>OK</v>
      </c>
      <c r="C5" s="111">
        <v>30046</v>
      </c>
      <c r="D5" s="112" t="str">
        <f ca="1">VLOOKUP($C5,OFFSET([2]quests!$A$1,0,0,COUNTA([2]quests!$A:$A),MATCH(D$1,[2]quests!$1:$1,0)-MATCH($C$1,[2]quests!$1:$1,0)+1),MATCH(D$1,[2]quests!$1:$1,0)-MATCH($C$1,[2]quests!$1:$1,0)+1,FALSE)</f>
        <v>千利の道も一歩から！</v>
      </c>
      <c r="E5" s="112" t="str">
        <f ca="1">VLOOKUP($C5,OFFSET([2]quests!$A$1,0,0,COUNTA([2]quests!$A:$A),MATCH(E$1,[2]quests!$1:$1,0)-MATCH($C$1,[2]quests!$1:$1,0)+1),MATCH(E$1,[2]quests!$1:$1,0)-MATCH($C$1,[2]quests!$1:$1,0)+1,FALSE)</f>
        <v>戦国シリーズ第二弾　超級</v>
      </c>
      <c r="F5" s="113">
        <v>1</v>
      </c>
      <c r="G5" s="114" t="str">
        <f t="shared" si="1"/>
        <v>30046_1</v>
      </c>
      <c r="H5" s="115" t="str">
        <f ca="1">VLOOKUP($G5,OFFSET([2]stages!$A$1,0,0,COUNTA([2]stages!$A:$A),MATCH(H$1,[2]stages!$2:$2,0)-MATCH($G$1,[2]stages!$2:$2,0)+1),MATCH(H$1,[2]stages!$2:$2,0)-MATCH($G$1,[2]stages!$2:$2,0)+1,FALSE)</f>
        <v>【中級】千利の道も一歩から！</v>
      </c>
      <c r="I5" s="113">
        <v>4</v>
      </c>
      <c r="J5" s="116">
        <v>30</v>
      </c>
      <c r="K5" s="116">
        <v>60</v>
      </c>
    </row>
    <row r="6" spans="1:11" ht="21" customHeight="1" thickTop="1" x14ac:dyDescent="0.15">
      <c r="A6" s="117" t="str">
        <f t="shared" si="0"/>
        <v>30046_2-1</v>
      </c>
      <c r="B6" s="117" t="str">
        <f>IF(COUNTIF(enemy_habitats!$H:$H,A6),"OK","NG")</f>
        <v>OK</v>
      </c>
      <c r="C6" s="118">
        <v>30046</v>
      </c>
      <c r="D6" s="119" t="str">
        <f ca="1">VLOOKUP($C6,OFFSET([2]quests!$A$1,0,0,COUNTA([2]quests!$A:$A),MATCH(D$1,[2]quests!$1:$1,0)-MATCH($C$1,[2]quests!$1:$1,0)+1),MATCH(D$1,[2]quests!$1:$1,0)-MATCH($C$1,[2]quests!$1:$1,0)+1,FALSE)</f>
        <v>千利の道も一歩から！</v>
      </c>
      <c r="E6" s="119" t="str">
        <f ca="1">VLOOKUP($C6,OFFSET([2]quests!$A$1,0,0,COUNTA([2]quests!$A:$A),MATCH(E$1,[2]quests!$1:$1,0)-MATCH($C$1,[2]quests!$1:$1,0)+1),MATCH(E$1,[2]quests!$1:$1,0)-MATCH($C$1,[2]quests!$1:$1,0)+1,FALSE)</f>
        <v>戦国シリーズ第二弾　超級</v>
      </c>
      <c r="F6" s="120">
        <v>2</v>
      </c>
      <c r="G6" s="121" t="str">
        <f t="shared" si="1"/>
        <v>30046_2</v>
      </c>
      <c r="H6" s="122" t="str">
        <f ca="1">VLOOKUP($G6,OFFSET([2]stages!$A$1,0,0,COUNTA([2]stages!$A:$A),MATCH(H$1,[2]stages!$2:$2,0)-MATCH($G$1,[2]stages!$2:$2,0)+1),MATCH(H$1,[2]stages!$2:$2,0)-MATCH($G$1,[2]stages!$2:$2,0)+1,FALSE)</f>
        <v>【上級】千利の道も一歩から！</v>
      </c>
      <c r="I6" s="109">
        <v>1</v>
      </c>
      <c r="J6" s="123">
        <v>60</v>
      </c>
      <c r="K6" s="123">
        <v>60</v>
      </c>
    </row>
    <row r="7" spans="1:11" ht="21" customHeight="1" x14ac:dyDescent="0.15">
      <c r="A7" s="107" t="str">
        <f t="shared" si="0"/>
        <v>30046_2-2</v>
      </c>
      <c r="B7" s="107" t="str">
        <f>IF(COUNTIF(enemy_habitats!$H:$H,A7),"OK","NG")</f>
        <v>OK</v>
      </c>
      <c r="C7" s="108">
        <v>30046</v>
      </c>
      <c r="D7" s="18" t="str">
        <f ca="1">VLOOKUP($C7,OFFSET([2]quests!$A$1,0,0,COUNTA([2]quests!$A:$A),MATCH(D$1,[2]quests!$1:$1,0)-MATCH($C$1,[2]quests!$1:$1,0)+1),MATCH(D$1,[2]quests!$1:$1,0)-MATCH($C$1,[2]quests!$1:$1,0)+1,FALSE)</f>
        <v>千利の道も一歩から！</v>
      </c>
      <c r="E7" s="18" t="str">
        <f ca="1">VLOOKUP($C7,OFFSET([2]quests!$A$1,0,0,COUNTA([2]quests!$A:$A),MATCH(E$1,[2]quests!$1:$1,0)-MATCH($C$1,[2]quests!$1:$1,0)+1),MATCH(E$1,[2]quests!$1:$1,0)-MATCH($C$1,[2]quests!$1:$1,0)+1,FALSE)</f>
        <v>戦国シリーズ第二弾　超級</v>
      </c>
      <c r="F7" s="109">
        <v>2</v>
      </c>
      <c r="G7" s="23" t="str">
        <f t="shared" si="1"/>
        <v>30046_2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【上級】千利の道も一歩から！</v>
      </c>
      <c r="I7" s="109">
        <v>2</v>
      </c>
      <c r="J7" s="38">
        <v>60</v>
      </c>
      <c r="K7" s="38">
        <v>60</v>
      </c>
    </row>
    <row r="8" spans="1:11" ht="21" customHeight="1" x14ac:dyDescent="0.15">
      <c r="A8" s="107" t="str">
        <f t="shared" si="0"/>
        <v>30046_2-3</v>
      </c>
      <c r="B8" s="107" t="str">
        <f>IF(COUNTIF(enemy_habitats!$H:$H,A8),"OK","NG")</f>
        <v>OK</v>
      </c>
      <c r="C8" s="108">
        <v>30046</v>
      </c>
      <c r="D8" s="18" t="str">
        <f ca="1">VLOOKUP($C8,OFFSET([2]quests!$A$1,0,0,COUNTA([2]quests!$A:$A),MATCH(D$1,[2]quests!$1:$1,0)-MATCH($C$1,[2]quests!$1:$1,0)+1),MATCH(D$1,[2]quests!$1:$1,0)-MATCH($C$1,[2]quests!$1:$1,0)+1,FALSE)</f>
        <v>千利の道も一歩から！</v>
      </c>
      <c r="E8" s="18" t="str">
        <f ca="1">VLOOKUP($C8,OFFSET([2]quests!$A$1,0,0,COUNTA([2]quests!$A:$A),MATCH(E$1,[2]quests!$1:$1,0)-MATCH($C$1,[2]quests!$1:$1,0)+1),MATCH(E$1,[2]quests!$1:$1,0)-MATCH($C$1,[2]quests!$1:$1,0)+1,FALSE)</f>
        <v>戦国シリーズ第二弾　超級</v>
      </c>
      <c r="F8" s="109">
        <v>2</v>
      </c>
      <c r="G8" s="23" t="str">
        <f t="shared" si="1"/>
        <v>30046_2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【上級】千利の道も一歩から！</v>
      </c>
      <c r="I8" s="109">
        <v>3</v>
      </c>
      <c r="J8" s="38">
        <v>60</v>
      </c>
      <c r="K8" s="38">
        <v>60</v>
      </c>
    </row>
    <row r="9" spans="1:11" ht="21" customHeight="1" thickBot="1" x14ac:dyDescent="0.2">
      <c r="A9" s="110" t="str">
        <f t="shared" si="0"/>
        <v>30046_2-4</v>
      </c>
      <c r="B9" s="110" t="str">
        <f>IF(COUNTIF(enemy_habitats!$H:$H,A9),"OK","NG")</f>
        <v>OK</v>
      </c>
      <c r="C9" s="111">
        <v>30046</v>
      </c>
      <c r="D9" s="112" t="str">
        <f ca="1">VLOOKUP($C9,OFFSET([2]quests!$A$1,0,0,COUNTA([2]quests!$A:$A),MATCH(D$1,[2]quests!$1:$1,0)-MATCH($C$1,[2]quests!$1:$1,0)+1),MATCH(D$1,[2]quests!$1:$1,0)-MATCH($C$1,[2]quests!$1:$1,0)+1,FALSE)</f>
        <v>千利の道も一歩から！</v>
      </c>
      <c r="E9" s="112" t="str">
        <f ca="1">VLOOKUP($C9,OFFSET([2]quests!$A$1,0,0,COUNTA([2]quests!$A:$A),MATCH(E$1,[2]quests!$1:$1,0)-MATCH($C$1,[2]quests!$1:$1,0)+1),MATCH(E$1,[2]quests!$1:$1,0)-MATCH($C$1,[2]quests!$1:$1,0)+1,FALSE)</f>
        <v>戦国シリーズ第二弾　超級</v>
      </c>
      <c r="F9" s="113">
        <v>2</v>
      </c>
      <c r="G9" s="114" t="str">
        <f t="shared" si="1"/>
        <v>30046_2</v>
      </c>
      <c r="H9" s="115" t="str">
        <f ca="1">VLOOKUP($G9,OFFSET([2]stages!$A$1,0,0,COUNTA([2]stages!$A:$A),MATCH(H$1,[2]stages!$2:$2,0)-MATCH($G$1,[2]stages!$2:$2,0)+1),MATCH(H$1,[2]stages!$2:$2,0)-MATCH($G$1,[2]stages!$2:$2,0)+1,FALSE)</f>
        <v>【上級】千利の道も一歩から！</v>
      </c>
      <c r="I9" s="113">
        <v>4</v>
      </c>
      <c r="J9" s="116">
        <v>30</v>
      </c>
      <c r="K9" s="116">
        <v>60</v>
      </c>
    </row>
    <row r="10" spans="1:11" ht="21" customHeight="1" thickTop="1" x14ac:dyDescent="0.15">
      <c r="A10" s="16" t="str">
        <f t="shared" si="0"/>
        <v>30046_3-1</v>
      </c>
      <c r="B10" s="16" t="str">
        <f>IF(COUNTIF(enemy_habitats!$H:$H,A10),"OK","NG")</f>
        <v>OK</v>
      </c>
      <c r="C10" s="101">
        <v>30046</v>
      </c>
      <c r="D10" s="102" t="str">
        <f ca="1">VLOOKUP($C10,OFFSET([2]quests!$A$1,0,0,COUNTA([2]quests!$A:$A),MATCH(D$1,[2]quests!$1:$1,0)-MATCH($C$1,[2]quests!$1:$1,0)+1),MATCH(D$1,[2]quests!$1:$1,0)-MATCH($C$1,[2]quests!$1:$1,0)+1,FALSE)</f>
        <v>千利の道も一歩から！</v>
      </c>
      <c r="E10" s="102" t="str">
        <f ca="1">VLOOKUP($C10,OFFSET([2]quests!$A$1,0,0,COUNTA([2]quests!$A:$A),MATCH(E$1,[2]quests!$1:$1,0)-MATCH($C$1,[2]quests!$1:$1,0)+1),MATCH(E$1,[2]quests!$1:$1,0)-MATCH($C$1,[2]quests!$1:$1,0)+1,FALSE)</f>
        <v>戦国シリーズ第二弾　超級</v>
      </c>
      <c r="F10" s="103">
        <v>3</v>
      </c>
      <c r="G10" s="104" t="str">
        <f t="shared" si="1"/>
        <v>30046_3</v>
      </c>
      <c r="H10" s="105" t="str">
        <f ca="1">VLOOKUP($G10,OFFSET([2]stages!$A$1,0,0,COUNTA([2]stages!$A:$A),MATCH(H$1,[2]stages!$2:$2,0)-MATCH($G$1,[2]stages!$2:$2,0)+1),MATCH(H$1,[2]stages!$2:$2,0)-MATCH($G$1,[2]stages!$2:$2,0)+1,FALSE)</f>
        <v>【超級】千利の道も一歩から！</v>
      </c>
      <c r="I10" s="109">
        <v>1</v>
      </c>
      <c r="J10" s="106">
        <v>60</v>
      </c>
      <c r="K10" s="106">
        <v>60</v>
      </c>
    </row>
    <row r="11" spans="1:11" ht="21" customHeight="1" x14ac:dyDescent="0.15">
      <c r="A11" s="16" t="str">
        <f t="shared" si="0"/>
        <v>30046_3-2</v>
      </c>
      <c r="B11" s="16" t="str">
        <f>IF(COUNTIF(enemy_habitats!$H:$H,A11),"OK","NG")</f>
        <v>OK</v>
      </c>
      <c r="C11" s="7">
        <v>30046</v>
      </c>
      <c r="D11" s="11" t="str">
        <f ca="1">VLOOKUP($C11,OFFSET([2]quests!$A$1,0,0,COUNTA([2]quests!$A:$A),MATCH(D$1,[2]quests!$1:$1,0)-MATCH($C$1,[2]quests!$1:$1,0)+1),MATCH(D$1,[2]quests!$1:$1,0)-MATCH($C$1,[2]quests!$1:$1,0)+1,FALSE)</f>
        <v>千利の道も一歩から！</v>
      </c>
      <c r="E11" s="18" t="str">
        <f ca="1">VLOOKUP($C11,OFFSET([2]quests!$A$1,0,0,COUNTA([2]quests!$A:$A),MATCH(E$1,[2]quests!$1:$1,0)-MATCH($C$1,[2]quests!$1:$1,0)+1),MATCH(E$1,[2]quests!$1:$1,0)-MATCH($C$1,[2]quests!$1:$1,0)+1,FALSE)</f>
        <v>戦国シリーズ第二弾　超級</v>
      </c>
      <c r="F11" s="21">
        <v>3</v>
      </c>
      <c r="G11" s="23" t="str">
        <f t="shared" si="1"/>
        <v>30046_3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【超級】千利の道も一歩から！</v>
      </c>
      <c r="I11" s="109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30046_3-3</v>
      </c>
      <c r="B12" s="16" t="str">
        <f>IF(COUNTIF(enemy_habitats!$H:$H,A12),"OK","NG")</f>
        <v>OK</v>
      </c>
      <c r="C12" s="7">
        <v>30046</v>
      </c>
      <c r="D12" s="11" t="str">
        <f ca="1">VLOOKUP($C12,OFFSET([2]quests!$A$1,0,0,COUNTA([2]quests!$A:$A),MATCH(D$1,[2]quests!$1:$1,0)-MATCH($C$1,[2]quests!$1:$1,0)+1),MATCH(D$1,[2]quests!$1:$1,0)-MATCH($C$1,[2]quests!$1:$1,0)+1,FALSE)</f>
        <v>千利の道も一歩から！</v>
      </c>
      <c r="E12" s="18" t="str">
        <f ca="1">VLOOKUP($C12,OFFSET([2]quests!$A$1,0,0,COUNTA([2]quests!$A:$A),MATCH(E$1,[2]quests!$1:$1,0)-MATCH($C$1,[2]quests!$1:$1,0)+1),MATCH(E$1,[2]quests!$1:$1,0)-MATCH($C$1,[2]quests!$1:$1,0)+1,FALSE)</f>
        <v>戦国シリーズ第二弾　超級</v>
      </c>
      <c r="F12" s="21">
        <v>3</v>
      </c>
      <c r="G12" s="23" t="str">
        <f t="shared" si="1"/>
        <v>30046_3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【超級】千利の道も一歩から！</v>
      </c>
      <c r="I12" s="109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0"/>
        <v>30046_3-4</v>
      </c>
      <c r="B13" s="16" t="str">
        <f>IF(COUNTIF(enemy_habitats!$H:$H,A13),"OK","NG")</f>
        <v>OK</v>
      </c>
      <c r="C13" s="7">
        <v>30046</v>
      </c>
      <c r="D13" s="11" t="str">
        <f ca="1">VLOOKUP($C13,OFFSET([2]quests!$A$1,0,0,COUNTA([2]quests!$A:$A),MATCH(D$1,[2]quests!$1:$1,0)-MATCH($C$1,[2]quests!$1:$1,0)+1),MATCH(D$1,[2]quests!$1:$1,0)-MATCH($C$1,[2]quests!$1:$1,0)+1,FALSE)</f>
        <v>千利の道も一歩から！</v>
      </c>
      <c r="E13" s="18" t="str">
        <f ca="1">VLOOKUP($C13,OFFSET([2]quests!$A$1,0,0,COUNTA([2]quests!$A:$A),MATCH(E$1,[2]quests!$1:$1,0)-MATCH($C$1,[2]quests!$1:$1,0)+1),MATCH(E$1,[2]quests!$1:$1,0)-MATCH($C$1,[2]quests!$1:$1,0)+1,FALSE)</f>
        <v>戦国シリーズ第二弾　超級</v>
      </c>
      <c r="F13" s="21">
        <v>3</v>
      </c>
      <c r="G13" s="23" t="str">
        <f t="shared" si="1"/>
        <v>30046_3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【超級】千利の道も一歩から！</v>
      </c>
      <c r="I13" s="109">
        <v>4</v>
      </c>
      <c r="J13" s="12">
        <v>30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2"/>
  <sheetViews>
    <sheetView showGridLines="0" workbookViewId="0">
      <pane xSplit="17" ySplit="1" topLeftCell="Z2" activePane="bottomRight" state="frozen"/>
      <selection pane="topRight" activeCell="N1" sqref="N1"/>
      <selection pane="bottomLeft" activeCell="A2" sqref="A2"/>
      <selection pane="bottomRight" activeCell="AJ16" sqref="AJ1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9.66406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7.6640625" style="3" customWidth="1"/>
    <col min="19" max="19" width="14.5" style="3" customWidth="1"/>
    <col min="20" max="20" width="10" style="100" customWidth="1"/>
    <col min="21" max="21" width="14.83203125" style="3" customWidth="1"/>
    <col min="22" max="22" width="9.83203125" style="3" customWidth="1"/>
    <col min="23" max="23" width="9.1640625" style="3" customWidth="1"/>
    <col min="24" max="24" width="14" style="3" customWidth="1"/>
    <col min="25" max="25" width="12.1640625" style="3" customWidth="1" outlineLevel="1"/>
    <col min="26" max="26" width="9.5" style="3" customWidth="1"/>
    <col min="27" max="27" width="10" style="3" customWidth="1"/>
    <col min="28" max="28" width="9" style="3" customWidth="1"/>
    <col min="29" max="29" width="9.33203125" style="3" bestFit="1" customWidth="1"/>
    <col min="30" max="30" width="9.1640625" style="3" customWidth="1"/>
    <col min="31" max="31" width="17.83203125" style="13" customWidth="1" outlineLevel="1"/>
    <col min="32" max="32" width="6.5" style="14" customWidth="1" outlineLevel="1"/>
    <col min="33" max="33" width="10" style="14" customWidth="1" outlineLevel="1"/>
    <col min="34" max="34" width="7.33203125" style="10" customWidth="1" collapsed="1"/>
    <col min="35" max="35" width="10.83203125" style="3" customWidth="1"/>
    <col min="36" max="36" width="12.6640625" style="3" customWidth="1"/>
    <col min="37" max="37" width="6.33203125" style="3" customWidth="1"/>
    <col min="38" max="38" width="6" style="3" customWidth="1"/>
    <col min="39" max="39" width="5.83203125" style="3" customWidth="1"/>
    <col min="40" max="40" width="5.6640625" style="3" customWidth="1"/>
    <col min="41" max="41" width="4" style="3" bestFit="1" customWidth="1"/>
    <col min="42" max="42" width="9.83203125" style="3" customWidth="1"/>
    <col min="43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8" t="s">
        <v>248</v>
      </c>
      <c r="U1" s="26" t="s">
        <v>50</v>
      </c>
      <c r="V1" s="98" t="s">
        <v>249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>B2&amp;"_"&amp;C2&amp;"-"&amp;G2&amp;"/"&amp;L2&amp;"&lt;lv"&amp;R2&amp;"&gt;s"&amp;AC2</f>
        <v>30046_1-1/1236&lt;lv32&gt;s1</v>
      </c>
      <c r="B2" s="22">
        <v>30046</v>
      </c>
      <c r="C2" s="21">
        <v>1</v>
      </c>
      <c r="D2" s="2" t="str">
        <f>B2&amp;"_"&amp;C2</f>
        <v>30046_1</v>
      </c>
      <c r="E2" s="4" t="str">
        <f ca="1">VLOOKUP($B2,OFFSET([2]quests!$A$1,0,0,COUNTA([2]quests!$A:$A),MATCH(E$1,[2]quests!$1:$1,0)-MATCH($B$1,[2]quests!$1:$1,0)+1),MATCH(E$1,[2]quests!$1:$1,0)-MATCH($B$1,[2]quests!$1:$1,0)+1,FALSE)</f>
        <v>千利の道も一歩から！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【中級】千利の道も一歩から！</v>
      </c>
      <c r="G2" s="21">
        <v>1</v>
      </c>
      <c r="H2" s="15" t="str">
        <f>B2&amp;"_"&amp;C2&amp;"-"&amp;G2</f>
        <v>30046_1-1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124">
        <v>1236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千利休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32</v>
      </c>
      <c r="S2" s="129">
        <v>2</v>
      </c>
      <c r="T2" s="99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85358</v>
      </c>
      <c r="U2" s="129">
        <v>0.5</v>
      </c>
      <c r="V2" s="99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1715.5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むむっ　私としたことが…_x000D_見つかってしまうとは</v>
      </c>
      <c r="Y2" s="131">
        <v>30046001</v>
      </c>
      <c r="Z2" s="6">
        <v>1</v>
      </c>
      <c r="AA2" s="6">
        <v>100</v>
      </c>
      <c r="AB2" s="6">
        <v>1</v>
      </c>
      <c r="AC2" s="125">
        <v>1</v>
      </c>
      <c r="AD2" s="24">
        <f>L2</f>
        <v>1236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千利休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4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>B3&amp;"_"&amp;C3&amp;"-"&amp;G3&amp;"/"&amp;L3&amp;"&lt;lv"&amp;R3&amp;"&gt;s"&amp;AC3</f>
        <v>30046_1-1/31&lt;lv32&gt;s2</v>
      </c>
      <c r="B3" s="22">
        <v>30046</v>
      </c>
      <c r="C3" s="21">
        <v>1</v>
      </c>
      <c r="D3" s="2" t="str">
        <f>B3&amp;"_"&amp;C3</f>
        <v>30046_1</v>
      </c>
      <c r="E3" s="4" t="str">
        <f ca="1">VLOOKUP($B3,OFFSET([2]quests!$A$1,0,0,COUNTA([2]quests!$A:$A),MATCH(E$1,[2]quests!$1:$1,0)-MATCH($B$1,[2]quests!$1:$1,0)+1),MATCH(E$1,[2]quests!$1:$1,0)-MATCH($B$1,[2]quests!$1:$1,0)+1,FALSE)</f>
        <v>千利の道も一歩から！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【中級】千利の道も一歩から！</v>
      </c>
      <c r="G3" s="21">
        <v>1</v>
      </c>
      <c r="H3" s="15" t="str">
        <f>B3&amp;"_"&amp;C3&amp;"-"&amp;G3</f>
        <v>30046_1-1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191">
        <v>31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マービー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32</v>
      </c>
      <c r="S3" s="25">
        <v>1.8</v>
      </c>
      <c r="T3" s="99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10636.2</v>
      </c>
      <c r="U3" s="25">
        <v>1.1000000000000001</v>
      </c>
      <c r="V3" s="99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2009.7000000000003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ユニット単体に1ターンスキルバインド</v>
      </c>
      <c r="Y3" s="131">
        <v>30046002</v>
      </c>
      <c r="Z3" s="6">
        <v>2</v>
      </c>
      <c r="AA3" s="6">
        <v>100</v>
      </c>
      <c r="AB3" s="6">
        <v>0</v>
      </c>
      <c r="AC3" s="125">
        <v>2</v>
      </c>
      <c r="AD3" s="24">
        <f>L3</f>
        <v>31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マービー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ca="1">AF3</f>
        <v>1</v>
      </c>
      <c r="AJ3" s="8">
        <v>10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>B4&amp;"_"&amp;C4&amp;"-"&amp;G4&amp;"/"&amp;L4&amp;"&lt;lv"&amp;R4&amp;"&gt;s"&amp;AC4</f>
        <v>30046_1-2/666&lt;lv32&gt;s2</v>
      </c>
      <c r="B4" s="22">
        <v>30046</v>
      </c>
      <c r="C4" s="21">
        <v>1</v>
      </c>
      <c r="D4" s="2" t="str">
        <f>B4&amp;"_"&amp;C4</f>
        <v>30046_1</v>
      </c>
      <c r="E4" s="4" t="str">
        <f ca="1">VLOOKUP($B4,OFFSET([2]quests!$A$1,0,0,COUNTA([2]quests!$A:$A),MATCH(E$1,[2]quests!$1:$1,0)-MATCH($B$1,[2]quests!$1:$1,0)+1),MATCH(E$1,[2]quests!$1:$1,0)-MATCH($B$1,[2]quests!$1:$1,0)+1,FALSE)</f>
        <v>千利の道も一歩から！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【中級】千利の道も一歩から！</v>
      </c>
      <c r="G4" s="21">
        <v>2</v>
      </c>
      <c r="H4" s="15" t="str">
        <f>B4&amp;"_"&amp;C4&amp;"-"&amp;G4</f>
        <v>30046_1-2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666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拡散する幸福 テマリ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32</v>
      </c>
      <c r="S4" s="25">
        <v>1</v>
      </c>
      <c r="T4" s="99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42679</v>
      </c>
      <c r="U4" s="25">
        <v>0.6</v>
      </c>
      <c r="V4" s="99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2058.6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4" s="131">
        <v>30046003</v>
      </c>
      <c r="Z4" s="6">
        <v>1</v>
      </c>
      <c r="AA4" s="6">
        <v>100</v>
      </c>
      <c r="AB4" s="6">
        <v>0</v>
      </c>
      <c r="AC4" s="125">
        <v>2</v>
      </c>
      <c r="AD4" s="24">
        <f>L4</f>
        <v>666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拡散する幸福 テマリ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4">
        <f ca="1">AF4</f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ref="A5:A8" si="0">B5&amp;"_"&amp;C5&amp;"-"&amp;G5&amp;"/"&amp;L5&amp;"&lt;lv"&amp;R5&amp;"&gt;s"&amp;AC5</f>
        <v>30046_1-2/141&lt;lv32&gt;s2</v>
      </c>
      <c r="B5" s="22">
        <v>30046</v>
      </c>
      <c r="C5" s="21">
        <v>1</v>
      </c>
      <c r="D5" s="2" t="str">
        <f t="shared" ref="D5:D8" si="1">B5&amp;"_"&amp;C5</f>
        <v>30046_1</v>
      </c>
      <c r="E5" s="4" t="str">
        <f ca="1">VLOOKUP($B5,OFFSET([2]quests!$A$1,0,0,COUNTA([2]quests!$A:$A),MATCH(E$1,[2]quests!$1:$1,0)-MATCH($B$1,[2]quests!$1:$1,0)+1),MATCH(E$1,[2]quests!$1:$1,0)-MATCH($B$1,[2]quests!$1:$1,0)+1,FALSE)</f>
        <v>千利の道も一歩から！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【中級】千利の道も一歩から！</v>
      </c>
      <c r="G5" s="21">
        <v>2</v>
      </c>
      <c r="H5" s="15" t="str">
        <f t="shared" ref="H5:H8" si="2">B5&amp;"_"&amp;C5&amp;"-"&amp;G5</f>
        <v>30046_1-2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141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妖狐演舞 タマモ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32</v>
      </c>
      <c r="S5" s="25">
        <v>0.8</v>
      </c>
      <c r="T5" s="99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51215.200000000004</v>
      </c>
      <c r="U5" s="25">
        <v>0.5</v>
      </c>
      <c r="V5" s="99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1451.5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5ターンウィルス</v>
      </c>
      <c r="Y5" s="131">
        <v>30046004</v>
      </c>
      <c r="Z5" s="6">
        <v>1</v>
      </c>
      <c r="AA5" s="6">
        <v>100</v>
      </c>
      <c r="AB5" s="6">
        <v>0</v>
      </c>
      <c r="AC5" s="125">
        <v>2</v>
      </c>
      <c r="AD5" s="24">
        <f t="shared" ref="AD5:AD8" si="3">L5</f>
        <v>141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妖狐演舞 タマモ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5" s="7">
        <v>1</v>
      </c>
      <c r="AI5" s="24">
        <f t="shared" ref="AI5:AI8" ca="1" si="4">AF5</f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6" t="str">
        <f t="shared" si="0"/>
        <v>30046_1-3/482&lt;lv32&gt;s2</v>
      </c>
      <c r="B6" s="22">
        <v>30046</v>
      </c>
      <c r="C6" s="21">
        <v>1</v>
      </c>
      <c r="D6" s="2" t="str">
        <f t="shared" si="1"/>
        <v>30046_1</v>
      </c>
      <c r="E6" s="4" t="str">
        <f ca="1">VLOOKUP($B6,OFFSET([2]quests!$A$1,0,0,COUNTA([2]quests!$A:$A),MATCH(E$1,[2]quests!$1:$1,0)-MATCH($B$1,[2]quests!$1:$1,0)+1),MATCH(E$1,[2]quests!$1:$1,0)-MATCH($B$1,[2]quests!$1:$1,0)+1,FALSE)</f>
        <v>千利の道も一歩から！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【中級】千利の道も一歩から！</v>
      </c>
      <c r="G6" s="21">
        <v>3</v>
      </c>
      <c r="H6" s="15" t="str">
        <f t="shared" si="2"/>
        <v>30046_1-3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482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魁僧 沢庵宗彭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32</v>
      </c>
      <c r="S6" s="25">
        <v>1.3</v>
      </c>
      <c r="T6" s="99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75622.3</v>
      </c>
      <c r="U6" s="25">
        <v>0.9</v>
      </c>
      <c r="V6" s="99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2598.3000000000002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5ターンウィルス</v>
      </c>
      <c r="Y6" s="131">
        <v>30046005</v>
      </c>
      <c r="Z6" s="6">
        <v>1</v>
      </c>
      <c r="AA6" s="6">
        <v>100</v>
      </c>
      <c r="AB6" s="6">
        <v>1</v>
      </c>
      <c r="AC6" s="125">
        <v>2</v>
      </c>
      <c r="AD6" s="24">
        <f t="shared" si="3"/>
        <v>482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魁僧 沢庵宗彭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4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6" t="str">
        <f t="shared" si="0"/>
        <v>30046_1-3/74&lt;lv32&gt;s2</v>
      </c>
      <c r="B7" s="22">
        <v>30046</v>
      </c>
      <c r="C7" s="21">
        <v>1</v>
      </c>
      <c r="D7" s="2" t="str">
        <f t="shared" si="1"/>
        <v>30046_1</v>
      </c>
      <c r="E7" s="4" t="str">
        <f ca="1">VLOOKUP($B7,OFFSET([2]quests!$A$1,0,0,COUNTA([2]quests!$A:$A),MATCH(E$1,[2]quests!$1:$1,0)-MATCH($B$1,[2]quests!$1:$1,0)+1),MATCH(E$1,[2]quests!$1:$1,0)-MATCH($B$1,[2]quests!$1:$1,0)+1,FALSE)</f>
        <v>千利の道も一歩から！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【中級】千利の道も一歩から！</v>
      </c>
      <c r="G7" s="21">
        <v>3</v>
      </c>
      <c r="H7" s="15" t="str">
        <f t="shared" si="2"/>
        <v>30046_1-3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74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サンダーバード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32</v>
      </c>
      <c r="S7" s="25">
        <v>2.7</v>
      </c>
      <c r="T7" s="99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17728.2</v>
      </c>
      <c r="U7" s="25">
        <v>0.6</v>
      </c>
      <c r="V7" s="99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1782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3回連続攻撃</v>
      </c>
      <c r="Y7" s="193">
        <v>30046006</v>
      </c>
      <c r="Z7" s="6">
        <v>2</v>
      </c>
      <c r="AA7" s="6">
        <v>100</v>
      </c>
      <c r="AB7" s="6">
        <v>0</v>
      </c>
      <c r="AC7" s="125">
        <v>2</v>
      </c>
      <c r="AD7" s="24">
        <f t="shared" si="3"/>
        <v>74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サンダーバード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Drop1S</v>
      </c>
      <c r="AH7" s="7">
        <v>1</v>
      </c>
      <c r="AI7" s="24">
        <f t="shared" ca="1" si="4"/>
        <v>2</v>
      </c>
      <c r="AJ7" s="8">
        <v>10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thickBot="1" x14ac:dyDescent="0.2">
      <c r="A8" s="110" t="str">
        <f t="shared" si="0"/>
        <v>30046_1-4/1236&lt;lv32&gt;s2</v>
      </c>
      <c r="B8" s="136">
        <v>30046</v>
      </c>
      <c r="C8" s="113">
        <v>1</v>
      </c>
      <c r="D8" s="115" t="str">
        <f t="shared" si="1"/>
        <v>30046_1</v>
      </c>
      <c r="E8" s="137" t="str">
        <f ca="1">VLOOKUP($B8,OFFSET([2]quests!$A$1,0,0,COUNTA([2]quests!$A:$A),MATCH(E$1,[2]quests!$1:$1,0)-MATCH($B$1,[2]quests!$1:$1,0)+1),MATCH(E$1,[2]quests!$1:$1,0)-MATCH($B$1,[2]quests!$1:$1,0)+1,FALSE)</f>
        <v>千利の道も一歩から！</v>
      </c>
      <c r="F8" s="137" t="str">
        <f ca="1">VLOOKUP($D8,OFFSET([2]stages!$A$1,0,0,COUNTA([2]stages!$A:$A),MATCH(F$1,[2]stages!$2:$2,0)-MATCH($D$1,[2]stages!$2:$2,0)+1),MATCH(F$1,[2]stages!$2:$2,0)-MATCH($D$1,[2]stages!$2:$2,0)+1,FALSE)</f>
        <v>【中級】千利の道も一歩から！</v>
      </c>
      <c r="G8" s="113">
        <v>4</v>
      </c>
      <c r="H8" s="115" t="str">
        <f t="shared" si="2"/>
        <v>30046_1-4</v>
      </c>
      <c r="I8" s="137">
        <f ca="1">VLOOKUP($H8,OFFSET(floors!$A$1,0,0,COUNTA(floors!$A:$A),MATCH(I$1,floors!$1:$1,0)-MATCH($H$1,floors!$1:$1,0)+1),MATCH(I$1,floors!$1:$1,0)-MATCH($H$1,floors!$1:$1,0)+1,FALSE)</f>
        <v>30</v>
      </c>
      <c r="J8" s="137">
        <f ca="1">VLOOKUP($H8,OFFSET(floors!$A$1,0,0,COUNTA(floors!$A:$A),MATCH(J$1,floors!$1:$1,0)-MATCH($H$1,floors!$1:$1,0)+1),MATCH(J$1,floors!$1:$1,0)-MATCH($H$1,floors!$1:$1,0)+1,FALSE)</f>
        <v>60</v>
      </c>
      <c r="K8" s="116">
        <v>1</v>
      </c>
      <c r="L8" s="138">
        <v>1236</v>
      </c>
      <c r="M8" s="139" t="str">
        <f ca="1">VLOOKUP($L8,OFFSET([3]enemies!$A$1,0,0,COUNTA([3]enemies!$A:$A),MATCH(M$1,[3]enemies!$1:$1,0)-MATCH($L$1,[3]enemies!$1:$1,0)+1),MATCH(M$1,[3]enemies!$1:$1,0)-MATCH($L$1,[3]enemies!$1:$1,0)+1,FALSE)</f>
        <v>千利休</v>
      </c>
      <c r="N8" s="139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39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39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39">
        <f ca="1">VLOOKUP($L8,OFFSET([3]enemies!$A$1,0,0,COUNTA([3]enemies!$A:$A),MATCH(Q$1,[3]enemies!$1:$1,0)-MATCH($L$1,[3]enemies!$1:$1,0)+1),MATCH(Q$1,[3]enemies!$1:$1,0)-MATCH($L$1,[3]enemies!$1:$1,0)+1,FALSE)</f>
        <v>30</v>
      </c>
      <c r="R8" s="140">
        <v>32</v>
      </c>
      <c r="S8" s="220">
        <v>2.5</v>
      </c>
      <c r="T8" s="141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106697.5</v>
      </c>
      <c r="U8" s="221">
        <v>0.7</v>
      </c>
      <c r="V8" s="141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2401.6999999999998</v>
      </c>
      <c r="W8" s="140">
        <v>0</v>
      </c>
      <c r="X8" s="137" t="str">
        <f ca="1">VLOOKUP($Y8,OFFSET(enemy_skill_sets!$B$1,0,0,COUNTA(enemy_skill_sets!$B:$B),MATCH(M$1,enemy_skill_sets!$1:$1,0)-MATCH($Y$1,enemy_skill_sets!$1:$1,0)+2),MATCH(M$1,enemy_skill_sets!$1:$1,0)-MATCH($Y$1,enemy_skill_sets!$1:$1,0)+2,FALSE)</f>
        <v>解除するまでウィルス</v>
      </c>
      <c r="Y8" s="192">
        <v>30046007</v>
      </c>
      <c r="Z8" s="142">
        <v>1</v>
      </c>
      <c r="AA8" s="142">
        <v>100</v>
      </c>
      <c r="AB8" s="142">
        <v>1</v>
      </c>
      <c r="AC8" s="143">
        <v>2</v>
      </c>
      <c r="AD8" s="144">
        <f t="shared" si="3"/>
        <v>1236</v>
      </c>
      <c r="AE8" s="137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千利休</v>
      </c>
      <c r="AF8" s="137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137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Drop2N</v>
      </c>
      <c r="AH8" s="111">
        <v>1</v>
      </c>
      <c r="AI8" s="144">
        <f t="shared" ca="1" si="4"/>
        <v>4</v>
      </c>
      <c r="AJ8" s="152">
        <v>20</v>
      </c>
      <c r="AK8" s="111">
        <v>0</v>
      </c>
      <c r="AL8" s="111">
        <v>0</v>
      </c>
      <c r="AM8" s="111">
        <v>0</v>
      </c>
      <c r="AN8" s="111">
        <v>0</v>
      </c>
      <c r="AO8" s="111">
        <v>1</v>
      </c>
      <c r="AP8" s="145">
        <v>1</v>
      </c>
    </row>
    <row r="9" spans="1:42" ht="21" customHeight="1" thickTop="1" x14ac:dyDescent="0.15">
      <c r="A9" s="16" t="str">
        <f>B9&amp;"_"&amp;C9&amp;"-"&amp;G9&amp;"/"&amp;L9&amp;"&lt;lv"&amp;R9&amp;"&gt;s"&amp;AC9</f>
        <v>30046_2-1/1236&lt;lv45&gt;s1</v>
      </c>
      <c r="B9" s="22">
        <v>30046</v>
      </c>
      <c r="C9" s="103">
        <v>2</v>
      </c>
      <c r="D9" s="105" t="str">
        <f>B9&amp;"_"&amp;C9</f>
        <v>30046_2</v>
      </c>
      <c r="E9" s="4" t="str">
        <f ca="1">VLOOKUP($B9,OFFSET([2]quests!$A$1,0,0,COUNTA([2]quests!$A:$A),MATCH(E$1,[2]quests!$1:$1,0)-MATCH($B$1,[2]quests!$1:$1,0)+1),MATCH(E$1,[2]quests!$1:$1,0)-MATCH($B$1,[2]quests!$1:$1,0)+1,FALSE)</f>
        <v>千利の道も一歩から！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【上級】千利の道も一歩から！</v>
      </c>
      <c r="G9" s="103">
        <v>1</v>
      </c>
      <c r="H9" s="105" t="str">
        <f>B9&amp;"_"&amp;C9&amp;"-"&amp;G9</f>
        <v>30046_2-1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106" t="s">
        <v>53</v>
      </c>
      <c r="L9" s="127">
        <v>1236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千利休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128">
        <v>45</v>
      </c>
      <c r="S9" s="129">
        <v>2</v>
      </c>
      <c r="T9" s="130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118482</v>
      </c>
      <c r="U9" s="129">
        <v>0.5</v>
      </c>
      <c r="V9" s="130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2381</v>
      </c>
      <c r="W9" s="128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むむっ　私としたことが…_x000D_見つかってしまうとは</v>
      </c>
      <c r="Y9" s="131">
        <v>30046001</v>
      </c>
      <c r="Z9" s="132">
        <v>1</v>
      </c>
      <c r="AA9" s="132">
        <v>100</v>
      </c>
      <c r="AB9" s="132">
        <v>1</v>
      </c>
      <c r="AC9" s="125">
        <v>1</v>
      </c>
      <c r="AD9" s="133">
        <f>L9</f>
        <v>1236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千利休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Drop2N</v>
      </c>
      <c r="AH9" s="101">
        <v>1</v>
      </c>
      <c r="AI9" s="133">
        <f ca="1">AF9</f>
        <v>4</v>
      </c>
      <c r="AJ9" s="134">
        <v>0</v>
      </c>
      <c r="AK9" s="101">
        <v>0</v>
      </c>
      <c r="AL9" s="101">
        <v>0</v>
      </c>
      <c r="AM9" s="101">
        <v>0</v>
      </c>
      <c r="AN9" s="101">
        <v>0</v>
      </c>
      <c r="AO9" s="101">
        <v>1</v>
      </c>
      <c r="AP9" s="135">
        <v>1</v>
      </c>
    </row>
    <row r="10" spans="1:42" ht="21" customHeight="1" x14ac:dyDescent="0.15">
      <c r="A10" s="16" t="str">
        <f>B10&amp;"_"&amp;C10&amp;"-"&amp;G10&amp;"/"&amp;L10&amp;"&lt;lv"&amp;R10&amp;"&gt;s"&amp;AC10</f>
        <v>30046_2-1/31&lt;lv45&gt;s2</v>
      </c>
      <c r="B10" s="22">
        <v>30046</v>
      </c>
      <c r="C10" s="21">
        <v>2</v>
      </c>
      <c r="D10" s="2" t="str">
        <f>B10&amp;"_"&amp;C10</f>
        <v>30046_2</v>
      </c>
      <c r="E10" s="4" t="str">
        <f ca="1">VLOOKUP($B10,OFFSET([2]quests!$A$1,0,0,COUNTA([2]quests!$A:$A),MATCH(E$1,[2]quests!$1:$1,0)-MATCH($B$1,[2]quests!$1:$1,0)+1),MATCH(E$1,[2]quests!$1:$1,0)-MATCH($B$1,[2]quests!$1:$1,0)+1,FALSE)</f>
        <v>千利の道も一歩から！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【上級】千利の道も一歩から！</v>
      </c>
      <c r="G10" s="21">
        <v>1</v>
      </c>
      <c r="H10" s="15" t="str">
        <f>B10&amp;"_"&amp;C10&amp;"-"&amp;G10</f>
        <v>30046_2-1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191">
        <v>31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マービー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machine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45</v>
      </c>
      <c r="S10" s="25">
        <v>1.8</v>
      </c>
      <c r="T10" s="99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14765.4</v>
      </c>
      <c r="U10" s="25">
        <v>1.1000000000000001</v>
      </c>
      <c r="V10" s="99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2789.6000000000004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ユニット単体に1ターンスキルバインド</v>
      </c>
      <c r="Y10" s="131">
        <v>30046002</v>
      </c>
      <c r="Z10" s="6">
        <v>2</v>
      </c>
      <c r="AA10" s="6">
        <v>100</v>
      </c>
      <c r="AB10" s="6">
        <v>0</v>
      </c>
      <c r="AC10" s="125">
        <v>2</v>
      </c>
      <c r="AD10" s="24">
        <f>L10</f>
        <v>31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マービー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1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Drop1N</v>
      </c>
      <c r="AH10" s="7">
        <v>1</v>
      </c>
      <c r="AI10" s="24">
        <f ca="1">AF10</f>
        <v>1</v>
      </c>
      <c r="AJ10" s="8">
        <v>10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8">
        <v>1</v>
      </c>
    </row>
    <row r="11" spans="1:42" ht="21" customHeight="1" x14ac:dyDescent="0.15">
      <c r="A11" s="16" t="str">
        <f>B11&amp;"_"&amp;C11&amp;"-"&amp;G11&amp;"/"&amp;L11&amp;"&lt;lv"&amp;R11&amp;"&gt;s"&amp;AC11</f>
        <v>30046_2-2/666&lt;lv45&gt;s2</v>
      </c>
      <c r="B11" s="22">
        <v>30046</v>
      </c>
      <c r="C11" s="21">
        <v>2</v>
      </c>
      <c r="D11" s="2" t="str">
        <f>B11&amp;"_"&amp;C11</f>
        <v>30046_2</v>
      </c>
      <c r="E11" s="4" t="str">
        <f ca="1">VLOOKUP($B11,OFFSET([2]quests!$A$1,0,0,COUNTA([2]quests!$A:$A),MATCH(E$1,[2]quests!$1:$1,0)-MATCH($B$1,[2]quests!$1:$1,0)+1),MATCH(E$1,[2]quests!$1:$1,0)-MATCH($B$1,[2]quests!$1:$1,0)+1,FALSE)</f>
        <v>千利の道も一歩から！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【上級】千利の道も一歩から！</v>
      </c>
      <c r="G11" s="21">
        <v>2</v>
      </c>
      <c r="H11" s="15" t="str">
        <f>B11&amp;"_"&amp;C11&amp;"-"&amp;G11</f>
        <v>30046_2-2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666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拡散する幸福 テマリ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45</v>
      </c>
      <c r="S11" s="25">
        <v>1</v>
      </c>
      <c r="T11" s="99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59241</v>
      </c>
      <c r="U11" s="25">
        <v>0.6</v>
      </c>
      <c r="V11" s="99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2857.2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11" s="131">
        <v>30046003</v>
      </c>
      <c r="Z11" s="6">
        <v>1</v>
      </c>
      <c r="AA11" s="6">
        <v>100</v>
      </c>
      <c r="AB11" s="6">
        <v>0</v>
      </c>
      <c r="AC11" s="125">
        <v>2</v>
      </c>
      <c r="AD11" s="24">
        <f>L11</f>
        <v>666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拡散する幸福 テマリ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1" s="7">
        <v>1</v>
      </c>
      <c r="AI11" s="24">
        <f ca="1">AF11</f>
        <v>4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8">
        <v>1</v>
      </c>
    </row>
    <row r="12" spans="1:42" ht="21" customHeight="1" x14ac:dyDescent="0.15">
      <c r="A12" s="16" t="str">
        <f t="shared" ref="A12:A15" si="5">B12&amp;"_"&amp;C12&amp;"-"&amp;G12&amp;"/"&amp;L12&amp;"&lt;lv"&amp;R12&amp;"&gt;s"&amp;AC12</f>
        <v>30046_2-2/141&lt;lv45&gt;s2</v>
      </c>
      <c r="B12" s="22">
        <v>30046</v>
      </c>
      <c r="C12" s="21">
        <v>2</v>
      </c>
      <c r="D12" s="2" t="str">
        <f t="shared" ref="D12:D15" si="6">B12&amp;"_"&amp;C12</f>
        <v>30046_2</v>
      </c>
      <c r="E12" s="4" t="str">
        <f ca="1">VLOOKUP($B12,OFFSET([2]quests!$A$1,0,0,COUNTA([2]quests!$A:$A),MATCH(E$1,[2]quests!$1:$1,0)-MATCH($B$1,[2]quests!$1:$1,0)+1),MATCH(E$1,[2]quests!$1:$1,0)-MATCH($B$1,[2]quests!$1:$1,0)+1,FALSE)</f>
        <v>千利の道も一歩から！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【上級】千利の道も一歩から！</v>
      </c>
      <c r="G12" s="21">
        <v>2</v>
      </c>
      <c r="H12" s="15" t="str">
        <f t="shared" ref="H12:H15" si="7">B12&amp;"_"&amp;C12&amp;"-"&amp;G12</f>
        <v>30046_2-2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141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妖狐演舞 タマモ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45</v>
      </c>
      <c r="S12" s="25">
        <v>0.8</v>
      </c>
      <c r="T12" s="99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71089.600000000006</v>
      </c>
      <c r="U12" s="25">
        <v>0.5</v>
      </c>
      <c r="V12" s="99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2015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5ターンウィルス</v>
      </c>
      <c r="Y12" s="131">
        <v>30046004</v>
      </c>
      <c r="Z12" s="6">
        <v>1</v>
      </c>
      <c r="AA12" s="6">
        <v>100</v>
      </c>
      <c r="AB12" s="6">
        <v>0</v>
      </c>
      <c r="AC12" s="125">
        <v>2</v>
      </c>
      <c r="AD12" s="24">
        <f t="shared" ref="AD12:AD15" si="8">L12</f>
        <v>141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妖狐演舞 タマモ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2" s="7">
        <v>1</v>
      </c>
      <c r="AI12" s="24">
        <f t="shared" ref="AI12:AI15" ca="1" si="9">AF12</f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8">
        <v>1</v>
      </c>
    </row>
    <row r="13" spans="1:42" ht="21" customHeight="1" x14ac:dyDescent="0.15">
      <c r="A13" s="16" t="str">
        <f t="shared" si="5"/>
        <v>30046_2-3/482&lt;lv45&gt;s2</v>
      </c>
      <c r="B13" s="22">
        <v>30046</v>
      </c>
      <c r="C13" s="21">
        <v>2</v>
      </c>
      <c r="D13" s="2" t="str">
        <f t="shared" si="6"/>
        <v>30046_2</v>
      </c>
      <c r="E13" s="4" t="str">
        <f ca="1">VLOOKUP($B13,OFFSET([2]quests!$A$1,0,0,COUNTA([2]quests!$A:$A),MATCH(E$1,[2]quests!$1:$1,0)-MATCH($B$1,[2]quests!$1:$1,0)+1),MATCH(E$1,[2]quests!$1:$1,0)-MATCH($B$1,[2]quests!$1:$1,0)+1,FALSE)</f>
        <v>千利の道も一歩から！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【上級】千利の道も一歩から！</v>
      </c>
      <c r="G13" s="21">
        <v>3</v>
      </c>
      <c r="H13" s="15" t="str">
        <f t="shared" si="7"/>
        <v>30046_2-3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482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魁僧 沢庵宗彭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PremiumS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45</v>
      </c>
      <c r="S13" s="25">
        <v>1.3</v>
      </c>
      <c r="T13" s="99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104968.5</v>
      </c>
      <c r="U13" s="25">
        <v>0.9</v>
      </c>
      <c r="V13" s="99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3606.3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5ターンウィルス</v>
      </c>
      <c r="Y13" s="131">
        <v>30046005</v>
      </c>
      <c r="Z13" s="6">
        <v>1</v>
      </c>
      <c r="AA13" s="6">
        <v>100</v>
      </c>
      <c r="AB13" s="6">
        <v>1</v>
      </c>
      <c r="AC13" s="125">
        <v>2</v>
      </c>
      <c r="AD13" s="24">
        <f t="shared" si="8"/>
        <v>482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魁僧 沢庵宗彭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3" s="7">
        <v>1</v>
      </c>
      <c r="AI13" s="24">
        <f t="shared" ca="1" si="9"/>
        <v>4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8">
        <v>1</v>
      </c>
    </row>
    <row r="14" spans="1:42" ht="21" customHeight="1" x14ac:dyDescent="0.15">
      <c r="A14" s="16" t="str">
        <f t="shared" si="5"/>
        <v>30046_2-3/74&lt;lv45&gt;s2</v>
      </c>
      <c r="B14" s="22">
        <v>30046</v>
      </c>
      <c r="C14" s="21">
        <v>2</v>
      </c>
      <c r="D14" s="2" t="str">
        <f t="shared" si="6"/>
        <v>30046_2</v>
      </c>
      <c r="E14" s="4" t="str">
        <f ca="1">VLOOKUP($B14,OFFSET([2]quests!$A$1,0,0,COUNTA([2]quests!$A:$A),MATCH(E$1,[2]quests!$1:$1,0)-MATCH($B$1,[2]quests!$1:$1,0)+1),MATCH(E$1,[2]quests!$1:$1,0)-MATCH($B$1,[2]quests!$1:$1,0)+1,FALSE)</f>
        <v>千利の道も一歩から！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【上級】千利の道も一歩から！</v>
      </c>
      <c r="G14" s="21">
        <v>3</v>
      </c>
      <c r="H14" s="15" t="str">
        <f t="shared" si="7"/>
        <v>30046_2-3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74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サンダーバード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45</v>
      </c>
      <c r="S14" s="25">
        <v>2.7</v>
      </c>
      <c r="T14" s="99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24607.800000000003</v>
      </c>
      <c r="U14" s="25">
        <v>0.6</v>
      </c>
      <c r="V14" s="99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2473.7999999999997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3回連続攻撃</v>
      </c>
      <c r="Y14" s="193">
        <v>30046006</v>
      </c>
      <c r="Z14" s="6">
        <v>2</v>
      </c>
      <c r="AA14" s="6">
        <v>100</v>
      </c>
      <c r="AB14" s="6">
        <v>0</v>
      </c>
      <c r="AC14" s="125">
        <v>2</v>
      </c>
      <c r="AD14" s="24">
        <f t="shared" si="8"/>
        <v>74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サンダーバード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2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Drop1S</v>
      </c>
      <c r="AH14" s="7">
        <v>1</v>
      </c>
      <c r="AI14" s="24">
        <f t="shared" ca="1" si="9"/>
        <v>2</v>
      </c>
      <c r="AJ14" s="8">
        <v>15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8">
        <v>1</v>
      </c>
    </row>
    <row r="15" spans="1:42" ht="21" customHeight="1" thickBot="1" x14ac:dyDescent="0.2">
      <c r="A15" s="110" t="str">
        <f t="shared" si="5"/>
        <v>30046_2-4/1236&lt;lv45&gt;s2</v>
      </c>
      <c r="B15" s="136">
        <v>30046</v>
      </c>
      <c r="C15" s="113">
        <v>2</v>
      </c>
      <c r="D15" s="115" t="str">
        <f t="shared" si="6"/>
        <v>30046_2</v>
      </c>
      <c r="E15" s="137" t="str">
        <f ca="1">VLOOKUP($B15,OFFSET([2]quests!$A$1,0,0,COUNTA([2]quests!$A:$A),MATCH(E$1,[2]quests!$1:$1,0)-MATCH($B$1,[2]quests!$1:$1,0)+1),MATCH(E$1,[2]quests!$1:$1,0)-MATCH($B$1,[2]quests!$1:$1,0)+1,FALSE)</f>
        <v>千利の道も一歩から！</v>
      </c>
      <c r="F15" s="137" t="str">
        <f ca="1">VLOOKUP($D15,OFFSET([2]stages!$A$1,0,0,COUNTA([2]stages!$A:$A),MATCH(F$1,[2]stages!$2:$2,0)-MATCH($D$1,[2]stages!$2:$2,0)+1),MATCH(F$1,[2]stages!$2:$2,0)-MATCH($D$1,[2]stages!$2:$2,0)+1,FALSE)</f>
        <v>【上級】千利の道も一歩から！</v>
      </c>
      <c r="G15" s="113">
        <v>4</v>
      </c>
      <c r="H15" s="115" t="str">
        <f t="shared" si="7"/>
        <v>30046_2-4</v>
      </c>
      <c r="I15" s="137">
        <f ca="1">VLOOKUP($H15,OFFSET(floors!$A$1,0,0,COUNTA(floors!$A:$A),MATCH(I$1,floors!$1:$1,0)-MATCH($H$1,floors!$1:$1,0)+1),MATCH(I$1,floors!$1:$1,0)-MATCH($H$1,floors!$1:$1,0)+1,FALSE)</f>
        <v>30</v>
      </c>
      <c r="J15" s="137">
        <f ca="1">VLOOKUP($H15,OFFSET(floors!$A$1,0,0,COUNTA(floors!$A:$A),MATCH(J$1,floors!$1:$1,0)-MATCH($H$1,floors!$1:$1,0)+1),MATCH(J$1,floors!$1:$1,0)-MATCH($H$1,floors!$1:$1,0)+1,FALSE)</f>
        <v>60</v>
      </c>
      <c r="K15" s="116">
        <v>2</v>
      </c>
      <c r="L15" s="138">
        <v>1236</v>
      </c>
      <c r="M15" s="139" t="str">
        <f ca="1">VLOOKUP($L15,OFFSET([3]enemies!$A$1,0,0,COUNTA([3]enemies!$A:$A),MATCH(M$1,[3]enemies!$1:$1,0)-MATCH($L$1,[3]enemies!$1:$1,0)+1),MATCH(M$1,[3]enemies!$1:$1,0)-MATCH($L$1,[3]enemies!$1:$1,0)+1,FALSE)</f>
        <v>千利休</v>
      </c>
      <c r="N15" s="139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39" t="str">
        <f ca="1">VLOOKUP($L15,OFFSET([4]characters!$A$1,0,0,COUNTA([4]characters!$A:$A),MATCH(O$1,[4]characters!$1:$1,0)-MATCH($L$1,[4]characters!$1:$1,0)+1),MATCH(O$1,[4]characters!$1:$1,0)-MATCH($L$1,[4]characters!$1:$1,0)+1,FALSE)</f>
        <v>Drop2N</v>
      </c>
      <c r="P15" s="139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39">
        <f ca="1">VLOOKUP($L15,OFFSET([3]enemies!$A$1,0,0,COUNTA([3]enemies!$A:$A),MATCH(Q$1,[3]enemies!$1:$1,0)-MATCH($L$1,[3]enemies!$1:$1,0)+1),MATCH(Q$1,[3]enemies!$1:$1,0)-MATCH($L$1,[3]enemies!$1:$1,0)+1,FALSE)</f>
        <v>30</v>
      </c>
      <c r="R15" s="140">
        <v>45</v>
      </c>
      <c r="S15" s="220">
        <v>2.5</v>
      </c>
      <c r="T15" s="141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148102.5</v>
      </c>
      <c r="U15" s="221">
        <v>0.7</v>
      </c>
      <c r="V15" s="141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3333.3999999999996</v>
      </c>
      <c r="W15" s="140">
        <v>0</v>
      </c>
      <c r="X15" s="137" t="str">
        <f ca="1">VLOOKUP($Y15,OFFSET(enemy_skill_sets!$B$1,0,0,COUNTA(enemy_skill_sets!$B:$B),MATCH(M$1,enemy_skill_sets!$1:$1,0)-MATCH($Y$1,enemy_skill_sets!$1:$1,0)+2),MATCH(M$1,enemy_skill_sets!$1:$1,0)-MATCH($Y$1,enemy_skill_sets!$1:$1,0)+2,FALSE)</f>
        <v>解除するまでウィルス</v>
      </c>
      <c r="Y15" s="192">
        <v>30046007</v>
      </c>
      <c r="Z15" s="142">
        <v>1</v>
      </c>
      <c r="AA15" s="142">
        <v>100</v>
      </c>
      <c r="AB15" s="142">
        <v>1</v>
      </c>
      <c r="AC15" s="143">
        <v>2</v>
      </c>
      <c r="AD15" s="144">
        <f t="shared" si="8"/>
        <v>1236</v>
      </c>
      <c r="AE15" s="137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千利休</v>
      </c>
      <c r="AF15" s="137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137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Drop2N</v>
      </c>
      <c r="AH15" s="111">
        <v>1</v>
      </c>
      <c r="AI15" s="144">
        <f t="shared" ca="1" si="9"/>
        <v>4</v>
      </c>
      <c r="AJ15" s="152">
        <v>50</v>
      </c>
      <c r="AK15" s="111">
        <v>0</v>
      </c>
      <c r="AL15" s="111">
        <v>0</v>
      </c>
      <c r="AM15" s="111">
        <v>0</v>
      </c>
      <c r="AN15" s="111">
        <v>0</v>
      </c>
      <c r="AO15" s="111">
        <v>1</v>
      </c>
      <c r="AP15" s="145">
        <v>1</v>
      </c>
    </row>
    <row r="16" spans="1:42" ht="21" customHeight="1" thickTop="1" x14ac:dyDescent="0.15">
      <c r="A16" s="16" t="str">
        <f>B16&amp;"_"&amp;C16&amp;"-"&amp;G16&amp;"/"&amp;L16&amp;"&lt;lv"&amp;R16&amp;"&gt;s"&amp;AC16</f>
        <v>30046_3-1/1236&lt;lv60&gt;s1</v>
      </c>
      <c r="B16" s="22">
        <v>30046</v>
      </c>
      <c r="C16" s="103">
        <v>3</v>
      </c>
      <c r="D16" s="105" t="str">
        <f>B16&amp;"_"&amp;C16</f>
        <v>30046_3</v>
      </c>
      <c r="E16" s="4" t="str">
        <f ca="1">VLOOKUP($B16,OFFSET([2]quests!$A$1,0,0,COUNTA([2]quests!$A:$A),MATCH(E$1,[2]quests!$1:$1,0)-MATCH($B$1,[2]quests!$1:$1,0)+1),MATCH(E$1,[2]quests!$1:$1,0)-MATCH($B$1,[2]quests!$1:$1,0)+1,FALSE)</f>
        <v>千利の道も一歩から！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【超級】千利の道も一歩から！</v>
      </c>
      <c r="G16" s="103">
        <v>1</v>
      </c>
      <c r="H16" s="105" t="str">
        <f>B16&amp;"_"&amp;C16&amp;"-"&amp;G16</f>
        <v>30046_3-1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106" t="s">
        <v>53</v>
      </c>
      <c r="L16" s="127">
        <v>1236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千利休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Drop2N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7">
        <f ca="1">VLOOKUP($L16,OFFSET([3]enemies!$A$1,0,0,COUNTA([3]enemies!$A:$A),MATCH(Q$1,[3]enemies!$1:$1,0)-MATCH($L$1,[3]enemies!$1:$1,0)+1),MATCH(Q$1,[3]enemies!$1:$1,0)-MATCH($L$1,[3]enemies!$1:$1,0)+1,FALSE)</f>
        <v>30</v>
      </c>
      <c r="R16" s="128">
        <v>60</v>
      </c>
      <c r="S16" s="129">
        <v>2</v>
      </c>
      <c r="T16" s="130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156702</v>
      </c>
      <c r="U16" s="129">
        <v>0.5</v>
      </c>
      <c r="V16" s="130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3149</v>
      </c>
      <c r="W16" s="128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むむっ　私としたことが…_x000D_見つかってしまうとは</v>
      </c>
      <c r="Y16" s="131">
        <v>30046001</v>
      </c>
      <c r="Z16" s="132">
        <v>1</v>
      </c>
      <c r="AA16" s="132">
        <v>100</v>
      </c>
      <c r="AB16" s="132">
        <v>1</v>
      </c>
      <c r="AC16" s="125">
        <v>1</v>
      </c>
      <c r="AD16" s="133">
        <f>L16</f>
        <v>1236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千利休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4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Drop2N</v>
      </c>
      <c r="AH16" s="101">
        <v>1</v>
      </c>
      <c r="AI16" s="133">
        <f ca="1">AF16</f>
        <v>4</v>
      </c>
      <c r="AJ16" s="134">
        <v>0</v>
      </c>
      <c r="AK16" s="101">
        <v>0</v>
      </c>
      <c r="AL16" s="101">
        <v>0</v>
      </c>
      <c r="AM16" s="101">
        <v>0</v>
      </c>
      <c r="AN16" s="101">
        <v>0</v>
      </c>
      <c r="AO16" s="101">
        <v>1</v>
      </c>
      <c r="AP16" s="135">
        <v>1</v>
      </c>
    </row>
    <row r="17" spans="1:42" ht="21" customHeight="1" x14ac:dyDescent="0.15">
      <c r="A17" s="16" t="str">
        <f>B17&amp;"_"&amp;C17&amp;"-"&amp;G17&amp;"/"&amp;L17&amp;"&lt;lv"&amp;R17&amp;"&gt;s"&amp;AC17</f>
        <v>30046_3-1/31&lt;lv60&gt;s2</v>
      </c>
      <c r="B17" s="22">
        <v>30046</v>
      </c>
      <c r="C17" s="21">
        <v>3</v>
      </c>
      <c r="D17" s="2" t="str">
        <f>B17&amp;"_"&amp;C17</f>
        <v>30046_3</v>
      </c>
      <c r="E17" s="4" t="str">
        <f ca="1">VLOOKUP($B17,OFFSET([2]quests!$A$1,0,0,COUNTA([2]quests!$A:$A),MATCH(E$1,[2]quests!$1:$1,0)-MATCH($B$1,[2]quests!$1:$1,0)+1),MATCH(E$1,[2]quests!$1:$1,0)-MATCH($B$1,[2]quests!$1:$1,0)+1,FALSE)</f>
        <v>千利の道も一歩から！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【超級】千利の道も一歩から！</v>
      </c>
      <c r="G17" s="21">
        <v>1</v>
      </c>
      <c r="H17" s="15" t="str">
        <f>B17&amp;"_"&amp;C17&amp;"-"&amp;G17</f>
        <v>30046_3-1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191">
        <v>31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マービー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machine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60</v>
      </c>
      <c r="S17" s="25">
        <v>1.8</v>
      </c>
      <c r="T17" s="99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19528.2</v>
      </c>
      <c r="U17" s="25">
        <v>1.1000000000000001</v>
      </c>
      <c r="V17" s="99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3689.4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ユニット単体に1ターンスキルバインド</v>
      </c>
      <c r="Y17" s="131">
        <v>30046002</v>
      </c>
      <c r="Z17" s="6">
        <v>2</v>
      </c>
      <c r="AA17" s="6">
        <v>100</v>
      </c>
      <c r="AB17" s="6">
        <v>0</v>
      </c>
      <c r="AC17" s="125">
        <v>2</v>
      </c>
      <c r="AD17" s="24">
        <f>L17</f>
        <v>31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マービー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1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Drop1N</v>
      </c>
      <c r="AH17" s="7">
        <v>1</v>
      </c>
      <c r="AI17" s="24">
        <f ca="1">AF17</f>
        <v>1</v>
      </c>
      <c r="AJ17" s="8">
        <v>10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8">
        <v>1</v>
      </c>
    </row>
    <row r="18" spans="1:42" ht="21" customHeight="1" x14ac:dyDescent="0.15">
      <c r="A18" s="16" t="str">
        <f>B18&amp;"_"&amp;C18&amp;"-"&amp;G18&amp;"/"&amp;L18&amp;"&lt;lv"&amp;R18&amp;"&gt;s"&amp;AC18</f>
        <v>30046_3-2/666&lt;lv60&gt;s2</v>
      </c>
      <c r="B18" s="22">
        <v>30046</v>
      </c>
      <c r="C18" s="21">
        <v>3</v>
      </c>
      <c r="D18" s="2" t="str">
        <f>B18&amp;"_"&amp;C18</f>
        <v>30046_3</v>
      </c>
      <c r="E18" s="4" t="str">
        <f ca="1">VLOOKUP($B18,OFFSET([2]quests!$A$1,0,0,COUNTA([2]quests!$A:$A),MATCH(E$1,[2]quests!$1:$1,0)-MATCH($B$1,[2]quests!$1:$1,0)+1),MATCH(E$1,[2]quests!$1:$1,0)-MATCH($B$1,[2]quests!$1:$1,0)+1,FALSE)</f>
        <v>千利の道も一歩から！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【超級】千利の道も一歩から！</v>
      </c>
      <c r="G18" s="21">
        <v>2</v>
      </c>
      <c r="H18" s="15" t="str">
        <f>B18&amp;"_"&amp;C18&amp;"-"&amp;G18</f>
        <v>30046_3-2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666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拡散する幸福 テマリ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5">
        <v>60</v>
      </c>
      <c r="S18" s="25">
        <v>1</v>
      </c>
      <c r="T18" s="99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78351</v>
      </c>
      <c r="U18" s="25">
        <v>0.6</v>
      </c>
      <c r="V18" s="99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3778.7999999999997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18" s="131">
        <v>30046003</v>
      </c>
      <c r="Z18" s="6">
        <v>1</v>
      </c>
      <c r="AA18" s="6">
        <v>100</v>
      </c>
      <c r="AB18" s="6">
        <v>0</v>
      </c>
      <c r="AC18" s="125">
        <v>2</v>
      </c>
      <c r="AD18" s="24">
        <f>L18</f>
        <v>666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拡散する幸福 テマリ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4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8" s="7">
        <v>1</v>
      </c>
      <c r="AI18" s="24">
        <f ca="1">AF18</f>
        <v>4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8">
        <v>1</v>
      </c>
    </row>
    <row r="19" spans="1:42" ht="21" customHeight="1" x14ac:dyDescent="0.15">
      <c r="A19" s="16" t="str">
        <f t="shared" ref="A19:A22" si="10">B19&amp;"_"&amp;C19&amp;"-"&amp;G19&amp;"/"&amp;L19&amp;"&lt;lv"&amp;R19&amp;"&gt;s"&amp;AC19</f>
        <v>30046_3-2/141&lt;lv60&gt;s2</v>
      </c>
      <c r="B19" s="22">
        <v>30046</v>
      </c>
      <c r="C19" s="21">
        <v>3</v>
      </c>
      <c r="D19" s="2" t="str">
        <f t="shared" ref="D19:D22" si="11">B19&amp;"_"&amp;C19</f>
        <v>30046_3</v>
      </c>
      <c r="E19" s="4" t="str">
        <f ca="1">VLOOKUP($B19,OFFSET([2]quests!$A$1,0,0,COUNTA([2]quests!$A:$A),MATCH(E$1,[2]quests!$1:$1,0)-MATCH($B$1,[2]quests!$1:$1,0)+1),MATCH(E$1,[2]quests!$1:$1,0)-MATCH($B$1,[2]quests!$1:$1,0)+1,FALSE)</f>
        <v>千利の道も一歩から！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【超級】千利の道も一歩から！</v>
      </c>
      <c r="G19" s="21">
        <v>2</v>
      </c>
      <c r="H19" s="15" t="str">
        <f t="shared" ref="H19:H22" si="12">B19&amp;"_"&amp;C19&amp;"-"&amp;G19</f>
        <v>30046_3-2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 t="s">
        <v>53</v>
      </c>
      <c r="L19" s="20">
        <v>141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妖狐演舞 タマモ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PremiumW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30</v>
      </c>
      <c r="R19" s="5">
        <v>60</v>
      </c>
      <c r="S19" s="25">
        <v>0.8</v>
      </c>
      <c r="T19" s="99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94021.6</v>
      </c>
      <c r="U19" s="25">
        <v>0.5</v>
      </c>
      <c r="V19" s="99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2664.5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5ターンウィルス</v>
      </c>
      <c r="Y19" s="131">
        <v>30046004</v>
      </c>
      <c r="Z19" s="6">
        <v>1</v>
      </c>
      <c r="AA19" s="6">
        <v>100</v>
      </c>
      <c r="AB19" s="6">
        <v>0</v>
      </c>
      <c r="AC19" s="125">
        <v>2</v>
      </c>
      <c r="AD19" s="24">
        <f t="shared" ref="AD19:AD22" si="13">L19</f>
        <v>141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妖狐演舞 タマモ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4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9" s="7">
        <v>1</v>
      </c>
      <c r="AI19" s="24">
        <f t="shared" ref="AI19:AI22" ca="1" si="14">AF19</f>
        <v>4</v>
      </c>
      <c r="AJ19" s="8">
        <v>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68">
        <v>1</v>
      </c>
    </row>
    <row r="20" spans="1:42" ht="21" customHeight="1" x14ac:dyDescent="0.15">
      <c r="A20" s="16" t="str">
        <f t="shared" si="10"/>
        <v>30046_3-3/482&lt;lv60&gt;s2</v>
      </c>
      <c r="B20" s="22">
        <v>30046</v>
      </c>
      <c r="C20" s="21">
        <v>3</v>
      </c>
      <c r="D20" s="2" t="str">
        <f t="shared" si="11"/>
        <v>30046_3</v>
      </c>
      <c r="E20" s="4" t="str">
        <f ca="1">VLOOKUP($B20,OFFSET([2]quests!$A$1,0,0,COUNTA([2]quests!$A:$A),MATCH(E$1,[2]quests!$1:$1,0)-MATCH($B$1,[2]quests!$1:$1,0)+1),MATCH(E$1,[2]quests!$1:$1,0)-MATCH($B$1,[2]quests!$1:$1,0)+1,FALSE)</f>
        <v>千利の道も一歩から！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【超級】千利の道も一歩から！</v>
      </c>
      <c r="G20" s="21">
        <v>3</v>
      </c>
      <c r="H20" s="15" t="str">
        <f t="shared" si="12"/>
        <v>30046_3-3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 t="s">
        <v>53</v>
      </c>
      <c r="L20" s="20">
        <v>482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魁僧 沢庵宗彭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yellow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PremiumS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human</v>
      </c>
      <c r="Q20" s="17">
        <f ca="1">VLOOKUP($L20,OFFSET([3]enemies!$A$1,0,0,COUNTA([3]enemies!$A:$A),MATCH(Q$1,[3]enemies!$1:$1,0)-MATCH($L$1,[3]enemies!$1:$1,0)+1),MATCH(Q$1,[3]enemies!$1:$1,0)-MATCH($L$1,[3]enemies!$1:$1,0)+1,FALSE)</f>
        <v>30</v>
      </c>
      <c r="R20" s="5">
        <v>60</v>
      </c>
      <c r="S20" s="25">
        <v>1.3</v>
      </c>
      <c r="T20" s="99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138829.6</v>
      </c>
      <c r="U20" s="25">
        <v>0.9</v>
      </c>
      <c r="V20" s="99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4770</v>
      </c>
      <c r="W20" s="5">
        <v>0</v>
      </c>
      <c r="X20" s="4" t="str">
        <f ca="1">VLOOKUP($Y20,OFFSET(enemy_skill_sets!$B$1,0,0,COUNTA(enemy_skill_sets!$B:$B),MATCH(M$1,enemy_skill_sets!$1:$1,0)-MATCH($Y$1,enemy_skill_sets!$1:$1,0)+2),MATCH(M$1,enemy_skill_sets!$1:$1,0)-MATCH($Y$1,enemy_skill_sets!$1:$1,0)+2,FALSE)</f>
        <v>5ターンウィルス</v>
      </c>
      <c r="Y20" s="131">
        <v>30046005</v>
      </c>
      <c r="Z20" s="6">
        <v>1</v>
      </c>
      <c r="AA20" s="6">
        <v>100</v>
      </c>
      <c r="AB20" s="6">
        <v>1</v>
      </c>
      <c r="AC20" s="125">
        <v>2</v>
      </c>
      <c r="AD20" s="24">
        <f t="shared" si="13"/>
        <v>482</v>
      </c>
      <c r="AE20" s="4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魁僧 沢庵宗彭</v>
      </c>
      <c r="AF20" s="4">
        <f ca="1">VLOOKUP($AD20,OFFSET([4]characters!$A$1,0,0,COUNTA([4]characters!$A:$A),MATCH(AF$1,[4]characters!$1:$1,0)-MATCH("character_id",[4]characters!$1:$1,0)+1),MATCH(AF$1,[4]characters!$1:$1,0)-MATCH("character_id",[4]characters!$1:$1,0)+1,FALSE)</f>
        <v>4</v>
      </c>
      <c r="AG20" s="4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0" s="7">
        <v>1</v>
      </c>
      <c r="AI20" s="24">
        <f t="shared" ca="1" si="14"/>
        <v>4</v>
      </c>
      <c r="AJ20" s="8">
        <v>0</v>
      </c>
      <c r="AK20" s="7">
        <v>0</v>
      </c>
      <c r="AL20" s="7">
        <v>0</v>
      </c>
      <c r="AM20" s="7">
        <v>0</v>
      </c>
      <c r="AN20" s="7">
        <v>0</v>
      </c>
      <c r="AO20" s="7">
        <v>1</v>
      </c>
      <c r="AP20" s="68">
        <v>1</v>
      </c>
    </row>
    <row r="21" spans="1:42" ht="21" customHeight="1" x14ac:dyDescent="0.15">
      <c r="A21" s="16" t="str">
        <f t="shared" si="10"/>
        <v>30046_3-3/74&lt;lv60&gt;s2</v>
      </c>
      <c r="B21" s="22">
        <v>30046</v>
      </c>
      <c r="C21" s="21">
        <v>3</v>
      </c>
      <c r="D21" s="2" t="str">
        <f t="shared" si="11"/>
        <v>30046_3</v>
      </c>
      <c r="E21" s="4" t="str">
        <f ca="1">VLOOKUP($B21,OFFSET([2]quests!$A$1,0,0,COUNTA([2]quests!$A:$A),MATCH(E$1,[2]quests!$1:$1,0)-MATCH($B$1,[2]quests!$1:$1,0)+1),MATCH(E$1,[2]quests!$1:$1,0)-MATCH($B$1,[2]quests!$1:$1,0)+1,FALSE)</f>
        <v>千利の道も一歩から！</v>
      </c>
      <c r="F21" s="4" t="str">
        <f ca="1">VLOOKUP($D21,OFFSET([2]stages!$A$1,0,0,COUNTA([2]stages!$A:$A),MATCH(F$1,[2]stages!$2:$2,0)-MATCH($D$1,[2]stages!$2:$2,0)+1),MATCH(F$1,[2]stages!$2:$2,0)-MATCH($D$1,[2]stages!$2:$2,0)+1,FALSE)</f>
        <v>【超級】千利の道も一歩から！</v>
      </c>
      <c r="G21" s="21">
        <v>3</v>
      </c>
      <c r="H21" s="15" t="str">
        <f t="shared" si="12"/>
        <v>30046_3-3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8" t="s">
        <v>53</v>
      </c>
      <c r="L21" s="20">
        <v>74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サンダーバード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Drop1S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animal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5">
        <v>60</v>
      </c>
      <c r="S21" s="25">
        <v>2.7</v>
      </c>
      <c r="T21" s="99">
        <f ca="1">ROUND(VLOOKUP(R21,[3]enemy_base_stats!$A:$F,2,FALSE)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INDIRECT("[EnemyMasterData.xlsm]enemies!AD"&amp;(L21+1))*[4]ステータス!$B$2,0)*S21</f>
        <v>32545.800000000003</v>
      </c>
      <c r="U21" s="25">
        <v>0.6</v>
      </c>
      <c r="V21" s="99">
        <f ca="1">ROUND(VLOOKUP(R21,[3]enemy_base_stats!$A:$F,3,FALSE)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INDIRECT("[EnemyMasterData.xlsm]enemies!AE"&amp;(L21+1))*[4]ステータス!$C$2,0)*U21</f>
        <v>3271.2</v>
      </c>
      <c r="W21" s="5">
        <v>0</v>
      </c>
      <c r="X21" s="4" t="str">
        <f ca="1">VLOOKUP($Y21,OFFSET(enemy_skill_sets!$B$1,0,0,COUNTA(enemy_skill_sets!$B:$B),MATCH(M$1,enemy_skill_sets!$1:$1,0)-MATCH($Y$1,enemy_skill_sets!$1:$1,0)+2),MATCH(M$1,enemy_skill_sets!$1:$1,0)-MATCH($Y$1,enemy_skill_sets!$1:$1,0)+2,FALSE)</f>
        <v>3回連続攻撃</v>
      </c>
      <c r="Y21" s="193">
        <v>30046006</v>
      </c>
      <c r="Z21" s="6">
        <v>2</v>
      </c>
      <c r="AA21" s="6">
        <v>100</v>
      </c>
      <c r="AB21" s="6">
        <v>0</v>
      </c>
      <c r="AC21" s="125">
        <v>2</v>
      </c>
      <c r="AD21" s="24">
        <f t="shared" si="13"/>
        <v>74</v>
      </c>
      <c r="AE21" s="4" t="str">
        <f ca="1">VLOOKUP($AD21,OFFSET([4]characters!$A$1,0,0,COUNTA([4]characters!$A:$A),MATCH(AE$1,[4]characters!$1:$1,0)-MATCH("character_id",[4]characters!$1:$1,0)+1),MATCH(AE$1,[4]characters!$1:$1,0)-MATCH("character_id",[4]characters!$1:$1,0)+1,FALSE)</f>
        <v>サンダーバード</v>
      </c>
      <c r="AF21" s="4">
        <f ca="1">VLOOKUP($AD21,OFFSET([4]characters!$A$1,0,0,COUNTA([4]characters!$A:$A),MATCH(AF$1,[4]characters!$1:$1,0)-MATCH("character_id",[4]characters!$1:$1,0)+1),MATCH(AF$1,[4]characters!$1:$1,0)-MATCH("character_id",[4]characters!$1:$1,0)+1,FALSE)</f>
        <v>2</v>
      </c>
      <c r="AG21" s="4" t="str">
        <f ca="1">VLOOKUP($AD21,OFFSET([4]characters!$A$1,0,0,COUNTA([4]characters!$A:$A),MATCH(AG$1,[4]characters!$1:$1,0)-MATCH("character_id",[4]characters!$1:$1,0)+1),MATCH(AG$1,[4]characters!$1:$1,0)-MATCH("character_id",[4]characters!$1:$1,0)+1,FALSE)</f>
        <v>Drop1S</v>
      </c>
      <c r="AH21" s="7">
        <v>1</v>
      </c>
      <c r="AI21" s="24">
        <f t="shared" ca="1" si="14"/>
        <v>2</v>
      </c>
      <c r="AJ21" s="8">
        <v>20</v>
      </c>
      <c r="AK21" s="7">
        <v>0</v>
      </c>
      <c r="AL21" s="7">
        <v>0</v>
      </c>
      <c r="AM21" s="7">
        <v>0</v>
      </c>
      <c r="AN21" s="7">
        <v>0</v>
      </c>
      <c r="AO21" s="7">
        <v>1</v>
      </c>
      <c r="AP21" s="68">
        <v>1</v>
      </c>
    </row>
    <row r="22" spans="1:42" ht="21" customHeight="1" x14ac:dyDescent="0.15">
      <c r="A22" s="16" t="str">
        <f t="shared" si="10"/>
        <v>30046_3-4/1236&lt;lv60&gt;s2</v>
      </c>
      <c r="B22" s="22">
        <v>30046</v>
      </c>
      <c r="C22" s="21">
        <v>3</v>
      </c>
      <c r="D22" s="2" t="str">
        <f t="shared" si="11"/>
        <v>30046_3</v>
      </c>
      <c r="E22" s="4" t="str">
        <f ca="1">VLOOKUP($B22,OFFSET([2]quests!$A$1,0,0,COUNTA([2]quests!$A:$A),MATCH(E$1,[2]quests!$1:$1,0)-MATCH($B$1,[2]quests!$1:$1,0)+1),MATCH(E$1,[2]quests!$1:$1,0)-MATCH($B$1,[2]quests!$1:$1,0)+1,FALSE)</f>
        <v>千利の道も一歩から！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【超級】千利の道も一歩から！</v>
      </c>
      <c r="G22" s="21">
        <v>4</v>
      </c>
      <c r="H22" s="15" t="str">
        <f t="shared" si="12"/>
        <v>30046_3-4</v>
      </c>
      <c r="I22" s="4">
        <f ca="1">VLOOKUP($H22,OFFSET(floors!$A$1,0,0,COUNTA(floors!$A:$A),MATCH(I$1,floors!$1:$1,0)-MATCH($H$1,floors!$1:$1,0)+1),MATCH(I$1,floors!$1:$1,0)-MATCH($H$1,floors!$1:$1,0)+1,FALSE)</f>
        <v>30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>
        <v>3</v>
      </c>
      <c r="L22" s="124">
        <v>1236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千利休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yellow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Drop2N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7">
        <f ca="1">VLOOKUP($L22,OFFSET([3]enemies!$A$1,0,0,COUNTA([3]enemies!$A:$A),MATCH(Q$1,[3]enemies!$1:$1,0)-MATCH($L$1,[3]enemies!$1:$1,0)+1),MATCH(Q$1,[3]enemies!$1:$1,0)-MATCH($L$1,[3]enemies!$1:$1,0)+1,FALSE)</f>
        <v>30</v>
      </c>
      <c r="R22" s="5">
        <v>60</v>
      </c>
      <c r="S22" s="25">
        <v>2.5</v>
      </c>
      <c r="T22" s="99">
        <f ca="1">ROUND(VLOOKUP(R22,[3]enemy_base_stats!$A:$F,2,FALSE)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INDIRECT("[EnemyMasterData.xlsm]enemies!AD"&amp;(L22+1))*[4]ステータス!$B$2,0)*S22</f>
        <v>195877.5</v>
      </c>
      <c r="U22" s="25">
        <v>0.7</v>
      </c>
      <c r="V22" s="99">
        <f ca="1">ROUND(VLOOKUP(R22,[3]enemy_base_stats!$A:$F,3,FALSE)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INDIRECT("[EnemyMasterData.xlsm]enemies!AE"&amp;(L22+1))*[4]ステータス!$C$2,0)*U22</f>
        <v>4408.5999999999995</v>
      </c>
      <c r="W22" s="5">
        <v>0</v>
      </c>
      <c r="X22" s="4" t="str">
        <f ca="1">VLOOKUP($Y22,OFFSET(enemy_skill_sets!$B$1,0,0,COUNTA(enemy_skill_sets!$B:$B),MATCH(M$1,enemy_skill_sets!$1:$1,0)-MATCH($Y$1,enemy_skill_sets!$1:$1,0)+2),MATCH(M$1,enemy_skill_sets!$1:$1,0)-MATCH($Y$1,enemy_skill_sets!$1:$1,0)+2,FALSE)</f>
        <v>解除するまでウィルス</v>
      </c>
      <c r="Y22" s="193">
        <v>30046007</v>
      </c>
      <c r="Z22" s="6">
        <v>1</v>
      </c>
      <c r="AA22" s="6">
        <v>100</v>
      </c>
      <c r="AB22" s="6">
        <v>1</v>
      </c>
      <c r="AC22" s="125">
        <v>2</v>
      </c>
      <c r="AD22" s="24">
        <f t="shared" si="13"/>
        <v>1236</v>
      </c>
      <c r="AE22" s="4" t="str">
        <f ca="1">VLOOKUP($AD22,OFFSET([4]characters!$A$1,0,0,COUNTA([4]characters!$A:$A),MATCH(AE$1,[4]characters!$1:$1,0)-MATCH("character_id",[4]characters!$1:$1,0)+1),MATCH(AE$1,[4]characters!$1:$1,0)-MATCH("character_id",[4]characters!$1:$1,0)+1,FALSE)</f>
        <v>千利休</v>
      </c>
      <c r="AF22" s="4">
        <f ca="1">VLOOKUP($AD22,OFFSET([4]characters!$A$1,0,0,COUNTA([4]characters!$A:$A),MATCH(AF$1,[4]characters!$1:$1,0)-MATCH("character_id",[4]characters!$1:$1,0)+1),MATCH(AF$1,[4]characters!$1:$1,0)-MATCH("character_id",[4]characters!$1:$1,0)+1,FALSE)</f>
        <v>4</v>
      </c>
      <c r="AG22" s="4" t="str">
        <f ca="1">VLOOKUP($AD22,OFFSET([4]characters!$A$1,0,0,COUNTA([4]characters!$A:$A),MATCH(AG$1,[4]characters!$1:$1,0)-MATCH("character_id",[4]characters!$1:$1,0)+1),MATCH(AG$1,[4]characters!$1:$1,0)-MATCH("character_id",[4]characters!$1:$1,0)+1,FALSE)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2" s="7">
        <v>1</v>
      </c>
      <c r="AI22" s="24">
        <f t="shared" ca="1" si="14"/>
        <v>4</v>
      </c>
      <c r="AJ22" s="151">
        <v>100</v>
      </c>
      <c r="AK22" s="7">
        <v>0</v>
      </c>
      <c r="AL22" s="7">
        <v>0</v>
      </c>
      <c r="AM22" s="7">
        <v>0</v>
      </c>
      <c r="AN22" s="7">
        <v>0</v>
      </c>
      <c r="AO22" s="7">
        <v>1</v>
      </c>
      <c r="AP22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10" sqref="U10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1.83203125" style="3" customWidth="1"/>
    <col min="3" max="3" width="9.33203125" style="3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9.33203125" style="3" customWidth="1" collapsed="1"/>
    <col min="8" max="10" width="12.33203125" style="3" hidden="1" customWidth="1" outlineLevel="1"/>
    <col min="11" max="11" width="8.1640625" style="3" customWidth="1"/>
    <col min="12" max="12" width="8.6640625" style="3" customWidth="1"/>
    <col min="13" max="13" width="13" style="9" customWidth="1" collapsed="1"/>
    <col min="14" max="14" width="13.5" style="3" hidden="1" customWidth="1" outlineLevel="1"/>
    <col min="15" max="15" width="8.1640625" style="3" hidden="1" customWidth="1" outlineLevel="1"/>
    <col min="16" max="17" width="10.33203125" style="3" hidden="1" customWidth="1" outlineLevel="1"/>
    <col min="18" max="18" width="8" style="3" hidden="1" customWidth="1" outlineLevel="1"/>
    <col min="19" max="19" width="7.33203125" style="3" customWidth="1"/>
    <col min="20" max="20" width="14.83203125" style="3" bestFit="1" customWidth="1"/>
    <col min="21" max="21" width="10.33203125" style="3" customWidth="1"/>
    <col min="22" max="22" width="15" style="3" customWidth="1"/>
    <col min="23" max="23" width="11.33203125" style="3" customWidth="1"/>
    <col min="24" max="24" width="11.6640625" style="3" customWidth="1"/>
    <col min="25" max="25" width="18.1640625" style="3" customWidth="1"/>
    <col min="26" max="26" width="14.83203125" style="3" customWidth="1" outlineLevel="1"/>
    <col min="27" max="27" width="8" style="3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8" t="s">
        <v>248</v>
      </c>
      <c r="V1" s="26" t="s">
        <v>50</v>
      </c>
      <c r="W1" s="98" t="s">
        <v>249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30046_1-4/1237&lt;lv32&gt;sq1st2</v>
      </c>
      <c r="B2" s="22">
        <v>30046</v>
      </c>
      <c r="C2" s="21">
        <v>1</v>
      </c>
      <c r="D2" s="2" t="str">
        <f>B2&amp;"_"&amp;C2</f>
        <v>30046_1</v>
      </c>
      <c r="E2" s="4" t="str">
        <f ca="1">VLOOKUP($B2,OFFSET([2]quests!$A$1,0,0,COUNTA([2]quests!$A:$A),MATCH(E$1,[2]quests!$1:$1,0)-MATCH($B$1,[2]quests!$1:$1,0)+1),MATCH(E$1,[2]quests!$1:$1,0)-MATCH($B$1,[2]quests!$1:$1,0)+1,FALSE)</f>
        <v>千利の道も一歩から！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【中級】千利の道も一歩から！</v>
      </c>
      <c r="G2" s="21">
        <v>4</v>
      </c>
      <c r="H2" s="15" t="str">
        <f>B2&amp;"_"&amp;C2&amp;"-"&amp;G2</f>
        <v>30046_1-4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146">
        <v>1237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夢茶の目付役 千利休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32</v>
      </c>
      <c r="T2" s="25">
        <v>2.2000000000000002</v>
      </c>
      <c r="U2" s="99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122784.20000000001</v>
      </c>
      <c r="V2" s="25">
        <v>0.6</v>
      </c>
      <c r="W2" s="99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2217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解除するまでウィルス</v>
      </c>
      <c r="Z2" s="126">
        <v>30046008</v>
      </c>
      <c r="AA2" s="184">
        <v>1</v>
      </c>
    </row>
    <row r="3" spans="1:27" ht="21" customHeight="1" x14ac:dyDescent="0.15">
      <c r="A3" s="16" t="str">
        <f t="shared" ref="A3:A4" si="0">B3&amp;"_"&amp;C3&amp;"-"&amp;G3&amp;"/"&amp;M3&amp;"&lt;lv"&amp;S3&amp;"&gt;sq"&amp;K3&amp;"st"&amp;L3</f>
        <v>30046_2-4/1237&lt;lv45&gt;sq2st2</v>
      </c>
      <c r="B3" s="22">
        <v>30046</v>
      </c>
      <c r="C3" s="21">
        <v>2</v>
      </c>
      <c r="D3" s="2" t="str">
        <f t="shared" ref="D3:D4" si="1">B3&amp;"_"&amp;C3</f>
        <v>30046_2</v>
      </c>
      <c r="E3" s="4" t="str">
        <f ca="1">VLOOKUP($B3,OFFSET([2]quests!$A$1,0,0,COUNTA([2]quests!$A:$A),MATCH(E$1,[2]quests!$1:$1,0)-MATCH($B$1,[2]quests!$1:$1,0)+1),MATCH(E$1,[2]quests!$1:$1,0)-MATCH($B$1,[2]quests!$1:$1,0)+1,FALSE)</f>
        <v>千利の道も一歩から！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【上級】千利の道も一歩から！</v>
      </c>
      <c r="G3" s="21">
        <v>4</v>
      </c>
      <c r="H3" s="15" t="str">
        <f t="shared" ref="H3:H4" si="2">B3&amp;"_"&amp;C3&amp;"-"&amp;G3</f>
        <v>30046_2-4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146">
        <v>1237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夢茶の目付役 千利休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45</v>
      </c>
      <c r="T3" s="25">
        <v>2.2000000000000002</v>
      </c>
      <c r="U3" s="99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170431.80000000002</v>
      </c>
      <c r="V3" s="25">
        <v>0.6</v>
      </c>
      <c r="W3" s="99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3077.4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解除するまでウィルス</v>
      </c>
      <c r="Z3" s="126">
        <v>30046008</v>
      </c>
      <c r="AA3" s="184">
        <v>1</v>
      </c>
    </row>
    <row r="4" spans="1:27" ht="21" customHeight="1" x14ac:dyDescent="0.15">
      <c r="A4" s="16" t="str">
        <f t="shared" si="0"/>
        <v>30046_3-4/1237&lt;lv60&gt;sq3st2</v>
      </c>
      <c r="B4" s="22">
        <v>30046</v>
      </c>
      <c r="C4" s="21">
        <v>3</v>
      </c>
      <c r="D4" s="2" t="str">
        <f t="shared" si="1"/>
        <v>30046_3</v>
      </c>
      <c r="E4" s="4" t="str">
        <f ca="1">VLOOKUP($B4,OFFSET([2]quests!$A$1,0,0,COUNTA([2]quests!$A:$A),MATCH(E$1,[2]quests!$1:$1,0)-MATCH($B$1,[2]quests!$1:$1,0)+1),MATCH(E$1,[2]quests!$1:$1,0)-MATCH($B$1,[2]quests!$1:$1,0)+1,FALSE)</f>
        <v>千利の道も一歩から！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【超級】千利の道も一歩から！</v>
      </c>
      <c r="G4" s="21">
        <v>4</v>
      </c>
      <c r="H4" s="15" t="str">
        <f t="shared" si="2"/>
        <v>30046_3-4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146">
        <v>1237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夢茶の目付役 千利休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5">
        <v>2.2000000000000002</v>
      </c>
      <c r="U4" s="99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225409.80000000002</v>
      </c>
      <c r="V4" s="25">
        <v>0.6</v>
      </c>
      <c r="W4" s="99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4069.7999999999997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解除するまでウィルス</v>
      </c>
      <c r="Z4" s="126">
        <v>30046008</v>
      </c>
      <c r="AA4" s="184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4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37" sqref="E3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12.33203125" style="49" customWidth="1"/>
    <col min="3" max="3" width="11.5" style="49" customWidth="1"/>
    <col min="4" max="4" width="18.5" style="49" customWidth="1" outlineLevel="1"/>
    <col min="5" max="5" width="44.1640625" style="49" customWidth="1" outlineLevel="1"/>
    <col min="6" max="6" width="11.5" style="49" customWidth="1"/>
    <col min="7" max="7" width="8.33203125" style="49" customWidth="1" outlineLevel="1"/>
    <col min="8" max="9" width="12.83203125" style="49" customWidth="1" outlineLevel="1"/>
    <col min="10" max="10" width="17.6640625" style="49" customWidth="1" outlineLevel="1"/>
    <col min="11" max="15" width="12.83203125" style="49" customWidth="1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30046001_30046001</v>
      </c>
      <c r="B2" s="47">
        <v>30046001</v>
      </c>
      <c r="C2" s="47">
        <v>30046001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ふむ　ここが_x000D_バビロニア・タワー…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むむっ　私としたことが…_x000D_見つかってしまうとは</v>
      </c>
      <c r="F2" s="47">
        <v>30046001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thickBot="1" x14ac:dyDescent="0.2">
      <c r="A3" s="39" t="str">
        <f t="shared" ref="A3:A28" si="1">B3&amp;"_"&amp;C3</f>
        <v>30046001_30046002</v>
      </c>
      <c r="B3" s="168">
        <v>30046001</v>
      </c>
      <c r="C3" s="168">
        <v>30046002</v>
      </c>
      <c r="D3" s="173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ほっほ_x000D_三十六計逃げるに如かず、ですな！</v>
      </c>
      <c r="E3" s="173" t="str">
        <f ca="1">VLOOKUP($C3,OFFSET(enemy_skills!$A$1,0,0,COUNTA(enemy_skills!$A:$A),MATCH(E$1,enemy_skills!$1:$1,0)-MATCH("enemy_skill_id",enemy_skills!$1:$1,0)+1),MATCH(E$1,enemy_skills!$1:$1,0)-MATCH("enemy_skill_id",enemy_skills!$1:$1,0)+1,FALSE)</f>
        <v>警備AIの相手は頼みますぞ！</v>
      </c>
      <c r="F3" s="168">
        <v>30046002</v>
      </c>
      <c r="G3" s="161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161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161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161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161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161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161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161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161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thickTop="1" thickBot="1" x14ac:dyDescent="0.2">
      <c r="A4" s="39" t="str">
        <f t="shared" si="1"/>
        <v>30046002_30046003</v>
      </c>
      <c r="B4" s="197">
        <v>30046002</v>
      </c>
      <c r="C4" s="197">
        <v>30046003</v>
      </c>
      <c r="D4" s="198" t="str">
        <f ca="1">VLOOKUP($C4,OFFSET(enemy_skills!$A$1,0,0,COUNTA(enemy_skills!$A:$A),MATCH(D$1,enemy_skills!$1:$1,0)-MATCH("enemy_skill_id",enemy_skills!$1:$1,0)+1),MATCH(D$1,enemy_skills!$1:$1,0)-MATCH("enemy_skill_id",enemy_skills!$1:$1,0)+1,FALSE)</f>
        <v>侵入者ハッケン_x000D_スキャン中デス</v>
      </c>
      <c r="E4" s="198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ユニット単体に1ターンスキルバインド</v>
      </c>
      <c r="F4" s="197">
        <v>30046003</v>
      </c>
      <c r="G4" s="199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199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199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28</v>
      </c>
      <c r="J4" s="199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199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199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199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199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199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28</v>
      </c>
      <c r="P4" s="47"/>
      <c r="Q4" s="47"/>
      <c r="R4" s="47"/>
    </row>
    <row r="5" spans="1:18" ht="21" customHeight="1" thickTop="1" x14ac:dyDescent="0.15">
      <c r="A5" s="39" t="str">
        <f t="shared" si="1"/>
        <v>30046003_30046004</v>
      </c>
      <c r="B5" s="200">
        <v>30046003</v>
      </c>
      <c r="C5" s="174">
        <v>30046004</v>
      </c>
      <c r="D5" s="175" t="str">
        <f ca="1">VLOOKUP($C5,OFFSET(enemy_skills!$A$1,0,0,COUNTA(enemy_skills!$A:$A),MATCH(D$1,enemy_skills!$1:$1,0)-MATCH("enemy_skill_id",enemy_skills!$1:$1,0)+1),MATCH(D$1,enemy_skills!$1:$1,0)-MATCH("enemy_skill_id",enemy_skills!$1:$1,0)+1,FALSE)</f>
        <v>利休様のお茶_x000D_飲んだことある？</v>
      </c>
      <c r="E5" s="175" t="str">
        <f ca="1">VLOOKUP($C5,OFFSET(enemy_skills!$A$1,0,0,COUNTA(enemy_skills!$A:$A),MATCH(E$1,enemy_skills!$1:$1,0)-MATCH("enemy_skill_id",enemy_skills!$1:$1,0)+1),MATCH(E$1,enemy_skills!$1:$1,0)-MATCH("enemy_skill_id",enemy_skills!$1:$1,0)+1,FALSE)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" s="174">
        <v>30046004</v>
      </c>
      <c r="G5" s="17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17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17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17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17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7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17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17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17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30046003_30046005</v>
      </c>
      <c r="B6" s="47">
        <v>30046003</v>
      </c>
      <c r="C6" s="47">
        <v>30046005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神速の舞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1ターン自身の攻撃頻度UP+_x000D_単体攻撃</v>
      </c>
      <c r="F6" s="47">
        <v>30046005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6" s="47"/>
      <c r="Q6" s="47"/>
      <c r="R6" s="47"/>
    </row>
    <row r="7" spans="1:18" ht="21" customHeight="1" x14ac:dyDescent="0.15">
      <c r="A7" s="39" t="str">
        <f t="shared" si="1"/>
        <v>30046003_30046006</v>
      </c>
      <c r="B7" s="47">
        <v>30046003</v>
      </c>
      <c r="C7" s="209">
        <v>30046006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大旋風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7" s="47">
        <v>30046006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7" s="47"/>
      <c r="Q7" s="47"/>
      <c r="R7" s="47"/>
    </row>
    <row r="8" spans="1:18" ht="21" customHeight="1" thickBot="1" x14ac:dyDescent="0.2">
      <c r="A8" s="39" t="str">
        <f t="shared" si="1"/>
        <v>30046003_30046007</v>
      </c>
      <c r="B8" s="166">
        <v>30046003</v>
      </c>
      <c r="C8" s="168">
        <v>30046007</v>
      </c>
      <c r="D8" s="173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みなぎる闘志</v>
      </c>
      <c r="E8" s="173" t="str">
        <f ca="1">VLOOKUP($C8,OFFSET(enemy_skills!$A$1,0,0,COUNTA(enemy_skills!$A:$A),MATCH(E$1,enemy_skills!$1:$1,0)-MATCH("enemy_skill_id",enemy_skills!$1:$1,0)+1),MATCH(E$1,enemy_skills!$1:$1,0)-MATCH("enemy_skill_id",enemy_skills!$1:$1,0)+1,FALSE)</f>
        <v>攻撃力UP</v>
      </c>
      <c r="F8" s="168">
        <v>30046007</v>
      </c>
      <c r="G8" s="161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161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" s="161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161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161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161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161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161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141</v>
      </c>
      <c r="O8" s="161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thickTop="1" x14ac:dyDescent="0.15">
      <c r="A9" s="39" t="str">
        <f t="shared" si="1"/>
        <v>30046004_30046008</v>
      </c>
      <c r="B9" s="200">
        <v>30046004</v>
      </c>
      <c r="C9" s="174">
        <v>30046008</v>
      </c>
      <c r="D9" s="175" t="str">
        <f ca="1">VLOOKUP($C9,OFFSET(enemy_skills!$A$1,0,0,COUNTA(enemy_skills!$A:$A),MATCH(D$1,enemy_skills!$1:$1,0)-MATCH("enemy_skill_id",enemy_skills!$1:$1,0)+1),MATCH(D$1,enemy_skills!$1:$1,0)-MATCH("enemy_skill_id",enemy_skills!$1:$1,0)+1,FALSE)</f>
        <v>後から苦〜いのが_x000D_じわじわくるのじゃ！</v>
      </c>
      <c r="E9" s="175" t="str">
        <f ca="1">VLOOKUP($C9,OFFSET(enemy_skills!$A$1,0,0,COUNTA(enemy_skills!$A:$A),MATCH(E$1,enemy_skills!$1:$1,0)-MATCH("enemy_skill_id",enemy_skills!$1:$1,0)+1),MATCH(E$1,enemy_skills!$1:$1,0)-MATCH("enemy_skill_id",enemy_skills!$1:$1,0)+1,FALSE)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9" s="174">
        <v>30046008</v>
      </c>
      <c r="G9" s="17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17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17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17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17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17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17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17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17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30046004_30046009</v>
      </c>
      <c r="B10" s="47">
        <v>30046004</v>
      </c>
      <c r="C10" s="47">
        <v>30046009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治癒封じ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2ターンユニット全体の回復力50%DOWN+単体攻撃</v>
      </c>
      <c r="F10" s="47">
        <v>30046009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28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28</v>
      </c>
      <c r="P10" s="47"/>
      <c r="Q10" s="47"/>
      <c r="R10" s="47"/>
    </row>
    <row r="11" spans="1:18" ht="21" customHeight="1" x14ac:dyDescent="0.15">
      <c r="A11" s="39" t="str">
        <f t="shared" si="1"/>
        <v>30046004_30046010</v>
      </c>
      <c r="B11" s="47">
        <v>30046004</v>
      </c>
      <c r="C11" s="209">
        <v>30046010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袖振り舞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" s="47">
        <v>30046010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11" s="47"/>
      <c r="Q11" s="47"/>
      <c r="R11" s="47"/>
    </row>
    <row r="12" spans="1:18" ht="21" customHeight="1" thickBot="1" x14ac:dyDescent="0.2">
      <c r="A12" s="39" t="str">
        <f t="shared" si="1"/>
        <v>30046004_30046011</v>
      </c>
      <c r="B12" s="166">
        <v>30046004</v>
      </c>
      <c r="C12" s="168">
        <v>30046011</v>
      </c>
      <c r="D12" s="173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狐の祟り</v>
      </c>
      <c r="E12" s="173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解除するまでウィルス</v>
      </c>
      <c r="F12" s="168">
        <v>30046011</v>
      </c>
      <c r="G12" s="161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161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2" s="161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161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161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161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161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161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666</v>
      </c>
      <c r="O12" s="161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thickTop="1" x14ac:dyDescent="0.15">
      <c r="A13" s="39" t="str">
        <f t="shared" si="1"/>
        <v>30046005_30046012</v>
      </c>
      <c r="B13" s="200">
        <v>30046005</v>
      </c>
      <c r="C13" s="174">
        <v>30046012</v>
      </c>
      <c r="D13" s="17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さあ、耐えきってみせろ</v>
      </c>
      <c r="E13" s="17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13" s="174">
        <v>30046012</v>
      </c>
      <c r="G13" s="17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17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3" s="17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17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17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7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17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17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17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30046005_30046013</v>
      </c>
      <c r="B14" s="47">
        <v>30046005</v>
      </c>
      <c r="C14" s="47">
        <v>30046013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風おこし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サンダーバードの攻撃頻度UP</v>
      </c>
      <c r="F14" s="47">
        <v>30046013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30046005_30046014</v>
      </c>
      <c r="B15" s="47">
        <v>30046005</v>
      </c>
      <c r="C15" s="47">
        <v>30046014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必中真剣・序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だんだん強くなる単体攻撃</v>
      </c>
      <c r="F15" s="47">
        <v>30046014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30046005_30046015</v>
      </c>
      <c r="B16" s="47">
        <v>30046005</v>
      </c>
      <c r="C16" s="47">
        <v>30046015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必中真剣・詠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だんだん強くなる単体攻撃</v>
      </c>
      <c r="F16" s="47">
        <v>30046015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30046005_30046016</v>
      </c>
      <c r="B17" s="47">
        <v>30046005</v>
      </c>
      <c r="C17" s="47">
        <v>30046016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必中真剣・破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だんだん強くなる単体攻撃+自身の攻撃頻度UP</v>
      </c>
      <c r="F17" s="47">
        <v>30046016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30046005_30046017</v>
      </c>
      <c r="B18" s="47">
        <v>30046005</v>
      </c>
      <c r="C18" s="47">
        <v>30046017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必中真剣・急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だんだん強くなる単体攻撃</v>
      </c>
      <c r="F18" s="47">
        <v>30046017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thickBot="1" x14ac:dyDescent="0.2">
      <c r="A19" s="39" t="str">
        <f t="shared" si="1"/>
        <v>30046005_30046018</v>
      </c>
      <c r="B19" s="47">
        <v>30046005</v>
      </c>
      <c r="C19" s="47">
        <v>30046018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必中真剣・終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9" s="47">
        <v>30046018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0" customHeight="1" thickTop="1" thickBot="1" x14ac:dyDescent="0.2">
      <c r="A20" s="39" t="str">
        <f t="shared" si="1"/>
        <v>30046006_30046020</v>
      </c>
      <c r="B20" s="174">
        <v>30046006</v>
      </c>
      <c r="C20" s="174">
        <v>30046020</v>
      </c>
      <c r="D20" s="17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雷鳥の翼</v>
      </c>
      <c r="E20" s="17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0" s="174">
        <v>30046020</v>
      </c>
      <c r="G20" s="17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176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17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28</v>
      </c>
      <c r="J20" s="17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17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176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176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17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17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28</v>
      </c>
      <c r="P20" s="47"/>
      <c r="Q20" s="47"/>
      <c r="R20" s="47"/>
    </row>
    <row r="21" spans="1:18" ht="21" customHeight="1" thickTop="1" x14ac:dyDescent="0.15">
      <c r="A21" s="39" t="str">
        <f t="shared" si="1"/>
        <v>30046007_30046022</v>
      </c>
      <c r="B21" s="174">
        <v>30046007</v>
      </c>
      <c r="C21" s="174">
        <v>30046022</v>
      </c>
      <c r="D21" s="17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おお、追いつかれてしまった_x000D_なに…まずは一服されよ</v>
      </c>
      <c r="E21" s="17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解除するまでウィルス</v>
      </c>
      <c r="F21" s="174">
        <v>30046022</v>
      </c>
      <c r="G21" s="17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17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17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17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17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17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17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17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17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30046007_30046023</v>
      </c>
      <c r="B22" s="47">
        <v>30046007</v>
      </c>
      <c r="C22" s="47">
        <v>30046023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おかわりはいかがかな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解除するまでウィルス+単体攻撃</v>
      </c>
      <c r="F22" s="47">
        <v>30046023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30046007_30046024</v>
      </c>
      <c r="B23" s="47">
        <v>30046007</v>
      </c>
      <c r="C23" s="47">
        <v>30046024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秘すれば茶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ランダムで緑パネルに8個変換+単体攻撃</v>
      </c>
      <c r="F23" s="47">
        <v>30046024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28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28</v>
      </c>
      <c r="P23" s="47"/>
      <c r="Q23" s="47"/>
      <c r="R23" s="47"/>
    </row>
    <row r="24" spans="1:18" ht="21" customHeight="1" x14ac:dyDescent="0.15">
      <c r="A24" s="39" t="str">
        <f t="shared" si="1"/>
        <v>30046007_30046025</v>
      </c>
      <c r="B24" s="47">
        <v>30046007</v>
      </c>
      <c r="C24" s="47">
        <v>30046025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茶葉収穫祭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緑パネルを吸収して攻撃</v>
      </c>
      <c r="F24" s="47">
        <v>30046025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43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43</v>
      </c>
      <c r="P24" s="47"/>
      <c r="Q24" s="47"/>
      <c r="R24" s="47"/>
    </row>
    <row r="25" spans="1:18" ht="21" customHeight="1" x14ac:dyDescent="0.15">
      <c r="A25" s="39" t="str">
        <f t="shared" si="1"/>
        <v>30046007_30046026</v>
      </c>
      <c r="B25" s="47">
        <v>30046007</v>
      </c>
      <c r="C25" s="47">
        <v>30046026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柄杓の舞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5" s="47">
        <v>30046026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73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73</v>
      </c>
      <c r="P25" s="47"/>
      <c r="Q25" s="47"/>
      <c r="R25" s="47"/>
    </row>
    <row r="26" spans="1:18" ht="21" customHeight="1" x14ac:dyDescent="0.15">
      <c r="A26" s="39" t="str">
        <f t="shared" si="1"/>
        <v>30046008_30046028</v>
      </c>
      <c r="B26" s="166">
        <v>30046008</v>
      </c>
      <c r="C26" s="166">
        <v>30046028</v>
      </c>
      <c r="D26" s="172" t="str">
        <f ca="1">VLOOKUP($C26,OFFSET(enemy_skills!$A$1,0,0,COUNTA(enemy_skills!$A:$A),MATCH(D$1,enemy_skills!$1:$1,0)-MATCH("enemy_skill_id",enemy_skills!$1:$1,0)+1),MATCH(D$1,enemy_skills!$1:$1,0)-MATCH("enemy_skill_id",enemy_skills!$1:$1,0)+1,FALSE)</f>
        <v>豊臣の勢力拡大のため…_x000D_この施設のAIたちが必要なのです</v>
      </c>
      <c r="E26" s="17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解除するまでウィルス</v>
      </c>
      <c r="F26" s="166">
        <v>30046028</v>
      </c>
      <c r="G26" s="15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15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15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15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15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15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15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15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15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30046008_30046029</v>
      </c>
      <c r="B27" s="47">
        <v>30046008</v>
      </c>
      <c r="C27" s="47">
        <v>30046029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豊臣のため…_x000D_いまだお若い殿のため…！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全てのプラス効果を解除</v>
      </c>
      <c r="F27" s="47">
        <v>30046029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30046008_30046030</v>
      </c>
      <c r="B28" s="166">
        <v>30046008</v>
      </c>
      <c r="C28" s="166">
        <v>30046030</v>
      </c>
      <c r="D28" s="172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必ずや　殿を_x000D_天下人にしてみせましょうぞ！</v>
      </c>
      <c r="E28" s="172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解除するまでウィルス+クリティカル！</v>
      </c>
      <c r="F28" s="166">
        <v>30046030</v>
      </c>
      <c r="G28" s="15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15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15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15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15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15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15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8" s="15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15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ref="A29:A34" si="2">B29&amp;"_"&amp;C29</f>
        <v>30046008_30046031</v>
      </c>
      <c r="B29" s="47">
        <v>30046008</v>
      </c>
      <c r="C29" s="47">
        <v>30046031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信長殿が取り逃がした天下を…_x000D_我らが必ず！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解除するまでウィルス+クリティカル！</v>
      </c>
      <c r="F29" s="47">
        <v>30046031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2"/>
        <v>30046008_30046032</v>
      </c>
      <c r="B30" s="47">
        <v>30046008</v>
      </c>
      <c r="C30" s="47">
        <v>30046032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追毒の湯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30" s="47">
        <v>30046032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22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22</v>
      </c>
      <c r="P30" s="47"/>
      <c r="Q30" s="47"/>
      <c r="R30" s="47"/>
    </row>
    <row r="31" spans="1:18" ht="21" customHeight="1" x14ac:dyDescent="0.15">
      <c r="A31" s="39" t="str">
        <f t="shared" si="2"/>
        <v>30046008_30046033</v>
      </c>
      <c r="B31" s="47">
        <v>30046008</v>
      </c>
      <c r="C31" s="47">
        <v>30046033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茶筅乱舞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31" s="47">
        <v>30046033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38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38</v>
      </c>
      <c r="P31" s="47"/>
      <c r="Q31" s="47"/>
      <c r="R31" s="47"/>
    </row>
    <row r="32" spans="1:18" ht="21" customHeight="1" x14ac:dyDescent="0.15">
      <c r="A32" s="39" t="str">
        <f t="shared" si="2"/>
        <v>30046008_30046034</v>
      </c>
      <c r="B32" s="47">
        <v>30046008</v>
      </c>
      <c r="C32" s="47">
        <v>30046034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眠りの香合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ユニット単体に1ターンスリープ</v>
      </c>
      <c r="F32" s="47">
        <v>30046034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32" s="47"/>
      <c r="Q32" s="47"/>
      <c r="R32" s="47"/>
    </row>
    <row r="33" spans="1:18" ht="21" customHeight="1" x14ac:dyDescent="0.15">
      <c r="A33" s="39" t="str">
        <f t="shared" si="2"/>
        <v>30046008_30046035</v>
      </c>
      <c r="B33" s="47">
        <v>30046008</v>
      </c>
      <c r="C33" s="47">
        <v>30046035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熱々茶釜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3" s="47">
        <v>30046035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88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88</v>
      </c>
      <c r="P33" s="47"/>
      <c r="Q33" s="47"/>
      <c r="R33" s="47"/>
    </row>
    <row r="34" spans="1:18" ht="21" customHeight="1" x14ac:dyDescent="0.15">
      <c r="A34" s="39" t="str">
        <f t="shared" si="2"/>
        <v>30046008_30046037</v>
      </c>
      <c r="B34" s="47">
        <v>30046008</v>
      </c>
      <c r="C34" s="47">
        <v>30046037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参った　降参じゃ！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データは取れた…_x000D_半兵衛殿　後は頼みますぞい…</v>
      </c>
      <c r="F34" s="47">
        <v>30046037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4"/>
  <sheetViews>
    <sheetView showGridLines="0" workbookViewId="0">
      <pane ySplit="1" topLeftCell="A5" activePane="bottomLeft" state="frozenSplit"/>
      <selection pane="bottomLeft" activeCell="E13" sqref="E13"/>
    </sheetView>
  </sheetViews>
  <sheetFormatPr baseColWidth="12" defaultColWidth="12.83203125" defaultRowHeight="21" customHeight="1" outlineLevelCol="1" x14ac:dyDescent="0.15"/>
  <cols>
    <col min="1" max="1" width="12.6640625" style="49" customWidth="1"/>
    <col min="2" max="2" width="92" style="49" customWidth="1"/>
    <col min="3" max="3" width="8.83203125" style="49" customWidth="1"/>
    <col min="4" max="4" width="8.5" style="49" customWidth="1"/>
    <col min="5" max="5" width="27.1640625" style="49" customWidth="1"/>
    <col min="6" max="6" width="43.5" style="49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148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35" customHeight="1" x14ac:dyDescent="0.2">
      <c r="A2" s="147">
        <v>30046001</v>
      </c>
      <c r="B2" s="163" t="s">
        <v>423</v>
      </c>
      <c r="C2" s="271">
        <v>3</v>
      </c>
      <c r="D2" s="50" t="s">
        <v>128</v>
      </c>
      <c r="E2" s="51" t="s">
        <v>313</v>
      </c>
      <c r="F2" s="51" t="s">
        <v>385</v>
      </c>
      <c r="G2" s="62" t="str">
        <f>IFERROR(LEFT(B2,FIND("],",B2)),B2)</f>
        <v>[effect:enemy_message, val1:1.8, val2:2]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IFERROR(VLOOKUP(MID(G2,J2,K2-J2),[5]skilldef!$C:$D,2,FALSE),"-") &amp; " / " &amp; IFERROR(VLOOKUP(MID(G2,H2,I2-H2),[5]skilldef!$A:$B,2,FALSE),"-")</f>
        <v>- / -</v>
      </c>
      <c r="M2" s="62" t="str">
        <f>IFERROR(RIGHT(B2,LEN(B2)-FIND("],",B2)-1),"none")</f>
        <v>[effect:fix_speed, target:myself, turn:1]</v>
      </c>
      <c r="N2" s="48" t="str">
        <f>IFERROR(LEFT(M2,FIND("],",M2)+S12),M2)</f>
        <v>[effect:fix_speed, target:myself, turn:1]</v>
      </c>
      <c r="O2" s="62">
        <f>FIND("effect:",N2)+7</f>
        <v>9</v>
      </c>
      <c r="P2" s="62">
        <f>IFERROR(FIND(",",N2),LEN(N2))</f>
        <v>18</v>
      </c>
      <c r="Q2" s="62">
        <f>FIND("target:",N2)+7</f>
        <v>27</v>
      </c>
      <c r="R2" s="62">
        <f>FIND(",",N2,P2+1)</f>
        <v>33</v>
      </c>
      <c r="S2" s="62" t="str">
        <f>IFERROR(VLOOKUP(MID(N2,Q2,R2-Q2),[5]skilldef!$C:$D,2,FALSE),"-") &amp; " / " &amp; IFERROR(VLOOKUP(MID(N2,O2,P2-O2),[5]skilldef!$A:$B,2,FALSE),"-")</f>
        <v>自分自身に / 行動値設定</v>
      </c>
      <c r="T2" s="48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9" thickBot="1" x14ac:dyDescent="0.25">
      <c r="A3" s="147">
        <v>30046002</v>
      </c>
      <c r="B3" s="162" t="s">
        <v>424</v>
      </c>
      <c r="C3" s="272">
        <v>3</v>
      </c>
      <c r="D3" s="155" t="s">
        <v>128</v>
      </c>
      <c r="E3" s="156" t="s">
        <v>387</v>
      </c>
      <c r="F3" s="156" t="s">
        <v>386</v>
      </c>
      <c r="G3" s="62" t="str">
        <f t="shared" ref="G3:G26" si="0">IFERROR(LEFT(B3,FIND("],",B3)),B3)</f>
        <v>[effect:enemy_message, val1:1.8, val2:2]</v>
      </c>
      <c r="H3" s="62">
        <f t="shared" ref="H3:H26" si="1">FIND("effect:",G3)+7</f>
        <v>9</v>
      </c>
      <c r="I3" s="62">
        <f t="shared" ref="I3:I26" si="2">IFERROR(FIND(",",G3),LEN(G3))</f>
        <v>22</v>
      </c>
      <c r="J3" s="62" t="e">
        <f t="shared" ref="J3:J26" si="3">FIND("target:",G3)+7</f>
        <v>#VALUE!</v>
      </c>
      <c r="K3" s="62">
        <f t="shared" ref="K3:K26" si="4">FIND(",",G3,I3+1)</f>
        <v>32</v>
      </c>
      <c r="L3" s="62" t="str">
        <f>IFERROR(VLOOKUP(MID(G3,J3,K3-J3),[5]skilldef!$C:$D,2,FALSE),"-") &amp; " / " &amp; IFERROR(VLOOKUP(MID(G3,H3,I3-H3),[5]skilldef!$A:$B,2,FALSE),"-")</f>
        <v>- / -</v>
      </c>
      <c r="M3" s="62" t="str">
        <f t="shared" ref="M3:M26" si="5">IFERROR(RIGHT(B3,LEN(B3)-FIND("],",B3)-1),"none")</f>
        <v>[effect:suicide, val:1, dead_type:escape]</v>
      </c>
      <c r="N3" s="48" t="str">
        <f>IFERROR(LEFT(M3,FIND("],",M3)+S14),M3)</f>
        <v>[effect:suicide, val:1, dead_type:escape]</v>
      </c>
      <c r="O3" s="62">
        <f t="shared" ref="O3:O26" si="6">FIND("effect:",N3)+7</f>
        <v>9</v>
      </c>
      <c r="P3" s="62">
        <f t="shared" ref="P3:P26" si="7">IFERROR(FIND(",",N3),LEN(N3))</f>
        <v>16</v>
      </c>
      <c r="Q3" s="62" t="e">
        <f t="shared" ref="Q3:Q26" si="8">FIND("target:",N3)+7</f>
        <v>#VALUE!</v>
      </c>
      <c r="R3" s="62">
        <f t="shared" ref="R3:R26" si="9">FIND(",",N3,P3+1)</f>
        <v>23</v>
      </c>
      <c r="S3" s="62" t="str">
        <f>IFERROR(VLOOKUP(MID(N3,Q3,R3-Q3),[5]skilldef!$C:$D,2,FALSE),"-") &amp; " / " &amp; IFERROR(VLOOKUP(MID(N3,O3,P3-O3),[5]skilldef!$A:$B,2,FALSE),"-")</f>
        <v>- / -</v>
      </c>
      <c r="T3" s="48" t="str">
        <f t="shared" ref="T3:T26" si="10">IFERROR(RIGHT(M3,LEN(M3)-FIND("],",M3)-1),"none")</f>
        <v>none</v>
      </c>
      <c r="U3" s="62" t="e">
        <f t="shared" ref="U3:U26" si="11">FIND("effect:",T3)+7</f>
        <v>#VALUE!</v>
      </c>
      <c r="V3" s="62">
        <f t="shared" ref="V3:V26" si="12">IFERROR(FIND(",",T3),LEN(T3))</f>
        <v>4</v>
      </c>
      <c r="W3" s="62" t="e">
        <f t="shared" ref="W3:W26" si="13">FIND("target:",T3)+7</f>
        <v>#VALUE!</v>
      </c>
      <c r="X3" s="62" t="e">
        <f t="shared" ref="X3:X26" si="14">FIND(",",T3,V3+1)</f>
        <v>#VALUE!</v>
      </c>
      <c r="Y3" s="62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34" customHeight="1" thickTop="1" thickBot="1" x14ac:dyDescent="0.2">
      <c r="A4" s="147">
        <v>30046003</v>
      </c>
      <c r="B4" s="196" t="s">
        <v>422</v>
      </c>
      <c r="C4" s="273">
        <v>3</v>
      </c>
      <c r="D4" s="194" t="s">
        <v>128</v>
      </c>
      <c r="E4" s="195" t="s">
        <v>251</v>
      </c>
      <c r="F4" s="195" t="s">
        <v>260</v>
      </c>
      <c r="G4" s="62" t="str">
        <f>IFERROR(LEFT(B4,FIND("],",B4)),B4)</f>
        <v>[effect:hungup, target:unit_one, turn:1, rate:1, animation:hungup01]</v>
      </c>
      <c r="H4" s="62">
        <f>FIND("effect:",G4)+7</f>
        <v>9</v>
      </c>
      <c r="I4" s="62">
        <f>IFERROR(FIND(",",G4),LEN(G4))</f>
        <v>15</v>
      </c>
      <c r="J4" s="62">
        <f>FIND("target:",G4)+7</f>
        <v>24</v>
      </c>
      <c r="K4" s="62">
        <f>FIND(",",G4,I4+1)</f>
        <v>32</v>
      </c>
      <c r="L4" s="62" t="str">
        <f>IFERROR(VLOOKUP(MID(G4,J4,K4-J4),[5]skilldef!$C:$D,2,FALSE),"-") &amp; " / " &amp; IFERROR(VLOOKUP(MID(G4,H4,I4-H4),[5]skilldef!$A:$B,2,FALSE),"-")</f>
        <v>味方単体に / ハングアップ</v>
      </c>
      <c r="M4" s="62" t="str">
        <f>IFERROR(RIGHT(B4,LEN(B4)-FIND("],",B4)-1),"none")</f>
        <v>none</v>
      </c>
      <c r="N4" s="48" t="str">
        <f>IFERROR(LEFT(M4,FIND("],",M4)+S13),M4)</f>
        <v>none</v>
      </c>
      <c r="O4" s="62" t="e">
        <f>FIND("effect:",N4)+7</f>
        <v>#VALUE!</v>
      </c>
      <c r="P4" s="62">
        <f>IFERROR(FIND(",",N4),LEN(N4))</f>
        <v>4</v>
      </c>
      <c r="Q4" s="62" t="e">
        <f>FIND("target:",N4)+7</f>
        <v>#VALUE!</v>
      </c>
      <c r="R4" s="62" t="e">
        <f>FIND(",",N4,P4+1)</f>
        <v>#VALUE!</v>
      </c>
      <c r="S4" s="62" t="str">
        <f>IFERROR(VLOOKUP(MID(N4,Q4,R4-Q4),[5]skilldef!$C:$D,2,FALSE),"-") &amp; " / " &amp; IFERROR(VLOOKUP(MID(N4,O4,P4-O4),[5]skilldef!$A:$B,2,FALSE),"-")</f>
        <v>- / -</v>
      </c>
      <c r="T4" s="48" t="str">
        <f>IFERROR(RIGHT(M4,LEN(M4)-FIND("],",M4)-1),"none")</f>
        <v>none</v>
      </c>
      <c r="U4" s="62" t="e">
        <f>FIND("effect:",T4)+7</f>
        <v>#VALUE!</v>
      </c>
      <c r="V4" s="62">
        <f>IFERROR(FIND(",",T4),LEN(T4))</f>
        <v>4</v>
      </c>
      <c r="W4" s="62" t="e">
        <f>FIND("target:",T4)+7</f>
        <v>#VALUE!</v>
      </c>
      <c r="X4" s="62" t="e">
        <f>FIND(",",T4,V4+1)</f>
        <v>#VALUE!</v>
      </c>
      <c r="Y4" s="62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31" customHeight="1" thickTop="1" x14ac:dyDescent="0.2">
      <c r="A5" s="147">
        <v>30046004</v>
      </c>
      <c r="B5" s="165" t="s">
        <v>434</v>
      </c>
      <c r="C5" s="274">
        <v>3</v>
      </c>
      <c r="D5" s="153" t="s">
        <v>128</v>
      </c>
      <c r="E5" s="154" t="s">
        <v>299</v>
      </c>
      <c r="F5" s="154" t="s">
        <v>259</v>
      </c>
      <c r="G5" s="62" t="str">
        <f t="shared" si="0"/>
        <v>[effect:enemy_message, val1:1.8, val2:2]</v>
      </c>
      <c r="H5" s="62">
        <f t="shared" si="1"/>
        <v>9</v>
      </c>
      <c r="I5" s="62">
        <f t="shared" si="2"/>
        <v>22</v>
      </c>
      <c r="J5" s="62" t="e">
        <f t="shared" si="3"/>
        <v>#VALUE!</v>
      </c>
      <c r="K5" s="62">
        <f t="shared" si="4"/>
        <v>32</v>
      </c>
      <c r="L5" s="62" t="str">
        <f>IFERROR(VLOOKUP(MID(G5,J5,K5-J5),[5]skilldef!$C:$D,2,FALSE),"-") &amp; " / " &amp; IFERROR(VLOOKUP(MID(G5,H5,I5-H5),[5]skilldef!$A:$B,2,FALSE),"-")</f>
        <v>- / -</v>
      </c>
      <c r="M5" s="62" t="str">
        <f t="shared" si="5"/>
        <v>[effect:tolerance, target:enemy_all, turn:-1, count:-1, tolerance_effect:all, animation:enemy_tolerance],[effect:fix_speed, target:myself, turn:2]</v>
      </c>
      <c r="N5" s="48" t="str">
        <f>IFERROR(LEFT(M5,FIND("],",M5)+S15),M5)</f>
        <v>[effect:tolerance, target:enemy_all, turn:-1, count:-1, tolerance_effect:all, animation:enemy_tolerance],[effect:fix_speed, target:myself, turn:2]</v>
      </c>
      <c r="O5" s="62">
        <f t="shared" si="6"/>
        <v>9</v>
      </c>
      <c r="P5" s="62">
        <f t="shared" si="7"/>
        <v>18</v>
      </c>
      <c r="Q5" s="62">
        <f t="shared" si="8"/>
        <v>27</v>
      </c>
      <c r="R5" s="62">
        <f t="shared" si="9"/>
        <v>36</v>
      </c>
      <c r="S5" s="62" t="str">
        <f>IFERROR(VLOOKUP(MID(N5,Q5,R5-Q5),[5]skilldef!$C:$D,2,FALSE),"-") &amp; " / " &amp; IFERROR(VLOOKUP(MID(N5,O5,P5-O5),[5]skilldef!$A:$B,2,FALSE),"-")</f>
        <v>敵全体に / 状態異常耐性</v>
      </c>
      <c r="T5" s="48" t="str">
        <f t="shared" si="10"/>
        <v>[effect:fix_speed, target:myself, turn:2]</v>
      </c>
      <c r="U5" s="62">
        <f t="shared" si="11"/>
        <v>9</v>
      </c>
      <c r="V5" s="62">
        <f t="shared" si="12"/>
        <v>18</v>
      </c>
      <c r="W5" s="62">
        <f t="shared" si="13"/>
        <v>27</v>
      </c>
      <c r="X5" s="62">
        <f t="shared" si="14"/>
        <v>33</v>
      </c>
      <c r="Y5" s="62" t="str">
        <f>IFERROR(VLOOKUP(MID(T5,W5,X5-W5),[5]skilldef!$C:$D,2,FALSE),"-") &amp; " / " &amp; IFERROR(VLOOKUP(MID(T5,U5,V5-U5),[5]skilldef!$A:$B,2,FALSE),"-")</f>
        <v>自分自身に / 行動値設定</v>
      </c>
      <c r="Z5" s="50"/>
      <c r="AA5" s="52"/>
      <c r="AB5" s="50"/>
    </row>
    <row r="6" spans="1:28" ht="34" customHeight="1" x14ac:dyDescent="0.2">
      <c r="A6" s="147">
        <v>30046005</v>
      </c>
      <c r="B6" s="163" t="s">
        <v>275</v>
      </c>
      <c r="C6" s="271">
        <v>3</v>
      </c>
      <c r="D6" s="50" t="s">
        <v>128</v>
      </c>
      <c r="E6" s="51" t="s">
        <v>291</v>
      </c>
      <c r="F6" s="51" t="s">
        <v>276</v>
      </c>
      <c r="G6" s="62" t="str">
        <f>IFERROR(LEFT(B6,FIND("],",B6)),B6)</f>
        <v>[effect:rush, count:1, val:0.9]</v>
      </c>
      <c r="H6" s="62">
        <f>FIND("effect:",G6)+7</f>
        <v>9</v>
      </c>
      <c r="I6" s="62">
        <f>IFERROR(FIND(",",G6),LEN(G6))</f>
        <v>13</v>
      </c>
      <c r="J6" s="62" t="e">
        <f>FIND("target:",G6)+7</f>
        <v>#VALUE!</v>
      </c>
      <c r="K6" s="62">
        <f>FIND(",",G6,I6+1)</f>
        <v>22</v>
      </c>
      <c r="L6" s="62" t="str">
        <f>IFERROR(VLOOKUP(MID(G6,J6,K6-J6),[5]skilldef!$C:$D,2,FALSE),"-") &amp; " / " &amp; IFERROR(VLOOKUP(MID(G6,H6,I6-H6),[5]skilldef!$A:$B,2,FALSE),"-")</f>
        <v>- / 連続攻撃</v>
      </c>
      <c r="M6" s="62" t="str">
        <f>IFERROR(RIGHT(B6,LEN(B6)-FIND("],",B6)-1),"none")</f>
        <v>[effect:freq_turn, target:myself, turn:1, val:1, animation:enemy_freq_turn]</v>
      </c>
      <c r="N6" s="48" t="str">
        <f>IFERROR(LEFT(M6,FIND("],",M6)+S17),M6)</f>
        <v>[effect:freq_turn, target:myself, turn:1, val:1, animation:enemy_freq_turn]</v>
      </c>
      <c r="O6" s="62">
        <f>FIND("effect:",N6)+7</f>
        <v>9</v>
      </c>
      <c r="P6" s="62">
        <f>IFERROR(FIND(",",N6),LEN(N6))</f>
        <v>18</v>
      </c>
      <c r="Q6" s="62">
        <f>FIND("target:",N6)+7</f>
        <v>27</v>
      </c>
      <c r="R6" s="62">
        <f>FIND(",",N6,P6+1)</f>
        <v>33</v>
      </c>
      <c r="S6" s="62" t="str">
        <f>IFERROR(VLOOKUP(MID(N6,Q6,R6-Q6),[5]skilldef!$C:$D,2,FALSE),"-") &amp; " / " &amp; IFERROR(VLOOKUP(MID(N6,O6,P6-O6),[5]skilldef!$A:$B,2,FALSE),"-")</f>
        <v>自分自身に / 攻撃頻度がUP</v>
      </c>
      <c r="T6" s="48" t="str">
        <f>IFERROR(RIGHT(M6,LEN(M6)-FIND("],",M6)-1),"none")</f>
        <v>none</v>
      </c>
      <c r="U6" s="62" t="e">
        <f>FIND("effect:",T6)+7</f>
        <v>#VALUE!</v>
      </c>
      <c r="V6" s="62">
        <f>IFERROR(FIND(",",T6),LEN(T6))</f>
        <v>4</v>
      </c>
      <c r="W6" s="62" t="e">
        <f>FIND("target:",T6)+7</f>
        <v>#VALUE!</v>
      </c>
      <c r="X6" s="62" t="e">
        <f>FIND(",",T6,V6+1)</f>
        <v>#VALUE!</v>
      </c>
      <c r="Y6" s="62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2">
      <c r="A7" s="147">
        <v>30046006</v>
      </c>
      <c r="B7" s="164" t="s">
        <v>281</v>
      </c>
      <c r="C7" s="271">
        <v>3</v>
      </c>
      <c r="D7" s="50" t="s">
        <v>128</v>
      </c>
      <c r="E7" s="51" t="s">
        <v>292</v>
      </c>
      <c r="F7" s="51" t="s">
        <v>282</v>
      </c>
      <c r="G7" s="62" t="str">
        <f t="shared" si="0"/>
        <v>[effect:rush, count:6, val:0.19]</v>
      </c>
      <c r="H7" s="62">
        <f t="shared" si="1"/>
        <v>9</v>
      </c>
      <c r="I7" s="62">
        <f t="shared" si="2"/>
        <v>13</v>
      </c>
      <c r="J7" s="62" t="e">
        <f t="shared" si="3"/>
        <v>#VALUE!</v>
      </c>
      <c r="K7" s="62">
        <f t="shared" si="4"/>
        <v>22</v>
      </c>
      <c r="L7" s="62" t="str">
        <f>IFERROR(VLOOKUP(MID(G7,J7,K7-J7),[5]skilldef!$C:$D,2,FALSE),"-") &amp; " / " &amp; IFERROR(VLOOKUP(MID(G7,H7,I7-H7),[5]skilldef!$A:$B,2,FALSE),"-")</f>
        <v>- / 連続攻撃</v>
      </c>
      <c r="M7" s="62" t="str">
        <f t="shared" si="5"/>
        <v>none</v>
      </c>
      <c r="N7" s="48" t="str">
        <f>IFERROR(LEFT(M7,FIND("],",M7)+S16),M7)</f>
        <v>none</v>
      </c>
      <c r="O7" s="62" t="e">
        <f t="shared" si="6"/>
        <v>#VALUE!</v>
      </c>
      <c r="P7" s="62">
        <f t="shared" si="7"/>
        <v>4</v>
      </c>
      <c r="Q7" s="62" t="e">
        <f t="shared" si="8"/>
        <v>#VALUE!</v>
      </c>
      <c r="R7" s="62" t="e">
        <f t="shared" si="9"/>
        <v>#VALUE!</v>
      </c>
      <c r="S7" s="62" t="str">
        <f>IFERROR(VLOOKUP(MID(N7,Q7,R7-Q7),[5]skilldef!$C:$D,2,FALSE),"-") &amp; " / " &amp; IFERROR(VLOOKUP(MID(N7,O7,P7-O7),[5]skilldef!$A:$B,2,FALSE),"-")</f>
        <v>- / -</v>
      </c>
      <c r="T7" s="48" t="str">
        <f t="shared" si="10"/>
        <v>none</v>
      </c>
      <c r="U7" s="62" t="e">
        <f t="shared" si="11"/>
        <v>#VALUE!</v>
      </c>
      <c r="V7" s="62">
        <f t="shared" si="12"/>
        <v>4</v>
      </c>
      <c r="W7" s="62" t="e">
        <f t="shared" si="13"/>
        <v>#VALUE!</v>
      </c>
      <c r="X7" s="62" t="e">
        <f t="shared" si="14"/>
        <v>#VALUE!</v>
      </c>
      <c r="Y7" s="62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thickBot="1" x14ac:dyDescent="0.25">
      <c r="A8" s="147">
        <v>30046007</v>
      </c>
      <c r="B8" s="162" t="s">
        <v>419</v>
      </c>
      <c r="C8" s="272">
        <v>3</v>
      </c>
      <c r="D8" s="155" t="s">
        <v>128</v>
      </c>
      <c r="E8" s="177" t="s">
        <v>294</v>
      </c>
      <c r="F8" s="177" t="s">
        <v>262</v>
      </c>
      <c r="G8" s="62" t="str">
        <f>IFERROR(LEFT(B9,FIND("],",B9)),B9)</f>
        <v>[effect:enemy_message, val1:1.8, val2:2]</v>
      </c>
      <c r="H8" s="62">
        <f t="shared" si="1"/>
        <v>9</v>
      </c>
      <c r="I8" s="62">
        <f t="shared" si="2"/>
        <v>22</v>
      </c>
      <c r="J8" s="62" t="e">
        <f t="shared" si="3"/>
        <v>#VALUE!</v>
      </c>
      <c r="K8" s="62">
        <f t="shared" si="4"/>
        <v>32</v>
      </c>
      <c r="L8" s="62" t="str">
        <f>IFERROR(VLOOKUP(MID(G8,J8,K8-J8),[5]skilldef!$C:$D,2,FALSE),"-") &amp; " / " &amp; IFERROR(VLOOKUP(MID(G8,H8,I8-H8),[5]skilldef!$A:$B,2,FALSE),"-")</f>
        <v>- / -</v>
      </c>
      <c r="M8" s="62" t="str">
        <f>IFERROR(RIGHT(B9,LEN(B9)-FIND("],",B9)-1),"none")</f>
        <v>[effect:virus, turn:5, rate:1, val:0.06, animation:enemy_virus],[effect:fix_speed, target:myself, turn:2]</v>
      </c>
      <c r="N8" s="48" t="str">
        <f t="shared" ref="N8:N9" si="15">IFERROR(LEFT(M8,FIND("],",M8)+S18),M8)</f>
        <v>[effect:virus, turn:5, rate:1, val:0.06, animation:enemy_virus],[effect:fix_speed, target:myself, turn:2]</v>
      </c>
      <c r="O8" s="62">
        <f t="shared" si="6"/>
        <v>9</v>
      </c>
      <c r="P8" s="62">
        <f t="shared" si="7"/>
        <v>14</v>
      </c>
      <c r="Q8" s="62">
        <f t="shared" si="8"/>
        <v>91</v>
      </c>
      <c r="R8" s="62">
        <f t="shared" si="9"/>
        <v>22</v>
      </c>
      <c r="S8" s="62" t="str">
        <f>IFERROR(VLOOKUP(MID(N8,Q8,R8-Q8),[5]skilldef!$C:$D,2,FALSE),"-") &amp; " / " &amp; IFERROR(VLOOKUP(MID(N8,O8,P8-O8),[5]skilldef!$A:$B,2,FALSE),"-")</f>
        <v>- / ウィルス</v>
      </c>
      <c r="T8" s="48" t="str">
        <f t="shared" si="10"/>
        <v>[effect:fix_speed, target:myself, turn:2]</v>
      </c>
      <c r="U8" s="62">
        <f t="shared" si="11"/>
        <v>9</v>
      </c>
      <c r="V8" s="62">
        <f t="shared" si="12"/>
        <v>18</v>
      </c>
      <c r="W8" s="62">
        <f t="shared" si="13"/>
        <v>27</v>
      </c>
      <c r="X8" s="62">
        <f t="shared" si="14"/>
        <v>33</v>
      </c>
      <c r="Y8" s="62" t="str">
        <f>IFERROR(VLOOKUP(MID(T8,W8,X8-W8),[5]skilldef!$C:$D,2,FALSE),"-") &amp; " / " &amp; IFERROR(VLOOKUP(MID(T8,U8,V8-U8),[5]skilldef!$A:$B,2,FALSE),"-")</f>
        <v>自分自身に / 行動値設定</v>
      </c>
      <c r="Z8" s="50"/>
      <c r="AA8" s="52"/>
      <c r="AB8" s="50"/>
    </row>
    <row r="9" spans="1:28" ht="29" thickTop="1" x14ac:dyDescent="0.2">
      <c r="A9" s="147">
        <v>30046008</v>
      </c>
      <c r="B9" s="178" t="s">
        <v>425</v>
      </c>
      <c r="C9" s="274">
        <v>3</v>
      </c>
      <c r="D9" s="179" t="s">
        <v>128</v>
      </c>
      <c r="E9" s="180" t="s">
        <v>283</v>
      </c>
      <c r="F9" s="180" t="s">
        <v>406</v>
      </c>
      <c r="G9" s="62" t="e">
        <f>IFERROR(LEFT(#REF!,FIND("],",#REF!)),#REF!)</f>
        <v>#REF!</v>
      </c>
      <c r="H9" s="62" t="e">
        <f t="shared" si="1"/>
        <v>#REF!</v>
      </c>
      <c r="I9" s="62" t="e">
        <f t="shared" si="2"/>
        <v>#REF!</v>
      </c>
      <c r="J9" s="62" t="e">
        <f t="shared" si="3"/>
        <v>#REF!</v>
      </c>
      <c r="K9" s="62" t="e">
        <f t="shared" si="4"/>
        <v>#REF!</v>
      </c>
      <c r="L9" s="62" t="str">
        <f>IFERROR(VLOOKUP(MID(G9,J9,K9-J9),[5]skilldef!$C:$D,2,FALSE),"-") &amp; " / " &amp; IFERROR(VLOOKUP(MID(G9,H9,I9-H9),[5]skilldef!$A:$B,2,FALSE),"-")</f>
        <v>- / -</v>
      </c>
      <c r="M9" s="62" t="str">
        <f>IFERROR(RIGHT(#REF!,LEN(#REF!)-FIND("],",#REF!)-1),"none")</f>
        <v>none</v>
      </c>
      <c r="N9" s="48" t="str">
        <f t="shared" si="15"/>
        <v>none</v>
      </c>
      <c r="O9" s="62" t="e">
        <f t="shared" si="6"/>
        <v>#VALUE!</v>
      </c>
      <c r="P9" s="62">
        <f t="shared" si="7"/>
        <v>4</v>
      </c>
      <c r="Q9" s="62" t="e">
        <f t="shared" si="8"/>
        <v>#VALUE!</v>
      </c>
      <c r="R9" s="62" t="e">
        <f t="shared" si="9"/>
        <v>#VALUE!</v>
      </c>
      <c r="S9" s="62" t="str">
        <f>IFERROR(VLOOKUP(MID(N9,Q9,R9-Q9),[5]skilldef!$C:$D,2,FALSE),"-") &amp; " / " &amp; IFERROR(VLOOKUP(MID(N9,O9,P9-O9),[5]skilldef!$A:$B,2,FALSE),"-")</f>
        <v>- / -</v>
      </c>
      <c r="T9" s="48" t="str">
        <f t="shared" si="10"/>
        <v>none</v>
      </c>
      <c r="U9" s="62" t="e">
        <f t="shared" si="11"/>
        <v>#VALUE!</v>
      </c>
      <c r="V9" s="62">
        <f t="shared" si="12"/>
        <v>4</v>
      </c>
      <c r="W9" s="62" t="e">
        <f t="shared" si="13"/>
        <v>#VALUE!</v>
      </c>
      <c r="X9" s="62" t="e">
        <f t="shared" si="14"/>
        <v>#VALUE!</v>
      </c>
      <c r="Y9" s="62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2">
      <c r="A10" s="147">
        <v>30046009</v>
      </c>
      <c r="B10" s="186" t="s">
        <v>255</v>
      </c>
      <c r="C10" s="271">
        <v>3</v>
      </c>
      <c r="D10" s="187" t="s">
        <v>128</v>
      </c>
      <c r="E10" s="189" t="s">
        <v>300</v>
      </c>
      <c r="F10" s="189" t="s">
        <v>263</v>
      </c>
      <c r="G10" s="62" t="str">
        <f t="shared" si="0"/>
        <v>[effect:degrade_unit, target:unit_all, turn:2, status:heal, val:0.5, calc:mul, animation:degrade_unit_all_heal]</v>
      </c>
      <c r="H10" s="62">
        <f t="shared" si="1"/>
        <v>9</v>
      </c>
      <c r="I10" s="62">
        <f t="shared" si="2"/>
        <v>21</v>
      </c>
      <c r="J10" s="62">
        <f t="shared" si="3"/>
        <v>30</v>
      </c>
      <c r="K10" s="62">
        <f t="shared" si="4"/>
        <v>38</v>
      </c>
      <c r="L10" s="62" t="str">
        <f>IFERROR(VLOOKUP(MID(G10,J10,K10-J10),[5]skilldef!$C:$D,2,FALSE),"-") &amp; " / " &amp; IFERROR(VLOOKUP(MID(G10,H10,I10-H10),[5]skilldef!$A:$B,2,FALSE),"-")</f>
        <v>味方全体に / ステータスDOWN</v>
      </c>
      <c r="M10" s="62" t="str">
        <f t="shared" si="5"/>
        <v>[effect:rush, count:1, val:0.9]</v>
      </c>
      <c r="N10" s="48" t="str">
        <f>IFERROR(LEFT(M10,FIND("],",M10)+#REF!),M10)</f>
        <v>[effect:rush, count:1, val:0.9]</v>
      </c>
      <c r="O10" s="62">
        <f t="shared" si="6"/>
        <v>9</v>
      </c>
      <c r="P10" s="62">
        <f t="shared" si="7"/>
        <v>13</v>
      </c>
      <c r="Q10" s="62" t="e">
        <f t="shared" si="8"/>
        <v>#VALUE!</v>
      </c>
      <c r="R10" s="62">
        <f t="shared" si="9"/>
        <v>22</v>
      </c>
      <c r="S10" s="62" t="str">
        <f>IFERROR(VLOOKUP(MID(N10,Q10,R10-Q10),[5]skilldef!$C:$D,2,FALSE),"-") &amp; " / " &amp; IFERROR(VLOOKUP(MID(N10,O10,P10-O10),[5]skilldef!$A:$B,2,FALSE),"-")</f>
        <v>- / 連続攻撃</v>
      </c>
      <c r="T10" s="48" t="str">
        <f t="shared" si="10"/>
        <v>none</v>
      </c>
      <c r="U10" s="62" t="e">
        <f t="shared" si="11"/>
        <v>#VALUE!</v>
      </c>
      <c r="V10" s="62">
        <f t="shared" si="12"/>
        <v>4</v>
      </c>
      <c r="W10" s="62" t="e">
        <f t="shared" si="13"/>
        <v>#VALUE!</v>
      </c>
      <c r="X10" s="62" t="e">
        <f t="shared" si="14"/>
        <v>#VALUE!</v>
      </c>
      <c r="Y10" s="62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2">
      <c r="A11" s="147">
        <v>30046010</v>
      </c>
      <c r="B11" s="163" t="s">
        <v>254</v>
      </c>
      <c r="C11" s="271">
        <v>3</v>
      </c>
      <c r="D11" s="50" t="s">
        <v>128</v>
      </c>
      <c r="E11" s="208" t="s">
        <v>309</v>
      </c>
      <c r="F11" s="208" t="s">
        <v>264</v>
      </c>
      <c r="G11" s="62" t="str">
        <f t="shared" si="0"/>
        <v>[effect:spread, val:0.28]</v>
      </c>
      <c r="H11" s="62">
        <f t="shared" si="1"/>
        <v>9</v>
      </c>
      <c r="I11" s="62">
        <f t="shared" si="2"/>
        <v>15</v>
      </c>
      <c r="J11" s="62" t="e">
        <f t="shared" si="3"/>
        <v>#VALUE!</v>
      </c>
      <c r="K11" s="62" t="e">
        <f t="shared" si="4"/>
        <v>#VALUE!</v>
      </c>
      <c r="L11" s="62" t="str">
        <f>IFERROR(VLOOKUP(MID(G11,J11,K11-J11),[5]skilldef!$C:$D,2,FALSE),"-") &amp; " / " &amp; IFERROR(VLOOKUP(MID(G11,H11,I11-H11),[5]skilldef!$A:$B,2,FALSE),"-")</f>
        <v>- / 全体攻撃</v>
      </c>
      <c r="M11" s="62" t="str">
        <f t="shared" si="5"/>
        <v>none</v>
      </c>
      <c r="N11" s="48" t="str">
        <f>IFERROR(LEFT(M11,FIND("],",M11)+S20),M11)</f>
        <v>none</v>
      </c>
      <c r="O11" s="62" t="e">
        <f t="shared" si="6"/>
        <v>#VALUE!</v>
      </c>
      <c r="P11" s="62">
        <f t="shared" si="7"/>
        <v>4</v>
      </c>
      <c r="Q11" s="62" t="e">
        <f t="shared" si="8"/>
        <v>#VALUE!</v>
      </c>
      <c r="R11" s="62" t="e">
        <f t="shared" si="9"/>
        <v>#VALUE!</v>
      </c>
      <c r="S11" s="62" t="str">
        <f>IFERROR(VLOOKUP(MID(N11,Q11,R11-Q11),[5]skilldef!$C:$D,2,FALSE),"-") &amp; " / " &amp; IFERROR(VLOOKUP(MID(N11,O11,P11-O11),[5]skilldef!$A:$B,2,FALSE),"-")</f>
        <v>- / -</v>
      </c>
      <c r="T11" s="48" t="str">
        <f t="shared" si="10"/>
        <v>none</v>
      </c>
      <c r="U11" s="62" t="e">
        <f t="shared" si="11"/>
        <v>#VALUE!</v>
      </c>
      <c r="V11" s="62">
        <f t="shared" si="12"/>
        <v>4</v>
      </c>
      <c r="W11" s="62" t="e">
        <f t="shared" si="13"/>
        <v>#VALUE!</v>
      </c>
      <c r="X11" s="62" t="e">
        <f t="shared" si="14"/>
        <v>#VALUE!</v>
      </c>
      <c r="Y11" s="62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thickBot="1" x14ac:dyDescent="0.25">
      <c r="A12" s="147">
        <v>30046011</v>
      </c>
      <c r="B12" s="216" t="s">
        <v>426</v>
      </c>
      <c r="C12" s="272">
        <v>3</v>
      </c>
      <c r="D12" s="217" t="s">
        <v>128</v>
      </c>
      <c r="E12" s="218" t="s">
        <v>253</v>
      </c>
      <c r="F12" s="218" t="s">
        <v>266</v>
      </c>
      <c r="G12" s="160" t="str">
        <f t="shared" si="0"/>
        <v>[effect:enemy_message, val1:1.8, val2:2]</v>
      </c>
      <c r="H12" s="160">
        <f t="shared" si="1"/>
        <v>9</v>
      </c>
      <c r="I12" s="160">
        <f t="shared" si="2"/>
        <v>22</v>
      </c>
      <c r="J12" s="160" t="e">
        <f t="shared" si="3"/>
        <v>#VALUE!</v>
      </c>
      <c r="K12" s="160">
        <f t="shared" si="4"/>
        <v>32</v>
      </c>
      <c r="L12" s="62" t="str">
        <f>IFERROR(VLOOKUP(MID(G12,J12,K12-J12),[5]skilldef!$C:$D,2,FALSE),"-") &amp; " / " &amp; IFERROR(VLOOKUP(MID(G12,H12,I12-H12),[5]skilldef!$A:$B,2,FALSE),"-")</f>
        <v>- / -</v>
      </c>
      <c r="M12" s="62" t="str">
        <f t="shared" si="5"/>
        <v>[effect:virus, turn:-1, rate:1, val:0.15, animation:enemy_virus]</v>
      </c>
      <c r="N12" s="48" t="str">
        <f>IFERROR(LEFT(M12,FIND("],",M12)+#REF!),M12)</f>
        <v>[effect:virus, turn:-1, rate:1, val:0.15, animation:enemy_virus]</v>
      </c>
      <c r="O12" s="62">
        <f t="shared" si="6"/>
        <v>9</v>
      </c>
      <c r="P12" s="62">
        <f t="shared" si="7"/>
        <v>14</v>
      </c>
      <c r="Q12" s="62" t="e">
        <f t="shared" si="8"/>
        <v>#VALUE!</v>
      </c>
      <c r="R12" s="62">
        <f t="shared" si="9"/>
        <v>23</v>
      </c>
      <c r="S12" s="62" t="str">
        <f>IFERROR(VLOOKUP(MID(N12,Q12,R12-Q12),[5]skilldef!$C:$D,2,FALSE),"-") &amp; " / " &amp; IFERROR(VLOOKUP(MID(N12,O12,P12-O12),[5]skilldef!$A:$B,2,FALSE),"-")</f>
        <v>- / ウィルス</v>
      </c>
      <c r="T12" s="48" t="str">
        <f t="shared" si="10"/>
        <v>none</v>
      </c>
      <c r="U12" s="62" t="e">
        <f t="shared" si="11"/>
        <v>#VALUE!</v>
      </c>
      <c r="V12" s="62">
        <f t="shared" si="12"/>
        <v>4</v>
      </c>
      <c r="W12" s="62" t="e">
        <f t="shared" si="13"/>
        <v>#VALUE!</v>
      </c>
      <c r="X12" s="62" t="e">
        <f t="shared" si="14"/>
        <v>#VALUE!</v>
      </c>
      <c r="Y12" s="62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30" customHeight="1" thickTop="1" x14ac:dyDescent="0.2">
      <c r="A13" s="147">
        <v>30046012</v>
      </c>
      <c r="B13" s="178" t="s">
        <v>427</v>
      </c>
      <c r="C13" s="274">
        <v>3</v>
      </c>
      <c r="D13" s="179" t="s">
        <v>128</v>
      </c>
      <c r="E13" s="180" t="s">
        <v>435</v>
      </c>
      <c r="F13" s="219" t="s">
        <v>407</v>
      </c>
      <c r="G13" s="157" t="str">
        <f t="shared" si="0"/>
        <v>[effect:enemy_message, val1:1.8, val2:2]</v>
      </c>
      <c r="H13" s="157">
        <f t="shared" si="1"/>
        <v>9</v>
      </c>
      <c r="I13" s="157">
        <f t="shared" si="2"/>
        <v>22</v>
      </c>
      <c r="J13" s="157" t="e">
        <f t="shared" si="3"/>
        <v>#VALUE!</v>
      </c>
      <c r="K13" s="157">
        <f t="shared" si="4"/>
        <v>32</v>
      </c>
      <c r="L13" s="157" t="str">
        <f>IFERROR(VLOOKUP(MID(G13,J13,K13-J13),[5]skilldef!$C:$D,2,FALSE),"-") &amp; " / " &amp; IFERROR(VLOOKUP(MID(G13,H13,I13-H13),[5]skilldef!$A:$B,2,FALSE),"-")</f>
        <v>- / -</v>
      </c>
      <c r="M13" s="157" t="str">
        <f t="shared" si="5"/>
        <v>[effect:virus, turn:5, rate:1, val:0.07, animation:enemy_virus],[effect:fix_speed, target:myself, turn:1]</v>
      </c>
      <c r="N13" s="158" t="str">
        <f>IFERROR(LEFT(M13,FIND("],",M13)+S21),M13)</f>
        <v>[effect:virus, turn:5, rate:1, val:0.07, animation:enemy_virus],[effect:fix_speed, target:myself, turn:1]</v>
      </c>
      <c r="O13" s="157">
        <f t="shared" si="6"/>
        <v>9</v>
      </c>
      <c r="P13" s="157">
        <f t="shared" si="7"/>
        <v>14</v>
      </c>
      <c r="Q13" s="157">
        <f t="shared" si="8"/>
        <v>91</v>
      </c>
      <c r="R13" s="157">
        <f t="shared" si="9"/>
        <v>22</v>
      </c>
      <c r="S13" s="157" t="str">
        <f>IFERROR(VLOOKUP(MID(N13,Q13,R13-Q13),[5]skilldef!$C:$D,2,FALSE),"-") &amp; " / " &amp; IFERROR(VLOOKUP(MID(N13,O13,P13-O13),[5]skilldef!$A:$B,2,FALSE),"-")</f>
        <v>- / ウィルス</v>
      </c>
      <c r="T13" s="158" t="str">
        <f t="shared" si="10"/>
        <v>[effect:fix_speed, target:myself, turn:1]</v>
      </c>
      <c r="U13" s="157">
        <f t="shared" si="11"/>
        <v>9</v>
      </c>
      <c r="V13" s="157">
        <f t="shared" si="12"/>
        <v>18</v>
      </c>
      <c r="W13" s="157">
        <f t="shared" si="13"/>
        <v>27</v>
      </c>
      <c r="X13" s="157">
        <f t="shared" si="14"/>
        <v>33</v>
      </c>
      <c r="Y13" s="157" t="str">
        <f>IFERROR(VLOOKUP(MID(T13,W13,X13-W13),[5]skilldef!$C:$D,2,FALSE),"-") &amp; " / " &amp; IFERROR(VLOOKUP(MID(T13,U13,V13-U13),[5]skilldef!$A:$B,2,FALSE),"-")</f>
        <v>自分自身に / 行動値設定</v>
      </c>
      <c r="Z13" s="153"/>
      <c r="AA13" s="159"/>
      <c r="AB13" s="153"/>
    </row>
    <row r="14" spans="1:28" ht="21" customHeight="1" x14ac:dyDescent="0.2">
      <c r="A14" s="147">
        <v>30046013</v>
      </c>
      <c r="B14" s="163" t="s">
        <v>420</v>
      </c>
      <c r="C14" s="271">
        <v>3</v>
      </c>
      <c r="D14" s="50" t="s">
        <v>128</v>
      </c>
      <c r="E14" s="51" t="s">
        <v>277</v>
      </c>
      <c r="F14" s="154" t="s">
        <v>265</v>
      </c>
      <c r="G14" s="62" t="str">
        <f t="shared" si="0"/>
        <v>[effect:freq_turn, target:enemy_animal, turn:-1, val:1, animation:enemy_freq_turn]</v>
      </c>
      <c r="H14" s="62">
        <f t="shared" si="1"/>
        <v>9</v>
      </c>
      <c r="I14" s="62">
        <f t="shared" si="2"/>
        <v>18</v>
      </c>
      <c r="J14" s="62">
        <f t="shared" si="3"/>
        <v>27</v>
      </c>
      <c r="K14" s="62">
        <f t="shared" si="4"/>
        <v>39</v>
      </c>
      <c r="L14" s="62" t="str">
        <f>IFERROR(VLOOKUP(MID(G14,J14,K14-J14),[5]skilldef!$C:$D,2,FALSE),"-") &amp; " / " &amp; IFERROR(VLOOKUP(MID(G14,H14,I14-H14),[5]skilldef!$A:$B,2,FALSE),"-")</f>
        <v>- / 攻撃頻度がUP</v>
      </c>
      <c r="M14" s="62" t="str">
        <f t="shared" si="5"/>
        <v>[effect:fix_speed, target:myself, turn:2]</v>
      </c>
      <c r="N14" s="48" t="str">
        <f>IFERROR(LEFT(M14,FIND("],",M14)+S22),M14)</f>
        <v>[effect:fix_speed, target:myself, turn:2]</v>
      </c>
      <c r="O14" s="62">
        <f t="shared" si="6"/>
        <v>9</v>
      </c>
      <c r="P14" s="62">
        <f t="shared" si="7"/>
        <v>18</v>
      </c>
      <c r="Q14" s="62">
        <f t="shared" si="8"/>
        <v>27</v>
      </c>
      <c r="R14" s="62">
        <f t="shared" si="9"/>
        <v>33</v>
      </c>
      <c r="S14" s="62" t="str">
        <f>IFERROR(VLOOKUP(MID(N14,Q14,R14-Q14),[5]skilldef!$C:$D,2,FALSE),"-") &amp; " / " &amp; IFERROR(VLOOKUP(MID(N14,O14,P14-O14),[5]skilldef!$A:$B,2,FALSE),"-")</f>
        <v>自分自身に / 行動値設定</v>
      </c>
      <c r="T14" s="48" t="str">
        <f t="shared" si="10"/>
        <v>none</v>
      </c>
      <c r="U14" s="62" t="e">
        <f t="shared" si="11"/>
        <v>#VALUE!</v>
      </c>
      <c r="V14" s="62">
        <f t="shared" si="12"/>
        <v>4</v>
      </c>
      <c r="W14" s="62" t="e">
        <f t="shared" si="13"/>
        <v>#VALUE!</v>
      </c>
      <c r="X14" s="62" t="e">
        <f t="shared" si="14"/>
        <v>#VALUE!</v>
      </c>
      <c r="Y14" s="62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2">
      <c r="A15" s="147">
        <v>30046014</v>
      </c>
      <c r="B15" s="163" t="s">
        <v>421</v>
      </c>
      <c r="C15" s="271">
        <v>3</v>
      </c>
      <c r="D15" s="50" t="s">
        <v>128</v>
      </c>
      <c r="E15" s="51" t="s">
        <v>287</v>
      </c>
      <c r="F15" s="51" t="s">
        <v>401</v>
      </c>
      <c r="G15" s="62" t="str">
        <f t="shared" si="0"/>
        <v>[effect:rush, count:1, val:1]</v>
      </c>
      <c r="H15" s="62">
        <f t="shared" si="1"/>
        <v>9</v>
      </c>
      <c r="I15" s="62">
        <f t="shared" si="2"/>
        <v>13</v>
      </c>
      <c r="J15" s="62" t="e">
        <f t="shared" si="3"/>
        <v>#VALUE!</v>
      </c>
      <c r="K15" s="62">
        <f t="shared" si="4"/>
        <v>22</v>
      </c>
      <c r="L15" s="62" t="str">
        <f>IFERROR(VLOOKUP(MID(G15,J15,K15-J15),[5]skilldef!$C:$D,2,FALSE),"-") &amp; " / " &amp; IFERROR(VLOOKUP(MID(G15,H15,I15-H15),[5]skilldef!$A:$B,2,FALSE),"-")</f>
        <v>- / 連続攻撃</v>
      </c>
      <c r="M15" s="62" t="str">
        <f t="shared" si="5"/>
        <v>[effect:fix_speed, target:myself, turn:2]</v>
      </c>
      <c r="N15" s="48" t="str">
        <f>IFERROR(LEFT(M15,FIND("],",M15)+S25),M15)</f>
        <v>[effect:fix_speed, target:myself, turn:2]</v>
      </c>
      <c r="O15" s="62">
        <f t="shared" si="6"/>
        <v>9</v>
      </c>
      <c r="P15" s="62">
        <f t="shared" si="7"/>
        <v>18</v>
      </c>
      <c r="Q15" s="62">
        <f t="shared" si="8"/>
        <v>27</v>
      </c>
      <c r="R15" s="62">
        <f t="shared" si="9"/>
        <v>33</v>
      </c>
      <c r="S15" s="62" t="str">
        <f>IFERROR(VLOOKUP(MID(N15,Q15,R15-Q15),[5]skilldef!$C:$D,2,FALSE),"-") &amp; " / " &amp; IFERROR(VLOOKUP(MID(N15,O15,P15-O15),[5]skilldef!$A:$B,2,FALSE),"-")</f>
        <v>自分自身に / 行動値設定</v>
      </c>
      <c r="T15" s="48" t="str">
        <f t="shared" si="10"/>
        <v>none</v>
      </c>
      <c r="U15" s="62" t="e">
        <f t="shared" si="11"/>
        <v>#VALUE!</v>
      </c>
      <c r="V15" s="62">
        <f t="shared" si="12"/>
        <v>4</v>
      </c>
      <c r="W15" s="62" t="e">
        <f t="shared" si="13"/>
        <v>#VALUE!</v>
      </c>
      <c r="X15" s="62" t="e">
        <f t="shared" si="14"/>
        <v>#VALUE!</v>
      </c>
      <c r="Y15" s="62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2">
      <c r="A16" s="147">
        <v>30046015</v>
      </c>
      <c r="B16" s="163" t="s">
        <v>274</v>
      </c>
      <c r="C16" s="271">
        <v>3</v>
      </c>
      <c r="D16" s="50" t="s">
        <v>128</v>
      </c>
      <c r="E16" s="51" t="s">
        <v>286</v>
      </c>
      <c r="F16" s="51" t="s">
        <v>402</v>
      </c>
      <c r="G16" s="62" t="str">
        <f t="shared" si="0"/>
        <v>[effect:rush, count:1, val:1.28]</v>
      </c>
      <c r="H16" s="62">
        <f t="shared" si="1"/>
        <v>9</v>
      </c>
      <c r="I16" s="62">
        <f t="shared" si="2"/>
        <v>13</v>
      </c>
      <c r="J16" s="62" t="e">
        <f t="shared" si="3"/>
        <v>#VALUE!</v>
      </c>
      <c r="K16" s="62">
        <f t="shared" si="4"/>
        <v>22</v>
      </c>
      <c r="L16" s="62" t="str">
        <f>IFERROR(VLOOKUP(MID(G16,J16,K16-J16),[5]skilldef!$C:$D,2,FALSE),"-") &amp; " / " &amp; IFERROR(VLOOKUP(MID(G16,H16,I16-H16),[5]skilldef!$A:$B,2,FALSE),"-")</f>
        <v>- / 連続攻撃</v>
      </c>
      <c r="M16" s="62" t="str">
        <f t="shared" si="5"/>
        <v>none</v>
      </c>
      <c r="N16" s="48" t="str">
        <f>IFERROR(LEFT(M16,FIND("],",M16)+#REF!),M16)</f>
        <v>none</v>
      </c>
      <c r="O16" s="62" t="e">
        <f t="shared" si="6"/>
        <v>#VALUE!</v>
      </c>
      <c r="P16" s="62">
        <f t="shared" si="7"/>
        <v>4</v>
      </c>
      <c r="Q16" s="62" t="e">
        <f t="shared" si="8"/>
        <v>#VALUE!</v>
      </c>
      <c r="R16" s="62" t="e">
        <f t="shared" si="9"/>
        <v>#VALUE!</v>
      </c>
      <c r="S16" s="62" t="str">
        <f>IFERROR(VLOOKUP(MID(N16,Q16,R16-Q16),[5]skilldef!$C:$D,2,FALSE),"-") &amp; " / " &amp; IFERROR(VLOOKUP(MID(N16,O16,P16-O16),[5]skilldef!$A:$B,2,FALSE),"-")</f>
        <v>- / -</v>
      </c>
      <c r="T16" s="48" t="str">
        <f t="shared" si="10"/>
        <v>none</v>
      </c>
      <c r="U16" s="62" t="e">
        <f t="shared" si="11"/>
        <v>#VALUE!</v>
      </c>
      <c r="V16" s="62">
        <f t="shared" si="12"/>
        <v>4</v>
      </c>
      <c r="W16" s="62" t="e">
        <f t="shared" si="13"/>
        <v>#VALUE!</v>
      </c>
      <c r="X16" s="62" t="e">
        <f t="shared" si="14"/>
        <v>#VALUE!</v>
      </c>
      <c r="Y16" s="62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2">
      <c r="A17" s="147">
        <v>30046016</v>
      </c>
      <c r="B17" s="163" t="s">
        <v>272</v>
      </c>
      <c r="C17" s="271">
        <v>3</v>
      </c>
      <c r="D17" s="50" t="s">
        <v>128</v>
      </c>
      <c r="E17" s="51" t="s">
        <v>288</v>
      </c>
      <c r="F17" s="51" t="s">
        <v>403</v>
      </c>
      <c r="G17" s="62" t="str">
        <f t="shared" si="0"/>
        <v>[effect:rush, count:1, val:1.45]</v>
      </c>
      <c r="H17" s="62">
        <f t="shared" si="1"/>
        <v>9</v>
      </c>
      <c r="I17" s="62">
        <f t="shared" si="2"/>
        <v>13</v>
      </c>
      <c r="J17" s="62" t="e">
        <f t="shared" si="3"/>
        <v>#VALUE!</v>
      </c>
      <c r="K17" s="62">
        <f t="shared" si="4"/>
        <v>22</v>
      </c>
      <c r="L17" s="62" t="str">
        <f>IFERROR(VLOOKUP(MID(G17,J17,K17-J17),[5]skilldef!$C:$D,2,FALSE),"-") &amp; " / " &amp; IFERROR(VLOOKUP(MID(G17,H17,I17-H17),[5]skilldef!$A:$B,2,FALSE),"-")</f>
        <v>- / 連続攻撃</v>
      </c>
      <c r="M17" s="62" t="str">
        <f t="shared" si="5"/>
        <v>[effect:freq_turn, target:myself, turn:-1, val:1, animation:enemy_freq_turn]</v>
      </c>
      <c r="N17" s="48" t="str">
        <f>IFERROR(LEFT(M17,FIND("],",M17)+S31),M17)</f>
        <v>[effect:freq_turn, target:myself, turn:-1, val:1, animation:enemy_freq_turn]</v>
      </c>
      <c r="O17" s="62">
        <f t="shared" si="6"/>
        <v>9</v>
      </c>
      <c r="P17" s="62">
        <f t="shared" si="7"/>
        <v>18</v>
      </c>
      <c r="Q17" s="62">
        <f t="shared" si="8"/>
        <v>27</v>
      </c>
      <c r="R17" s="62">
        <f t="shared" si="9"/>
        <v>33</v>
      </c>
      <c r="S17" s="62" t="str">
        <f>IFERROR(VLOOKUP(MID(N17,Q17,R17-Q17),[5]skilldef!$C:$D,2,FALSE),"-") &amp; " / " &amp; IFERROR(VLOOKUP(MID(N17,O17,P17-O17),[5]skilldef!$A:$B,2,FALSE),"-")</f>
        <v>自分自身に / 攻撃頻度がUP</v>
      </c>
      <c r="T17" s="48" t="str">
        <f t="shared" si="10"/>
        <v>none</v>
      </c>
      <c r="U17" s="62" t="e">
        <f t="shared" si="11"/>
        <v>#VALUE!</v>
      </c>
      <c r="V17" s="62">
        <f t="shared" si="12"/>
        <v>4</v>
      </c>
      <c r="W17" s="62" t="e">
        <f t="shared" si="13"/>
        <v>#VALUE!</v>
      </c>
      <c r="X17" s="62" t="e">
        <f t="shared" si="14"/>
        <v>#VALUE!</v>
      </c>
      <c r="Y17" s="62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2">
      <c r="A18" s="147">
        <v>30046017</v>
      </c>
      <c r="B18" s="163" t="s">
        <v>273</v>
      </c>
      <c r="C18" s="271">
        <v>3</v>
      </c>
      <c r="D18" s="50" t="s">
        <v>128</v>
      </c>
      <c r="E18" s="51" t="s">
        <v>289</v>
      </c>
      <c r="F18" s="51" t="s">
        <v>404</v>
      </c>
      <c r="G18" s="62" t="str">
        <f t="shared" si="0"/>
        <v>[effect:rush, count:1, val:1.55]</v>
      </c>
      <c r="H18" s="62">
        <f t="shared" si="1"/>
        <v>9</v>
      </c>
      <c r="I18" s="62">
        <f t="shared" si="2"/>
        <v>13</v>
      </c>
      <c r="J18" s="62" t="e">
        <f t="shared" si="3"/>
        <v>#VALUE!</v>
      </c>
      <c r="K18" s="62">
        <f t="shared" si="4"/>
        <v>22</v>
      </c>
      <c r="L18" s="62" t="str">
        <f>IFERROR(VLOOKUP(MID(G18,J18,K18-J18),[5]skilldef!$C:$D,2,FALSE),"-") &amp; " / " &amp; IFERROR(VLOOKUP(MID(G18,H18,I18-H18),[5]skilldef!$A:$B,2,FALSE),"-")</f>
        <v>- / 連続攻撃</v>
      </c>
      <c r="M18" s="62" t="str">
        <f t="shared" si="5"/>
        <v>none</v>
      </c>
      <c r="N18" s="48" t="str">
        <f>IFERROR(LEFT(M18,FIND("],",M18)+S32),M18)</f>
        <v>none</v>
      </c>
      <c r="O18" s="62" t="e">
        <f t="shared" si="6"/>
        <v>#VALUE!</v>
      </c>
      <c r="P18" s="62">
        <f t="shared" si="7"/>
        <v>4</v>
      </c>
      <c r="Q18" s="62" t="e">
        <f t="shared" si="8"/>
        <v>#VALUE!</v>
      </c>
      <c r="R18" s="62" t="e">
        <f t="shared" si="9"/>
        <v>#VALUE!</v>
      </c>
      <c r="S18" s="62" t="str">
        <f>IFERROR(VLOOKUP(MID(N18,Q18,R18-Q18),[5]skilldef!$C:$D,2,FALSE),"-") &amp; " / " &amp; IFERROR(VLOOKUP(MID(N18,O18,P18-O18),[5]skilldef!$A:$B,2,FALSE),"-")</f>
        <v>- / -</v>
      </c>
      <c r="T18" s="48" t="str">
        <f t="shared" si="10"/>
        <v>none</v>
      </c>
      <c r="U18" s="62" t="e">
        <f t="shared" si="11"/>
        <v>#VALUE!</v>
      </c>
      <c r="V18" s="62">
        <f t="shared" si="12"/>
        <v>4</v>
      </c>
      <c r="W18" s="62" t="e">
        <f t="shared" si="13"/>
        <v>#VALUE!</v>
      </c>
      <c r="X18" s="62" t="e">
        <f t="shared" si="14"/>
        <v>#VALUE!</v>
      </c>
      <c r="Y18" s="62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thickBot="1" x14ac:dyDescent="0.25">
      <c r="A19" s="147">
        <v>30046018</v>
      </c>
      <c r="B19" s="163" t="s">
        <v>298</v>
      </c>
      <c r="C19" s="271">
        <v>3</v>
      </c>
      <c r="D19" s="50" t="s">
        <v>128</v>
      </c>
      <c r="E19" s="51" t="s">
        <v>290</v>
      </c>
      <c r="F19" s="51" t="s">
        <v>405</v>
      </c>
      <c r="G19" s="62" t="str">
        <f t="shared" si="0"/>
        <v>[effect:rush, count:1, val:1.69]</v>
      </c>
      <c r="H19" s="62">
        <f t="shared" si="1"/>
        <v>9</v>
      </c>
      <c r="I19" s="62">
        <f t="shared" si="2"/>
        <v>13</v>
      </c>
      <c r="J19" s="62" t="e">
        <f t="shared" si="3"/>
        <v>#VALUE!</v>
      </c>
      <c r="K19" s="62">
        <f t="shared" si="4"/>
        <v>22</v>
      </c>
      <c r="L19" s="62" t="str">
        <f>IFERROR(VLOOKUP(MID(G19,J19,K19-J19),[5]skilldef!$C:$D,2,FALSE),"-") &amp; " / " &amp; IFERROR(VLOOKUP(MID(G19,H19,I19-H19),[5]skilldef!$A:$B,2,FALSE),"-")</f>
        <v>- / 連続攻撃</v>
      </c>
      <c r="M19" s="62" t="str">
        <f t="shared" si="5"/>
        <v>none</v>
      </c>
      <c r="N19" s="48" t="str">
        <f>IFERROR(LEFT(M19,FIND("],",M19)+S23),M19)</f>
        <v>none</v>
      </c>
      <c r="O19" s="62" t="e">
        <f t="shared" si="6"/>
        <v>#VALUE!</v>
      </c>
      <c r="P19" s="62">
        <f t="shared" si="7"/>
        <v>4</v>
      </c>
      <c r="Q19" s="62" t="e">
        <f t="shared" si="8"/>
        <v>#VALUE!</v>
      </c>
      <c r="R19" s="62" t="e">
        <f t="shared" si="9"/>
        <v>#VALUE!</v>
      </c>
      <c r="S19" s="62" t="str">
        <f>IFERROR(VLOOKUP(MID(N19,Q19,R19-Q19),[5]skilldef!$C:$D,2,FALSE),"-") &amp; " / " &amp; IFERROR(VLOOKUP(MID(N19,O19,P19-O19),[5]skilldef!$A:$B,2,FALSE),"-")</f>
        <v>- / -</v>
      </c>
      <c r="T19" s="48" t="str">
        <f t="shared" si="10"/>
        <v>none</v>
      </c>
      <c r="U19" s="62" t="e">
        <f t="shared" si="11"/>
        <v>#VALUE!</v>
      </c>
      <c r="V19" s="62">
        <f t="shared" si="12"/>
        <v>4</v>
      </c>
      <c r="W19" s="62" t="e">
        <f t="shared" si="13"/>
        <v>#VALUE!</v>
      </c>
      <c r="X19" s="62" t="e">
        <f t="shared" si="14"/>
        <v>#VALUE!</v>
      </c>
      <c r="Y19" s="62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thickTop="1" thickBot="1" x14ac:dyDescent="0.25">
      <c r="A20" s="147">
        <v>30046020</v>
      </c>
      <c r="B20" s="222" t="s">
        <v>297</v>
      </c>
      <c r="C20" s="275">
        <v>3</v>
      </c>
      <c r="D20" s="194" t="s">
        <v>128</v>
      </c>
      <c r="E20" s="195" t="s">
        <v>293</v>
      </c>
      <c r="F20" s="195" t="s">
        <v>261</v>
      </c>
      <c r="G20" s="62" t="str">
        <f t="shared" si="0"/>
        <v>[effect:rush, count:3, val:0.42]</v>
      </c>
      <c r="H20" s="62">
        <f t="shared" si="1"/>
        <v>9</v>
      </c>
      <c r="I20" s="62">
        <f t="shared" si="2"/>
        <v>13</v>
      </c>
      <c r="J20" s="62" t="e">
        <f t="shared" si="3"/>
        <v>#VALUE!</v>
      </c>
      <c r="K20" s="62">
        <f t="shared" si="4"/>
        <v>22</v>
      </c>
      <c r="L20" s="62" t="str">
        <f>IFERROR(VLOOKUP(MID(G20,J20,K20-J20),[5]skilldef!$C:$D,2,FALSE),"-") &amp; " / " &amp; IFERROR(VLOOKUP(MID(G20,H20,I20-H20),[5]skilldef!$A:$B,2,FALSE),"-")</f>
        <v>- / 連続攻撃</v>
      </c>
      <c r="M20" s="62" t="str">
        <f t="shared" si="5"/>
        <v>none</v>
      </c>
      <c r="N20" s="48" t="str">
        <f>IFERROR(LEFT(M20,FIND("],",M20)+S26),M20)</f>
        <v>none</v>
      </c>
      <c r="O20" s="62" t="e">
        <f t="shared" si="6"/>
        <v>#VALUE!</v>
      </c>
      <c r="P20" s="62">
        <f t="shared" si="7"/>
        <v>4</v>
      </c>
      <c r="Q20" s="62" t="e">
        <f t="shared" si="8"/>
        <v>#VALUE!</v>
      </c>
      <c r="R20" s="62" t="e">
        <f t="shared" si="9"/>
        <v>#VALUE!</v>
      </c>
      <c r="S20" s="62" t="str">
        <f>IFERROR(VLOOKUP(MID(N20,Q20,R20-Q20),[5]skilldef!$C:$D,2,FALSE),"-") &amp; " / " &amp; IFERROR(VLOOKUP(MID(N20,O20,P20-O20),[5]skilldef!$A:$B,2,FALSE),"-")</f>
        <v>- / -</v>
      </c>
      <c r="T20" s="48" t="str">
        <f t="shared" si="10"/>
        <v>none</v>
      </c>
      <c r="U20" s="62" t="e">
        <f t="shared" si="11"/>
        <v>#VALUE!</v>
      </c>
      <c r="V20" s="62">
        <f t="shared" si="12"/>
        <v>4</v>
      </c>
      <c r="W20" s="62" t="e">
        <f t="shared" si="13"/>
        <v>#VALUE!</v>
      </c>
      <c r="X20" s="62" t="e">
        <f t="shared" si="14"/>
        <v>#VALUE!</v>
      </c>
      <c r="Y20" s="62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40" customHeight="1" thickTop="1" x14ac:dyDescent="0.2">
      <c r="A21" s="147">
        <v>30046022</v>
      </c>
      <c r="B21" s="178" t="s">
        <v>429</v>
      </c>
      <c r="C21" s="274">
        <v>3</v>
      </c>
      <c r="D21" s="179" t="s">
        <v>128</v>
      </c>
      <c r="E21" s="180" t="s">
        <v>388</v>
      </c>
      <c r="F21" s="180" t="s">
        <v>267</v>
      </c>
      <c r="G21" s="62" t="str">
        <f t="shared" si="0"/>
        <v>[effect:enemy_message, val1:1.8, val2:2]</v>
      </c>
      <c r="H21" s="62">
        <f t="shared" si="1"/>
        <v>9</v>
      </c>
      <c r="I21" s="62">
        <f t="shared" si="2"/>
        <v>22</v>
      </c>
      <c r="J21" s="62" t="e">
        <f t="shared" si="3"/>
        <v>#VALUE!</v>
      </c>
      <c r="K21" s="62">
        <f t="shared" si="4"/>
        <v>32</v>
      </c>
      <c r="L21" s="62" t="str">
        <f>IFERROR(VLOOKUP(MID(G21,J21,K21-J21),[5]skilldef!$C:$D,2,FALSE),"-") &amp; " / " &amp; IFERROR(VLOOKUP(MID(G21,H21,I21-H21),[5]skilldef!$A:$B,2,FALSE),"-")</f>
        <v>- / -</v>
      </c>
      <c r="M21" s="62" t="str">
        <f t="shared" si="5"/>
        <v>[effect:virus, turn:-1, rate:1, val:0.1, animation:enemy_virus],[effect:fix_speed, target:myself, turn:2]</v>
      </c>
      <c r="N21" s="48" t="str">
        <f>IFERROR(LEFT(M21,FIND("],",M21)+S28),M21)</f>
        <v>[effect:virus, turn:-1, rate:1, val:0.1, animation:enemy_virus],[effect:fix_speed, target:myself, turn:2]</v>
      </c>
      <c r="O21" s="62">
        <f t="shared" si="6"/>
        <v>9</v>
      </c>
      <c r="P21" s="62">
        <f t="shared" si="7"/>
        <v>14</v>
      </c>
      <c r="Q21" s="62">
        <f t="shared" si="8"/>
        <v>91</v>
      </c>
      <c r="R21" s="62">
        <f t="shared" si="9"/>
        <v>23</v>
      </c>
      <c r="S21" s="62" t="str">
        <f>IFERROR(VLOOKUP(MID(N21,Q21,R21-Q21),[5]skilldef!$C:$D,2,FALSE),"-") &amp; " / " &amp; IFERROR(VLOOKUP(MID(N21,O21,P21-O21),[5]skilldef!$A:$B,2,FALSE),"-")</f>
        <v>- / ウィルス</v>
      </c>
      <c r="T21" s="48" t="str">
        <f t="shared" si="10"/>
        <v>[effect:fix_speed, target:myself, turn:2]</v>
      </c>
      <c r="U21" s="62">
        <f t="shared" si="11"/>
        <v>9</v>
      </c>
      <c r="V21" s="62">
        <f t="shared" si="12"/>
        <v>18</v>
      </c>
      <c r="W21" s="62">
        <f t="shared" si="13"/>
        <v>27</v>
      </c>
      <c r="X21" s="62">
        <f t="shared" si="14"/>
        <v>33</v>
      </c>
      <c r="Y21" s="62" t="str">
        <f>IFERROR(VLOOKUP(MID(T21,W21,X21-W21),[5]skilldef!$C:$D,2,FALSE),"-") &amp; " / " &amp; IFERROR(VLOOKUP(MID(T21,U21,V21-U21),[5]skilldef!$A:$B,2,FALSE),"-")</f>
        <v>自分自身に / 行動値設定</v>
      </c>
      <c r="Z21" s="50"/>
      <c r="AA21" s="52"/>
      <c r="AB21" s="50"/>
    </row>
    <row r="22" spans="1:28" ht="21" customHeight="1" x14ac:dyDescent="0.2">
      <c r="A22" s="147">
        <v>30046023</v>
      </c>
      <c r="B22" s="181" t="s">
        <v>258</v>
      </c>
      <c r="C22" s="271">
        <v>3</v>
      </c>
      <c r="D22" s="182" t="s">
        <v>128</v>
      </c>
      <c r="E22" s="180" t="s">
        <v>284</v>
      </c>
      <c r="F22" s="183" t="s">
        <v>268</v>
      </c>
      <c r="G22" s="62" t="str">
        <f t="shared" si="0"/>
        <v>[effect:virus, turn:-1, rate:1, val:0.1, animation:enemy_virus]</v>
      </c>
      <c r="H22" s="62">
        <f t="shared" si="1"/>
        <v>9</v>
      </c>
      <c r="I22" s="62">
        <f t="shared" si="2"/>
        <v>14</v>
      </c>
      <c r="J22" s="62" t="e">
        <f t="shared" si="3"/>
        <v>#VALUE!</v>
      </c>
      <c r="K22" s="62">
        <f t="shared" si="4"/>
        <v>23</v>
      </c>
      <c r="L22" s="62" t="str">
        <f>IFERROR(VLOOKUP(MID(G22,J22,K22-J22),[5]skilldef!$C:$D,2,FALSE),"-") &amp; " / " &amp; IFERROR(VLOOKUP(MID(G22,H22,I22-H22),[5]skilldef!$A:$B,2,FALSE),"-")</f>
        <v>- / ウィルス</v>
      </c>
      <c r="M22" s="62" t="str">
        <f t="shared" si="5"/>
        <v>[effect:rush, count:1, val:0.9]</v>
      </c>
      <c r="N22" s="48" t="str">
        <f>IFERROR(LEFT(M22,FIND("],",M22)+S29),M22)</f>
        <v>[effect:rush, count:1, val:0.9]</v>
      </c>
      <c r="O22" s="62">
        <f t="shared" si="6"/>
        <v>9</v>
      </c>
      <c r="P22" s="62">
        <f t="shared" si="7"/>
        <v>13</v>
      </c>
      <c r="Q22" s="62" t="e">
        <f t="shared" si="8"/>
        <v>#VALUE!</v>
      </c>
      <c r="R22" s="62">
        <f t="shared" si="9"/>
        <v>22</v>
      </c>
      <c r="S22" s="62" t="str">
        <f>IFERROR(VLOOKUP(MID(N22,Q22,R22-Q22),[5]skilldef!$C:$D,2,FALSE),"-") &amp; " / " &amp; IFERROR(VLOOKUP(MID(N22,O22,P22-O22),[5]skilldef!$A:$B,2,FALSE),"-")</f>
        <v>- / 連続攻撃</v>
      </c>
      <c r="T22" s="48" t="str">
        <f t="shared" si="10"/>
        <v>none</v>
      </c>
      <c r="U22" s="62" t="e">
        <f t="shared" si="11"/>
        <v>#VALUE!</v>
      </c>
      <c r="V22" s="62">
        <f t="shared" si="12"/>
        <v>4</v>
      </c>
      <c r="W22" s="62" t="e">
        <f t="shared" si="13"/>
        <v>#VALUE!</v>
      </c>
      <c r="X22" s="62" t="e">
        <f t="shared" si="14"/>
        <v>#VALUE!</v>
      </c>
      <c r="Y22" s="62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2">
      <c r="A23" s="147">
        <v>30046024</v>
      </c>
      <c r="B23" s="204" t="s">
        <v>296</v>
      </c>
      <c r="C23" s="276">
        <v>3</v>
      </c>
      <c r="D23" s="205" t="s">
        <v>128</v>
      </c>
      <c r="E23" s="206" t="s">
        <v>278</v>
      </c>
      <c r="F23" s="207" t="s">
        <v>269</v>
      </c>
      <c r="G23" s="62" t="str">
        <f>IFERROR(LEFT(B23,FIND("],",B23)),B23)</f>
        <v>[effect:force_change_block, new_block:block_green, target:block_all, ignore01:crash, ignore02:crack_bomb, ignore03:color_break, ignore04:block_green, count:8, val:0, animation:change_block]</v>
      </c>
      <c r="H23" s="62">
        <f>FIND("effect:",G23)+7</f>
        <v>9</v>
      </c>
      <c r="I23" s="62">
        <f>IFERROR(FIND(",",G23),LEN(G23))</f>
        <v>27</v>
      </c>
      <c r="J23" s="62">
        <f>FIND("target:",G23)+7</f>
        <v>59</v>
      </c>
      <c r="K23" s="62">
        <f>FIND(",",G23,I23+1)</f>
        <v>50</v>
      </c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>IFERROR(RIGHT(B23,LEN(B23)-FIND("],",B23)-1),"none")</f>
        <v>[effect:rush, count:1, val:0.9]</v>
      </c>
      <c r="N23" s="48" t="str">
        <f>IFERROR(LEFT(M23,FIND("],",M23)+#REF!),M23)</f>
        <v>[effect:rush, count:1, val:0.9]</v>
      </c>
      <c r="O23" s="62">
        <f>FIND("effect:",N23)+7</f>
        <v>9</v>
      </c>
      <c r="P23" s="62">
        <f>IFERROR(FIND(",",N23),LEN(N23))</f>
        <v>13</v>
      </c>
      <c r="Q23" s="62" t="e">
        <f>FIND("target:",N23)+7</f>
        <v>#VALUE!</v>
      </c>
      <c r="R23" s="62">
        <f>FIND(",",N23,P23+1)</f>
        <v>22</v>
      </c>
      <c r="S23" s="62" t="str">
        <f>IFERROR(VLOOKUP(MID(N23,Q23,R23-Q23),[5]skilldef!$C:$D,2,FALSE),"-") &amp; " / " &amp; IFERROR(VLOOKUP(MID(N23,O23,P23-O23),[5]skilldef!$A:$B,2,FALSE),"-")</f>
        <v>- / 連続攻撃</v>
      </c>
      <c r="T23" s="48" t="str">
        <f>IFERROR(RIGHT(M23,LEN(M23)-FIND("],",M23)-1),"none")</f>
        <v>none</v>
      </c>
      <c r="U23" s="62" t="e">
        <f>FIND("effect:",T23)+7</f>
        <v>#VALUE!</v>
      </c>
      <c r="V23" s="62">
        <f>IFERROR(FIND(",",T23),LEN(T23))</f>
        <v>4</v>
      </c>
      <c r="W23" s="62" t="e">
        <f>FIND("target:",T23)+7</f>
        <v>#VALUE!</v>
      </c>
      <c r="X23" s="62" t="e">
        <f>FIND(",",T23,V23+1)</f>
        <v>#VALUE!</v>
      </c>
      <c r="Y23" s="62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2">
      <c r="A24" s="147">
        <v>30046025</v>
      </c>
      <c r="B24" s="185" t="s">
        <v>400</v>
      </c>
      <c r="C24" s="277">
        <v>3</v>
      </c>
      <c r="D24" s="50" t="s">
        <v>128</v>
      </c>
      <c r="E24" s="51" t="s">
        <v>279</v>
      </c>
      <c r="F24" s="51" t="s">
        <v>305</v>
      </c>
      <c r="G24" s="62" t="str">
        <f>IFERROR(LEFT(B24,FIND("],",B24)),B24)</f>
        <v>[effect:break_attack_fix, target:unit_all, val:110, lowest_val:600, count:-1, color:yellow, block01:block_green]</v>
      </c>
      <c r="H24" s="62">
        <f>FIND("effect:",G24)+7</f>
        <v>9</v>
      </c>
      <c r="I24" s="62">
        <f>IFERROR(FIND(",",G24),LEN(G24))</f>
        <v>25</v>
      </c>
      <c r="J24" s="62">
        <f>FIND("target:",G24)+7</f>
        <v>34</v>
      </c>
      <c r="K24" s="62">
        <f>FIND(",",G24,I24+1)</f>
        <v>42</v>
      </c>
      <c r="L24" s="62" t="str">
        <f>IFERROR(VLOOKUP(MID(G24,J24,K24-J24),[5]skilldef!$C:$D,2,FALSE),"-") &amp; " / " &amp; IFERROR(VLOOKUP(MID(G24,H24,I24-H24),[5]skilldef!$A:$B,2,FALSE),"-")</f>
        <v>味方全体に / -</v>
      </c>
      <c r="M24" s="62" t="str">
        <f>IFERROR(RIGHT(B24,LEN(B24)-FIND("],",B24)-1),"none")</f>
        <v>none</v>
      </c>
      <c r="N24" s="48" t="str">
        <f>IFERROR(LEFT(M24,FIND("],",M24)+#REF!),M24)</f>
        <v>none</v>
      </c>
      <c r="O24" s="62" t="e">
        <f>FIND("effect:",N24)+7</f>
        <v>#VALUE!</v>
      </c>
      <c r="P24" s="62">
        <f>IFERROR(FIND(",",N24),LEN(N24))</f>
        <v>4</v>
      </c>
      <c r="Q24" s="62" t="e">
        <f>FIND("target:",N24)+7</f>
        <v>#VALUE!</v>
      </c>
      <c r="R24" s="62" t="e">
        <f>FIND(",",N24,P24+1)</f>
        <v>#VALUE!</v>
      </c>
      <c r="S24" s="62" t="str">
        <f>IFERROR(VLOOKUP(MID(N24,Q24,R24-Q24),[5]skilldef!$C:$D,2,FALSE),"-") &amp; " / " &amp; IFERROR(VLOOKUP(MID(N24,O24,P24-O24),[5]skilldef!$A:$B,2,FALSE),"-")</f>
        <v>- / -</v>
      </c>
      <c r="T24" s="48" t="str">
        <f>IFERROR(RIGHT(M24,LEN(M24)-FIND("],",M24)-1),"none")</f>
        <v>none</v>
      </c>
      <c r="U24" s="62" t="e">
        <f>FIND("effect:",T24)+7</f>
        <v>#VALUE!</v>
      </c>
      <c r="V24" s="62">
        <f>IFERROR(FIND(",",T24),LEN(T24))</f>
        <v>4</v>
      </c>
      <c r="W24" s="62" t="e">
        <f>FIND("target:",T24)+7</f>
        <v>#VALUE!</v>
      </c>
      <c r="X24" s="62" t="e">
        <f>FIND(",",T24,V24+1)</f>
        <v>#VALUE!</v>
      </c>
      <c r="Y24" s="62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thickBot="1" x14ac:dyDescent="0.25">
      <c r="A25" s="147">
        <v>30046026</v>
      </c>
      <c r="B25" s="223" t="s">
        <v>304</v>
      </c>
      <c r="C25" s="278">
        <v>3</v>
      </c>
      <c r="D25" s="155" t="s">
        <v>128</v>
      </c>
      <c r="E25" s="156" t="s">
        <v>280</v>
      </c>
      <c r="F25" s="156" t="s">
        <v>302</v>
      </c>
      <c r="G25" s="62" t="str">
        <f t="shared" si="0"/>
        <v>[effect:rush, count:4, val:0.34]</v>
      </c>
      <c r="H25" s="62">
        <f t="shared" si="1"/>
        <v>9</v>
      </c>
      <c r="I25" s="62">
        <f t="shared" si="2"/>
        <v>13</v>
      </c>
      <c r="J25" s="62" t="e">
        <f t="shared" si="3"/>
        <v>#VALUE!</v>
      </c>
      <c r="K25" s="62">
        <f t="shared" si="4"/>
        <v>22</v>
      </c>
      <c r="L25" s="62" t="str">
        <f>IFERROR(VLOOKUP(MID(G25,J25,K25-J25),[5]skilldef!$C:$D,2,FALSE),"-") &amp; " / " &amp; IFERROR(VLOOKUP(MID(G25,H25,I25-H25),[5]skilldef!$A:$B,2,FALSE),"-")</f>
        <v>- / 連続攻撃</v>
      </c>
      <c r="M25" s="62" t="str">
        <f t="shared" si="5"/>
        <v>none</v>
      </c>
      <c r="N25" s="48" t="str">
        <f>IFERROR(LEFT(M25,FIND("],",M25)+S30),M25)</f>
        <v>none</v>
      </c>
      <c r="O25" s="62" t="e">
        <f t="shared" si="6"/>
        <v>#VALUE!</v>
      </c>
      <c r="P25" s="62">
        <f t="shared" si="7"/>
        <v>4</v>
      </c>
      <c r="Q25" s="62" t="e">
        <f t="shared" si="8"/>
        <v>#VALUE!</v>
      </c>
      <c r="R25" s="62" t="e">
        <f t="shared" si="9"/>
        <v>#VALUE!</v>
      </c>
      <c r="S25" s="62" t="str">
        <f>IFERROR(VLOOKUP(MID(N25,Q25,R25-Q25),[5]skilldef!$C:$D,2,FALSE),"-") &amp; " / " &amp; IFERROR(VLOOKUP(MID(N25,O25,P25-O25),[5]skilldef!$A:$B,2,FALSE),"-")</f>
        <v>- / -</v>
      </c>
      <c r="T25" s="48" t="str">
        <f t="shared" si="10"/>
        <v>none</v>
      </c>
      <c r="U25" s="62" t="e">
        <f t="shared" si="11"/>
        <v>#VALUE!</v>
      </c>
      <c r="V25" s="62">
        <f t="shared" si="12"/>
        <v>4</v>
      </c>
      <c r="W25" s="62" t="e">
        <f t="shared" si="13"/>
        <v>#VALUE!</v>
      </c>
      <c r="X25" s="62" t="e">
        <f t="shared" si="14"/>
        <v>#VALUE!</v>
      </c>
      <c r="Y25" s="62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36" customHeight="1" thickTop="1" x14ac:dyDescent="0.2">
      <c r="A26" s="147">
        <v>30046028</v>
      </c>
      <c r="B26" s="178" t="s">
        <v>428</v>
      </c>
      <c r="C26" s="274">
        <v>3</v>
      </c>
      <c r="D26" s="179" t="s">
        <v>128</v>
      </c>
      <c r="E26" s="180" t="s">
        <v>398</v>
      </c>
      <c r="F26" s="180" t="s">
        <v>408</v>
      </c>
      <c r="G26" s="62" t="str">
        <f t="shared" si="0"/>
        <v>[effect:enemy_message, val1:1.9, val2:2]</v>
      </c>
      <c r="H26" s="62">
        <f t="shared" si="1"/>
        <v>9</v>
      </c>
      <c r="I26" s="62">
        <f t="shared" si="2"/>
        <v>22</v>
      </c>
      <c r="J26" s="62" t="e">
        <f t="shared" si="3"/>
        <v>#VALUE!</v>
      </c>
      <c r="K26" s="62">
        <f t="shared" si="4"/>
        <v>32</v>
      </c>
      <c r="L26" s="62" t="str">
        <f>IFERROR(VLOOKUP(MID(G26,J26,K26-J26),[5]skilldef!$C:$D,2,FALSE),"-") &amp; " / " &amp; IFERROR(VLOOKUP(MID(G26,H26,I26-H26),[5]skilldef!$A:$B,2,FALSE),"-")</f>
        <v>- / -</v>
      </c>
      <c r="M26" s="62" t="str">
        <f t="shared" si="5"/>
        <v>[effect:virus, turn:-1, rate:1, val:0.12, animation:enemy_virus],[effect:fix_speed, target:myself, turn:1]</v>
      </c>
      <c r="N26" s="48" t="str">
        <f>IFERROR(LEFT(M26,FIND("],",M26)+#REF!),M26)</f>
        <v>[effect:virus, turn:-1, rate:1, val:0.12, animation:enemy_virus],[effect:fix_speed, target:myself, turn:1]</v>
      </c>
      <c r="O26" s="62">
        <f t="shared" si="6"/>
        <v>9</v>
      </c>
      <c r="P26" s="62">
        <f t="shared" si="7"/>
        <v>14</v>
      </c>
      <c r="Q26" s="62">
        <f t="shared" si="8"/>
        <v>92</v>
      </c>
      <c r="R26" s="62">
        <f t="shared" si="9"/>
        <v>23</v>
      </c>
      <c r="S26" s="62" t="str">
        <f>IFERROR(VLOOKUP(MID(N26,Q26,R26-Q26),[5]skilldef!$C:$D,2,FALSE),"-") &amp; " / " &amp; IFERROR(VLOOKUP(MID(N26,O26,P26-O26),[5]skilldef!$A:$B,2,FALSE),"-")</f>
        <v>- / ウィルス</v>
      </c>
      <c r="T26" s="48" t="str">
        <f t="shared" si="10"/>
        <v>[effect:fix_speed, target:myself, turn:1]</v>
      </c>
      <c r="U26" s="62">
        <f t="shared" si="11"/>
        <v>9</v>
      </c>
      <c r="V26" s="62">
        <f t="shared" si="12"/>
        <v>18</v>
      </c>
      <c r="W26" s="62">
        <f t="shared" si="13"/>
        <v>27</v>
      </c>
      <c r="X26" s="62">
        <f t="shared" si="14"/>
        <v>33</v>
      </c>
      <c r="Y26" s="62" t="str">
        <f>IFERROR(VLOOKUP(MID(T26,W26,X26-W26),[5]skilldef!$C:$D,2,FALSE),"-") &amp; " / " &amp; IFERROR(VLOOKUP(MID(T26,U26,V26-U26),[5]skilldef!$A:$B,2,FALSE),"-")</f>
        <v>自分自身に / 行動値設定</v>
      </c>
      <c r="Z26" s="50"/>
      <c r="AA26" s="52"/>
      <c r="AB26" s="50"/>
    </row>
    <row r="27" spans="1:28" ht="34" customHeight="1" x14ac:dyDescent="0.2">
      <c r="A27" s="147">
        <v>30046029</v>
      </c>
      <c r="B27" s="224" t="s">
        <v>430</v>
      </c>
      <c r="C27" s="271">
        <v>3</v>
      </c>
      <c r="D27" s="50" t="s">
        <v>308</v>
      </c>
      <c r="E27" s="154" t="s">
        <v>306</v>
      </c>
      <c r="F27" s="51" t="s">
        <v>270</v>
      </c>
      <c r="G27" s="62" t="str">
        <f t="shared" ref="G27:G34" si="16">IFERROR(LEFT(B27,FIND("],",B27)),B27)</f>
        <v>[effect:enemy_message, val1:1.8, val2:2]</v>
      </c>
      <c r="H27" s="62">
        <f t="shared" ref="H27:H34" si="17">FIND("effect:",G27)+7</f>
        <v>9</v>
      </c>
      <c r="I27" s="62">
        <f t="shared" ref="I27:I34" si="18">IFERROR(FIND(",",G27),LEN(G27))</f>
        <v>22</v>
      </c>
      <c r="J27" s="62" t="e">
        <f t="shared" ref="J27:J34" si="19">FIND("target:",G27)+7</f>
        <v>#VALUE!</v>
      </c>
      <c r="K27" s="62">
        <f t="shared" ref="K27:K34" si="20">FIND(",",G27,I27+1)</f>
        <v>32</v>
      </c>
      <c r="L27" s="62" t="str">
        <f>IFERROR(VLOOKUP(MID(G27,J27,K27-J27),[5]skilldef!$C:$D,2,FALSE),"-") &amp; " / " &amp; IFERROR(VLOOKUP(MID(G27,H27,I27-H27),[5]skilldef!$A:$B,2,FALSE),"-")</f>
        <v>- / -</v>
      </c>
      <c r="M27" s="62" t="str">
        <f t="shared" ref="M27:M34" si="21">IFERROR(RIGHT(B27,LEN(B27)-FIND("],",B27)-1),"none")</f>
        <v>[effect:remove_enhancement, target:unit_all, target_effect:all, target_type:buff, animation:frozen_wave]</v>
      </c>
      <c r="N27" s="48" t="str">
        <f>IFERROR(LEFT(M27,FIND("],",M27)+S35),M27)</f>
        <v>[effect:remove_enhancement, target:unit_all, target_effect:all, target_type:buff, animation:frozen_wave]</v>
      </c>
      <c r="O27" s="62">
        <f t="shared" ref="O27:O34" si="22">FIND("effect:",N27)+7</f>
        <v>9</v>
      </c>
      <c r="P27" s="62">
        <f t="shared" ref="P27:P34" si="23">IFERROR(FIND(",",N27),LEN(N27))</f>
        <v>27</v>
      </c>
      <c r="Q27" s="62">
        <f t="shared" ref="Q27:Q34" si="24">FIND("target:",N27)+7</f>
        <v>36</v>
      </c>
      <c r="R27" s="62">
        <f t="shared" ref="R27:R34" si="25">FIND(",",N27,P27+1)</f>
        <v>44</v>
      </c>
      <c r="S27" s="62" t="str">
        <f>IFERROR(VLOOKUP(MID(N27,Q27,R27-Q27),[5]skilldef!$C:$D,2,FALSE),"-") &amp; " / " &amp; IFERROR(VLOOKUP(MID(N27,O27,P27-O27),[5]skilldef!$A:$B,2,FALSE),"-")</f>
        <v>味方全体に / -</v>
      </c>
      <c r="T27" s="48" t="str">
        <f t="shared" ref="T27:T34" si="26">IFERROR(RIGHT(M27,LEN(M27)-FIND("],",M27)-1),"none")</f>
        <v>none</v>
      </c>
      <c r="U27" s="62" t="e">
        <f t="shared" ref="U27:U34" si="27">FIND("effect:",T27)+7</f>
        <v>#VALUE!</v>
      </c>
      <c r="V27" s="62">
        <f t="shared" ref="V27:V34" si="28">IFERROR(FIND(",",T27),LEN(T27))</f>
        <v>4</v>
      </c>
      <c r="W27" s="62" t="e">
        <f t="shared" ref="W27:W34" si="29">FIND("target:",T27)+7</f>
        <v>#VALUE!</v>
      </c>
      <c r="X27" s="62" t="e">
        <f t="shared" ref="X27:X34" si="30">FIND(",",T27,V27+1)</f>
        <v>#VALUE!</v>
      </c>
      <c r="Y27" s="62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56" x14ac:dyDescent="0.2">
      <c r="A28" s="147">
        <v>30046030</v>
      </c>
      <c r="B28" s="214" t="s">
        <v>431</v>
      </c>
      <c r="C28" s="279">
        <v>3</v>
      </c>
      <c r="D28" s="211" t="s">
        <v>128</v>
      </c>
      <c r="E28" s="183" t="s">
        <v>390</v>
      </c>
      <c r="F28" s="183" t="s">
        <v>409</v>
      </c>
      <c r="G28" s="62" t="str">
        <f t="shared" si="16"/>
        <v>[effect:enemy_message, val1:1.8, val2:2]</v>
      </c>
      <c r="H28" s="62">
        <f t="shared" si="17"/>
        <v>9</v>
      </c>
      <c r="I28" s="62">
        <f t="shared" si="18"/>
        <v>22</v>
      </c>
      <c r="J28" s="62" t="e">
        <f t="shared" si="19"/>
        <v>#VALUE!</v>
      </c>
      <c r="K28" s="62">
        <f t="shared" si="20"/>
        <v>32</v>
      </c>
      <c r="L28" s="62" t="str">
        <f>IFERROR(VLOOKUP(MID(G28,J28,K28-J28),[5]skilldef!$C:$D,2,FALSE),"-") &amp; " / " &amp; IFERROR(VLOOKUP(MID(G28,H28,I28-H28),[5]skilldef!$A:$B,2,FALSE),"-")</f>
        <v>- / -</v>
      </c>
      <c r="M28" s="62" t="str">
        <f t="shared" si="21"/>
        <v>[effect:virus, turn:-1, rate:1, val:0.13, animation:enemy_virus],[effect:rush, count:1, val:1.2]</v>
      </c>
      <c r="N28" s="48" t="str">
        <f>IFERROR(LEFT(M28,FIND("],",M28)+S36),M28)</f>
        <v>[effect:virus, turn:-1, rate:1, val:0.13, animation:enemy_virus]</v>
      </c>
      <c r="O28" s="62">
        <f t="shared" si="22"/>
        <v>9</v>
      </c>
      <c r="P28" s="62">
        <f t="shared" si="23"/>
        <v>14</v>
      </c>
      <c r="Q28" s="62" t="e">
        <f t="shared" si="24"/>
        <v>#VALUE!</v>
      </c>
      <c r="R28" s="62">
        <f t="shared" si="25"/>
        <v>23</v>
      </c>
      <c r="S28" s="62" t="str">
        <f>IFERROR(VLOOKUP(MID(N28,Q28,R28-Q28),[5]skilldef!$C:$D,2,FALSE),"-") &amp; " / " &amp; IFERROR(VLOOKUP(MID(N28,O28,P28-O28),[5]skilldef!$A:$B,2,FALSE),"-")</f>
        <v>- / ウィルス</v>
      </c>
      <c r="T28" s="48" t="str">
        <f t="shared" si="26"/>
        <v>[effect:rush, count:1, val:1.2]</v>
      </c>
      <c r="U28" s="62">
        <f t="shared" si="27"/>
        <v>9</v>
      </c>
      <c r="V28" s="62">
        <f t="shared" si="28"/>
        <v>13</v>
      </c>
      <c r="W28" s="62" t="e">
        <f t="shared" si="29"/>
        <v>#VALUE!</v>
      </c>
      <c r="X28" s="62">
        <f t="shared" si="30"/>
        <v>22</v>
      </c>
      <c r="Y28" s="62" t="str">
        <f>IFERROR(VLOOKUP(MID(T28,W28,X28-W28),[5]skilldef!$C:$D,2,FALSE),"-") &amp; " / " &amp; IFERROR(VLOOKUP(MID(T28,U28,V28-U28),[5]skilldef!$A:$B,2,FALSE),"-")</f>
        <v>- / 連続攻撃</v>
      </c>
      <c r="Z28" s="50"/>
      <c r="AA28" s="52"/>
      <c r="AB28" s="50"/>
    </row>
    <row r="29" spans="1:28" ht="36" customHeight="1" x14ac:dyDescent="0.2">
      <c r="A29" s="147">
        <v>30046031</v>
      </c>
      <c r="B29" s="215" t="s">
        <v>432</v>
      </c>
      <c r="C29" s="277">
        <v>3</v>
      </c>
      <c r="D29" s="182" t="s">
        <v>128</v>
      </c>
      <c r="E29" s="183" t="s">
        <v>312</v>
      </c>
      <c r="F29" s="183" t="s">
        <v>410</v>
      </c>
      <c r="G29" s="62" t="str">
        <f>IFERROR(LEFT(B30,FIND("],",B30)),B30)</f>
        <v>[effect:damage_anti_abnormal, target:unit_all, color:yellow, target_effect01:virus, val1:0.38, val2:0.1]</v>
      </c>
      <c r="H29" s="62">
        <f t="shared" si="17"/>
        <v>9</v>
      </c>
      <c r="I29" s="62">
        <f t="shared" si="18"/>
        <v>29</v>
      </c>
      <c r="J29" s="62">
        <f t="shared" si="19"/>
        <v>38</v>
      </c>
      <c r="K29" s="62">
        <f t="shared" si="20"/>
        <v>46</v>
      </c>
      <c r="L29" s="62" t="str">
        <f>IFERROR(VLOOKUP(MID(G29,J29,K29-J29),[5]skilldef!$C:$D,2,FALSE),"-") &amp; " / " &amp; IFERROR(VLOOKUP(MID(G29,H29,I29-H29),[5]skilldef!$A:$B,2,FALSE),"-")</f>
        <v>味方全体に / -</v>
      </c>
      <c r="M29" s="62" t="str">
        <f>IFERROR(RIGHT(B30,LEN(B30)-FIND("],",B30)-1),"none")</f>
        <v>none</v>
      </c>
      <c r="N29" s="48" t="str">
        <f>IFERROR(LEFT(M29,FIND("],",M29)+S37),M29)</f>
        <v>none</v>
      </c>
      <c r="O29" s="62" t="e">
        <f t="shared" si="22"/>
        <v>#VALUE!</v>
      </c>
      <c r="P29" s="62">
        <f t="shared" si="23"/>
        <v>4</v>
      </c>
      <c r="Q29" s="62" t="e">
        <f t="shared" si="24"/>
        <v>#VALUE!</v>
      </c>
      <c r="R29" s="62" t="e">
        <f t="shared" si="25"/>
        <v>#VALUE!</v>
      </c>
      <c r="S29" s="62" t="str">
        <f>IFERROR(VLOOKUP(MID(N29,Q29,R29-Q29),[5]skilldef!$C:$D,2,FALSE),"-") &amp; " / " &amp; IFERROR(VLOOKUP(MID(N29,O29,P29-O29),[5]skilldef!$A:$B,2,FALSE),"-")</f>
        <v>- / -</v>
      </c>
      <c r="T29" s="48" t="str">
        <f t="shared" si="26"/>
        <v>none</v>
      </c>
      <c r="U29" s="62" t="e">
        <f t="shared" si="27"/>
        <v>#VALUE!</v>
      </c>
      <c r="V29" s="62">
        <f t="shared" si="28"/>
        <v>4</v>
      </c>
      <c r="W29" s="62" t="e">
        <f t="shared" si="29"/>
        <v>#VALUE!</v>
      </c>
      <c r="X29" s="62" t="e">
        <f t="shared" si="30"/>
        <v>#VALUE!</v>
      </c>
      <c r="Y29" s="62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2">
      <c r="A30" s="147">
        <v>30046032</v>
      </c>
      <c r="B30" s="212" t="s">
        <v>295</v>
      </c>
      <c r="C30" s="274">
        <v>3</v>
      </c>
      <c r="D30" s="213" t="s">
        <v>128</v>
      </c>
      <c r="E30" s="188" t="s">
        <v>311</v>
      </c>
      <c r="F30" s="188" t="s">
        <v>411</v>
      </c>
      <c r="G30" s="62" t="str">
        <f>IFERROR(LEFT(B31,FIND("],",B31)),B31)</f>
        <v>[effect:rush, count:7, val:0.18]</v>
      </c>
      <c r="H30" s="62">
        <f t="shared" si="17"/>
        <v>9</v>
      </c>
      <c r="I30" s="62">
        <f t="shared" si="18"/>
        <v>13</v>
      </c>
      <c r="J30" s="62" t="e">
        <f t="shared" si="19"/>
        <v>#VALUE!</v>
      </c>
      <c r="K30" s="62">
        <f t="shared" si="20"/>
        <v>22</v>
      </c>
      <c r="L30" s="62" t="str">
        <f>IFERROR(VLOOKUP(MID(G30,J30,K30-J30),[5]skilldef!$C:$D,2,FALSE),"-") &amp; " / " &amp; IFERROR(VLOOKUP(MID(G30,H30,I30-H30),[5]skilldef!$A:$B,2,FALSE),"-")</f>
        <v>- / 連続攻撃</v>
      </c>
      <c r="M30" s="62" t="str">
        <f>IFERROR(RIGHT(B31,LEN(B31)-FIND("],",B31)-1),"none")</f>
        <v>none</v>
      </c>
      <c r="N30" s="48" t="str">
        <f>IFERROR(LEFT(M30,FIND("],",M30)+S38),M30)</f>
        <v>none</v>
      </c>
      <c r="O30" s="62" t="e">
        <f t="shared" si="22"/>
        <v>#VALUE!</v>
      </c>
      <c r="P30" s="62">
        <f t="shared" si="23"/>
        <v>4</v>
      </c>
      <c r="Q30" s="62" t="e">
        <f t="shared" si="24"/>
        <v>#VALUE!</v>
      </c>
      <c r="R30" s="62" t="e">
        <f t="shared" si="25"/>
        <v>#VALUE!</v>
      </c>
      <c r="S30" s="62" t="str">
        <f>IFERROR(VLOOKUP(MID(N30,Q30,R30-Q30),[5]skilldef!$C:$D,2,FALSE),"-") &amp; " / " &amp; IFERROR(VLOOKUP(MID(N30,O30,P30-O30),[5]skilldef!$A:$B,2,FALSE),"-")</f>
        <v>- / -</v>
      </c>
      <c r="T30" s="48" t="str">
        <f t="shared" si="26"/>
        <v>none</v>
      </c>
      <c r="U30" s="62" t="e">
        <f t="shared" si="27"/>
        <v>#VALUE!</v>
      </c>
      <c r="V30" s="62">
        <f t="shared" si="28"/>
        <v>4</v>
      </c>
      <c r="W30" s="62" t="e">
        <f t="shared" si="29"/>
        <v>#VALUE!</v>
      </c>
      <c r="X30" s="62" t="e">
        <f t="shared" si="30"/>
        <v>#VALUE!</v>
      </c>
      <c r="Y30" s="62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21" customHeight="1" x14ac:dyDescent="0.2">
      <c r="A31" s="147">
        <v>30046033</v>
      </c>
      <c r="B31" s="186" t="s">
        <v>399</v>
      </c>
      <c r="C31" s="271">
        <v>3</v>
      </c>
      <c r="D31" s="187" t="s">
        <v>128</v>
      </c>
      <c r="E31" s="188" t="s">
        <v>301</v>
      </c>
      <c r="F31" s="189" t="s">
        <v>303</v>
      </c>
      <c r="G31" s="62" t="str">
        <f>IFERROR(LEFT(B32,FIND("],",B32)),B32)</f>
        <v>[effect:sleep, target:unit_one, turn:1, rate:1, animation:sleep02]</v>
      </c>
      <c r="H31" s="62">
        <f>FIND("effect:",G31)+7</f>
        <v>9</v>
      </c>
      <c r="I31" s="62">
        <f>IFERROR(FIND(",",G31),LEN(G31))</f>
        <v>14</v>
      </c>
      <c r="J31" s="62">
        <f>FIND("target:",G31)+7</f>
        <v>23</v>
      </c>
      <c r="K31" s="62">
        <f>FIND(",",G31,I31+1)</f>
        <v>31</v>
      </c>
      <c r="L31" s="62" t="str">
        <f>IFERROR(VLOOKUP(MID(G31,J31,K31-J31),[5]skilldef!$C:$D,2,FALSE),"-") &amp; " / " &amp; IFERROR(VLOOKUP(MID(G31,H31,I31-H31),[5]skilldef!$A:$B,2,FALSE),"-")</f>
        <v>味方単体に / スリープ</v>
      </c>
      <c r="M31" s="62" t="str">
        <f>IFERROR(RIGHT(B32,LEN(B32)-FIND("],",B32)-1),"none")</f>
        <v>none</v>
      </c>
      <c r="N31" s="48" t="str">
        <f>IFERROR(LEFT(M31,FIND("],",M31)+#REF!),M31)</f>
        <v>none</v>
      </c>
      <c r="O31" s="62" t="e">
        <f>FIND("effect:",N31)+7</f>
        <v>#VALUE!</v>
      </c>
      <c r="P31" s="62">
        <f>IFERROR(FIND(",",N31),LEN(N31))</f>
        <v>4</v>
      </c>
      <c r="Q31" s="62" t="e">
        <f>FIND("target:",N31)+7</f>
        <v>#VALUE!</v>
      </c>
      <c r="R31" s="62" t="e">
        <f>FIND(",",N31,P31+1)</f>
        <v>#VALUE!</v>
      </c>
      <c r="S31" s="62" t="str">
        <f>IFERROR(VLOOKUP(MID(N31,Q31,R31-Q31),[5]skilldef!$C:$D,2,FALSE),"-") &amp; " / " &amp; IFERROR(VLOOKUP(MID(N31,O31,P31-O31),[5]skilldef!$A:$B,2,FALSE),"-")</f>
        <v>- / -</v>
      </c>
      <c r="T31" s="48" t="str">
        <f>IFERROR(RIGHT(M31,LEN(M31)-FIND("],",M31)-1),"none")</f>
        <v>none</v>
      </c>
      <c r="U31" s="62" t="e">
        <f>FIND("effect:",T31)+7</f>
        <v>#VALUE!</v>
      </c>
      <c r="V31" s="62">
        <f>IFERROR(FIND(",",T31),LEN(T31))</f>
        <v>4</v>
      </c>
      <c r="W31" s="62" t="e">
        <f>FIND("target:",T31)+7</f>
        <v>#VALUE!</v>
      </c>
      <c r="X31" s="62" t="e">
        <f>FIND(",",T31,V31+1)</f>
        <v>#VALUE!</v>
      </c>
      <c r="Y31" s="62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2">
      <c r="A32" s="147">
        <v>30046034</v>
      </c>
      <c r="B32" s="185" t="s">
        <v>257</v>
      </c>
      <c r="C32" s="271">
        <v>3</v>
      </c>
      <c r="D32" s="50" t="s">
        <v>128</v>
      </c>
      <c r="E32" s="51" t="s">
        <v>285</v>
      </c>
      <c r="F32" s="51" t="s">
        <v>271</v>
      </c>
      <c r="G32" s="62" t="str">
        <f>IFERROR(LEFT(B33,FIND("],",B33)),B33)</f>
        <v>[effect:critical, val:1.58, animation:enemy_critical]</v>
      </c>
      <c r="H32" s="62">
        <f>FIND("effect:",G32)+7</f>
        <v>9</v>
      </c>
      <c r="I32" s="62">
        <f>IFERROR(FIND(",",G32),LEN(G32))</f>
        <v>17</v>
      </c>
      <c r="J32" s="62" t="e">
        <f>FIND("target:",G32)+7</f>
        <v>#VALUE!</v>
      </c>
      <c r="K32" s="62">
        <f>FIND(",",G32,I32+1)</f>
        <v>27</v>
      </c>
      <c r="L32" s="62" t="str">
        <f>IFERROR(VLOOKUP(MID(G32,J32,K32-J32),[5]skilldef!$C:$D,2,FALSE),"-") &amp; " / " &amp; IFERROR(VLOOKUP(MID(G32,H32,I32-H32),[5]skilldef!$A:$B,2,FALSE),"-")</f>
        <v>- / 大攻撃</v>
      </c>
      <c r="M32" s="62" t="str">
        <f>IFERROR(RIGHT(B33,LEN(B33)-FIND("],",B33)-1),"none")</f>
        <v>none</v>
      </c>
      <c r="N32" s="48" t="str">
        <f>IFERROR(LEFT(M32,FIND("],",M32)+S33),M32)</f>
        <v>none</v>
      </c>
      <c r="O32" s="62" t="e">
        <f>FIND("effect:",N32)+7</f>
        <v>#VALUE!</v>
      </c>
      <c r="P32" s="62">
        <f>IFERROR(FIND(",",N32),LEN(N32))</f>
        <v>4</v>
      </c>
      <c r="Q32" s="62" t="e">
        <f>FIND("target:",N32)+7</f>
        <v>#VALUE!</v>
      </c>
      <c r="R32" s="62" t="e">
        <f>FIND(",",N32,P32+1)</f>
        <v>#VALUE!</v>
      </c>
      <c r="S32" s="62" t="str">
        <f>IFERROR(VLOOKUP(MID(N32,Q32,R32-Q32),[5]skilldef!$C:$D,2,FALSE),"-") &amp; " / " &amp; IFERROR(VLOOKUP(MID(N32,O32,P32-O32),[5]skilldef!$A:$B,2,FALSE),"-")</f>
        <v>- / -</v>
      </c>
      <c r="T32" s="48" t="str">
        <f>IFERROR(RIGHT(M32,LEN(M32)-FIND("],",M32)-1),"none")</f>
        <v>none</v>
      </c>
      <c r="U32" s="62" t="e">
        <f>FIND("effect:",T32)+7</f>
        <v>#VALUE!</v>
      </c>
      <c r="V32" s="62">
        <f>IFERROR(FIND(",",T32),LEN(T32))</f>
        <v>4</v>
      </c>
      <c r="W32" s="62" t="e">
        <f>FIND("target:",T32)+7</f>
        <v>#VALUE!</v>
      </c>
      <c r="X32" s="62" t="e">
        <f>FIND(",",T32,V32+1)</f>
        <v>#VALUE!</v>
      </c>
      <c r="Y32" s="62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2">
      <c r="A33" s="147">
        <v>30046035</v>
      </c>
      <c r="B33" s="163" t="s">
        <v>397</v>
      </c>
      <c r="C33" s="271">
        <v>3</v>
      </c>
      <c r="D33" s="50" t="s">
        <v>128</v>
      </c>
      <c r="E33" s="154" t="s">
        <v>307</v>
      </c>
      <c r="F33" s="51" t="s">
        <v>256</v>
      </c>
      <c r="G33" s="62" t="e">
        <f>IFERROR(LEFT(#REF!,FIND("],",#REF!)),#REF!)</f>
        <v>#REF!</v>
      </c>
      <c r="H33" s="62" t="e">
        <f t="shared" si="17"/>
        <v>#REF!</v>
      </c>
      <c r="I33" s="62" t="e">
        <f t="shared" si="18"/>
        <v>#REF!</v>
      </c>
      <c r="J33" s="62" t="e">
        <f t="shared" si="19"/>
        <v>#REF!</v>
      </c>
      <c r="K33" s="62" t="e">
        <f t="shared" si="20"/>
        <v>#REF!</v>
      </c>
      <c r="L33" s="62" t="str">
        <f>IFERROR(VLOOKUP(MID(G33,J33,K33-J33),[5]skilldef!$C:$D,2,FALSE),"-") &amp; " / " &amp; IFERROR(VLOOKUP(MID(G33,H33,I33-H33),[5]skilldef!$A:$B,2,FALSE),"-")</f>
        <v>- / -</v>
      </c>
      <c r="M33" s="62" t="str">
        <f>IFERROR(RIGHT(#REF!,LEN(#REF!)-FIND("],",#REF!)-1),"none")</f>
        <v>none</v>
      </c>
      <c r="N33" s="48" t="str">
        <f>IFERROR(LEFT(M33,FIND("],",M33)+S41),M33)</f>
        <v>none</v>
      </c>
      <c r="O33" s="62" t="e">
        <f t="shared" si="22"/>
        <v>#VALUE!</v>
      </c>
      <c r="P33" s="62">
        <f t="shared" si="23"/>
        <v>4</v>
      </c>
      <c r="Q33" s="62" t="e">
        <f t="shared" si="24"/>
        <v>#VALUE!</v>
      </c>
      <c r="R33" s="62" t="e">
        <f t="shared" si="25"/>
        <v>#VALUE!</v>
      </c>
      <c r="S33" s="62" t="str">
        <f>IFERROR(VLOOKUP(MID(N33,Q33,R33-Q33),[5]skilldef!$C:$D,2,FALSE),"-") &amp; " / " &amp; IFERROR(VLOOKUP(MID(N33,O33,P33-O33),[5]skilldef!$A:$B,2,FALSE),"-")</f>
        <v>- / -</v>
      </c>
      <c r="T33" s="48" t="str">
        <f t="shared" si="26"/>
        <v>none</v>
      </c>
      <c r="U33" s="62" t="e">
        <f t="shared" si="27"/>
        <v>#VALUE!</v>
      </c>
      <c r="V33" s="62">
        <f t="shared" si="28"/>
        <v>4</v>
      </c>
      <c r="W33" s="62" t="e">
        <f t="shared" si="29"/>
        <v>#VALUE!</v>
      </c>
      <c r="X33" s="62" t="e">
        <f t="shared" si="30"/>
        <v>#VALUE!</v>
      </c>
      <c r="Y33" s="62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28" x14ac:dyDescent="0.2">
      <c r="A34" s="147">
        <v>30046037</v>
      </c>
      <c r="B34" s="203" t="s">
        <v>433</v>
      </c>
      <c r="C34" s="280">
        <v>3</v>
      </c>
      <c r="D34" s="50" t="s">
        <v>128</v>
      </c>
      <c r="E34" s="51" t="s">
        <v>310</v>
      </c>
      <c r="F34" s="51" t="s">
        <v>389</v>
      </c>
      <c r="G34" s="62" t="str">
        <f t="shared" si="16"/>
        <v>[effect:enemy_message, val1:1.8, val2:2.2]</v>
      </c>
      <c r="H34" s="62">
        <f t="shared" si="17"/>
        <v>9</v>
      </c>
      <c r="I34" s="62">
        <f t="shared" si="18"/>
        <v>22</v>
      </c>
      <c r="J34" s="62" t="e">
        <f t="shared" si="19"/>
        <v>#VALUE!</v>
      </c>
      <c r="K34" s="62">
        <f t="shared" si="20"/>
        <v>32</v>
      </c>
      <c r="L34" s="62" t="str">
        <f>IFERROR(VLOOKUP(MID(G34,J34,K34-J34),[5]skilldef!$C:$D,2,FALSE),"-") &amp; " / " &amp; IFERROR(VLOOKUP(MID(G34,H34,I34-H34),[5]skilldef!$A:$B,2,FALSE),"-")</f>
        <v>- / -</v>
      </c>
      <c r="M34" s="62" t="str">
        <f t="shared" si="21"/>
        <v>[effect:suicide, val:1, dead_type:suicide]</v>
      </c>
      <c r="N34" s="48" t="str">
        <f>IFERROR(LEFT(M34,FIND("],",M34)+S45),M34)</f>
        <v>[effect:suicide, val:1, dead_type:suicide]</v>
      </c>
      <c r="O34" s="62">
        <f t="shared" si="22"/>
        <v>9</v>
      </c>
      <c r="P34" s="62">
        <f t="shared" si="23"/>
        <v>16</v>
      </c>
      <c r="Q34" s="62" t="e">
        <f t="shared" si="24"/>
        <v>#VALUE!</v>
      </c>
      <c r="R34" s="62">
        <f t="shared" si="25"/>
        <v>23</v>
      </c>
      <c r="S34" s="62" t="str">
        <f>IFERROR(VLOOKUP(MID(N34,Q34,R34-Q34),[5]skilldef!$C:$D,2,FALSE),"-") &amp; " / " &amp; IFERROR(VLOOKUP(MID(N34,O34,P34-O34),[5]skilldef!$A:$B,2,FALSE),"-")</f>
        <v>- / -</v>
      </c>
      <c r="T34" s="48" t="str">
        <f t="shared" si="26"/>
        <v>none</v>
      </c>
      <c r="U34" s="62" t="e">
        <f t="shared" si="27"/>
        <v>#VALUE!</v>
      </c>
      <c r="V34" s="62">
        <f t="shared" si="28"/>
        <v>4</v>
      </c>
      <c r="W34" s="62" t="e">
        <f t="shared" si="29"/>
        <v>#VALUE!</v>
      </c>
      <c r="X34" s="62" t="e">
        <f t="shared" si="30"/>
        <v>#VALUE!</v>
      </c>
      <c r="Y34" s="62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35"/>
  <sheetViews>
    <sheetView showGridLines="0" workbookViewId="0">
      <pane ySplit="1" topLeftCell="A2" activePane="bottomLeft" state="frozenSplit"/>
      <selection pane="bottomLeft" activeCell="C20" sqref="C20"/>
    </sheetView>
  </sheetViews>
  <sheetFormatPr baseColWidth="12" defaultColWidth="12.83203125" defaultRowHeight="21" customHeight="1" x14ac:dyDescent="0.15"/>
  <cols>
    <col min="1" max="1" width="17.5" style="49" customWidth="1"/>
    <col min="2" max="10" width="14.6640625" style="49" customWidth="1"/>
    <col min="11" max="11" width="22.83203125" style="39" bestFit="1" customWidth="1"/>
    <col min="12" max="12" width="36.33203125" style="45" customWidth="1"/>
    <col min="13" max="16384" width="12.83203125" style="45"/>
  </cols>
  <sheetData>
    <row r="1" spans="1:12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2" ht="21" customHeight="1" x14ac:dyDescent="0.15">
      <c r="A2" s="190">
        <v>30046001</v>
      </c>
      <c r="B2" s="170">
        <v>1</v>
      </c>
      <c r="C2" s="170">
        <v>100</v>
      </c>
      <c r="D2" s="170">
        <v>100</v>
      </c>
      <c r="E2" s="170" t="s">
        <v>90</v>
      </c>
      <c r="F2" s="170" t="s">
        <v>90</v>
      </c>
      <c r="G2" s="170">
        <v>1</v>
      </c>
      <c r="H2" s="170" t="s">
        <v>90</v>
      </c>
      <c r="I2" s="170" t="s">
        <v>90</v>
      </c>
      <c r="J2" s="48">
        <f t="shared" ref="J2" si="0">D2</f>
        <v>100</v>
      </c>
      <c r="L2"/>
    </row>
    <row r="3" spans="1:12" ht="21" customHeight="1" thickBot="1" x14ac:dyDescent="0.2">
      <c r="A3" s="190">
        <v>30046002</v>
      </c>
      <c r="B3" s="169">
        <v>0</v>
      </c>
      <c r="C3" s="169">
        <v>100</v>
      </c>
      <c r="D3" s="169">
        <v>100</v>
      </c>
      <c r="E3" s="169" t="s">
        <v>90</v>
      </c>
      <c r="F3" s="169" t="s">
        <v>90</v>
      </c>
      <c r="G3" s="169">
        <v>1</v>
      </c>
      <c r="H3" s="169">
        <v>1</v>
      </c>
      <c r="I3" s="169" t="s">
        <v>90</v>
      </c>
      <c r="J3" s="48">
        <f t="shared" ref="J3:J26" si="1">D3</f>
        <v>100</v>
      </c>
      <c r="L3"/>
    </row>
    <row r="4" spans="1:12" ht="21" customHeight="1" thickTop="1" thickBot="1" x14ac:dyDescent="0.2">
      <c r="A4" s="190">
        <v>30046003</v>
      </c>
      <c r="B4" s="169">
        <v>0</v>
      </c>
      <c r="C4" s="169">
        <v>100</v>
      </c>
      <c r="D4" s="169">
        <v>28</v>
      </c>
      <c r="E4" s="169" t="s">
        <v>90</v>
      </c>
      <c r="F4" s="169" t="s">
        <v>90</v>
      </c>
      <c r="G4" s="202" t="s">
        <v>90</v>
      </c>
      <c r="H4" s="202" t="s">
        <v>90</v>
      </c>
      <c r="I4" s="202" t="s">
        <v>90</v>
      </c>
      <c r="J4" s="161">
        <f t="shared" si="1"/>
        <v>28</v>
      </c>
      <c r="L4"/>
    </row>
    <row r="5" spans="1:12" ht="21" customHeight="1" thickTop="1" x14ac:dyDescent="0.15">
      <c r="A5" s="190">
        <v>30046004</v>
      </c>
      <c r="B5" s="170">
        <v>1</v>
      </c>
      <c r="C5" s="170">
        <v>100</v>
      </c>
      <c r="D5" s="170">
        <v>100</v>
      </c>
      <c r="E5" s="170" t="s">
        <v>90</v>
      </c>
      <c r="F5" s="170" t="s">
        <v>90</v>
      </c>
      <c r="G5" s="201">
        <v>1</v>
      </c>
      <c r="H5" s="201" t="s">
        <v>90</v>
      </c>
      <c r="I5" s="201" t="s">
        <v>90</v>
      </c>
      <c r="J5" s="158">
        <f t="shared" si="1"/>
        <v>100</v>
      </c>
      <c r="L5"/>
    </row>
    <row r="6" spans="1:12" ht="21" customHeight="1" x14ac:dyDescent="0.15">
      <c r="A6" s="190">
        <v>30046005</v>
      </c>
      <c r="B6" s="149">
        <v>0</v>
      </c>
      <c r="C6" s="149" t="s">
        <v>89</v>
      </c>
      <c r="D6" s="149">
        <v>25</v>
      </c>
      <c r="E6" s="149" t="s">
        <v>90</v>
      </c>
      <c r="F6" s="149" t="s">
        <v>90</v>
      </c>
      <c r="G6" s="149" t="s">
        <v>90</v>
      </c>
      <c r="H6" s="149" t="s">
        <v>90</v>
      </c>
      <c r="I6" s="149" t="s">
        <v>90</v>
      </c>
      <c r="J6" s="48">
        <f t="shared" si="1"/>
        <v>25</v>
      </c>
      <c r="L6"/>
    </row>
    <row r="7" spans="1:12" ht="21" customHeight="1" x14ac:dyDescent="0.15">
      <c r="A7" s="190">
        <v>30046006</v>
      </c>
      <c r="B7" s="210">
        <v>0</v>
      </c>
      <c r="C7" s="210" t="s">
        <v>89</v>
      </c>
      <c r="D7" s="210">
        <v>55</v>
      </c>
      <c r="E7" s="210" t="s">
        <v>90</v>
      </c>
      <c r="F7" s="210" t="s">
        <v>90</v>
      </c>
      <c r="G7" s="210" t="s">
        <v>90</v>
      </c>
      <c r="H7" s="210" t="s">
        <v>90</v>
      </c>
      <c r="I7" s="210" t="s">
        <v>90</v>
      </c>
      <c r="J7" s="48">
        <f t="shared" si="1"/>
        <v>55</v>
      </c>
      <c r="L7"/>
    </row>
    <row r="8" spans="1:12" ht="21" customHeight="1" thickBot="1" x14ac:dyDescent="0.2">
      <c r="A8" s="190">
        <v>30046007</v>
      </c>
      <c r="B8" s="169">
        <v>0</v>
      </c>
      <c r="C8" s="169">
        <v>110</v>
      </c>
      <c r="D8" s="169">
        <v>100</v>
      </c>
      <c r="E8" s="169" t="s">
        <v>90</v>
      </c>
      <c r="F8" s="169" t="s">
        <v>90</v>
      </c>
      <c r="G8" s="169">
        <v>1</v>
      </c>
      <c r="H8" s="169" t="s">
        <v>90</v>
      </c>
      <c r="I8" s="171">
        <v>141</v>
      </c>
      <c r="J8" s="161">
        <f t="shared" si="1"/>
        <v>100</v>
      </c>
      <c r="L8"/>
    </row>
    <row r="9" spans="1:12" ht="21" customHeight="1" thickTop="1" x14ac:dyDescent="0.15">
      <c r="A9" s="190">
        <v>30046008</v>
      </c>
      <c r="B9" s="170">
        <v>1</v>
      </c>
      <c r="C9" s="170">
        <v>100</v>
      </c>
      <c r="D9" s="170">
        <v>100</v>
      </c>
      <c r="E9" s="170" t="s">
        <v>90</v>
      </c>
      <c r="F9" s="170" t="s">
        <v>90</v>
      </c>
      <c r="G9" s="170">
        <v>1</v>
      </c>
      <c r="H9" s="170" t="s">
        <v>90</v>
      </c>
      <c r="I9" s="170" t="s">
        <v>90</v>
      </c>
      <c r="J9" s="158">
        <f t="shared" si="1"/>
        <v>100</v>
      </c>
      <c r="L9"/>
    </row>
    <row r="10" spans="1:12" ht="21" customHeight="1" x14ac:dyDescent="0.15">
      <c r="A10" s="190">
        <v>30046009</v>
      </c>
      <c r="B10" s="149">
        <v>0</v>
      </c>
      <c r="C10" s="149" t="s">
        <v>89</v>
      </c>
      <c r="D10" s="149">
        <v>28</v>
      </c>
      <c r="E10" s="149" t="s">
        <v>90</v>
      </c>
      <c r="F10" s="149" t="s">
        <v>90</v>
      </c>
      <c r="G10" s="149" t="s">
        <v>90</v>
      </c>
      <c r="H10" s="149" t="s">
        <v>90</v>
      </c>
      <c r="I10" s="149" t="s">
        <v>90</v>
      </c>
      <c r="J10" s="48">
        <f t="shared" si="1"/>
        <v>28</v>
      </c>
      <c r="L10"/>
    </row>
    <row r="11" spans="1:12" ht="21" customHeight="1" x14ac:dyDescent="0.15">
      <c r="A11" s="190">
        <v>30046010</v>
      </c>
      <c r="B11" s="210">
        <v>0</v>
      </c>
      <c r="C11" s="210" t="s">
        <v>89</v>
      </c>
      <c r="D11" s="210">
        <v>55</v>
      </c>
      <c r="E11" s="210" t="s">
        <v>90</v>
      </c>
      <c r="F11" s="210" t="s">
        <v>90</v>
      </c>
      <c r="G11" s="210" t="s">
        <v>90</v>
      </c>
      <c r="H11" s="210" t="s">
        <v>90</v>
      </c>
      <c r="I11" s="210" t="s">
        <v>90</v>
      </c>
      <c r="J11" s="48">
        <f t="shared" si="1"/>
        <v>55</v>
      </c>
      <c r="L11"/>
    </row>
    <row r="12" spans="1:12" ht="21" customHeight="1" thickBot="1" x14ac:dyDescent="0.2">
      <c r="A12" s="190">
        <v>30046011</v>
      </c>
      <c r="B12" s="169">
        <v>0</v>
      </c>
      <c r="C12" s="169">
        <v>110</v>
      </c>
      <c r="D12" s="169">
        <v>100</v>
      </c>
      <c r="E12" s="169" t="s">
        <v>90</v>
      </c>
      <c r="F12" s="169" t="s">
        <v>90</v>
      </c>
      <c r="G12" s="169">
        <v>1</v>
      </c>
      <c r="H12" s="169" t="s">
        <v>90</v>
      </c>
      <c r="I12" s="171">
        <v>666</v>
      </c>
      <c r="J12" s="161">
        <f t="shared" si="1"/>
        <v>100</v>
      </c>
      <c r="L12"/>
    </row>
    <row r="13" spans="1:12" ht="21" customHeight="1" thickTop="1" x14ac:dyDescent="0.15">
      <c r="A13" s="190">
        <v>30046012</v>
      </c>
      <c r="B13" s="170">
        <v>1</v>
      </c>
      <c r="C13" s="170">
        <v>150</v>
      </c>
      <c r="D13" s="170">
        <v>100</v>
      </c>
      <c r="E13" s="170" t="s">
        <v>90</v>
      </c>
      <c r="F13" s="170" t="s">
        <v>90</v>
      </c>
      <c r="G13" s="170">
        <v>1</v>
      </c>
      <c r="H13" s="170" t="s">
        <v>90</v>
      </c>
      <c r="I13" s="170" t="s">
        <v>90</v>
      </c>
      <c r="J13" s="158">
        <f t="shared" si="1"/>
        <v>100</v>
      </c>
      <c r="L13" s="281" t="s">
        <v>412</v>
      </c>
    </row>
    <row r="14" spans="1:12" ht="21" customHeight="1" x14ac:dyDescent="0.15">
      <c r="A14" s="190">
        <v>30046013</v>
      </c>
      <c r="B14" s="149">
        <v>0</v>
      </c>
      <c r="C14" s="149">
        <v>100</v>
      </c>
      <c r="D14" s="149">
        <v>100</v>
      </c>
      <c r="E14" s="149" t="s">
        <v>90</v>
      </c>
      <c r="F14" s="149" t="s">
        <v>90</v>
      </c>
      <c r="G14" s="149">
        <v>1</v>
      </c>
      <c r="H14" s="149" t="s">
        <v>90</v>
      </c>
      <c r="I14" s="149" t="s">
        <v>90</v>
      </c>
      <c r="J14" s="48">
        <f t="shared" si="1"/>
        <v>100</v>
      </c>
      <c r="L14" s="282" t="s">
        <v>413</v>
      </c>
    </row>
    <row r="15" spans="1:12" ht="21" customHeight="1" x14ac:dyDescent="0.15">
      <c r="A15" s="190">
        <v>30046014</v>
      </c>
      <c r="B15" s="149">
        <v>0</v>
      </c>
      <c r="C15" s="149">
        <v>90</v>
      </c>
      <c r="D15" s="149">
        <v>100</v>
      </c>
      <c r="E15" s="149" t="s">
        <v>90</v>
      </c>
      <c r="F15" s="149" t="s">
        <v>90</v>
      </c>
      <c r="G15" s="149">
        <v>1</v>
      </c>
      <c r="H15" s="149" t="s">
        <v>90</v>
      </c>
      <c r="I15" s="149" t="s">
        <v>90</v>
      </c>
      <c r="J15" s="48">
        <f t="shared" si="1"/>
        <v>100</v>
      </c>
      <c r="L15" s="282" t="s">
        <v>414</v>
      </c>
    </row>
    <row r="16" spans="1:12" ht="21" customHeight="1" x14ac:dyDescent="0.15">
      <c r="A16" s="190">
        <v>30046015</v>
      </c>
      <c r="B16" s="149">
        <v>0</v>
      </c>
      <c r="C16" s="149">
        <v>80</v>
      </c>
      <c r="D16" s="149">
        <v>100</v>
      </c>
      <c r="E16" s="149" t="s">
        <v>90</v>
      </c>
      <c r="F16" s="149" t="s">
        <v>90</v>
      </c>
      <c r="G16" s="149">
        <v>1</v>
      </c>
      <c r="H16" s="149" t="s">
        <v>90</v>
      </c>
      <c r="I16" s="149" t="s">
        <v>90</v>
      </c>
      <c r="J16" s="48">
        <f t="shared" si="1"/>
        <v>100</v>
      </c>
      <c r="L16" s="282" t="s">
        <v>415</v>
      </c>
    </row>
    <row r="17" spans="1:12" ht="21" customHeight="1" x14ac:dyDescent="0.15">
      <c r="A17" s="190">
        <v>30046016</v>
      </c>
      <c r="B17" s="149">
        <v>0</v>
      </c>
      <c r="C17" s="149">
        <v>70</v>
      </c>
      <c r="D17" s="149">
        <v>100</v>
      </c>
      <c r="E17" s="149" t="s">
        <v>90</v>
      </c>
      <c r="F17" s="149" t="s">
        <v>90</v>
      </c>
      <c r="G17" s="149">
        <v>1</v>
      </c>
      <c r="H17" s="149" t="s">
        <v>90</v>
      </c>
      <c r="I17" s="149" t="s">
        <v>90</v>
      </c>
      <c r="J17" s="48">
        <f t="shared" si="1"/>
        <v>100</v>
      </c>
      <c r="L17" s="282" t="s">
        <v>416</v>
      </c>
    </row>
    <row r="18" spans="1:12" ht="21" customHeight="1" x14ac:dyDescent="0.15">
      <c r="A18" s="190">
        <v>30046017</v>
      </c>
      <c r="B18" s="149">
        <v>0</v>
      </c>
      <c r="C18" s="149">
        <v>60</v>
      </c>
      <c r="D18" s="149">
        <v>100</v>
      </c>
      <c r="E18" s="149" t="s">
        <v>90</v>
      </c>
      <c r="F18" s="149" t="s">
        <v>90</v>
      </c>
      <c r="G18" s="149">
        <v>1</v>
      </c>
      <c r="H18" s="149" t="s">
        <v>90</v>
      </c>
      <c r="I18" s="149" t="s">
        <v>90</v>
      </c>
      <c r="J18" s="48">
        <f t="shared" si="1"/>
        <v>100</v>
      </c>
      <c r="L18" s="282" t="s">
        <v>417</v>
      </c>
    </row>
    <row r="19" spans="1:12" ht="21" customHeight="1" thickBot="1" x14ac:dyDescent="0.2">
      <c r="A19" s="190">
        <v>30046018</v>
      </c>
      <c r="B19" s="169">
        <v>0</v>
      </c>
      <c r="C19" s="169">
        <v>50</v>
      </c>
      <c r="D19" s="169">
        <v>100</v>
      </c>
      <c r="E19" s="169" t="s">
        <v>90</v>
      </c>
      <c r="F19" s="169" t="s">
        <v>90</v>
      </c>
      <c r="G19" s="169" t="s">
        <v>90</v>
      </c>
      <c r="H19" s="169" t="s">
        <v>90</v>
      </c>
      <c r="I19" s="169" t="s">
        <v>90</v>
      </c>
      <c r="J19" s="48">
        <f t="shared" si="1"/>
        <v>100</v>
      </c>
      <c r="L19" s="282" t="s">
        <v>418</v>
      </c>
    </row>
    <row r="20" spans="1:12" ht="21" customHeight="1" thickTop="1" thickBot="1" x14ac:dyDescent="0.2">
      <c r="A20" s="190">
        <v>30046020</v>
      </c>
      <c r="B20" s="202">
        <v>0</v>
      </c>
      <c r="C20" s="202" t="s">
        <v>89</v>
      </c>
      <c r="D20" s="202">
        <v>28</v>
      </c>
      <c r="E20" s="202" t="s">
        <v>90</v>
      </c>
      <c r="F20" s="202" t="s">
        <v>90</v>
      </c>
      <c r="G20" s="202" t="s">
        <v>90</v>
      </c>
      <c r="H20" s="283" t="s">
        <v>90</v>
      </c>
      <c r="I20" s="202" t="s">
        <v>90</v>
      </c>
      <c r="J20" s="158">
        <f t="shared" si="1"/>
        <v>28</v>
      </c>
      <c r="L20"/>
    </row>
    <row r="21" spans="1:12" ht="21" customHeight="1" thickTop="1" x14ac:dyDescent="0.15">
      <c r="A21" s="190">
        <v>30046022</v>
      </c>
      <c r="B21" s="201">
        <v>1</v>
      </c>
      <c r="C21" s="201">
        <v>100</v>
      </c>
      <c r="D21" s="201">
        <v>100</v>
      </c>
      <c r="E21" s="201" t="s">
        <v>90</v>
      </c>
      <c r="F21" s="201" t="s">
        <v>90</v>
      </c>
      <c r="G21" s="201">
        <v>1</v>
      </c>
      <c r="H21" s="201" t="s">
        <v>90</v>
      </c>
      <c r="I21" s="201" t="s">
        <v>90</v>
      </c>
      <c r="J21" s="158">
        <f t="shared" si="1"/>
        <v>100</v>
      </c>
      <c r="L21"/>
    </row>
    <row r="22" spans="1:12" ht="21" customHeight="1" x14ac:dyDescent="0.15">
      <c r="A22" s="190">
        <v>30046023</v>
      </c>
      <c r="B22" s="149">
        <v>0</v>
      </c>
      <c r="C22" s="149">
        <v>100</v>
      </c>
      <c r="D22" s="149">
        <v>100</v>
      </c>
      <c r="E22" s="149" t="s">
        <v>90</v>
      </c>
      <c r="F22" s="149" t="s">
        <v>90</v>
      </c>
      <c r="G22" s="149" t="s">
        <v>90</v>
      </c>
      <c r="H22" s="149">
        <v>4</v>
      </c>
      <c r="I22" s="149" t="s">
        <v>90</v>
      </c>
      <c r="J22" s="48">
        <f t="shared" si="1"/>
        <v>100</v>
      </c>
      <c r="L22"/>
    </row>
    <row r="23" spans="1:12" ht="21" customHeight="1" x14ac:dyDescent="0.15">
      <c r="A23" s="190">
        <v>30046024</v>
      </c>
      <c r="B23" s="149">
        <v>0</v>
      </c>
      <c r="C23" s="167" t="s">
        <v>89</v>
      </c>
      <c r="D23" s="149">
        <v>28</v>
      </c>
      <c r="E23" s="149" t="s">
        <v>90</v>
      </c>
      <c r="F23" s="149" t="s">
        <v>90</v>
      </c>
      <c r="G23" s="149" t="s">
        <v>90</v>
      </c>
      <c r="H23" s="149" t="s">
        <v>90</v>
      </c>
      <c r="I23" s="149" t="s">
        <v>90</v>
      </c>
      <c r="J23" s="48">
        <f t="shared" si="1"/>
        <v>28</v>
      </c>
      <c r="L23"/>
    </row>
    <row r="24" spans="1:12" ht="21" customHeight="1" x14ac:dyDescent="0.15">
      <c r="A24" s="190">
        <v>30046025</v>
      </c>
      <c r="B24" s="149">
        <v>0</v>
      </c>
      <c r="C24" s="167" t="s">
        <v>89</v>
      </c>
      <c r="D24" s="149">
        <v>43</v>
      </c>
      <c r="E24" s="149" t="s">
        <v>90</v>
      </c>
      <c r="F24" s="149" t="s">
        <v>90</v>
      </c>
      <c r="G24" s="149" t="s">
        <v>90</v>
      </c>
      <c r="H24" s="149" t="s">
        <v>90</v>
      </c>
      <c r="I24" s="149" t="s">
        <v>90</v>
      </c>
      <c r="J24" s="48">
        <f t="shared" si="1"/>
        <v>43</v>
      </c>
      <c r="L24"/>
    </row>
    <row r="25" spans="1:12" ht="21" customHeight="1" x14ac:dyDescent="0.15">
      <c r="A25" s="190">
        <v>30046026</v>
      </c>
      <c r="B25" s="149">
        <v>0</v>
      </c>
      <c r="C25" s="167" t="s">
        <v>89</v>
      </c>
      <c r="D25" s="149">
        <v>73</v>
      </c>
      <c r="E25" s="149" t="s">
        <v>90</v>
      </c>
      <c r="F25" s="149" t="s">
        <v>90</v>
      </c>
      <c r="G25" s="149" t="s">
        <v>90</v>
      </c>
      <c r="H25" s="149" t="s">
        <v>90</v>
      </c>
      <c r="I25" s="149" t="s">
        <v>90</v>
      </c>
      <c r="J25" s="48">
        <f t="shared" si="1"/>
        <v>73</v>
      </c>
      <c r="L25"/>
    </row>
    <row r="26" spans="1:12" ht="21" customHeight="1" x14ac:dyDescent="0.15">
      <c r="A26" s="190">
        <v>30046028</v>
      </c>
      <c r="B26" s="170">
        <v>1</v>
      </c>
      <c r="C26" s="201">
        <v>100</v>
      </c>
      <c r="D26" s="170">
        <v>100</v>
      </c>
      <c r="E26" s="170" t="s">
        <v>90</v>
      </c>
      <c r="F26" s="170" t="s">
        <v>90</v>
      </c>
      <c r="G26" s="170">
        <v>1</v>
      </c>
      <c r="H26" s="170" t="s">
        <v>90</v>
      </c>
      <c r="I26" s="170" t="s">
        <v>90</v>
      </c>
      <c r="J26" s="158">
        <f t="shared" si="1"/>
        <v>100</v>
      </c>
      <c r="L26"/>
    </row>
    <row r="27" spans="1:12" ht="21" customHeight="1" x14ac:dyDescent="0.15">
      <c r="A27" s="190">
        <v>30046029</v>
      </c>
      <c r="B27" s="149">
        <v>0</v>
      </c>
      <c r="C27" s="149">
        <v>100</v>
      </c>
      <c r="D27" s="149">
        <v>100</v>
      </c>
      <c r="E27" s="149" t="s">
        <v>90</v>
      </c>
      <c r="F27" s="149" t="s">
        <v>90</v>
      </c>
      <c r="G27" s="149">
        <v>1</v>
      </c>
      <c r="H27" s="149">
        <v>1</v>
      </c>
      <c r="I27" s="149" t="s">
        <v>89</v>
      </c>
      <c r="J27" s="48">
        <f t="shared" ref="J27:J34" si="2">D27</f>
        <v>100</v>
      </c>
      <c r="L27"/>
    </row>
    <row r="28" spans="1:12" ht="21" customHeight="1" x14ac:dyDescent="0.15">
      <c r="A28" s="190">
        <v>30046030</v>
      </c>
      <c r="B28" s="149">
        <v>0</v>
      </c>
      <c r="C28" s="149">
        <v>100</v>
      </c>
      <c r="D28" s="149">
        <v>100</v>
      </c>
      <c r="E28" s="149" t="s">
        <v>90</v>
      </c>
      <c r="F28" s="149" t="s">
        <v>90</v>
      </c>
      <c r="G28" s="149">
        <v>1</v>
      </c>
      <c r="H28" s="149">
        <v>5</v>
      </c>
      <c r="I28" s="149" t="s">
        <v>90</v>
      </c>
      <c r="J28" s="48">
        <f t="shared" si="2"/>
        <v>100</v>
      </c>
      <c r="L28"/>
    </row>
    <row r="29" spans="1:12" ht="21" customHeight="1" x14ac:dyDescent="0.15">
      <c r="A29" s="190">
        <v>30046031</v>
      </c>
      <c r="B29" s="149">
        <v>0</v>
      </c>
      <c r="C29" s="167">
        <v>100</v>
      </c>
      <c r="D29" s="149">
        <v>100</v>
      </c>
      <c r="E29" s="149" t="s">
        <v>90</v>
      </c>
      <c r="F29" s="149" t="s">
        <v>90</v>
      </c>
      <c r="G29" s="149">
        <v>1</v>
      </c>
      <c r="H29" s="149">
        <v>9</v>
      </c>
      <c r="I29" s="149" t="s">
        <v>252</v>
      </c>
      <c r="J29" s="48">
        <f t="shared" si="2"/>
        <v>100</v>
      </c>
      <c r="L29"/>
    </row>
    <row r="30" spans="1:12" ht="21" customHeight="1" x14ac:dyDescent="0.15">
      <c r="A30" s="190">
        <v>30046032</v>
      </c>
      <c r="B30" s="149">
        <v>0</v>
      </c>
      <c r="C30" s="167" t="s">
        <v>89</v>
      </c>
      <c r="D30" s="149">
        <v>22</v>
      </c>
      <c r="E30" s="149" t="s">
        <v>90</v>
      </c>
      <c r="F30" s="149" t="s">
        <v>90</v>
      </c>
      <c r="G30" s="149" t="s">
        <v>90</v>
      </c>
      <c r="H30" s="149" t="s">
        <v>90</v>
      </c>
      <c r="I30" s="149" t="s">
        <v>90</v>
      </c>
      <c r="J30" s="48">
        <f t="shared" si="2"/>
        <v>22</v>
      </c>
      <c r="L30"/>
    </row>
    <row r="31" spans="1:12" ht="21" customHeight="1" x14ac:dyDescent="0.15">
      <c r="A31" s="190">
        <v>30046033</v>
      </c>
      <c r="B31" s="149">
        <v>0</v>
      </c>
      <c r="C31" s="167" t="s">
        <v>89</v>
      </c>
      <c r="D31" s="149">
        <v>38</v>
      </c>
      <c r="E31" s="149" t="s">
        <v>90</v>
      </c>
      <c r="F31" s="149" t="s">
        <v>90</v>
      </c>
      <c r="G31" s="149" t="s">
        <v>90</v>
      </c>
      <c r="H31" s="149" t="s">
        <v>90</v>
      </c>
      <c r="I31" s="149" t="s">
        <v>90</v>
      </c>
      <c r="J31" s="48">
        <f t="shared" si="2"/>
        <v>38</v>
      </c>
      <c r="L31"/>
    </row>
    <row r="32" spans="1:12" ht="21" customHeight="1" x14ac:dyDescent="0.15">
      <c r="A32" s="190">
        <v>30046034</v>
      </c>
      <c r="B32" s="149">
        <v>0</v>
      </c>
      <c r="C32" s="149" t="s">
        <v>89</v>
      </c>
      <c r="D32" s="149">
        <v>55</v>
      </c>
      <c r="E32" s="149" t="s">
        <v>90</v>
      </c>
      <c r="F32" s="149" t="s">
        <v>90</v>
      </c>
      <c r="G32" s="149" t="s">
        <v>90</v>
      </c>
      <c r="H32" s="149" t="s">
        <v>90</v>
      </c>
      <c r="I32" s="149" t="s">
        <v>90</v>
      </c>
      <c r="J32" s="48">
        <f t="shared" si="2"/>
        <v>55</v>
      </c>
      <c r="L32"/>
    </row>
    <row r="33" spans="1:12" ht="21" customHeight="1" x14ac:dyDescent="0.15">
      <c r="A33" s="190">
        <v>30046035</v>
      </c>
      <c r="B33" s="149">
        <v>0</v>
      </c>
      <c r="C33" s="149" t="s">
        <v>89</v>
      </c>
      <c r="D33" s="149">
        <v>88</v>
      </c>
      <c r="E33" s="149" t="s">
        <v>90</v>
      </c>
      <c r="F33" s="149" t="s">
        <v>90</v>
      </c>
      <c r="G33" s="149" t="s">
        <v>90</v>
      </c>
      <c r="H33" s="149" t="s">
        <v>90</v>
      </c>
      <c r="I33" s="149" t="s">
        <v>90</v>
      </c>
      <c r="J33" s="48">
        <f>D33</f>
        <v>88</v>
      </c>
      <c r="L33"/>
    </row>
    <row r="34" spans="1:12" ht="21" customHeight="1" x14ac:dyDescent="0.15">
      <c r="A34" s="190">
        <v>30046037</v>
      </c>
      <c r="B34" s="149">
        <v>0</v>
      </c>
      <c r="C34" s="149">
        <v>150</v>
      </c>
      <c r="D34" s="149">
        <v>100</v>
      </c>
      <c r="E34" s="149" t="s">
        <v>90</v>
      </c>
      <c r="F34" s="149" t="s">
        <v>90</v>
      </c>
      <c r="G34" s="149">
        <v>0</v>
      </c>
      <c r="H34" s="149" t="s">
        <v>90</v>
      </c>
      <c r="I34" s="149">
        <v>0</v>
      </c>
      <c r="J34" s="48">
        <f t="shared" si="2"/>
        <v>100</v>
      </c>
      <c r="L34"/>
    </row>
    <row r="35" spans="1:12" ht="21" customHeight="1" x14ac:dyDescent="0.15">
      <c r="L35"/>
    </row>
  </sheetData>
  <autoFilter ref="A1:G1"/>
  <phoneticPr fontId="5"/>
  <conditionalFormatting sqref="K1:K1048576">
    <cfRule type="duplicateValues" dxfId="0" priority="2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workbookViewId="0">
      <selection activeCell="P4" sqref="P4"/>
    </sheetView>
  </sheetViews>
  <sheetFormatPr baseColWidth="12" defaultRowHeight="15" x14ac:dyDescent="0.15"/>
  <cols>
    <col min="17" max="17" width="20.6640625" customWidth="1"/>
    <col min="18" max="18" width="21.6640625" customWidth="1"/>
  </cols>
  <sheetData>
    <row r="1" spans="1:18" x14ac:dyDescent="0.15">
      <c r="A1" s="63" t="s">
        <v>151</v>
      </c>
      <c r="B1" s="63" t="s">
        <v>152</v>
      </c>
      <c r="C1" s="64" t="s">
        <v>153</v>
      </c>
      <c r="D1" s="69" t="s">
        <v>154</v>
      </c>
      <c r="E1" s="65" t="s">
        <v>155</v>
      </c>
      <c r="F1" s="63" t="s">
        <v>156</v>
      </c>
      <c r="G1" s="63" t="s">
        <v>157</v>
      </c>
      <c r="H1" s="63" t="s">
        <v>158</v>
      </c>
      <c r="I1" s="63" t="s">
        <v>159</v>
      </c>
      <c r="J1" s="63" t="s">
        <v>160</v>
      </c>
      <c r="K1" s="63" t="s">
        <v>161</v>
      </c>
      <c r="L1" s="63" t="s">
        <v>162</v>
      </c>
      <c r="M1" s="63" t="s">
        <v>163</v>
      </c>
      <c r="N1" s="63" t="s">
        <v>164</v>
      </c>
      <c r="O1" s="63" t="s">
        <v>165</v>
      </c>
      <c r="P1" s="63" t="s">
        <v>166</v>
      </c>
      <c r="Q1" s="63" t="s">
        <v>167</v>
      </c>
      <c r="R1" s="63" t="s">
        <v>168</v>
      </c>
    </row>
    <row r="2" spans="1:18" x14ac:dyDescent="0.15">
      <c r="A2" s="58">
        <v>30046</v>
      </c>
      <c r="B2" s="58">
        <v>1</v>
      </c>
      <c r="C2" s="58" t="s">
        <v>314</v>
      </c>
      <c r="D2" s="231" t="s">
        <v>315</v>
      </c>
      <c r="E2" s="58">
        <v>1</v>
      </c>
      <c r="F2" s="58" t="s">
        <v>169</v>
      </c>
      <c r="G2" s="58">
        <v>3200</v>
      </c>
      <c r="H2" s="58" t="s">
        <v>316</v>
      </c>
      <c r="I2" s="58">
        <v>1</v>
      </c>
      <c r="J2" s="58">
        <v>1</v>
      </c>
      <c r="K2" s="58">
        <v>0</v>
      </c>
      <c r="L2" s="58">
        <v>0</v>
      </c>
      <c r="M2" s="58">
        <v>0</v>
      </c>
      <c r="N2" s="58">
        <v>0</v>
      </c>
      <c r="O2" s="58">
        <v>1</v>
      </c>
      <c r="P2" s="58">
        <v>200</v>
      </c>
      <c r="Q2" s="243" t="s">
        <v>321</v>
      </c>
      <c r="R2" s="243" t="s">
        <v>322</v>
      </c>
    </row>
    <row r="3" spans="1:18" x14ac:dyDescent="0.15">
      <c r="A3" s="58">
        <v>30046</v>
      </c>
      <c r="B3" s="58">
        <v>1</v>
      </c>
      <c r="C3" s="58" t="s">
        <v>314</v>
      </c>
      <c r="D3" s="231" t="s">
        <v>315</v>
      </c>
      <c r="E3" s="58">
        <v>2</v>
      </c>
      <c r="F3" s="58" t="s">
        <v>317</v>
      </c>
      <c r="G3" s="58">
        <v>20</v>
      </c>
      <c r="H3" s="58" t="s">
        <v>316</v>
      </c>
      <c r="I3" s="58">
        <v>1</v>
      </c>
      <c r="J3" s="58">
        <v>1</v>
      </c>
      <c r="K3" s="58">
        <v>0</v>
      </c>
      <c r="L3" s="58">
        <v>0</v>
      </c>
      <c r="M3" s="58">
        <v>0</v>
      </c>
      <c r="N3" s="58">
        <v>0</v>
      </c>
      <c r="O3" s="58">
        <v>1</v>
      </c>
      <c r="P3" s="58">
        <v>200</v>
      </c>
      <c r="Q3" s="243" t="s">
        <v>323</v>
      </c>
      <c r="R3" s="243" t="s">
        <v>324</v>
      </c>
    </row>
    <row r="4" spans="1:18" x14ac:dyDescent="0.15">
      <c r="A4" s="58">
        <v>30046</v>
      </c>
      <c r="B4" s="58">
        <v>1</v>
      </c>
      <c r="C4" s="58" t="s">
        <v>314</v>
      </c>
      <c r="D4" s="231" t="s">
        <v>315</v>
      </c>
      <c r="E4" s="58">
        <v>3</v>
      </c>
      <c r="F4" s="58" t="s">
        <v>318</v>
      </c>
      <c r="G4" s="232">
        <v>344</v>
      </c>
      <c r="H4" s="58">
        <v>1</v>
      </c>
      <c r="I4" s="58">
        <v>1</v>
      </c>
      <c r="J4" s="58">
        <v>1</v>
      </c>
      <c r="K4" s="58">
        <v>0</v>
      </c>
      <c r="L4" s="58">
        <v>0</v>
      </c>
      <c r="M4" s="58">
        <v>0</v>
      </c>
      <c r="N4" s="58">
        <v>0</v>
      </c>
      <c r="O4" s="58">
        <v>1</v>
      </c>
      <c r="P4" s="58">
        <v>70</v>
      </c>
      <c r="Q4" s="243" t="s">
        <v>325</v>
      </c>
      <c r="R4" s="243" t="s">
        <v>326</v>
      </c>
    </row>
    <row r="5" spans="1:18" x14ac:dyDescent="0.15">
      <c r="A5" s="58">
        <v>30046</v>
      </c>
      <c r="B5" s="58">
        <v>1</v>
      </c>
      <c r="C5" s="58" t="s">
        <v>314</v>
      </c>
      <c r="D5" s="231" t="s">
        <v>315</v>
      </c>
      <c r="E5" s="58">
        <v>4</v>
      </c>
      <c r="F5" s="58" t="s">
        <v>318</v>
      </c>
      <c r="G5" s="232">
        <v>345</v>
      </c>
      <c r="H5" s="58">
        <v>1</v>
      </c>
      <c r="I5" s="58">
        <v>1</v>
      </c>
      <c r="J5" s="58">
        <v>1</v>
      </c>
      <c r="K5" s="58">
        <v>0</v>
      </c>
      <c r="L5" s="58">
        <v>0</v>
      </c>
      <c r="M5" s="58">
        <v>0</v>
      </c>
      <c r="N5" s="58">
        <v>0</v>
      </c>
      <c r="O5" s="58">
        <v>1</v>
      </c>
      <c r="P5" s="58">
        <v>70</v>
      </c>
      <c r="Q5" s="243" t="s">
        <v>327</v>
      </c>
      <c r="R5" s="243" t="s">
        <v>328</v>
      </c>
    </row>
    <row r="6" spans="1:18" x14ac:dyDescent="0.15">
      <c r="A6" s="58">
        <v>30046</v>
      </c>
      <c r="B6" s="58">
        <v>1</v>
      </c>
      <c r="C6" s="58" t="s">
        <v>314</v>
      </c>
      <c r="D6" s="231" t="s">
        <v>315</v>
      </c>
      <c r="E6" s="58">
        <v>5</v>
      </c>
      <c r="F6" s="58" t="s">
        <v>318</v>
      </c>
      <c r="G6" s="58">
        <v>121</v>
      </c>
      <c r="H6" s="58">
        <v>1</v>
      </c>
      <c r="I6" s="58">
        <v>1</v>
      </c>
      <c r="J6" s="58">
        <v>1</v>
      </c>
      <c r="K6" s="58">
        <v>0</v>
      </c>
      <c r="L6" s="58">
        <v>0</v>
      </c>
      <c r="M6" s="58">
        <v>0</v>
      </c>
      <c r="N6" s="58">
        <v>0</v>
      </c>
      <c r="O6" s="58">
        <v>1</v>
      </c>
      <c r="P6" s="58">
        <v>50</v>
      </c>
      <c r="Q6" s="243" t="s">
        <v>329</v>
      </c>
      <c r="R6" s="243" t="s">
        <v>330</v>
      </c>
    </row>
    <row r="7" spans="1:18" x14ac:dyDescent="0.15">
      <c r="A7" s="58">
        <v>30046</v>
      </c>
      <c r="B7" s="58">
        <v>1</v>
      </c>
      <c r="C7" s="58" t="s">
        <v>314</v>
      </c>
      <c r="D7" s="231" t="s">
        <v>315</v>
      </c>
      <c r="E7" s="58">
        <v>6</v>
      </c>
      <c r="F7" s="58" t="s">
        <v>318</v>
      </c>
      <c r="G7" s="58">
        <v>122</v>
      </c>
      <c r="H7" s="58">
        <v>1</v>
      </c>
      <c r="I7" s="58">
        <v>1</v>
      </c>
      <c r="J7" s="58">
        <v>1</v>
      </c>
      <c r="K7" s="58">
        <v>0</v>
      </c>
      <c r="L7" s="58">
        <v>0</v>
      </c>
      <c r="M7" s="58">
        <v>0</v>
      </c>
      <c r="N7" s="58">
        <v>0</v>
      </c>
      <c r="O7" s="58">
        <v>1</v>
      </c>
      <c r="P7" s="58">
        <v>50</v>
      </c>
      <c r="Q7" s="243" t="s">
        <v>331</v>
      </c>
      <c r="R7" s="243" t="s">
        <v>332</v>
      </c>
    </row>
    <row r="8" spans="1:18" x14ac:dyDescent="0.15">
      <c r="A8" s="58">
        <v>30046</v>
      </c>
      <c r="B8" s="58">
        <v>1</v>
      </c>
      <c r="C8" s="58" t="s">
        <v>314</v>
      </c>
      <c r="D8" s="231" t="s">
        <v>315</v>
      </c>
      <c r="E8" s="58">
        <v>7</v>
      </c>
      <c r="F8" s="58" t="s">
        <v>318</v>
      </c>
      <c r="G8" s="58">
        <v>123</v>
      </c>
      <c r="H8" s="58">
        <v>1</v>
      </c>
      <c r="I8" s="58">
        <v>1</v>
      </c>
      <c r="J8" s="58">
        <v>1</v>
      </c>
      <c r="K8" s="58">
        <v>0</v>
      </c>
      <c r="L8" s="58">
        <v>0</v>
      </c>
      <c r="M8" s="58">
        <v>0</v>
      </c>
      <c r="N8" s="58">
        <v>0</v>
      </c>
      <c r="O8" s="58">
        <v>1</v>
      </c>
      <c r="P8" s="58">
        <v>50</v>
      </c>
      <c r="Q8" s="243" t="s">
        <v>333</v>
      </c>
      <c r="R8" s="243" t="s">
        <v>334</v>
      </c>
    </row>
    <row r="9" spans="1:18" x14ac:dyDescent="0.15">
      <c r="A9" s="58">
        <v>30046</v>
      </c>
      <c r="B9" s="58">
        <v>1</v>
      </c>
      <c r="C9" s="58" t="s">
        <v>314</v>
      </c>
      <c r="D9" s="231" t="s">
        <v>315</v>
      </c>
      <c r="E9" s="58">
        <v>8</v>
      </c>
      <c r="F9" s="58" t="s">
        <v>318</v>
      </c>
      <c r="G9" s="58">
        <v>125</v>
      </c>
      <c r="H9" s="58">
        <v>1</v>
      </c>
      <c r="I9" s="58">
        <v>1</v>
      </c>
      <c r="J9" s="58">
        <v>1</v>
      </c>
      <c r="K9" s="58">
        <v>0</v>
      </c>
      <c r="L9" s="58">
        <v>0</v>
      </c>
      <c r="M9" s="58">
        <v>0</v>
      </c>
      <c r="N9" s="58">
        <v>0</v>
      </c>
      <c r="O9" s="58">
        <v>1</v>
      </c>
      <c r="P9" s="58">
        <v>10</v>
      </c>
      <c r="Q9" s="243" t="s">
        <v>335</v>
      </c>
      <c r="R9" s="243" t="s">
        <v>336</v>
      </c>
    </row>
    <row r="10" spans="1:18" x14ac:dyDescent="0.15">
      <c r="A10" s="58">
        <v>30046</v>
      </c>
      <c r="B10" s="58">
        <v>1</v>
      </c>
      <c r="C10" s="58" t="s">
        <v>314</v>
      </c>
      <c r="D10" s="231" t="s">
        <v>315</v>
      </c>
      <c r="E10" s="58">
        <v>9</v>
      </c>
      <c r="F10" s="58" t="s">
        <v>318</v>
      </c>
      <c r="G10" s="61">
        <v>1236</v>
      </c>
      <c r="H10" s="58">
        <v>1</v>
      </c>
      <c r="I10" s="58">
        <v>1</v>
      </c>
      <c r="J10" s="58">
        <v>1</v>
      </c>
      <c r="K10" s="58">
        <v>0</v>
      </c>
      <c r="L10" s="58">
        <v>0</v>
      </c>
      <c r="M10" s="58">
        <v>0</v>
      </c>
      <c r="N10" s="58">
        <v>0</v>
      </c>
      <c r="O10" s="58">
        <v>1</v>
      </c>
      <c r="P10" s="233">
        <v>200</v>
      </c>
      <c r="Q10" s="243" t="s">
        <v>337</v>
      </c>
      <c r="R10" s="243" t="s">
        <v>338</v>
      </c>
    </row>
    <row r="11" spans="1:18" ht="16" thickBot="1" x14ac:dyDescent="0.2">
      <c r="A11" s="226">
        <v>30046</v>
      </c>
      <c r="B11" s="226">
        <v>1</v>
      </c>
      <c r="C11" s="226" t="s">
        <v>314</v>
      </c>
      <c r="D11" s="234" t="s">
        <v>315</v>
      </c>
      <c r="E11" s="226">
        <v>10</v>
      </c>
      <c r="F11" s="226" t="s">
        <v>318</v>
      </c>
      <c r="G11" s="235">
        <v>354</v>
      </c>
      <c r="H11" s="226">
        <v>1</v>
      </c>
      <c r="I11" s="226">
        <v>1</v>
      </c>
      <c r="J11" s="226">
        <v>1</v>
      </c>
      <c r="K11" s="226">
        <v>0</v>
      </c>
      <c r="L11" s="226">
        <v>0</v>
      </c>
      <c r="M11" s="226">
        <v>0</v>
      </c>
      <c r="N11" s="226">
        <v>0</v>
      </c>
      <c r="O11" s="226">
        <v>1</v>
      </c>
      <c r="P11" s="226">
        <v>100</v>
      </c>
      <c r="Q11" s="244" t="s">
        <v>339</v>
      </c>
      <c r="R11" s="244" t="s">
        <v>340</v>
      </c>
    </row>
    <row r="12" spans="1:18" ht="16" thickTop="1" x14ac:dyDescent="0.15">
      <c r="A12" s="227">
        <v>30046</v>
      </c>
      <c r="B12" s="227">
        <v>2</v>
      </c>
      <c r="C12" s="227" t="s">
        <v>319</v>
      </c>
      <c r="D12" s="236" t="s">
        <v>315</v>
      </c>
      <c r="E12" s="227">
        <v>11</v>
      </c>
      <c r="F12" s="227" t="s">
        <v>169</v>
      </c>
      <c r="G12" s="227">
        <v>5000</v>
      </c>
      <c r="H12" s="227" t="s">
        <v>316</v>
      </c>
      <c r="I12" s="227">
        <v>1</v>
      </c>
      <c r="J12" s="227">
        <v>1</v>
      </c>
      <c r="K12" s="227">
        <v>0</v>
      </c>
      <c r="L12" s="227">
        <v>0</v>
      </c>
      <c r="M12" s="227">
        <v>0</v>
      </c>
      <c r="N12" s="227">
        <v>0</v>
      </c>
      <c r="O12" s="227">
        <v>1</v>
      </c>
      <c r="P12" s="227">
        <v>200</v>
      </c>
      <c r="Q12" s="245" t="s">
        <v>341</v>
      </c>
      <c r="R12" s="245" t="s">
        <v>342</v>
      </c>
    </row>
    <row r="13" spans="1:18" x14ac:dyDescent="0.15">
      <c r="A13" s="228">
        <v>30046</v>
      </c>
      <c r="B13" s="227">
        <v>2</v>
      </c>
      <c r="C13" s="228" t="s">
        <v>319</v>
      </c>
      <c r="D13" s="237" t="s">
        <v>315</v>
      </c>
      <c r="E13" s="228">
        <v>12</v>
      </c>
      <c r="F13" s="228" t="s">
        <v>317</v>
      </c>
      <c r="G13" s="228">
        <v>25</v>
      </c>
      <c r="H13" s="228" t="s">
        <v>316</v>
      </c>
      <c r="I13" s="228">
        <v>1</v>
      </c>
      <c r="J13" s="228">
        <v>1</v>
      </c>
      <c r="K13" s="228">
        <v>0</v>
      </c>
      <c r="L13" s="228">
        <v>0</v>
      </c>
      <c r="M13" s="228">
        <v>0</v>
      </c>
      <c r="N13" s="228">
        <v>0</v>
      </c>
      <c r="O13" s="228">
        <v>1</v>
      </c>
      <c r="P13" s="228">
        <v>150</v>
      </c>
      <c r="Q13" s="246" t="s">
        <v>343</v>
      </c>
      <c r="R13" s="246" t="s">
        <v>344</v>
      </c>
    </row>
    <row r="14" spans="1:18" x14ac:dyDescent="0.15">
      <c r="A14" s="228">
        <v>30046</v>
      </c>
      <c r="B14" s="227">
        <v>2</v>
      </c>
      <c r="C14" s="228" t="s">
        <v>319</v>
      </c>
      <c r="D14" s="237" t="s">
        <v>315</v>
      </c>
      <c r="E14" s="228">
        <v>13</v>
      </c>
      <c r="F14" s="228" t="s">
        <v>318</v>
      </c>
      <c r="G14" s="238">
        <v>344</v>
      </c>
      <c r="H14" s="228">
        <v>1</v>
      </c>
      <c r="I14" s="228">
        <v>1</v>
      </c>
      <c r="J14" s="228">
        <v>1</v>
      </c>
      <c r="K14" s="228">
        <v>0</v>
      </c>
      <c r="L14" s="228">
        <v>0</v>
      </c>
      <c r="M14" s="228">
        <v>0</v>
      </c>
      <c r="N14" s="228">
        <v>0</v>
      </c>
      <c r="O14" s="228">
        <v>1</v>
      </c>
      <c r="P14" s="228">
        <v>56</v>
      </c>
      <c r="Q14" s="246" t="s">
        <v>345</v>
      </c>
      <c r="R14" s="246" t="s">
        <v>346</v>
      </c>
    </row>
    <row r="15" spans="1:18" x14ac:dyDescent="0.15">
      <c r="A15" s="228">
        <v>30046</v>
      </c>
      <c r="B15" s="227">
        <v>2</v>
      </c>
      <c r="C15" s="228" t="s">
        <v>319</v>
      </c>
      <c r="D15" s="237" t="s">
        <v>315</v>
      </c>
      <c r="E15" s="228">
        <v>14</v>
      </c>
      <c r="F15" s="228" t="s">
        <v>318</v>
      </c>
      <c r="G15" s="238">
        <v>345</v>
      </c>
      <c r="H15" s="228">
        <v>1</v>
      </c>
      <c r="I15" s="228">
        <v>1</v>
      </c>
      <c r="J15" s="228">
        <v>1</v>
      </c>
      <c r="K15" s="228">
        <v>0</v>
      </c>
      <c r="L15" s="228">
        <v>0</v>
      </c>
      <c r="M15" s="228">
        <v>0</v>
      </c>
      <c r="N15" s="228">
        <v>0</v>
      </c>
      <c r="O15" s="228">
        <v>1</v>
      </c>
      <c r="P15" s="228">
        <v>56</v>
      </c>
      <c r="Q15" s="246" t="s">
        <v>347</v>
      </c>
      <c r="R15" s="246" t="s">
        <v>348</v>
      </c>
    </row>
    <row r="16" spans="1:18" x14ac:dyDescent="0.15">
      <c r="A16" s="228">
        <v>30046</v>
      </c>
      <c r="B16" s="227">
        <v>2</v>
      </c>
      <c r="C16" s="228" t="s">
        <v>319</v>
      </c>
      <c r="D16" s="237" t="s">
        <v>315</v>
      </c>
      <c r="E16" s="228">
        <v>15</v>
      </c>
      <c r="F16" s="228" t="s">
        <v>318</v>
      </c>
      <c r="G16" s="238">
        <v>346</v>
      </c>
      <c r="H16" s="228">
        <v>1</v>
      </c>
      <c r="I16" s="228">
        <v>1</v>
      </c>
      <c r="J16" s="228">
        <v>1</v>
      </c>
      <c r="K16" s="228">
        <v>0</v>
      </c>
      <c r="L16" s="228">
        <v>0</v>
      </c>
      <c r="M16" s="228">
        <v>0</v>
      </c>
      <c r="N16" s="228">
        <v>0</v>
      </c>
      <c r="O16" s="228">
        <v>1</v>
      </c>
      <c r="P16" s="228">
        <v>28</v>
      </c>
      <c r="Q16" s="246" t="s">
        <v>349</v>
      </c>
      <c r="R16" s="246" t="s">
        <v>350</v>
      </c>
    </row>
    <row r="17" spans="1:18" x14ac:dyDescent="0.15">
      <c r="A17" s="228">
        <v>30046</v>
      </c>
      <c r="B17" s="227">
        <v>2</v>
      </c>
      <c r="C17" s="228" t="s">
        <v>319</v>
      </c>
      <c r="D17" s="237" t="s">
        <v>315</v>
      </c>
      <c r="E17" s="228">
        <v>16</v>
      </c>
      <c r="F17" s="228" t="s">
        <v>318</v>
      </c>
      <c r="G17" s="228">
        <v>121</v>
      </c>
      <c r="H17" s="228">
        <v>1</v>
      </c>
      <c r="I17" s="228">
        <v>1</v>
      </c>
      <c r="J17" s="228">
        <v>1</v>
      </c>
      <c r="K17" s="228">
        <v>0</v>
      </c>
      <c r="L17" s="228">
        <v>0</v>
      </c>
      <c r="M17" s="228">
        <v>0</v>
      </c>
      <c r="N17" s="228">
        <v>0</v>
      </c>
      <c r="O17" s="228">
        <v>1</v>
      </c>
      <c r="P17" s="228">
        <v>50</v>
      </c>
      <c r="Q17" s="246" t="s">
        <v>351</v>
      </c>
      <c r="R17" s="246" t="s">
        <v>352</v>
      </c>
    </row>
    <row r="18" spans="1:18" x14ac:dyDescent="0.15">
      <c r="A18" s="228">
        <v>30046</v>
      </c>
      <c r="B18" s="227">
        <v>2</v>
      </c>
      <c r="C18" s="228" t="s">
        <v>319</v>
      </c>
      <c r="D18" s="237" t="s">
        <v>315</v>
      </c>
      <c r="E18" s="228">
        <v>17</v>
      </c>
      <c r="F18" s="228" t="s">
        <v>318</v>
      </c>
      <c r="G18" s="228">
        <v>122</v>
      </c>
      <c r="H18" s="228">
        <v>1</v>
      </c>
      <c r="I18" s="228">
        <v>1</v>
      </c>
      <c r="J18" s="228">
        <v>1</v>
      </c>
      <c r="K18" s="228">
        <v>0</v>
      </c>
      <c r="L18" s="228">
        <v>0</v>
      </c>
      <c r="M18" s="228">
        <v>0</v>
      </c>
      <c r="N18" s="228">
        <v>0</v>
      </c>
      <c r="O18" s="228">
        <v>1</v>
      </c>
      <c r="P18" s="228">
        <v>50</v>
      </c>
      <c r="Q18" s="246" t="s">
        <v>353</v>
      </c>
      <c r="R18" s="246" t="s">
        <v>354</v>
      </c>
    </row>
    <row r="19" spans="1:18" x14ac:dyDescent="0.15">
      <c r="A19" s="228">
        <v>30046</v>
      </c>
      <c r="B19" s="227">
        <v>2</v>
      </c>
      <c r="C19" s="228" t="s">
        <v>319</v>
      </c>
      <c r="D19" s="237" t="s">
        <v>315</v>
      </c>
      <c r="E19" s="228">
        <v>18</v>
      </c>
      <c r="F19" s="228" t="s">
        <v>318</v>
      </c>
      <c r="G19" s="228">
        <v>123</v>
      </c>
      <c r="H19" s="228">
        <v>1</v>
      </c>
      <c r="I19" s="228">
        <v>1</v>
      </c>
      <c r="J19" s="228">
        <v>1</v>
      </c>
      <c r="K19" s="228">
        <v>0</v>
      </c>
      <c r="L19" s="228">
        <v>0</v>
      </c>
      <c r="M19" s="228">
        <v>0</v>
      </c>
      <c r="N19" s="228">
        <v>0</v>
      </c>
      <c r="O19" s="228">
        <v>1</v>
      </c>
      <c r="P19" s="228">
        <v>50</v>
      </c>
      <c r="Q19" s="246" t="s">
        <v>355</v>
      </c>
      <c r="R19" s="246" t="s">
        <v>356</v>
      </c>
    </row>
    <row r="20" spans="1:18" x14ac:dyDescent="0.15">
      <c r="A20" s="228">
        <v>30046</v>
      </c>
      <c r="B20" s="227">
        <v>2</v>
      </c>
      <c r="C20" s="228" t="s">
        <v>319</v>
      </c>
      <c r="D20" s="237" t="s">
        <v>315</v>
      </c>
      <c r="E20" s="228">
        <v>19</v>
      </c>
      <c r="F20" s="228" t="s">
        <v>318</v>
      </c>
      <c r="G20" s="228">
        <v>125</v>
      </c>
      <c r="H20" s="228">
        <v>1</v>
      </c>
      <c r="I20" s="228">
        <v>1</v>
      </c>
      <c r="J20" s="228">
        <v>1</v>
      </c>
      <c r="K20" s="228">
        <v>0</v>
      </c>
      <c r="L20" s="228">
        <v>0</v>
      </c>
      <c r="M20" s="228">
        <v>0</v>
      </c>
      <c r="N20" s="228">
        <v>0</v>
      </c>
      <c r="O20" s="228">
        <v>1</v>
      </c>
      <c r="P20" s="228">
        <v>10</v>
      </c>
      <c r="Q20" s="246" t="s">
        <v>357</v>
      </c>
      <c r="R20" s="246" t="s">
        <v>358</v>
      </c>
    </row>
    <row r="21" spans="1:18" x14ac:dyDescent="0.15">
      <c r="A21" s="228">
        <v>30046</v>
      </c>
      <c r="B21" s="227">
        <v>2</v>
      </c>
      <c r="C21" s="228" t="s">
        <v>319</v>
      </c>
      <c r="D21" s="237" t="s">
        <v>315</v>
      </c>
      <c r="E21" s="228">
        <v>20</v>
      </c>
      <c r="F21" s="228" t="s">
        <v>318</v>
      </c>
      <c r="G21" s="61">
        <v>1236</v>
      </c>
      <c r="H21" s="228">
        <v>1</v>
      </c>
      <c r="I21" s="228">
        <v>1</v>
      </c>
      <c r="J21" s="228">
        <v>1</v>
      </c>
      <c r="K21" s="228">
        <v>0</v>
      </c>
      <c r="L21" s="228">
        <v>0</v>
      </c>
      <c r="M21" s="228">
        <v>0</v>
      </c>
      <c r="N21" s="228">
        <v>0</v>
      </c>
      <c r="O21" s="228">
        <v>1</v>
      </c>
      <c r="P21" s="239">
        <v>250</v>
      </c>
      <c r="Q21" s="246" t="s">
        <v>359</v>
      </c>
      <c r="R21" s="246" t="s">
        <v>360</v>
      </c>
    </row>
    <row r="22" spans="1:18" ht="16" thickBot="1" x14ac:dyDescent="0.2">
      <c r="A22" s="229">
        <v>30046</v>
      </c>
      <c r="B22" s="229">
        <v>2</v>
      </c>
      <c r="C22" s="229" t="s">
        <v>319</v>
      </c>
      <c r="D22" s="240" t="s">
        <v>315</v>
      </c>
      <c r="E22" s="229">
        <v>21</v>
      </c>
      <c r="F22" s="229" t="s">
        <v>318</v>
      </c>
      <c r="G22" s="241">
        <v>354</v>
      </c>
      <c r="H22" s="229">
        <v>1</v>
      </c>
      <c r="I22" s="229">
        <v>1</v>
      </c>
      <c r="J22" s="229">
        <v>1</v>
      </c>
      <c r="K22" s="229">
        <v>0</v>
      </c>
      <c r="L22" s="229">
        <v>0</v>
      </c>
      <c r="M22" s="229">
        <v>0</v>
      </c>
      <c r="N22" s="229">
        <v>0</v>
      </c>
      <c r="O22" s="229">
        <v>1</v>
      </c>
      <c r="P22" s="229">
        <v>100</v>
      </c>
      <c r="Q22" s="247" t="s">
        <v>361</v>
      </c>
      <c r="R22" s="247" t="s">
        <v>362</v>
      </c>
    </row>
    <row r="23" spans="1:18" ht="16" thickTop="1" x14ac:dyDescent="0.15">
      <c r="A23" s="230">
        <v>30046</v>
      </c>
      <c r="B23" s="230">
        <v>3</v>
      </c>
      <c r="C23" s="230" t="s">
        <v>320</v>
      </c>
      <c r="D23" s="242" t="s">
        <v>315</v>
      </c>
      <c r="E23" s="230">
        <v>22</v>
      </c>
      <c r="F23" s="230" t="s">
        <v>169</v>
      </c>
      <c r="G23" s="230">
        <v>6500</v>
      </c>
      <c r="H23" s="230" t="s">
        <v>316</v>
      </c>
      <c r="I23" s="230">
        <v>1</v>
      </c>
      <c r="J23" s="230">
        <v>1</v>
      </c>
      <c r="K23" s="230">
        <v>0</v>
      </c>
      <c r="L23" s="230">
        <v>0</v>
      </c>
      <c r="M23" s="230">
        <v>0</v>
      </c>
      <c r="N23" s="230">
        <v>0</v>
      </c>
      <c r="O23" s="230">
        <v>1</v>
      </c>
      <c r="P23" s="230">
        <v>100</v>
      </c>
      <c r="Q23" s="248" t="s">
        <v>363</v>
      </c>
      <c r="R23" s="248" t="s">
        <v>364</v>
      </c>
    </row>
    <row r="24" spans="1:18" x14ac:dyDescent="0.15">
      <c r="A24" s="58">
        <v>30046</v>
      </c>
      <c r="B24" s="230">
        <v>3</v>
      </c>
      <c r="C24" s="58" t="s">
        <v>320</v>
      </c>
      <c r="D24" s="231" t="s">
        <v>315</v>
      </c>
      <c r="E24" s="58">
        <v>23</v>
      </c>
      <c r="F24" s="58" t="s">
        <v>317</v>
      </c>
      <c r="G24" s="58">
        <v>25</v>
      </c>
      <c r="H24" s="58" t="s">
        <v>316</v>
      </c>
      <c r="I24" s="58">
        <v>1</v>
      </c>
      <c r="J24" s="58">
        <v>1</v>
      </c>
      <c r="K24" s="58">
        <v>0</v>
      </c>
      <c r="L24" s="58">
        <v>0</v>
      </c>
      <c r="M24" s="58">
        <v>0</v>
      </c>
      <c r="N24" s="58">
        <v>0</v>
      </c>
      <c r="O24" s="58">
        <v>1</v>
      </c>
      <c r="P24" s="58">
        <v>100</v>
      </c>
      <c r="Q24" s="243" t="s">
        <v>365</v>
      </c>
      <c r="R24" s="243" t="s">
        <v>366</v>
      </c>
    </row>
    <row r="25" spans="1:18" x14ac:dyDescent="0.15">
      <c r="A25" s="58">
        <v>30046</v>
      </c>
      <c r="B25" s="230">
        <v>3</v>
      </c>
      <c r="C25" s="58" t="s">
        <v>320</v>
      </c>
      <c r="D25" s="231" t="s">
        <v>315</v>
      </c>
      <c r="E25" s="58">
        <v>24</v>
      </c>
      <c r="F25" s="58" t="s">
        <v>318</v>
      </c>
      <c r="G25" s="232">
        <v>344</v>
      </c>
      <c r="H25" s="58">
        <v>1</v>
      </c>
      <c r="I25" s="58">
        <v>1</v>
      </c>
      <c r="J25" s="58">
        <v>1</v>
      </c>
      <c r="K25" s="58">
        <v>0</v>
      </c>
      <c r="L25" s="58">
        <v>0</v>
      </c>
      <c r="M25" s="58">
        <v>0</v>
      </c>
      <c r="N25" s="58">
        <v>0</v>
      </c>
      <c r="O25" s="58">
        <v>1</v>
      </c>
      <c r="P25" s="58">
        <v>28</v>
      </c>
      <c r="Q25" s="243" t="s">
        <v>367</v>
      </c>
      <c r="R25" s="243" t="s">
        <v>368</v>
      </c>
    </row>
    <row r="26" spans="1:18" x14ac:dyDescent="0.15">
      <c r="A26" s="58">
        <v>30046</v>
      </c>
      <c r="B26" s="230">
        <v>3</v>
      </c>
      <c r="C26" s="58" t="s">
        <v>320</v>
      </c>
      <c r="D26" s="231" t="s">
        <v>315</v>
      </c>
      <c r="E26" s="58">
        <v>25</v>
      </c>
      <c r="F26" s="58" t="s">
        <v>318</v>
      </c>
      <c r="G26" s="232">
        <v>345</v>
      </c>
      <c r="H26" s="58">
        <v>1</v>
      </c>
      <c r="I26" s="58">
        <v>1</v>
      </c>
      <c r="J26" s="58">
        <v>1</v>
      </c>
      <c r="K26" s="58">
        <v>0</v>
      </c>
      <c r="L26" s="58">
        <v>0</v>
      </c>
      <c r="M26" s="58">
        <v>0</v>
      </c>
      <c r="N26" s="58">
        <v>0</v>
      </c>
      <c r="O26" s="58">
        <v>1</v>
      </c>
      <c r="P26" s="58">
        <v>56</v>
      </c>
      <c r="Q26" s="243" t="s">
        <v>369</v>
      </c>
      <c r="R26" s="243" t="s">
        <v>370</v>
      </c>
    </row>
    <row r="27" spans="1:18" x14ac:dyDescent="0.15">
      <c r="A27" s="58">
        <v>30046</v>
      </c>
      <c r="B27" s="230">
        <v>3</v>
      </c>
      <c r="C27" s="58" t="s">
        <v>320</v>
      </c>
      <c r="D27" s="231" t="s">
        <v>315</v>
      </c>
      <c r="E27" s="58">
        <v>26</v>
      </c>
      <c r="F27" s="58" t="s">
        <v>318</v>
      </c>
      <c r="G27" s="232">
        <v>346</v>
      </c>
      <c r="H27" s="58">
        <v>1</v>
      </c>
      <c r="I27" s="58">
        <v>1</v>
      </c>
      <c r="J27" s="58">
        <v>1</v>
      </c>
      <c r="K27" s="58">
        <v>0</v>
      </c>
      <c r="L27" s="58">
        <v>0</v>
      </c>
      <c r="M27" s="58">
        <v>0</v>
      </c>
      <c r="N27" s="58">
        <v>0</v>
      </c>
      <c r="O27" s="58">
        <v>1</v>
      </c>
      <c r="P27" s="58">
        <v>56</v>
      </c>
      <c r="Q27" s="243" t="s">
        <v>371</v>
      </c>
      <c r="R27" s="243" t="s">
        <v>372</v>
      </c>
    </row>
    <row r="28" spans="1:18" x14ac:dyDescent="0.15">
      <c r="A28" s="58">
        <v>30046</v>
      </c>
      <c r="B28" s="230">
        <v>3</v>
      </c>
      <c r="C28" s="58" t="s">
        <v>320</v>
      </c>
      <c r="D28" s="231" t="s">
        <v>315</v>
      </c>
      <c r="E28" s="58">
        <v>27</v>
      </c>
      <c r="F28" s="58" t="s">
        <v>318</v>
      </c>
      <c r="G28" s="58">
        <v>121</v>
      </c>
      <c r="H28" s="58">
        <v>1</v>
      </c>
      <c r="I28" s="58">
        <v>1</v>
      </c>
      <c r="J28" s="58">
        <v>1</v>
      </c>
      <c r="K28" s="58">
        <v>0</v>
      </c>
      <c r="L28" s="58">
        <v>0</v>
      </c>
      <c r="M28" s="58">
        <v>0</v>
      </c>
      <c r="N28" s="58">
        <v>0</v>
      </c>
      <c r="O28" s="58">
        <v>1</v>
      </c>
      <c r="P28" s="58">
        <v>50</v>
      </c>
      <c r="Q28" s="243" t="s">
        <v>373</v>
      </c>
      <c r="R28" s="243" t="s">
        <v>374</v>
      </c>
    </row>
    <row r="29" spans="1:18" x14ac:dyDescent="0.15">
      <c r="A29" s="58">
        <v>30046</v>
      </c>
      <c r="B29" s="230">
        <v>3</v>
      </c>
      <c r="C29" s="58" t="s">
        <v>320</v>
      </c>
      <c r="D29" s="231" t="s">
        <v>315</v>
      </c>
      <c r="E29" s="58">
        <v>28</v>
      </c>
      <c r="F29" s="58" t="s">
        <v>318</v>
      </c>
      <c r="G29" s="58">
        <v>122</v>
      </c>
      <c r="H29" s="58">
        <v>1</v>
      </c>
      <c r="I29" s="58">
        <v>1</v>
      </c>
      <c r="J29" s="58">
        <v>1</v>
      </c>
      <c r="K29" s="58">
        <v>0</v>
      </c>
      <c r="L29" s="58">
        <v>0</v>
      </c>
      <c r="M29" s="58">
        <v>0</v>
      </c>
      <c r="N29" s="58">
        <v>0</v>
      </c>
      <c r="O29" s="58">
        <v>1</v>
      </c>
      <c r="P29" s="58">
        <v>50</v>
      </c>
      <c r="Q29" s="243" t="s">
        <v>375</v>
      </c>
      <c r="R29" s="243" t="s">
        <v>376</v>
      </c>
    </row>
    <row r="30" spans="1:18" x14ac:dyDescent="0.15">
      <c r="A30" s="58">
        <v>30046</v>
      </c>
      <c r="B30" s="230">
        <v>3</v>
      </c>
      <c r="C30" s="58" t="s">
        <v>320</v>
      </c>
      <c r="D30" s="231" t="s">
        <v>315</v>
      </c>
      <c r="E30" s="58">
        <v>29</v>
      </c>
      <c r="F30" s="58" t="s">
        <v>318</v>
      </c>
      <c r="G30" s="58">
        <v>123</v>
      </c>
      <c r="H30" s="58">
        <v>1</v>
      </c>
      <c r="I30" s="58">
        <v>1</v>
      </c>
      <c r="J30" s="58">
        <v>1</v>
      </c>
      <c r="K30" s="58">
        <v>0</v>
      </c>
      <c r="L30" s="58">
        <v>0</v>
      </c>
      <c r="M30" s="58">
        <v>0</v>
      </c>
      <c r="N30" s="58">
        <v>0</v>
      </c>
      <c r="O30" s="58">
        <v>1</v>
      </c>
      <c r="P30" s="58">
        <v>50</v>
      </c>
      <c r="Q30" s="243" t="s">
        <v>377</v>
      </c>
      <c r="R30" s="243" t="s">
        <v>378</v>
      </c>
    </row>
    <row r="31" spans="1:18" x14ac:dyDescent="0.15">
      <c r="A31" s="58">
        <v>30046</v>
      </c>
      <c r="B31" s="230">
        <v>3</v>
      </c>
      <c r="C31" s="58" t="s">
        <v>320</v>
      </c>
      <c r="D31" s="231" t="s">
        <v>315</v>
      </c>
      <c r="E31" s="58">
        <v>30</v>
      </c>
      <c r="F31" s="58" t="s">
        <v>318</v>
      </c>
      <c r="G31" s="58">
        <v>125</v>
      </c>
      <c r="H31" s="58">
        <v>1</v>
      </c>
      <c r="I31" s="58">
        <v>1</v>
      </c>
      <c r="J31" s="58">
        <v>1</v>
      </c>
      <c r="K31" s="58">
        <v>0</v>
      </c>
      <c r="L31" s="58">
        <v>0</v>
      </c>
      <c r="M31" s="58">
        <v>0</v>
      </c>
      <c r="N31" s="58">
        <v>0</v>
      </c>
      <c r="O31" s="58">
        <v>1</v>
      </c>
      <c r="P31" s="58">
        <v>10</v>
      </c>
      <c r="Q31" s="243" t="s">
        <v>379</v>
      </c>
      <c r="R31" s="243" t="s">
        <v>380</v>
      </c>
    </row>
    <row r="32" spans="1:18" x14ac:dyDescent="0.15">
      <c r="A32" s="58">
        <v>30046</v>
      </c>
      <c r="B32" s="230">
        <v>3</v>
      </c>
      <c r="C32" s="58" t="s">
        <v>320</v>
      </c>
      <c r="D32" s="231" t="s">
        <v>315</v>
      </c>
      <c r="E32" s="58">
        <v>31</v>
      </c>
      <c r="F32" s="58" t="s">
        <v>318</v>
      </c>
      <c r="G32" s="61">
        <v>1236</v>
      </c>
      <c r="H32" s="58">
        <v>1</v>
      </c>
      <c r="I32" s="58">
        <v>1</v>
      </c>
      <c r="J32" s="58">
        <v>1</v>
      </c>
      <c r="K32" s="58">
        <v>0</v>
      </c>
      <c r="L32" s="58">
        <v>0</v>
      </c>
      <c r="M32" s="58">
        <v>0</v>
      </c>
      <c r="N32" s="58">
        <v>0</v>
      </c>
      <c r="O32" s="58">
        <v>1</v>
      </c>
      <c r="P32" s="233">
        <v>400</v>
      </c>
      <c r="Q32" s="243" t="s">
        <v>381</v>
      </c>
      <c r="R32" s="243" t="s">
        <v>382</v>
      </c>
    </row>
    <row r="33" spans="1:18" x14ac:dyDescent="0.15">
      <c r="A33" s="58">
        <v>30046</v>
      </c>
      <c r="B33" s="230">
        <v>3</v>
      </c>
      <c r="C33" s="58" t="s">
        <v>320</v>
      </c>
      <c r="D33" s="231" t="s">
        <v>315</v>
      </c>
      <c r="E33" s="58">
        <v>32</v>
      </c>
      <c r="F33" s="58" t="s">
        <v>318</v>
      </c>
      <c r="G33" s="232">
        <v>354</v>
      </c>
      <c r="H33" s="58">
        <v>1</v>
      </c>
      <c r="I33" s="58">
        <v>1</v>
      </c>
      <c r="J33" s="58">
        <v>1</v>
      </c>
      <c r="K33" s="58">
        <v>0</v>
      </c>
      <c r="L33" s="58">
        <v>0</v>
      </c>
      <c r="M33" s="58">
        <v>0</v>
      </c>
      <c r="N33" s="58">
        <v>0</v>
      </c>
      <c r="O33" s="58">
        <v>1</v>
      </c>
      <c r="P33" s="58">
        <v>100</v>
      </c>
      <c r="Q33" s="243" t="s">
        <v>383</v>
      </c>
      <c r="R33" s="243" t="s">
        <v>384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pane="bottomLeft" activeCell="O41" sqref="O41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186</v>
      </c>
      <c r="B1" s="70" t="s">
        <v>187</v>
      </c>
      <c r="C1" s="74" t="s">
        <v>188</v>
      </c>
      <c r="D1" s="74" t="s">
        <v>33</v>
      </c>
      <c r="E1" s="70" t="s">
        <v>189</v>
      </c>
      <c r="F1" s="74" t="s">
        <v>190</v>
      </c>
      <c r="G1" s="74" t="s">
        <v>33</v>
      </c>
      <c r="H1" s="70" t="s">
        <v>191</v>
      </c>
      <c r="I1" s="88" t="s">
        <v>193</v>
      </c>
      <c r="J1" s="76" t="s">
        <v>127</v>
      </c>
      <c r="K1" s="75" t="s">
        <v>185</v>
      </c>
      <c r="L1" s="89" t="s">
        <v>184</v>
      </c>
      <c r="M1" s="77" t="s">
        <v>194</v>
      </c>
    </row>
    <row r="2" spans="1:13" x14ac:dyDescent="0.15">
      <c r="A2" s="78" t="s">
        <v>199</v>
      </c>
      <c r="B2" s="79">
        <f>floors!$C$2</f>
        <v>30046</v>
      </c>
      <c r="C2" s="80" t="str">
        <f ca="1">VLOOKUP($B2,OFFSET([2]quests!$A$1,0,0,COUNTA([2]quests!$A:$A),MATCH(C$1,[2]quests!$1:$1,0)-MATCH($B$1,[2]quests!$1:$1,0)+1),MATCH(C$1,[2]quests!$1:$1,0)-MATCH($B$1,[2]quests!$1:$1,0)+1,FALSE)</f>
        <v>千利の道も一歩から！</v>
      </c>
      <c r="D2" s="80" t="str">
        <f ca="1">VLOOKUP($B2,OFFSET([2]quests!$A$1,0,0,COUNTA([2]quests!$A:$A),MATCH(D$1,[2]quests!$1:$1,0)-MATCH($B$1,[2]quests!$1:$1,0)+1),MATCH(D$1,[2]quests!$1:$1,0)-MATCH($B$1,[2]quests!$1:$1,0)+1,FALSE)</f>
        <v>戦国シリーズ第二弾　超級</v>
      </c>
      <c r="E2" s="84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戦国シリーズ第二弾　超級</v>
      </c>
      <c r="H2" s="82">
        <v>0</v>
      </c>
      <c r="I2">
        <v>3</v>
      </c>
      <c r="J2" s="81" t="s">
        <v>196</v>
      </c>
      <c r="K2" s="90" t="str">
        <f>VLOOKUP(I2,[6]stage_hints!$A:$C,3,FALSE)</f>
        <v>ターゲット</v>
      </c>
      <c r="L2" s="91" t="str">
        <f>VLOOKUP(I2,[6]stage_hints!$A:$D,4,FALSE)</f>
        <v>敵ユニットをタップすると_x000D_その敵を狙い撃ちできます</v>
      </c>
      <c r="M2" s="57" t="s">
        <v>209</v>
      </c>
    </row>
    <row r="3" spans="1:13" x14ac:dyDescent="0.15">
      <c r="A3" s="78" t="s">
        <v>199</v>
      </c>
      <c r="B3" s="79">
        <f>floors!$C$2</f>
        <v>30046</v>
      </c>
      <c r="C3" s="80" t="str">
        <f ca="1">VLOOKUP($B3,OFFSET([2]quests!$A$1,0,0,COUNTA([2]quests!$A:$A),MATCH(C$1,[2]quests!$1:$1,0)-MATCH($B$1,[2]quests!$1:$1,0)+1),MATCH(C$1,[2]quests!$1:$1,0)-MATCH($B$1,[2]quests!$1:$1,0)+1,FALSE)</f>
        <v>千利の道も一歩から！</v>
      </c>
      <c r="D3" s="80" t="str">
        <f ca="1">VLOOKUP($B3,OFFSET([2]quests!$A$1,0,0,COUNTA([2]quests!$A:$A),MATCH(D$1,[2]quests!$1:$1,0)-MATCH($B$1,[2]quests!$1:$1,0)+1),MATCH(D$1,[2]quests!$1:$1,0)-MATCH($B$1,[2]quests!$1:$1,0)+1,FALSE)</f>
        <v>戦国シリーズ第二弾　超級</v>
      </c>
      <c r="E3" s="84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戦国シリーズ第二弾　超級</v>
      </c>
      <c r="H3" s="82">
        <v>0</v>
      </c>
      <c r="I3">
        <v>6</v>
      </c>
      <c r="J3" s="81" t="s">
        <v>196</v>
      </c>
      <c r="K3" s="90" t="str">
        <f>VLOOKUP(I3,[6]stage_hints!$A:$C,3,FALSE)</f>
        <v>ユニット強化の属性ボーナス</v>
      </c>
      <c r="L3" s="91" t="str">
        <f>VLOOKUP(I3,[6]stage_hints!$A:$D,4,FALSE)</f>
        <v>同属性ユニットを強化素材にすると_x000D_経験値が多くもらえます</v>
      </c>
      <c r="M3" s="57" t="s">
        <v>209</v>
      </c>
    </row>
    <row r="4" spans="1:13" x14ac:dyDescent="0.15">
      <c r="A4" s="78" t="s">
        <v>199</v>
      </c>
      <c r="B4" s="79">
        <f>floors!$C$2</f>
        <v>30046</v>
      </c>
      <c r="C4" s="80" t="str">
        <f ca="1">VLOOKUP($B4,OFFSET([2]quests!$A$1,0,0,COUNTA([2]quests!$A:$A),MATCH(C$1,[2]quests!$1:$1,0)-MATCH($B$1,[2]quests!$1:$1,0)+1),MATCH(C$1,[2]quests!$1:$1,0)-MATCH($B$1,[2]quests!$1:$1,0)+1,FALSE)</f>
        <v>千利の道も一歩から！</v>
      </c>
      <c r="D4" s="80" t="str">
        <f ca="1">VLOOKUP($B4,OFFSET([2]quests!$A$1,0,0,COUNTA([2]quests!$A:$A),MATCH(D$1,[2]quests!$1:$1,0)-MATCH($B$1,[2]quests!$1:$1,0)+1),MATCH(D$1,[2]quests!$1:$1,0)-MATCH($B$1,[2]quests!$1:$1,0)+1,FALSE)</f>
        <v>戦国シリーズ第二弾　超級</v>
      </c>
      <c r="E4" s="84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戦国シリーズ第二弾　超級</v>
      </c>
      <c r="H4" s="82">
        <v>0</v>
      </c>
      <c r="I4">
        <v>7</v>
      </c>
      <c r="J4" s="81" t="s">
        <v>196</v>
      </c>
      <c r="K4" s="90" t="str">
        <f>VLOOKUP(I4,[6]stage_hints!$A:$C,3,FALSE)</f>
        <v>メタルダックで経験値を獲得</v>
      </c>
      <c r="L4" s="91" t="str">
        <f>VLOOKUP(I4,[6]stage_hints!$A:$D,4,FALSE)</f>
        <v>「メタルなアヒル」を強化素材にすると_x000D_大量の経験値がもらえます</v>
      </c>
      <c r="M4" s="57" t="s">
        <v>209</v>
      </c>
    </row>
    <row r="5" spans="1:13" x14ac:dyDescent="0.15">
      <c r="A5" s="78" t="s">
        <v>199</v>
      </c>
      <c r="B5" s="79">
        <f>floors!$C$2</f>
        <v>30046</v>
      </c>
      <c r="C5" s="80" t="str">
        <f ca="1">VLOOKUP($B5,OFFSET([2]quests!$A$1,0,0,COUNTA([2]quests!$A:$A),MATCH(C$1,[2]quests!$1:$1,0)-MATCH($B$1,[2]quests!$1:$1,0)+1),MATCH(C$1,[2]quests!$1:$1,0)-MATCH($B$1,[2]quests!$1:$1,0)+1,FALSE)</f>
        <v>千利の道も一歩から！</v>
      </c>
      <c r="D5" s="80" t="str">
        <f ca="1">VLOOKUP($B5,OFFSET([2]quests!$A$1,0,0,COUNTA([2]quests!$A:$A),MATCH(D$1,[2]quests!$1:$1,0)-MATCH($B$1,[2]quests!$1:$1,0)+1),MATCH(D$1,[2]quests!$1:$1,0)-MATCH($B$1,[2]quests!$1:$1,0)+1,FALSE)</f>
        <v>戦国シリーズ第二弾　超級</v>
      </c>
      <c r="E5" s="84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戦国シリーズ第二弾　超級</v>
      </c>
      <c r="H5" s="82">
        <v>0</v>
      </c>
      <c r="I5">
        <v>8</v>
      </c>
      <c r="J5" s="81" t="s">
        <v>196</v>
      </c>
      <c r="K5" s="90" t="str">
        <f>VLOOKUP(I5,[6]stage_hints!$A:$C,3,FALSE)</f>
        <v>ゲリラクエストは要チェック</v>
      </c>
      <c r="L5" s="91" t="str">
        <f>VLOOKUP(I5,[6]stage_hints!$A:$D,4,FALSE)</f>
        <v>時間限定の「アヒル捕獲作戦」では_x000D_経験値素材ユニットが多く手に入ります</v>
      </c>
      <c r="M5" s="57" t="s">
        <v>209</v>
      </c>
    </row>
    <row r="6" spans="1:13" x14ac:dyDescent="0.15">
      <c r="A6" s="78" t="s">
        <v>199</v>
      </c>
      <c r="B6" s="79">
        <f>floors!$C$2</f>
        <v>30046</v>
      </c>
      <c r="C6" s="80" t="str">
        <f ca="1">VLOOKUP($B6,OFFSET([2]quests!$A$1,0,0,COUNTA([2]quests!$A:$A),MATCH(C$1,[2]quests!$1:$1,0)-MATCH($B$1,[2]quests!$1:$1,0)+1),MATCH(C$1,[2]quests!$1:$1,0)-MATCH($B$1,[2]quests!$1:$1,0)+1,FALSE)</f>
        <v>千利の道も一歩から！</v>
      </c>
      <c r="D6" s="80" t="str">
        <f ca="1">VLOOKUP($B6,OFFSET([2]quests!$A$1,0,0,COUNTA([2]quests!$A:$A),MATCH(D$1,[2]quests!$1:$1,0)-MATCH($B$1,[2]quests!$1:$1,0)+1),MATCH(D$1,[2]quests!$1:$1,0)-MATCH($B$1,[2]quests!$1:$1,0)+1,FALSE)</f>
        <v>戦国シリーズ第二弾　超級</v>
      </c>
      <c r="E6" s="84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戦国シリーズ第二弾　超級</v>
      </c>
      <c r="H6" s="82">
        <v>0</v>
      </c>
      <c r="I6">
        <v>9</v>
      </c>
      <c r="J6" s="81" t="s">
        <v>196</v>
      </c>
      <c r="K6" s="90" t="str">
        <f>VLOOKUP(I6,[6]stage_hints!$A:$C,3,FALSE)</f>
        <v>ゴールドダックでビットを獲得</v>
      </c>
      <c r="L6" s="91" t="str">
        <f>VLOOKUP(I6,[6]stage_hints!$A:$D,4,FALSE)</f>
        <v>「ゴールドなアヒル」を売却すると_x000D_大量のビットがもらえます</v>
      </c>
      <c r="M6" s="57" t="s">
        <v>209</v>
      </c>
    </row>
    <row r="7" spans="1:13" x14ac:dyDescent="0.15">
      <c r="A7" s="78" t="s">
        <v>199</v>
      </c>
      <c r="B7" s="79">
        <f>floors!$C$2</f>
        <v>30046</v>
      </c>
      <c r="C7" s="80" t="str">
        <f ca="1">VLOOKUP($B7,OFFSET([2]quests!$A$1,0,0,COUNTA([2]quests!$A:$A),MATCH(C$1,[2]quests!$1:$1,0)-MATCH($B$1,[2]quests!$1:$1,0)+1),MATCH(C$1,[2]quests!$1:$1,0)-MATCH($B$1,[2]quests!$1:$1,0)+1,FALSE)</f>
        <v>千利の道も一歩から！</v>
      </c>
      <c r="D7" s="80" t="str">
        <f ca="1">VLOOKUP($B7,OFFSET([2]quests!$A$1,0,0,COUNTA([2]quests!$A:$A),MATCH(D$1,[2]quests!$1:$1,0)-MATCH($B$1,[2]quests!$1:$1,0)+1),MATCH(D$1,[2]quests!$1:$1,0)-MATCH($B$1,[2]quests!$1:$1,0)+1,FALSE)</f>
        <v>戦国シリーズ第二弾　超級</v>
      </c>
      <c r="E7" s="84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戦国シリーズ第二弾　超級</v>
      </c>
      <c r="H7" s="82">
        <v>0</v>
      </c>
      <c r="I7">
        <v>10</v>
      </c>
      <c r="J7" s="81" t="s">
        <v>196</v>
      </c>
      <c r="K7" s="90" t="str">
        <f>VLOOKUP(I7,[6]stage_hints!$A:$C,3,FALSE)</f>
        <v>土日に大量のビットを獲得</v>
      </c>
      <c r="L7" s="91" t="str">
        <f>VLOOKUP(I7,[6]stage_hints!$A:$D,4,FALSE)</f>
        <v>土日限定の「ゴールドカジノ」では_x000D_売却素材ユニットが多く手に入ります</v>
      </c>
      <c r="M7" s="57" t="s">
        <v>209</v>
      </c>
    </row>
    <row r="8" spans="1:13" x14ac:dyDescent="0.15">
      <c r="A8" s="78" t="s">
        <v>199</v>
      </c>
      <c r="B8" s="79">
        <f>floors!$C$2</f>
        <v>30046</v>
      </c>
      <c r="C8" s="80" t="str">
        <f ca="1">VLOOKUP($B8,OFFSET([2]quests!$A$1,0,0,COUNTA([2]quests!$A:$A),MATCH(C$1,[2]quests!$1:$1,0)-MATCH($B$1,[2]quests!$1:$1,0)+1),MATCH(C$1,[2]quests!$1:$1,0)-MATCH($B$1,[2]quests!$1:$1,0)+1,FALSE)</f>
        <v>千利の道も一歩から！</v>
      </c>
      <c r="D8" s="80" t="str">
        <f ca="1">VLOOKUP($B8,OFFSET([2]quests!$A$1,0,0,COUNTA([2]quests!$A:$A),MATCH(D$1,[2]quests!$1:$1,0)-MATCH($B$1,[2]quests!$1:$1,0)+1),MATCH(D$1,[2]quests!$1:$1,0)-MATCH($B$1,[2]quests!$1:$1,0)+1,FALSE)</f>
        <v>戦国シリーズ第二弾　超級</v>
      </c>
      <c r="E8" s="84">
        <v>1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戦国シリーズ第二弾　超級</v>
      </c>
      <c r="H8" s="82">
        <v>0</v>
      </c>
      <c r="I8">
        <v>11</v>
      </c>
      <c r="J8" s="81" t="s">
        <v>196</v>
      </c>
      <c r="K8" s="90" t="str">
        <f>VLOOKUP(I8,[6]stage_hints!$A:$C,3,FALSE)</f>
        <v>ランク解放クエスト</v>
      </c>
      <c r="L8" s="91" t="str">
        <f>VLOOKUP(I8,[6]stage_hints!$A:$D,4,FALSE)</f>
        <v>一定ランクに到達すると_x000D_報酬付きのランク開放クエストが現れます</v>
      </c>
      <c r="M8" s="57" t="s">
        <v>209</v>
      </c>
    </row>
    <row r="9" spans="1:13" x14ac:dyDescent="0.15">
      <c r="A9" s="78" t="s">
        <v>199</v>
      </c>
      <c r="B9" s="79">
        <f>floors!$C$2</f>
        <v>30046</v>
      </c>
      <c r="C9" s="80" t="str">
        <f ca="1">VLOOKUP($B9,OFFSET([2]quests!$A$1,0,0,COUNTA([2]quests!$A:$A),MATCH(C$1,[2]quests!$1:$1,0)-MATCH($B$1,[2]quests!$1:$1,0)+1),MATCH(C$1,[2]quests!$1:$1,0)-MATCH($B$1,[2]quests!$1:$1,0)+1,FALSE)</f>
        <v>千利の道も一歩から！</v>
      </c>
      <c r="D9" s="80" t="str">
        <f ca="1">VLOOKUP($B9,OFFSET([2]quests!$A$1,0,0,COUNTA([2]quests!$A:$A),MATCH(D$1,[2]quests!$1:$1,0)-MATCH($B$1,[2]quests!$1:$1,0)+1),MATCH(D$1,[2]quests!$1:$1,0)-MATCH($B$1,[2]quests!$1:$1,0)+1,FALSE)</f>
        <v>戦国シリーズ第二弾　超級</v>
      </c>
      <c r="E9" s="84">
        <v>1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戦国シリーズ第二弾　超級</v>
      </c>
      <c r="H9" s="82">
        <v>0</v>
      </c>
      <c r="I9">
        <v>12</v>
      </c>
      <c r="J9" s="81" t="s">
        <v>196</v>
      </c>
      <c r="K9" s="90" t="str">
        <f>VLOOKUP(I9,[6]stage_hints!$A:$C,3,FALSE)</f>
        <v>ユニットのお気に入り登録</v>
      </c>
      <c r="L9" s="91" t="str">
        <f>VLOOKUP(I9,[6]stage_hints!$A:$D,4,FALSE)</f>
        <v>大事なユニットを誤って消さないように_x000D_フォルダから「お気に入り登録」しましょう</v>
      </c>
      <c r="M9" s="57" t="s">
        <v>209</v>
      </c>
    </row>
    <row r="10" spans="1:13" x14ac:dyDescent="0.15">
      <c r="A10" s="78" t="s">
        <v>199</v>
      </c>
      <c r="B10" s="79">
        <f>floors!$C$2</f>
        <v>30046</v>
      </c>
      <c r="C10" s="80" t="str">
        <f ca="1">VLOOKUP($B10,OFFSET([2]quests!$A$1,0,0,COUNTA([2]quests!$A:$A),MATCH(C$1,[2]quests!$1:$1,0)-MATCH($B$1,[2]quests!$1:$1,0)+1),MATCH(C$1,[2]quests!$1:$1,0)-MATCH($B$1,[2]quests!$1:$1,0)+1,FALSE)</f>
        <v>千利の道も一歩から！</v>
      </c>
      <c r="D10" s="80" t="str">
        <f ca="1">VLOOKUP($B10,OFFSET([2]quests!$A$1,0,0,COUNTA([2]quests!$A:$A),MATCH(D$1,[2]quests!$1:$1,0)-MATCH($B$1,[2]quests!$1:$1,0)+1),MATCH(D$1,[2]quests!$1:$1,0)-MATCH($B$1,[2]quests!$1:$1,0)+1,FALSE)</f>
        <v>戦国シリーズ第二弾　超級</v>
      </c>
      <c r="E10" s="84">
        <v>1</v>
      </c>
      <c r="F10" s="80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10" s="80" t="str">
        <f ca="1">VLOOKUP($B10&amp;"_"&amp;$E10,OFFSET([2]stages!$A$1,0,0,COUNTA([2]stages!$A:$A),MATCH(G$1,[2]stages!$2:$2,0)-MATCH("temp_stage",[2]stages!$2:$2,0)+1),MATCH(G$1,[2]stages!$2:$2,0)-MATCH("temp_stage",[2]stages!$2:$2,0)+1,FALSE)</f>
        <v>戦国シリーズ第二弾　超級</v>
      </c>
      <c r="H10" s="82">
        <v>0</v>
      </c>
      <c r="I10">
        <v>13</v>
      </c>
      <c r="J10" s="81" t="s">
        <v>196</v>
      </c>
      <c r="K10" s="90" t="str">
        <f>VLOOKUP(I10,[6]stage_hints!$A:$C,3,FALSE)</f>
        <v>ユニットの覚醒</v>
      </c>
      <c r="L10" s="91" t="str">
        <f>VLOOKUP(I10,[6]stage_hints!$A:$D,4,FALSE)</f>
        <v>ユニットを覚醒させると_x000D_比べものにならない強さが手に入ります</v>
      </c>
      <c r="M10" s="57" t="s">
        <v>209</v>
      </c>
    </row>
    <row r="11" spans="1:13" x14ac:dyDescent="0.15">
      <c r="A11" s="78" t="s">
        <v>199</v>
      </c>
      <c r="B11" s="79">
        <f>floors!$C$2</f>
        <v>30046</v>
      </c>
      <c r="C11" s="80" t="str">
        <f ca="1">VLOOKUP($B11,OFFSET([2]quests!$A$1,0,0,COUNTA([2]quests!$A:$A),MATCH(C$1,[2]quests!$1:$1,0)-MATCH($B$1,[2]quests!$1:$1,0)+1),MATCH(C$1,[2]quests!$1:$1,0)-MATCH($B$1,[2]quests!$1:$1,0)+1,FALSE)</f>
        <v>千利の道も一歩から！</v>
      </c>
      <c r="D11" s="80" t="str">
        <f ca="1">VLOOKUP($B11,OFFSET([2]quests!$A$1,0,0,COUNTA([2]quests!$A:$A),MATCH(D$1,[2]quests!$1:$1,0)-MATCH($B$1,[2]quests!$1:$1,0)+1),MATCH(D$1,[2]quests!$1:$1,0)-MATCH($B$1,[2]quests!$1:$1,0)+1,FALSE)</f>
        <v>戦国シリーズ第二弾　超級</v>
      </c>
      <c r="E11" s="84">
        <v>1</v>
      </c>
      <c r="F11" s="80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11" s="80" t="str">
        <f ca="1">VLOOKUP($B11&amp;"_"&amp;$E11,OFFSET([2]stages!$A$1,0,0,COUNTA([2]stages!$A:$A),MATCH(G$1,[2]stages!$2:$2,0)-MATCH("temp_stage",[2]stages!$2:$2,0)+1),MATCH(G$1,[2]stages!$2:$2,0)-MATCH("temp_stage",[2]stages!$2:$2,0)+1,FALSE)</f>
        <v>戦国シリーズ第二弾　超級</v>
      </c>
      <c r="H11" s="82">
        <v>0</v>
      </c>
      <c r="I11">
        <v>14</v>
      </c>
      <c r="J11" s="81" t="s">
        <v>196</v>
      </c>
      <c r="K11" s="90" t="str">
        <f>VLOOKUP(I11,[6]stage_hints!$A:$C,3,FALSE)</f>
        <v>覚醒するにはレベルを最大に</v>
      </c>
      <c r="L11" s="91" t="str">
        <f>VLOOKUP(I11,[6]stage_hints!$A:$D,4,FALSE)</f>
        <v>覚醒するにはユニットのレベルを_x000D_最大まで上げる必要があります</v>
      </c>
      <c r="M11" s="57" t="s">
        <v>209</v>
      </c>
    </row>
    <row r="12" spans="1:13" x14ac:dyDescent="0.15">
      <c r="A12" s="78" t="s">
        <v>199</v>
      </c>
      <c r="B12" s="79">
        <f>floors!$C$2</f>
        <v>30046</v>
      </c>
      <c r="C12" s="80" t="str">
        <f ca="1">VLOOKUP($B12,OFFSET([2]quests!$A$1,0,0,COUNTA([2]quests!$A:$A),MATCH(C$1,[2]quests!$1:$1,0)-MATCH($B$1,[2]quests!$1:$1,0)+1),MATCH(C$1,[2]quests!$1:$1,0)-MATCH($B$1,[2]quests!$1:$1,0)+1,FALSE)</f>
        <v>千利の道も一歩から！</v>
      </c>
      <c r="D12" s="80" t="str">
        <f ca="1">VLOOKUP($B12,OFFSET([2]quests!$A$1,0,0,COUNTA([2]quests!$A:$A),MATCH(D$1,[2]quests!$1:$1,0)-MATCH($B$1,[2]quests!$1:$1,0)+1),MATCH(D$1,[2]quests!$1:$1,0)-MATCH($B$1,[2]quests!$1:$1,0)+1,FALSE)</f>
        <v>戦国シリーズ第二弾　超級</v>
      </c>
      <c r="E12" s="84">
        <v>1</v>
      </c>
      <c r="F12" s="80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12" s="80" t="str">
        <f ca="1">VLOOKUP($B12&amp;"_"&amp;$E12,OFFSET([2]stages!$A$1,0,0,COUNTA([2]stages!$A:$A),MATCH(G$1,[2]stages!$2:$2,0)-MATCH("temp_stage",[2]stages!$2:$2,0)+1),MATCH(G$1,[2]stages!$2:$2,0)-MATCH("temp_stage",[2]stages!$2:$2,0)+1,FALSE)</f>
        <v>戦国シリーズ第二弾　超級</v>
      </c>
      <c r="H12" s="82">
        <v>0</v>
      </c>
      <c r="I12">
        <v>15</v>
      </c>
      <c r="J12" s="81" t="s">
        <v>196</v>
      </c>
      <c r="K12" s="90" t="str">
        <f>VLOOKUP(I12,[6]stage_hints!$A:$C,3,FALSE)</f>
        <v>覚醒素材を獲得</v>
      </c>
      <c r="L12" s="91" t="str">
        <f>VLOOKUP(I12,[6]stage_hints!$A:$D,4,FALSE)</f>
        <v>「曜日クエスト」では_x000D_ユニットの覚醒に必要な素材が手に入ります</v>
      </c>
      <c r="M12" s="57" t="s">
        <v>209</v>
      </c>
    </row>
    <row r="13" spans="1:13" x14ac:dyDescent="0.15">
      <c r="A13" s="78" t="s">
        <v>199</v>
      </c>
      <c r="B13" s="79">
        <f>floors!$C$2</f>
        <v>30046</v>
      </c>
      <c r="C13" s="80" t="str">
        <f ca="1">VLOOKUP($B13,OFFSET([2]quests!$A$1,0,0,COUNTA([2]quests!$A:$A),MATCH(C$1,[2]quests!$1:$1,0)-MATCH($B$1,[2]quests!$1:$1,0)+1),MATCH(C$1,[2]quests!$1:$1,0)-MATCH($B$1,[2]quests!$1:$1,0)+1,FALSE)</f>
        <v>千利の道も一歩から！</v>
      </c>
      <c r="D13" s="80" t="str">
        <f ca="1">VLOOKUP($B13,OFFSET([2]quests!$A$1,0,0,COUNTA([2]quests!$A:$A),MATCH(D$1,[2]quests!$1:$1,0)-MATCH($B$1,[2]quests!$1:$1,0)+1),MATCH(D$1,[2]quests!$1:$1,0)-MATCH($B$1,[2]quests!$1:$1,0)+1,FALSE)</f>
        <v>戦国シリーズ第二弾　超級</v>
      </c>
      <c r="E13" s="84">
        <v>1</v>
      </c>
      <c r="F13" s="80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13" s="80" t="str">
        <f ca="1">VLOOKUP($B13&amp;"_"&amp;$E13,OFFSET([2]stages!$A$1,0,0,COUNTA([2]stages!$A:$A),MATCH(G$1,[2]stages!$2:$2,0)-MATCH("temp_stage",[2]stages!$2:$2,0)+1),MATCH(G$1,[2]stages!$2:$2,0)-MATCH("temp_stage",[2]stages!$2:$2,0)+1,FALSE)</f>
        <v>戦国シリーズ第二弾　超級</v>
      </c>
      <c r="H13" s="82">
        <v>0</v>
      </c>
      <c r="I13">
        <v>16</v>
      </c>
      <c r="J13" s="81" t="s">
        <v>196</v>
      </c>
      <c r="K13" s="90" t="str">
        <f>VLOOKUP(I13,[6]stage_hints!$A:$C,3,FALSE)</f>
        <v>マルチプレイのメリット（その1）</v>
      </c>
      <c r="L13" s="91" t="str">
        <f>VLOOKUP(I13,[6]stage_hints!$A:$D,4,FALSE)</f>
        <v>他のプレイヤーとマルチプレイで遊ぶと_x000D_ポリゴンがもらえます（100人まで）</v>
      </c>
      <c r="M13" s="57" t="s">
        <v>209</v>
      </c>
    </row>
    <row r="14" spans="1:13" x14ac:dyDescent="0.15">
      <c r="A14" s="78" t="s">
        <v>199</v>
      </c>
      <c r="B14" s="79">
        <f>floors!$C$2</f>
        <v>30046</v>
      </c>
      <c r="C14" s="80" t="str">
        <f ca="1">VLOOKUP($B14,OFFSET([2]quests!$A$1,0,0,COUNTA([2]quests!$A:$A),MATCH(C$1,[2]quests!$1:$1,0)-MATCH($B$1,[2]quests!$1:$1,0)+1),MATCH(C$1,[2]quests!$1:$1,0)-MATCH($B$1,[2]quests!$1:$1,0)+1,FALSE)</f>
        <v>千利の道も一歩から！</v>
      </c>
      <c r="D14" s="80" t="str">
        <f ca="1">VLOOKUP($B14,OFFSET([2]quests!$A$1,0,0,COUNTA([2]quests!$A:$A),MATCH(D$1,[2]quests!$1:$1,0)-MATCH($B$1,[2]quests!$1:$1,0)+1),MATCH(D$1,[2]quests!$1:$1,0)-MATCH($B$1,[2]quests!$1:$1,0)+1,FALSE)</f>
        <v>戦国シリーズ第二弾　超級</v>
      </c>
      <c r="E14" s="84">
        <v>1</v>
      </c>
      <c r="F14" s="80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14" s="80" t="str">
        <f ca="1">VLOOKUP($B14&amp;"_"&amp;$E14,OFFSET([2]stages!$A$1,0,0,COUNTA([2]stages!$A:$A),MATCH(G$1,[2]stages!$2:$2,0)-MATCH("temp_stage",[2]stages!$2:$2,0)+1),MATCH(G$1,[2]stages!$2:$2,0)-MATCH("temp_stage",[2]stages!$2:$2,0)+1,FALSE)</f>
        <v>戦国シリーズ第二弾　超級</v>
      </c>
      <c r="H14" s="82">
        <v>0</v>
      </c>
      <c r="I14">
        <v>17</v>
      </c>
      <c r="J14" s="81" t="s">
        <v>196</v>
      </c>
      <c r="K14" s="90" t="str">
        <f>VLOOKUP(I14,[6]stage_hints!$A:$C,3,FALSE)</f>
        <v>リンクガチャ</v>
      </c>
      <c r="L14" s="91" t="str">
        <f>VLOOKUP(I14,[6]stage_hints!$A:$D,4,FALSE)</f>
        <v>無料のリンクガチャを回して_x000D_経験値素材や売却素材を獲得しましょう</v>
      </c>
      <c r="M14" s="57" t="s">
        <v>209</v>
      </c>
    </row>
    <row r="15" spans="1:13" x14ac:dyDescent="0.15">
      <c r="A15" s="78" t="s">
        <v>199</v>
      </c>
      <c r="B15" s="79">
        <f>floors!$C$2</f>
        <v>30046</v>
      </c>
      <c r="C15" s="80" t="str">
        <f ca="1">VLOOKUP($B15,OFFSET([2]quests!$A$1,0,0,COUNTA([2]quests!$A:$A),MATCH(C$1,[2]quests!$1:$1,0)-MATCH($B$1,[2]quests!$1:$1,0)+1),MATCH(C$1,[2]quests!$1:$1,0)-MATCH($B$1,[2]quests!$1:$1,0)+1,FALSE)</f>
        <v>千利の道も一歩から！</v>
      </c>
      <c r="D15" s="80" t="str">
        <f ca="1">VLOOKUP($B15,OFFSET([2]quests!$A$1,0,0,COUNTA([2]quests!$A:$A),MATCH(D$1,[2]quests!$1:$1,0)-MATCH($B$1,[2]quests!$1:$1,0)+1),MATCH(D$1,[2]quests!$1:$1,0)-MATCH($B$1,[2]quests!$1:$1,0)+1,FALSE)</f>
        <v>戦国シリーズ第二弾　超級</v>
      </c>
      <c r="E15" s="84">
        <v>1</v>
      </c>
      <c r="F15" s="80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15" s="80" t="str">
        <f ca="1">VLOOKUP($B15&amp;"_"&amp;$E15,OFFSET([2]stages!$A$1,0,0,COUNTA([2]stages!$A:$A),MATCH(G$1,[2]stages!$2:$2,0)-MATCH("temp_stage",[2]stages!$2:$2,0)+1),MATCH(G$1,[2]stages!$2:$2,0)-MATCH("temp_stage",[2]stages!$2:$2,0)+1,FALSE)</f>
        <v>戦国シリーズ第二弾　超級</v>
      </c>
      <c r="H15" s="82">
        <v>0</v>
      </c>
      <c r="I15">
        <v>18</v>
      </c>
      <c r="J15" s="81" t="s">
        <v>196</v>
      </c>
      <c r="K15" s="90" t="str">
        <f>VLOOKUP(I15,[6]stage_hints!$A:$C,3,FALSE)</f>
        <v>マルチプレイのメリット（その2）</v>
      </c>
      <c r="L15" s="91" t="str">
        <f>VLOOKUP(I15,[6]stage_hints!$A:$D,4,FALSE)</f>
        <v>マルチプレイならリンクが2倍もらえます_x000D_リンクガチャをたくさん回しましょう</v>
      </c>
      <c r="M15" s="57" t="s">
        <v>209</v>
      </c>
    </row>
    <row r="16" spans="1:13" x14ac:dyDescent="0.15">
      <c r="A16" s="78" t="s">
        <v>199</v>
      </c>
      <c r="B16" s="79">
        <f>floors!$C$2</f>
        <v>30046</v>
      </c>
      <c r="C16" s="80" t="str">
        <f ca="1">VLOOKUP($B16,OFFSET([2]quests!$A$1,0,0,COUNTA([2]quests!$A:$A),MATCH(C$1,[2]quests!$1:$1,0)-MATCH($B$1,[2]quests!$1:$1,0)+1),MATCH(C$1,[2]quests!$1:$1,0)-MATCH($B$1,[2]quests!$1:$1,0)+1,FALSE)</f>
        <v>千利の道も一歩から！</v>
      </c>
      <c r="D16" s="80" t="str">
        <f ca="1">VLOOKUP($B16,OFFSET([2]quests!$A$1,0,0,COUNTA([2]quests!$A:$A),MATCH(D$1,[2]quests!$1:$1,0)-MATCH($B$1,[2]quests!$1:$1,0)+1),MATCH(D$1,[2]quests!$1:$1,0)-MATCH($B$1,[2]quests!$1:$1,0)+1,FALSE)</f>
        <v>戦国シリーズ第二弾　超級</v>
      </c>
      <c r="E16" s="84">
        <v>1</v>
      </c>
      <c r="F16" s="80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16" s="80" t="str">
        <f ca="1">VLOOKUP($B16&amp;"_"&amp;$E16,OFFSET([2]stages!$A$1,0,0,COUNTA([2]stages!$A:$A),MATCH(G$1,[2]stages!$2:$2,0)-MATCH("temp_stage",[2]stages!$2:$2,0)+1),MATCH(G$1,[2]stages!$2:$2,0)-MATCH("temp_stage",[2]stages!$2:$2,0)+1,FALSE)</f>
        <v>戦国シリーズ第二弾　超級</v>
      </c>
      <c r="H16" s="82">
        <v>0</v>
      </c>
      <c r="I16">
        <v>19</v>
      </c>
      <c r="J16" s="81" t="s">
        <v>196</v>
      </c>
      <c r="K16" s="90" t="str">
        <f>VLOOKUP(I16,[6]stage_hints!$A:$C,3,FALSE)</f>
        <v>ソロ専用タワーオブザクイーン</v>
      </c>
      <c r="L16" s="91" t="str">
        <f>VLOOKUP(I16,[6]stage_hints!$A:$D,4,FALSE)</f>
        <v>ソロ専用の「タワーオブザクイーン」は_x000D_期間限定で定期的に開催されます_x000D_ここでしか獲得できない報酬もあるようです</v>
      </c>
      <c r="M16" s="57" t="s">
        <v>209</v>
      </c>
    </row>
    <row r="17" spans="1:13" x14ac:dyDescent="0.15">
      <c r="A17" s="78" t="s">
        <v>199</v>
      </c>
      <c r="B17" s="79">
        <f>floors!$C$2</f>
        <v>30046</v>
      </c>
      <c r="C17" s="80" t="str">
        <f ca="1">VLOOKUP($B17,OFFSET([2]quests!$A$1,0,0,COUNTA([2]quests!$A:$A),MATCH(C$1,[2]quests!$1:$1,0)-MATCH($B$1,[2]quests!$1:$1,0)+1),MATCH(C$1,[2]quests!$1:$1,0)-MATCH($B$1,[2]quests!$1:$1,0)+1,FALSE)</f>
        <v>千利の道も一歩から！</v>
      </c>
      <c r="D17" s="80" t="str">
        <f ca="1">VLOOKUP($B17,OFFSET([2]quests!$A$1,0,0,COUNTA([2]quests!$A:$A),MATCH(D$1,[2]quests!$1:$1,0)-MATCH($B$1,[2]quests!$1:$1,0)+1),MATCH(D$1,[2]quests!$1:$1,0)-MATCH($B$1,[2]quests!$1:$1,0)+1,FALSE)</f>
        <v>戦国シリーズ第二弾　超級</v>
      </c>
      <c r="E17" s="84">
        <v>1</v>
      </c>
      <c r="F17" s="80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17" s="80" t="str">
        <f ca="1">VLOOKUP($B17&amp;"_"&amp;$E17,OFFSET([2]stages!$A$1,0,0,COUNTA([2]stages!$A:$A),MATCH(G$1,[2]stages!$2:$2,0)-MATCH("temp_stage",[2]stages!$2:$2,0)+1),MATCH(G$1,[2]stages!$2:$2,0)-MATCH("temp_stage",[2]stages!$2:$2,0)+1,FALSE)</f>
        <v>戦国シリーズ第二弾　超級</v>
      </c>
      <c r="H17" s="82">
        <v>0</v>
      </c>
      <c r="I17">
        <v>20</v>
      </c>
      <c r="J17" s="81" t="s">
        <v>196</v>
      </c>
      <c r="K17" s="90" t="str">
        <f>VLOOKUP(I17,[6]stage_hints!$A:$C,3,FALSE)</f>
        <v>マルチプレイのメリット（その3）</v>
      </c>
      <c r="L17" s="91" t="str">
        <f>VLOOKUP(I17,[6]stage_hints!$A:$D,4,FALSE)</f>
        <v>マルチプレイへの参加はエナジー消費ゼロ_x000D_いつでも好きなだけ遊ぶことができます</v>
      </c>
      <c r="M17" s="57" t="s">
        <v>209</v>
      </c>
    </row>
    <row r="18" spans="1:13" x14ac:dyDescent="0.15">
      <c r="A18" s="78" t="s">
        <v>199</v>
      </c>
      <c r="B18" s="79">
        <f>floors!$C$2</f>
        <v>30046</v>
      </c>
      <c r="C18" s="80" t="str">
        <f ca="1">VLOOKUP($B18,OFFSET([2]quests!$A$1,0,0,COUNTA([2]quests!$A:$A),MATCH(C$1,[2]quests!$1:$1,0)-MATCH($B$1,[2]quests!$1:$1,0)+1),MATCH(C$1,[2]quests!$1:$1,0)-MATCH($B$1,[2]quests!$1:$1,0)+1,FALSE)</f>
        <v>千利の道も一歩から！</v>
      </c>
      <c r="D18" s="80" t="str">
        <f ca="1">VLOOKUP($B18,OFFSET([2]quests!$A$1,0,0,COUNTA([2]quests!$A:$A),MATCH(D$1,[2]quests!$1:$1,0)-MATCH($B$1,[2]quests!$1:$1,0)+1),MATCH(D$1,[2]quests!$1:$1,0)-MATCH($B$1,[2]quests!$1:$1,0)+1,FALSE)</f>
        <v>戦国シリーズ第二弾　超級</v>
      </c>
      <c r="E18" s="84">
        <v>1</v>
      </c>
      <c r="F18" s="80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18" s="80" t="str">
        <f ca="1">VLOOKUP($B18&amp;"_"&amp;$E18,OFFSET([2]stages!$A$1,0,0,COUNTA([2]stages!$A:$A),MATCH(G$1,[2]stages!$2:$2,0)-MATCH("temp_stage",[2]stages!$2:$2,0)+1),MATCH(G$1,[2]stages!$2:$2,0)-MATCH("temp_stage",[2]stages!$2:$2,0)+1,FALSE)</f>
        <v>戦国シリーズ第二弾　超級</v>
      </c>
      <c r="H18" s="82">
        <v>0</v>
      </c>
      <c r="I18">
        <v>21</v>
      </c>
      <c r="J18" s="81" t="s">
        <v>196</v>
      </c>
      <c r="K18" s="90" t="str">
        <f>VLOOKUP(I18,[6]stage_hints!$A:$C,3,FALSE)</f>
        <v>スキルを有効に</v>
      </c>
      <c r="L18" s="91" t="str">
        <f>VLOOKUP(I18,[6]stage_hints!$A:$D,4,FALSE)</f>
        <v>ターン経過でユニットのスキルが使えます_x000D_強力スキルでバトルを有利に進めましょう</v>
      </c>
      <c r="M18" s="57" t="s">
        <v>209</v>
      </c>
    </row>
    <row r="19" spans="1:13" x14ac:dyDescent="0.15">
      <c r="A19" s="78" t="s">
        <v>199</v>
      </c>
      <c r="B19" s="79">
        <f>floors!$C$2</f>
        <v>30046</v>
      </c>
      <c r="C19" s="80" t="str">
        <f ca="1">VLOOKUP($B19,OFFSET([2]quests!$A$1,0,0,COUNTA([2]quests!$A:$A),MATCH(C$1,[2]quests!$1:$1,0)-MATCH($B$1,[2]quests!$1:$1,0)+1),MATCH(C$1,[2]quests!$1:$1,0)-MATCH($B$1,[2]quests!$1:$1,0)+1,FALSE)</f>
        <v>千利の道も一歩から！</v>
      </c>
      <c r="D19" s="80" t="str">
        <f ca="1">VLOOKUP($B19,OFFSET([2]quests!$A$1,0,0,COUNTA([2]quests!$A:$A),MATCH(D$1,[2]quests!$1:$1,0)-MATCH($B$1,[2]quests!$1:$1,0)+1),MATCH(D$1,[2]quests!$1:$1,0)-MATCH($B$1,[2]quests!$1:$1,0)+1,FALSE)</f>
        <v>戦国シリーズ第二弾　超級</v>
      </c>
      <c r="E19" s="84">
        <v>1</v>
      </c>
      <c r="F19" s="80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19" s="80" t="str">
        <f ca="1">VLOOKUP($B19&amp;"_"&amp;$E19,OFFSET([2]stages!$A$1,0,0,COUNTA([2]stages!$A:$A),MATCH(G$1,[2]stages!$2:$2,0)-MATCH("temp_stage",[2]stages!$2:$2,0)+1),MATCH(G$1,[2]stages!$2:$2,0)-MATCH("temp_stage",[2]stages!$2:$2,0)+1,FALSE)</f>
        <v>戦国シリーズ第二弾　超級</v>
      </c>
      <c r="H19" s="82">
        <v>0</v>
      </c>
      <c r="I19">
        <v>22</v>
      </c>
      <c r="J19" s="81" t="s">
        <v>196</v>
      </c>
      <c r="K19" s="90" t="str">
        <f>VLOOKUP(I19,[6]stage_hints!$A:$C,3,FALSE)</f>
        <v>フィーバーで一発逆転（その1）</v>
      </c>
      <c r="L19" s="91" t="str">
        <f>VLOOKUP(I19,[6]stage_hints!$A:$D,4,FALSE)</f>
        <v>フィーバーは攻撃と回復を兼ね備えます_x000D_ピンチからの一発逆転を狙いましょう</v>
      </c>
      <c r="M19" s="57" t="s">
        <v>209</v>
      </c>
    </row>
    <row r="20" spans="1:13" x14ac:dyDescent="0.15">
      <c r="A20" s="78" t="s">
        <v>199</v>
      </c>
      <c r="B20" s="79">
        <f>floors!$C$2</f>
        <v>30046</v>
      </c>
      <c r="C20" s="80" t="str">
        <f ca="1">VLOOKUP($B20,OFFSET([2]quests!$A$1,0,0,COUNTA([2]quests!$A:$A),MATCH(C$1,[2]quests!$1:$1,0)-MATCH($B$1,[2]quests!$1:$1,0)+1),MATCH(C$1,[2]quests!$1:$1,0)-MATCH($B$1,[2]quests!$1:$1,0)+1,FALSE)</f>
        <v>千利の道も一歩から！</v>
      </c>
      <c r="D20" s="80" t="str">
        <f ca="1">VLOOKUP($B20,OFFSET([2]quests!$A$1,0,0,COUNTA([2]quests!$A:$A),MATCH(D$1,[2]quests!$1:$1,0)-MATCH($B$1,[2]quests!$1:$1,0)+1),MATCH(D$1,[2]quests!$1:$1,0)-MATCH($B$1,[2]quests!$1:$1,0)+1,FALSE)</f>
        <v>戦国シリーズ第二弾　超級</v>
      </c>
      <c r="E20" s="84">
        <v>1</v>
      </c>
      <c r="F20" s="80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20" s="80" t="str">
        <f ca="1">VLOOKUP($B20&amp;"_"&amp;$E20,OFFSET([2]stages!$A$1,0,0,COUNTA([2]stages!$A:$A),MATCH(G$1,[2]stages!$2:$2,0)-MATCH("temp_stage",[2]stages!$2:$2,0)+1),MATCH(G$1,[2]stages!$2:$2,0)-MATCH("temp_stage",[2]stages!$2:$2,0)+1,FALSE)</f>
        <v>戦国シリーズ第二弾　超級</v>
      </c>
      <c r="H20" s="82">
        <v>0</v>
      </c>
      <c r="I20">
        <v>23</v>
      </c>
      <c r="J20" s="81" t="s">
        <v>196</v>
      </c>
      <c r="K20" s="90" t="str">
        <f>VLOOKUP(I20,[6]stage_hints!$A:$C,3,FALSE)</f>
        <v>フィーバーで一発逆転（その2）</v>
      </c>
      <c r="L20" s="91" t="str">
        <f>VLOOKUP(I20,[6]stage_hints!$A:$D,4,FALSE)</f>
        <v>フィーバー中は虹色のボムパネルを狙って_x000D_画面上のパネルを一気に破壊しましょう</v>
      </c>
      <c r="M20" s="57" t="s">
        <v>209</v>
      </c>
    </row>
    <row r="21" spans="1:13" x14ac:dyDescent="0.15">
      <c r="A21" s="78" t="s">
        <v>199</v>
      </c>
      <c r="B21" s="79">
        <f>floors!$C$2</f>
        <v>30046</v>
      </c>
      <c r="C21" s="80" t="str">
        <f ca="1">VLOOKUP($B21,OFFSET([2]quests!$A$1,0,0,COUNTA([2]quests!$A:$A),MATCH(C$1,[2]quests!$1:$1,0)-MATCH($B$1,[2]quests!$1:$1,0)+1),MATCH(C$1,[2]quests!$1:$1,0)-MATCH($B$1,[2]quests!$1:$1,0)+1,FALSE)</f>
        <v>千利の道も一歩から！</v>
      </c>
      <c r="D21" s="80" t="str">
        <f ca="1">VLOOKUP($B21,OFFSET([2]quests!$A$1,0,0,COUNTA([2]quests!$A:$A),MATCH(D$1,[2]quests!$1:$1,0)-MATCH($B$1,[2]quests!$1:$1,0)+1),MATCH(D$1,[2]quests!$1:$1,0)-MATCH($B$1,[2]quests!$1:$1,0)+1,FALSE)</f>
        <v>戦国シリーズ第二弾　超級</v>
      </c>
      <c r="E21" s="84">
        <v>1</v>
      </c>
      <c r="F21" s="80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21" s="80" t="str">
        <f ca="1">VLOOKUP($B21&amp;"_"&amp;$E21,OFFSET([2]stages!$A$1,0,0,COUNTA([2]stages!$A:$A),MATCH(G$1,[2]stages!$2:$2,0)-MATCH("temp_stage",[2]stages!$2:$2,0)+1),MATCH(G$1,[2]stages!$2:$2,0)-MATCH("temp_stage",[2]stages!$2:$2,0)+1,FALSE)</f>
        <v>戦国シリーズ第二弾　超級</v>
      </c>
      <c r="H21" s="82">
        <v>0</v>
      </c>
      <c r="I21">
        <v>24</v>
      </c>
      <c r="J21" s="81" t="s">
        <v>196</v>
      </c>
      <c r="K21" s="90" t="str">
        <f>VLOOKUP(I21,[6]stage_hints!$A:$C,3,FALSE)</f>
        <v>りんごを使って限界突破</v>
      </c>
      <c r="L21" s="91" t="str">
        <f>VLOOKUP(I21,[6]stage_hints!$A:$D,4,FALSE)</f>
        <v>赤りんご(攻撃力) 青りんご(回復力)_x000D_緑りんご(体力)をユニット強化に使うと_x000D_ステータスが限界突破します（計99個迄）</v>
      </c>
      <c r="M21" s="57" t="s">
        <v>209</v>
      </c>
    </row>
    <row r="22" spans="1:13" x14ac:dyDescent="0.15">
      <c r="A22" s="78" t="s">
        <v>199</v>
      </c>
      <c r="B22" s="79">
        <f>floors!$C$2</f>
        <v>30046</v>
      </c>
      <c r="C22" s="80" t="str">
        <f ca="1">VLOOKUP($B22,OFFSET([2]quests!$A$1,0,0,COUNTA([2]quests!$A:$A),MATCH(C$1,[2]quests!$1:$1,0)-MATCH($B$1,[2]quests!$1:$1,0)+1),MATCH(C$1,[2]quests!$1:$1,0)-MATCH($B$1,[2]quests!$1:$1,0)+1,FALSE)</f>
        <v>千利の道も一歩から！</v>
      </c>
      <c r="D22" s="80" t="str">
        <f ca="1">VLOOKUP($B22,OFFSET([2]quests!$A$1,0,0,COUNTA([2]quests!$A:$A),MATCH(D$1,[2]quests!$1:$1,0)-MATCH($B$1,[2]quests!$1:$1,0)+1),MATCH(D$1,[2]quests!$1:$1,0)-MATCH($B$1,[2]quests!$1:$1,0)+1,FALSE)</f>
        <v>戦国シリーズ第二弾　超級</v>
      </c>
      <c r="E22" s="84">
        <v>1</v>
      </c>
      <c r="F22" s="80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22" s="80" t="str">
        <f ca="1">VLOOKUP($B22&amp;"_"&amp;$E22,OFFSET([2]stages!$A$1,0,0,COUNTA([2]stages!$A:$A),MATCH(G$1,[2]stages!$2:$2,0)-MATCH("temp_stage",[2]stages!$2:$2,0)+1),MATCH(G$1,[2]stages!$2:$2,0)-MATCH("temp_stage",[2]stages!$2:$2,0)+1,FALSE)</f>
        <v>戦国シリーズ第二弾　超級</v>
      </c>
      <c r="H22" s="82">
        <v>0</v>
      </c>
      <c r="I22">
        <v>25</v>
      </c>
      <c r="J22" s="81" t="s">
        <v>196</v>
      </c>
      <c r="K22" s="90" t="str">
        <f>VLOOKUP(I22,[6]stage_hints!$A:$C,3,FALSE)</f>
        <v>スキルレベルアップ</v>
      </c>
      <c r="L22" s="91" t="str">
        <f>VLOOKUP(I22,[6]stage_hints!$A:$D,4,FALSE)</f>
        <v>「クリスタルのりんご」を強化に使うと_x000D_スキルレベルを上げることができます</v>
      </c>
      <c r="M22" s="57" t="s">
        <v>209</v>
      </c>
    </row>
    <row r="23" spans="1:13" x14ac:dyDescent="0.15">
      <c r="A23" s="78" t="s">
        <v>199</v>
      </c>
      <c r="B23" s="79">
        <f>floors!$C$2</f>
        <v>30046</v>
      </c>
      <c r="C23" s="80" t="str">
        <f ca="1">VLOOKUP($B23,OFFSET([2]quests!$A$1,0,0,COUNTA([2]quests!$A:$A),MATCH(C$1,[2]quests!$1:$1,0)-MATCH($B$1,[2]quests!$1:$1,0)+1),MATCH(C$1,[2]quests!$1:$1,0)-MATCH($B$1,[2]quests!$1:$1,0)+1,FALSE)</f>
        <v>千利の道も一歩から！</v>
      </c>
      <c r="D23" s="80" t="str">
        <f ca="1">VLOOKUP($B23,OFFSET([2]quests!$A$1,0,0,COUNTA([2]quests!$A:$A),MATCH(D$1,[2]quests!$1:$1,0)-MATCH($B$1,[2]quests!$1:$1,0)+1),MATCH(D$1,[2]quests!$1:$1,0)-MATCH($B$1,[2]quests!$1:$1,0)+1,FALSE)</f>
        <v>戦国シリーズ第二弾　超級</v>
      </c>
      <c r="E23" s="84">
        <v>1</v>
      </c>
      <c r="F23" s="80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23" s="80" t="str">
        <f ca="1">VLOOKUP($B23&amp;"_"&amp;$E23,OFFSET([2]stages!$A$1,0,0,COUNTA([2]stages!$A:$A),MATCH(G$1,[2]stages!$2:$2,0)-MATCH("temp_stage",[2]stages!$2:$2,0)+1),MATCH(G$1,[2]stages!$2:$2,0)-MATCH("temp_stage",[2]stages!$2:$2,0)+1,FALSE)</f>
        <v>戦国シリーズ第二弾　超級</v>
      </c>
      <c r="H23" s="82">
        <v>0</v>
      </c>
      <c r="I23">
        <v>26</v>
      </c>
      <c r="J23" s="81" t="s">
        <v>196</v>
      </c>
      <c r="K23" s="90" t="str">
        <f>VLOOKUP(I23,[6]stage_hints!$A:$C,3,FALSE)</f>
        <v>スキルレベルの効果</v>
      </c>
      <c r="L23" s="91" t="str">
        <f>VLOOKUP(I23,[6]stage_hints!$A:$D,4,FALSE)</f>
        <v>スキルレベルが上がると_x000D_短いターンでスキルを使うことができます</v>
      </c>
      <c r="M23" s="57" t="s">
        <v>209</v>
      </c>
    </row>
    <row r="24" spans="1:13" x14ac:dyDescent="0.15">
      <c r="A24" s="78" t="s">
        <v>199</v>
      </c>
      <c r="B24" s="79">
        <f>floors!$C$2</f>
        <v>30046</v>
      </c>
      <c r="C24" s="80" t="str">
        <f ca="1">VLOOKUP($B24,OFFSET([2]quests!$A$1,0,0,COUNTA([2]quests!$A:$A),MATCH(C$1,[2]quests!$1:$1,0)-MATCH($B$1,[2]quests!$1:$1,0)+1),MATCH(C$1,[2]quests!$1:$1,0)-MATCH($B$1,[2]quests!$1:$1,0)+1,FALSE)</f>
        <v>千利の道も一歩から！</v>
      </c>
      <c r="D24" s="80" t="str">
        <f ca="1">VLOOKUP($B24,OFFSET([2]quests!$A$1,0,0,COUNTA([2]quests!$A:$A),MATCH(D$1,[2]quests!$1:$1,0)-MATCH($B$1,[2]quests!$1:$1,0)+1),MATCH(D$1,[2]quests!$1:$1,0)-MATCH($B$1,[2]quests!$1:$1,0)+1,FALSE)</f>
        <v>戦国シリーズ第二弾　超級</v>
      </c>
      <c r="E24" s="84">
        <v>1</v>
      </c>
      <c r="F24" s="80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24" s="80" t="str">
        <f ca="1">VLOOKUP($B24&amp;"_"&amp;$E24,OFFSET([2]stages!$A$1,0,0,COUNTA([2]stages!$A:$A),MATCH(G$1,[2]stages!$2:$2,0)-MATCH("temp_stage",[2]stages!$2:$2,0)+1),MATCH(G$1,[2]stages!$2:$2,0)-MATCH("temp_stage",[2]stages!$2:$2,0)+1,FALSE)</f>
        <v>戦国シリーズ第二弾　超級</v>
      </c>
      <c r="H24" s="82">
        <v>0</v>
      </c>
      <c r="I24">
        <v>27</v>
      </c>
      <c r="J24" s="81" t="s">
        <v>196</v>
      </c>
      <c r="K24" s="90" t="str">
        <f>VLOOKUP(I24,[6]stage_hints!$A:$C,3,FALSE)</f>
        <v>ホーム画面からデッキを編成</v>
      </c>
      <c r="L24" s="91" t="str">
        <f>VLOOKUP(I24,[6]stage_hints!$A:$D,4,FALSE)</f>
        <v>ホーム画面でユニットを長押しすると_x000D_すぐにパーティ編成に移動できます</v>
      </c>
      <c r="M24" s="57" t="s">
        <v>209</v>
      </c>
    </row>
    <row r="25" spans="1:13" x14ac:dyDescent="0.15">
      <c r="A25" s="78" t="s">
        <v>199</v>
      </c>
      <c r="B25" s="79">
        <f>floors!$C$2</f>
        <v>30046</v>
      </c>
      <c r="C25" s="80" t="str">
        <f ca="1">VLOOKUP($B25,OFFSET([2]quests!$A$1,0,0,COUNTA([2]quests!$A:$A),MATCH(C$1,[2]quests!$1:$1,0)-MATCH($B$1,[2]quests!$1:$1,0)+1),MATCH(C$1,[2]quests!$1:$1,0)-MATCH($B$1,[2]quests!$1:$1,0)+1,FALSE)</f>
        <v>千利の道も一歩から！</v>
      </c>
      <c r="D25" s="80" t="str">
        <f ca="1">VLOOKUP($B25,OFFSET([2]quests!$A$1,0,0,COUNTA([2]quests!$A:$A),MATCH(D$1,[2]quests!$1:$1,0)-MATCH($B$1,[2]quests!$1:$1,0)+1),MATCH(D$1,[2]quests!$1:$1,0)-MATCH($B$1,[2]quests!$1:$1,0)+1,FALSE)</f>
        <v>戦国シリーズ第二弾　超級</v>
      </c>
      <c r="E25" s="84">
        <v>1</v>
      </c>
      <c r="F25" s="80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25" s="80" t="str">
        <f ca="1">VLOOKUP($B25&amp;"_"&amp;$E25,OFFSET([2]stages!$A$1,0,0,COUNTA([2]stages!$A:$A),MATCH(G$1,[2]stages!$2:$2,0)-MATCH("temp_stage",[2]stages!$2:$2,0)+1),MATCH(G$1,[2]stages!$2:$2,0)-MATCH("temp_stage",[2]stages!$2:$2,0)+1,FALSE)</f>
        <v>戦国シリーズ第二弾　超級</v>
      </c>
      <c r="H25" s="82">
        <v>0</v>
      </c>
      <c r="I25">
        <v>28</v>
      </c>
      <c r="J25" s="81" t="s">
        <v>196</v>
      </c>
      <c r="K25" s="90" t="str">
        <f>VLOOKUP(I25,[6]stage_hints!$A:$C,3,FALSE)</f>
        <v>ステータス情報は長押しで</v>
      </c>
      <c r="L25" s="91" t="str">
        <f>VLOOKUP(I25,[6]stage_hints!$A:$D,4,FALSE)</f>
        <v>ユニットのアイコンを長押しすると_x000D_ステータス情報を確認することができます</v>
      </c>
      <c r="M25" s="57" t="s">
        <v>209</v>
      </c>
    </row>
    <row r="26" spans="1:13" x14ac:dyDescent="0.15">
      <c r="A26" s="78" t="s">
        <v>199</v>
      </c>
      <c r="B26" s="79">
        <f>floors!$C$2</f>
        <v>30046</v>
      </c>
      <c r="C26" s="80" t="str">
        <f ca="1">VLOOKUP($B26,OFFSET([2]quests!$A$1,0,0,COUNTA([2]quests!$A:$A),MATCH(C$1,[2]quests!$1:$1,0)-MATCH($B$1,[2]quests!$1:$1,0)+1),MATCH(C$1,[2]quests!$1:$1,0)-MATCH($B$1,[2]quests!$1:$1,0)+1,FALSE)</f>
        <v>千利の道も一歩から！</v>
      </c>
      <c r="D26" s="80" t="str">
        <f ca="1">VLOOKUP($B26,OFFSET([2]quests!$A$1,0,0,COUNTA([2]quests!$A:$A),MATCH(D$1,[2]quests!$1:$1,0)-MATCH($B$1,[2]quests!$1:$1,0)+1),MATCH(D$1,[2]quests!$1:$1,0)-MATCH($B$1,[2]quests!$1:$1,0)+1,FALSE)</f>
        <v>戦国シリーズ第二弾　超級</v>
      </c>
      <c r="E26" s="84">
        <v>1</v>
      </c>
      <c r="F26" s="80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26" s="80" t="str">
        <f ca="1">VLOOKUP($B26&amp;"_"&amp;$E26,OFFSET([2]stages!$A$1,0,0,COUNTA([2]stages!$A:$A),MATCH(G$1,[2]stages!$2:$2,0)-MATCH("temp_stage",[2]stages!$2:$2,0)+1),MATCH(G$1,[2]stages!$2:$2,0)-MATCH("temp_stage",[2]stages!$2:$2,0)+1,FALSE)</f>
        <v>戦国シリーズ第二弾　超級</v>
      </c>
      <c r="H26" s="82">
        <v>0</v>
      </c>
      <c r="I26">
        <v>29</v>
      </c>
      <c r="J26" s="81" t="s">
        <v>196</v>
      </c>
      <c r="K26" s="90" t="str">
        <f>VLOOKUP(I26,[6]stage_hints!$A:$C,3,FALSE)</f>
        <v>「バグ」のメリット</v>
      </c>
      <c r="L26" s="91" t="str">
        <f>VLOOKUP(I26,[6]stage_hints!$A:$D,4,FALSE)</f>
        <v>ユニットの「バグ」を増やすと_x000D_報酬をもらえる確率がアップします</v>
      </c>
      <c r="M26" s="57" t="s">
        <v>209</v>
      </c>
    </row>
    <row r="27" spans="1:13" x14ac:dyDescent="0.15">
      <c r="A27" s="78" t="s">
        <v>199</v>
      </c>
      <c r="B27" s="79">
        <f>floors!$C$2</f>
        <v>30046</v>
      </c>
      <c r="C27" s="80" t="str">
        <f ca="1">VLOOKUP($B27,OFFSET([2]quests!$A$1,0,0,COUNTA([2]quests!$A:$A),MATCH(C$1,[2]quests!$1:$1,0)-MATCH($B$1,[2]quests!$1:$1,0)+1),MATCH(C$1,[2]quests!$1:$1,0)-MATCH($B$1,[2]quests!$1:$1,0)+1,FALSE)</f>
        <v>千利の道も一歩から！</v>
      </c>
      <c r="D27" s="80" t="str">
        <f ca="1">VLOOKUP($B27,OFFSET([2]quests!$A$1,0,0,COUNTA([2]quests!$A:$A),MATCH(D$1,[2]quests!$1:$1,0)-MATCH($B$1,[2]quests!$1:$1,0)+1),MATCH(D$1,[2]quests!$1:$1,0)-MATCH($B$1,[2]quests!$1:$1,0)+1,FALSE)</f>
        <v>戦国シリーズ第二弾　超級</v>
      </c>
      <c r="E27" s="84">
        <v>1</v>
      </c>
      <c r="F27" s="80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27" s="80" t="str">
        <f ca="1">VLOOKUP($B27&amp;"_"&amp;$E27,OFFSET([2]stages!$A$1,0,0,COUNTA([2]stages!$A:$A),MATCH(G$1,[2]stages!$2:$2,0)-MATCH("temp_stage",[2]stages!$2:$2,0)+1),MATCH(G$1,[2]stages!$2:$2,0)-MATCH("temp_stage",[2]stages!$2:$2,0)+1,FALSE)</f>
        <v>戦国シリーズ第二弾　超級</v>
      </c>
      <c r="H27" s="82">
        <v>0</v>
      </c>
      <c r="I27">
        <v>30</v>
      </c>
      <c r="J27" s="81" t="s">
        <v>196</v>
      </c>
      <c r="K27" s="90" t="str">
        <f>VLOOKUP(I27,[6]stage_hints!$A:$C,3,FALSE)</f>
        <v>「バグ」の増やし方</v>
      </c>
      <c r="L27" s="91" t="str">
        <f>VLOOKUP(I27,[6]stage_hints!$A:$D,4,FALSE)</f>
        <v>同じユニット同士を強化で合成すると_x000D_「バグ」を増やすことができます</v>
      </c>
      <c r="M27" s="57" t="s">
        <v>209</v>
      </c>
    </row>
    <row r="28" spans="1:13" x14ac:dyDescent="0.15">
      <c r="A28" s="78" t="s">
        <v>199</v>
      </c>
      <c r="B28" s="79">
        <f>floors!$C$2</f>
        <v>30046</v>
      </c>
      <c r="C28" s="80" t="str">
        <f ca="1">VLOOKUP($B28,OFFSET([2]quests!$A$1,0,0,COUNTA([2]quests!$A:$A),MATCH(C$1,[2]quests!$1:$1,0)-MATCH($B$1,[2]quests!$1:$1,0)+1),MATCH(C$1,[2]quests!$1:$1,0)-MATCH($B$1,[2]quests!$1:$1,0)+1,FALSE)</f>
        <v>千利の道も一歩から！</v>
      </c>
      <c r="D28" s="80" t="str">
        <f ca="1">VLOOKUP($B28,OFFSET([2]quests!$A$1,0,0,COUNTA([2]quests!$A:$A),MATCH(D$1,[2]quests!$1:$1,0)-MATCH($B$1,[2]quests!$1:$1,0)+1),MATCH(D$1,[2]quests!$1:$1,0)-MATCH($B$1,[2]quests!$1:$1,0)+1,FALSE)</f>
        <v>戦国シリーズ第二弾　超級</v>
      </c>
      <c r="E28" s="84">
        <v>1</v>
      </c>
      <c r="F28" s="80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28" s="80" t="str">
        <f ca="1">VLOOKUP($B28&amp;"_"&amp;$E28,OFFSET([2]stages!$A$1,0,0,COUNTA([2]stages!$A:$A),MATCH(G$1,[2]stages!$2:$2,0)-MATCH("temp_stage",[2]stages!$2:$2,0)+1),MATCH(G$1,[2]stages!$2:$2,0)-MATCH("temp_stage",[2]stages!$2:$2,0)+1,FALSE)</f>
        <v>戦国シリーズ第二弾　超級</v>
      </c>
      <c r="H28" s="82">
        <v>0</v>
      </c>
      <c r="I28">
        <v>31</v>
      </c>
      <c r="J28" s="81" t="s">
        <v>196</v>
      </c>
      <c r="K28" s="90" t="str">
        <f>VLOOKUP(I28,[6]stage_hints!$A:$C,3,FALSE)</f>
        <v>イベントはお知らせでチェック</v>
      </c>
      <c r="L28" s="91" t="str">
        <f>VLOOKUP(I28,[6]stage_hints!$A:$D,4,FALSE)</f>
        <v>イベント限定ユニットを取り忘れないように_x000D_お知らせをこまめにチェックしましょう</v>
      </c>
      <c r="M28" s="57" t="s">
        <v>209</v>
      </c>
    </row>
    <row r="29" spans="1:13" x14ac:dyDescent="0.15">
      <c r="A29" s="78" t="s">
        <v>199</v>
      </c>
      <c r="B29" s="79">
        <f>floors!$C$2</f>
        <v>30046</v>
      </c>
      <c r="C29" s="80" t="str">
        <f ca="1">VLOOKUP($B29,OFFSET([2]quests!$A$1,0,0,COUNTA([2]quests!$A:$A),MATCH(C$1,[2]quests!$1:$1,0)-MATCH($B$1,[2]quests!$1:$1,0)+1),MATCH(C$1,[2]quests!$1:$1,0)-MATCH($B$1,[2]quests!$1:$1,0)+1,FALSE)</f>
        <v>千利の道も一歩から！</v>
      </c>
      <c r="D29" s="80" t="str">
        <f ca="1">VLOOKUP($B29,OFFSET([2]quests!$A$1,0,0,COUNTA([2]quests!$A:$A),MATCH(D$1,[2]quests!$1:$1,0)-MATCH($B$1,[2]quests!$1:$1,0)+1),MATCH(D$1,[2]quests!$1:$1,0)-MATCH($B$1,[2]quests!$1:$1,0)+1,FALSE)</f>
        <v>戦国シリーズ第二弾　超級</v>
      </c>
      <c r="E29" s="84">
        <v>1</v>
      </c>
      <c r="F29" s="80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29" s="80" t="str">
        <f ca="1">VLOOKUP($B29&amp;"_"&amp;$E29,OFFSET([2]stages!$A$1,0,0,COUNTA([2]stages!$A:$A),MATCH(G$1,[2]stages!$2:$2,0)-MATCH("temp_stage",[2]stages!$2:$2,0)+1),MATCH(G$1,[2]stages!$2:$2,0)-MATCH("temp_stage",[2]stages!$2:$2,0)+1,FALSE)</f>
        <v>戦国シリーズ第二弾　超級</v>
      </c>
      <c r="H29" s="82">
        <v>0</v>
      </c>
      <c r="I29">
        <v>32</v>
      </c>
      <c r="J29" s="81" t="s">
        <v>196</v>
      </c>
      <c r="K29" s="90" t="str">
        <f>VLOOKUP(I29,[6]stage_hints!$A:$C,3,FALSE)</f>
        <v>敵の連続攻撃には</v>
      </c>
      <c r="L29" s="91" t="str">
        <f>VLOOKUP(I29,[6]stage_hints!$A:$D,4,FALSE)</f>
        <v>カウンタースキルを持つユニットがいれば_x000D_ダメージ回数分の反撃ができます</v>
      </c>
      <c r="M29" s="57" t="s">
        <v>209</v>
      </c>
    </row>
    <row r="30" spans="1:13" x14ac:dyDescent="0.15">
      <c r="A30" s="78" t="s">
        <v>199</v>
      </c>
      <c r="B30" s="79">
        <f>floors!$C$2</f>
        <v>30046</v>
      </c>
      <c r="C30" s="80" t="str">
        <f ca="1">VLOOKUP($B30,OFFSET([2]quests!$A$1,0,0,COUNTA([2]quests!$A:$A),MATCH(C$1,[2]quests!$1:$1,0)-MATCH($B$1,[2]quests!$1:$1,0)+1),MATCH(C$1,[2]quests!$1:$1,0)-MATCH($B$1,[2]quests!$1:$1,0)+1,FALSE)</f>
        <v>千利の道も一歩から！</v>
      </c>
      <c r="D30" s="80" t="str">
        <f ca="1">VLOOKUP($B30,OFFSET([2]quests!$A$1,0,0,COUNTA([2]quests!$A:$A),MATCH(D$1,[2]quests!$1:$1,0)-MATCH($B$1,[2]quests!$1:$1,0)+1),MATCH(D$1,[2]quests!$1:$1,0)-MATCH($B$1,[2]quests!$1:$1,0)+1,FALSE)</f>
        <v>戦国シリーズ第二弾　超級</v>
      </c>
      <c r="E30" s="84">
        <v>1</v>
      </c>
      <c r="F30" s="80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30" s="80" t="str">
        <f ca="1">VLOOKUP($B30&amp;"_"&amp;$E30,OFFSET([2]stages!$A$1,0,0,COUNTA([2]stages!$A:$A),MATCH(G$1,[2]stages!$2:$2,0)-MATCH("temp_stage",[2]stages!$2:$2,0)+1),MATCH(G$1,[2]stages!$2:$2,0)-MATCH("temp_stage",[2]stages!$2:$2,0)+1,FALSE)</f>
        <v>戦国シリーズ第二弾　超級</v>
      </c>
      <c r="H30" s="82">
        <v>0</v>
      </c>
      <c r="I30">
        <v>33</v>
      </c>
      <c r="J30" s="81" t="s">
        <v>196</v>
      </c>
      <c r="K30" s="90" t="str">
        <f>VLOOKUP(I30,[6]stage_hints!$A:$C,3,FALSE)</f>
        <v>敵のカウンター攻撃には</v>
      </c>
      <c r="L30" s="91" t="str">
        <f>VLOOKUP(I30,[6]stage_hints!$A:$D,4,FALSE)</f>
        <v>カウンターブレイクスキルを持っていれば_x000D_敵のカウンターを解除して攻撃ができます</v>
      </c>
      <c r="M30" s="57" t="s">
        <v>209</v>
      </c>
    </row>
    <row r="31" spans="1:13" x14ac:dyDescent="0.15">
      <c r="A31" s="78" t="s">
        <v>199</v>
      </c>
      <c r="B31" s="79">
        <f>floors!$C$2</f>
        <v>30046</v>
      </c>
      <c r="C31" s="80" t="str">
        <f ca="1">VLOOKUP($B31,OFFSET([2]quests!$A$1,0,0,COUNTA([2]quests!$A:$A),MATCH(C$1,[2]quests!$1:$1,0)-MATCH($B$1,[2]quests!$1:$1,0)+1),MATCH(C$1,[2]quests!$1:$1,0)-MATCH($B$1,[2]quests!$1:$1,0)+1,FALSE)</f>
        <v>千利の道も一歩から！</v>
      </c>
      <c r="D31" s="80" t="str">
        <f ca="1">VLOOKUP($B31,OFFSET([2]quests!$A$1,0,0,COUNTA([2]quests!$A:$A),MATCH(D$1,[2]quests!$1:$1,0)-MATCH($B$1,[2]quests!$1:$1,0)+1),MATCH(D$1,[2]quests!$1:$1,0)-MATCH($B$1,[2]quests!$1:$1,0)+1,FALSE)</f>
        <v>戦国シリーズ第二弾　超級</v>
      </c>
      <c r="E31" s="84">
        <v>1</v>
      </c>
      <c r="F31" s="80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31" s="80" t="str">
        <f ca="1">VLOOKUP($B31&amp;"_"&amp;$E31,OFFSET([2]stages!$A$1,0,0,COUNTA([2]stages!$A:$A),MATCH(G$1,[2]stages!$2:$2,0)-MATCH("temp_stage",[2]stages!$2:$2,0)+1),MATCH(G$1,[2]stages!$2:$2,0)-MATCH("temp_stage",[2]stages!$2:$2,0)+1,FALSE)</f>
        <v>戦国シリーズ第二弾　超級</v>
      </c>
      <c r="H31" s="82">
        <v>0</v>
      </c>
      <c r="I31">
        <v>34</v>
      </c>
      <c r="J31" s="81" t="s">
        <v>196</v>
      </c>
      <c r="K31" s="90" t="str">
        <f>VLOOKUP(I31,[6]stage_hints!$A:$C,3,FALSE)</f>
        <v>ステータスをスキルで下げられたら</v>
      </c>
      <c r="L31" s="91" t="str">
        <f>VLOOKUP(I31,[6]stage_hints!$A:$D,4,FALSE)</f>
        <v>ステータスダウンのスキルを受けたら_x000D_ステータスアップスキルで上書きしましょう</v>
      </c>
      <c r="M31" s="57" t="s">
        <v>209</v>
      </c>
    </row>
    <row r="32" spans="1:13" x14ac:dyDescent="0.15">
      <c r="A32" s="78" t="s">
        <v>199</v>
      </c>
      <c r="B32" s="79">
        <f>floors!$C$2</f>
        <v>30046</v>
      </c>
      <c r="C32" s="80" t="str">
        <f ca="1">VLOOKUP($B32,OFFSET([2]quests!$A$1,0,0,COUNTA([2]quests!$A:$A),MATCH(C$1,[2]quests!$1:$1,0)-MATCH($B$1,[2]quests!$1:$1,0)+1),MATCH(C$1,[2]quests!$1:$1,0)-MATCH($B$1,[2]quests!$1:$1,0)+1,FALSE)</f>
        <v>千利の道も一歩から！</v>
      </c>
      <c r="D32" s="80" t="str">
        <f ca="1">VLOOKUP($B32,OFFSET([2]quests!$A$1,0,0,COUNTA([2]quests!$A:$A),MATCH(D$1,[2]quests!$1:$1,0)-MATCH($B$1,[2]quests!$1:$1,0)+1),MATCH(D$1,[2]quests!$1:$1,0)-MATCH($B$1,[2]quests!$1:$1,0)+1,FALSE)</f>
        <v>戦国シリーズ第二弾　超級</v>
      </c>
      <c r="E32" s="84">
        <v>1</v>
      </c>
      <c r="F32" s="80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32" s="80" t="str">
        <f ca="1">VLOOKUP($B32&amp;"_"&amp;$E32,OFFSET([2]stages!$A$1,0,0,COUNTA([2]stages!$A:$A),MATCH(G$1,[2]stages!$2:$2,0)-MATCH("temp_stage",[2]stages!$2:$2,0)+1),MATCH(G$1,[2]stages!$2:$2,0)-MATCH("temp_stage",[2]stages!$2:$2,0)+1,FALSE)</f>
        <v>戦国シリーズ第二弾　超級</v>
      </c>
      <c r="H32" s="82">
        <v>0</v>
      </c>
      <c r="I32">
        <v>35</v>
      </c>
      <c r="J32" s="81" t="s">
        <v>196</v>
      </c>
      <c r="K32" s="90" t="str">
        <f>VLOOKUP(I32,[6]stage_hints!$A:$C,3,FALSE)</f>
        <v>敵のステータスがスキルで上がったら</v>
      </c>
      <c r="L32" s="91" t="str">
        <f>VLOOKUP(I32,[6]stage_hints!$A:$D,4,FALSE)</f>
        <v>敵のステータスがスキルでアップしたときは_x000D_ステータスダウンスキルで上書きしましょう</v>
      </c>
      <c r="M32" s="57" t="s">
        <v>209</v>
      </c>
    </row>
    <row r="33" spans="1:13" x14ac:dyDescent="0.15">
      <c r="A33" s="78" t="s">
        <v>199</v>
      </c>
      <c r="B33" s="79">
        <f>floors!$C$2</f>
        <v>30046</v>
      </c>
      <c r="C33" s="80" t="str">
        <f ca="1">VLOOKUP($B33,OFFSET([2]quests!$A$1,0,0,COUNTA([2]quests!$A:$A),MATCH(C$1,[2]quests!$1:$1,0)-MATCH($B$1,[2]quests!$1:$1,0)+1),MATCH(C$1,[2]quests!$1:$1,0)-MATCH($B$1,[2]quests!$1:$1,0)+1,FALSE)</f>
        <v>千利の道も一歩から！</v>
      </c>
      <c r="D33" s="80" t="str">
        <f ca="1">VLOOKUP($B33,OFFSET([2]quests!$A$1,0,0,COUNTA([2]quests!$A:$A),MATCH(D$1,[2]quests!$1:$1,0)-MATCH($B$1,[2]quests!$1:$1,0)+1),MATCH(D$1,[2]quests!$1:$1,0)-MATCH($B$1,[2]quests!$1:$1,0)+1,FALSE)</f>
        <v>戦国シリーズ第二弾　超級</v>
      </c>
      <c r="E33" s="84">
        <v>1</v>
      </c>
      <c r="F33" s="80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33" s="80" t="str">
        <f ca="1">VLOOKUP($B33&amp;"_"&amp;$E33,OFFSET([2]stages!$A$1,0,0,COUNTA([2]stages!$A:$A),MATCH(G$1,[2]stages!$2:$2,0)-MATCH("temp_stage",[2]stages!$2:$2,0)+1),MATCH(G$1,[2]stages!$2:$2,0)-MATCH("temp_stage",[2]stages!$2:$2,0)+1,FALSE)</f>
        <v>戦国シリーズ第二弾　超級</v>
      </c>
      <c r="H33" s="82">
        <v>0</v>
      </c>
      <c r="I33">
        <v>39</v>
      </c>
      <c r="J33" s="81" t="s">
        <v>196</v>
      </c>
      <c r="K33" s="90" t="str">
        <f>VLOOKUP(I33,[6]stage_hints!$A:$C,3,FALSE)</f>
        <v>システム適合者を確認</v>
      </c>
      <c r="L33" s="91" t="str">
        <f>VLOOKUP(I33,[6]stage_hints!$A:$D,4,FALSE)</f>
        <v>ALICEが 「アナタ」を呼んでいます</v>
      </c>
      <c r="M33" s="57" t="s">
        <v>209</v>
      </c>
    </row>
    <row r="34" spans="1:13" x14ac:dyDescent="0.15">
      <c r="A34" s="78" t="s">
        <v>199</v>
      </c>
      <c r="B34" s="79">
        <f>floors!$C$2</f>
        <v>30046</v>
      </c>
      <c r="C34" s="80" t="str">
        <f ca="1">VLOOKUP($B34,OFFSET([2]quests!$A$1,0,0,COUNTA([2]quests!$A:$A),MATCH(C$1,[2]quests!$1:$1,0)-MATCH($B$1,[2]quests!$1:$1,0)+1),MATCH(C$1,[2]quests!$1:$1,0)-MATCH($B$1,[2]quests!$1:$1,0)+1,FALSE)</f>
        <v>千利の道も一歩から！</v>
      </c>
      <c r="D34" s="80" t="str">
        <f ca="1">VLOOKUP($B34,OFFSET([2]quests!$A$1,0,0,COUNTA([2]quests!$A:$A),MATCH(D$1,[2]quests!$1:$1,0)-MATCH($B$1,[2]quests!$1:$1,0)+1),MATCH(D$1,[2]quests!$1:$1,0)-MATCH($B$1,[2]quests!$1:$1,0)+1,FALSE)</f>
        <v>戦国シリーズ第二弾　超級</v>
      </c>
      <c r="E34" s="84">
        <v>2</v>
      </c>
      <c r="F34" s="80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34" s="80" t="str">
        <f ca="1">VLOOKUP($B34&amp;"_"&amp;$E34,OFFSET([2]stages!$A$1,0,0,COUNTA([2]stages!$A:$A),MATCH(G$1,[2]stages!$2:$2,0)-MATCH("temp_stage",[2]stages!$2:$2,0)+1),MATCH(G$1,[2]stages!$2:$2,0)-MATCH("temp_stage",[2]stages!$2:$2,0)+1,FALSE)</f>
        <v>戦国シリーズ第二弾　超級</v>
      </c>
      <c r="H34" s="82">
        <v>0</v>
      </c>
      <c r="I34" s="93">
        <v>3</v>
      </c>
      <c r="J34" s="81" t="s">
        <v>196</v>
      </c>
      <c r="K34" s="90" t="str">
        <f>VLOOKUP(I34,[6]stage_hints!$A:$C,3,FALSE)</f>
        <v>ターゲット</v>
      </c>
      <c r="L34" s="91" t="str">
        <f>VLOOKUP(I34,[6]stage_hints!$A:$D,4,FALSE)</f>
        <v>敵ユニットをタップすると_x000D_その敵を狙い撃ちできます</v>
      </c>
      <c r="M34" s="57" t="s">
        <v>209</v>
      </c>
    </row>
    <row r="35" spans="1:13" x14ac:dyDescent="0.15">
      <c r="A35" s="78" t="s">
        <v>199</v>
      </c>
      <c r="B35" s="79">
        <f>floors!$C$2</f>
        <v>30046</v>
      </c>
      <c r="C35" s="80" t="str">
        <f ca="1">VLOOKUP($B35,OFFSET([2]quests!$A$1,0,0,COUNTA([2]quests!$A:$A),MATCH(C$1,[2]quests!$1:$1,0)-MATCH($B$1,[2]quests!$1:$1,0)+1),MATCH(C$1,[2]quests!$1:$1,0)-MATCH($B$1,[2]quests!$1:$1,0)+1,FALSE)</f>
        <v>千利の道も一歩から！</v>
      </c>
      <c r="D35" s="80" t="str">
        <f ca="1">VLOOKUP($B35,OFFSET([2]quests!$A$1,0,0,COUNTA([2]quests!$A:$A),MATCH(D$1,[2]quests!$1:$1,0)-MATCH($B$1,[2]quests!$1:$1,0)+1),MATCH(D$1,[2]quests!$1:$1,0)-MATCH($B$1,[2]quests!$1:$1,0)+1,FALSE)</f>
        <v>戦国シリーズ第二弾　超級</v>
      </c>
      <c r="E35" s="84">
        <v>2</v>
      </c>
      <c r="F35" s="80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35" s="80" t="str">
        <f ca="1">VLOOKUP($B35&amp;"_"&amp;$E35,OFFSET([2]stages!$A$1,0,0,COUNTA([2]stages!$A:$A),MATCH(G$1,[2]stages!$2:$2,0)-MATCH("temp_stage",[2]stages!$2:$2,0)+1),MATCH(G$1,[2]stages!$2:$2,0)-MATCH("temp_stage",[2]stages!$2:$2,0)+1,FALSE)</f>
        <v>戦国シリーズ第二弾　超級</v>
      </c>
      <c r="H35" s="82">
        <v>0</v>
      </c>
      <c r="I35" s="93">
        <v>6</v>
      </c>
      <c r="J35" s="81" t="s">
        <v>196</v>
      </c>
      <c r="K35" s="90" t="str">
        <f>VLOOKUP(I35,[6]stage_hints!$A:$C,3,FALSE)</f>
        <v>ユニット強化の属性ボーナス</v>
      </c>
      <c r="L35" s="91" t="str">
        <f>VLOOKUP(I35,[6]stage_hints!$A:$D,4,FALSE)</f>
        <v>同属性ユニットを強化素材にすると_x000D_経験値が多くもらえます</v>
      </c>
      <c r="M35" s="57" t="s">
        <v>209</v>
      </c>
    </row>
    <row r="36" spans="1:13" x14ac:dyDescent="0.15">
      <c r="A36" s="78" t="s">
        <v>199</v>
      </c>
      <c r="B36" s="79">
        <f>floors!$C$2</f>
        <v>30046</v>
      </c>
      <c r="C36" s="80" t="str">
        <f ca="1">VLOOKUP($B36,OFFSET([2]quests!$A$1,0,0,COUNTA([2]quests!$A:$A),MATCH(C$1,[2]quests!$1:$1,0)-MATCH($B$1,[2]quests!$1:$1,0)+1),MATCH(C$1,[2]quests!$1:$1,0)-MATCH($B$1,[2]quests!$1:$1,0)+1,FALSE)</f>
        <v>千利の道も一歩から！</v>
      </c>
      <c r="D36" s="80" t="str">
        <f ca="1">VLOOKUP($B36,OFFSET([2]quests!$A$1,0,0,COUNTA([2]quests!$A:$A),MATCH(D$1,[2]quests!$1:$1,0)-MATCH($B$1,[2]quests!$1:$1,0)+1),MATCH(D$1,[2]quests!$1:$1,0)-MATCH($B$1,[2]quests!$1:$1,0)+1,FALSE)</f>
        <v>戦国シリーズ第二弾　超級</v>
      </c>
      <c r="E36" s="84">
        <v>2</v>
      </c>
      <c r="F36" s="80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36" s="80" t="str">
        <f ca="1">VLOOKUP($B36&amp;"_"&amp;$E36,OFFSET([2]stages!$A$1,0,0,COUNTA([2]stages!$A:$A),MATCH(G$1,[2]stages!$2:$2,0)-MATCH("temp_stage",[2]stages!$2:$2,0)+1),MATCH(G$1,[2]stages!$2:$2,0)-MATCH("temp_stage",[2]stages!$2:$2,0)+1,FALSE)</f>
        <v>戦国シリーズ第二弾　超級</v>
      </c>
      <c r="H36" s="82">
        <v>0</v>
      </c>
      <c r="I36" s="93">
        <v>7</v>
      </c>
      <c r="J36" s="81" t="s">
        <v>196</v>
      </c>
      <c r="K36" s="90" t="str">
        <f>VLOOKUP(I36,[6]stage_hints!$A:$C,3,FALSE)</f>
        <v>メタルダックで経験値を獲得</v>
      </c>
      <c r="L36" s="91" t="str">
        <f>VLOOKUP(I36,[6]stage_hints!$A:$D,4,FALSE)</f>
        <v>「メタルなアヒル」を強化素材にすると_x000D_大量の経験値がもらえます</v>
      </c>
      <c r="M36" s="57" t="s">
        <v>209</v>
      </c>
    </row>
    <row r="37" spans="1:13" x14ac:dyDescent="0.15">
      <c r="A37" s="78" t="s">
        <v>199</v>
      </c>
      <c r="B37" s="79">
        <f>floors!$C$2</f>
        <v>30046</v>
      </c>
      <c r="C37" s="80" t="str">
        <f ca="1">VLOOKUP($B37,OFFSET([2]quests!$A$1,0,0,COUNTA([2]quests!$A:$A),MATCH(C$1,[2]quests!$1:$1,0)-MATCH($B$1,[2]quests!$1:$1,0)+1),MATCH(C$1,[2]quests!$1:$1,0)-MATCH($B$1,[2]quests!$1:$1,0)+1,FALSE)</f>
        <v>千利の道も一歩から！</v>
      </c>
      <c r="D37" s="80" t="str">
        <f ca="1">VLOOKUP($B37,OFFSET([2]quests!$A$1,0,0,COUNTA([2]quests!$A:$A),MATCH(D$1,[2]quests!$1:$1,0)-MATCH($B$1,[2]quests!$1:$1,0)+1),MATCH(D$1,[2]quests!$1:$1,0)-MATCH($B$1,[2]quests!$1:$1,0)+1,FALSE)</f>
        <v>戦国シリーズ第二弾　超級</v>
      </c>
      <c r="E37" s="84">
        <v>2</v>
      </c>
      <c r="F37" s="80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37" s="80" t="str">
        <f ca="1">VLOOKUP($B37&amp;"_"&amp;$E37,OFFSET([2]stages!$A$1,0,0,COUNTA([2]stages!$A:$A),MATCH(G$1,[2]stages!$2:$2,0)-MATCH("temp_stage",[2]stages!$2:$2,0)+1),MATCH(G$1,[2]stages!$2:$2,0)-MATCH("temp_stage",[2]stages!$2:$2,0)+1,FALSE)</f>
        <v>戦国シリーズ第二弾　超級</v>
      </c>
      <c r="H37" s="82">
        <v>0</v>
      </c>
      <c r="I37" s="93">
        <v>8</v>
      </c>
      <c r="J37" s="81" t="s">
        <v>196</v>
      </c>
      <c r="K37" s="90" t="str">
        <f>VLOOKUP(I37,[6]stage_hints!$A:$C,3,FALSE)</f>
        <v>ゲリラクエストは要チェック</v>
      </c>
      <c r="L37" s="91" t="str">
        <f>VLOOKUP(I37,[6]stage_hints!$A:$D,4,FALSE)</f>
        <v>時間限定の「アヒル捕獲作戦」では_x000D_経験値素材ユニットが多く手に入ります</v>
      </c>
      <c r="M37" s="57" t="s">
        <v>209</v>
      </c>
    </row>
    <row r="38" spans="1:13" x14ac:dyDescent="0.15">
      <c r="A38" s="78" t="s">
        <v>199</v>
      </c>
      <c r="B38" s="79">
        <f>floors!$C$2</f>
        <v>30046</v>
      </c>
      <c r="C38" s="80" t="str">
        <f ca="1">VLOOKUP($B38,OFFSET([2]quests!$A$1,0,0,COUNTA([2]quests!$A:$A),MATCH(C$1,[2]quests!$1:$1,0)-MATCH($B$1,[2]quests!$1:$1,0)+1),MATCH(C$1,[2]quests!$1:$1,0)-MATCH($B$1,[2]quests!$1:$1,0)+1,FALSE)</f>
        <v>千利の道も一歩から！</v>
      </c>
      <c r="D38" s="80" t="str">
        <f ca="1">VLOOKUP($B38,OFFSET([2]quests!$A$1,0,0,COUNTA([2]quests!$A:$A),MATCH(D$1,[2]quests!$1:$1,0)-MATCH($B$1,[2]quests!$1:$1,0)+1),MATCH(D$1,[2]quests!$1:$1,0)-MATCH($B$1,[2]quests!$1:$1,0)+1,FALSE)</f>
        <v>戦国シリーズ第二弾　超級</v>
      </c>
      <c r="E38" s="84">
        <v>2</v>
      </c>
      <c r="F38" s="80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38" s="80" t="str">
        <f ca="1">VLOOKUP($B38&amp;"_"&amp;$E38,OFFSET([2]stages!$A$1,0,0,COUNTA([2]stages!$A:$A),MATCH(G$1,[2]stages!$2:$2,0)-MATCH("temp_stage",[2]stages!$2:$2,0)+1),MATCH(G$1,[2]stages!$2:$2,0)-MATCH("temp_stage",[2]stages!$2:$2,0)+1,FALSE)</f>
        <v>戦国シリーズ第二弾　超級</v>
      </c>
      <c r="H38" s="82">
        <v>0</v>
      </c>
      <c r="I38" s="93">
        <v>9</v>
      </c>
      <c r="J38" s="81" t="s">
        <v>196</v>
      </c>
      <c r="K38" s="90" t="str">
        <f>VLOOKUP(I38,[6]stage_hints!$A:$C,3,FALSE)</f>
        <v>ゴールドダックでビットを獲得</v>
      </c>
      <c r="L38" s="91" t="str">
        <f>VLOOKUP(I38,[6]stage_hints!$A:$D,4,FALSE)</f>
        <v>「ゴールドなアヒル」を売却すると_x000D_大量のビットがもらえます</v>
      </c>
      <c r="M38" s="57" t="s">
        <v>209</v>
      </c>
    </row>
    <row r="39" spans="1:13" x14ac:dyDescent="0.15">
      <c r="A39" s="78" t="s">
        <v>199</v>
      </c>
      <c r="B39" s="79">
        <f>floors!$C$2</f>
        <v>30046</v>
      </c>
      <c r="C39" s="80" t="str">
        <f ca="1">VLOOKUP($B39,OFFSET([2]quests!$A$1,0,0,COUNTA([2]quests!$A:$A),MATCH(C$1,[2]quests!$1:$1,0)-MATCH($B$1,[2]quests!$1:$1,0)+1),MATCH(C$1,[2]quests!$1:$1,0)-MATCH($B$1,[2]quests!$1:$1,0)+1,FALSE)</f>
        <v>千利の道も一歩から！</v>
      </c>
      <c r="D39" s="80" t="str">
        <f ca="1">VLOOKUP($B39,OFFSET([2]quests!$A$1,0,0,COUNTA([2]quests!$A:$A),MATCH(D$1,[2]quests!$1:$1,0)-MATCH($B$1,[2]quests!$1:$1,0)+1),MATCH(D$1,[2]quests!$1:$1,0)-MATCH($B$1,[2]quests!$1:$1,0)+1,FALSE)</f>
        <v>戦国シリーズ第二弾　超級</v>
      </c>
      <c r="E39" s="84">
        <v>2</v>
      </c>
      <c r="F39" s="80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39" s="80" t="str">
        <f ca="1">VLOOKUP($B39&amp;"_"&amp;$E39,OFFSET([2]stages!$A$1,0,0,COUNTA([2]stages!$A:$A),MATCH(G$1,[2]stages!$2:$2,0)-MATCH("temp_stage",[2]stages!$2:$2,0)+1),MATCH(G$1,[2]stages!$2:$2,0)-MATCH("temp_stage",[2]stages!$2:$2,0)+1,FALSE)</f>
        <v>戦国シリーズ第二弾　超級</v>
      </c>
      <c r="H39" s="82">
        <v>0</v>
      </c>
      <c r="I39" s="93">
        <v>10</v>
      </c>
      <c r="J39" s="81" t="s">
        <v>196</v>
      </c>
      <c r="K39" s="90" t="str">
        <f>VLOOKUP(I39,[6]stage_hints!$A:$C,3,FALSE)</f>
        <v>土日に大量のビットを獲得</v>
      </c>
      <c r="L39" s="91" t="str">
        <f>VLOOKUP(I39,[6]stage_hints!$A:$D,4,FALSE)</f>
        <v>土日限定の「ゴールドカジノ」では_x000D_売却素材ユニットが多く手に入ります</v>
      </c>
      <c r="M39" s="57" t="s">
        <v>209</v>
      </c>
    </row>
    <row r="40" spans="1:13" x14ac:dyDescent="0.15">
      <c r="A40" s="78" t="s">
        <v>199</v>
      </c>
      <c r="B40" s="79">
        <f>floors!$C$2</f>
        <v>30046</v>
      </c>
      <c r="C40" s="80" t="str">
        <f ca="1">VLOOKUP($B40,OFFSET([2]quests!$A$1,0,0,COUNTA([2]quests!$A:$A),MATCH(C$1,[2]quests!$1:$1,0)-MATCH($B$1,[2]quests!$1:$1,0)+1),MATCH(C$1,[2]quests!$1:$1,0)-MATCH($B$1,[2]quests!$1:$1,0)+1,FALSE)</f>
        <v>千利の道も一歩から！</v>
      </c>
      <c r="D40" s="80" t="str">
        <f ca="1">VLOOKUP($B40,OFFSET([2]quests!$A$1,0,0,COUNTA([2]quests!$A:$A),MATCH(D$1,[2]quests!$1:$1,0)-MATCH($B$1,[2]quests!$1:$1,0)+1),MATCH(D$1,[2]quests!$1:$1,0)-MATCH($B$1,[2]quests!$1:$1,0)+1,FALSE)</f>
        <v>戦国シリーズ第二弾　超級</v>
      </c>
      <c r="E40" s="84">
        <v>2</v>
      </c>
      <c r="F40" s="80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40" s="80" t="str">
        <f ca="1">VLOOKUP($B40&amp;"_"&amp;$E40,OFFSET([2]stages!$A$1,0,0,COUNTA([2]stages!$A:$A),MATCH(G$1,[2]stages!$2:$2,0)-MATCH("temp_stage",[2]stages!$2:$2,0)+1),MATCH(G$1,[2]stages!$2:$2,0)-MATCH("temp_stage",[2]stages!$2:$2,0)+1,FALSE)</f>
        <v>戦国シリーズ第二弾　超級</v>
      </c>
      <c r="H40" s="82">
        <v>0</v>
      </c>
      <c r="I40" s="93">
        <v>11</v>
      </c>
      <c r="J40" s="81" t="s">
        <v>196</v>
      </c>
      <c r="K40" s="90" t="str">
        <f>VLOOKUP(I40,[6]stage_hints!$A:$C,3,FALSE)</f>
        <v>ランク解放クエスト</v>
      </c>
      <c r="L40" s="91" t="str">
        <f>VLOOKUP(I40,[6]stage_hints!$A:$D,4,FALSE)</f>
        <v>一定ランクに到達すると_x000D_報酬付きのランク開放クエストが現れます</v>
      </c>
      <c r="M40" s="57" t="s">
        <v>209</v>
      </c>
    </row>
    <row r="41" spans="1:13" x14ac:dyDescent="0.15">
      <c r="A41" s="78" t="s">
        <v>199</v>
      </c>
      <c r="B41" s="79">
        <f>floors!$C$2</f>
        <v>30046</v>
      </c>
      <c r="C41" s="80" t="str">
        <f ca="1">VLOOKUP($B41,OFFSET([2]quests!$A$1,0,0,COUNTA([2]quests!$A:$A),MATCH(C$1,[2]quests!$1:$1,0)-MATCH($B$1,[2]quests!$1:$1,0)+1),MATCH(C$1,[2]quests!$1:$1,0)-MATCH($B$1,[2]quests!$1:$1,0)+1,FALSE)</f>
        <v>千利の道も一歩から！</v>
      </c>
      <c r="D41" s="80" t="str">
        <f ca="1">VLOOKUP($B41,OFFSET([2]quests!$A$1,0,0,COUNTA([2]quests!$A:$A),MATCH(D$1,[2]quests!$1:$1,0)-MATCH($B$1,[2]quests!$1:$1,0)+1),MATCH(D$1,[2]quests!$1:$1,0)-MATCH($B$1,[2]quests!$1:$1,0)+1,FALSE)</f>
        <v>戦国シリーズ第二弾　超級</v>
      </c>
      <c r="E41" s="84">
        <v>2</v>
      </c>
      <c r="F41" s="80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41" s="80" t="str">
        <f ca="1">VLOOKUP($B41&amp;"_"&amp;$E41,OFFSET([2]stages!$A$1,0,0,COUNTA([2]stages!$A:$A),MATCH(G$1,[2]stages!$2:$2,0)-MATCH("temp_stage",[2]stages!$2:$2,0)+1),MATCH(G$1,[2]stages!$2:$2,0)-MATCH("temp_stage",[2]stages!$2:$2,0)+1,FALSE)</f>
        <v>戦国シリーズ第二弾　超級</v>
      </c>
      <c r="H41" s="82">
        <v>0</v>
      </c>
      <c r="I41" s="93">
        <v>12</v>
      </c>
      <c r="J41" s="81" t="s">
        <v>196</v>
      </c>
      <c r="K41" s="90" t="str">
        <f>VLOOKUP(I41,[6]stage_hints!$A:$C,3,FALSE)</f>
        <v>ユニットのお気に入り登録</v>
      </c>
      <c r="L41" s="91" t="str">
        <f>VLOOKUP(I41,[6]stage_hints!$A:$D,4,FALSE)</f>
        <v>大事なユニットを誤って消さないように_x000D_フォルダから「お気に入り登録」しましょう</v>
      </c>
      <c r="M41" s="57" t="s">
        <v>209</v>
      </c>
    </row>
    <row r="42" spans="1:13" x14ac:dyDescent="0.15">
      <c r="A42" s="78" t="s">
        <v>199</v>
      </c>
      <c r="B42" s="79">
        <f>floors!$C$2</f>
        <v>30046</v>
      </c>
      <c r="C42" s="80" t="str">
        <f ca="1">VLOOKUP($B42,OFFSET([2]quests!$A$1,0,0,COUNTA([2]quests!$A:$A),MATCH(C$1,[2]quests!$1:$1,0)-MATCH($B$1,[2]quests!$1:$1,0)+1),MATCH(C$1,[2]quests!$1:$1,0)-MATCH($B$1,[2]quests!$1:$1,0)+1,FALSE)</f>
        <v>千利の道も一歩から！</v>
      </c>
      <c r="D42" s="80" t="str">
        <f ca="1">VLOOKUP($B42,OFFSET([2]quests!$A$1,0,0,COUNTA([2]quests!$A:$A),MATCH(D$1,[2]quests!$1:$1,0)-MATCH($B$1,[2]quests!$1:$1,0)+1),MATCH(D$1,[2]quests!$1:$1,0)-MATCH($B$1,[2]quests!$1:$1,0)+1,FALSE)</f>
        <v>戦国シリーズ第二弾　超級</v>
      </c>
      <c r="E42" s="84">
        <v>2</v>
      </c>
      <c r="F42" s="80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42" s="80" t="str">
        <f ca="1">VLOOKUP($B42&amp;"_"&amp;$E42,OFFSET([2]stages!$A$1,0,0,COUNTA([2]stages!$A:$A),MATCH(G$1,[2]stages!$2:$2,0)-MATCH("temp_stage",[2]stages!$2:$2,0)+1),MATCH(G$1,[2]stages!$2:$2,0)-MATCH("temp_stage",[2]stages!$2:$2,0)+1,FALSE)</f>
        <v>戦国シリーズ第二弾　超級</v>
      </c>
      <c r="H42" s="82">
        <v>0</v>
      </c>
      <c r="I42" s="93">
        <v>13</v>
      </c>
      <c r="J42" s="81" t="s">
        <v>196</v>
      </c>
      <c r="K42" s="90" t="str">
        <f>VLOOKUP(I42,[6]stage_hints!$A:$C,3,FALSE)</f>
        <v>ユニットの覚醒</v>
      </c>
      <c r="L42" s="91" t="str">
        <f>VLOOKUP(I42,[6]stage_hints!$A:$D,4,FALSE)</f>
        <v>ユニットを覚醒させると_x000D_比べものにならない強さが手に入ります</v>
      </c>
      <c r="M42" s="57" t="s">
        <v>209</v>
      </c>
    </row>
    <row r="43" spans="1:13" x14ac:dyDescent="0.15">
      <c r="A43" s="78" t="s">
        <v>199</v>
      </c>
      <c r="B43" s="79">
        <f>floors!$C$2</f>
        <v>30046</v>
      </c>
      <c r="C43" s="80" t="str">
        <f ca="1">VLOOKUP($B43,OFFSET([2]quests!$A$1,0,0,COUNTA([2]quests!$A:$A),MATCH(C$1,[2]quests!$1:$1,0)-MATCH($B$1,[2]quests!$1:$1,0)+1),MATCH(C$1,[2]quests!$1:$1,0)-MATCH($B$1,[2]quests!$1:$1,0)+1,FALSE)</f>
        <v>千利の道も一歩から！</v>
      </c>
      <c r="D43" s="80" t="str">
        <f ca="1">VLOOKUP($B43,OFFSET([2]quests!$A$1,0,0,COUNTA([2]quests!$A:$A),MATCH(D$1,[2]quests!$1:$1,0)-MATCH($B$1,[2]quests!$1:$1,0)+1),MATCH(D$1,[2]quests!$1:$1,0)-MATCH($B$1,[2]quests!$1:$1,0)+1,FALSE)</f>
        <v>戦国シリーズ第二弾　超級</v>
      </c>
      <c r="E43" s="84">
        <v>2</v>
      </c>
      <c r="F43" s="80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43" s="80" t="str">
        <f ca="1">VLOOKUP($B43&amp;"_"&amp;$E43,OFFSET([2]stages!$A$1,0,0,COUNTA([2]stages!$A:$A),MATCH(G$1,[2]stages!$2:$2,0)-MATCH("temp_stage",[2]stages!$2:$2,0)+1),MATCH(G$1,[2]stages!$2:$2,0)-MATCH("temp_stage",[2]stages!$2:$2,0)+1,FALSE)</f>
        <v>戦国シリーズ第二弾　超級</v>
      </c>
      <c r="H43" s="82">
        <v>0</v>
      </c>
      <c r="I43" s="93">
        <v>14</v>
      </c>
      <c r="J43" s="81" t="s">
        <v>196</v>
      </c>
      <c r="K43" s="90" t="str">
        <f>VLOOKUP(I43,[6]stage_hints!$A:$C,3,FALSE)</f>
        <v>覚醒するにはレベルを最大に</v>
      </c>
      <c r="L43" s="91" t="str">
        <f>VLOOKUP(I43,[6]stage_hints!$A:$D,4,FALSE)</f>
        <v>覚醒するにはユニットのレベルを_x000D_最大まで上げる必要があります</v>
      </c>
      <c r="M43" s="57" t="s">
        <v>209</v>
      </c>
    </row>
    <row r="44" spans="1:13" x14ac:dyDescent="0.15">
      <c r="A44" s="78" t="s">
        <v>199</v>
      </c>
      <c r="B44" s="79">
        <f>floors!$C$2</f>
        <v>30046</v>
      </c>
      <c r="C44" s="80" t="str">
        <f ca="1">VLOOKUP($B44,OFFSET([2]quests!$A$1,0,0,COUNTA([2]quests!$A:$A),MATCH(C$1,[2]quests!$1:$1,0)-MATCH($B$1,[2]quests!$1:$1,0)+1),MATCH(C$1,[2]quests!$1:$1,0)-MATCH($B$1,[2]quests!$1:$1,0)+1,FALSE)</f>
        <v>千利の道も一歩から！</v>
      </c>
      <c r="D44" s="80" t="str">
        <f ca="1">VLOOKUP($B44,OFFSET([2]quests!$A$1,0,0,COUNTA([2]quests!$A:$A),MATCH(D$1,[2]quests!$1:$1,0)-MATCH($B$1,[2]quests!$1:$1,0)+1),MATCH(D$1,[2]quests!$1:$1,0)-MATCH($B$1,[2]quests!$1:$1,0)+1,FALSE)</f>
        <v>戦国シリーズ第二弾　超級</v>
      </c>
      <c r="E44" s="84">
        <v>2</v>
      </c>
      <c r="F44" s="80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44" s="80" t="str">
        <f ca="1">VLOOKUP($B44&amp;"_"&amp;$E44,OFFSET([2]stages!$A$1,0,0,COUNTA([2]stages!$A:$A),MATCH(G$1,[2]stages!$2:$2,0)-MATCH("temp_stage",[2]stages!$2:$2,0)+1),MATCH(G$1,[2]stages!$2:$2,0)-MATCH("temp_stage",[2]stages!$2:$2,0)+1,FALSE)</f>
        <v>戦国シリーズ第二弾　超級</v>
      </c>
      <c r="H44" s="82">
        <v>0</v>
      </c>
      <c r="I44" s="93">
        <v>15</v>
      </c>
      <c r="J44" s="81" t="s">
        <v>196</v>
      </c>
      <c r="K44" s="90" t="str">
        <f>VLOOKUP(I44,[6]stage_hints!$A:$C,3,FALSE)</f>
        <v>覚醒素材を獲得</v>
      </c>
      <c r="L44" s="91" t="str">
        <f>VLOOKUP(I44,[6]stage_hints!$A:$D,4,FALSE)</f>
        <v>「曜日クエスト」では_x000D_ユニットの覚醒に必要な素材が手に入ります</v>
      </c>
      <c r="M44" s="57" t="s">
        <v>209</v>
      </c>
    </row>
    <row r="45" spans="1:13" x14ac:dyDescent="0.15">
      <c r="A45" s="78" t="s">
        <v>199</v>
      </c>
      <c r="B45" s="79">
        <f>floors!$C$2</f>
        <v>30046</v>
      </c>
      <c r="C45" s="80" t="str">
        <f ca="1">VLOOKUP($B45,OFFSET([2]quests!$A$1,0,0,COUNTA([2]quests!$A:$A),MATCH(C$1,[2]quests!$1:$1,0)-MATCH($B$1,[2]quests!$1:$1,0)+1),MATCH(C$1,[2]quests!$1:$1,0)-MATCH($B$1,[2]quests!$1:$1,0)+1,FALSE)</f>
        <v>千利の道も一歩から！</v>
      </c>
      <c r="D45" s="80" t="str">
        <f ca="1">VLOOKUP($B45,OFFSET([2]quests!$A$1,0,0,COUNTA([2]quests!$A:$A),MATCH(D$1,[2]quests!$1:$1,0)-MATCH($B$1,[2]quests!$1:$1,0)+1),MATCH(D$1,[2]quests!$1:$1,0)-MATCH($B$1,[2]quests!$1:$1,0)+1,FALSE)</f>
        <v>戦国シリーズ第二弾　超級</v>
      </c>
      <c r="E45" s="84">
        <v>2</v>
      </c>
      <c r="F45" s="80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45" s="80" t="str">
        <f ca="1">VLOOKUP($B45&amp;"_"&amp;$E45,OFFSET([2]stages!$A$1,0,0,COUNTA([2]stages!$A:$A),MATCH(G$1,[2]stages!$2:$2,0)-MATCH("temp_stage",[2]stages!$2:$2,0)+1),MATCH(G$1,[2]stages!$2:$2,0)-MATCH("temp_stage",[2]stages!$2:$2,0)+1,FALSE)</f>
        <v>戦国シリーズ第二弾　超級</v>
      </c>
      <c r="H45" s="82">
        <v>0</v>
      </c>
      <c r="I45" s="93">
        <v>16</v>
      </c>
      <c r="J45" s="81" t="s">
        <v>196</v>
      </c>
      <c r="K45" s="90" t="str">
        <f>VLOOKUP(I45,[6]stage_hints!$A:$C,3,FALSE)</f>
        <v>マルチプレイのメリット（その1）</v>
      </c>
      <c r="L45" s="91" t="str">
        <f>VLOOKUP(I45,[6]stage_hints!$A:$D,4,FALSE)</f>
        <v>他のプレイヤーとマルチプレイで遊ぶと_x000D_ポリゴンがもらえます（100人まで）</v>
      </c>
      <c r="M45" s="57" t="s">
        <v>209</v>
      </c>
    </row>
    <row r="46" spans="1:13" x14ac:dyDescent="0.15">
      <c r="A46" s="78" t="s">
        <v>199</v>
      </c>
      <c r="B46" s="79">
        <f>floors!$C$2</f>
        <v>30046</v>
      </c>
      <c r="C46" s="80" t="str">
        <f ca="1">VLOOKUP($B46,OFFSET([2]quests!$A$1,0,0,COUNTA([2]quests!$A:$A),MATCH(C$1,[2]quests!$1:$1,0)-MATCH($B$1,[2]quests!$1:$1,0)+1),MATCH(C$1,[2]quests!$1:$1,0)-MATCH($B$1,[2]quests!$1:$1,0)+1,FALSE)</f>
        <v>千利の道も一歩から！</v>
      </c>
      <c r="D46" s="80" t="str">
        <f ca="1">VLOOKUP($B46,OFFSET([2]quests!$A$1,0,0,COUNTA([2]quests!$A:$A),MATCH(D$1,[2]quests!$1:$1,0)-MATCH($B$1,[2]quests!$1:$1,0)+1),MATCH(D$1,[2]quests!$1:$1,0)-MATCH($B$1,[2]quests!$1:$1,0)+1,FALSE)</f>
        <v>戦国シリーズ第二弾　超級</v>
      </c>
      <c r="E46" s="84">
        <v>2</v>
      </c>
      <c r="F46" s="80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46" s="80" t="str">
        <f ca="1">VLOOKUP($B46&amp;"_"&amp;$E46,OFFSET([2]stages!$A$1,0,0,COUNTA([2]stages!$A:$A),MATCH(G$1,[2]stages!$2:$2,0)-MATCH("temp_stage",[2]stages!$2:$2,0)+1),MATCH(G$1,[2]stages!$2:$2,0)-MATCH("temp_stage",[2]stages!$2:$2,0)+1,FALSE)</f>
        <v>戦国シリーズ第二弾　超級</v>
      </c>
      <c r="H46" s="82">
        <v>0</v>
      </c>
      <c r="I46" s="93">
        <v>17</v>
      </c>
      <c r="J46" s="81" t="s">
        <v>196</v>
      </c>
      <c r="K46" s="90" t="str">
        <f>VLOOKUP(I46,[6]stage_hints!$A:$C,3,FALSE)</f>
        <v>リンクガチャ</v>
      </c>
      <c r="L46" s="91" t="str">
        <f>VLOOKUP(I46,[6]stage_hints!$A:$D,4,FALSE)</f>
        <v>無料のリンクガチャを回して_x000D_経験値素材や売却素材を獲得しましょう</v>
      </c>
      <c r="M46" s="57" t="s">
        <v>209</v>
      </c>
    </row>
    <row r="47" spans="1:13" x14ac:dyDescent="0.15">
      <c r="A47" s="78" t="s">
        <v>199</v>
      </c>
      <c r="B47" s="79">
        <f>floors!$C$2</f>
        <v>30046</v>
      </c>
      <c r="C47" s="80" t="str">
        <f ca="1">VLOOKUP($B47,OFFSET([2]quests!$A$1,0,0,COUNTA([2]quests!$A:$A),MATCH(C$1,[2]quests!$1:$1,0)-MATCH($B$1,[2]quests!$1:$1,0)+1),MATCH(C$1,[2]quests!$1:$1,0)-MATCH($B$1,[2]quests!$1:$1,0)+1,FALSE)</f>
        <v>千利の道も一歩から！</v>
      </c>
      <c r="D47" s="80" t="str">
        <f ca="1">VLOOKUP($B47,OFFSET([2]quests!$A$1,0,0,COUNTA([2]quests!$A:$A),MATCH(D$1,[2]quests!$1:$1,0)-MATCH($B$1,[2]quests!$1:$1,0)+1),MATCH(D$1,[2]quests!$1:$1,0)-MATCH($B$1,[2]quests!$1:$1,0)+1,FALSE)</f>
        <v>戦国シリーズ第二弾　超級</v>
      </c>
      <c r="E47" s="84">
        <v>2</v>
      </c>
      <c r="F47" s="80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47" s="80" t="str">
        <f ca="1">VLOOKUP($B47&amp;"_"&amp;$E47,OFFSET([2]stages!$A$1,0,0,COUNTA([2]stages!$A:$A),MATCH(G$1,[2]stages!$2:$2,0)-MATCH("temp_stage",[2]stages!$2:$2,0)+1),MATCH(G$1,[2]stages!$2:$2,0)-MATCH("temp_stage",[2]stages!$2:$2,0)+1,FALSE)</f>
        <v>戦国シリーズ第二弾　超級</v>
      </c>
      <c r="H47" s="82">
        <v>0</v>
      </c>
      <c r="I47" s="93">
        <v>18</v>
      </c>
      <c r="J47" s="81" t="s">
        <v>196</v>
      </c>
      <c r="K47" s="90" t="str">
        <f>VLOOKUP(I47,[6]stage_hints!$A:$C,3,FALSE)</f>
        <v>マルチプレイのメリット（その2）</v>
      </c>
      <c r="L47" s="91" t="str">
        <f>VLOOKUP(I47,[6]stage_hints!$A:$D,4,FALSE)</f>
        <v>マルチプレイならリンクが2倍もらえます_x000D_リンクガチャをたくさん回しましょう</v>
      </c>
      <c r="M47" s="57" t="s">
        <v>209</v>
      </c>
    </row>
    <row r="48" spans="1:13" x14ac:dyDescent="0.15">
      <c r="A48" s="78" t="s">
        <v>199</v>
      </c>
      <c r="B48" s="79">
        <f>floors!$C$2</f>
        <v>30046</v>
      </c>
      <c r="C48" s="80" t="str">
        <f ca="1">VLOOKUP($B48,OFFSET([2]quests!$A$1,0,0,COUNTA([2]quests!$A:$A),MATCH(C$1,[2]quests!$1:$1,0)-MATCH($B$1,[2]quests!$1:$1,0)+1),MATCH(C$1,[2]quests!$1:$1,0)-MATCH($B$1,[2]quests!$1:$1,0)+1,FALSE)</f>
        <v>千利の道も一歩から！</v>
      </c>
      <c r="D48" s="80" t="str">
        <f ca="1">VLOOKUP($B48,OFFSET([2]quests!$A$1,0,0,COUNTA([2]quests!$A:$A),MATCH(D$1,[2]quests!$1:$1,0)-MATCH($B$1,[2]quests!$1:$1,0)+1),MATCH(D$1,[2]quests!$1:$1,0)-MATCH($B$1,[2]quests!$1:$1,0)+1,FALSE)</f>
        <v>戦国シリーズ第二弾　超級</v>
      </c>
      <c r="E48" s="84">
        <v>2</v>
      </c>
      <c r="F48" s="80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48" s="80" t="str">
        <f ca="1">VLOOKUP($B48&amp;"_"&amp;$E48,OFFSET([2]stages!$A$1,0,0,COUNTA([2]stages!$A:$A),MATCH(G$1,[2]stages!$2:$2,0)-MATCH("temp_stage",[2]stages!$2:$2,0)+1),MATCH(G$1,[2]stages!$2:$2,0)-MATCH("temp_stage",[2]stages!$2:$2,0)+1,FALSE)</f>
        <v>戦国シリーズ第二弾　超級</v>
      </c>
      <c r="H48" s="82">
        <v>0</v>
      </c>
      <c r="I48" s="93">
        <v>19</v>
      </c>
      <c r="J48" s="81" t="s">
        <v>196</v>
      </c>
      <c r="K48" s="90" t="str">
        <f>VLOOKUP(I48,[6]stage_hints!$A:$C,3,FALSE)</f>
        <v>ソロ専用タワーオブザクイーン</v>
      </c>
      <c r="L48" s="91" t="str">
        <f>VLOOKUP(I48,[6]stage_hints!$A:$D,4,FALSE)</f>
        <v>ソロ専用の「タワーオブザクイーン」は_x000D_期間限定で定期的に開催されます_x000D_ここでしか獲得できない報酬もあるようです</v>
      </c>
      <c r="M48" s="57" t="s">
        <v>209</v>
      </c>
    </row>
    <row r="49" spans="1:13" x14ac:dyDescent="0.15">
      <c r="A49" s="78" t="s">
        <v>199</v>
      </c>
      <c r="B49" s="79">
        <f>floors!$C$2</f>
        <v>30046</v>
      </c>
      <c r="C49" s="80" t="str">
        <f ca="1">VLOOKUP($B49,OFFSET([2]quests!$A$1,0,0,COUNTA([2]quests!$A:$A),MATCH(C$1,[2]quests!$1:$1,0)-MATCH($B$1,[2]quests!$1:$1,0)+1),MATCH(C$1,[2]quests!$1:$1,0)-MATCH($B$1,[2]quests!$1:$1,0)+1,FALSE)</f>
        <v>千利の道も一歩から！</v>
      </c>
      <c r="D49" s="80" t="str">
        <f ca="1">VLOOKUP($B49,OFFSET([2]quests!$A$1,0,0,COUNTA([2]quests!$A:$A),MATCH(D$1,[2]quests!$1:$1,0)-MATCH($B$1,[2]quests!$1:$1,0)+1),MATCH(D$1,[2]quests!$1:$1,0)-MATCH($B$1,[2]quests!$1:$1,0)+1,FALSE)</f>
        <v>戦国シリーズ第二弾　超級</v>
      </c>
      <c r="E49" s="84">
        <v>2</v>
      </c>
      <c r="F49" s="80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49" s="80" t="str">
        <f ca="1">VLOOKUP($B49&amp;"_"&amp;$E49,OFFSET([2]stages!$A$1,0,0,COUNTA([2]stages!$A:$A),MATCH(G$1,[2]stages!$2:$2,0)-MATCH("temp_stage",[2]stages!$2:$2,0)+1),MATCH(G$1,[2]stages!$2:$2,0)-MATCH("temp_stage",[2]stages!$2:$2,0)+1,FALSE)</f>
        <v>戦国シリーズ第二弾　超級</v>
      </c>
      <c r="H49" s="82">
        <v>0</v>
      </c>
      <c r="I49" s="93">
        <v>20</v>
      </c>
      <c r="J49" s="81" t="s">
        <v>196</v>
      </c>
      <c r="K49" s="90" t="str">
        <f>VLOOKUP(I49,[6]stage_hints!$A:$C,3,FALSE)</f>
        <v>マルチプレイのメリット（その3）</v>
      </c>
      <c r="L49" s="91" t="str">
        <f>VLOOKUP(I49,[6]stage_hints!$A:$D,4,FALSE)</f>
        <v>マルチプレイへの参加はエナジー消費ゼロ_x000D_いつでも好きなだけ遊ぶことができます</v>
      </c>
      <c r="M49" s="57" t="s">
        <v>209</v>
      </c>
    </row>
    <row r="50" spans="1:13" x14ac:dyDescent="0.15">
      <c r="A50" s="78" t="s">
        <v>199</v>
      </c>
      <c r="B50" s="79">
        <f>floors!$C$2</f>
        <v>30046</v>
      </c>
      <c r="C50" s="80" t="str">
        <f ca="1">VLOOKUP($B50,OFFSET([2]quests!$A$1,0,0,COUNTA([2]quests!$A:$A),MATCH(C$1,[2]quests!$1:$1,0)-MATCH($B$1,[2]quests!$1:$1,0)+1),MATCH(C$1,[2]quests!$1:$1,0)-MATCH($B$1,[2]quests!$1:$1,0)+1,FALSE)</f>
        <v>千利の道も一歩から！</v>
      </c>
      <c r="D50" s="80" t="str">
        <f ca="1">VLOOKUP($B50,OFFSET([2]quests!$A$1,0,0,COUNTA([2]quests!$A:$A),MATCH(D$1,[2]quests!$1:$1,0)-MATCH($B$1,[2]quests!$1:$1,0)+1),MATCH(D$1,[2]quests!$1:$1,0)-MATCH($B$1,[2]quests!$1:$1,0)+1,FALSE)</f>
        <v>戦国シリーズ第二弾　超級</v>
      </c>
      <c r="E50" s="84">
        <v>2</v>
      </c>
      <c r="F50" s="80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50" s="80" t="str">
        <f ca="1">VLOOKUP($B50&amp;"_"&amp;$E50,OFFSET([2]stages!$A$1,0,0,COUNTA([2]stages!$A:$A),MATCH(G$1,[2]stages!$2:$2,0)-MATCH("temp_stage",[2]stages!$2:$2,0)+1),MATCH(G$1,[2]stages!$2:$2,0)-MATCH("temp_stage",[2]stages!$2:$2,0)+1,FALSE)</f>
        <v>戦国シリーズ第二弾　超級</v>
      </c>
      <c r="H50" s="82">
        <v>0</v>
      </c>
      <c r="I50" s="93">
        <v>21</v>
      </c>
      <c r="J50" s="81" t="s">
        <v>196</v>
      </c>
      <c r="K50" s="90" t="str">
        <f>VLOOKUP(I50,[6]stage_hints!$A:$C,3,FALSE)</f>
        <v>スキルを有効に</v>
      </c>
      <c r="L50" s="91" t="str">
        <f>VLOOKUP(I50,[6]stage_hints!$A:$D,4,FALSE)</f>
        <v>ターン経過でユニットのスキルが使えます_x000D_強力スキルでバトルを有利に進めましょう</v>
      </c>
      <c r="M50" s="57" t="s">
        <v>209</v>
      </c>
    </row>
    <row r="51" spans="1:13" x14ac:dyDescent="0.15">
      <c r="A51" s="78" t="s">
        <v>199</v>
      </c>
      <c r="B51" s="79">
        <f>floors!$C$2</f>
        <v>30046</v>
      </c>
      <c r="C51" s="80" t="str">
        <f ca="1">VLOOKUP($B51,OFFSET([2]quests!$A$1,0,0,COUNTA([2]quests!$A:$A),MATCH(C$1,[2]quests!$1:$1,0)-MATCH($B$1,[2]quests!$1:$1,0)+1),MATCH(C$1,[2]quests!$1:$1,0)-MATCH($B$1,[2]quests!$1:$1,0)+1,FALSE)</f>
        <v>千利の道も一歩から！</v>
      </c>
      <c r="D51" s="80" t="str">
        <f ca="1">VLOOKUP($B51,OFFSET([2]quests!$A$1,0,0,COUNTA([2]quests!$A:$A),MATCH(D$1,[2]quests!$1:$1,0)-MATCH($B$1,[2]quests!$1:$1,0)+1),MATCH(D$1,[2]quests!$1:$1,0)-MATCH($B$1,[2]quests!$1:$1,0)+1,FALSE)</f>
        <v>戦国シリーズ第二弾　超級</v>
      </c>
      <c r="E51" s="84">
        <v>2</v>
      </c>
      <c r="F51" s="80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51" s="80" t="str">
        <f ca="1">VLOOKUP($B51&amp;"_"&amp;$E51,OFFSET([2]stages!$A$1,0,0,COUNTA([2]stages!$A:$A),MATCH(G$1,[2]stages!$2:$2,0)-MATCH("temp_stage",[2]stages!$2:$2,0)+1),MATCH(G$1,[2]stages!$2:$2,0)-MATCH("temp_stage",[2]stages!$2:$2,0)+1,FALSE)</f>
        <v>戦国シリーズ第二弾　超級</v>
      </c>
      <c r="H51" s="82">
        <v>0</v>
      </c>
      <c r="I51" s="93">
        <v>22</v>
      </c>
      <c r="J51" s="81" t="s">
        <v>196</v>
      </c>
      <c r="K51" s="90" t="str">
        <f>VLOOKUP(I51,[6]stage_hints!$A:$C,3,FALSE)</f>
        <v>フィーバーで一発逆転（その1）</v>
      </c>
      <c r="L51" s="91" t="str">
        <f>VLOOKUP(I51,[6]stage_hints!$A:$D,4,FALSE)</f>
        <v>フィーバーは攻撃と回復を兼ね備えます_x000D_ピンチからの一発逆転を狙いましょう</v>
      </c>
      <c r="M51" s="57" t="s">
        <v>209</v>
      </c>
    </row>
    <row r="52" spans="1:13" x14ac:dyDescent="0.15">
      <c r="A52" s="78" t="s">
        <v>199</v>
      </c>
      <c r="B52" s="79">
        <f>floors!$C$2</f>
        <v>30046</v>
      </c>
      <c r="C52" s="80" t="str">
        <f ca="1">VLOOKUP($B52,OFFSET([2]quests!$A$1,0,0,COUNTA([2]quests!$A:$A),MATCH(C$1,[2]quests!$1:$1,0)-MATCH($B$1,[2]quests!$1:$1,0)+1),MATCH(C$1,[2]quests!$1:$1,0)-MATCH($B$1,[2]quests!$1:$1,0)+1,FALSE)</f>
        <v>千利の道も一歩から！</v>
      </c>
      <c r="D52" s="80" t="str">
        <f ca="1">VLOOKUP($B52,OFFSET([2]quests!$A$1,0,0,COUNTA([2]quests!$A:$A),MATCH(D$1,[2]quests!$1:$1,0)-MATCH($B$1,[2]quests!$1:$1,0)+1),MATCH(D$1,[2]quests!$1:$1,0)-MATCH($B$1,[2]quests!$1:$1,0)+1,FALSE)</f>
        <v>戦国シリーズ第二弾　超級</v>
      </c>
      <c r="E52" s="84">
        <v>2</v>
      </c>
      <c r="F52" s="80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52" s="80" t="str">
        <f ca="1">VLOOKUP($B52&amp;"_"&amp;$E52,OFFSET([2]stages!$A$1,0,0,COUNTA([2]stages!$A:$A),MATCH(G$1,[2]stages!$2:$2,0)-MATCH("temp_stage",[2]stages!$2:$2,0)+1),MATCH(G$1,[2]stages!$2:$2,0)-MATCH("temp_stage",[2]stages!$2:$2,0)+1,FALSE)</f>
        <v>戦国シリーズ第二弾　超級</v>
      </c>
      <c r="H52" s="82">
        <v>0</v>
      </c>
      <c r="I52" s="93">
        <v>23</v>
      </c>
      <c r="J52" s="81" t="s">
        <v>196</v>
      </c>
      <c r="K52" s="90" t="str">
        <f>VLOOKUP(I52,[6]stage_hints!$A:$C,3,FALSE)</f>
        <v>フィーバーで一発逆転（その2）</v>
      </c>
      <c r="L52" s="91" t="str">
        <f>VLOOKUP(I52,[6]stage_hints!$A:$D,4,FALSE)</f>
        <v>フィーバー中は虹色のボムパネルを狙って_x000D_画面上のパネルを一気に破壊しましょう</v>
      </c>
      <c r="M52" s="57" t="s">
        <v>209</v>
      </c>
    </row>
    <row r="53" spans="1:13" x14ac:dyDescent="0.15">
      <c r="A53" s="78" t="s">
        <v>199</v>
      </c>
      <c r="B53" s="79">
        <f>floors!$C$2</f>
        <v>30046</v>
      </c>
      <c r="C53" s="80" t="str">
        <f ca="1">VLOOKUP($B53,OFFSET([2]quests!$A$1,0,0,COUNTA([2]quests!$A:$A),MATCH(C$1,[2]quests!$1:$1,0)-MATCH($B$1,[2]quests!$1:$1,0)+1),MATCH(C$1,[2]quests!$1:$1,0)-MATCH($B$1,[2]quests!$1:$1,0)+1,FALSE)</f>
        <v>千利の道も一歩から！</v>
      </c>
      <c r="D53" s="80" t="str">
        <f ca="1">VLOOKUP($B53,OFFSET([2]quests!$A$1,0,0,COUNTA([2]quests!$A:$A),MATCH(D$1,[2]quests!$1:$1,0)-MATCH($B$1,[2]quests!$1:$1,0)+1),MATCH(D$1,[2]quests!$1:$1,0)-MATCH($B$1,[2]quests!$1:$1,0)+1,FALSE)</f>
        <v>戦国シリーズ第二弾　超級</v>
      </c>
      <c r="E53" s="84">
        <v>2</v>
      </c>
      <c r="F53" s="80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53" s="80" t="str">
        <f ca="1">VLOOKUP($B53&amp;"_"&amp;$E53,OFFSET([2]stages!$A$1,0,0,COUNTA([2]stages!$A:$A),MATCH(G$1,[2]stages!$2:$2,0)-MATCH("temp_stage",[2]stages!$2:$2,0)+1),MATCH(G$1,[2]stages!$2:$2,0)-MATCH("temp_stage",[2]stages!$2:$2,0)+1,FALSE)</f>
        <v>戦国シリーズ第二弾　超級</v>
      </c>
      <c r="H53" s="82">
        <v>0</v>
      </c>
      <c r="I53" s="93">
        <v>24</v>
      </c>
      <c r="J53" s="81" t="s">
        <v>196</v>
      </c>
      <c r="K53" s="90" t="str">
        <f>VLOOKUP(I53,[6]stage_hints!$A:$C,3,FALSE)</f>
        <v>りんごを使って限界突破</v>
      </c>
      <c r="L53" s="91" t="str">
        <f>VLOOKUP(I53,[6]stage_hints!$A:$D,4,FALSE)</f>
        <v>赤りんご(攻撃力) 青りんご(回復力)_x000D_緑りんご(体力)をユニット強化に使うと_x000D_ステータスが限界突破します（計99個迄）</v>
      </c>
      <c r="M53" s="57" t="s">
        <v>209</v>
      </c>
    </row>
    <row r="54" spans="1:13" x14ac:dyDescent="0.15">
      <c r="A54" s="78" t="s">
        <v>199</v>
      </c>
      <c r="B54" s="79">
        <f>floors!$C$2</f>
        <v>30046</v>
      </c>
      <c r="C54" s="80" t="str">
        <f ca="1">VLOOKUP($B54,OFFSET([2]quests!$A$1,0,0,COUNTA([2]quests!$A:$A),MATCH(C$1,[2]quests!$1:$1,0)-MATCH($B$1,[2]quests!$1:$1,0)+1),MATCH(C$1,[2]quests!$1:$1,0)-MATCH($B$1,[2]quests!$1:$1,0)+1,FALSE)</f>
        <v>千利の道も一歩から！</v>
      </c>
      <c r="D54" s="80" t="str">
        <f ca="1">VLOOKUP($B54,OFFSET([2]quests!$A$1,0,0,COUNTA([2]quests!$A:$A),MATCH(D$1,[2]quests!$1:$1,0)-MATCH($B$1,[2]quests!$1:$1,0)+1),MATCH(D$1,[2]quests!$1:$1,0)-MATCH($B$1,[2]quests!$1:$1,0)+1,FALSE)</f>
        <v>戦国シリーズ第二弾　超級</v>
      </c>
      <c r="E54" s="84">
        <v>2</v>
      </c>
      <c r="F54" s="80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54" s="80" t="str">
        <f ca="1">VLOOKUP($B54&amp;"_"&amp;$E54,OFFSET([2]stages!$A$1,0,0,COUNTA([2]stages!$A:$A),MATCH(G$1,[2]stages!$2:$2,0)-MATCH("temp_stage",[2]stages!$2:$2,0)+1),MATCH(G$1,[2]stages!$2:$2,0)-MATCH("temp_stage",[2]stages!$2:$2,0)+1,FALSE)</f>
        <v>戦国シリーズ第二弾　超級</v>
      </c>
      <c r="H54" s="82">
        <v>0</v>
      </c>
      <c r="I54" s="93">
        <v>25</v>
      </c>
      <c r="J54" s="81" t="s">
        <v>196</v>
      </c>
      <c r="K54" s="90" t="str">
        <f>VLOOKUP(I54,[6]stage_hints!$A:$C,3,FALSE)</f>
        <v>スキルレベルアップ</v>
      </c>
      <c r="L54" s="91" t="str">
        <f>VLOOKUP(I54,[6]stage_hints!$A:$D,4,FALSE)</f>
        <v>「クリスタルのりんご」を強化に使うと_x000D_スキルレベルを上げることができます</v>
      </c>
      <c r="M54" s="57" t="s">
        <v>209</v>
      </c>
    </row>
    <row r="55" spans="1:13" x14ac:dyDescent="0.15">
      <c r="A55" s="78" t="s">
        <v>199</v>
      </c>
      <c r="B55" s="79">
        <f>floors!$C$2</f>
        <v>30046</v>
      </c>
      <c r="C55" s="80" t="str">
        <f ca="1">VLOOKUP($B55,OFFSET([2]quests!$A$1,0,0,COUNTA([2]quests!$A:$A),MATCH(C$1,[2]quests!$1:$1,0)-MATCH($B$1,[2]quests!$1:$1,0)+1),MATCH(C$1,[2]quests!$1:$1,0)-MATCH($B$1,[2]quests!$1:$1,0)+1,FALSE)</f>
        <v>千利の道も一歩から！</v>
      </c>
      <c r="D55" s="80" t="str">
        <f ca="1">VLOOKUP($B55,OFFSET([2]quests!$A$1,0,0,COUNTA([2]quests!$A:$A),MATCH(D$1,[2]quests!$1:$1,0)-MATCH($B$1,[2]quests!$1:$1,0)+1),MATCH(D$1,[2]quests!$1:$1,0)-MATCH($B$1,[2]quests!$1:$1,0)+1,FALSE)</f>
        <v>戦国シリーズ第二弾　超級</v>
      </c>
      <c r="E55" s="84">
        <v>2</v>
      </c>
      <c r="F55" s="80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55" s="80" t="str">
        <f ca="1">VLOOKUP($B55&amp;"_"&amp;$E55,OFFSET([2]stages!$A$1,0,0,COUNTA([2]stages!$A:$A),MATCH(G$1,[2]stages!$2:$2,0)-MATCH("temp_stage",[2]stages!$2:$2,0)+1),MATCH(G$1,[2]stages!$2:$2,0)-MATCH("temp_stage",[2]stages!$2:$2,0)+1,FALSE)</f>
        <v>戦国シリーズ第二弾　超級</v>
      </c>
      <c r="H55" s="82">
        <v>0</v>
      </c>
      <c r="I55" s="93">
        <v>26</v>
      </c>
      <c r="J55" s="81" t="s">
        <v>196</v>
      </c>
      <c r="K55" s="90" t="str">
        <f>VLOOKUP(I55,[6]stage_hints!$A:$C,3,FALSE)</f>
        <v>スキルレベルの効果</v>
      </c>
      <c r="L55" s="91" t="str">
        <f>VLOOKUP(I55,[6]stage_hints!$A:$D,4,FALSE)</f>
        <v>スキルレベルが上がると_x000D_短いターンでスキルを使うことができます</v>
      </c>
      <c r="M55" s="57" t="s">
        <v>209</v>
      </c>
    </row>
    <row r="56" spans="1:13" x14ac:dyDescent="0.15">
      <c r="A56" s="78" t="s">
        <v>199</v>
      </c>
      <c r="B56" s="79">
        <f>floors!$C$2</f>
        <v>30046</v>
      </c>
      <c r="C56" s="80" t="str">
        <f ca="1">VLOOKUP($B56,OFFSET([2]quests!$A$1,0,0,COUNTA([2]quests!$A:$A),MATCH(C$1,[2]quests!$1:$1,0)-MATCH($B$1,[2]quests!$1:$1,0)+1),MATCH(C$1,[2]quests!$1:$1,0)-MATCH($B$1,[2]quests!$1:$1,0)+1,FALSE)</f>
        <v>千利の道も一歩から！</v>
      </c>
      <c r="D56" s="80" t="str">
        <f ca="1">VLOOKUP($B56,OFFSET([2]quests!$A$1,0,0,COUNTA([2]quests!$A:$A),MATCH(D$1,[2]quests!$1:$1,0)-MATCH($B$1,[2]quests!$1:$1,0)+1),MATCH(D$1,[2]quests!$1:$1,0)-MATCH($B$1,[2]quests!$1:$1,0)+1,FALSE)</f>
        <v>戦国シリーズ第二弾　超級</v>
      </c>
      <c r="E56" s="84">
        <v>2</v>
      </c>
      <c r="F56" s="80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56" s="80" t="str">
        <f ca="1">VLOOKUP($B56&amp;"_"&amp;$E56,OFFSET([2]stages!$A$1,0,0,COUNTA([2]stages!$A:$A),MATCH(G$1,[2]stages!$2:$2,0)-MATCH("temp_stage",[2]stages!$2:$2,0)+1),MATCH(G$1,[2]stages!$2:$2,0)-MATCH("temp_stage",[2]stages!$2:$2,0)+1,FALSE)</f>
        <v>戦国シリーズ第二弾　超級</v>
      </c>
      <c r="H56" s="82">
        <v>0</v>
      </c>
      <c r="I56" s="93">
        <v>27</v>
      </c>
      <c r="J56" s="81" t="s">
        <v>196</v>
      </c>
      <c r="K56" s="90" t="str">
        <f>VLOOKUP(I56,[6]stage_hints!$A:$C,3,FALSE)</f>
        <v>ホーム画面からデッキを編成</v>
      </c>
      <c r="L56" s="91" t="str">
        <f>VLOOKUP(I56,[6]stage_hints!$A:$D,4,FALSE)</f>
        <v>ホーム画面でユニットを長押しすると_x000D_すぐにパーティ編成に移動できます</v>
      </c>
      <c r="M56" s="57" t="s">
        <v>209</v>
      </c>
    </row>
    <row r="57" spans="1:13" x14ac:dyDescent="0.15">
      <c r="A57" s="78" t="s">
        <v>199</v>
      </c>
      <c r="B57" s="79">
        <f>floors!$C$2</f>
        <v>30046</v>
      </c>
      <c r="C57" s="80" t="str">
        <f ca="1">VLOOKUP($B57,OFFSET([2]quests!$A$1,0,0,COUNTA([2]quests!$A:$A),MATCH(C$1,[2]quests!$1:$1,0)-MATCH($B$1,[2]quests!$1:$1,0)+1),MATCH(C$1,[2]quests!$1:$1,0)-MATCH($B$1,[2]quests!$1:$1,0)+1,FALSE)</f>
        <v>千利の道も一歩から！</v>
      </c>
      <c r="D57" s="80" t="str">
        <f ca="1">VLOOKUP($B57,OFFSET([2]quests!$A$1,0,0,COUNTA([2]quests!$A:$A),MATCH(D$1,[2]quests!$1:$1,0)-MATCH($B$1,[2]quests!$1:$1,0)+1),MATCH(D$1,[2]quests!$1:$1,0)-MATCH($B$1,[2]quests!$1:$1,0)+1,FALSE)</f>
        <v>戦国シリーズ第二弾　超級</v>
      </c>
      <c r="E57" s="84">
        <v>2</v>
      </c>
      <c r="F57" s="80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57" s="80" t="str">
        <f ca="1">VLOOKUP($B57&amp;"_"&amp;$E57,OFFSET([2]stages!$A$1,0,0,COUNTA([2]stages!$A:$A),MATCH(G$1,[2]stages!$2:$2,0)-MATCH("temp_stage",[2]stages!$2:$2,0)+1),MATCH(G$1,[2]stages!$2:$2,0)-MATCH("temp_stage",[2]stages!$2:$2,0)+1,FALSE)</f>
        <v>戦国シリーズ第二弾　超級</v>
      </c>
      <c r="H57" s="82">
        <v>0</v>
      </c>
      <c r="I57" s="93">
        <v>28</v>
      </c>
      <c r="J57" s="81" t="s">
        <v>196</v>
      </c>
      <c r="K57" s="90" t="str">
        <f>VLOOKUP(I57,[6]stage_hints!$A:$C,3,FALSE)</f>
        <v>ステータス情報は長押しで</v>
      </c>
      <c r="L57" s="91" t="str">
        <f>VLOOKUP(I57,[6]stage_hints!$A:$D,4,FALSE)</f>
        <v>ユニットのアイコンを長押しすると_x000D_ステータス情報を確認することができます</v>
      </c>
      <c r="M57" s="57" t="s">
        <v>209</v>
      </c>
    </row>
    <row r="58" spans="1:13" x14ac:dyDescent="0.15">
      <c r="A58" s="78" t="s">
        <v>199</v>
      </c>
      <c r="B58" s="79">
        <f>floors!$C$2</f>
        <v>30046</v>
      </c>
      <c r="C58" s="80" t="str">
        <f ca="1">VLOOKUP($B58,OFFSET([2]quests!$A$1,0,0,COUNTA([2]quests!$A:$A),MATCH(C$1,[2]quests!$1:$1,0)-MATCH($B$1,[2]quests!$1:$1,0)+1),MATCH(C$1,[2]quests!$1:$1,0)-MATCH($B$1,[2]quests!$1:$1,0)+1,FALSE)</f>
        <v>千利の道も一歩から！</v>
      </c>
      <c r="D58" s="80" t="str">
        <f ca="1">VLOOKUP($B58,OFFSET([2]quests!$A$1,0,0,COUNTA([2]quests!$A:$A),MATCH(D$1,[2]quests!$1:$1,0)-MATCH($B$1,[2]quests!$1:$1,0)+1),MATCH(D$1,[2]quests!$1:$1,0)-MATCH($B$1,[2]quests!$1:$1,0)+1,FALSE)</f>
        <v>戦国シリーズ第二弾　超級</v>
      </c>
      <c r="E58" s="84">
        <v>2</v>
      </c>
      <c r="F58" s="80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58" s="80" t="str">
        <f ca="1">VLOOKUP($B58&amp;"_"&amp;$E58,OFFSET([2]stages!$A$1,0,0,COUNTA([2]stages!$A:$A),MATCH(G$1,[2]stages!$2:$2,0)-MATCH("temp_stage",[2]stages!$2:$2,0)+1),MATCH(G$1,[2]stages!$2:$2,0)-MATCH("temp_stage",[2]stages!$2:$2,0)+1,FALSE)</f>
        <v>戦国シリーズ第二弾　超級</v>
      </c>
      <c r="H58" s="82">
        <v>0</v>
      </c>
      <c r="I58" s="93">
        <v>29</v>
      </c>
      <c r="J58" s="81" t="s">
        <v>196</v>
      </c>
      <c r="K58" s="90" t="str">
        <f>VLOOKUP(I58,[6]stage_hints!$A:$C,3,FALSE)</f>
        <v>「バグ」のメリット</v>
      </c>
      <c r="L58" s="91" t="str">
        <f>VLOOKUP(I58,[6]stage_hints!$A:$D,4,FALSE)</f>
        <v>ユニットの「バグ」を増やすと_x000D_報酬をもらえる確率がアップします</v>
      </c>
      <c r="M58" s="57" t="s">
        <v>209</v>
      </c>
    </row>
    <row r="59" spans="1:13" x14ac:dyDescent="0.15">
      <c r="A59" s="78" t="s">
        <v>199</v>
      </c>
      <c r="B59" s="79">
        <f>floors!$C$2</f>
        <v>30046</v>
      </c>
      <c r="C59" s="80" t="str">
        <f ca="1">VLOOKUP($B59,OFFSET([2]quests!$A$1,0,0,COUNTA([2]quests!$A:$A),MATCH(C$1,[2]quests!$1:$1,0)-MATCH($B$1,[2]quests!$1:$1,0)+1),MATCH(C$1,[2]quests!$1:$1,0)-MATCH($B$1,[2]quests!$1:$1,0)+1,FALSE)</f>
        <v>千利の道も一歩から！</v>
      </c>
      <c r="D59" s="80" t="str">
        <f ca="1">VLOOKUP($B59,OFFSET([2]quests!$A$1,0,0,COUNTA([2]quests!$A:$A),MATCH(D$1,[2]quests!$1:$1,0)-MATCH($B$1,[2]quests!$1:$1,0)+1),MATCH(D$1,[2]quests!$1:$1,0)-MATCH($B$1,[2]quests!$1:$1,0)+1,FALSE)</f>
        <v>戦国シリーズ第二弾　超級</v>
      </c>
      <c r="E59" s="84">
        <v>2</v>
      </c>
      <c r="F59" s="80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59" s="80" t="str">
        <f ca="1">VLOOKUP($B59&amp;"_"&amp;$E59,OFFSET([2]stages!$A$1,0,0,COUNTA([2]stages!$A:$A),MATCH(G$1,[2]stages!$2:$2,0)-MATCH("temp_stage",[2]stages!$2:$2,0)+1),MATCH(G$1,[2]stages!$2:$2,0)-MATCH("temp_stage",[2]stages!$2:$2,0)+1,FALSE)</f>
        <v>戦国シリーズ第二弾　超級</v>
      </c>
      <c r="H59" s="82">
        <v>0</v>
      </c>
      <c r="I59" s="93">
        <v>30</v>
      </c>
      <c r="J59" s="81" t="s">
        <v>196</v>
      </c>
      <c r="K59" s="90" t="str">
        <f>VLOOKUP(I59,[6]stage_hints!$A:$C,3,FALSE)</f>
        <v>「バグ」の増やし方</v>
      </c>
      <c r="L59" s="91" t="str">
        <f>VLOOKUP(I59,[6]stage_hints!$A:$D,4,FALSE)</f>
        <v>同じユニット同士を強化で合成すると_x000D_「バグ」を増やすことができます</v>
      </c>
      <c r="M59" s="57" t="s">
        <v>209</v>
      </c>
    </row>
    <row r="60" spans="1:13" x14ac:dyDescent="0.15">
      <c r="A60" s="78" t="s">
        <v>199</v>
      </c>
      <c r="B60" s="79">
        <f>floors!$C$2</f>
        <v>30046</v>
      </c>
      <c r="C60" s="80" t="str">
        <f ca="1">VLOOKUP($B60,OFFSET([2]quests!$A$1,0,0,COUNTA([2]quests!$A:$A),MATCH(C$1,[2]quests!$1:$1,0)-MATCH($B$1,[2]quests!$1:$1,0)+1),MATCH(C$1,[2]quests!$1:$1,0)-MATCH($B$1,[2]quests!$1:$1,0)+1,FALSE)</f>
        <v>千利の道も一歩から！</v>
      </c>
      <c r="D60" s="80" t="str">
        <f ca="1">VLOOKUP($B60,OFFSET([2]quests!$A$1,0,0,COUNTA([2]quests!$A:$A),MATCH(D$1,[2]quests!$1:$1,0)-MATCH($B$1,[2]quests!$1:$1,0)+1),MATCH(D$1,[2]quests!$1:$1,0)-MATCH($B$1,[2]quests!$1:$1,0)+1,FALSE)</f>
        <v>戦国シリーズ第二弾　超級</v>
      </c>
      <c r="E60" s="84">
        <v>2</v>
      </c>
      <c r="F60" s="80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60" s="80" t="str">
        <f ca="1">VLOOKUP($B60&amp;"_"&amp;$E60,OFFSET([2]stages!$A$1,0,0,COUNTA([2]stages!$A:$A),MATCH(G$1,[2]stages!$2:$2,0)-MATCH("temp_stage",[2]stages!$2:$2,0)+1),MATCH(G$1,[2]stages!$2:$2,0)-MATCH("temp_stage",[2]stages!$2:$2,0)+1,FALSE)</f>
        <v>戦国シリーズ第二弾　超級</v>
      </c>
      <c r="H60" s="82">
        <v>0</v>
      </c>
      <c r="I60" s="93">
        <v>31</v>
      </c>
      <c r="J60" s="81" t="s">
        <v>196</v>
      </c>
      <c r="K60" s="90" t="str">
        <f>VLOOKUP(I60,[6]stage_hints!$A:$C,3,FALSE)</f>
        <v>イベントはお知らせでチェック</v>
      </c>
      <c r="L60" s="91" t="str">
        <f>VLOOKUP(I60,[6]stage_hints!$A:$D,4,FALSE)</f>
        <v>イベント限定ユニットを取り忘れないように_x000D_お知らせをこまめにチェックしましょう</v>
      </c>
      <c r="M60" s="57" t="s">
        <v>209</v>
      </c>
    </row>
    <row r="61" spans="1:13" x14ac:dyDescent="0.15">
      <c r="A61" s="78" t="s">
        <v>199</v>
      </c>
      <c r="B61" s="79">
        <f>floors!$C$2</f>
        <v>30046</v>
      </c>
      <c r="C61" s="80" t="str">
        <f ca="1">VLOOKUP($B61,OFFSET([2]quests!$A$1,0,0,COUNTA([2]quests!$A:$A),MATCH(C$1,[2]quests!$1:$1,0)-MATCH($B$1,[2]quests!$1:$1,0)+1),MATCH(C$1,[2]quests!$1:$1,0)-MATCH($B$1,[2]quests!$1:$1,0)+1,FALSE)</f>
        <v>千利の道も一歩から！</v>
      </c>
      <c r="D61" s="80" t="str">
        <f ca="1">VLOOKUP($B61,OFFSET([2]quests!$A$1,0,0,COUNTA([2]quests!$A:$A),MATCH(D$1,[2]quests!$1:$1,0)-MATCH($B$1,[2]quests!$1:$1,0)+1),MATCH(D$1,[2]quests!$1:$1,0)-MATCH($B$1,[2]quests!$1:$1,0)+1,FALSE)</f>
        <v>戦国シリーズ第二弾　超級</v>
      </c>
      <c r="E61" s="84">
        <v>2</v>
      </c>
      <c r="F61" s="80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61" s="80" t="str">
        <f ca="1">VLOOKUP($B61&amp;"_"&amp;$E61,OFFSET([2]stages!$A$1,0,0,COUNTA([2]stages!$A:$A),MATCH(G$1,[2]stages!$2:$2,0)-MATCH("temp_stage",[2]stages!$2:$2,0)+1),MATCH(G$1,[2]stages!$2:$2,0)-MATCH("temp_stage",[2]stages!$2:$2,0)+1,FALSE)</f>
        <v>戦国シリーズ第二弾　超級</v>
      </c>
      <c r="H61" s="82">
        <v>0</v>
      </c>
      <c r="I61" s="93">
        <v>32</v>
      </c>
      <c r="J61" s="81" t="s">
        <v>196</v>
      </c>
      <c r="K61" s="90" t="str">
        <f>VLOOKUP(I61,[6]stage_hints!$A:$C,3,FALSE)</f>
        <v>敵の連続攻撃には</v>
      </c>
      <c r="L61" s="91" t="str">
        <f>VLOOKUP(I61,[6]stage_hints!$A:$D,4,FALSE)</f>
        <v>カウンタースキルを持つユニットがいれば_x000D_ダメージ回数分の反撃ができます</v>
      </c>
      <c r="M61" s="57" t="s">
        <v>209</v>
      </c>
    </row>
    <row r="62" spans="1:13" x14ac:dyDescent="0.15">
      <c r="A62" s="78" t="s">
        <v>199</v>
      </c>
      <c r="B62" s="79">
        <f>floors!$C$2</f>
        <v>30046</v>
      </c>
      <c r="C62" s="80" t="str">
        <f ca="1">VLOOKUP($B62,OFFSET([2]quests!$A$1,0,0,COUNTA([2]quests!$A:$A),MATCH(C$1,[2]quests!$1:$1,0)-MATCH($B$1,[2]quests!$1:$1,0)+1),MATCH(C$1,[2]quests!$1:$1,0)-MATCH($B$1,[2]quests!$1:$1,0)+1,FALSE)</f>
        <v>千利の道も一歩から！</v>
      </c>
      <c r="D62" s="80" t="str">
        <f ca="1">VLOOKUP($B62,OFFSET([2]quests!$A$1,0,0,COUNTA([2]quests!$A:$A),MATCH(D$1,[2]quests!$1:$1,0)-MATCH($B$1,[2]quests!$1:$1,0)+1),MATCH(D$1,[2]quests!$1:$1,0)-MATCH($B$1,[2]quests!$1:$1,0)+1,FALSE)</f>
        <v>戦国シリーズ第二弾　超級</v>
      </c>
      <c r="E62" s="84">
        <v>2</v>
      </c>
      <c r="F62" s="80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62" s="80" t="str">
        <f ca="1">VLOOKUP($B62&amp;"_"&amp;$E62,OFFSET([2]stages!$A$1,0,0,COUNTA([2]stages!$A:$A),MATCH(G$1,[2]stages!$2:$2,0)-MATCH("temp_stage",[2]stages!$2:$2,0)+1),MATCH(G$1,[2]stages!$2:$2,0)-MATCH("temp_stage",[2]stages!$2:$2,0)+1,FALSE)</f>
        <v>戦国シリーズ第二弾　超級</v>
      </c>
      <c r="H62" s="82">
        <v>0</v>
      </c>
      <c r="I62" s="93">
        <v>33</v>
      </c>
      <c r="J62" s="81" t="s">
        <v>196</v>
      </c>
      <c r="K62" s="90" t="str">
        <f>VLOOKUP(I62,[6]stage_hints!$A:$C,3,FALSE)</f>
        <v>敵のカウンター攻撃には</v>
      </c>
      <c r="L62" s="91" t="str">
        <f>VLOOKUP(I62,[6]stage_hints!$A:$D,4,FALSE)</f>
        <v>カウンターブレイクスキルを持っていれば_x000D_敵のカウンターを解除して攻撃ができます</v>
      </c>
      <c r="M62" s="57" t="s">
        <v>209</v>
      </c>
    </row>
    <row r="63" spans="1:13" x14ac:dyDescent="0.15">
      <c r="A63" s="78" t="s">
        <v>199</v>
      </c>
      <c r="B63" s="79">
        <f>floors!$C$2</f>
        <v>30046</v>
      </c>
      <c r="C63" s="80" t="str">
        <f ca="1">VLOOKUP($B63,OFFSET([2]quests!$A$1,0,0,COUNTA([2]quests!$A:$A),MATCH(C$1,[2]quests!$1:$1,0)-MATCH($B$1,[2]quests!$1:$1,0)+1),MATCH(C$1,[2]quests!$1:$1,0)-MATCH($B$1,[2]quests!$1:$1,0)+1,FALSE)</f>
        <v>千利の道も一歩から！</v>
      </c>
      <c r="D63" s="80" t="str">
        <f ca="1">VLOOKUP($B63,OFFSET([2]quests!$A$1,0,0,COUNTA([2]quests!$A:$A),MATCH(D$1,[2]quests!$1:$1,0)-MATCH($B$1,[2]quests!$1:$1,0)+1),MATCH(D$1,[2]quests!$1:$1,0)-MATCH($B$1,[2]quests!$1:$1,0)+1,FALSE)</f>
        <v>戦国シリーズ第二弾　超級</v>
      </c>
      <c r="E63" s="84">
        <v>2</v>
      </c>
      <c r="F63" s="80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63" s="80" t="str">
        <f ca="1">VLOOKUP($B63&amp;"_"&amp;$E63,OFFSET([2]stages!$A$1,0,0,COUNTA([2]stages!$A:$A),MATCH(G$1,[2]stages!$2:$2,0)-MATCH("temp_stage",[2]stages!$2:$2,0)+1),MATCH(G$1,[2]stages!$2:$2,0)-MATCH("temp_stage",[2]stages!$2:$2,0)+1,FALSE)</f>
        <v>戦国シリーズ第二弾　超級</v>
      </c>
      <c r="H63" s="82">
        <v>0</v>
      </c>
      <c r="I63" s="93">
        <v>34</v>
      </c>
      <c r="J63" s="81" t="s">
        <v>196</v>
      </c>
      <c r="K63" s="90" t="str">
        <f>VLOOKUP(I63,[6]stage_hints!$A:$C,3,FALSE)</f>
        <v>ステータスをスキルで下げられたら</v>
      </c>
      <c r="L63" s="91" t="str">
        <f>VLOOKUP(I63,[6]stage_hints!$A:$D,4,FALSE)</f>
        <v>ステータスダウンのスキルを受けたら_x000D_ステータスアップスキルで上書きしましょう</v>
      </c>
      <c r="M63" s="57" t="s">
        <v>209</v>
      </c>
    </row>
    <row r="64" spans="1:13" x14ac:dyDescent="0.15">
      <c r="A64" s="78" t="s">
        <v>199</v>
      </c>
      <c r="B64" s="79">
        <f>floors!$C$2</f>
        <v>30046</v>
      </c>
      <c r="C64" s="80" t="str">
        <f ca="1">VLOOKUP($B64,OFFSET([2]quests!$A$1,0,0,COUNTA([2]quests!$A:$A),MATCH(C$1,[2]quests!$1:$1,0)-MATCH($B$1,[2]quests!$1:$1,0)+1),MATCH(C$1,[2]quests!$1:$1,0)-MATCH($B$1,[2]quests!$1:$1,0)+1,FALSE)</f>
        <v>千利の道も一歩から！</v>
      </c>
      <c r="D64" s="80" t="str">
        <f ca="1">VLOOKUP($B64,OFFSET([2]quests!$A$1,0,0,COUNTA([2]quests!$A:$A),MATCH(D$1,[2]quests!$1:$1,0)-MATCH($B$1,[2]quests!$1:$1,0)+1),MATCH(D$1,[2]quests!$1:$1,0)-MATCH($B$1,[2]quests!$1:$1,0)+1,FALSE)</f>
        <v>戦国シリーズ第二弾　超級</v>
      </c>
      <c r="E64" s="84">
        <v>2</v>
      </c>
      <c r="F64" s="80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64" s="80" t="str">
        <f ca="1">VLOOKUP($B64&amp;"_"&amp;$E64,OFFSET([2]stages!$A$1,0,0,COUNTA([2]stages!$A:$A),MATCH(G$1,[2]stages!$2:$2,0)-MATCH("temp_stage",[2]stages!$2:$2,0)+1),MATCH(G$1,[2]stages!$2:$2,0)-MATCH("temp_stage",[2]stages!$2:$2,0)+1,FALSE)</f>
        <v>戦国シリーズ第二弾　超級</v>
      </c>
      <c r="H64" s="82">
        <v>0</v>
      </c>
      <c r="I64" s="93">
        <v>35</v>
      </c>
      <c r="J64" s="81" t="s">
        <v>196</v>
      </c>
      <c r="K64" s="90" t="str">
        <f>VLOOKUP(I64,[6]stage_hints!$A:$C,3,FALSE)</f>
        <v>敵のステータスがスキルで上がったら</v>
      </c>
      <c r="L64" s="91" t="str">
        <f>VLOOKUP(I64,[6]stage_hints!$A:$D,4,FALSE)</f>
        <v>敵のステータスがスキルでアップしたときは_x000D_ステータスダウンスキルで上書きしましょう</v>
      </c>
      <c r="M64" s="57" t="s">
        <v>209</v>
      </c>
    </row>
    <row r="65" spans="1:13" x14ac:dyDescent="0.15">
      <c r="A65" s="78" t="s">
        <v>199</v>
      </c>
      <c r="B65" s="79">
        <f>floors!$C$2</f>
        <v>30046</v>
      </c>
      <c r="C65" s="80" t="str">
        <f ca="1">VLOOKUP($B65,OFFSET([2]quests!$A$1,0,0,COUNTA([2]quests!$A:$A),MATCH(C$1,[2]quests!$1:$1,0)-MATCH($B$1,[2]quests!$1:$1,0)+1),MATCH(C$1,[2]quests!$1:$1,0)-MATCH($B$1,[2]quests!$1:$1,0)+1,FALSE)</f>
        <v>千利の道も一歩から！</v>
      </c>
      <c r="D65" s="80" t="str">
        <f ca="1">VLOOKUP($B65,OFFSET([2]quests!$A$1,0,0,COUNTA([2]quests!$A:$A),MATCH(D$1,[2]quests!$1:$1,0)-MATCH($B$1,[2]quests!$1:$1,0)+1),MATCH(D$1,[2]quests!$1:$1,0)-MATCH($B$1,[2]quests!$1:$1,0)+1,FALSE)</f>
        <v>戦国シリーズ第二弾　超級</v>
      </c>
      <c r="E65" s="84">
        <v>2</v>
      </c>
      <c r="F65" s="80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65" s="80" t="str">
        <f ca="1">VLOOKUP($B65&amp;"_"&amp;$E65,OFFSET([2]stages!$A$1,0,0,COUNTA([2]stages!$A:$A),MATCH(G$1,[2]stages!$2:$2,0)-MATCH("temp_stage",[2]stages!$2:$2,0)+1),MATCH(G$1,[2]stages!$2:$2,0)-MATCH("temp_stage",[2]stages!$2:$2,0)+1,FALSE)</f>
        <v>戦国シリーズ第二弾　超級</v>
      </c>
      <c r="H65" s="82">
        <v>0</v>
      </c>
      <c r="I65" s="93">
        <v>36</v>
      </c>
      <c r="J65" s="81" t="s">
        <v>196</v>
      </c>
      <c r="K65" s="90" t="str">
        <f>VLOOKUP(I65,[6]stage_hints!$A:$C,3,FALSE)</f>
        <v>タワーオブザクイーンのボス</v>
      </c>
      <c r="L65" s="91" t="str">
        <f>VLOOKUP(I65,[6]stage_hints!$A:$D,4,FALSE)</f>
        <v>「タワーオブザクイーン」最上階のボスは_x000D_15階の初回クリア報酬で獲得できるほか_x000D_その階にて低確率でドロップもします</v>
      </c>
      <c r="M65" s="57" t="s">
        <v>209</v>
      </c>
    </row>
    <row r="66" spans="1:13" x14ac:dyDescent="0.15">
      <c r="A66" s="78" t="s">
        <v>199</v>
      </c>
      <c r="B66" s="79">
        <f>floors!$C$2</f>
        <v>30046</v>
      </c>
      <c r="C66" s="80" t="str">
        <f ca="1">VLOOKUP($B66,OFFSET([2]quests!$A$1,0,0,COUNTA([2]quests!$A:$A),MATCH(C$1,[2]quests!$1:$1,0)-MATCH($B$1,[2]quests!$1:$1,0)+1),MATCH(C$1,[2]quests!$1:$1,0)-MATCH($B$1,[2]quests!$1:$1,0)+1,FALSE)</f>
        <v>千利の道も一歩から！</v>
      </c>
      <c r="D66" s="80" t="str">
        <f ca="1">VLOOKUP($B66,OFFSET([2]quests!$A$1,0,0,COUNTA([2]quests!$A:$A),MATCH(D$1,[2]quests!$1:$1,0)-MATCH($B$1,[2]quests!$1:$1,0)+1),MATCH(D$1,[2]quests!$1:$1,0)-MATCH($B$1,[2]quests!$1:$1,0)+1,FALSE)</f>
        <v>戦国シリーズ第二弾　超級</v>
      </c>
      <c r="E66" s="84">
        <v>2</v>
      </c>
      <c r="F66" s="80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66" s="80" t="str">
        <f ca="1">VLOOKUP($B66&amp;"_"&amp;$E66,OFFSET([2]stages!$A$1,0,0,COUNTA([2]stages!$A:$A),MATCH(G$1,[2]stages!$2:$2,0)-MATCH("temp_stage",[2]stages!$2:$2,0)+1),MATCH(G$1,[2]stages!$2:$2,0)-MATCH("temp_stage",[2]stages!$2:$2,0)+1,FALSE)</f>
        <v>戦国シリーズ第二弾　超級</v>
      </c>
      <c r="H66" s="82">
        <v>0</v>
      </c>
      <c r="I66" s="93">
        <v>37</v>
      </c>
      <c r="J66" s="81" t="s">
        <v>196</v>
      </c>
      <c r="K66" s="90" t="str">
        <f>VLOOKUP(I66,[6]stage_hints!$A:$C,3,FALSE)</f>
        <v>限界突破値の引き継ぎ</v>
      </c>
      <c r="L66" s="91" t="str">
        <f>VLOOKUP(I66,[6]stage_hints!$A:$D,4,FALSE)</f>
        <v>同じユニットを強化で合成すると_x000D_限界突破値を引き継げます（覚醒前後も可）</v>
      </c>
      <c r="M66" s="57" t="s">
        <v>209</v>
      </c>
    </row>
    <row r="67" spans="1:13" x14ac:dyDescent="0.15">
      <c r="A67" s="78" t="s">
        <v>199</v>
      </c>
      <c r="B67" s="79">
        <f>floors!$C$2</f>
        <v>30046</v>
      </c>
      <c r="C67" s="80" t="str">
        <f ca="1">VLOOKUP($B67,OFFSET([2]quests!$A$1,0,0,COUNTA([2]quests!$A:$A),MATCH(C$1,[2]quests!$1:$1,0)-MATCH($B$1,[2]quests!$1:$1,0)+1),MATCH(C$1,[2]quests!$1:$1,0)-MATCH($B$1,[2]quests!$1:$1,0)+1,FALSE)</f>
        <v>千利の道も一歩から！</v>
      </c>
      <c r="D67" s="80" t="str">
        <f ca="1">VLOOKUP($B67,OFFSET([2]quests!$A$1,0,0,COUNTA([2]quests!$A:$A),MATCH(D$1,[2]quests!$1:$1,0)-MATCH($B$1,[2]quests!$1:$1,0)+1),MATCH(D$1,[2]quests!$1:$1,0)-MATCH($B$1,[2]quests!$1:$1,0)+1,FALSE)</f>
        <v>戦国シリーズ第二弾　超級</v>
      </c>
      <c r="E67" s="84">
        <v>2</v>
      </c>
      <c r="F67" s="80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67" s="80" t="str">
        <f ca="1">VLOOKUP($B67&amp;"_"&amp;$E67,OFFSET([2]stages!$A$1,0,0,COUNTA([2]stages!$A:$A),MATCH(G$1,[2]stages!$2:$2,0)-MATCH("temp_stage",[2]stages!$2:$2,0)+1),MATCH(G$1,[2]stages!$2:$2,0)-MATCH("temp_stage",[2]stages!$2:$2,0)+1,FALSE)</f>
        <v>戦国シリーズ第二弾　超級</v>
      </c>
      <c r="H67" s="82">
        <v>0</v>
      </c>
      <c r="I67" s="93">
        <v>39</v>
      </c>
      <c r="J67" s="81" t="s">
        <v>196</v>
      </c>
      <c r="K67" s="90" t="str">
        <f>VLOOKUP(I67,[6]stage_hints!$A:$C,3,FALSE)</f>
        <v>システム適合者を確認</v>
      </c>
      <c r="L67" s="91" t="str">
        <f>VLOOKUP(I67,[6]stage_hints!$A:$D,4,FALSE)</f>
        <v>ALICEが 「アナタ」を呼んでいます</v>
      </c>
      <c r="M67" s="57" t="s">
        <v>209</v>
      </c>
    </row>
    <row r="68" spans="1:13" x14ac:dyDescent="0.15">
      <c r="A68" s="78" t="s">
        <v>199</v>
      </c>
      <c r="B68" s="79">
        <f>floors!$C$2</f>
        <v>30046</v>
      </c>
      <c r="C68" s="80" t="str">
        <f ca="1">VLOOKUP($B68,OFFSET([2]quests!$A$1,0,0,COUNTA([2]quests!$A:$A),MATCH(C$1,[2]quests!$1:$1,0)-MATCH($B$1,[2]quests!$1:$1,0)+1),MATCH(C$1,[2]quests!$1:$1,0)-MATCH($B$1,[2]quests!$1:$1,0)+1,FALSE)</f>
        <v>千利の道も一歩から！</v>
      </c>
      <c r="D68" s="80" t="str">
        <f ca="1">VLOOKUP($B68,OFFSET([2]quests!$A$1,0,0,COUNTA([2]quests!$A:$A),MATCH(D$1,[2]quests!$1:$1,0)-MATCH($B$1,[2]quests!$1:$1,0)+1),MATCH(D$1,[2]quests!$1:$1,0)-MATCH($B$1,[2]quests!$1:$1,0)+1,FALSE)</f>
        <v>戦国シリーズ第二弾　超級</v>
      </c>
      <c r="E68" s="84">
        <v>3</v>
      </c>
      <c r="F68" s="80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68" s="80" t="str">
        <f ca="1">VLOOKUP($B68&amp;"_"&amp;$E68,OFFSET([2]stages!$A$1,0,0,COUNTA([2]stages!$A:$A),MATCH(G$1,[2]stages!$2:$2,0)-MATCH("temp_stage",[2]stages!$2:$2,0)+1),MATCH(G$1,[2]stages!$2:$2,0)-MATCH("temp_stage",[2]stages!$2:$2,0)+1,FALSE)</f>
        <v>戦国シリーズ第二弾　超級</v>
      </c>
      <c r="H68" s="82">
        <v>0</v>
      </c>
      <c r="I68">
        <v>12</v>
      </c>
      <c r="J68" s="81" t="s">
        <v>196</v>
      </c>
      <c r="K68" s="90" t="str">
        <f>VLOOKUP(I68,[6]stage_hints!$A:$C,3,FALSE)</f>
        <v>ユニットのお気に入り登録</v>
      </c>
      <c r="L68" s="91" t="str">
        <f>VLOOKUP(I68,[6]stage_hints!$A:$D,4,FALSE)</f>
        <v>大事なユニットを誤って消さないように_x000D_フォルダから「お気に入り登録」しましょう</v>
      </c>
      <c r="M68" s="57" t="s">
        <v>209</v>
      </c>
    </row>
    <row r="69" spans="1:13" x14ac:dyDescent="0.15">
      <c r="A69" s="78" t="s">
        <v>199</v>
      </c>
      <c r="B69" s="79">
        <f>floors!$C$2</f>
        <v>30046</v>
      </c>
      <c r="C69" s="80" t="str">
        <f ca="1">VLOOKUP($B69,OFFSET([2]quests!$A$1,0,0,COUNTA([2]quests!$A:$A),MATCH(C$1,[2]quests!$1:$1,0)-MATCH($B$1,[2]quests!$1:$1,0)+1),MATCH(C$1,[2]quests!$1:$1,0)-MATCH($B$1,[2]quests!$1:$1,0)+1,FALSE)</f>
        <v>千利の道も一歩から！</v>
      </c>
      <c r="D69" s="80" t="str">
        <f ca="1">VLOOKUP($B69,OFFSET([2]quests!$A$1,0,0,COUNTA([2]quests!$A:$A),MATCH(D$1,[2]quests!$1:$1,0)-MATCH($B$1,[2]quests!$1:$1,0)+1),MATCH(D$1,[2]quests!$1:$1,0)-MATCH($B$1,[2]quests!$1:$1,0)+1,FALSE)</f>
        <v>戦国シリーズ第二弾　超級</v>
      </c>
      <c r="E69" s="84">
        <v>3</v>
      </c>
      <c r="F69" s="80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69" s="80" t="str">
        <f ca="1">VLOOKUP($B69&amp;"_"&amp;$E69,OFFSET([2]stages!$A$1,0,0,COUNTA([2]stages!$A:$A),MATCH(G$1,[2]stages!$2:$2,0)-MATCH("temp_stage",[2]stages!$2:$2,0)+1),MATCH(G$1,[2]stages!$2:$2,0)-MATCH("temp_stage",[2]stages!$2:$2,0)+1,FALSE)</f>
        <v>戦国シリーズ第二弾　超級</v>
      </c>
      <c r="H69" s="82">
        <v>0</v>
      </c>
      <c r="I69">
        <v>17</v>
      </c>
      <c r="J69" s="81" t="s">
        <v>196</v>
      </c>
      <c r="K69" s="90" t="str">
        <f>VLOOKUP(I69,[6]stage_hints!$A:$C,3,FALSE)</f>
        <v>リンクガチャ</v>
      </c>
      <c r="L69" s="91" t="str">
        <f>VLOOKUP(I69,[6]stage_hints!$A:$D,4,FALSE)</f>
        <v>無料のリンクガチャを回して_x000D_経験値素材や売却素材を獲得しましょう</v>
      </c>
      <c r="M69" s="57" t="s">
        <v>209</v>
      </c>
    </row>
    <row r="70" spans="1:13" x14ac:dyDescent="0.15">
      <c r="A70" s="78" t="s">
        <v>199</v>
      </c>
      <c r="B70" s="79">
        <f>floors!$C$2</f>
        <v>30046</v>
      </c>
      <c r="C70" s="80" t="str">
        <f ca="1">VLOOKUP($B70,OFFSET([2]quests!$A$1,0,0,COUNTA([2]quests!$A:$A),MATCH(C$1,[2]quests!$1:$1,0)-MATCH($B$1,[2]quests!$1:$1,0)+1),MATCH(C$1,[2]quests!$1:$1,0)-MATCH($B$1,[2]quests!$1:$1,0)+1,FALSE)</f>
        <v>千利の道も一歩から！</v>
      </c>
      <c r="D70" s="80" t="str">
        <f ca="1">VLOOKUP($B70,OFFSET([2]quests!$A$1,0,0,COUNTA([2]quests!$A:$A),MATCH(D$1,[2]quests!$1:$1,0)-MATCH($B$1,[2]quests!$1:$1,0)+1),MATCH(D$1,[2]quests!$1:$1,0)-MATCH($B$1,[2]quests!$1:$1,0)+1,FALSE)</f>
        <v>戦国シリーズ第二弾　超級</v>
      </c>
      <c r="E70" s="84">
        <v>3</v>
      </c>
      <c r="F70" s="80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70" s="80" t="str">
        <f ca="1">VLOOKUP($B70&amp;"_"&amp;$E70,OFFSET([2]stages!$A$1,0,0,COUNTA([2]stages!$A:$A),MATCH(G$1,[2]stages!$2:$2,0)-MATCH("temp_stage",[2]stages!$2:$2,0)+1),MATCH(G$1,[2]stages!$2:$2,0)-MATCH("temp_stage",[2]stages!$2:$2,0)+1,FALSE)</f>
        <v>戦国シリーズ第二弾　超級</v>
      </c>
      <c r="H70" s="82">
        <v>0</v>
      </c>
      <c r="I70">
        <v>19</v>
      </c>
      <c r="J70" s="81" t="s">
        <v>196</v>
      </c>
      <c r="K70" s="90" t="str">
        <f>VLOOKUP(I70,[6]stage_hints!$A:$C,3,FALSE)</f>
        <v>ソロ専用タワーオブザクイーン</v>
      </c>
      <c r="L70" s="91" t="str">
        <f>VLOOKUP(I70,[6]stage_hints!$A:$D,4,FALSE)</f>
        <v>ソロ専用の「タワーオブザクイーン」は_x000D_期間限定で定期的に開催されます_x000D_ここでしか獲得できない報酬もあるようです</v>
      </c>
      <c r="M70" s="57" t="s">
        <v>209</v>
      </c>
    </row>
    <row r="71" spans="1:13" x14ac:dyDescent="0.15">
      <c r="A71" s="78" t="s">
        <v>199</v>
      </c>
      <c r="B71" s="79">
        <f>floors!$C$2</f>
        <v>30046</v>
      </c>
      <c r="C71" s="80" t="str">
        <f ca="1">VLOOKUP($B71,OFFSET([2]quests!$A$1,0,0,COUNTA([2]quests!$A:$A),MATCH(C$1,[2]quests!$1:$1,0)-MATCH($B$1,[2]quests!$1:$1,0)+1),MATCH(C$1,[2]quests!$1:$1,0)-MATCH($B$1,[2]quests!$1:$1,0)+1,FALSE)</f>
        <v>千利の道も一歩から！</v>
      </c>
      <c r="D71" s="80" t="str">
        <f ca="1">VLOOKUP($B71,OFFSET([2]quests!$A$1,0,0,COUNTA([2]quests!$A:$A),MATCH(D$1,[2]quests!$1:$1,0)-MATCH($B$1,[2]quests!$1:$1,0)+1),MATCH(D$1,[2]quests!$1:$1,0)-MATCH($B$1,[2]quests!$1:$1,0)+1,FALSE)</f>
        <v>戦国シリーズ第二弾　超級</v>
      </c>
      <c r="E71" s="84">
        <v>3</v>
      </c>
      <c r="F71" s="80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71" s="80" t="str">
        <f ca="1">VLOOKUP($B71&amp;"_"&amp;$E71,OFFSET([2]stages!$A$1,0,0,COUNTA([2]stages!$A:$A),MATCH(G$1,[2]stages!$2:$2,0)-MATCH("temp_stage",[2]stages!$2:$2,0)+1),MATCH(G$1,[2]stages!$2:$2,0)-MATCH("temp_stage",[2]stages!$2:$2,0)+1,FALSE)</f>
        <v>戦国シリーズ第二弾　超級</v>
      </c>
      <c r="H71" s="82">
        <v>0</v>
      </c>
      <c r="I71">
        <v>21</v>
      </c>
      <c r="J71" s="81" t="s">
        <v>196</v>
      </c>
      <c r="K71" s="90" t="str">
        <f>VLOOKUP(I71,[6]stage_hints!$A:$C,3,FALSE)</f>
        <v>スキルを有効に</v>
      </c>
      <c r="L71" s="91" t="str">
        <f>VLOOKUP(I71,[6]stage_hints!$A:$D,4,FALSE)</f>
        <v>ターン経過でユニットのスキルが使えます_x000D_強力スキルでバトルを有利に進めましょう</v>
      </c>
      <c r="M71" s="57" t="s">
        <v>209</v>
      </c>
    </row>
    <row r="72" spans="1:13" x14ac:dyDescent="0.15">
      <c r="A72" s="78" t="s">
        <v>199</v>
      </c>
      <c r="B72" s="79">
        <f>floors!$C$2</f>
        <v>30046</v>
      </c>
      <c r="C72" s="80" t="str">
        <f ca="1">VLOOKUP($B72,OFFSET([2]quests!$A$1,0,0,COUNTA([2]quests!$A:$A),MATCH(C$1,[2]quests!$1:$1,0)-MATCH($B$1,[2]quests!$1:$1,0)+1),MATCH(C$1,[2]quests!$1:$1,0)-MATCH($B$1,[2]quests!$1:$1,0)+1,FALSE)</f>
        <v>千利の道も一歩から！</v>
      </c>
      <c r="D72" s="80" t="str">
        <f ca="1">VLOOKUP($B72,OFFSET([2]quests!$A$1,0,0,COUNTA([2]quests!$A:$A),MATCH(D$1,[2]quests!$1:$1,0)-MATCH($B$1,[2]quests!$1:$1,0)+1),MATCH(D$1,[2]quests!$1:$1,0)-MATCH($B$1,[2]quests!$1:$1,0)+1,FALSE)</f>
        <v>戦国シリーズ第二弾　超級</v>
      </c>
      <c r="E72" s="84">
        <v>3</v>
      </c>
      <c r="F72" s="80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72" s="80" t="str">
        <f ca="1">VLOOKUP($B72&amp;"_"&amp;$E72,OFFSET([2]stages!$A$1,0,0,COUNTA([2]stages!$A:$A),MATCH(G$1,[2]stages!$2:$2,0)-MATCH("temp_stage",[2]stages!$2:$2,0)+1),MATCH(G$1,[2]stages!$2:$2,0)-MATCH("temp_stage",[2]stages!$2:$2,0)+1,FALSE)</f>
        <v>戦国シリーズ第二弾　超級</v>
      </c>
      <c r="H72" s="82">
        <v>0</v>
      </c>
      <c r="I72">
        <v>27</v>
      </c>
      <c r="J72" s="81" t="s">
        <v>196</v>
      </c>
      <c r="K72" s="90" t="str">
        <f>VLOOKUP(I72,[6]stage_hints!$A:$C,3,FALSE)</f>
        <v>ホーム画面からデッキを編成</v>
      </c>
      <c r="L72" s="91" t="str">
        <f>VLOOKUP(I72,[6]stage_hints!$A:$D,4,FALSE)</f>
        <v>ホーム画面でユニットを長押しすると_x000D_すぐにパーティ編成に移動できます</v>
      </c>
      <c r="M72" s="57" t="s">
        <v>209</v>
      </c>
    </row>
    <row r="73" spans="1:13" x14ac:dyDescent="0.15">
      <c r="A73" s="78" t="s">
        <v>199</v>
      </c>
      <c r="B73" s="79">
        <f>floors!$C$2</f>
        <v>30046</v>
      </c>
      <c r="C73" s="80" t="str">
        <f ca="1">VLOOKUP($B73,OFFSET([2]quests!$A$1,0,0,COUNTA([2]quests!$A:$A),MATCH(C$1,[2]quests!$1:$1,0)-MATCH($B$1,[2]quests!$1:$1,0)+1),MATCH(C$1,[2]quests!$1:$1,0)-MATCH($B$1,[2]quests!$1:$1,0)+1,FALSE)</f>
        <v>千利の道も一歩から！</v>
      </c>
      <c r="D73" s="80" t="str">
        <f ca="1">VLOOKUP($B73,OFFSET([2]quests!$A$1,0,0,COUNTA([2]quests!$A:$A),MATCH(D$1,[2]quests!$1:$1,0)-MATCH($B$1,[2]quests!$1:$1,0)+1),MATCH(D$1,[2]quests!$1:$1,0)-MATCH($B$1,[2]quests!$1:$1,0)+1,FALSE)</f>
        <v>戦国シリーズ第二弾　超級</v>
      </c>
      <c r="E73" s="84">
        <v>3</v>
      </c>
      <c r="F73" s="80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73" s="80" t="str">
        <f ca="1">VLOOKUP($B73&amp;"_"&amp;$E73,OFFSET([2]stages!$A$1,0,0,COUNTA([2]stages!$A:$A),MATCH(G$1,[2]stages!$2:$2,0)-MATCH("temp_stage",[2]stages!$2:$2,0)+1),MATCH(G$1,[2]stages!$2:$2,0)-MATCH("temp_stage",[2]stages!$2:$2,0)+1,FALSE)</f>
        <v>戦国シリーズ第二弾　超級</v>
      </c>
      <c r="H73" s="82">
        <v>0</v>
      </c>
      <c r="I73">
        <v>28</v>
      </c>
      <c r="J73" s="81" t="s">
        <v>196</v>
      </c>
      <c r="K73" s="90" t="str">
        <f>VLOOKUP(I73,[6]stage_hints!$A:$C,3,FALSE)</f>
        <v>ステータス情報は長押しで</v>
      </c>
      <c r="L73" s="91" t="str">
        <f>VLOOKUP(I73,[6]stage_hints!$A:$D,4,FALSE)</f>
        <v>ユニットのアイコンを長押しすると_x000D_ステータス情報を確認することができます</v>
      </c>
      <c r="M73" s="57" t="s">
        <v>209</v>
      </c>
    </row>
    <row r="74" spans="1:13" x14ac:dyDescent="0.15">
      <c r="A74" s="78" t="s">
        <v>199</v>
      </c>
      <c r="B74" s="79">
        <f>floors!$C$2</f>
        <v>30046</v>
      </c>
      <c r="C74" s="80" t="str">
        <f ca="1">VLOOKUP($B74,OFFSET([2]quests!$A$1,0,0,COUNTA([2]quests!$A:$A),MATCH(C$1,[2]quests!$1:$1,0)-MATCH($B$1,[2]quests!$1:$1,0)+1),MATCH(C$1,[2]quests!$1:$1,0)-MATCH($B$1,[2]quests!$1:$1,0)+1,FALSE)</f>
        <v>千利の道も一歩から！</v>
      </c>
      <c r="D74" s="80" t="str">
        <f ca="1">VLOOKUP($B74,OFFSET([2]quests!$A$1,0,0,COUNTA([2]quests!$A:$A),MATCH(D$1,[2]quests!$1:$1,0)-MATCH($B$1,[2]quests!$1:$1,0)+1),MATCH(D$1,[2]quests!$1:$1,0)-MATCH($B$1,[2]quests!$1:$1,0)+1,FALSE)</f>
        <v>戦国シリーズ第二弾　超級</v>
      </c>
      <c r="E74" s="84">
        <v>3</v>
      </c>
      <c r="F74" s="80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74" s="80" t="str">
        <f ca="1">VLOOKUP($B74&amp;"_"&amp;$E74,OFFSET([2]stages!$A$1,0,0,COUNTA([2]stages!$A:$A),MATCH(G$1,[2]stages!$2:$2,0)-MATCH("temp_stage",[2]stages!$2:$2,0)+1),MATCH(G$1,[2]stages!$2:$2,0)-MATCH("temp_stage",[2]stages!$2:$2,0)+1,FALSE)</f>
        <v>戦国シリーズ第二弾　超級</v>
      </c>
      <c r="H74" s="82">
        <v>0</v>
      </c>
      <c r="I74">
        <v>29</v>
      </c>
      <c r="J74" s="81" t="s">
        <v>196</v>
      </c>
      <c r="K74" s="90" t="str">
        <f>VLOOKUP(I74,[6]stage_hints!$A:$C,3,FALSE)</f>
        <v>「バグ」のメリット</v>
      </c>
      <c r="L74" s="91" t="str">
        <f>VLOOKUP(I74,[6]stage_hints!$A:$D,4,FALSE)</f>
        <v>ユニットの「バグ」を増やすと_x000D_報酬をもらえる確率がアップします</v>
      </c>
      <c r="M74" s="57" t="s">
        <v>209</v>
      </c>
    </row>
    <row r="75" spans="1:13" x14ac:dyDescent="0.15">
      <c r="A75" s="78" t="s">
        <v>199</v>
      </c>
      <c r="B75" s="79">
        <f>floors!$C$2</f>
        <v>30046</v>
      </c>
      <c r="C75" s="80" t="str">
        <f ca="1">VLOOKUP($B75,OFFSET([2]quests!$A$1,0,0,COUNTA([2]quests!$A:$A),MATCH(C$1,[2]quests!$1:$1,0)-MATCH($B$1,[2]quests!$1:$1,0)+1),MATCH(C$1,[2]quests!$1:$1,0)-MATCH($B$1,[2]quests!$1:$1,0)+1,FALSE)</f>
        <v>千利の道も一歩から！</v>
      </c>
      <c r="D75" s="80" t="str">
        <f ca="1">VLOOKUP($B75,OFFSET([2]quests!$A$1,0,0,COUNTA([2]quests!$A:$A),MATCH(D$1,[2]quests!$1:$1,0)-MATCH($B$1,[2]quests!$1:$1,0)+1),MATCH(D$1,[2]quests!$1:$1,0)-MATCH($B$1,[2]quests!$1:$1,0)+1,FALSE)</f>
        <v>戦国シリーズ第二弾　超級</v>
      </c>
      <c r="E75" s="84">
        <v>3</v>
      </c>
      <c r="F75" s="80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75" s="80" t="str">
        <f ca="1">VLOOKUP($B75&amp;"_"&amp;$E75,OFFSET([2]stages!$A$1,0,0,COUNTA([2]stages!$A:$A),MATCH(G$1,[2]stages!$2:$2,0)-MATCH("temp_stage",[2]stages!$2:$2,0)+1),MATCH(G$1,[2]stages!$2:$2,0)-MATCH("temp_stage",[2]stages!$2:$2,0)+1,FALSE)</f>
        <v>戦国シリーズ第二弾　超級</v>
      </c>
      <c r="H75" s="82">
        <v>0</v>
      </c>
      <c r="I75">
        <v>30</v>
      </c>
      <c r="J75" s="81" t="s">
        <v>196</v>
      </c>
      <c r="K75" s="90" t="str">
        <f>VLOOKUP(I75,[6]stage_hints!$A:$C,3,FALSE)</f>
        <v>「バグ」の増やし方</v>
      </c>
      <c r="L75" s="91" t="str">
        <f>VLOOKUP(I75,[6]stage_hints!$A:$D,4,FALSE)</f>
        <v>同じユニット同士を強化で合成すると_x000D_「バグ」を増やすことができます</v>
      </c>
      <c r="M75" s="57" t="s">
        <v>209</v>
      </c>
    </row>
    <row r="76" spans="1:13" x14ac:dyDescent="0.15">
      <c r="A76" s="78" t="s">
        <v>199</v>
      </c>
      <c r="B76" s="79">
        <f>floors!$C$2</f>
        <v>30046</v>
      </c>
      <c r="C76" s="80" t="str">
        <f ca="1">VLOOKUP($B76,OFFSET([2]quests!$A$1,0,0,COUNTA([2]quests!$A:$A),MATCH(C$1,[2]quests!$1:$1,0)-MATCH($B$1,[2]quests!$1:$1,0)+1),MATCH(C$1,[2]quests!$1:$1,0)-MATCH($B$1,[2]quests!$1:$1,0)+1,FALSE)</f>
        <v>千利の道も一歩から！</v>
      </c>
      <c r="D76" s="80" t="str">
        <f ca="1">VLOOKUP($B76,OFFSET([2]quests!$A$1,0,0,COUNTA([2]quests!$A:$A),MATCH(D$1,[2]quests!$1:$1,0)-MATCH($B$1,[2]quests!$1:$1,0)+1),MATCH(D$1,[2]quests!$1:$1,0)-MATCH($B$1,[2]quests!$1:$1,0)+1,FALSE)</f>
        <v>戦国シリーズ第二弾　超級</v>
      </c>
      <c r="E76" s="84">
        <v>3</v>
      </c>
      <c r="F76" s="80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76" s="80" t="str">
        <f ca="1">VLOOKUP($B76&amp;"_"&amp;$E76,OFFSET([2]stages!$A$1,0,0,COUNTA([2]stages!$A:$A),MATCH(G$1,[2]stages!$2:$2,0)-MATCH("temp_stage",[2]stages!$2:$2,0)+1),MATCH(G$1,[2]stages!$2:$2,0)-MATCH("temp_stage",[2]stages!$2:$2,0)+1,FALSE)</f>
        <v>戦国シリーズ第二弾　超級</v>
      </c>
      <c r="H76" s="82">
        <v>0</v>
      </c>
      <c r="I76">
        <v>32</v>
      </c>
      <c r="J76" s="81" t="s">
        <v>196</v>
      </c>
      <c r="K76" s="90" t="str">
        <f>VLOOKUP(I76,[6]stage_hints!$A:$C,3,FALSE)</f>
        <v>敵の連続攻撃には</v>
      </c>
      <c r="L76" s="91" t="str">
        <f>VLOOKUP(I76,[6]stage_hints!$A:$D,4,FALSE)</f>
        <v>カウンタースキルを持つユニットがいれば_x000D_ダメージ回数分の反撃ができます</v>
      </c>
      <c r="M76" s="57" t="s">
        <v>209</v>
      </c>
    </row>
    <row r="77" spans="1:13" x14ac:dyDescent="0.15">
      <c r="A77" s="78" t="s">
        <v>199</v>
      </c>
      <c r="B77" s="79">
        <f>floors!$C$2</f>
        <v>30046</v>
      </c>
      <c r="C77" s="80" t="str">
        <f ca="1">VLOOKUP($B77,OFFSET([2]quests!$A$1,0,0,COUNTA([2]quests!$A:$A),MATCH(C$1,[2]quests!$1:$1,0)-MATCH($B$1,[2]quests!$1:$1,0)+1),MATCH(C$1,[2]quests!$1:$1,0)-MATCH($B$1,[2]quests!$1:$1,0)+1,FALSE)</f>
        <v>千利の道も一歩から！</v>
      </c>
      <c r="D77" s="80" t="str">
        <f ca="1">VLOOKUP($B77,OFFSET([2]quests!$A$1,0,0,COUNTA([2]quests!$A:$A),MATCH(D$1,[2]quests!$1:$1,0)-MATCH($B$1,[2]quests!$1:$1,0)+1),MATCH(D$1,[2]quests!$1:$1,0)-MATCH($B$1,[2]quests!$1:$1,0)+1,FALSE)</f>
        <v>戦国シリーズ第二弾　超級</v>
      </c>
      <c r="E77" s="84">
        <v>3</v>
      </c>
      <c r="F77" s="80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77" s="80" t="str">
        <f ca="1">VLOOKUP($B77&amp;"_"&amp;$E77,OFFSET([2]stages!$A$1,0,0,COUNTA([2]stages!$A:$A),MATCH(G$1,[2]stages!$2:$2,0)-MATCH("temp_stage",[2]stages!$2:$2,0)+1),MATCH(G$1,[2]stages!$2:$2,0)-MATCH("temp_stage",[2]stages!$2:$2,0)+1,FALSE)</f>
        <v>戦国シリーズ第二弾　超級</v>
      </c>
      <c r="H77" s="82">
        <v>0</v>
      </c>
      <c r="I77">
        <v>33</v>
      </c>
      <c r="J77" s="81" t="s">
        <v>196</v>
      </c>
      <c r="K77" s="90" t="str">
        <f>VLOOKUP(I77,[6]stage_hints!$A:$C,3,FALSE)</f>
        <v>敵のカウンター攻撃には</v>
      </c>
      <c r="L77" s="91" t="str">
        <f>VLOOKUP(I77,[6]stage_hints!$A:$D,4,FALSE)</f>
        <v>カウンターブレイクスキルを持っていれば_x000D_敵のカウンターを解除して攻撃ができます</v>
      </c>
      <c r="M77" s="57" t="s">
        <v>209</v>
      </c>
    </row>
    <row r="78" spans="1:13" x14ac:dyDescent="0.15">
      <c r="A78" s="78" t="s">
        <v>199</v>
      </c>
      <c r="B78" s="79">
        <f>floors!$C$2</f>
        <v>30046</v>
      </c>
      <c r="C78" s="80" t="str">
        <f ca="1">VLOOKUP($B78,OFFSET([2]quests!$A$1,0,0,COUNTA([2]quests!$A:$A),MATCH(C$1,[2]quests!$1:$1,0)-MATCH($B$1,[2]quests!$1:$1,0)+1),MATCH(C$1,[2]quests!$1:$1,0)-MATCH($B$1,[2]quests!$1:$1,0)+1,FALSE)</f>
        <v>千利の道も一歩から！</v>
      </c>
      <c r="D78" s="80" t="str">
        <f ca="1">VLOOKUP($B78,OFFSET([2]quests!$A$1,0,0,COUNTA([2]quests!$A:$A),MATCH(D$1,[2]quests!$1:$1,0)-MATCH($B$1,[2]quests!$1:$1,0)+1),MATCH(D$1,[2]quests!$1:$1,0)-MATCH($B$1,[2]quests!$1:$1,0)+1,FALSE)</f>
        <v>戦国シリーズ第二弾　超級</v>
      </c>
      <c r="E78" s="84">
        <v>3</v>
      </c>
      <c r="F78" s="80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78" s="80" t="str">
        <f ca="1">VLOOKUP($B78&amp;"_"&amp;$E78,OFFSET([2]stages!$A$1,0,0,COUNTA([2]stages!$A:$A),MATCH(G$1,[2]stages!$2:$2,0)-MATCH("temp_stage",[2]stages!$2:$2,0)+1),MATCH(G$1,[2]stages!$2:$2,0)-MATCH("temp_stage",[2]stages!$2:$2,0)+1,FALSE)</f>
        <v>戦国シリーズ第二弾　超級</v>
      </c>
      <c r="H78" s="82">
        <v>0</v>
      </c>
      <c r="I78">
        <v>34</v>
      </c>
      <c r="J78" s="81" t="s">
        <v>196</v>
      </c>
      <c r="K78" s="90" t="str">
        <f>VLOOKUP(I78,[6]stage_hints!$A:$C,3,FALSE)</f>
        <v>ステータスをスキルで下げられたら</v>
      </c>
      <c r="L78" s="91" t="str">
        <f>VLOOKUP(I78,[6]stage_hints!$A:$D,4,FALSE)</f>
        <v>ステータスダウンのスキルを受けたら_x000D_ステータスアップスキルで上書きしましょう</v>
      </c>
      <c r="M78" s="57" t="s">
        <v>209</v>
      </c>
    </row>
    <row r="79" spans="1:13" x14ac:dyDescent="0.15">
      <c r="A79" s="78" t="s">
        <v>199</v>
      </c>
      <c r="B79" s="79">
        <f>floors!$C$2</f>
        <v>30046</v>
      </c>
      <c r="C79" s="80" t="str">
        <f ca="1">VLOOKUP($B79,OFFSET([2]quests!$A$1,0,0,COUNTA([2]quests!$A:$A),MATCH(C$1,[2]quests!$1:$1,0)-MATCH($B$1,[2]quests!$1:$1,0)+1),MATCH(C$1,[2]quests!$1:$1,0)-MATCH($B$1,[2]quests!$1:$1,0)+1,FALSE)</f>
        <v>千利の道も一歩から！</v>
      </c>
      <c r="D79" s="80" t="str">
        <f ca="1">VLOOKUP($B79,OFFSET([2]quests!$A$1,0,0,COUNTA([2]quests!$A:$A),MATCH(D$1,[2]quests!$1:$1,0)-MATCH($B$1,[2]quests!$1:$1,0)+1),MATCH(D$1,[2]quests!$1:$1,0)-MATCH($B$1,[2]quests!$1:$1,0)+1,FALSE)</f>
        <v>戦国シリーズ第二弾　超級</v>
      </c>
      <c r="E79" s="84">
        <v>3</v>
      </c>
      <c r="F79" s="80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79" s="80" t="str">
        <f ca="1">VLOOKUP($B79&amp;"_"&amp;$E79,OFFSET([2]stages!$A$1,0,0,COUNTA([2]stages!$A:$A),MATCH(G$1,[2]stages!$2:$2,0)-MATCH("temp_stage",[2]stages!$2:$2,0)+1),MATCH(G$1,[2]stages!$2:$2,0)-MATCH("temp_stage",[2]stages!$2:$2,0)+1,FALSE)</f>
        <v>戦国シリーズ第二弾　超級</v>
      </c>
      <c r="H79" s="82">
        <v>0</v>
      </c>
      <c r="I79">
        <v>35</v>
      </c>
      <c r="J79" s="81" t="s">
        <v>196</v>
      </c>
      <c r="K79" s="90" t="str">
        <f>VLOOKUP(I79,[6]stage_hints!$A:$C,3,FALSE)</f>
        <v>敵のステータスがスキルで上がったら</v>
      </c>
      <c r="L79" s="91" t="str">
        <f>VLOOKUP(I79,[6]stage_hints!$A:$D,4,FALSE)</f>
        <v>敵のステータスがスキルでアップしたときは_x000D_ステータスダウンスキルで上書きしましょう</v>
      </c>
      <c r="M79" s="57" t="s">
        <v>209</v>
      </c>
    </row>
    <row r="80" spans="1:13" x14ac:dyDescent="0.15">
      <c r="A80" s="78" t="s">
        <v>199</v>
      </c>
      <c r="B80" s="79">
        <f>floors!$C$2</f>
        <v>30046</v>
      </c>
      <c r="C80" s="80" t="str">
        <f ca="1">VLOOKUP($B80,OFFSET([2]quests!$A$1,0,0,COUNTA([2]quests!$A:$A),MATCH(C$1,[2]quests!$1:$1,0)-MATCH($B$1,[2]quests!$1:$1,0)+1),MATCH(C$1,[2]quests!$1:$1,0)-MATCH($B$1,[2]quests!$1:$1,0)+1,FALSE)</f>
        <v>千利の道も一歩から！</v>
      </c>
      <c r="D80" s="80" t="str">
        <f ca="1">VLOOKUP($B80,OFFSET([2]quests!$A$1,0,0,COUNTA([2]quests!$A:$A),MATCH(D$1,[2]quests!$1:$1,0)-MATCH($B$1,[2]quests!$1:$1,0)+1),MATCH(D$1,[2]quests!$1:$1,0)-MATCH($B$1,[2]quests!$1:$1,0)+1,FALSE)</f>
        <v>戦国シリーズ第二弾　超級</v>
      </c>
      <c r="E80" s="84">
        <v>3</v>
      </c>
      <c r="F80" s="80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80" s="80" t="str">
        <f ca="1">VLOOKUP($B80&amp;"_"&amp;$E80,OFFSET([2]stages!$A$1,0,0,COUNTA([2]stages!$A:$A),MATCH(G$1,[2]stages!$2:$2,0)-MATCH("temp_stage",[2]stages!$2:$2,0)+1),MATCH(G$1,[2]stages!$2:$2,0)-MATCH("temp_stage",[2]stages!$2:$2,0)+1,FALSE)</f>
        <v>戦国シリーズ第二弾　超級</v>
      </c>
      <c r="H80" s="82">
        <v>0</v>
      </c>
      <c r="I80">
        <v>36</v>
      </c>
      <c r="J80" s="81" t="s">
        <v>196</v>
      </c>
      <c r="K80" s="90" t="str">
        <f>VLOOKUP(I80,[6]stage_hints!$A:$C,3,FALSE)</f>
        <v>タワーオブザクイーンのボス</v>
      </c>
      <c r="L80" s="91" t="str">
        <f>VLOOKUP(I80,[6]stage_hints!$A:$D,4,FALSE)</f>
        <v>「タワーオブザクイーン」最上階のボスは_x000D_15階の初回クリア報酬で獲得できるほか_x000D_その階にて低確率でドロップもします</v>
      </c>
      <c r="M80" s="57" t="s">
        <v>209</v>
      </c>
    </row>
    <row r="81" spans="1:13" x14ac:dyDescent="0.15">
      <c r="A81" s="78" t="s">
        <v>199</v>
      </c>
      <c r="B81" s="79">
        <f>floors!$C$2</f>
        <v>30046</v>
      </c>
      <c r="C81" s="80" t="str">
        <f ca="1">VLOOKUP($B81,OFFSET([2]quests!$A$1,0,0,COUNTA([2]quests!$A:$A),MATCH(C$1,[2]quests!$1:$1,0)-MATCH($B$1,[2]quests!$1:$1,0)+1),MATCH(C$1,[2]quests!$1:$1,0)-MATCH($B$1,[2]quests!$1:$1,0)+1,FALSE)</f>
        <v>千利の道も一歩から！</v>
      </c>
      <c r="D81" s="80" t="str">
        <f ca="1">VLOOKUP($B81,OFFSET([2]quests!$A$1,0,0,COUNTA([2]quests!$A:$A),MATCH(D$1,[2]quests!$1:$1,0)-MATCH($B$1,[2]quests!$1:$1,0)+1),MATCH(D$1,[2]quests!$1:$1,0)-MATCH($B$1,[2]quests!$1:$1,0)+1,FALSE)</f>
        <v>戦国シリーズ第二弾　超級</v>
      </c>
      <c r="E81" s="84">
        <v>3</v>
      </c>
      <c r="F81" s="80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81" s="80" t="str">
        <f ca="1">VLOOKUP($B81&amp;"_"&amp;$E81,OFFSET([2]stages!$A$1,0,0,COUNTA([2]stages!$A:$A),MATCH(G$1,[2]stages!$2:$2,0)-MATCH("temp_stage",[2]stages!$2:$2,0)+1),MATCH(G$1,[2]stages!$2:$2,0)-MATCH("temp_stage",[2]stages!$2:$2,0)+1,FALSE)</f>
        <v>戦国シリーズ第二弾　超級</v>
      </c>
      <c r="H81" s="82">
        <v>0</v>
      </c>
      <c r="I81">
        <v>37</v>
      </c>
      <c r="J81" s="81" t="s">
        <v>196</v>
      </c>
      <c r="K81" s="90" t="str">
        <f>VLOOKUP(I81,[6]stage_hints!$A:$C,3,FALSE)</f>
        <v>限界突破値の引き継ぎ</v>
      </c>
      <c r="L81" s="91" t="str">
        <f>VLOOKUP(I81,[6]stage_hints!$A:$D,4,FALSE)</f>
        <v>同じユニットを強化で合成すると_x000D_限界突破値を引き継げます（覚醒前後も可）</v>
      </c>
      <c r="M81" s="57" t="s">
        <v>209</v>
      </c>
    </row>
    <row r="82" spans="1:13" x14ac:dyDescent="0.15">
      <c r="A82" s="78" t="s">
        <v>199</v>
      </c>
      <c r="B82" s="79">
        <f>floors!$C$2</f>
        <v>30046</v>
      </c>
      <c r="C82" s="80" t="str">
        <f ca="1">VLOOKUP($B82,OFFSET([2]quests!$A$1,0,0,COUNTA([2]quests!$A:$A),MATCH(C$1,[2]quests!$1:$1,0)-MATCH($B$1,[2]quests!$1:$1,0)+1),MATCH(C$1,[2]quests!$1:$1,0)-MATCH($B$1,[2]quests!$1:$1,0)+1,FALSE)</f>
        <v>千利の道も一歩から！</v>
      </c>
      <c r="D82" s="80" t="str">
        <f ca="1">VLOOKUP($B82,OFFSET([2]quests!$A$1,0,0,COUNTA([2]quests!$A:$A),MATCH(D$1,[2]quests!$1:$1,0)-MATCH($B$1,[2]quests!$1:$1,0)+1),MATCH(D$1,[2]quests!$1:$1,0)-MATCH($B$1,[2]quests!$1:$1,0)+1,FALSE)</f>
        <v>戦国シリーズ第二弾　超級</v>
      </c>
      <c r="E82" s="84">
        <v>3</v>
      </c>
      <c r="F82" s="80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82" s="80" t="str">
        <f ca="1">VLOOKUP($B82&amp;"_"&amp;$E82,OFFSET([2]stages!$A$1,0,0,COUNTA([2]stages!$A:$A),MATCH(G$1,[2]stages!$2:$2,0)-MATCH("temp_stage",[2]stages!$2:$2,0)+1),MATCH(G$1,[2]stages!$2:$2,0)-MATCH("temp_stage",[2]stages!$2:$2,0)+1,FALSE)</f>
        <v>戦国シリーズ第二弾　超級</v>
      </c>
      <c r="H82" s="82">
        <v>0</v>
      </c>
      <c r="I82">
        <v>39</v>
      </c>
      <c r="J82" s="81" t="s">
        <v>196</v>
      </c>
      <c r="K82" s="90" t="str">
        <f>VLOOKUP(I82,[6]stage_hints!$A:$C,3,FALSE)</f>
        <v>システム適合者を確認</v>
      </c>
      <c r="L82" s="91" t="str">
        <f>VLOOKUP(I82,[6]stage_hints!$A:$D,4,FALSE)</f>
        <v>ALICEが 「アナタ」を呼んでいます</v>
      </c>
      <c r="M82" s="57" t="s">
        <v>209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9"/>
  <sheetViews>
    <sheetView showGridLines="0" workbookViewId="0">
      <pane ySplit="1" topLeftCell="A2" activePane="bottomLeft" state="frozen"/>
      <selection pane="bottomLeft" activeCell="P7" sqref="P7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3" t="s">
        <v>186</v>
      </c>
      <c r="B1" s="70" t="s">
        <v>151</v>
      </c>
      <c r="C1" s="74" t="s">
        <v>188</v>
      </c>
      <c r="D1" s="74" t="s">
        <v>33</v>
      </c>
      <c r="E1" s="70" t="s">
        <v>189</v>
      </c>
      <c r="F1" s="74" t="s">
        <v>18</v>
      </c>
      <c r="G1" s="74" t="s">
        <v>33</v>
      </c>
      <c r="H1" s="70" t="s">
        <v>191</v>
      </c>
      <c r="I1" s="86" t="s">
        <v>192</v>
      </c>
      <c r="J1" s="88" t="s">
        <v>193</v>
      </c>
      <c r="K1" s="76" t="s">
        <v>127</v>
      </c>
      <c r="L1" s="75" t="s">
        <v>185</v>
      </c>
      <c r="M1" s="89" t="s">
        <v>184</v>
      </c>
      <c r="N1" s="77" t="s">
        <v>194</v>
      </c>
    </row>
    <row r="2" spans="1:14" ht="63" customHeight="1" x14ac:dyDescent="0.15">
      <c r="A2" s="78" t="s">
        <v>195</v>
      </c>
      <c r="B2" s="79">
        <f>floors!$C$2</f>
        <v>30046</v>
      </c>
      <c r="C2" s="80" t="str">
        <f ca="1">VLOOKUP($B2,OFFSET([2]quests!$A$1,0,0,COUNTA([2]quests!$A:$A),MATCH(C$1,[2]quests!$1:$1,0)-MATCH($B$1,[2]quests!$1:$1,0)+1),MATCH(C$1,[2]quests!$1:$1,0)-MATCH($B$1,[2]quests!$1:$1,0)+1,FALSE)</f>
        <v>千利の道も一歩から！</v>
      </c>
      <c r="D2" s="80" t="str">
        <f ca="1">VLOOKUP($B2,OFFSET([2]quests!$A$1,0,0,COUNTA([2]quests!$A:$A),MATCH(D$1,[2]quests!$1:$1,0)-MATCH($B$1,[2]quests!$1:$1,0)+1),MATCH(D$1,[2]quests!$1:$1,0)-MATCH($B$1,[2]quests!$1:$1,0)+1,FALSE)</f>
        <v>戦国シリーズ第二弾　超級</v>
      </c>
      <c r="E2" s="81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戦国シリーズ第二弾　超級</v>
      </c>
      <c r="H2" s="82">
        <v>1</v>
      </c>
      <c r="I2" s="87">
        <f>ROW()-1</f>
        <v>1</v>
      </c>
      <c r="J2" s="83" t="str">
        <f>B2&amp;TEXT(I2,"00")</f>
        <v>3004601</v>
      </c>
      <c r="K2" s="81" t="s">
        <v>196</v>
      </c>
      <c r="L2" s="84" t="s">
        <v>197</v>
      </c>
      <c r="M2" s="268" t="s">
        <v>391</v>
      </c>
      <c r="N2" s="57" t="s">
        <v>198</v>
      </c>
    </row>
    <row r="3" spans="1:14" ht="63" customHeight="1" x14ac:dyDescent="0.15">
      <c r="A3" s="78" t="s">
        <v>195</v>
      </c>
      <c r="B3" s="79">
        <f>floors!$C$2</f>
        <v>30046</v>
      </c>
      <c r="C3" s="80" t="str">
        <f ca="1">VLOOKUP($B3,OFFSET([2]quests!$A$1,0,0,COUNTA([2]quests!$A:$A),MATCH(C$1,[2]quests!$1:$1,0)-MATCH($B$1,[2]quests!$1:$1,0)+1),MATCH(C$1,[2]quests!$1:$1,0)-MATCH($B$1,[2]quests!$1:$1,0)+1,FALSE)</f>
        <v>千利の道も一歩から！</v>
      </c>
      <c r="D3" s="80" t="str">
        <f ca="1">VLOOKUP($B3,OFFSET([2]quests!$A$1,0,0,COUNTA([2]quests!$A:$A),MATCH(D$1,[2]quests!$1:$1,0)-MATCH($B$1,[2]quests!$1:$1,0)+1),MATCH(D$1,[2]quests!$1:$1,0)-MATCH($B$1,[2]quests!$1:$1,0)+1,FALSE)</f>
        <v>戦国シリーズ第二弾　超級</v>
      </c>
      <c r="E3" s="81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戦国シリーズ第二弾　超級</v>
      </c>
      <c r="H3" s="82">
        <v>2</v>
      </c>
      <c r="I3" s="87">
        <f t="shared" ref="I3:I19" si="0">ROW()-1</f>
        <v>2</v>
      </c>
      <c r="J3" s="83" t="str">
        <f t="shared" ref="J3:J7" si="1">B3&amp;TEXT(I3,"00")</f>
        <v>3004602</v>
      </c>
      <c r="K3" s="81" t="s">
        <v>128</v>
      </c>
      <c r="L3" s="84" t="s">
        <v>197</v>
      </c>
      <c r="M3" s="268" t="s">
        <v>392</v>
      </c>
      <c r="N3" s="57" t="s">
        <v>198</v>
      </c>
    </row>
    <row r="4" spans="1:14" ht="63" customHeight="1" x14ac:dyDescent="0.15">
      <c r="A4" s="78" t="s">
        <v>195</v>
      </c>
      <c r="B4" s="79">
        <f>floors!$C$2</f>
        <v>30046</v>
      </c>
      <c r="C4" s="80" t="str">
        <f ca="1">VLOOKUP($B4,OFFSET([2]quests!$A$1,0,0,COUNTA([2]quests!$A:$A),MATCH(C$1,[2]quests!$1:$1,0)-MATCH($B$1,[2]quests!$1:$1,0)+1),MATCH(C$1,[2]quests!$1:$1,0)-MATCH($B$1,[2]quests!$1:$1,0)+1,FALSE)</f>
        <v>千利の道も一歩から！</v>
      </c>
      <c r="D4" s="80" t="str">
        <f ca="1">VLOOKUP($B4,OFFSET([2]quests!$A$1,0,0,COUNTA([2]quests!$A:$A),MATCH(D$1,[2]quests!$1:$1,0)-MATCH($B$1,[2]quests!$1:$1,0)+1),MATCH(D$1,[2]quests!$1:$1,0)-MATCH($B$1,[2]quests!$1:$1,0)+1,FALSE)</f>
        <v>戦国シリーズ第二弾　超級</v>
      </c>
      <c r="E4" s="81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戦国シリーズ第二弾　超級</v>
      </c>
      <c r="H4" s="82">
        <v>3</v>
      </c>
      <c r="I4" s="87">
        <f t="shared" si="0"/>
        <v>3</v>
      </c>
      <c r="J4" s="83" t="str">
        <f t="shared" si="1"/>
        <v>3004603</v>
      </c>
      <c r="K4" s="81" t="s">
        <v>128</v>
      </c>
      <c r="L4" s="84" t="s">
        <v>197</v>
      </c>
      <c r="M4" s="268" t="s">
        <v>393</v>
      </c>
      <c r="N4" s="57" t="s">
        <v>198</v>
      </c>
    </row>
    <row r="5" spans="1:14" ht="63" customHeight="1" x14ac:dyDescent="0.15">
      <c r="A5" s="78" t="s">
        <v>195</v>
      </c>
      <c r="B5" s="79">
        <f>floors!$C$2</f>
        <v>30046</v>
      </c>
      <c r="C5" s="80" t="str">
        <f ca="1">VLOOKUP($B5,OFFSET([2]quests!$A$1,0,0,COUNTA([2]quests!$A:$A),MATCH(C$1,[2]quests!$1:$1,0)-MATCH($B$1,[2]quests!$1:$1,0)+1),MATCH(C$1,[2]quests!$1:$1,0)-MATCH($B$1,[2]quests!$1:$1,0)+1,FALSE)</f>
        <v>千利の道も一歩から！</v>
      </c>
      <c r="D5" s="80" t="str">
        <f ca="1">VLOOKUP($B5,OFFSET([2]quests!$A$1,0,0,COUNTA([2]quests!$A:$A),MATCH(D$1,[2]quests!$1:$1,0)-MATCH($B$1,[2]quests!$1:$1,0)+1),MATCH(D$1,[2]quests!$1:$1,0)-MATCH($B$1,[2]quests!$1:$1,0)+1,FALSE)</f>
        <v>戦国シリーズ第二弾　超級</v>
      </c>
      <c r="E5" s="81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戦国シリーズ第二弾　超級</v>
      </c>
      <c r="H5" s="82">
        <v>3</v>
      </c>
      <c r="I5" s="87">
        <f t="shared" si="0"/>
        <v>4</v>
      </c>
      <c r="J5" s="83" t="str">
        <f t="shared" si="1"/>
        <v>3004604</v>
      </c>
      <c r="K5" s="81" t="s">
        <v>128</v>
      </c>
      <c r="L5" s="84" t="s">
        <v>197</v>
      </c>
      <c r="M5" s="268" t="s">
        <v>394</v>
      </c>
      <c r="N5" s="57" t="s">
        <v>198</v>
      </c>
    </row>
    <row r="6" spans="1:14" ht="63" customHeight="1" x14ac:dyDescent="0.15">
      <c r="A6" s="78" t="s">
        <v>195</v>
      </c>
      <c r="B6" s="79">
        <f>floors!$C$2</f>
        <v>30046</v>
      </c>
      <c r="C6" s="80" t="str">
        <f ca="1">VLOOKUP($B6,OFFSET([2]quests!$A$1,0,0,COUNTA([2]quests!$A:$A),MATCH(C$1,[2]quests!$1:$1,0)-MATCH($B$1,[2]quests!$1:$1,0)+1),MATCH(C$1,[2]quests!$1:$1,0)-MATCH($B$1,[2]quests!$1:$1,0)+1,FALSE)</f>
        <v>千利の道も一歩から！</v>
      </c>
      <c r="D6" s="80" t="str">
        <f ca="1">VLOOKUP($B6,OFFSET([2]quests!$A$1,0,0,COUNTA([2]quests!$A:$A),MATCH(D$1,[2]quests!$1:$1,0)-MATCH($B$1,[2]quests!$1:$1,0)+1),MATCH(D$1,[2]quests!$1:$1,0)-MATCH($B$1,[2]quests!$1:$1,0)+1,FALSE)</f>
        <v>戦国シリーズ第二弾　超級</v>
      </c>
      <c r="E6" s="81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戦国シリーズ第二弾　超級</v>
      </c>
      <c r="H6" s="82">
        <v>4</v>
      </c>
      <c r="I6" s="87">
        <f t="shared" si="0"/>
        <v>5</v>
      </c>
      <c r="J6" s="83" t="str">
        <f t="shared" si="1"/>
        <v>3004605</v>
      </c>
      <c r="K6" s="81" t="s">
        <v>128</v>
      </c>
      <c r="L6" s="84" t="s">
        <v>197</v>
      </c>
      <c r="M6" s="268" t="s">
        <v>395</v>
      </c>
      <c r="N6" s="57" t="s">
        <v>198</v>
      </c>
    </row>
    <row r="7" spans="1:14" ht="63" customHeight="1" thickBot="1" x14ac:dyDescent="0.2">
      <c r="A7" s="258" t="s">
        <v>195</v>
      </c>
      <c r="B7" s="259">
        <f>floors!$C$2</f>
        <v>30046</v>
      </c>
      <c r="C7" s="260" t="str">
        <f ca="1">VLOOKUP($B7,OFFSET([2]quests!$A$1,0,0,COUNTA([2]quests!$A:$A),MATCH(C$1,[2]quests!$1:$1,0)-MATCH($B$1,[2]quests!$1:$1,0)+1),MATCH(C$1,[2]quests!$1:$1,0)-MATCH($B$1,[2]quests!$1:$1,0)+1,FALSE)</f>
        <v>千利の道も一歩から！</v>
      </c>
      <c r="D7" s="260" t="str">
        <f ca="1">VLOOKUP($B7,OFFSET([2]quests!$A$1,0,0,COUNTA([2]quests!$A:$A),MATCH(D$1,[2]quests!$1:$1,0)-MATCH($B$1,[2]quests!$1:$1,0)+1),MATCH(D$1,[2]quests!$1:$1,0)-MATCH($B$1,[2]quests!$1:$1,0)+1,FALSE)</f>
        <v>戦国シリーズ第二弾　超級</v>
      </c>
      <c r="E7" s="261">
        <v>1</v>
      </c>
      <c r="F7" s="260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【中級】千利の道も一歩から！</v>
      </c>
      <c r="G7" s="260" t="str">
        <f ca="1">VLOOKUP($B7&amp;"_"&amp;$E7,OFFSET([2]stages!$A$1,0,0,COUNTA([2]stages!$A:$A),MATCH(G$1,[2]stages!$2:$2,0)-MATCH("temp_stage",[2]stages!$2:$2,0)+1),MATCH(G$1,[2]stages!$2:$2,0)-MATCH("temp_stage",[2]stages!$2:$2,0)+1,FALSE)</f>
        <v>戦国シリーズ第二弾　超級</v>
      </c>
      <c r="H7" s="262">
        <v>4</v>
      </c>
      <c r="I7" s="263">
        <f t="shared" si="0"/>
        <v>6</v>
      </c>
      <c r="J7" s="264" t="str">
        <f t="shared" si="1"/>
        <v>3004606</v>
      </c>
      <c r="K7" s="261" t="s">
        <v>128</v>
      </c>
      <c r="L7" s="265" t="s">
        <v>197</v>
      </c>
      <c r="M7" s="269" t="s">
        <v>396</v>
      </c>
      <c r="N7" s="267" t="s">
        <v>198</v>
      </c>
    </row>
    <row r="8" spans="1:14" ht="63" customHeight="1" thickTop="1" x14ac:dyDescent="0.15">
      <c r="A8" s="250" t="s">
        <v>195</v>
      </c>
      <c r="B8" s="251">
        <f>floors!$C$2</f>
        <v>30046</v>
      </c>
      <c r="C8" s="80" t="str">
        <f ca="1">VLOOKUP($B8,OFFSET([2]quests!$A$1,0,0,COUNTA([2]quests!$A:$A),MATCH(C$1,[2]quests!$1:$1,0)-MATCH($B$1,[2]quests!$1:$1,0)+1),MATCH(C$1,[2]quests!$1:$1,0)-MATCH($B$1,[2]quests!$1:$1,0)+1,FALSE)</f>
        <v>千利の道も一歩から！</v>
      </c>
      <c r="D8" s="80" t="str">
        <f ca="1">VLOOKUP($B8,OFFSET([2]quests!$A$1,0,0,COUNTA([2]quests!$A:$A),MATCH(D$1,[2]quests!$1:$1,0)-MATCH($B$1,[2]quests!$1:$1,0)+1),MATCH(D$1,[2]quests!$1:$1,0)-MATCH($B$1,[2]quests!$1:$1,0)+1,FALSE)</f>
        <v>戦国シリーズ第二弾　超級</v>
      </c>
      <c r="E8" s="252">
        <v>2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戦国シリーズ第二弾　超級</v>
      </c>
      <c r="H8" s="82">
        <v>1</v>
      </c>
      <c r="I8" s="253">
        <f>ROW()-1</f>
        <v>7</v>
      </c>
      <c r="J8" s="254" t="str">
        <f>B8&amp;TEXT(I8,"00")</f>
        <v>3004607</v>
      </c>
      <c r="K8" s="252" t="s">
        <v>128</v>
      </c>
      <c r="L8" s="255" t="s">
        <v>197</v>
      </c>
      <c r="M8" s="256" t="s">
        <v>391</v>
      </c>
      <c r="N8" s="257" t="s">
        <v>198</v>
      </c>
    </row>
    <row r="9" spans="1:14" ht="63" customHeight="1" x14ac:dyDescent="0.15">
      <c r="A9" s="78" t="s">
        <v>195</v>
      </c>
      <c r="B9" s="79">
        <f>floors!$C$2</f>
        <v>30046</v>
      </c>
      <c r="C9" s="80" t="str">
        <f ca="1">VLOOKUP($B9,OFFSET([2]quests!$A$1,0,0,COUNTA([2]quests!$A:$A),MATCH(C$1,[2]quests!$1:$1,0)-MATCH($B$1,[2]quests!$1:$1,0)+1),MATCH(C$1,[2]quests!$1:$1,0)-MATCH($B$1,[2]quests!$1:$1,0)+1,FALSE)</f>
        <v>千利の道も一歩から！</v>
      </c>
      <c r="D9" s="80" t="str">
        <f ca="1">VLOOKUP($B9,OFFSET([2]quests!$A$1,0,0,COUNTA([2]quests!$A:$A),MATCH(D$1,[2]quests!$1:$1,0)-MATCH($B$1,[2]quests!$1:$1,0)+1),MATCH(D$1,[2]quests!$1:$1,0)-MATCH($B$1,[2]quests!$1:$1,0)+1,FALSE)</f>
        <v>戦国シリーズ第二弾　超級</v>
      </c>
      <c r="E9" s="81">
        <v>2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戦国シリーズ第二弾　超級</v>
      </c>
      <c r="H9" s="82">
        <v>2</v>
      </c>
      <c r="I9" s="87">
        <f t="shared" si="0"/>
        <v>8</v>
      </c>
      <c r="J9" s="83" t="str">
        <f t="shared" ref="J9:J13" si="2">B9&amp;TEXT(I9,"00")</f>
        <v>3004608</v>
      </c>
      <c r="K9" s="81" t="s">
        <v>128</v>
      </c>
      <c r="L9" s="84" t="s">
        <v>197</v>
      </c>
      <c r="M9" s="249" t="s">
        <v>392</v>
      </c>
      <c r="N9" s="57" t="s">
        <v>198</v>
      </c>
    </row>
    <row r="10" spans="1:14" ht="63" customHeight="1" x14ac:dyDescent="0.15">
      <c r="A10" s="78" t="s">
        <v>195</v>
      </c>
      <c r="B10" s="79">
        <f>floors!$C$2</f>
        <v>30046</v>
      </c>
      <c r="C10" s="80" t="str">
        <f ca="1">VLOOKUP($B10,OFFSET([2]quests!$A$1,0,0,COUNTA([2]quests!$A:$A),MATCH(C$1,[2]quests!$1:$1,0)-MATCH($B$1,[2]quests!$1:$1,0)+1),MATCH(C$1,[2]quests!$1:$1,0)-MATCH($B$1,[2]quests!$1:$1,0)+1,FALSE)</f>
        <v>千利の道も一歩から！</v>
      </c>
      <c r="D10" s="80" t="str">
        <f ca="1">VLOOKUP($B10,OFFSET([2]quests!$A$1,0,0,COUNTA([2]quests!$A:$A),MATCH(D$1,[2]quests!$1:$1,0)-MATCH($B$1,[2]quests!$1:$1,0)+1),MATCH(D$1,[2]quests!$1:$1,0)-MATCH($B$1,[2]quests!$1:$1,0)+1,FALSE)</f>
        <v>戦国シリーズ第二弾　超級</v>
      </c>
      <c r="E10" s="81">
        <v>2</v>
      </c>
      <c r="F10" s="80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10" s="80" t="str">
        <f ca="1">VLOOKUP($B10&amp;"_"&amp;$E10,OFFSET([2]stages!$A$1,0,0,COUNTA([2]stages!$A:$A),MATCH(G$1,[2]stages!$2:$2,0)-MATCH("temp_stage",[2]stages!$2:$2,0)+1),MATCH(G$1,[2]stages!$2:$2,0)-MATCH("temp_stage",[2]stages!$2:$2,0)+1,FALSE)</f>
        <v>戦国シリーズ第二弾　超級</v>
      </c>
      <c r="H10" s="82">
        <v>3</v>
      </c>
      <c r="I10" s="87">
        <f t="shared" si="0"/>
        <v>9</v>
      </c>
      <c r="J10" s="83" t="str">
        <f t="shared" si="2"/>
        <v>3004609</v>
      </c>
      <c r="K10" s="81" t="s">
        <v>128</v>
      </c>
      <c r="L10" s="84" t="s">
        <v>197</v>
      </c>
      <c r="M10" s="249" t="s">
        <v>393</v>
      </c>
      <c r="N10" s="57" t="s">
        <v>198</v>
      </c>
    </row>
    <row r="11" spans="1:14" ht="63" customHeight="1" x14ac:dyDescent="0.15">
      <c r="A11" s="78" t="s">
        <v>195</v>
      </c>
      <c r="B11" s="79">
        <f>floors!$C$2</f>
        <v>30046</v>
      </c>
      <c r="C11" s="80" t="str">
        <f ca="1">VLOOKUP($B11,OFFSET([2]quests!$A$1,0,0,COUNTA([2]quests!$A:$A),MATCH(C$1,[2]quests!$1:$1,0)-MATCH($B$1,[2]quests!$1:$1,0)+1),MATCH(C$1,[2]quests!$1:$1,0)-MATCH($B$1,[2]quests!$1:$1,0)+1,FALSE)</f>
        <v>千利の道も一歩から！</v>
      </c>
      <c r="D11" s="80" t="str">
        <f ca="1">VLOOKUP($B11,OFFSET([2]quests!$A$1,0,0,COUNTA([2]quests!$A:$A),MATCH(D$1,[2]quests!$1:$1,0)-MATCH($B$1,[2]quests!$1:$1,0)+1),MATCH(D$1,[2]quests!$1:$1,0)-MATCH($B$1,[2]quests!$1:$1,0)+1,FALSE)</f>
        <v>戦国シリーズ第二弾　超級</v>
      </c>
      <c r="E11" s="81">
        <v>2</v>
      </c>
      <c r="F11" s="80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11" s="80" t="str">
        <f ca="1">VLOOKUP($B11&amp;"_"&amp;$E11,OFFSET([2]stages!$A$1,0,0,COUNTA([2]stages!$A:$A),MATCH(G$1,[2]stages!$2:$2,0)-MATCH("temp_stage",[2]stages!$2:$2,0)+1),MATCH(G$1,[2]stages!$2:$2,0)-MATCH("temp_stage",[2]stages!$2:$2,0)+1,FALSE)</f>
        <v>戦国シリーズ第二弾　超級</v>
      </c>
      <c r="H11" s="82">
        <v>3</v>
      </c>
      <c r="I11" s="87">
        <f t="shared" si="0"/>
        <v>10</v>
      </c>
      <c r="J11" s="83" t="str">
        <f t="shared" si="2"/>
        <v>3004610</v>
      </c>
      <c r="K11" s="81" t="s">
        <v>128</v>
      </c>
      <c r="L11" s="84" t="s">
        <v>197</v>
      </c>
      <c r="M11" s="249" t="s">
        <v>394</v>
      </c>
      <c r="N11" s="57" t="s">
        <v>198</v>
      </c>
    </row>
    <row r="12" spans="1:14" ht="63" customHeight="1" x14ac:dyDescent="0.15">
      <c r="A12" s="78" t="s">
        <v>195</v>
      </c>
      <c r="B12" s="79">
        <f>floors!$C$2</f>
        <v>30046</v>
      </c>
      <c r="C12" s="80" t="str">
        <f ca="1">VLOOKUP($B12,OFFSET([2]quests!$A$1,0,0,COUNTA([2]quests!$A:$A),MATCH(C$1,[2]quests!$1:$1,0)-MATCH($B$1,[2]quests!$1:$1,0)+1),MATCH(C$1,[2]quests!$1:$1,0)-MATCH($B$1,[2]quests!$1:$1,0)+1,FALSE)</f>
        <v>千利の道も一歩から！</v>
      </c>
      <c r="D12" s="80" t="str">
        <f ca="1">VLOOKUP($B12,OFFSET([2]quests!$A$1,0,0,COUNTA([2]quests!$A:$A),MATCH(D$1,[2]quests!$1:$1,0)-MATCH($B$1,[2]quests!$1:$1,0)+1),MATCH(D$1,[2]quests!$1:$1,0)-MATCH($B$1,[2]quests!$1:$1,0)+1,FALSE)</f>
        <v>戦国シリーズ第二弾　超級</v>
      </c>
      <c r="E12" s="81">
        <v>2</v>
      </c>
      <c r="F12" s="80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12" s="80" t="str">
        <f ca="1">VLOOKUP($B12&amp;"_"&amp;$E12,OFFSET([2]stages!$A$1,0,0,COUNTA([2]stages!$A:$A),MATCH(G$1,[2]stages!$2:$2,0)-MATCH("temp_stage",[2]stages!$2:$2,0)+1),MATCH(G$1,[2]stages!$2:$2,0)-MATCH("temp_stage",[2]stages!$2:$2,0)+1,FALSE)</f>
        <v>戦国シリーズ第二弾　超級</v>
      </c>
      <c r="H12" s="82">
        <v>4</v>
      </c>
      <c r="I12" s="87">
        <f t="shared" si="0"/>
        <v>11</v>
      </c>
      <c r="J12" s="83" t="str">
        <f t="shared" si="2"/>
        <v>3004611</v>
      </c>
      <c r="K12" s="81" t="s">
        <v>128</v>
      </c>
      <c r="L12" s="84" t="s">
        <v>197</v>
      </c>
      <c r="M12" s="249" t="s">
        <v>395</v>
      </c>
      <c r="N12" s="57" t="s">
        <v>198</v>
      </c>
    </row>
    <row r="13" spans="1:14" ht="63" customHeight="1" thickBot="1" x14ac:dyDescent="0.2">
      <c r="A13" s="258" t="s">
        <v>195</v>
      </c>
      <c r="B13" s="259">
        <f>floors!$C$2</f>
        <v>30046</v>
      </c>
      <c r="C13" s="260" t="str">
        <f ca="1">VLOOKUP($B13,OFFSET([2]quests!$A$1,0,0,COUNTA([2]quests!$A:$A),MATCH(C$1,[2]quests!$1:$1,0)-MATCH($B$1,[2]quests!$1:$1,0)+1),MATCH(C$1,[2]quests!$1:$1,0)-MATCH($B$1,[2]quests!$1:$1,0)+1,FALSE)</f>
        <v>千利の道も一歩から！</v>
      </c>
      <c r="D13" s="260" t="str">
        <f ca="1">VLOOKUP($B13,OFFSET([2]quests!$A$1,0,0,COUNTA([2]quests!$A:$A),MATCH(D$1,[2]quests!$1:$1,0)-MATCH($B$1,[2]quests!$1:$1,0)+1),MATCH(D$1,[2]quests!$1:$1,0)-MATCH($B$1,[2]quests!$1:$1,0)+1,FALSE)</f>
        <v>戦国シリーズ第二弾　超級</v>
      </c>
      <c r="E13" s="261">
        <v>2</v>
      </c>
      <c r="F13" s="260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【上級】千利の道も一歩から！</v>
      </c>
      <c r="G13" s="260" t="str">
        <f ca="1">VLOOKUP($B13&amp;"_"&amp;$E13,OFFSET([2]stages!$A$1,0,0,COUNTA([2]stages!$A:$A),MATCH(G$1,[2]stages!$2:$2,0)-MATCH("temp_stage",[2]stages!$2:$2,0)+1),MATCH(G$1,[2]stages!$2:$2,0)-MATCH("temp_stage",[2]stages!$2:$2,0)+1,FALSE)</f>
        <v>戦国シリーズ第二弾　超級</v>
      </c>
      <c r="H13" s="262">
        <v>4</v>
      </c>
      <c r="I13" s="263">
        <f t="shared" si="0"/>
        <v>12</v>
      </c>
      <c r="J13" s="264" t="str">
        <f t="shared" si="2"/>
        <v>3004612</v>
      </c>
      <c r="K13" s="261" t="s">
        <v>128</v>
      </c>
      <c r="L13" s="265" t="s">
        <v>197</v>
      </c>
      <c r="M13" s="266" t="s">
        <v>396</v>
      </c>
      <c r="N13" s="267" t="s">
        <v>198</v>
      </c>
    </row>
    <row r="14" spans="1:14" ht="63" customHeight="1" thickTop="1" x14ac:dyDescent="0.15">
      <c r="A14" s="250" t="s">
        <v>195</v>
      </c>
      <c r="B14" s="251">
        <f>floors!$C$2</f>
        <v>30046</v>
      </c>
      <c r="C14" s="80" t="str">
        <f ca="1">VLOOKUP($B14,OFFSET([2]quests!$A$1,0,0,COUNTA([2]quests!$A:$A),MATCH(C$1,[2]quests!$1:$1,0)-MATCH($B$1,[2]quests!$1:$1,0)+1),MATCH(C$1,[2]quests!$1:$1,0)-MATCH($B$1,[2]quests!$1:$1,0)+1,FALSE)</f>
        <v>千利の道も一歩から！</v>
      </c>
      <c r="D14" s="80" t="str">
        <f ca="1">VLOOKUP($B14,OFFSET([2]quests!$A$1,0,0,COUNTA([2]quests!$A:$A),MATCH(D$1,[2]quests!$1:$1,0)-MATCH($B$1,[2]quests!$1:$1,0)+1),MATCH(D$1,[2]quests!$1:$1,0)-MATCH($B$1,[2]quests!$1:$1,0)+1,FALSE)</f>
        <v>戦国シリーズ第二弾　超級</v>
      </c>
      <c r="E14" s="252">
        <v>3</v>
      </c>
      <c r="F14" s="80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14" s="80" t="str">
        <f ca="1">VLOOKUP($B14&amp;"_"&amp;$E14,OFFSET([2]stages!$A$1,0,0,COUNTA([2]stages!$A:$A),MATCH(G$1,[2]stages!$2:$2,0)-MATCH("temp_stage",[2]stages!$2:$2,0)+1),MATCH(G$1,[2]stages!$2:$2,0)-MATCH("temp_stage",[2]stages!$2:$2,0)+1,FALSE)</f>
        <v>戦国シリーズ第二弾　超級</v>
      </c>
      <c r="H14" s="82">
        <v>1</v>
      </c>
      <c r="I14" s="253">
        <f>ROW()-1</f>
        <v>13</v>
      </c>
      <c r="J14" s="254" t="str">
        <f>B14&amp;TEXT(I14,"00")</f>
        <v>3004613</v>
      </c>
      <c r="K14" s="252" t="s">
        <v>128</v>
      </c>
      <c r="L14" s="255" t="s">
        <v>197</v>
      </c>
      <c r="M14" s="270" t="s">
        <v>391</v>
      </c>
      <c r="N14" s="257" t="s">
        <v>198</v>
      </c>
    </row>
    <row r="15" spans="1:14" ht="63" customHeight="1" x14ac:dyDescent="0.15">
      <c r="A15" s="78" t="s">
        <v>195</v>
      </c>
      <c r="B15" s="79">
        <f>floors!$C$2</f>
        <v>30046</v>
      </c>
      <c r="C15" s="80" t="str">
        <f ca="1">VLOOKUP($B15,OFFSET([2]quests!$A$1,0,0,COUNTA([2]quests!$A:$A),MATCH(C$1,[2]quests!$1:$1,0)-MATCH($B$1,[2]quests!$1:$1,0)+1),MATCH(C$1,[2]quests!$1:$1,0)-MATCH($B$1,[2]quests!$1:$1,0)+1,FALSE)</f>
        <v>千利の道も一歩から！</v>
      </c>
      <c r="D15" s="80" t="str">
        <f ca="1">VLOOKUP($B15,OFFSET([2]quests!$A$1,0,0,COUNTA([2]quests!$A:$A),MATCH(D$1,[2]quests!$1:$1,0)-MATCH($B$1,[2]quests!$1:$1,0)+1),MATCH(D$1,[2]quests!$1:$1,0)-MATCH($B$1,[2]quests!$1:$1,0)+1,FALSE)</f>
        <v>戦国シリーズ第二弾　超級</v>
      </c>
      <c r="E15" s="81">
        <v>3</v>
      </c>
      <c r="F15" s="80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15" s="80" t="str">
        <f ca="1">VLOOKUP($B15&amp;"_"&amp;$E15,OFFSET([2]stages!$A$1,0,0,COUNTA([2]stages!$A:$A),MATCH(G$1,[2]stages!$2:$2,0)-MATCH("temp_stage",[2]stages!$2:$2,0)+1),MATCH(G$1,[2]stages!$2:$2,0)-MATCH("temp_stage",[2]stages!$2:$2,0)+1,FALSE)</f>
        <v>戦国シリーズ第二弾　超級</v>
      </c>
      <c r="H15" s="82">
        <v>2</v>
      </c>
      <c r="I15" s="87">
        <f t="shared" si="0"/>
        <v>14</v>
      </c>
      <c r="J15" s="83" t="str">
        <f t="shared" ref="J15:J19" si="3">B15&amp;TEXT(I15,"00")</f>
        <v>3004614</v>
      </c>
      <c r="K15" s="81" t="s">
        <v>128</v>
      </c>
      <c r="L15" s="84" t="s">
        <v>197</v>
      </c>
      <c r="M15" s="268" t="s">
        <v>392</v>
      </c>
      <c r="N15" s="57" t="s">
        <v>198</v>
      </c>
    </row>
    <row r="16" spans="1:14" ht="63" customHeight="1" x14ac:dyDescent="0.15">
      <c r="A16" s="78" t="s">
        <v>195</v>
      </c>
      <c r="B16" s="79">
        <f>floors!$C$2</f>
        <v>30046</v>
      </c>
      <c r="C16" s="80" t="str">
        <f ca="1">VLOOKUP($B16,OFFSET([2]quests!$A$1,0,0,COUNTA([2]quests!$A:$A),MATCH(C$1,[2]quests!$1:$1,0)-MATCH($B$1,[2]quests!$1:$1,0)+1),MATCH(C$1,[2]quests!$1:$1,0)-MATCH($B$1,[2]quests!$1:$1,0)+1,FALSE)</f>
        <v>千利の道も一歩から！</v>
      </c>
      <c r="D16" s="80" t="str">
        <f ca="1">VLOOKUP($B16,OFFSET([2]quests!$A$1,0,0,COUNTA([2]quests!$A:$A),MATCH(D$1,[2]quests!$1:$1,0)-MATCH($B$1,[2]quests!$1:$1,0)+1),MATCH(D$1,[2]quests!$1:$1,0)-MATCH($B$1,[2]quests!$1:$1,0)+1,FALSE)</f>
        <v>戦国シリーズ第二弾　超級</v>
      </c>
      <c r="E16" s="81">
        <v>3</v>
      </c>
      <c r="F16" s="80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16" s="80" t="str">
        <f ca="1">VLOOKUP($B16&amp;"_"&amp;$E16,OFFSET([2]stages!$A$1,0,0,COUNTA([2]stages!$A:$A),MATCH(G$1,[2]stages!$2:$2,0)-MATCH("temp_stage",[2]stages!$2:$2,0)+1),MATCH(G$1,[2]stages!$2:$2,0)-MATCH("temp_stage",[2]stages!$2:$2,0)+1,FALSE)</f>
        <v>戦国シリーズ第二弾　超級</v>
      </c>
      <c r="H16" s="82">
        <v>3</v>
      </c>
      <c r="I16" s="87">
        <f t="shared" si="0"/>
        <v>15</v>
      </c>
      <c r="J16" s="83" t="str">
        <f t="shared" si="3"/>
        <v>3004615</v>
      </c>
      <c r="K16" s="81" t="s">
        <v>128</v>
      </c>
      <c r="L16" s="84" t="s">
        <v>197</v>
      </c>
      <c r="M16" s="268" t="s">
        <v>393</v>
      </c>
      <c r="N16" s="57" t="s">
        <v>198</v>
      </c>
    </row>
    <row r="17" spans="1:14" ht="63" customHeight="1" x14ac:dyDescent="0.15">
      <c r="A17" s="78" t="s">
        <v>195</v>
      </c>
      <c r="B17" s="79">
        <f>floors!$C$2</f>
        <v>30046</v>
      </c>
      <c r="C17" s="80" t="str">
        <f ca="1">VLOOKUP($B17,OFFSET([2]quests!$A$1,0,0,COUNTA([2]quests!$A:$A),MATCH(C$1,[2]quests!$1:$1,0)-MATCH($B$1,[2]quests!$1:$1,0)+1),MATCH(C$1,[2]quests!$1:$1,0)-MATCH($B$1,[2]quests!$1:$1,0)+1,FALSE)</f>
        <v>千利の道も一歩から！</v>
      </c>
      <c r="D17" s="80" t="str">
        <f ca="1">VLOOKUP($B17,OFFSET([2]quests!$A$1,0,0,COUNTA([2]quests!$A:$A),MATCH(D$1,[2]quests!$1:$1,0)-MATCH($B$1,[2]quests!$1:$1,0)+1),MATCH(D$1,[2]quests!$1:$1,0)-MATCH($B$1,[2]quests!$1:$1,0)+1,FALSE)</f>
        <v>戦国シリーズ第二弾　超級</v>
      </c>
      <c r="E17" s="81">
        <v>3</v>
      </c>
      <c r="F17" s="80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17" s="80" t="str">
        <f ca="1">VLOOKUP($B17&amp;"_"&amp;$E17,OFFSET([2]stages!$A$1,0,0,COUNTA([2]stages!$A:$A),MATCH(G$1,[2]stages!$2:$2,0)-MATCH("temp_stage",[2]stages!$2:$2,0)+1),MATCH(G$1,[2]stages!$2:$2,0)-MATCH("temp_stage",[2]stages!$2:$2,0)+1,FALSE)</f>
        <v>戦国シリーズ第二弾　超級</v>
      </c>
      <c r="H17" s="82">
        <v>3</v>
      </c>
      <c r="I17" s="87">
        <f t="shared" si="0"/>
        <v>16</v>
      </c>
      <c r="J17" s="83" t="str">
        <f t="shared" si="3"/>
        <v>3004616</v>
      </c>
      <c r="K17" s="81" t="s">
        <v>128</v>
      </c>
      <c r="L17" s="84" t="s">
        <v>197</v>
      </c>
      <c r="M17" s="268" t="s">
        <v>394</v>
      </c>
      <c r="N17" s="57" t="s">
        <v>198</v>
      </c>
    </row>
    <row r="18" spans="1:14" ht="63" customHeight="1" x14ac:dyDescent="0.15">
      <c r="A18" s="78" t="s">
        <v>195</v>
      </c>
      <c r="B18" s="79">
        <f>floors!$C$2</f>
        <v>30046</v>
      </c>
      <c r="C18" s="80" t="str">
        <f ca="1">VLOOKUP($B18,OFFSET([2]quests!$A$1,0,0,COUNTA([2]quests!$A:$A),MATCH(C$1,[2]quests!$1:$1,0)-MATCH($B$1,[2]quests!$1:$1,0)+1),MATCH(C$1,[2]quests!$1:$1,0)-MATCH($B$1,[2]quests!$1:$1,0)+1,FALSE)</f>
        <v>千利の道も一歩から！</v>
      </c>
      <c r="D18" s="80" t="str">
        <f ca="1">VLOOKUP($B18,OFFSET([2]quests!$A$1,0,0,COUNTA([2]quests!$A:$A),MATCH(D$1,[2]quests!$1:$1,0)-MATCH($B$1,[2]quests!$1:$1,0)+1),MATCH(D$1,[2]quests!$1:$1,0)-MATCH($B$1,[2]quests!$1:$1,0)+1,FALSE)</f>
        <v>戦国シリーズ第二弾　超級</v>
      </c>
      <c r="E18" s="81">
        <v>3</v>
      </c>
      <c r="F18" s="80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18" s="80" t="str">
        <f ca="1">VLOOKUP($B18&amp;"_"&amp;$E18,OFFSET([2]stages!$A$1,0,0,COUNTA([2]stages!$A:$A),MATCH(G$1,[2]stages!$2:$2,0)-MATCH("temp_stage",[2]stages!$2:$2,0)+1),MATCH(G$1,[2]stages!$2:$2,0)-MATCH("temp_stage",[2]stages!$2:$2,0)+1,FALSE)</f>
        <v>戦国シリーズ第二弾　超級</v>
      </c>
      <c r="H18" s="82">
        <v>4</v>
      </c>
      <c r="I18" s="87">
        <f t="shared" si="0"/>
        <v>17</v>
      </c>
      <c r="J18" s="83" t="str">
        <f t="shared" si="3"/>
        <v>3004617</v>
      </c>
      <c r="K18" s="81" t="s">
        <v>128</v>
      </c>
      <c r="L18" s="84" t="s">
        <v>197</v>
      </c>
      <c r="M18" s="268" t="s">
        <v>395</v>
      </c>
      <c r="N18" s="57" t="s">
        <v>198</v>
      </c>
    </row>
    <row r="19" spans="1:14" ht="63" customHeight="1" x14ac:dyDescent="0.15">
      <c r="A19" s="78" t="s">
        <v>195</v>
      </c>
      <c r="B19" s="79">
        <f>floors!$C$2</f>
        <v>30046</v>
      </c>
      <c r="C19" s="80" t="str">
        <f ca="1">VLOOKUP($B19,OFFSET([2]quests!$A$1,0,0,COUNTA([2]quests!$A:$A),MATCH(C$1,[2]quests!$1:$1,0)-MATCH($B$1,[2]quests!$1:$1,0)+1),MATCH(C$1,[2]quests!$1:$1,0)-MATCH($B$1,[2]quests!$1:$1,0)+1,FALSE)</f>
        <v>千利の道も一歩から！</v>
      </c>
      <c r="D19" s="80" t="str">
        <f ca="1">VLOOKUP($B19,OFFSET([2]quests!$A$1,0,0,COUNTA([2]quests!$A:$A),MATCH(D$1,[2]quests!$1:$1,0)-MATCH($B$1,[2]quests!$1:$1,0)+1),MATCH(D$1,[2]quests!$1:$1,0)-MATCH($B$1,[2]quests!$1:$1,0)+1,FALSE)</f>
        <v>戦国シリーズ第二弾　超級</v>
      </c>
      <c r="E19" s="81">
        <v>3</v>
      </c>
      <c r="F19" s="80" t="str">
        <f ca="1">VLOOKUP($B19&amp;"_"&amp;$E19,OFFSET([2]stages!$A$1,0,0,COUNTA([2]stages!$A:$A),MATCH(F$1,[2]stages!$2:$2,0)-MATCH("temp_stage",[2]stages!$2:$2,0)+1),MATCH(F$1,[2]stages!$2:$2,0)-MATCH("temp_stage",[2]stages!$2:$2,0)+1,FALSE)</f>
        <v>【超級】千利の道も一歩から！</v>
      </c>
      <c r="G19" s="80" t="str">
        <f ca="1">VLOOKUP($B19&amp;"_"&amp;$E19,OFFSET([2]stages!$A$1,0,0,COUNTA([2]stages!$A:$A),MATCH(G$1,[2]stages!$2:$2,0)-MATCH("temp_stage",[2]stages!$2:$2,0)+1),MATCH(G$1,[2]stages!$2:$2,0)-MATCH("temp_stage",[2]stages!$2:$2,0)+1,FALSE)</f>
        <v>戦国シリーズ第二弾　超級</v>
      </c>
      <c r="H19" s="82">
        <v>4</v>
      </c>
      <c r="I19" s="87">
        <f t="shared" si="0"/>
        <v>18</v>
      </c>
      <c r="J19" s="83" t="str">
        <f t="shared" si="3"/>
        <v>3004618</v>
      </c>
      <c r="K19" s="81" t="s">
        <v>128</v>
      </c>
      <c r="L19" s="84" t="s">
        <v>197</v>
      </c>
      <c r="M19" s="268" t="s">
        <v>396</v>
      </c>
      <c r="N19" s="57" t="s">
        <v>198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A2" sqref="A2:XFD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212</v>
      </c>
      <c r="B1" s="95" t="s">
        <v>213</v>
      </c>
      <c r="C1" s="74" t="s">
        <v>214</v>
      </c>
      <c r="D1" s="74" t="s">
        <v>33</v>
      </c>
      <c r="E1" s="95" t="s">
        <v>215</v>
      </c>
      <c r="F1" s="74" t="s">
        <v>216</v>
      </c>
      <c r="G1" s="74" t="s">
        <v>33</v>
      </c>
      <c r="H1" s="95" t="s">
        <v>217</v>
      </c>
      <c r="I1" s="95" t="s">
        <v>218</v>
      </c>
      <c r="J1" s="95" t="s">
        <v>219</v>
      </c>
      <c r="K1" s="70" t="s">
        <v>220</v>
      </c>
      <c r="L1" s="70" t="s">
        <v>221</v>
      </c>
      <c r="M1" s="70" t="s">
        <v>157</v>
      </c>
      <c r="N1" s="74" t="s">
        <v>16</v>
      </c>
      <c r="O1" s="70" t="s">
        <v>222</v>
      </c>
      <c r="P1" s="70" t="s">
        <v>57</v>
      </c>
      <c r="Q1" s="70" t="s">
        <v>223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224</v>
      </c>
      <c r="X1" s="70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2017-03-08T05:48:08Z</dcterms:modified>
</cp:coreProperties>
</file>