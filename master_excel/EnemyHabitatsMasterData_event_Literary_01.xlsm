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540" yWindow="1260" windowWidth="31680" windowHeight="17400" tabRatio="740" activeTab="1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9" i="9" l="1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O3" i="2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2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C27" i="18"/>
  <c r="D27" i="18"/>
  <c r="C28" i="18"/>
  <c r="D28" i="18"/>
  <c r="C29" i="18"/>
  <c r="D29" i="18"/>
  <c r="C30" i="18"/>
  <c r="D30" i="18"/>
  <c r="C31" i="18"/>
  <c r="D31" i="18"/>
  <c r="C32" i="18"/>
  <c r="D32" i="18"/>
  <c r="C33" i="18"/>
  <c r="D33" i="18"/>
  <c r="C26" i="18"/>
  <c r="D26" i="18"/>
  <c r="C25" i="18"/>
  <c r="D25" i="18"/>
  <c r="C24" i="18"/>
  <c r="D24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A13" i="18"/>
  <c r="C13" i="18"/>
  <c r="D13" i="18"/>
  <c r="A12" i="18"/>
  <c r="C12" i="18"/>
  <c r="D12" i="18"/>
  <c r="A3" i="18"/>
  <c r="C3" i="18"/>
  <c r="D3" i="18"/>
  <c r="A4" i="18"/>
  <c r="C4" i="18"/>
  <c r="D4" i="18"/>
  <c r="A5" i="18"/>
  <c r="C5" i="18"/>
  <c r="D5" i="18"/>
  <c r="A6" i="18"/>
  <c r="C6" i="18"/>
  <c r="D6" i="18"/>
  <c r="A7" i="18"/>
  <c r="C7" i="18"/>
  <c r="D7" i="18"/>
  <c r="A8" i="18"/>
  <c r="C8" i="18"/>
  <c r="D8" i="18"/>
  <c r="A9" i="18"/>
  <c r="C9" i="18"/>
  <c r="D9" i="18"/>
  <c r="A10" i="18"/>
  <c r="C10" i="18"/>
  <c r="D10" i="18"/>
  <c r="A11" i="18"/>
  <c r="C11" i="18"/>
  <c r="D11" i="18"/>
  <c r="M4" i="10"/>
  <c r="T4" i="10"/>
  <c r="W4" i="10"/>
  <c r="V4" i="10"/>
  <c r="X4" i="10"/>
  <c r="U4" i="10"/>
  <c r="Y4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Q3" i="10"/>
  <c r="P3" i="10"/>
  <c r="R3" i="10"/>
  <c r="O3" i="10"/>
  <c r="S3" i="10"/>
  <c r="G3" i="10"/>
  <c r="J3" i="10"/>
  <c r="I3" i="10"/>
  <c r="K3" i="10"/>
  <c r="H3" i="10"/>
  <c r="L3" i="10"/>
  <c r="J30" i="11"/>
  <c r="A30" i="9"/>
  <c r="D30" i="9"/>
  <c r="E30" i="9"/>
  <c r="G30" i="9"/>
  <c r="H30" i="9"/>
  <c r="I30" i="9"/>
  <c r="J30" i="9"/>
  <c r="K30" i="9"/>
  <c r="L30" i="9"/>
  <c r="M30" i="9"/>
  <c r="N30" i="9"/>
  <c r="O30" i="9"/>
  <c r="J29" i="11"/>
  <c r="J22" i="11"/>
  <c r="J23" i="11"/>
  <c r="J24" i="11"/>
  <c r="J25" i="11"/>
  <c r="J26" i="11"/>
  <c r="J27" i="11"/>
  <c r="J28" i="11"/>
  <c r="J21" i="11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AF19" i="1"/>
  <c r="AI19" i="1"/>
  <c r="AG19" i="1"/>
  <c r="AE19" i="1"/>
  <c r="E16" i="9"/>
  <c r="X19" i="1"/>
  <c r="V19" i="1"/>
  <c r="T19" i="1"/>
  <c r="Q19" i="1"/>
  <c r="P19" i="1"/>
  <c r="O19" i="1"/>
  <c r="N19" i="1"/>
  <c r="M19" i="1"/>
  <c r="H19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19" i="1"/>
  <c r="I19" i="1"/>
  <c r="D19" i="1"/>
  <c r="F19" i="1"/>
  <c r="E19" i="1"/>
  <c r="A19" i="1"/>
  <c r="AF18" i="1"/>
  <c r="AI18" i="1"/>
  <c r="AG18" i="1"/>
  <c r="AE18" i="1"/>
  <c r="E10" i="9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F17" i="1"/>
  <c r="AI17" i="1"/>
  <c r="AG17" i="1"/>
  <c r="AE17" i="1"/>
  <c r="E8" i="9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F16" i="1"/>
  <c r="AI16" i="1"/>
  <c r="AG16" i="1"/>
  <c r="AE16" i="1"/>
  <c r="E6" i="9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F14" i="1"/>
  <c r="AI14" i="1"/>
  <c r="AG14" i="1"/>
  <c r="AE14" i="1"/>
  <c r="E2" i="9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E5" i="1"/>
  <c r="AF5" i="1"/>
  <c r="AG5" i="1"/>
  <c r="AI5" i="1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M14" i="10"/>
  <c r="N14" i="10"/>
  <c r="Q14" i="10"/>
  <c r="P14" i="10"/>
  <c r="R14" i="10"/>
  <c r="O14" i="10"/>
  <c r="S14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13" i="2"/>
  <c r="E13" i="2"/>
  <c r="D13" i="2"/>
  <c r="H2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B3" i="2"/>
  <c r="D3" i="2"/>
  <c r="E3" i="2"/>
  <c r="H3" i="2"/>
  <c r="B4" i="2"/>
  <c r="D4" i="2"/>
  <c r="E4" i="2"/>
  <c r="H4" i="2"/>
  <c r="B5" i="2"/>
  <c r="D5" i="2"/>
  <c r="E5" i="2"/>
  <c r="H5" i="2"/>
  <c r="W2" i="7"/>
  <c r="U2" i="7"/>
  <c r="V2" i="1"/>
  <c r="T2" i="1"/>
  <c r="E1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<sst xmlns="http://schemas.openxmlformats.org/spreadsheetml/2006/main" count="1055" uniqueCount="361">
  <si>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</si>
  <si>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</si>
  <si>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</si>
  <si>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</si>
  <si>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</si>
  <si>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</si>
  <si>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</si>
  <si>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</si>
  <si>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</si>
  <si>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</si>
  <si>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</si>
  <si>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</si>
  <si>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</si>
  <si>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</si>
  <si>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</si>
  <si>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</si>
  <si>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</si>
  <si>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</si>
  <si>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</si>
  <si>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</si>
  <si>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</si>
  <si>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</si>
  <si>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</si>
  <si>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</si>
  <si>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</si>
  <si>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</si>
  <si>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</si>
  <si>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</si>
  <si>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</si>
  <si>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</si>
  <si>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</si>
  <si>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</si>
  <si>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</si>
  <si>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</si>
  <si>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</si>
  <si>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</si>
  <si>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</si>
  <si>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</si>
  <si>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</si>
  <si>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</si>
  <si>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</si>
  <si>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</si>
  <si>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</si>
  <si>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</si>
  <si>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</si>
  <si>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</si>
  <si>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</si>
  <si>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</si>
  <si>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</si>
  <si>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</si>
  <si>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</si>
  <si>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</si>
  <si>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</si>
  <si>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</si>
  <si>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</si>
  <si>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</si>
  <si>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</si>
  <si>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</si>
  <si>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</si>
  <si>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</si>
  <si>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</si>
  <si>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</si>
  <si>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</si>
  <si>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</si>
  <si>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</si>
  <si>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</si>
  <si>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</si>
  <si>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</si>
  <si>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</si>
  <si>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</si>
  <si>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</si>
  <si>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</si>
  <si>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</si>
  <si>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</si>
  <si>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</si>
  <si>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</si>
  <si>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</si>
  <si>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</si>
  <si>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</si>
  <si>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</si>
  <si>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</si>
  <si>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</si>
  <si>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</si>
  <si>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</si>
  <si>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</si>
  <si>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</si>
  <si>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</si>
  <si>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</si>
  <si>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</si>
  <si>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</si>
  <si>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</si>
  <si>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</si>
  <si>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</si>
  <si>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</si>
  <si>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</si>
  <si>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</si>
  <si>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</si>
  <si>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</si>
  <si>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</si>
  <si>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</si>
  <si>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</si>
  <si>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</si>
  <si>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</si>
  <si>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</si>
  <si>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</si>
  <si>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</si>
  <si>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</si>
  <si>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</si>
  <si>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</si>
  <si>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</si>
  <si>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</si>
  <si>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</si>
  <si>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</si>
  <si>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</si>
  <si>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</si>
  <si>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</si>
  <si>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</si>
  <si>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</si>
  <si>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</si>
  <si>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</si>
  <si>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</si>
  <si>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</si>
  <si>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</si>
  <si>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</si>
  <si>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</si>
  <si>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</si>
  <si>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</si>
  <si>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</si>
  <si>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</si>
  <si>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</si>
  <si>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</si>
  <si>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</si>
  <si>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</si>
  <si>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</si>
  <si>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</si>
  <si>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</si>
  <si>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</si>
  <si>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</si>
  <si>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</si>
  <si>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</si>
  <si>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</si>
  <si>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</si>
  <si>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</si>
  <si>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</si>
  <si>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</si>
  <si>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</si>
  <si>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</si>
  <si>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</si>
  <si>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</si>
  <si>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</si>
  <si>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</si>
  <si>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</si>
  <si>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</si>
  <si>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</si>
  <si>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</si>
  <si>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</si>
  <si>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</si>
  <si>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</si>
  <si>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</si>
  <si>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</si>
  <si>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</si>
  <si>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</si>
  <si>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</si>
  <si>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</si>
  <si>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</si>
  <si>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</si>
  <si>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</si>
  <si>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</si>
  <si>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</si>
  <si>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</si>
  <si>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</si>
  <si>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</si>
  <si>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</si>
  <si>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</si>
  <si>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</si>
  <si>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</si>
  <si>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</si>
  <si>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</si>
  <si>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</si>
  <si>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</si>
  <si>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</si>
  <si>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</si>
  <si>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</si>
  <si>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</si>
  <si>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</si>
  <si>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</si>
  <si>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</si>
  <si>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</si>
  <si>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</si>
  <si>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</si>
  <si>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</si>
  <si>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</si>
  <si>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</si>
  <si>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</si>
  <si>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</si>
  <si>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</si>
  <si>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</si>
  <si>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</si>
  <si>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</si>
  <si>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</si>
  <si>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</si>
  <si>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</si>
  <si>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</si>
  <si>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</si>
  <si>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</si>
  <si>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</si>
  <si>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</si>
  <si>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</si>
  <si>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</si>
  <si>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</si>
  <si>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</si>
  <si>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</si>
  <si>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</si>
  <si>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</si>
  <si>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</si>
  <si>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</si>
  <si>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</si>
  <si>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</si>
  <si>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</si>
  <si>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</si>
  <si>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</si>
  <si>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</si>
  <si>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</si>
  <si>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</si>
  <si>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</si>
  <si>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</si>
  <si>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</si>
  <si>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</si>
  <si>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</si>
  <si>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</si>
  <si>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</si>
  <si>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</si>
  <si>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</si>
  <si>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</si>
  <si>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</si>
  <si>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</si>
  <si>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</si>
  <si>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</si>
  <si>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</si>
  <si>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</si>
  <si>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</si>
  <si>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</si>
  <si>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</si>
  <si>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</si>
  <si>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</si>
  <si>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</si>
  <si>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</si>
  <si>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</si>
  <si>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</si>
  <si>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</si>
  <si>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</si>
  <si>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</si>
  <si>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</si>
  <si>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null</t>
    <phoneticPr fontId="5"/>
  </si>
  <si>
    <t>null</t>
    <phoneticPr fontId="5"/>
  </si>
  <si>
    <t>緑パネルをお邪魔パネルに変換(最大12個)</t>
    <phoneticPr fontId="5"/>
  </si>
  <si>
    <t>全体攻撃+
黄パネルを緑の時限式ダメージパネルに変換(最大6個)</t>
    <phoneticPr fontId="5"/>
  </si>
  <si>
    <t>黄パネルをお邪魔パネルに変換(最大10個)</t>
    <phoneticPr fontId="5"/>
  </si>
  <si>
    <t>[effect:force_change_block, new_block:jammer, target:block_all, ignore01:crash, ignore02:jammer, ignore03:crack_bomb, ignore04:color_break, count:3, val:0, animation:change_block]</t>
    <phoneticPr fontId="5"/>
  </si>
  <si>
    <t>old</t>
  </si>
  <si>
    <t>null</t>
    <phoneticPr fontId="5"/>
  </si>
  <si>
    <t>null</t>
    <phoneticPr fontId="5"/>
  </si>
  <si>
    <t>null</t>
    <phoneticPr fontId="5"/>
  </si>
  <si>
    <t>null</t>
    <phoneticPr fontId="5"/>
  </si>
  <si>
    <t>時限式の書</t>
    <phoneticPr fontId="5"/>
  </si>
  <si>
    <t>御邪魔の書</t>
    <phoneticPr fontId="5"/>
  </si>
  <si>
    <t>御邪魔の書</t>
    <phoneticPr fontId="5"/>
  </si>
  <si>
    <t>時限式の書</t>
    <phoneticPr fontId="5"/>
  </si>
  <si>
    <t>トリプル・ショット</t>
    <phoneticPr fontId="5"/>
  </si>
  <si>
    <t>ダブル・ショット</t>
    <phoneticPr fontId="5"/>
  </si>
  <si>
    <t>眼光の放出</t>
    <phoneticPr fontId="5"/>
  </si>
  <si>
    <t>null</t>
    <phoneticPr fontId="5"/>
  </si>
  <si>
    <t>シングル・ショット</t>
    <phoneticPr fontId="5"/>
  </si>
  <si>
    <t>お邪魔・スペシャル</t>
    <phoneticPr fontId="5"/>
  </si>
  <si>
    <t>お邪魔・スペシャル改</t>
    <phoneticPr fontId="5"/>
  </si>
  <si>
    <t>[effect:damage_anti_cost, target:unit_all, lower:31, val1:99.9, val2:0.01, cost_type:unit],[effect:damage_anti_cost, target:unit_all, lower:31, val1:99.9, val2:0.01, cost_type:unit]</t>
    <phoneticPr fontId="5"/>
  </si>
  <si>
    <t>ここにいたら危ないですよ？</t>
    <phoneticPr fontId="5"/>
  </si>
  <si>
    <t>全体攻撃+
青パネルを黄の時限式ダメージパネルに変換(最大10個)</t>
    <phoneticPr fontId="5"/>
  </si>
  <si>
    <t>全体攻撃+
青パネルを緑の時限式ダメージパネルに変換(最大10個)</t>
    <phoneticPr fontId="5"/>
  </si>
  <si>
    <t>黄色く染まったのが見えるかい？</t>
    <phoneticPr fontId="5"/>
  </si>
  <si>
    <t>青の迷彩</t>
    <phoneticPr fontId="5"/>
  </si>
  <si>
    <t>黄の迷彩</t>
    <phoneticPr fontId="5"/>
  </si>
  <si>
    <t>緑の迷彩</t>
    <phoneticPr fontId="5"/>
  </si>
  <si>
    <t>単体攻撃+
黄パネルをお邪魔パネルに変換(最大5個)</t>
    <phoneticPr fontId="5"/>
  </si>
  <si>
    <t>単体攻撃+
青パネルをお邪魔パネルに変換(最大5個)</t>
    <phoneticPr fontId="5"/>
  </si>
  <si>
    <t>link</t>
  </si>
  <si>
    <t>unit</t>
  </si>
  <si>
    <t>梶井基次郎はコスト31以上のユニットに
対して大ダメージを与えてきます
コスト30以下のユニットで挑みましょう</t>
    <phoneticPr fontId="5"/>
  </si>
  <si>
    <t>コスト31以上のユニットに大ダメージ</t>
    <phoneticPr fontId="5"/>
  </si>
  <si>
    <t>あはは！きみに美しい世界を見せてあげるよ！！</t>
    <phoneticPr fontId="5"/>
  </si>
  <si>
    <t>もう諦めたらどうだい？</t>
    <phoneticPr fontId="5"/>
  </si>
  <si>
    <t>世界はもっと鮮やかであるべきなんだ！！！</t>
    <phoneticPr fontId="5"/>
  </si>
  <si>
    <t>世界はもっと鮮やかであるべきなんだ！！！</t>
    <phoneticPr fontId="5"/>
  </si>
  <si>
    <t>緑パネルを緑の時限式ダメージパネルに変換(最大5個)</t>
    <phoneticPr fontId="5"/>
  </si>
  <si>
    <t>緑パネルをお邪魔パネルに変換(最大7個)</t>
    <phoneticPr fontId="5"/>
  </si>
  <si>
    <t>青パネルを緑の時限式ダメージパネルに変換(最大7個)</t>
    <phoneticPr fontId="5"/>
  </si>
  <si>
    <t>緑色に染まったのが見えるかい？</t>
    <phoneticPr fontId="5"/>
  </si>
  <si>
    <t>きみに免じて帰ろうかな</t>
    <phoneticPr fontId="5"/>
  </si>
  <si>
    <t>うーん…何処に置こう</t>
    <phoneticPr fontId="5"/>
  </si>
  <si>
    <t>ぼくを止めるって言うのかい？</t>
    <phoneticPr fontId="5"/>
  </si>
  <si>
    <t>きみは本当に愚かだね</t>
    <phoneticPr fontId="5"/>
  </si>
  <si>
    <t>避難したほうが賢明だよ？</t>
    <phoneticPr fontId="5"/>
  </si>
  <si>
    <t>さあ、始めるよ</t>
    <phoneticPr fontId="5"/>
  </si>
  <si>
    <t>見つからないと思うよ？</t>
    <phoneticPr fontId="5"/>
  </si>
  <si>
    <t>よし…帰っちゃおう</t>
    <phoneticPr fontId="5"/>
  </si>
  <si>
    <t>粉葉みじんにするね</t>
    <phoneticPr fontId="5"/>
  </si>
  <si>
    <t>梶井基次郎の2ゲージ目は
HPが半分以下になると攻撃頻度が1になり
強力なクリティカル攻撃を行います</t>
    <phoneticPr fontId="5"/>
  </si>
  <si>
    <t>梶井基次郎の2ゲージ目は
HPが半分以下になると
強力なクリティカル攻撃を行います</t>
    <phoneticPr fontId="5"/>
  </si>
  <si>
    <t>全体攻撃+
青パネルを青の時限式ダメージパネルに変換(最大10個)</t>
    <phoneticPr fontId="5"/>
  </si>
  <si>
    <t>単体攻撃+
青パネルをお邪魔パネルに変換(最大5個)</t>
    <phoneticPr fontId="5"/>
  </si>
  <si>
    <t>単体攻撃+
黄パネルをお邪魔パネルに変換(最大5個)</t>
    <phoneticPr fontId="5"/>
  </si>
  <si>
    <t>単体攻撃+
緑パネルをお邪魔パネルに変換(最大5個)</t>
    <phoneticPr fontId="5"/>
  </si>
  <si>
    <t>梶井基次郎はお邪魔パネルと
時限式ダメージパネルを
大量に変換してきます
対応できるユニットを連れていきましょう</t>
    <phoneticPr fontId="5"/>
  </si>
  <si>
    <t>梶井基次郎はお邪魔パネルと
時限式ダメージパネルを
大量に変換してきます
対応できるユニットを連れていきましょう</t>
    <phoneticPr fontId="5"/>
  </si>
  <si>
    <t>梶井基次郎はお邪魔パネルと
時限式ダメージパネルを
大量に変換してきます
対応できるユニットを連れていきましょう</t>
    <phoneticPr fontId="5"/>
  </si>
  <si>
    <t>ランダムでお邪魔パネルに3個変換</t>
    <phoneticPr fontId="5"/>
  </si>
  <si>
    <t>単体攻撃+
ランダムで緑の時限式ダメージパネルに3個変換</t>
    <phoneticPr fontId="5"/>
  </si>
  <si>
    <t>単体攻撃+
ランダムで緑の時限式ダメージパネルに3個変換</t>
    <phoneticPr fontId="5"/>
  </si>
  <si>
    <t>単体攻撃+
ランダムでお邪魔パネルに3個変換</t>
    <phoneticPr fontId="5"/>
  </si>
  <si>
    <t>ランダムで緑の時限式ダメージパネルに7個変換</t>
    <phoneticPr fontId="5"/>
  </si>
  <si>
    <t>ランダムでお邪魔パネルに12個変換</t>
    <phoneticPr fontId="5"/>
  </si>
  <si>
    <t>3回連続攻撃+
ランダムでお邪魔パネルに3個変換</t>
    <phoneticPr fontId="5"/>
  </si>
  <si>
    <t>2回連続攻撃+
ランダムでお邪魔パネルに2個変換</t>
    <phoneticPr fontId="5"/>
  </si>
  <si>
    <t>単体攻撃+
ランダムでお邪魔パネルに1個変換</t>
    <phoneticPr fontId="5"/>
  </si>
  <si>
    <t>ランダムでお邪魔パネルに15個変換</t>
    <phoneticPr fontId="5"/>
  </si>
  <si>
    <t>八咫烏はお邪魔パネルを大量に変換してきます
対策ユニットを連れていきましょう</t>
    <phoneticPr fontId="5"/>
  </si>
  <si>
    <t>八咫烏はお邪魔パネルを大量に変換してきます
対策ユニットを連れていきましょう</t>
    <phoneticPr fontId="5"/>
  </si>
  <si>
    <t>八咫烏はお邪魔パネルを大量に変換してきます
対策ユニットを連れていきましょう</t>
    <phoneticPr fontId="5"/>
  </si>
  <si>
    <t>バショーは残りHPが少なくなると
時限式ダメージパネルやお邪魔パネルに
変換するスキルを使ってきます</t>
    <phoneticPr fontId="5"/>
  </si>
  <si>
    <t>バショーは残りHPが少なくなると
時限式ダメージパネルやお邪魔パネルに
変換するスキルを使ってきます</t>
    <phoneticPr fontId="5"/>
  </si>
  <si>
    <t>[effect:force_change_block, new_block:jammer, target:block_all, ignore01:crash, ignore02:jammer, ignore03:crack_bomb, ignore04:time_bomb, ignore05:color_break, count:12, val:0, animation:change_block]</t>
    <phoneticPr fontId="5"/>
  </si>
  <si>
    <t>全体攻撃+
青パネルを緑の時限式ダメージパネルに変換(最大6個)</t>
    <phoneticPr fontId="5"/>
  </si>
  <si>
    <t>[effect:spread, val:0.25],[effect:force_change_block, new_block:time_bomb, target:block_yellow, ignore01:crash, ignore02:crack_bomb, ignore03:jammer, ignore04:time_bomb, ignore05:color_break, color:block_green, count:6, val:0.3, animation:change_block],[effect:enemy_message, val1:1, val2:2.4]</t>
    <phoneticPr fontId="5"/>
  </si>
  <si>
    <t>黄パネルをお邪魔パネルに変換(最大10個)</t>
    <phoneticPr fontId="5"/>
  </si>
  <si>
    <t>[effect:force_change_block, new_block:jammer, target:block_yellow, ignore01:crash, ignore02:crack_bomb, ignore03:jammer, ignore04:time_bomb, ignore05:color_break,  count:10, val:0, animation:change_block],[effect:enemy_message, val1:1, val2:2.4]</t>
    <phoneticPr fontId="5"/>
  </si>
  <si>
    <t>[effect:spread, val:0.33],[effect:force_change_block, new_block:time_bomb, target:block_blue, ignore01:crash, ignore02:crack_bomb, ignore03:jammer, ignore04:time_bomb, ignore05:color_break, color:block_blue, count:10, val:0.35, animation:change_block],[effect:enemy_message, val1:1, val2:2.4]</t>
    <phoneticPr fontId="5"/>
  </si>
  <si>
    <t>[effect:rush, count:1, val:1.1],[effect:force_change_block, new_block:jammer, target:block_blue, ignore01:crash, ignore02:crack_bomb, ignore03:jammer, ignore04:time_bomb, ignore05:color_break, count:5, val:0, animation:change_block],[effect:enemy_message, val1:1, val2:2.4]</t>
    <phoneticPr fontId="5"/>
  </si>
  <si>
    <t>[effect:spread, val:0.33],[effect:force_change_block, new_block:time_bomb, target:block_blue, ignore01:crash, ignore02:crack_bomb, ignore03:jammer, ignore04:time_bomb, ignore05:color_break, color:block_yellow, count:10, val:0.35, animation:change_block],[effect:enemy_message, val1:1, val2:2.4]</t>
    <phoneticPr fontId="5"/>
  </si>
  <si>
    <t>[effect:rush, count:1, val:1.1],[effect:force_change_block, new_block:jammer, target:block_yellow, ignore01:crash, ignore02:crack_bomb, ignore03:jammer, ignore04:time_bomb, ignore05:color_break, count:5, val:0, animation:change_block],[effect:enemy_message, val1:1, val2:2.4]</t>
    <phoneticPr fontId="5"/>
  </si>
  <si>
    <t>[effect:spread, val:0.33],[effect:force_change_block, new_block:time_bomb, target:block_blue, ignore01:crash, ignore02:crack_bomb, ignore03:jammer, ignore04:time_bomb, ignore05:color_break, color:block_green, count:10, val:0.35, animation:change_block],[effect:enemy_message, val1:1, val2:2.4]</t>
    <phoneticPr fontId="5"/>
  </si>
  <si>
    <t>[effect:rush, count:1, val:1.1],[effect:force_change_block, new_block:jammer, target:block_green, ignore01:crash, ignore02:crack_bomb, ignore03:jammer, ignore04:time_bomb, ignore05:color_break, count:5, val:0, animation:change_block],[effect:enemy_message, val1:1, val2:2.4]</t>
    <phoneticPr fontId="5"/>
  </si>
  <si>
    <t>すべてのものに二面性があるんだ</t>
    <phoneticPr fontId="5"/>
  </si>
  <si>
    <t>クリティカル+攻撃頻度UP+
ランダムでお邪魔パネルに3個変換+
ランダムで緑の時限式ダメージパネルに5個変換</t>
    <phoneticPr fontId="5"/>
  </si>
  <si>
    <t>クリティカル+ランダムでお邪魔パネルに3個変換+
ランダムで緑の時限式ダメージパネルに5個変換</t>
    <phoneticPr fontId="5"/>
  </si>
  <si>
    <t>[effect:force_change_block, new_block:jammer, target:block_all, ignore01:crash, ignore02:time_bomb, ignore03:jammer, ignore04:crack_bomb, ignore05:color_break, count:3, val:0, animation:change_block],[effect:force_change_block, new_block:time_bomb, target:block_all, ignore01:crash, ignore02:time_bomb, ignore03:jammer, ignore04:crack_bomb, ignore05:color_break,  count:5, val:0.35, animation:change_block],[effect:critical, val:2.5, animation:enemy_critical],[effect:fix_speed, target:myself, turn:1],[effect:enemy_message, val1:2, val2:3.5]</t>
    <phoneticPr fontId="5"/>
  </si>
  <si>
    <t>[effect:force_change_block, new_block:jammer, target:block_all, ignore01:crash, ignore02:time_bomb, ignore03:jammer, ignore04:crack_bomb, ignore05:color_break, count:3, val:0, animation:change_block],[effect:force_change_block, new_block:time_bomb, target:block_all, ignore01:crash, ignore02:time_bomb, ignore03:jammer, ignore04:crack_bomb, ignore05:color_break, count:5, val:0.35, animation:change_block],[effect:critical, val:2.4, animation:enemy_critical],[effect:enemy_message, val1:2, val2:3.4]</t>
    <phoneticPr fontId="5"/>
  </si>
  <si>
    <t>[effect:spread, val:0.25],[effect:force_change_block, new_block:time_bomb, target:block_blue, ignore01:crash, ignore02:crack_bomb, ignore03:jammer, ignore04:time_bomb, ignore05:color_break, color:block_green, count:6, val:0.3, animation:change_block],[effect:enemy_message, val1:1, val2:2.4]</t>
    <phoneticPr fontId="5"/>
  </si>
  <si>
    <t>[effect:rush, count:1, val:1.0],[effect:force_change_block, new_block:jammer, target:block_blue, ignore01:crash, ignore02:crack_bomb, ignore03:jammer, ignore04:time_bomb, ignore05:color_break, count:5, val:0, animation:change_block],[effect:enemy_message, val1:1, val2:2.4]</t>
    <phoneticPr fontId="5"/>
  </si>
  <si>
    <t>[effect:rush, count:1, val:1.0],[effect:force_change_block, new_block:jammer, target:block_yellow, ignore01:crash, ignore02:crack_bomb, ignore03:jammer, ignore04:time_bomb, ignore05:color_break, count:5, val:0, animation:change_block],[effect:enemy_message, val1:1, val2:2.4]</t>
    <phoneticPr fontId="5"/>
  </si>
  <si>
    <t>[effect:force_change_block, new_block:jammer, target:block_yellow, ignore01:crash, ignore02:crack_bomb, ignore03:jammer, ignore04:time_bomb, ignore05:color_break, count:10, val:0, animation:change_block],[effect:enemy_message, val1:1, val2:2.2]</t>
    <phoneticPr fontId="5"/>
  </si>
  <si>
    <t>[effect:force_change_block, new_block:time_bomb, target:block_blue, ignore01:crash, ignore02:crack_bomb, ignore03:jammer, ignore04:time_bomb, ignore05:color_break, count:7, val:0.3, animation:change_block],[effect:enemy_message, val1:1, val2:2.4]</t>
    <phoneticPr fontId="5"/>
  </si>
  <si>
    <t>[effect:force_change_block, new_block:time_bomb, target:block_all, ignore01:crash, ignore02:jammer, ignore03:crack_bomb, ignore04:color_break, color:block_green, count:7, val:0.3, animation:change_block],[effect:suicide, target:myself, val:1, dead_type:escape],[effect:enemy_message, val1:1, val2:2.2]</t>
    <phoneticPr fontId="5"/>
  </si>
  <si>
    <t>[effect:force_change_block, new_block:time_bomb, target:block_green, ignore01:crash, ignore02:jammer, ignore03:crack_bomb, ignore04:color_break, color:block_green, count:5, val:0.3, animation:change_block],[effect:suicide, target:myself, val:1, dead_type:escape],[effect:enemy_message, val1:1, val2:2.4]</t>
    <phoneticPr fontId="5"/>
  </si>
  <si>
    <t>[effect:rush, count:1, val:0.8],[effect:force_change_block, new_block:jammer, target:block_all, ignore01:crash, ignore02:jammer, ignore03:crack_bomb, ignore04:color_break, ignore05:time_bomb, count:3, val:0, animation:change_block],[effect:enemy_message, val1:1, val2:2.4]</t>
    <phoneticPr fontId="5"/>
  </si>
  <si>
    <t>[effect:rush, count:1, val:0.8],[effect:force_change_block, new_block:time_bomb, target:block_all, ignore01:crash, ignore02:time_bomb, ignore03:crack_bomb, ignore04:color_break, ignore05:jammer, count:3, val:0.3, animation:change_block],[effect:enemy_message, val1:1, val2:2.4]</t>
    <phoneticPr fontId="5"/>
  </si>
  <si>
    <t>[effect:force_change_block, new_block:jammer, target:block_green, ignore01:crash, ignore02:jammer, ignore03:crack_bomb, ignore04:time_bomb, ignore05:color_break, count:7, val:0, animation:change_block],[effect:enemy_message, val1:1, val2:2.2]</t>
    <phoneticPr fontId="5"/>
  </si>
  <si>
    <t>[effect:force_change_block, new_block:jammer, target:block_green, ignore01:crash, ignore02:jammer, ignore03:crack_bomb, ignore04:time_bomb, ignore05:color_break, count:12, val:0, animation:change_block],[effect:enemy_message, val1:1, val2:2.2]</t>
    <phoneticPr fontId="5"/>
  </si>
  <si>
    <t>[effect:rush, count:3, val:0.3],[effect:force_change_block, new_block:jammer, target:block_all, ignore01:crash, ignore02:jammer, ignore03:crack_bomb, ignore04:time_bomb, ignore05:color_break, count:3, val:0, animation:change_block],[effect:enemy_message, val1:1, val2:2.4]</t>
    <phoneticPr fontId="5"/>
  </si>
  <si>
    <t>[effect:rush, count:2, val:0.5],[effect:force_change_block, new_block:jammer, target:block_all, ignore01:crash, ignore02:jammer, ignore03:crack_bomb, ignore04:time_bomb, ignore05:color_break, count:2, val:0, animation:change_block],[effect:enemy_message, val1:1, val2:2.4]</t>
    <phoneticPr fontId="5"/>
  </si>
  <si>
    <t>[effect:rush, count:1, val:1.25],[effect:force_change_block, new_block:jammer, target:block_all, ignore01:crash, ignore02:jammer, ignore03:crack_bomb, ignore04:time_bomb, ignore05:color_break, count:1, val:0, animation:change_block],[effect:enemy_message, val1:1, val2:2.4]</t>
    <phoneticPr fontId="5"/>
  </si>
  <si>
    <t>[effect:force_change_block, new_block:jammer, target:block_all, ignore01:crash, ignore02:crack_bomb, ignore03:jammer, ignore04:time_bomb, ignore05:color_break, count:15, val:0, animation:change_block],[effect:enemy_message, val1:1, val2:2.2]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</si>
</sst>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4" fillId="33" borderId="1" xfId="0" applyFont="1" applyFill="1" applyBorder="1" applyAlignment="1">
      <alignment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6" fillId="32" borderId="25" xfId="0" applyFont="1" applyFill="1" applyBorder="1" applyAlignment="1">
      <alignment vertical="center"/>
    </xf>
    <xf numFmtId="0" fontId="4" fillId="33" borderId="23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6" fillId="32" borderId="3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3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3" borderId="2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horizontal="left" vertical="center"/>
    </xf>
    <xf numFmtId="0" fontId="16" fillId="38" borderId="7" xfId="0" applyFont="1" applyFill="1" applyBorder="1" applyAlignment="1">
      <alignment horizontal="left" vertical="center" wrapText="1"/>
    </xf>
    <xf numFmtId="0" fontId="16" fillId="38" borderId="12" xfId="0" applyFont="1" applyFill="1" applyBorder="1" applyAlignment="1">
      <alignment vertical="center"/>
    </xf>
    <xf numFmtId="0" fontId="16" fillId="38" borderId="12" xfId="0" applyFont="1" applyFill="1" applyBorder="1" applyAlignment="1">
      <alignment horizontal="left" vertical="center"/>
    </xf>
    <xf numFmtId="0" fontId="16" fillId="38" borderId="12" xfId="0" applyFont="1" applyFill="1" applyBorder="1" applyAlignment="1">
      <alignment horizontal="left" vertical="center" wrapText="1"/>
    </xf>
    <xf numFmtId="0" fontId="16" fillId="34" borderId="23" xfId="0" applyFont="1" applyFill="1" applyBorder="1" applyAlignment="1">
      <alignment vertical="center"/>
    </xf>
    <xf numFmtId="0" fontId="16" fillId="34" borderId="23" xfId="0" applyFont="1" applyFill="1" applyBorder="1" applyAlignment="1">
      <alignment horizontal="left" vertical="center"/>
    </xf>
    <xf numFmtId="0" fontId="16" fillId="34" borderId="23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horizontal="left" vertical="center"/>
    </xf>
    <xf numFmtId="0" fontId="16" fillId="39" borderId="7" xfId="0" applyFont="1" applyFill="1" applyBorder="1" applyAlignment="1">
      <alignment horizontal="left" vertical="center" wrapText="1"/>
    </xf>
    <xf numFmtId="0" fontId="52" fillId="0" borderId="7" xfId="0" applyFont="1" applyBorder="1"/>
    <xf numFmtId="0" fontId="0" fillId="35" borderId="7" xfId="0" applyFill="1" applyBorder="1"/>
    <xf numFmtId="0" fontId="0" fillId="35" borderId="7" xfId="0" applyFont="1" applyFill="1" applyBorder="1"/>
    <xf numFmtId="0" fontId="52" fillId="35" borderId="7" xfId="0" applyFont="1" applyFill="1" applyBorder="1"/>
    <xf numFmtId="0" fontId="0" fillId="33" borderId="7" xfId="0" applyFill="1" applyBorder="1"/>
    <xf numFmtId="0" fontId="0" fillId="33" borderId="7" xfId="0" applyFont="1" applyFill="1" applyBorder="1"/>
    <xf numFmtId="0" fontId="52" fillId="33" borderId="7" xfId="0" applyFont="1" applyFill="1" applyBorder="1"/>
    <xf numFmtId="38" fontId="16" fillId="0" borderId="7" xfId="628" applyFont="1" applyFill="1" applyBorder="1" applyAlignment="1">
      <alignment wrapText="1"/>
    </xf>
    <xf numFmtId="0" fontId="16" fillId="40" borderId="7" xfId="0" applyFont="1" applyFill="1" applyBorder="1" applyAlignment="1">
      <alignment horizontal="left" vertical="center" wrapText="1"/>
    </xf>
    <xf numFmtId="0" fontId="16" fillId="40" borderId="23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/>
  </sheetViews>
  <sheetFormatPr baseColWidth="12" defaultRowHeight="15" x14ac:dyDescent="0.15"/>
  <cols>
    <col min="2" max="2" width="14.8320312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259</v>
      </c>
      <c r="B2" s="56" t="s">
        <v>107</v>
      </c>
      <c r="C2" s="62">
        <v>30045</v>
      </c>
      <c r="D2" s="56" t="s">
        <v>108</v>
      </c>
      <c r="E2" s="55" t="str">
        <f>B2&amp;C2&amp;D2</f>
        <v>floors_30045.tmp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259</v>
      </c>
      <c r="B3" s="56" t="s">
        <v>110</v>
      </c>
      <c r="C3" s="62">
        <v>30045</v>
      </c>
      <c r="D3" s="56" t="s">
        <v>108</v>
      </c>
      <c r="E3" s="55" t="str">
        <f>B3&amp;C3&amp;D3</f>
        <v>enemy_habitats_30045.tmp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180</v>
      </c>
    </row>
    <row r="4" spans="1:30" x14ac:dyDescent="0.15">
      <c r="A4" s="60" t="s">
        <v>259</v>
      </c>
      <c r="B4" s="56" t="s">
        <v>112</v>
      </c>
      <c r="C4" s="62">
        <v>30045</v>
      </c>
      <c r="D4" s="56" t="s">
        <v>108</v>
      </c>
      <c r="E4" s="55" t="str">
        <f>B4&amp;C4&amp;D4</f>
        <v>enemy_habitat_S_30045.tmp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259</v>
      </c>
      <c r="B5" s="56" t="s">
        <v>114</v>
      </c>
      <c r="C5" s="62">
        <v>30045</v>
      </c>
      <c r="D5" s="56" t="s">
        <v>108</v>
      </c>
      <c r="E5" s="55" t="str">
        <f>B5&amp;C5&amp;D5</f>
        <v>enemy_skill_sets_30045.tmp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259</v>
      </c>
      <c r="B6" s="56" t="s">
        <v>116</v>
      </c>
      <c r="C6" s="62">
        <v>30045</v>
      </c>
      <c r="D6" s="56" t="s">
        <v>117</v>
      </c>
      <c r="E6" s="55" t="str">
        <f t="shared" ref="E6:E10" si="0">B6&amp;C6&amp;D6</f>
        <v>enemy_skills_tmp_30045.tmp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259</v>
      </c>
      <c r="B7" s="56" t="s">
        <v>118</v>
      </c>
      <c r="C7" s="62">
        <v>30045</v>
      </c>
      <c r="D7" s="56" t="s">
        <v>108</v>
      </c>
      <c r="E7" s="55" t="str">
        <f>B7&amp;C7&amp;D7</f>
        <v>enemy_skills_i18n_30045.tmp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259</v>
      </c>
      <c r="B8" s="56" t="s">
        <v>120</v>
      </c>
      <c r="C8" s="62">
        <v>30045</v>
      </c>
      <c r="D8" s="56" t="s">
        <v>121</v>
      </c>
      <c r="E8" s="55" t="str">
        <f t="shared" si="0"/>
        <v>enemy_skill_triggers_30045.tmp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259</v>
      </c>
      <c r="B9" s="67" t="s">
        <v>179</v>
      </c>
      <c r="C9" s="62">
        <v>30045</v>
      </c>
      <c r="D9" s="67" t="s">
        <v>173</v>
      </c>
      <c r="E9" s="68" t="str">
        <f t="shared" si="0"/>
        <v>stage_bug_bonuses_30045.tmp</v>
      </c>
      <c r="F9" s="67" t="s">
        <v>174</v>
      </c>
      <c r="G9" s="64" t="s">
        <v>151</v>
      </c>
      <c r="H9" s="64" t="s">
        <v>175</v>
      </c>
      <c r="I9" s="64" t="s">
        <v>176</v>
      </c>
      <c r="J9" s="66" t="s">
        <v>177</v>
      </c>
      <c r="K9" s="64" t="s">
        <v>178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259</v>
      </c>
      <c r="B10" s="67" t="s">
        <v>203</v>
      </c>
      <c r="C10" s="62">
        <v>30045</v>
      </c>
      <c r="D10" s="67" t="s">
        <v>182</v>
      </c>
      <c r="E10" s="68" t="str">
        <f t="shared" si="0"/>
        <v>stage_hints_data_c_30045.tmp</v>
      </c>
      <c r="F10" s="67" t="s">
        <v>211</v>
      </c>
      <c r="G10" s="72" t="s">
        <v>183</v>
      </c>
      <c r="H10" s="72" t="s">
        <v>175</v>
      </c>
      <c r="I10" s="73" t="s">
        <v>184</v>
      </c>
      <c r="J10" s="66" t="s">
        <v>185</v>
      </c>
      <c r="K10" s="66" t="s">
        <v>186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4" customFormat="1" x14ac:dyDescent="0.15">
      <c r="A11" s="60" t="s">
        <v>259</v>
      </c>
      <c r="B11" s="67" t="s">
        <v>204</v>
      </c>
      <c r="C11" s="62">
        <v>30045</v>
      </c>
      <c r="D11" s="67" t="s">
        <v>173</v>
      </c>
      <c r="E11" s="68" t="str">
        <f t="shared" ref="E11:E13" si="1">B11&amp;C11&amp;D11</f>
        <v>stage_hints_data_f_30045.tmp</v>
      </c>
      <c r="F11" s="67" t="s">
        <v>213</v>
      </c>
      <c r="G11" s="72" t="s">
        <v>183</v>
      </c>
      <c r="H11" s="72" t="s">
        <v>175</v>
      </c>
      <c r="I11" s="73" t="s">
        <v>184</v>
      </c>
      <c r="J11" s="66" t="s">
        <v>185</v>
      </c>
      <c r="K11" s="66" t="s">
        <v>186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4" customFormat="1" x14ac:dyDescent="0.15">
      <c r="A12" s="60" t="s">
        <v>259</v>
      </c>
      <c r="B12" s="67" t="s">
        <v>205</v>
      </c>
      <c r="C12" s="62">
        <v>30045</v>
      </c>
      <c r="D12" s="67" t="s">
        <v>173</v>
      </c>
      <c r="E12" s="68" t="str">
        <f t="shared" si="1"/>
        <v>stage_hints_i18n_30045.tmp</v>
      </c>
      <c r="F12" s="67" t="s">
        <v>214</v>
      </c>
      <c r="G12" s="73" t="s">
        <v>206</v>
      </c>
      <c r="H12" s="94" t="s">
        <v>207</v>
      </c>
      <c r="I12" s="72" t="s">
        <v>208</v>
      </c>
      <c r="J12" s="99" t="s">
        <v>209</v>
      </c>
      <c r="K12" s="66" t="s">
        <v>210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4" customFormat="1" x14ac:dyDescent="0.15">
      <c r="A13" s="67" t="s">
        <v>250</v>
      </c>
      <c r="B13" s="67" t="s">
        <v>249</v>
      </c>
      <c r="C13" s="62">
        <v>30045</v>
      </c>
      <c r="D13" s="67" t="s">
        <v>230</v>
      </c>
      <c r="E13" s="68" t="str">
        <f t="shared" si="1"/>
        <v>stage_bonuses_30045.tmp</v>
      </c>
      <c r="F13" s="67" t="s">
        <v>229</v>
      </c>
      <c r="G13" s="72" t="s">
        <v>231</v>
      </c>
      <c r="H13" s="72" t="s">
        <v>232</v>
      </c>
      <c r="I13" s="72" t="s">
        <v>233</v>
      </c>
      <c r="J13" s="72" t="s">
        <v>234</v>
      </c>
      <c r="K13" s="72" t="s">
        <v>235</v>
      </c>
      <c r="L13" s="72" t="s">
        <v>236</v>
      </c>
      <c r="M13" s="72" t="s">
        <v>237</v>
      </c>
      <c r="N13" s="72" t="s">
        <v>238</v>
      </c>
      <c r="O13" s="72" t="s">
        <v>239</v>
      </c>
      <c r="P13" s="72" t="s">
        <v>240</v>
      </c>
      <c r="Q13" s="72" t="s">
        <v>241</v>
      </c>
      <c r="R13" s="72" t="s">
        <v>242</v>
      </c>
      <c r="S13" s="72" t="s">
        <v>243</v>
      </c>
      <c r="T13" s="72" t="s">
        <v>244</v>
      </c>
      <c r="U13" s="72" t="s">
        <v>245</v>
      </c>
      <c r="V13" s="72" t="s">
        <v>246</v>
      </c>
      <c r="W13" s="72" t="s">
        <v>247</v>
      </c>
      <c r="X13" s="72" t="s">
        <v>248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tabSelected="1" workbookViewId="0">
      <pane ySplit="1" topLeftCell="A2" activePane="bottomLeft" state="frozen"/>
      <selection activeCell="V2" sqref="V2:X34"/>
      <selection pane="bottomLeft" activeCell="D16" sqref="D1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30045_3-1</v>
      </c>
      <c r="B2" s="16" t="str">
        <f>IF(COUNTIF(enemy_habitats!$H:$H,A2),"OK","NG")</f>
        <v>OK</v>
      </c>
      <c r="C2" s="7">
        <v>30045</v>
      </c>
      <c r="D2" s="11" t="str">
        <f ca="1">VLOOKUP($C2,OFFSET([2]quests!$A$1,0,0,COUNTA([2]quests!$A:$A),MATCH(D$1,[2]quests!$1:$1,0)-MATCH($C$1,[2]quests!$1:$1,0)+1),MATCH(D$1,[2]quests!$1:$1,0)-MATCH($C$1,[2]quests!$1:$1,0)+1,FALSE)</f>
        <v>れもん色の衝動</v>
      </c>
      <c r="E2" s="18" t="str">
        <f ca="1">VLOOKUP($C2,OFFSET([2]quests!$A$1,0,0,COUNTA([2]quests!$A:$A),MATCH(E$1,[2]quests!$1:$1,0)-MATCH($C$1,[2]quests!$1:$1,0)+1),MATCH(E$1,[2]quests!$1:$1,0)-MATCH($C$1,[2]quests!$1:$1,0)+1,FALSE)</f>
        <v>文豪シリーズ　超級</v>
      </c>
      <c r="F2" s="21">
        <v>3</v>
      </c>
      <c r="G2" s="23" t="str">
        <f>C2&amp;"_"&amp;F2</f>
        <v>30045_3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【超級】れもん色の衝動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5" si="0">G3&amp;"-"&amp;I3</f>
        <v>30045_3-2</v>
      </c>
      <c r="B3" s="16" t="str">
        <f>IF(COUNTIF(enemy_habitats!$H:$H,A3),"OK","NG")</f>
        <v>OK</v>
      </c>
      <c r="C3" s="7">
        <v>30045</v>
      </c>
      <c r="D3" s="11" t="str">
        <f ca="1">VLOOKUP($C3,OFFSET([2]quests!$A$1,0,0,COUNTA([2]quests!$A:$A),MATCH(D$1,[2]quests!$1:$1,0)-MATCH($C$1,[2]quests!$1:$1,0)+1),MATCH(D$1,[2]quests!$1:$1,0)-MATCH($C$1,[2]quests!$1:$1,0)+1,FALSE)</f>
        <v>れもん色の衝動</v>
      </c>
      <c r="E3" s="18" t="str">
        <f ca="1">VLOOKUP($C3,OFFSET([2]quests!$A$1,0,0,COUNTA([2]quests!$A:$A),MATCH(E$1,[2]quests!$1:$1,0)-MATCH($C$1,[2]quests!$1:$1,0)+1),MATCH(E$1,[2]quests!$1:$1,0)-MATCH($C$1,[2]quests!$1:$1,0)+1,FALSE)</f>
        <v>文豪シリーズ　超級</v>
      </c>
      <c r="F3" s="21">
        <v>3</v>
      </c>
      <c r="G3" s="23" t="str">
        <f t="shared" ref="G3:G5" si="1">C3&amp;"_"&amp;F3</f>
        <v>30045_3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【超級】れもん色の衝動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30045_3-3</v>
      </c>
      <c r="B4" s="16" t="str">
        <f>IF(COUNTIF(enemy_habitats!$H:$H,A4),"OK","NG")</f>
        <v>OK</v>
      </c>
      <c r="C4" s="7">
        <v>30045</v>
      </c>
      <c r="D4" s="11" t="str">
        <f ca="1">VLOOKUP($C4,OFFSET([2]quests!$A$1,0,0,COUNTA([2]quests!$A:$A),MATCH(D$1,[2]quests!$1:$1,0)-MATCH($C$1,[2]quests!$1:$1,0)+1),MATCH(D$1,[2]quests!$1:$1,0)-MATCH($C$1,[2]quests!$1:$1,0)+1,FALSE)</f>
        <v>れもん色の衝動</v>
      </c>
      <c r="E4" s="18" t="str">
        <f ca="1">VLOOKUP($C4,OFFSET([2]quests!$A$1,0,0,COUNTA([2]quests!$A:$A),MATCH(E$1,[2]quests!$1:$1,0)-MATCH($C$1,[2]quests!$1:$1,0)+1),MATCH(E$1,[2]quests!$1:$1,0)-MATCH($C$1,[2]quests!$1:$1,0)+1,FALSE)</f>
        <v>文豪シリーズ　超級</v>
      </c>
      <c r="F4" s="21">
        <v>3</v>
      </c>
      <c r="G4" s="23" t="str">
        <f t="shared" si="1"/>
        <v>30045_3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【超級】れもん色の衝動</v>
      </c>
      <c r="I4" s="21">
        <v>3</v>
      </c>
      <c r="J4" s="12">
        <v>60</v>
      </c>
      <c r="K4" s="12">
        <v>60</v>
      </c>
    </row>
    <row r="5" spans="1:11" ht="21" customHeight="1" thickBot="1" x14ac:dyDescent="0.2">
      <c r="A5" s="16" t="str">
        <f t="shared" si="0"/>
        <v>30045_3-4</v>
      </c>
      <c r="B5" s="16" t="str">
        <f>IF(COUNTIF(enemy_habitats!$H:$H,A5),"OK","NG")</f>
        <v>OK</v>
      </c>
      <c r="C5" s="109">
        <v>30045</v>
      </c>
      <c r="D5" s="110" t="str">
        <f ca="1">VLOOKUP($C5,OFFSET([2]quests!$A$1,0,0,COUNTA([2]quests!$A:$A),MATCH(D$1,[2]quests!$1:$1,0)-MATCH($C$1,[2]quests!$1:$1,0)+1),MATCH(D$1,[2]quests!$1:$1,0)-MATCH($C$1,[2]quests!$1:$1,0)+1,FALSE)</f>
        <v>れもん色の衝動</v>
      </c>
      <c r="E5" s="110" t="str">
        <f ca="1">VLOOKUP($C5,OFFSET([2]quests!$A$1,0,0,COUNTA([2]quests!$A:$A),MATCH(E$1,[2]quests!$1:$1,0)-MATCH($C$1,[2]quests!$1:$1,0)+1),MATCH(E$1,[2]quests!$1:$1,0)-MATCH($C$1,[2]quests!$1:$1,0)+1,FALSE)</f>
        <v>文豪シリーズ　超級</v>
      </c>
      <c r="F5" s="111">
        <v>3</v>
      </c>
      <c r="G5" s="112" t="str">
        <f t="shared" si="1"/>
        <v>30045_3</v>
      </c>
      <c r="H5" s="113" t="str">
        <f ca="1">VLOOKUP($G5,OFFSET([2]stages!$A$1,0,0,COUNTA([2]stages!$A:$A),MATCH(H$1,[2]stages!$2:$2,0)-MATCH($G$1,[2]stages!$2:$2,0)+1),MATCH(H$1,[2]stages!$2:$2,0)-MATCH($G$1,[2]stages!$2:$2,0)+1,FALSE)</f>
        <v>【超級】れもん色の衝動</v>
      </c>
      <c r="I5" s="111">
        <v>4</v>
      </c>
      <c r="J5" s="114">
        <v>60</v>
      </c>
      <c r="K5" s="114">
        <v>60</v>
      </c>
    </row>
    <row r="6" spans="1:11" ht="21" customHeight="1" x14ac:dyDescent="0.15">
      <c r="A6" s="16" t="str">
        <f>G6&amp;"-"&amp;I6</f>
        <v>30045_2-1</v>
      </c>
      <c r="B6" s="16" t="str">
        <f>IF(COUNTIF(enemy_habitats!$H:$H,A6),"OK","NG")</f>
        <v>OK</v>
      </c>
      <c r="C6" s="103">
        <v>30045</v>
      </c>
      <c r="D6" s="104" t="str">
        <f ca="1">VLOOKUP($C6,OFFSET([2]quests!$A$1,0,0,COUNTA([2]quests!$A:$A),MATCH(D$1,[2]quests!$1:$1,0)-MATCH($C$1,[2]quests!$1:$1,0)+1),MATCH(D$1,[2]quests!$1:$1,0)-MATCH($C$1,[2]quests!$1:$1,0)+1,FALSE)</f>
        <v>れもん色の衝動</v>
      </c>
      <c r="E6" s="104" t="str">
        <f ca="1">VLOOKUP($C6,OFFSET([2]quests!$A$1,0,0,COUNTA([2]quests!$A:$A),MATCH(E$1,[2]quests!$1:$1,0)-MATCH($C$1,[2]quests!$1:$1,0)+1),MATCH(E$1,[2]quests!$1:$1,0)-MATCH($C$1,[2]quests!$1:$1,0)+1,FALSE)</f>
        <v>文豪シリーズ　超級</v>
      </c>
      <c r="F6" s="105">
        <v>2</v>
      </c>
      <c r="G6" s="106" t="str">
        <f>C6&amp;"_"&amp;F6</f>
        <v>30045_2</v>
      </c>
      <c r="H6" s="107" t="str">
        <f ca="1">VLOOKUP($G6,OFFSET([2]stages!$A$1,0,0,COUNTA([2]stages!$A:$A),MATCH(H$1,[2]stages!$2:$2,0)-MATCH($G$1,[2]stages!$2:$2,0)+1),MATCH(H$1,[2]stages!$2:$2,0)-MATCH($G$1,[2]stages!$2:$2,0)+1,FALSE)</f>
        <v>【上級】れもん色の衝動</v>
      </c>
      <c r="I6" s="105">
        <v>1</v>
      </c>
      <c r="J6" s="108">
        <v>30</v>
      </c>
      <c r="K6" s="108">
        <v>30</v>
      </c>
    </row>
    <row r="7" spans="1:11" ht="21" customHeight="1" x14ac:dyDescent="0.15">
      <c r="A7" s="16" t="str">
        <f t="shared" ref="A7:A9" si="2">G7&amp;"-"&amp;I7</f>
        <v>30045_2-2</v>
      </c>
      <c r="B7" s="16" t="str">
        <f>IF(COUNTIF(enemy_habitats!$H:$H,A7),"OK","NG")</f>
        <v>OK</v>
      </c>
      <c r="C7" s="7">
        <v>30045</v>
      </c>
      <c r="D7" s="11" t="str">
        <f ca="1">VLOOKUP($C7,OFFSET([2]quests!$A$1,0,0,COUNTA([2]quests!$A:$A),MATCH(D$1,[2]quests!$1:$1,0)-MATCH($C$1,[2]quests!$1:$1,0)+1),MATCH(D$1,[2]quests!$1:$1,0)-MATCH($C$1,[2]quests!$1:$1,0)+1,FALSE)</f>
        <v>れもん色の衝動</v>
      </c>
      <c r="E7" s="18" t="str">
        <f ca="1">VLOOKUP($C7,OFFSET([2]quests!$A$1,0,0,COUNTA([2]quests!$A:$A),MATCH(E$1,[2]quests!$1:$1,0)-MATCH($C$1,[2]quests!$1:$1,0)+1),MATCH(E$1,[2]quests!$1:$1,0)-MATCH($C$1,[2]quests!$1:$1,0)+1,FALSE)</f>
        <v>文豪シリーズ　超級</v>
      </c>
      <c r="F7" s="21">
        <v>2</v>
      </c>
      <c r="G7" s="23" t="str">
        <f t="shared" ref="G7:G9" si="3">C7&amp;"_"&amp;F7</f>
        <v>30045_2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【上級】れもん色の衝動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30045_2-3</v>
      </c>
      <c r="B8" s="16" t="str">
        <f>IF(COUNTIF(enemy_habitats!$H:$H,A8),"OK","NG")</f>
        <v>OK</v>
      </c>
      <c r="C8" s="7">
        <v>30045</v>
      </c>
      <c r="D8" s="11" t="str">
        <f ca="1">VLOOKUP($C8,OFFSET([2]quests!$A$1,0,0,COUNTA([2]quests!$A:$A),MATCH(D$1,[2]quests!$1:$1,0)-MATCH($C$1,[2]quests!$1:$1,0)+1),MATCH(D$1,[2]quests!$1:$1,0)-MATCH($C$1,[2]quests!$1:$1,0)+1,FALSE)</f>
        <v>れもん色の衝動</v>
      </c>
      <c r="E8" s="18" t="str">
        <f ca="1">VLOOKUP($C8,OFFSET([2]quests!$A$1,0,0,COUNTA([2]quests!$A:$A),MATCH(E$1,[2]quests!$1:$1,0)-MATCH($C$1,[2]quests!$1:$1,0)+1),MATCH(E$1,[2]quests!$1:$1,0)-MATCH($C$1,[2]quests!$1:$1,0)+1,FALSE)</f>
        <v>文豪シリーズ　超級</v>
      </c>
      <c r="F8" s="21">
        <v>2</v>
      </c>
      <c r="G8" s="23" t="str">
        <f t="shared" si="3"/>
        <v>30045_2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【上級】れもん色の衝動</v>
      </c>
      <c r="I8" s="21">
        <v>3</v>
      </c>
      <c r="J8" s="12">
        <v>60</v>
      </c>
      <c r="K8" s="12">
        <v>60</v>
      </c>
    </row>
    <row r="9" spans="1:11" ht="21" customHeight="1" thickBot="1" x14ac:dyDescent="0.2">
      <c r="A9" s="16" t="str">
        <f t="shared" si="2"/>
        <v>30045_2-4</v>
      </c>
      <c r="B9" s="16" t="str">
        <f>IF(COUNTIF(enemy_habitats!$H:$H,A9),"OK","NG")</f>
        <v>OK</v>
      </c>
      <c r="C9" s="109">
        <v>30045</v>
      </c>
      <c r="D9" s="110" t="str">
        <f ca="1">VLOOKUP($C9,OFFSET([2]quests!$A$1,0,0,COUNTA([2]quests!$A:$A),MATCH(D$1,[2]quests!$1:$1,0)-MATCH($C$1,[2]quests!$1:$1,0)+1),MATCH(D$1,[2]quests!$1:$1,0)-MATCH($C$1,[2]quests!$1:$1,0)+1,FALSE)</f>
        <v>れもん色の衝動</v>
      </c>
      <c r="E9" s="110" t="str">
        <f ca="1">VLOOKUP($C9,OFFSET([2]quests!$A$1,0,0,COUNTA([2]quests!$A:$A),MATCH(E$1,[2]quests!$1:$1,0)-MATCH($C$1,[2]quests!$1:$1,0)+1),MATCH(E$1,[2]quests!$1:$1,0)-MATCH($C$1,[2]quests!$1:$1,0)+1,FALSE)</f>
        <v>文豪シリーズ　超級</v>
      </c>
      <c r="F9" s="111">
        <v>2</v>
      </c>
      <c r="G9" s="112" t="str">
        <f t="shared" si="3"/>
        <v>30045_2</v>
      </c>
      <c r="H9" s="113" t="str">
        <f ca="1">VLOOKUP($G9,OFFSET([2]stages!$A$1,0,0,COUNTA([2]stages!$A:$A),MATCH(H$1,[2]stages!$2:$2,0)-MATCH($G$1,[2]stages!$2:$2,0)+1),MATCH(H$1,[2]stages!$2:$2,0)-MATCH($G$1,[2]stages!$2:$2,0)+1,FALSE)</f>
        <v>【上級】れもん色の衝動</v>
      </c>
      <c r="I9" s="111">
        <v>4</v>
      </c>
      <c r="J9" s="114">
        <v>60</v>
      </c>
      <c r="K9" s="114">
        <v>60</v>
      </c>
    </row>
    <row r="10" spans="1:11" ht="21" customHeight="1" x14ac:dyDescent="0.15">
      <c r="A10" s="16" t="str">
        <f>G10&amp;"-"&amp;I10</f>
        <v>30045_1-1</v>
      </c>
      <c r="B10" s="16" t="str">
        <f>IF(COUNTIF(enemy_habitats!$H:$H,A10),"OK","NG")</f>
        <v>OK</v>
      </c>
      <c r="C10" s="103">
        <v>30045</v>
      </c>
      <c r="D10" s="104" t="str">
        <f ca="1">VLOOKUP($C10,OFFSET([2]quests!$A$1,0,0,COUNTA([2]quests!$A:$A),MATCH(D$1,[2]quests!$1:$1,0)-MATCH($C$1,[2]quests!$1:$1,0)+1),MATCH(D$1,[2]quests!$1:$1,0)-MATCH($C$1,[2]quests!$1:$1,0)+1,FALSE)</f>
        <v>れもん色の衝動</v>
      </c>
      <c r="E10" s="104" t="str">
        <f ca="1">VLOOKUP($C10,OFFSET([2]quests!$A$1,0,0,COUNTA([2]quests!$A:$A),MATCH(E$1,[2]quests!$1:$1,0)-MATCH($C$1,[2]quests!$1:$1,0)+1),MATCH(E$1,[2]quests!$1:$1,0)-MATCH($C$1,[2]quests!$1:$1,0)+1,FALSE)</f>
        <v>文豪シリーズ　超級</v>
      </c>
      <c r="F10" s="105">
        <v>1</v>
      </c>
      <c r="G10" s="106" t="str">
        <f>C10&amp;"_"&amp;F10</f>
        <v>30045_1</v>
      </c>
      <c r="H10" s="107" t="str">
        <f ca="1">VLOOKUP($G10,OFFSET([2]stages!$A$1,0,0,COUNTA([2]stages!$A:$A),MATCH(H$1,[2]stages!$2:$2,0)-MATCH($G$1,[2]stages!$2:$2,0)+1),MATCH(H$1,[2]stages!$2:$2,0)-MATCH($G$1,[2]stages!$2:$2,0)+1,FALSE)</f>
        <v>【中級】れもん色の衝動</v>
      </c>
      <c r="I10" s="105">
        <v>1</v>
      </c>
      <c r="J10" s="108">
        <v>30</v>
      </c>
      <c r="K10" s="108">
        <v>30</v>
      </c>
    </row>
    <row r="11" spans="1:11" ht="21" customHeight="1" x14ac:dyDescent="0.15">
      <c r="A11" s="16" t="str">
        <f t="shared" ref="A11:A13" si="4">G11&amp;"-"&amp;I11</f>
        <v>30045_1-2</v>
      </c>
      <c r="B11" s="16" t="str">
        <f>IF(COUNTIF(enemy_habitats!$H:$H,A11),"OK","NG")</f>
        <v>OK</v>
      </c>
      <c r="C11" s="7">
        <v>30045</v>
      </c>
      <c r="D11" s="11" t="str">
        <f ca="1">VLOOKUP($C11,OFFSET([2]quests!$A$1,0,0,COUNTA([2]quests!$A:$A),MATCH(D$1,[2]quests!$1:$1,0)-MATCH($C$1,[2]quests!$1:$1,0)+1),MATCH(D$1,[2]quests!$1:$1,0)-MATCH($C$1,[2]quests!$1:$1,0)+1,FALSE)</f>
        <v>れもん色の衝動</v>
      </c>
      <c r="E11" s="18" t="str">
        <f ca="1">VLOOKUP($C11,OFFSET([2]quests!$A$1,0,0,COUNTA([2]quests!$A:$A),MATCH(E$1,[2]quests!$1:$1,0)-MATCH($C$1,[2]quests!$1:$1,0)+1),MATCH(E$1,[2]quests!$1:$1,0)-MATCH($C$1,[2]quests!$1:$1,0)+1,FALSE)</f>
        <v>文豪シリーズ　超級</v>
      </c>
      <c r="F11" s="21">
        <v>1</v>
      </c>
      <c r="G11" s="23" t="str">
        <f t="shared" ref="G11:G13" si="5">C11&amp;"_"&amp;F11</f>
        <v>30045_1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【中級】れもん色の衝動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4"/>
        <v>30045_1-3</v>
      </c>
      <c r="B12" s="16" t="str">
        <f>IF(COUNTIF(enemy_habitats!$H:$H,A12),"OK","NG")</f>
        <v>OK</v>
      </c>
      <c r="C12" s="7">
        <v>30045</v>
      </c>
      <c r="D12" s="11" t="str">
        <f ca="1">VLOOKUP($C12,OFFSET([2]quests!$A$1,0,0,COUNTA([2]quests!$A:$A),MATCH(D$1,[2]quests!$1:$1,0)-MATCH($C$1,[2]quests!$1:$1,0)+1),MATCH(D$1,[2]quests!$1:$1,0)-MATCH($C$1,[2]quests!$1:$1,0)+1,FALSE)</f>
        <v>れもん色の衝動</v>
      </c>
      <c r="E12" s="18" t="str">
        <f ca="1">VLOOKUP($C12,OFFSET([2]quests!$A$1,0,0,COUNTA([2]quests!$A:$A),MATCH(E$1,[2]quests!$1:$1,0)-MATCH($C$1,[2]quests!$1:$1,0)+1),MATCH(E$1,[2]quests!$1:$1,0)-MATCH($C$1,[2]quests!$1:$1,0)+1,FALSE)</f>
        <v>文豪シリーズ　超級</v>
      </c>
      <c r="F12" s="21">
        <v>1</v>
      </c>
      <c r="G12" s="23" t="str">
        <f t="shared" si="5"/>
        <v>30045_1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【中級】れもん色の衝動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4"/>
        <v>30045_1-4</v>
      </c>
      <c r="B13" s="16" t="str">
        <f>IF(COUNTIF(enemy_habitats!$H:$H,A13),"OK","NG")</f>
        <v>OK</v>
      </c>
      <c r="C13" s="7">
        <v>30045</v>
      </c>
      <c r="D13" s="11" t="str">
        <f ca="1">VLOOKUP($C13,OFFSET([2]quests!$A$1,0,0,COUNTA([2]quests!$A:$A),MATCH(D$1,[2]quests!$1:$1,0)-MATCH($C$1,[2]quests!$1:$1,0)+1),MATCH(D$1,[2]quests!$1:$1,0)-MATCH($C$1,[2]quests!$1:$1,0)+1,FALSE)</f>
        <v>れもん色の衝動</v>
      </c>
      <c r="E13" s="18" t="str">
        <f ca="1">VLOOKUP($C13,OFFSET([2]quests!$A$1,0,0,COUNTA([2]quests!$A:$A),MATCH(E$1,[2]quests!$1:$1,0)-MATCH($C$1,[2]quests!$1:$1,0)+1),MATCH(E$1,[2]quests!$1:$1,0)-MATCH($C$1,[2]quests!$1:$1,0)+1,FALSE)</f>
        <v>文豪シリーズ　超級</v>
      </c>
      <c r="F13" s="21">
        <v>1</v>
      </c>
      <c r="G13" s="23" t="str">
        <f t="shared" si="5"/>
        <v>30045_1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【中級】れもん色の衝動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workbookViewId="0">
      <pane xSplit="17" ySplit="1" topLeftCell="AG2" activePane="bottomRight" state="frozen"/>
      <selection pane="topRight" activeCell="N1" sqref="N1"/>
      <selection pane="bottomLeft" activeCell="A2" sqref="A2"/>
      <selection pane="bottomRight" activeCell="AJ14" sqref="AJ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14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5" style="3" customWidth="1"/>
    <col min="20" max="20" width="9.5" style="102" customWidth="1"/>
    <col min="21" max="21" width="8.1640625" style="3" customWidth="1"/>
    <col min="22" max="22" width="9.6640625" style="3" customWidth="1"/>
    <col min="23" max="23" width="4.33203125" style="3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6.332031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251</v>
      </c>
      <c r="U1" s="26" t="s">
        <v>50</v>
      </c>
      <c r="V1" s="100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 t="shared" ref="A2:A19" si="0">B2&amp;"_"&amp;C2&amp;"-"&amp;G2&amp;"/"&amp;L2&amp;"&lt;lv"&amp;R2&amp;"&gt;s"&amp;AC2</f>
        <v>30045_3-1/1216&lt;lv60&gt;s2</v>
      </c>
      <c r="B2" s="22">
        <v>30045</v>
      </c>
      <c r="C2" s="21">
        <v>3</v>
      </c>
      <c r="D2" s="2" t="str">
        <f t="shared" ref="D2:D19" si="1">B2&amp;"_"&amp;C2</f>
        <v>30045_3</v>
      </c>
      <c r="E2" s="4" t="str">
        <f ca="1">VLOOKUP($B2,OFFSET([2]quests!$A$1,0,0,COUNTA([2]quests!$A:$A),MATCH(E$1,[2]quests!$1:$1,0)-MATCH($B$1,[2]quests!$1:$1,0)+1),MATCH(E$1,[2]quests!$1:$1,0)-MATCH($B$1,[2]quests!$1:$1,0)+1,FALSE)</f>
        <v>れもん色の衝動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【超級】れもん色の衝動</v>
      </c>
      <c r="G2" s="21">
        <v>1</v>
      </c>
      <c r="H2" s="15" t="str">
        <f t="shared" ref="H2:H19" si="2">B2&amp;"_"&amp;C2&amp;"-"&amp;G2</f>
        <v>30045_3-1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253</v>
      </c>
      <c r="L2" s="20">
        <v>1216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梶井基次郎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60</v>
      </c>
      <c r="S2" s="25">
        <v>2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153312</v>
      </c>
      <c r="U2" s="25">
        <v>1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8047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コスト31以上のユニットに大ダメージ</v>
      </c>
      <c r="Y2" s="61">
        <v>30045001</v>
      </c>
      <c r="Z2" s="6">
        <v>1</v>
      </c>
      <c r="AA2" s="6">
        <v>100</v>
      </c>
      <c r="AB2" s="6">
        <v>1</v>
      </c>
      <c r="AC2" s="115">
        <v>2</v>
      </c>
      <c r="AD2" s="116">
        <v>1216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梶井基次郎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19" ca="1" si="3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30045_3-2/3&lt;lv60&gt;s2</v>
      </c>
      <c r="B3" s="22">
        <v>30045</v>
      </c>
      <c r="C3" s="21">
        <v>3</v>
      </c>
      <c r="D3" s="2" t="str">
        <f t="shared" si="1"/>
        <v>30045_3</v>
      </c>
      <c r="E3" s="4" t="str">
        <f ca="1">VLOOKUP($B3,OFFSET([2]quests!$A$1,0,0,COUNTA([2]quests!$A:$A),MATCH(E$1,[2]quests!$1:$1,0)-MATCH($B$1,[2]quests!$1:$1,0)+1),MATCH(E$1,[2]quests!$1:$1,0)-MATCH($B$1,[2]quests!$1:$1,0)+1,FALSE)</f>
        <v>れもん色の衝動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【超級】れもん色の衝動</v>
      </c>
      <c r="G3" s="21">
        <v>2</v>
      </c>
      <c r="H3" s="15" t="str">
        <f t="shared" si="2"/>
        <v>30045_3-2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エージェント ジョー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5">
        <v>1.2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15055.199999999999</v>
      </c>
      <c r="U3" s="25">
        <v>0.7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2531.1999999999998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61">
        <v>0</v>
      </c>
      <c r="Z3" s="6">
        <v>2</v>
      </c>
      <c r="AA3" s="6">
        <v>100</v>
      </c>
      <c r="AB3" s="6">
        <v>0</v>
      </c>
      <c r="AC3" s="115">
        <v>2</v>
      </c>
      <c r="AD3" s="116">
        <v>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エージェント ジョー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4">
        <f t="shared" ca="1" si="3"/>
        <v>1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30045_3-2/372&lt;lv62&gt;s1</v>
      </c>
      <c r="B4" s="22">
        <v>30045</v>
      </c>
      <c r="C4" s="21">
        <v>3</v>
      </c>
      <c r="D4" s="2" t="str">
        <f t="shared" si="1"/>
        <v>30045_3</v>
      </c>
      <c r="E4" s="4" t="str">
        <f ca="1">VLOOKUP($B4,OFFSET([2]quests!$A$1,0,0,COUNTA([2]quests!$A:$A),MATCH(E$1,[2]quests!$1:$1,0)-MATCH($B$1,[2]quests!$1:$1,0)+1),MATCH(E$1,[2]quests!$1:$1,0)-MATCH($B$1,[2]quests!$1:$1,0)+1,FALSE)</f>
        <v>れもん色の衝動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【超級】れもん色の衝動</v>
      </c>
      <c r="G4" s="21">
        <v>2</v>
      </c>
      <c r="H4" s="15" t="str">
        <f t="shared" si="2"/>
        <v>30045_3-2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372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バショー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62</v>
      </c>
      <c r="S4" s="25">
        <v>1.5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19431</v>
      </c>
      <c r="U4" s="25">
        <v>0.6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2240.4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単体攻撃+_x000D_ランダムでお邪魔パネルに3個変換</v>
      </c>
      <c r="Y4" s="61">
        <v>30045003</v>
      </c>
      <c r="Z4" s="6">
        <v>1</v>
      </c>
      <c r="AA4" s="6">
        <v>100</v>
      </c>
      <c r="AB4" s="6">
        <v>1</v>
      </c>
      <c r="AC4" s="115">
        <v>1</v>
      </c>
      <c r="AD4" s="116">
        <v>372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3"/>
        <v>2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30045_3-2/372&lt;lv61&gt;s1</v>
      </c>
      <c r="B5" s="22">
        <v>30045</v>
      </c>
      <c r="C5" s="21">
        <v>3</v>
      </c>
      <c r="D5" s="2" t="str">
        <f t="shared" si="1"/>
        <v>30045_3</v>
      </c>
      <c r="E5" s="4" t="str">
        <f ca="1">VLOOKUP($B5,OFFSET([2]quests!$A$1,0,0,COUNTA([2]quests!$A:$A),MATCH(E$1,[2]quests!$1:$1,0)-MATCH($B$1,[2]quests!$1:$1,0)+1),MATCH(E$1,[2]quests!$1:$1,0)-MATCH($B$1,[2]quests!$1:$1,0)+1,FALSE)</f>
        <v>れもん色の衝動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【超級】れもん色の衝動</v>
      </c>
      <c r="G5" s="21">
        <v>2</v>
      </c>
      <c r="H5" s="15" t="str">
        <f t="shared" si="2"/>
        <v>30045_3-2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372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バショー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61</v>
      </c>
      <c r="S5" s="25">
        <v>1.5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19125</v>
      </c>
      <c r="U5" s="25">
        <v>0.6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2205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単体攻撃+_x000D_ランダムで緑の時限式ダメージパネルに3個変換</v>
      </c>
      <c r="Y5" s="61">
        <v>30045004</v>
      </c>
      <c r="Z5" s="6">
        <v>1</v>
      </c>
      <c r="AA5" s="6">
        <v>100</v>
      </c>
      <c r="AB5" s="6">
        <v>1</v>
      </c>
      <c r="AC5" s="115">
        <v>1</v>
      </c>
      <c r="AD5" s="116">
        <v>372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f t="shared" ca="1" si="3"/>
        <v>2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30045_3-3/815&lt;lv65&gt;s1</v>
      </c>
      <c r="B6" s="22">
        <v>30045</v>
      </c>
      <c r="C6" s="21">
        <v>3</v>
      </c>
      <c r="D6" s="2" t="str">
        <f t="shared" si="1"/>
        <v>30045_3</v>
      </c>
      <c r="E6" s="4" t="str">
        <f ca="1">VLOOKUP($B6,OFFSET([2]quests!$A$1,0,0,COUNTA([2]quests!$A:$A),MATCH(E$1,[2]quests!$1:$1,0)-MATCH($B$1,[2]quests!$1:$1,0)+1),MATCH(E$1,[2]quests!$1:$1,0)-MATCH($B$1,[2]quests!$1:$1,0)+1,FALSE)</f>
        <v>れもん色の衝動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【超級】れもん色の衝動</v>
      </c>
      <c r="G6" s="21">
        <v>3</v>
      </c>
      <c r="H6" s="15" t="str">
        <f t="shared" si="2"/>
        <v>30045_3-3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815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解砲の鴉眼 八咫烏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65</v>
      </c>
      <c r="S6" s="25">
        <v>2</v>
      </c>
      <c r="T6" s="10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230622</v>
      </c>
      <c r="U6" s="25">
        <v>0.4</v>
      </c>
      <c r="V6" s="10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3131.2000000000003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緑パネルをお邪魔パネルに変換(最大7個)</v>
      </c>
      <c r="Y6" s="61">
        <v>30045005</v>
      </c>
      <c r="Z6" s="6">
        <v>1</v>
      </c>
      <c r="AA6" s="6">
        <v>100</v>
      </c>
      <c r="AB6" s="6">
        <v>1</v>
      </c>
      <c r="AC6" s="115">
        <v>1</v>
      </c>
      <c r="AD6" s="116">
        <v>815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解砲の鴉眼 八咫烏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6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6" s="7">
        <v>1</v>
      </c>
      <c r="AI6" s="24">
        <f t="shared" ca="1" si="3"/>
        <v>6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thickBot="1" x14ac:dyDescent="0.2">
      <c r="A7" s="16" t="str">
        <f t="shared" si="0"/>
        <v>30045_3-4/1216&lt;lv68&gt;s2</v>
      </c>
      <c r="B7" s="117">
        <v>30045</v>
      </c>
      <c r="C7" s="111">
        <v>3</v>
      </c>
      <c r="D7" s="113" t="str">
        <f t="shared" si="1"/>
        <v>30045_3</v>
      </c>
      <c r="E7" s="118" t="str">
        <f ca="1">VLOOKUP($B7,OFFSET([2]quests!$A$1,0,0,COUNTA([2]quests!$A:$A),MATCH(E$1,[2]quests!$1:$1,0)-MATCH($B$1,[2]quests!$1:$1,0)+1),MATCH(E$1,[2]quests!$1:$1,0)-MATCH($B$1,[2]quests!$1:$1,0)+1,FALSE)</f>
        <v>れもん色の衝動</v>
      </c>
      <c r="F7" s="118" t="str">
        <f ca="1">VLOOKUP($D7,OFFSET([2]stages!$A$1,0,0,COUNTA([2]stages!$A:$A),MATCH(F$1,[2]stages!$2:$2,0)-MATCH($D$1,[2]stages!$2:$2,0)+1),MATCH(F$1,[2]stages!$2:$2,0)-MATCH($D$1,[2]stages!$2:$2,0)+1,FALSE)</f>
        <v>【超級】れもん色の衝動</v>
      </c>
      <c r="G7" s="111">
        <v>4</v>
      </c>
      <c r="H7" s="113" t="str">
        <f t="shared" si="2"/>
        <v>30045_3-4</v>
      </c>
      <c r="I7" s="118">
        <f ca="1">VLOOKUP($H7,OFFSET(floors!$A$1,0,0,COUNTA(floors!$A:$A),MATCH(I$1,floors!$1:$1,0)-MATCH($H$1,floors!$1:$1,0)+1),MATCH(I$1,floors!$1:$1,0)-MATCH($H$1,floors!$1:$1,0)+1,FALSE)</f>
        <v>60</v>
      </c>
      <c r="J7" s="118">
        <f ca="1">VLOOKUP($H7,OFFSET(floors!$A$1,0,0,COUNTA(floors!$A:$A),MATCH(J$1,floors!$1:$1,0)-MATCH($H$1,floors!$1:$1,0)+1),MATCH(J$1,floors!$1:$1,0)-MATCH($H$1,floors!$1:$1,0)+1,FALSE)</f>
        <v>60</v>
      </c>
      <c r="K7" s="114">
        <v>1</v>
      </c>
      <c r="L7" s="119">
        <v>1216</v>
      </c>
      <c r="M7" s="120" t="str">
        <f ca="1">VLOOKUP($L7,OFFSET([3]enemies!$A$1,0,0,COUNTA([3]enemies!$A:$A),MATCH(M$1,[3]enemies!$1:$1,0)-MATCH($L$1,[3]enemies!$1:$1,0)+1),MATCH(M$1,[3]enemies!$1:$1,0)-MATCH($L$1,[3]enemies!$1:$1,0)+1,FALSE)</f>
        <v>梶井基次郎</v>
      </c>
      <c r="N7" s="120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20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20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20">
        <f ca="1">VLOOKUP($L7,OFFSET([3]enemies!$A$1,0,0,COUNTA([3]enemies!$A:$A),MATCH(Q$1,[3]enemies!$1:$1,0)-MATCH($L$1,[3]enemies!$1:$1,0)+1),MATCH(Q$1,[3]enemies!$1:$1,0)-MATCH($L$1,[3]enemies!$1:$1,0)+1,FALSE)</f>
        <v>30</v>
      </c>
      <c r="R7" s="121">
        <v>68</v>
      </c>
      <c r="S7" s="122">
        <v>3.3</v>
      </c>
      <c r="T7" s="12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285872.39999999997</v>
      </c>
      <c r="U7" s="122">
        <v>0.6</v>
      </c>
      <c r="V7" s="12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5456.4</v>
      </c>
      <c r="W7" s="121">
        <v>0</v>
      </c>
      <c r="X7" s="118" t="str">
        <f ca="1">VLOOKUP($Y7,OFFSET(enemy_skill_sets!$B$1,0,0,COUNTA(enemy_skill_sets!$B:$B),MATCH(M$1,enemy_skill_sets!$1:$1,0)-MATCH($Y$1,enemy_skill_sets!$1:$1,0)+2),MATCH(M$1,enemy_skill_sets!$1:$1,0)-MATCH($Y$1,enemy_skill_sets!$1:$1,0)+2,FALSE)</f>
        <v>青パネルを緑の時限式ダメージパネルに変換(最大7個)</v>
      </c>
      <c r="Y7" s="124">
        <v>30045006</v>
      </c>
      <c r="Z7" s="125">
        <v>1</v>
      </c>
      <c r="AA7" s="125">
        <v>100</v>
      </c>
      <c r="AB7" s="125">
        <v>1</v>
      </c>
      <c r="AC7" s="126">
        <v>2</v>
      </c>
      <c r="AD7" s="127">
        <v>1216</v>
      </c>
      <c r="AE7" s="118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梶井基次郎</v>
      </c>
      <c r="AF7" s="118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3"/>
        <v>4</v>
      </c>
      <c r="AJ7" s="8">
        <v>100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30045_2-1/1216&lt;lv40&gt;s2</v>
      </c>
      <c r="B8" s="22">
        <v>30045</v>
      </c>
      <c r="C8" s="21">
        <v>2</v>
      </c>
      <c r="D8" s="2" t="str">
        <f t="shared" si="1"/>
        <v>30045_2</v>
      </c>
      <c r="E8" s="4" t="str">
        <f ca="1">VLOOKUP($B8,OFFSET([2]quests!$A$1,0,0,COUNTA([2]quests!$A:$A),MATCH(E$1,[2]quests!$1:$1,0)-MATCH($B$1,[2]quests!$1:$1,0)+1),MATCH(E$1,[2]quests!$1:$1,0)-MATCH($B$1,[2]quests!$1:$1,0)+1,FALSE)</f>
        <v>れもん色の衝動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【上級】れもん色の衝動</v>
      </c>
      <c r="G8" s="21">
        <v>1</v>
      </c>
      <c r="H8" s="15" t="str">
        <f t="shared" si="2"/>
        <v>30045_2-1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8" t="s">
        <v>253</v>
      </c>
      <c r="L8" s="20">
        <v>1216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梶井基次郎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40</v>
      </c>
      <c r="S8" s="25">
        <v>2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103454</v>
      </c>
      <c r="U8" s="25">
        <v>1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5430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コスト31以上のユニットに大ダメージ</v>
      </c>
      <c r="Y8" s="61">
        <v>30045001</v>
      </c>
      <c r="Z8" s="6">
        <v>1</v>
      </c>
      <c r="AA8" s="6">
        <v>100</v>
      </c>
      <c r="AB8" s="6">
        <v>1</v>
      </c>
      <c r="AC8" s="115">
        <v>2</v>
      </c>
      <c r="AD8" s="116">
        <v>1216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梶井基次郎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7">
        <v>1</v>
      </c>
      <c r="AI8" s="24">
        <f t="shared" ca="1" si="3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30045_2-2/3&lt;lv40&gt;s2</v>
      </c>
      <c r="B9" s="22">
        <v>30045</v>
      </c>
      <c r="C9" s="21">
        <v>2</v>
      </c>
      <c r="D9" s="2" t="str">
        <f t="shared" si="1"/>
        <v>30045_2</v>
      </c>
      <c r="E9" s="4" t="str">
        <f ca="1">VLOOKUP($B9,OFFSET([2]quests!$A$1,0,0,COUNTA([2]quests!$A:$A),MATCH(E$1,[2]quests!$1:$1,0)-MATCH($B$1,[2]quests!$1:$1,0)+1),MATCH(E$1,[2]quests!$1:$1,0)-MATCH($B$1,[2]quests!$1:$1,0)+1,FALSE)</f>
        <v>れもん色の衝動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【上級】れもん色の衝動</v>
      </c>
      <c r="G9" s="21">
        <v>2</v>
      </c>
      <c r="H9" s="15" t="str">
        <f t="shared" si="2"/>
        <v>30045_2-2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エージェント ジョー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Drop1T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40</v>
      </c>
      <c r="S9" s="25">
        <v>1.2</v>
      </c>
      <c r="T9" s="10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10159.199999999999</v>
      </c>
      <c r="U9" s="25">
        <v>0.7</v>
      </c>
      <c r="V9" s="10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1708</v>
      </c>
      <c r="W9" s="5">
        <v>0</v>
      </c>
      <c r="X9" s="4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61">
        <v>0</v>
      </c>
      <c r="Z9" s="6">
        <v>2</v>
      </c>
      <c r="AA9" s="6">
        <v>100</v>
      </c>
      <c r="AB9" s="6">
        <v>0</v>
      </c>
      <c r="AC9" s="115">
        <v>2</v>
      </c>
      <c r="AD9" s="116">
        <v>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エージェント ジョー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Drop1T</v>
      </c>
      <c r="AH9" s="7">
        <v>1</v>
      </c>
      <c r="AI9" s="24">
        <f t="shared" ca="1" si="3"/>
        <v>1</v>
      </c>
      <c r="AJ9" s="8">
        <v>20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30045_2-2/372&lt;lv41&gt;s1</v>
      </c>
      <c r="B10" s="22">
        <v>30045</v>
      </c>
      <c r="C10" s="21">
        <v>2</v>
      </c>
      <c r="D10" s="2" t="str">
        <f t="shared" si="1"/>
        <v>30045_2</v>
      </c>
      <c r="E10" s="4" t="str">
        <f ca="1">VLOOKUP($B10,OFFSET([2]quests!$A$1,0,0,COUNTA([2]quests!$A:$A),MATCH(E$1,[2]quests!$1:$1,0)-MATCH($B$1,[2]quests!$1:$1,0)+1),MATCH(E$1,[2]quests!$1:$1,0)-MATCH($B$1,[2]quests!$1:$1,0)+1,FALSE)</f>
        <v>れもん色の衝動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【上級】れもん色の衝動</v>
      </c>
      <c r="G10" s="21">
        <v>2</v>
      </c>
      <c r="H10" s="15" t="str">
        <f t="shared" si="2"/>
        <v>30045_2-2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372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バショー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41</v>
      </c>
      <c r="S10" s="25">
        <v>1.7</v>
      </c>
      <c r="T10" s="10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14739</v>
      </c>
      <c r="U10" s="25">
        <v>0.6</v>
      </c>
      <c r="V10" s="10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1499.3999999999999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単体攻撃+_x000D_ランダムでお邪魔パネルに3個変換</v>
      </c>
      <c r="Y10" s="61">
        <v>30045003</v>
      </c>
      <c r="Z10" s="6">
        <v>1</v>
      </c>
      <c r="AA10" s="6">
        <v>100</v>
      </c>
      <c r="AB10" s="6">
        <v>1</v>
      </c>
      <c r="AC10" s="115">
        <v>1</v>
      </c>
      <c r="AD10" s="116">
        <v>372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ca="1" si="3"/>
        <v>2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30045_2-2/372&lt;lv40&gt;s1</v>
      </c>
      <c r="B11" s="22">
        <v>30045</v>
      </c>
      <c r="C11" s="21">
        <v>2</v>
      </c>
      <c r="D11" s="2" t="str">
        <f t="shared" si="1"/>
        <v>30045_2</v>
      </c>
      <c r="E11" s="4" t="str">
        <f ca="1">VLOOKUP($B11,OFFSET([2]quests!$A$1,0,0,COUNTA([2]quests!$A:$A),MATCH(E$1,[2]quests!$1:$1,0)-MATCH($B$1,[2]quests!$1:$1,0)+1),MATCH(E$1,[2]quests!$1:$1,0)-MATCH($B$1,[2]quests!$1:$1,0)+1,FALSE)</f>
        <v>れもん色の衝動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【上級】れもん色の衝動</v>
      </c>
      <c r="G11" s="21">
        <v>2</v>
      </c>
      <c r="H11" s="15" t="str">
        <f t="shared" si="2"/>
        <v>30045_2-2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372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バショー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40</v>
      </c>
      <c r="S11" s="25">
        <v>1.7</v>
      </c>
      <c r="T11" s="10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14392.199999999999</v>
      </c>
      <c r="U11" s="25">
        <v>0.6</v>
      </c>
      <c r="V11" s="10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1464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単体攻撃+_x000D_ランダムで緑の時限式ダメージパネルに3個変換</v>
      </c>
      <c r="Y11" s="61">
        <v>30045004</v>
      </c>
      <c r="Z11" s="6">
        <v>1</v>
      </c>
      <c r="AA11" s="6">
        <v>100</v>
      </c>
      <c r="AB11" s="6">
        <v>1</v>
      </c>
      <c r="AC11" s="115">
        <v>1</v>
      </c>
      <c r="AD11" s="116">
        <v>372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7">
        <v>1</v>
      </c>
      <c r="AI11" s="24">
        <f t="shared" ca="1" si="3"/>
        <v>2</v>
      </c>
      <c r="AJ11" s="8">
        <v>20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0"/>
        <v>30045_2-3/815&lt;lv45&gt;s1</v>
      </c>
      <c r="B12" s="22">
        <v>30045</v>
      </c>
      <c r="C12" s="21">
        <v>2</v>
      </c>
      <c r="D12" s="2" t="str">
        <f t="shared" si="1"/>
        <v>30045_2</v>
      </c>
      <c r="E12" s="4" t="str">
        <f ca="1">VLOOKUP($B12,OFFSET([2]quests!$A$1,0,0,COUNTA([2]quests!$A:$A),MATCH(E$1,[2]quests!$1:$1,0)-MATCH($B$1,[2]quests!$1:$1,0)+1),MATCH(E$1,[2]quests!$1:$1,0)-MATCH($B$1,[2]quests!$1:$1,0)+1,FALSE)</f>
        <v>れもん色の衝動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【上級】れもん色の衝動</v>
      </c>
      <c r="G12" s="21">
        <v>3</v>
      </c>
      <c r="H12" s="15" t="str">
        <f t="shared" si="2"/>
        <v>30045_2-3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815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解砲の鴉眼 八咫烏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45</v>
      </c>
      <c r="S12" s="25">
        <v>2.2000000000000002</v>
      </c>
      <c r="T12" s="101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177388.2</v>
      </c>
      <c r="U12" s="25">
        <v>0.4</v>
      </c>
      <c r="V12" s="101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2189.6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緑パネルをお邪魔パネルに変換(最大7個)</v>
      </c>
      <c r="Y12" s="61">
        <v>30045005</v>
      </c>
      <c r="Z12" s="6">
        <v>1</v>
      </c>
      <c r="AA12" s="6">
        <v>100</v>
      </c>
      <c r="AB12" s="6">
        <v>1</v>
      </c>
      <c r="AC12" s="115">
        <v>1</v>
      </c>
      <c r="AD12" s="116">
        <v>815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解砲の鴉眼 八咫烏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6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2" s="7">
        <v>1</v>
      </c>
      <c r="AI12" s="24">
        <f t="shared" ca="1" si="3"/>
        <v>6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thickBot="1" x14ac:dyDescent="0.2">
      <c r="A13" s="16" t="str">
        <f t="shared" si="0"/>
        <v>30045_2-4/1216&lt;lv48&gt;s2</v>
      </c>
      <c r="B13" s="117">
        <v>30045</v>
      </c>
      <c r="C13" s="111">
        <v>2</v>
      </c>
      <c r="D13" s="113" t="str">
        <f t="shared" si="1"/>
        <v>30045_2</v>
      </c>
      <c r="E13" s="118" t="str">
        <f ca="1">VLOOKUP($B13,OFFSET([2]quests!$A$1,0,0,COUNTA([2]quests!$A:$A),MATCH(E$1,[2]quests!$1:$1,0)-MATCH($B$1,[2]quests!$1:$1,0)+1),MATCH(E$1,[2]quests!$1:$1,0)-MATCH($B$1,[2]quests!$1:$1,0)+1,FALSE)</f>
        <v>れもん色の衝動</v>
      </c>
      <c r="F13" s="118" t="str">
        <f ca="1">VLOOKUP($D13,OFFSET([2]stages!$A$1,0,0,COUNTA([2]stages!$A:$A),MATCH(F$1,[2]stages!$2:$2,0)-MATCH($D$1,[2]stages!$2:$2,0)+1),MATCH(F$1,[2]stages!$2:$2,0)-MATCH($D$1,[2]stages!$2:$2,0)+1,FALSE)</f>
        <v>【上級】れもん色の衝動</v>
      </c>
      <c r="G13" s="111">
        <v>4</v>
      </c>
      <c r="H13" s="113" t="str">
        <f t="shared" si="2"/>
        <v>30045_2-4</v>
      </c>
      <c r="I13" s="118">
        <f ca="1">VLOOKUP($H13,OFFSET(floors!$A$1,0,0,COUNTA(floors!$A:$A),MATCH(I$1,floors!$1:$1,0)-MATCH($H$1,floors!$1:$1,0)+1),MATCH(I$1,floors!$1:$1,0)-MATCH($H$1,floors!$1:$1,0)+1,FALSE)</f>
        <v>60</v>
      </c>
      <c r="J13" s="118">
        <f ca="1">VLOOKUP($H13,OFFSET(floors!$A$1,0,0,COUNTA(floors!$A:$A),MATCH(J$1,floors!$1:$1,0)-MATCH($H$1,floors!$1:$1,0)+1),MATCH(J$1,floors!$1:$1,0)-MATCH($H$1,floors!$1:$1,0)+1,FALSE)</f>
        <v>60</v>
      </c>
      <c r="K13" s="114">
        <v>1</v>
      </c>
      <c r="L13" s="119">
        <v>1216</v>
      </c>
      <c r="M13" s="120" t="str">
        <f ca="1">VLOOKUP($L13,OFFSET([3]enemies!$A$1,0,0,COUNTA([3]enemies!$A:$A),MATCH(M$1,[3]enemies!$1:$1,0)-MATCH($L$1,[3]enemies!$1:$1,0)+1),MATCH(M$1,[3]enemies!$1:$1,0)-MATCH($L$1,[3]enemies!$1:$1,0)+1,FALSE)</f>
        <v>梶井基次郎</v>
      </c>
      <c r="N13" s="120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20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20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20">
        <f ca="1">VLOOKUP($L13,OFFSET([3]enemies!$A$1,0,0,COUNTA([3]enemies!$A:$A),MATCH(Q$1,[3]enemies!$1:$1,0)-MATCH($L$1,[3]enemies!$1:$1,0)+1),MATCH(Q$1,[3]enemies!$1:$1,0)-MATCH($L$1,[3]enemies!$1:$1,0)+1,FALSE)</f>
        <v>30</v>
      </c>
      <c r="R13" s="121">
        <v>48</v>
      </c>
      <c r="S13" s="122">
        <v>3.3</v>
      </c>
      <c r="T13" s="12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203606.69999999998</v>
      </c>
      <c r="U13" s="122">
        <v>0.6</v>
      </c>
      <c r="V13" s="12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3886.2</v>
      </c>
      <c r="W13" s="121">
        <v>0</v>
      </c>
      <c r="X13" s="118" t="str">
        <f ca="1">VLOOKUP($Y13,OFFSET(enemy_skill_sets!$B$1,0,0,COUNTA(enemy_skill_sets!$B:$B),MATCH(M$1,enemy_skill_sets!$1:$1,0)-MATCH($Y$1,enemy_skill_sets!$1:$1,0)+2),MATCH(M$1,enemy_skill_sets!$1:$1,0)-MATCH($Y$1,enemy_skill_sets!$1:$1,0)+2,FALSE)</f>
        <v>青パネルを緑の時限式ダメージパネルに変換(最大7個)</v>
      </c>
      <c r="Y13" s="124">
        <v>30045006</v>
      </c>
      <c r="Z13" s="125">
        <v>1</v>
      </c>
      <c r="AA13" s="125">
        <v>100</v>
      </c>
      <c r="AB13" s="125">
        <v>1</v>
      </c>
      <c r="AC13" s="126">
        <v>2</v>
      </c>
      <c r="AD13" s="127">
        <v>1216</v>
      </c>
      <c r="AE13" s="118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梶井基次郎</v>
      </c>
      <c r="AF13" s="118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7">
        <v>1</v>
      </c>
      <c r="AI13" s="24">
        <f t="shared" ca="1" si="3"/>
        <v>4</v>
      </c>
      <c r="AJ13" s="8">
        <v>50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si="0"/>
        <v>30045_1-1/1216&lt;lv30&gt;s2</v>
      </c>
      <c r="B14" s="22">
        <v>30045</v>
      </c>
      <c r="C14" s="21">
        <v>1</v>
      </c>
      <c r="D14" s="2" t="str">
        <f t="shared" si="1"/>
        <v>30045_1</v>
      </c>
      <c r="E14" s="4" t="str">
        <f ca="1">VLOOKUP($B14,OFFSET([2]quests!$A$1,0,0,COUNTA([2]quests!$A:$A),MATCH(E$1,[2]quests!$1:$1,0)-MATCH($B$1,[2]quests!$1:$1,0)+1),MATCH(E$1,[2]quests!$1:$1,0)-MATCH($B$1,[2]quests!$1:$1,0)+1,FALSE)</f>
        <v>れもん色の衝動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【中級】れもん色の衝動</v>
      </c>
      <c r="G14" s="21">
        <v>1</v>
      </c>
      <c r="H14" s="15" t="str">
        <f t="shared" si="2"/>
        <v>30045_1-1</v>
      </c>
      <c r="I14" s="4">
        <f ca="1">VLOOKUP($H14,OFFSET(floors!$A$1,0,0,COUNTA(floors!$A:$A),MATCH(I$1,floors!$1:$1,0)-MATCH($H$1,floors!$1:$1,0)+1),MATCH(I$1,floors!$1:$1,0)-MATCH($H$1,floors!$1:$1,0)+1,FALSE)</f>
        <v>30</v>
      </c>
      <c r="J14" s="4">
        <f ca="1">VLOOKUP($H14,OFFSET(floors!$A$1,0,0,COUNTA(floors!$A:$A),MATCH(J$1,floors!$1:$1,0)-MATCH($H$1,floors!$1:$1,0)+1),MATCH(J$1,floors!$1:$1,0)-MATCH($H$1,floors!$1:$1,0)+1,FALSE)</f>
        <v>30</v>
      </c>
      <c r="K14" s="38" t="s">
        <v>253</v>
      </c>
      <c r="L14" s="20">
        <v>1216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梶井基次郎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30</v>
      </c>
      <c r="S14" s="25">
        <v>2</v>
      </c>
      <c r="T14" s="101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78526</v>
      </c>
      <c r="U14" s="25">
        <v>1</v>
      </c>
      <c r="V14" s="101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4122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コスト31以上のユニットに大ダメージ</v>
      </c>
      <c r="Y14" s="61">
        <v>30045001</v>
      </c>
      <c r="Z14" s="6">
        <v>1</v>
      </c>
      <c r="AA14" s="6">
        <v>100</v>
      </c>
      <c r="AB14" s="6">
        <v>1</v>
      </c>
      <c r="AC14" s="115">
        <v>2</v>
      </c>
      <c r="AD14" s="116">
        <v>1216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梶井基次郎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Drop2N</v>
      </c>
      <c r="AH14" s="7">
        <v>1</v>
      </c>
      <c r="AI14" s="24">
        <f t="shared" ca="1" si="3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si="0"/>
        <v>30045_1-2/3&lt;lv28&gt;s2</v>
      </c>
      <c r="B15" s="22">
        <v>30045</v>
      </c>
      <c r="C15" s="21">
        <v>1</v>
      </c>
      <c r="D15" s="2" t="str">
        <f t="shared" si="1"/>
        <v>30045_1</v>
      </c>
      <c r="E15" s="4" t="str">
        <f ca="1">VLOOKUP($B15,OFFSET([2]quests!$A$1,0,0,COUNTA([2]quests!$A:$A),MATCH(E$1,[2]quests!$1:$1,0)-MATCH($B$1,[2]quests!$1:$1,0)+1),MATCH(E$1,[2]quests!$1:$1,0)-MATCH($B$1,[2]quests!$1:$1,0)+1,FALSE)</f>
        <v>れもん色の衝動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【中級】れもん色の衝動</v>
      </c>
      <c r="G15" s="21">
        <v>2</v>
      </c>
      <c r="H15" s="15" t="str">
        <f t="shared" si="2"/>
        <v>30045_1-2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エージェント ジョー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Drop1T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28</v>
      </c>
      <c r="S15" s="25">
        <v>1.2</v>
      </c>
      <c r="T15" s="101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7221.5999999999995</v>
      </c>
      <c r="U15" s="25">
        <v>0.6</v>
      </c>
      <c r="V15" s="101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1041</v>
      </c>
      <c r="W15" s="5">
        <v>0</v>
      </c>
      <c r="X15" s="4" t="e">
        <f ca="1">VLOOKUP($Y15,OFFSET(enemy_skill_sets!$B$1,0,0,COUNTA(enemy_skill_sets!$B:$B),MATCH(M$1,enemy_skill_sets!$1:$1,0)-MATCH($Y$1,enemy_skill_sets!$1:$1,0)+2),MATCH(M$1,enemy_skill_sets!$1:$1,0)-MATCH($Y$1,enemy_skill_sets!$1:$1,0)+2,FALSE)</f>
        <v>#N/A</v>
      </c>
      <c r="Y15" s="61">
        <v>0</v>
      </c>
      <c r="Z15" s="6">
        <v>2</v>
      </c>
      <c r="AA15" s="6">
        <v>100</v>
      </c>
      <c r="AB15" s="6">
        <v>0</v>
      </c>
      <c r="AC15" s="115">
        <v>2</v>
      </c>
      <c r="AD15" s="116">
        <v>3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エージェント ジョー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Drop1T</v>
      </c>
      <c r="AH15" s="7">
        <v>1</v>
      </c>
      <c r="AI15" s="24">
        <f t="shared" ca="1" si="3"/>
        <v>1</v>
      </c>
      <c r="AJ15" s="8">
        <v>20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si="0"/>
        <v>30045_1-2/372&lt;lv30&gt;s1</v>
      </c>
      <c r="B16" s="22">
        <v>30045</v>
      </c>
      <c r="C16" s="21">
        <v>1</v>
      </c>
      <c r="D16" s="2" t="str">
        <f t="shared" si="1"/>
        <v>30045_1</v>
      </c>
      <c r="E16" s="4" t="str">
        <f ca="1">VLOOKUP($B16,OFFSET([2]quests!$A$1,0,0,COUNTA([2]quests!$A:$A),MATCH(E$1,[2]quests!$1:$1,0)-MATCH($B$1,[2]quests!$1:$1,0)+1),MATCH(E$1,[2]quests!$1:$1,0)-MATCH($B$1,[2]quests!$1:$1,0)+1,FALSE)</f>
        <v>れもん色の衝動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【中級】れもん色の衝動</v>
      </c>
      <c r="G16" s="21">
        <v>2</v>
      </c>
      <c r="H16" s="15" t="str">
        <f t="shared" si="2"/>
        <v>30045_1-2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372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バショー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30</v>
      </c>
      <c r="S16" s="25">
        <v>1.6</v>
      </c>
      <c r="T16" s="101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10281.6</v>
      </c>
      <c r="U16" s="25">
        <v>0.6</v>
      </c>
      <c r="V16" s="101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1111.2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単体攻撃+_x000D_ランダムでお邪魔パネルに3個変換</v>
      </c>
      <c r="Y16" s="61">
        <v>30045003</v>
      </c>
      <c r="Z16" s="6">
        <v>1</v>
      </c>
      <c r="AA16" s="6">
        <v>100</v>
      </c>
      <c r="AB16" s="6">
        <v>1</v>
      </c>
      <c r="AC16" s="115">
        <v>1</v>
      </c>
      <c r="AD16" s="116">
        <v>372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Drop1S</v>
      </c>
      <c r="AH16" s="7">
        <v>1</v>
      </c>
      <c r="AI16" s="24">
        <f t="shared" ca="1" si="3"/>
        <v>2</v>
      </c>
      <c r="AJ16" s="8">
        <v>20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si="0"/>
        <v>30045_1-2/372&lt;lv29&gt;s1</v>
      </c>
      <c r="B17" s="22">
        <v>30045</v>
      </c>
      <c r="C17" s="21">
        <v>1</v>
      </c>
      <c r="D17" s="2" t="str">
        <f t="shared" si="1"/>
        <v>30045_1</v>
      </c>
      <c r="E17" s="4" t="str">
        <f ca="1">VLOOKUP($B17,OFFSET([2]quests!$A$1,0,0,COUNTA([2]quests!$A:$A),MATCH(E$1,[2]quests!$1:$1,0)-MATCH($B$1,[2]quests!$1:$1,0)+1),MATCH(E$1,[2]quests!$1:$1,0)-MATCH($B$1,[2]quests!$1:$1,0)+1,FALSE)</f>
        <v>れもん色の衝動</v>
      </c>
      <c r="F17" s="4" t="str">
        <f ca="1">VLOOKUP($D17,OFFSET([2]stages!$A$1,0,0,COUNTA([2]stages!$A:$A),MATCH(F$1,[2]stages!$2:$2,0)-MATCH($D$1,[2]stages!$2:$2,0)+1),MATCH(F$1,[2]stages!$2:$2,0)-MATCH($D$1,[2]stages!$2:$2,0)+1,FALSE)</f>
        <v>【中級】れもん色の衝動</v>
      </c>
      <c r="G17" s="21">
        <v>2</v>
      </c>
      <c r="H17" s="15" t="str">
        <f t="shared" si="2"/>
        <v>30045_1-2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372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バショー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29</v>
      </c>
      <c r="S17" s="25">
        <v>1.6</v>
      </c>
      <c r="T17" s="101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9955.2000000000007</v>
      </c>
      <c r="U17" s="25">
        <v>0.6</v>
      </c>
      <c r="V17" s="101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1075.8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単体攻撃+_x000D_ランダムで緑の時限式ダメージパネルに3個変換</v>
      </c>
      <c r="Y17" s="61">
        <v>30045004</v>
      </c>
      <c r="Z17" s="6">
        <v>1</v>
      </c>
      <c r="AA17" s="6">
        <v>100</v>
      </c>
      <c r="AB17" s="6">
        <v>1</v>
      </c>
      <c r="AC17" s="115">
        <v>1</v>
      </c>
      <c r="AD17" s="116">
        <v>372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Drop1S</v>
      </c>
      <c r="AH17" s="7">
        <v>1</v>
      </c>
      <c r="AI17" s="24">
        <f t="shared" ca="1" si="3"/>
        <v>2</v>
      </c>
      <c r="AJ17" s="8">
        <v>20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  <row r="18" spans="1:42" ht="21" customHeight="1" x14ac:dyDescent="0.15">
      <c r="A18" s="16" t="str">
        <f t="shared" si="0"/>
        <v>30045_1-3/815&lt;lv35&gt;s1</v>
      </c>
      <c r="B18" s="22">
        <v>30045</v>
      </c>
      <c r="C18" s="21">
        <v>1</v>
      </c>
      <c r="D18" s="2" t="str">
        <f t="shared" si="1"/>
        <v>30045_1</v>
      </c>
      <c r="E18" s="4" t="str">
        <f ca="1">VLOOKUP($B18,OFFSET([2]quests!$A$1,0,0,COUNTA([2]quests!$A:$A),MATCH(E$1,[2]quests!$1:$1,0)-MATCH($B$1,[2]quests!$1:$1,0)+1),MATCH(E$1,[2]quests!$1:$1,0)-MATCH($B$1,[2]quests!$1:$1,0)+1,FALSE)</f>
        <v>れもん色の衝動</v>
      </c>
      <c r="F18" s="4" t="str">
        <f ca="1">VLOOKUP($D18,OFFSET([2]stages!$A$1,0,0,COUNTA([2]stages!$A:$A),MATCH(F$1,[2]stages!$2:$2,0)-MATCH($D$1,[2]stages!$2:$2,0)+1),MATCH(F$1,[2]stages!$2:$2,0)-MATCH($D$1,[2]stages!$2:$2,0)+1,FALSE)</f>
        <v>【中級】れもん色の衝動</v>
      </c>
      <c r="G18" s="21">
        <v>3</v>
      </c>
      <c r="H18" s="15" t="str">
        <f t="shared" si="2"/>
        <v>30045_1-3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815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解砲の鴉眼 八咫烏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35</v>
      </c>
      <c r="S18" s="25">
        <v>2</v>
      </c>
      <c r="T18" s="101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126582</v>
      </c>
      <c r="U18" s="25">
        <v>0.4</v>
      </c>
      <c r="V18" s="101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1718.8000000000002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緑パネルをお邪魔パネルに変換(最大7個)</v>
      </c>
      <c r="Y18" s="61">
        <v>30045005</v>
      </c>
      <c r="Z18" s="6">
        <v>1</v>
      </c>
      <c r="AA18" s="6">
        <v>100</v>
      </c>
      <c r="AB18" s="6">
        <v>1</v>
      </c>
      <c r="AC18" s="115">
        <v>1</v>
      </c>
      <c r="AD18" s="116">
        <v>815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解砲の鴉眼 八咫烏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6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8" s="7">
        <v>1</v>
      </c>
      <c r="AI18" s="24">
        <f t="shared" ca="1" si="3"/>
        <v>6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9">
        <v>1</v>
      </c>
    </row>
    <row r="19" spans="1:42" ht="21" customHeight="1" thickBot="1" x14ac:dyDescent="0.2">
      <c r="A19" s="16" t="str">
        <f t="shared" si="0"/>
        <v>30045_1-4/1216&lt;lv37&gt;s2</v>
      </c>
      <c r="B19" s="117">
        <v>30045</v>
      </c>
      <c r="C19" s="111">
        <v>1</v>
      </c>
      <c r="D19" s="113" t="str">
        <f t="shared" si="1"/>
        <v>30045_1</v>
      </c>
      <c r="E19" s="118" t="str">
        <f ca="1">VLOOKUP($B19,OFFSET([2]quests!$A$1,0,0,COUNTA([2]quests!$A:$A),MATCH(E$1,[2]quests!$1:$1,0)-MATCH($B$1,[2]quests!$1:$1,0)+1),MATCH(E$1,[2]quests!$1:$1,0)-MATCH($B$1,[2]quests!$1:$1,0)+1,FALSE)</f>
        <v>れもん色の衝動</v>
      </c>
      <c r="F19" s="118" t="str">
        <f ca="1">VLOOKUP($D19,OFFSET([2]stages!$A$1,0,0,COUNTA([2]stages!$A:$A),MATCH(F$1,[2]stages!$2:$2,0)-MATCH($D$1,[2]stages!$2:$2,0)+1),MATCH(F$1,[2]stages!$2:$2,0)-MATCH($D$1,[2]stages!$2:$2,0)+1,FALSE)</f>
        <v>【中級】れもん色の衝動</v>
      </c>
      <c r="G19" s="111">
        <v>4</v>
      </c>
      <c r="H19" s="113" t="str">
        <f t="shared" si="2"/>
        <v>30045_1-4</v>
      </c>
      <c r="I19" s="118">
        <f ca="1">VLOOKUP($H19,OFFSET(floors!$A$1,0,0,COUNTA(floors!$A:$A),MATCH(I$1,floors!$1:$1,0)-MATCH($H$1,floors!$1:$1,0)+1),MATCH(I$1,floors!$1:$1,0)-MATCH($H$1,floors!$1:$1,0)+1,FALSE)</f>
        <v>60</v>
      </c>
      <c r="J19" s="118">
        <f ca="1">VLOOKUP($H19,OFFSET(floors!$A$1,0,0,COUNTA(floors!$A:$A),MATCH(J$1,floors!$1:$1,0)-MATCH($H$1,floors!$1:$1,0)+1),MATCH(J$1,floors!$1:$1,0)-MATCH($H$1,floors!$1:$1,0)+1,FALSE)</f>
        <v>60</v>
      </c>
      <c r="K19" s="114">
        <v>1</v>
      </c>
      <c r="L19" s="119">
        <v>1216</v>
      </c>
      <c r="M19" s="120" t="str">
        <f ca="1">VLOOKUP($L19,OFFSET([3]enemies!$A$1,0,0,COUNTA([3]enemies!$A:$A),MATCH(M$1,[3]enemies!$1:$1,0)-MATCH($L$1,[3]enemies!$1:$1,0)+1),MATCH(M$1,[3]enemies!$1:$1,0)-MATCH($L$1,[3]enemies!$1:$1,0)+1,FALSE)</f>
        <v>梶井基次郎</v>
      </c>
      <c r="N19" s="120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20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20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20">
        <f ca="1">VLOOKUP($L19,OFFSET([3]enemies!$A$1,0,0,COUNTA([3]enemies!$A:$A),MATCH(Q$1,[3]enemies!$1:$1,0)-MATCH($L$1,[3]enemies!$1:$1,0)+1),MATCH(Q$1,[3]enemies!$1:$1,0)-MATCH($L$1,[3]enemies!$1:$1,0)+1,FALSE)</f>
        <v>30</v>
      </c>
      <c r="R19" s="121">
        <v>37</v>
      </c>
      <c r="S19" s="122">
        <v>3</v>
      </c>
      <c r="T19" s="123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143964</v>
      </c>
      <c r="U19" s="122">
        <v>0.6</v>
      </c>
      <c r="V19" s="123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3022.2</v>
      </c>
      <c r="W19" s="121">
        <v>0</v>
      </c>
      <c r="X19" s="118" t="str">
        <f ca="1">VLOOKUP($Y19,OFFSET(enemy_skill_sets!$B$1,0,0,COUNTA(enemy_skill_sets!$B:$B),MATCH(M$1,enemy_skill_sets!$1:$1,0)-MATCH($Y$1,enemy_skill_sets!$1:$1,0)+2),MATCH(M$1,enemy_skill_sets!$1:$1,0)-MATCH($Y$1,enemy_skill_sets!$1:$1,0)+2,FALSE)</f>
        <v>青パネルを緑の時限式ダメージパネルに変換(最大7個)</v>
      </c>
      <c r="Y19" s="124">
        <v>30045006</v>
      </c>
      <c r="Z19" s="125">
        <v>1</v>
      </c>
      <c r="AA19" s="125">
        <v>100</v>
      </c>
      <c r="AB19" s="125">
        <v>1</v>
      </c>
      <c r="AC19" s="126">
        <v>2</v>
      </c>
      <c r="AD19" s="127">
        <v>1216</v>
      </c>
      <c r="AE19" s="118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梶井基次郎</v>
      </c>
      <c r="AF19" s="118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7">
        <v>1</v>
      </c>
      <c r="AI19" s="24">
        <f t="shared" ca="1" si="3"/>
        <v>4</v>
      </c>
      <c r="AJ19" s="8">
        <v>20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251</v>
      </c>
      <c r="V1" s="26" t="s">
        <v>50</v>
      </c>
      <c r="W1" s="100" t="s">
        <v>252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30045_3-4/1217&lt;lv68&gt;sq1st2</v>
      </c>
      <c r="B2" s="22">
        <v>30045</v>
      </c>
      <c r="C2" s="21">
        <v>3</v>
      </c>
      <c r="D2" s="2" t="str">
        <f>B2&amp;"_"&amp;C2</f>
        <v>30045_3</v>
      </c>
      <c r="E2" s="4" t="str">
        <f ca="1">VLOOKUP($B2,OFFSET([2]quests!$A$1,0,0,COUNTA([2]quests!$A:$A),MATCH(E$1,[2]quests!$1:$1,0)-MATCH($B$1,[2]quests!$1:$1,0)+1),MATCH(E$1,[2]quests!$1:$1,0)-MATCH($B$1,[2]quests!$1:$1,0)+1,FALSE)</f>
        <v>れもん色の衝動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【超級】れもん色の衝動</v>
      </c>
      <c r="G2" s="21">
        <v>4</v>
      </c>
      <c r="H2" s="15" t="str">
        <f>B2&amp;"_"&amp;C2&amp;"-"&amp;G2</f>
        <v>30045_3-4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1217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鮮彩の鬱情 梶井基次郎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68</v>
      </c>
      <c r="T2" s="25">
        <v>3.3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373830.6</v>
      </c>
      <c r="V2" s="25">
        <v>0.6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5875.8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37">
        <v>30045007</v>
      </c>
      <c r="AA2" s="147">
        <v>2</v>
      </c>
    </row>
    <row r="3" spans="1:27" ht="21" customHeight="1" x14ac:dyDescent="0.15">
      <c r="A3" s="16" t="str">
        <f>B3&amp;"_"&amp;C3&amp;"-"&amp;G3&amp;"/"&amp;M3&amp;"&lt;lv"&amp;S3&amp;"&gt;sq"&amp;K3&amp;"st"&amp;L3</f>
        <v>30045_2-4/1217&lt;lv48&gt;sq1st2</v>
      </c>
      <c r="B3" s="22">
        <v>30045</v>
      </c>
      <c r="C3" s="21">
        <v>2</v>
      </c>
      <c r="D3" s="2" t="str">
        <f>B3&amp;"_"&amp;C3</f>
        <v>30045_2</v>
      </c>
      <c r="E3" s="4" t="str">
        <f ca="1">VLOOKUP($B3,OFFSET([2]quests!$A$1,0,0,COUNTA([2]quests!$A:$A),MATCH(E$1,[2]quests!$1:$1,0)-MATCH($B$1,[2]quests!$1:$1,0)+1),MATCH(E$1,[2]quests!$1:$1,0)-MATCH($B$1,[2]quests!$1:$1,0)+1,FALSE)</f>
        <v>れもん色の衝動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【上級】れもん色の衝動</v>
      </c>
      <c r="G3" s="21">
        <v>4</v>
      </c>
      <c r="H3" s="15" t="str">
        <f>B3&amp;"_"&amp;C3&amp;"-"&amp;G3</f>
        <v>30045_2-4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1217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鮮彩の鬱情 梶井基次郎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48</v>
      </c>
      <c r="T3" s="25">
        <v>3.3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266253.89999999997</v>
      </c>
      <c r="V3" s="25">
        <v>0.6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4185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37">
        <v>30045007</v>
      </c>
      <c r="AA3" s="147">
        <v>2</v>
      </c>
    </row>
    <row r="4" spans="1:27" ht="21" customHeight="1" x14ac:dyDescent="0.15">
      <c r="A4" s="16" t="str">
        <f>B4&amp;"_"&amp;C4&amp;"-"&amp;G4&amp;"/"&amp;M4&amp;"&lt;lv"&amp;S4&amp;"&gt;sq"&amp;K4&amp;"st"&amp;L4</f>
        <v>30045_1-4/1217&lt;lv37&gt;sq1st2</v>
      </c>
      <c r="B4" s="22">
        <v>30045</v>
      </c>
      <c r="C4" s="21">
        <v>1</v>
      </c>
      <c r="D4" s="2" t="str">
        <f>B4&amp;"_"&amp;C4</f>
        <v>30045_1</v>
      </c>
      <c r="E4" s="4" t="str">
        <f ca="1">VLOOKUP($B4,OFFSET([2]quests!$A$1,0,0,COUNTA([2]quests!$A:$A),MATCH(E$1,[2]quests!$1:$1,0)-MATCH($B$1,[2]quests!$1:$1,0)+1),MATCH(E$1,[2]quests!$1:$1,0)-MATCH($B$1,[2]quests!$1:$1,0)+1,FALSE)</f>
        <v>れもん色の衝動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【中級】れもん色の衝動</v>
      </c>
      <c r="G4" s="21">
        <v>4</v>
      </c>
      <c r="H4" s="15" t="str">
        <f>B4&amp;"_"&amp;C4&amp;"-"&amp;G4</f>
        <v>30045_1-4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1217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鮮彩の鬱情 梶井基次郎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37</v>
      </c>
      <c r="T4" s="25">
        <v>3</v>
      </c>
      <c r="U4" s="10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188259</v>
      </c>
      <c r="V4" s="25">
        <v>0.6</v>
      </c>
      <c r="W4" s="10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3255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37">
        <v>30045008</v>
      </c>
      <c r="AA4" s="147">
        <v>2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1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5.33203125" style="49" customWidth="1"/>
    <col min="6" max="6" width="45.33203125" style="49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8" customHeight="1" x14ac:dyDescent="0.15">
      <c r="A2" s="131">
        <v>30045001</v>
      </c>
      <c r="B2" s="131" t="s">
        <v>275</v>
      </c>
      <c r="C2" s="132">
        <v>3</v>
      </c>
      <c r="D2" s="132" t="s">
        <v>128</v>
      </c>
      <c r="E2" s="133" t="s">
        <v>276</v>
      </c>
      <c r="F2" s="133" t="s">
        <v>288</v>
      </c>
      <c r="G2" s="63" t="str">
        <f>IFERROR(LEFT(B2,FIND("],",B2)),B2)</f>
        <v>[effect:damage_anti_cost, target:unit_all, lower:31, val1:99.9, val2:0.01, cost_type:unit]</v>
      </c>
      <c r="H2" s="63">
        <f>FIND("effect:",G2)+7</f>
        <v>9</v>
      </c>
      <c r="I2" s="63">
        <f>IFERROR(FIND(",",G2),LEN(G2))</f>
        <v>25</v>
      </c>
      <c r="J2" s="63">
        <f>FIND("target:",G2)+7</f>
        <v>34</v>
      </c>
      <c r="K2" s="63">
        <f>FIND(",",G2,I2+1)</f>
        <v>42</v>
      </c>
      <c r="L2" s="63" t="str">
        <f>IFERROR(VLOOKUP(MID(G2,J2,K2-J2),[6]skilldef!$C:$D,2,FALSE),"-") &amp; " / " &amp; IFERROR(VLOOKUP(MID(G2,H2,I2-H2),[6]skilldef!$A:$B,2,FALSE),"-")</f>
        <v>味方全体に / -</v>
      </c>
      <c r="M2" s="63" t="str">
        <f>IFERROR(RIGHT(B2,LEN(B2)-FIND("],",B2)-1),"none")</f>
        <v>[effect:damage_anti_cost, target:unit_all, lower:31, val1:99.9, val2:0.01, cost_type:unit]</v>
      </c>
      <c r="N2" s="48" t="str">
        <f>IFERROR(LEFT(M2,FIND("],",M2)+S12),M2)</f>
        <v>[effect:damage_anti_cost, target:unit_all, lower:31, val1:99.9, val2:0.01, cost_type:unit]</v>
      </c>
      <c r="O2" s="63">
        <f>FIND("effect:",N2)+7</f>
        <v>9</v>
      </c>
      <c r="P2" s="63">
        <f>IFERROR(FIND(",",N2),LEN(N2))</f>
        <v>25</v>
      </c>
      <c r="Q2" s="63">
        <f>FIND("target:",N2)+7</f>
        <v>34</v>
      </c>
      <c r="R2" s="63">
        <f>FIND(",",N2,P2+1)</f>
        <v>42</v>
      </c>
      <c r="S2" s="63" t="str">
        <f>IFERROR(VLOOKUP(MID(N2,Q2,R2-Q2),[6]skilldef!$C:$D,2,FALSE),"-") &amp; " / " &amp; IFERROR(VLOOKUP(MID(N2,O2,P2-O2),[6]skilldef!$A:$B,2,FALSE),"-")</f>
        <v>味方全体に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28" customHeight="1" x14ac:dyDescent="0.15">
      <c r="A3" s="131">
        <v>30045002</v>
      </c>
      <c r="B3" s="131" t="s">
        <v>352</v>
      </c>
      <c r="C3" s="132">
        <v>3</v>
      </c>
      <c r="D3" s="132" t="s">
        <v>128</v>
      </c>
      <c r="E3" s="133" t="s">
        <v>297</v>
      </c>
      <c r="F3" s="133" t="s">
        <v>293</v>
      </c>
      <c r="G3" s="63" t="str">
        <f t="shared" ref="G3:G4" si="0">IFERROR(LEFT(B3,FIND("],",B3)),B3)</f>
        <v>[effect:force_change_block, new_block:time_bomb, target:block_green, ignore01:crash, ignore02:jammer, ignore03:crack_bomb, ignore04:color_break, color:block_green, count:5, val:0.3, animation:change_block]</v>
      </c>
      <c r="H3" s="63">
        <f t="shared" ref="H3:H4" si="1">FIND("effect:",G3)+7</f>
        <v>9</v>
      </c>
      <c r="I3" s="63">
        <f t="shared" ref="I3:I4" si="2">IFERROR(FIND(",",G3),LEN(G3))</f>
        <v>27</v>
      </c>
      <c r="J3" s="63">
        <f t="shared" ref="J3:J4" si="3">FIND("target:",G3)+7</f>
        <v>57</v>
      </c>
      <c r="K3" s="63">
        <f t="shared" ref="K3:K4" si="4">FIND(",",G3,I3+1)</f>
        <v>48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4" si="5">IFERROR(RIGHT(B3,LEN(B3)-FIND("],",B3)-1),"none")</f>
        <v>[effect:suicide, target:myself, val:1, dead_type:escape],[effect:enemy_message, val1:1, val2:2.4]</v>
      </c>
      <c r="N3" s="48" t="str">
        <f t="shared" ref="N3" si="6">IFERROR(LEFT(M3,FIND("],",M3)+S13),M3)</f>
        <v>[effect:suicide, target:myself, val:1, dead_type:escape],[effect:enemy_message, val1:1, val2:2.4]</v>
      </c>
      <c r="O3" s="63">
        <f t="shared" ref="O3:O4" si="7">FIND("effect:",N3)+7</f>
        <v>9</v>
      </c>
      <c r="P3" s="63">
        <f t="shared" ref="P3:P4" si="8">IFERROR(FIND(",",N3),LEN(N3))</f>
        <v>16</v>
      </c>
      <c r="Q3" s="63">
        <f t="shared" ref="Q3:Q4" si="9">FIND("target:",N3)+7</f>
        <v>25</v>
      </c>
      <c r="R3" s="63">
        <f t="shared" ref="R3:R4" si="10">FIND(",",N3,P3+1)</f>
        <v>31</v>
      </c>
      <c r="S3" s="63" t="str">
        <f>IFERROR(VLOOKUP(MID(N3,Q3,R3-Q3),[6]skilldef!$C:$D,2,FALSE),"-") &amp; " / " &amp; IFERROR(VLOOKUP(MID(N3,O3,P3-O3),[6]skilldef!$A:$B,2,FALSE),"-")</f>
        <v>自分自身に / -</v>
      </c>
      <c r="T3" s="48" t="str">
        <f t="shared" ref="T3:T4" si="11">IFERROR(RIGHT(M3,LEN(M3)-FIND("],",M3)-1),"none")</f>
        <v>[effect:enemy_message, val1:1, val2:2.4]</v>
      </c>
      <c r="U3" s="63">
        <f t="shared" ref="U3:U4" si="12">FIND("effect:",T3)+7</f>
        <v>9</v>
      </c>
      <c r="V3" s="63">
        <f t="shared" ref="V3:V4" si="13">IFERROR(FIND(",",T3),LEN(T3))</f>
        <v>22</v>
      </c>
      <c r="W3" s="63" t="e">
        <f t="shared" ref="W3:W4" si="14">FIND("target:",T3)+7</f>
        <v>#VALUE!</v>
      </c>
      <c r="X3" s="63">
        <f t="shared" ref="X3:X4" si="15">FIND(",",T3,V3+1)</f>
        <v>30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28" customHeight="1" x14ac:dyDescent="0.15">
      <c r="A4" s="131">
        <v>30045003</v>
      </c>
      <c r="B4" s="131" t="s">
        <v>351</v>
      </c>
      <c r="C4" s="132">
        <v>3</v>
      </c>
      <c r="D4" s="132" t="s">
        <v>128</v>
      </c>
      <c r="E4" s="133" t="s">
        <v>304</v>
      </c>
      <c r="F4" s="133" t="s">
        <v>319</v>
      </c>
      <c r="G4" s="63" t="str">
        <f t="shared" si="0"/>
        <v>[effect:force_change_block, new_block:time_bomb, target:block_all, ignore01:crash, ignore02:jammer, ignore03:crack_bomb, ignore04:color_break, color:block_green, count:7, val:0.3, animation:change_block]</v>
      </c>
      <c r="H4" s="63">
        <f t="shared" si="1"/>
        <v>9</v>
      </c>
      <c r="I4" s="63">
        <f t="shared" si="2"/>
        <v>27</v>
      </c>
      <c r="J4" s="63">
        <f t="shared" si="3"/>
        <v>57</v>
      </c>
      <c r="K4" s="63">
        <f t="shared" si="4"/>
        <v>48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[effect:suicide, target:myself, val:1, dead_type:escape],[effect:enemy_message, val1:1, val2:2.2]</v>
      </c>
      <c r="N4" s="48" t="str">
        <f>IFERROR(LEFT(M4,FIND("],",M4)+S15),M4)</f>
        <v>[effect:suicide, target:myself, val:1, dead_type:escape],[effect:enemy_message, val1:1, val2:2.2]</v>
      </c>
      <c r="O4" s="63">
        <f t="shared" si="7"/>
        <v>9</v>
      </c>
      <c r="P4" s="63">
        <f t="shared" si="8"/>
        <v>16</v>
      </c>
      <c r="Q4" s="63">
        <f t="shared" si="9"/>
        <v>25</v>
      </c>
      <c r="R4" s="63">
        <f t="shared" si="10"/>
        <v>31</v>
      </c>
      <c r="S4" s="63" t="str">
        <f>IFERROR(VLOOKUP(MID(N4,Q4,R4-Q4),[6]skilldef!$C:$D,2,FALSE),"-") &amp; " / " &amp; IFERROR(VLOOKUP(MID(N4,O4,P4-O4),[6]skilldef!$A:$B,2,FALSE),"-")</f>
        <v>自分自身に / -</v>
      </c>
      <c r="T4" s="48" t="str">
        <f t="shared" si="11"/>
        <v>[effect:enemy_message, val1:1, val2:2.2]</v>
      </c>
      <c r="U4" s="63">
        <f t="shared" si="12"/>
        <v>9</v>
      </c>
      <c r="V4" s="63">
        <f t="shared" si="13"/>
        <v>22</v>
      </c>
      <c r="W4" s="63" t="e">
        <f t="shared" si="14"/>
        <v>#VALUE!</v>
      </c>
      <c r="X4" s="63">
        <f t="shared" si="15"/>
        <v>30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28" customHeight="1" x14ac:dyDescent="0.15">
      <c r="A5" s="131">
        <v>30045004</v>
      </c>
      <c r="B5" s="131" t="s">
        <v>258</v>
      </c>
      <c r="C5" s="132">
        <v>3</v>
      </c>
      <c r="D5" s="132" t="s">
        <v>128</v>
      </c>
      <c r="E5" s="133" t="s">
        <v>298</v>
      </c>
      <c r="F5" s="133" t="s">
        <v>315</v>
      </c>
      <c r="G5" s="63" t="str">
        <f t="shared" ref="G5" si="16">IFERROR(LEFT(B5,FIND("],",B5)),B5)</f>
        <v>[effect:force_change_block, new_block:jammer, target:block_all, ignore01:crash, ignore02:jammer, ignore03:crack_bomb, ignore04:color_break, count:3, val:0, animation:change_block]</v>
      </c>
      <c r="H5" s="63">
        <f t="shared" ref="H5:H30" si="17">FIND("effect:",G5)+7</f>
        <v>9</v>
      </c>
      <c r="I5" s="63">
        <f t="shared" ref="I5" si="18">IFERROR(FIND(",",G5),LEN(G5))</f>
        <v>27</v>
      </c>
      <c r="J5" s="63">
        <f t="shared" ref="J5" si="19">FIND("target:",G5)+7</f>
        <v>54</v>
      </c>
      <c r="K5" s="63">
        <f t="shared" ref="K5" si="20">FIND(",",G5,I5+1)</f>
        <v>45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ref="M5" si="21">IFERROR(RIGHT(B5,LEN(B5)-FIND("],",B5)-1),"none")</f>
        <v>none</v>
      </c>
      <c r="N5" s="48" t="str">
        <f t="shared" ref="N5" si="22">IFERROR(LEFT(M5,FIND("],",M5)+S15),M5)</f>
        <v>none</v>
      </c>
      <c r="O5" s="63" t="e">
        <f t="shared" ref="O5:O30" si="23">FIND("effect:",N5)+7</f>
        <v>#VALUE!</v>
      </c>
      <c r="P5" s="63">
        <f t="shared" ref="P5" si="24">IFERROR(FIND(",",N5),LEN(N5))</f>
        <v>4</v>
      </c>
      <c r="Q5" s="63" t="e">
        <f t="shared" ref="Q5" si="25">FIND("target:",N5)+7</f>
        <v>#VALUE!</v>
      </c>
      <c r="R5" s="63" t="e">
        <f t="shared" ref="R5" si="26">FIND(",",N5,P5+1)</f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ref="T5" si="27">IFERROR(RIGHT(M5,LEN(M5)-FIND("],",M5)-1),"none")</f>
        <v>none</v>
      </c>
      <c r="U5" s="63" t="e">
        <f t="shared" ref="U5:U30" si="28">FIND("effect:",T5)+7</f>
        <v>#VALUE!</v>
      </c>
      <c r="V5" s="63">
        <f t="shared" ref="V5" si="29">IFERROR(FIND(",",T5),LEN(T5))</f>
        <v>4</v>
      </c>
      <c r="W5" s="63" t="e">
        <f t="shared" ref="W5" si="30">FIND("target:",T5)+7</f>
        <v>#VALUE!</v>
      </c>
      <c r="X5" s="63" t="e">
        <f t="shared" ref="X5" si="31">FIND(",",T5,V5+1)</f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28" customHeight="1" x14ac:dyDescent="0.15">
      <c r="A6" s="134">
        <v>30045005</v>
      </c>
      <c r="B6" s="134" t="s">
        <v>353</v>
      </c>
      <c r="C6" s="135">
        <v>3</v>
      </c>
      <c r="D6" s="135" t="s">
        <v>128</v>
      </c>
      <c r="E6" s="136" t="s">
        <v>265</v>
      </c>
      <c r="F6" s="136" t="s">
        <v>318</v>
      </c>
      <c r="G6" s="63" t="str">
        <f t="shared" ref="G6:G16" si="32">IFERROR(LEFT(B6,FIND("],",B6)),B6)</f>
        <v>[effect:rush, count:1, val:0.8]</v>
      </c>
      <c r="H6" s="63">
        <f t="shared" si="17"/>
        <v>9</v>
      </c>
      <c r="I6" s="63">
        <f t="shared" ref="I6:I16" si="33">IFERROR(FIND(",",G6),LEN(G6))</f>
        <v>13</v>
      </c>
      <c r="J6" s="63" t="e">
        <f t="shared" ref="J6:J16" si="34">FIND("target:",G6)+7</f>
        <v>#VALUE!</v>
      </c>
      <c r="K6" s="63">
        <f t="shared" ref="K6:K16" si="35">FIND(",",G6,I6+1)</f>
        <v>22</v>
      </c>
      <c r="L6" s="63" t="str">
        <f>IFERROR(VLOOKUP(MID(G6,J6,K6-J6),[6]skilldef!$C:$D,2,FALSE),"-") &amp; " / " &amp; IFERROR(VLOOKUP(MID(G6,H6,I6-H6),[6]skilldef!$A:$B,2,FALSE),"-")</f>
        <v>- / 連続攻撃</v>
      </c>
      <c r="M6" s="63" t="str">
        <f t="shared" ref="M6:M16" si="36">IFERROR(RIGHT(B6,LEN(B6)-FIND("],",B6)-1),"none")</f>
        <v>[effect:force_change_block, new_block:jammer, target:block_all, ignore01:crash, ignore02:jammer, ignore03:crack_bomb, ignore04:color_break, ignore05:time_bomb, count:3, val:0, animation:change_block],[effect:enemy_message, val1:1, val2:2.4]</v>
      </c>
      <c r="N6" s="48" t="str">
        <f t="shared" ref="N6:N16" si="37">IFERROR(LEFT(M6,FIND("],",M6)+S16),M6)</f>
        <v>[effect:force_change_block, new_block:jammer, target:block_all, ignore01:crash, ignore02:jammer, ignore03:crack_bomb, ignore04:color_break, ignore05:time_bomb, count:3, val:0, animation:change_block],[effect:enemy_message, val1:1, val2:2.4]</v>
      </c>
      <c r="O6" s="63">
        <f t="shared" si="23"/>
        <v>9</v>
      </c>
      <c r="P6" s="63">
        <f t="shared" ref="P6:P16" si="38">IFERROR(FIND(",",N6),LEN(N6))</f>
        <v>27</v>
      </c>
      <c r="Q6" s="63">
        <f t="shared" ref="Q6:Q16" si="39">FIND("target:",N6)+7</f>
        <v>54</v>
      </c>
      <c r="R6" s="63">
        <f t="shared" ref="R6:R16" si="40">FIND(",",N6,P6+1)</f>
        <v>45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ref="T6:T16" si="41">IFERROR(RIGHT(M6,LEN(M6)-FIND("],",M6)-1),"none")</f>
        <v>[effect:enemy_message, val1:1, val2:2.4]</v>
      </c>
      <c r="U6" s="63">
        <f t="shared" si="28"/>
        <v>9</v>
      </c>
      <c r="V6" s="63">
        <f t="shared" ref="V6:V16" si="42">IFERROR(FIND(",",T6),LEN(T6))</f>
        <v>22</v>
      </c>
      <c r="W6" s="63" t="e">
        <f t="shared" ref="W6:W16" si="43">FIND("target:",T6)+7</f>
        <v>#VALUE!</v>
      </c>
      <c r="X6" s="63">
        <f t="shared" ref="X6:X16" si="44">FIND(",",T6,V6+1)</f>
        <v>30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</row>
    <row r="7" spans="1:28" ht="28" customHeight="1" x14ac:dyDescent="0.15">
      <c r="A7" s="134">
        <v>30045006</v>
      </c>
      <c r="B7" s="134" t="s">
        <v>354</v>
      </c>
      <c r="C7" s="135">
        <v>3</v>
      </c>
      <c r="D7" s="135" t="s">
        <v>128</v>
      </c>
      <c r="E7" s="136" t="s">
        <v>264</v>
      </c>
      <c r="F7" s="136" t="s">
        <v>316</v>
      </c>
      <c r="G7" s="63" t="str">
        <f t="shared" si="32"/>
        <v>[effect:rush, count:1, val:0.8]</v>
      </c>
      <c r="H7" s="63">
        <f t="shared" si="17"/>
        <v>9</v>
      </c>
      <c r="I7" s="63">
        <f t="shared" si="33"/>
        <v>13</v>
      </c>
      <c r="J7" s="63" t="e">
        <f t="shared" si="34"/>
        <v>#VALUE!</v>
      </c>
      <c r="K7" s="63">
        <f t="shared" si="35"/>
        <v>22</v>
      </c>
      <c r="L7" s="63" t="str">
        <f>IFERROR(VLOOKUP(MID(G7,J7,K7-J7),[6]skilldef!$C:$D,2,FALSE),"-") &amp; " / " &amp; IFERROR(VLOOKUP(MID(G7,H7,I7-H7),[6]skilldef!$A:$B,2,FALSE),"-")</f>
        <v>- / 連続攻撃</v>
      </c>
      <c r="M7" s="63" t="str">
        <f t="shared" si="36"/>
        <v>[effect:force_change_block, new_block:time_bomb, target:block_all, ignore01:crash, ignore02:time_bomb, ignore03:crack_bomb, ignore04:color_break, ignore05:jammer, count:3, val:0.3, animation:change_block],[effect:enemy_message, val1:1, val2:2.4]</v>
      </c>
      <c r="N7" s="48" t="str">
        <f t="shared" si="37"/>
        <v>[effect:force_change_block, new_block:time_bomb, target:block_all, ignore01:crash, ignore02:time_bomb, ignore03:crack_bomb, ignore04:color_break, ignore05:jammer, count:3, val:0.3, animation:change_block],[effect:enemy_message, val1:1, val2:2.4]</v>
      </c>
      <c r="O7" s="63">
        <f t="shared" si="23"/>
        <v>9</v>
      </c>
      <c r="P7" s="63">
        <f t="shared" si="38"/>
        <v>27</v>
      </c>
      <c r="Q7" s="63">
        <f t="shared" si="39"/>
        <v>57</v>
      </c>
      <c r="R7" s="63">
        <f t="shared" si="40"/>
        <v>48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41"/>
        <v>[effect:enemy_message, val1:1, val2:2.4]</v>
      </c>
      <c r="U7" s="63">
        <f t="shared" si="28"/>
        <v>9</v>
      </c>
      <c r="V7" s="63">
        <f t="shared" si="42"/>
        <v>22</v>
      </c>
      <c r="W7" s="63" t="e">
        <f t="shared" si="43"/>
        <v>#VALUE!</v>
      </c>
      <c r="X7" s="63">
        <f t="shared" si="44"/>
        <v>30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28" customHeight="1" x14ac:dyDescent="0.15">
      <c r="A8" s="138">
        <v>30045007</v>
      </c>
      <c r="B8" s="138" t="s">
        <v>354</v>
      </c>
      <c r="C8" s="139">
        <v>3</v>
      </c>
      <c r="D8" s="139" t="s">
        <v>128</v>
      </c>
      <c r="E8" s="140" t="s">
        <v>267</v>
      </c>
      <c r="F8" s="140" t="s">
        <v>317</v>
      </c>
      <c r="G8" s="63" t="str">
        <f t="shared" si="32"/>
        <v>[effect:rush, count:1, val:0.8]</v>
      </c>
      <c r="H8" s="63">
        <f t="shared" si="17"/>
        <v>9</v>
      </c>
      <c r="I8" s="63">
        <f t="shared" si="33"/>
        <v>13</v>
      </c>
      <c r="J8" s="63" t="e">
        <f t="shared" si="34"/>
        <v>#VALUE!</v>
      </c>
      <c r="K8" s="63">
        <f t="shared" si="35"/>
        <v>22</v>
      </c>
      <c r="L8" s="63" t="str">
        <f>IFERROR(VLOOKUP(MID(G8,J8,K8-J8),[6]skilldef!$C:$D,2,FALSE),"-") &amp; " / " &amp; IFERROR(VLOOKUP(MID(G8,H8,I8-H8),[6]skilldef!$A:$B,2,FALSE),"-")</f>
        <v>- / 連続攻撃</v>
      </c>
      <c r="M8" s="63" t="str">
        <f t="shared" si="36"/>
        <v>[effect:force_change_block, new_block:time_bomb, target:block_all, ignore01:crash, ignore02:time_bomb, ignore03:crack_bomb, ignore04:color_break, ignore05:jammer, count:3, val:0.3, animation:change_block],[effect:enemy_message, val1:1, val2:2.4]</v>
      </c>
      <c r="N8" s="48" t="str">
        <f t="shared" si="37"/>
        <v>[effect:force_change_block, new_block:time_bomb, target:block_all, ignore01:crash, ignore02:time_bomb, ignore03:crack_bomb, ignore04:color_break, ignore05:jammer, count:3, val:0.3, animation:change_block],[effect:enemy_message, val1:1, val2:2.4]</v>
      </c>
      <c r="O8" s="63">
        <f t="shared" si="23"/>
        <v>9</v>
      </c>
      <c r="P8" s="63">
        <f t="shared" si="38"/>
        <v>27</v>
      </c>
      <c r="Q8" s="63">
        <f t="shared" si="39"/>
        <v>57</v>
      </c>
      <c r="R8" s="63">
        <f t="shared" si="40"/>
        <v>48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41"/>
        <v>[effect:enemy_message, val1:1, val2:2.4]</v>
      </c>
      <c r="U8" s="63">
        <f t="shared" si="28"/>
        <v>9</v>
      </c>
      <c r="V8" s="63">
        <f t="shared" si="42"/>
        <v>22</v>
      </c>
      <c r="W8" s="63" t="e">
        <f t="shared" si="43"/>
        <v>#VALUE!</v>
      </c>
      <c r="X8" s="63">
        <f t="shared" si="44"/>
        <v>30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</row>
    <row r="9" spans="1:28" ht="28" customHeight="1" x14ac:dyDescent="0.15">
      <c r="A9" s="138">
        <v>30045008</v>
      </c>
      <c r="B9" s="138" t="s">
        <v>353</v>
      </c>
      <c r="C9" s="139">
        <v>3</v>
      </c>
      <c r="D9" s="139" t="s">
        <v>128</v>
      </c>
      <c r="E9" s="140" t="s">
        <v>266</v>
      </c>
      <c r="F9" s="140" t="s">
        <v>318</v>
      </c>
      <c r="G9" s="63" t="str">
        <f t="shared" si="32"/>
        <v>[effect:rush, count:1, val:0.8]</v>
      </c>
      <c r="H9" s="63">
        <f t="shared" si="17"/>
        <v>9</v>
      </c>
      <c r="I9" s="63">
        <f t="shared" si="33"/>
        <v>13</v>
      </c>
      <c r="J9" s="63" t="e">
        <f t="shared" si="34"/>
        <v>#VALUE!</v>
      </c>
      <c r="K9" s="63">
        <f t="shared" si="35"/>
        <v>22</v>
      </c>
      <c r="L9" s="63" t="str">
        <f>IFERROR(VLOOKUP(MID(G9,J9,K9-J9),[6]skilldef!$C:$D,2,FALSE),"-") &amp; " / " &amp; IFERROR(VLOOKUP(MID(G9,H9,I9-H9),[6]skilldef!$A:$B,2,FALSE),"-")</f>
        <v>- / 連続攻撃</v>
      </c>
      <c r="M9" s="63" t="str">
        <f t="shared" si="36"/>
        <v>[effect:force_change_block, new_block:jammer, target:block_all, ignore01:crash, ignore02:jammer, ignore03:crack_bomb, ignore04:color_break, ignore05:time_bomb, count:3, val:0, animation:change_block],[effect:enemy_message, val1:1, val2:2.4]</v>
      </c>
      <c r="N9" s="48" t="str">
        <f t="shared" si="37"/>
        <v>[effect:force_change_block, new_block:jammer, target:block_all, ignore01:crash, ignore02:jammer, ignore03:crack_bomb, ignore04:color_break, ignore05:time_bomb, count:3, val:0, animation:change_block],[effect:enemy_message, val1:1, val2:2.4]</v>
      </c>
      <c r="O9" s="63">
        <f t="shared" si="23"/>
        <v>9</v>
      </c>
      <c r="P9" s="63">
        <f t="shared" si="38"/>
        <v>27</v>
      </c>
      <c r="Q9" s="63">
        <f t="shared" si="39"/>
        <v>54</v>
      </c>
      <c r="R9" s="63">
        <f t="shared" si="40"/>
        <v>45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41"/>
        <v>[effect:enemy_message, val1:1, val2:2.4]</v>
      </c>
      <c r="U9" s="63">
        <f t="shared" si="28"/>
        <v>9</v>
      </c>
      <c r="V9" s="63">
        <f t="shared" si="42"/>
        <v>22</v>
      </c>
      <c r="W9" s="63" t="e">
        <f t="shared" si="43"/>
        <v>#VALUE!</v>
      </c>
      <c r="X9" s="63">
        <f t="shared" si="44"/>
        <v>30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</row>
    <row r="10" spans="1:28" ht="28" customHeight="1" x14ac:dyDescent="0.15">
      <c r="A10" s="141">
        <v>30045009</v>
      </c>
      <c r="B10" s="141" t="s">
        <v>355</v>
      </c>
      <c r="C10" s="148">
        <v>3</v>
      </c>
      <c r="D10" s="148" t="s">
        <v>128</v>
      </c>
      <c r="E10" s="149" t="s">
        <v>273</v>
      </c>
      <c r="F10" s="149" t="s">
        <v>294</v>
      </c>
      <c r="G10" s="63" t="str">
        <f t="shared" si="32"/>
        <v>[effect:force_change_block, new_block:jammer, target:block_green, ignore01:crash, ignore02:jammer, ignore03:crack_bomb, ignore04:time_bomb, ignore05:color_break, count:7, val:0, animation:change_block]</v>
      </c>
      <c r="H10" s="63">
        <f t="shared" si="17"/>
        <v>9</v>
      </c>
      <c r="I10" s="63">
        <f t="shared" si="33"/>
        <v>27</v>
      </c>
      <c r="J10" s="63">
        <f t="shared" si="34"/>
        <v>54</v>
      </c>
      <c r="K10" s="63">
        <f t="shared" si="35"/>
        <v>45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36"/>
        <v>[effect:enemy_message, val1:1, val2:2.2]</v>
      </c>
      <c r="N10" s="48" t="str">
        <f t="shared" si="37"/>
        <v>[effect:enemy_message, val1:1, val2:2.2]</v>
      </c>
      <c r="O10" s="63">
        <f t="shared" si="23"/>
        <v>9</v>
      </c>
      <c r="P10" s="63">
        <f t="shared" si="38"/>
        <v>22</v>
      </c>
      <c r="Q10" s="63" t="e">
        <f t="shared" si="39"/>
        <v>#VALUE!</v>
      </c>
      <c r="R10" s="63">
        <f t="shared" si="40"/>
        <v>30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41"/>
        <v>none</v>
      </c>
      <c r="U10" s="63" t="e">
        <f t="shared" si="28"/>
        <v>#VALUE!</v>
      </c>
      <c r="V10" s="63">
        <f t="shared" si="42"/>
        <v>4</v>
      </c>
      <c r="W10" s="63" t="e">
        <f t="shared" si="43"/>
        <v>#VALUE!</v>
      </c>
      <c r="X10" s="63" t="e">
        <f t="shared" si="4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</row>
    <row r="11" spans="1:28" ht="28" customHeight="1" x14ac:dyDescent="0.15">
      <c r="A11" s="141">
        <v>30045010</v>
      </c>
      <c r="B11" s="141" t="s">
        <v>330</v>
      </c>
      <c r="C11" s="148">
        <v>3</v>
      </c>
      <c r="D11" s="148" t="s">
        <v>128</v>
      </c>
      <c r="E11" s="149" t="s">
        <v>270</v>
      </c>
      <c r="F11" s="149" t="s">
        <v>320</v>
      </c>
      <c r="G11" s="63" t="str">
        <f t="shared" si="32"/>
        <v>[effect:force_change_block, new_block:jammer, target:block_all, ignore01:crash, ignore02:jammer, ignore03:crack_bomb, ignore04:time_bomb, ignore05:color_break, count:12, val:0, animation:change_block]</v>
      </c>
      <c r="H11" s="63">
        <f t="shared" si="17"/>
        <v>9</v>
      </c>
      <c r="I11" s="63">
        <f t="shared" si="33"/>
        <v>27</v>
      </c>
      <c r="J11" s="63">
        <f t="shared" si="34"/>
        <v>54</v>
      </c>
      <c r="K11" s="63">
        <f t="shared" si="35"/>
        <v>45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36"/>
        <v>none</v>
      </c>
      <c r="N11" s="48" t="str">
        <f t="shared" si="37"/>
        <v>none</v>
      </c>
      <c r="O11" s="63" t="e">
        <f t="shared" si="23"/>
        <v>#VALUE!</v>
      </c>
      <c r="P11" s="63">
        <f t="shared" si="38"/>
        <v>4</v>
      </c>
      <c r="Q11" s="63" t="e">
        <f t="shared" si="39"/>
        <v>#VALUE!</v>
      </c>
      <c r="R11" s="63" t="e">
        <f t="shared" si="4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41"/>
        <v>none</v>
      </c>
      <c r="U11" s="63" t="e">
        <f t="shared" si="28"/>
        <v>#VALUE!</v>
      </c>
      <c r="V11" s="63">
        <f t="shared" si="42"/>
        <v>4</v>
      </c>
      <c r="W11" s="63" t="e">
        <f t="shared" si="43"/>
        <v>#VALUE!</v>
      </c>
      <c r="X11" s="63" t="e">
        <f t="shared" si="4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28" customHeight="1" x14ac:dyDescent="0.15">
      <c r="A12" s="141">
        <v>30045011</v>
      </c>
      <c r="B12" s="141" t="s">
        <v>356</v>
      </c>
      <c r="C12" s="148">
        <v>3</v>
      </c>
      <c r="D12" s="148" t="s">
        <v>128</v>
      </c>
      <c r="E12" s="149" t="s">
        <v>274</v>
      </c>
      <c r="F12" s="149" t="s">
        <v>255</v>
      </c>
      <c r="G12" s="63" t="str">
        <f t="shared" si="32"/>
        <v>[effect:force_change_block, new_block:jammer, target:block_green, ignore01:crash, ignore02:jammer, ignore03:crack_bomb, ignore04:time_bomb, ignore05:color_break, count:12, val:0, animation:change_block]</v>
      </c>
      <c r="H12" s="63">
        <f t="shared" si="17"/>
        <v>9</v>
      </c>
      <c r="I12" s="63">
        <f t="shared" si="33"/>
        <v>27</v>
      </c>
      <c r="J12" s="63">
        <f t="shared" si="34"/>
        <v>54</v>
      </c>
      <c r="K12" s="63">
        <f t="shared" si="35"/>
        <v>45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36"/>
        <v>[effect:enemy_message, val1:1, val2:2.2]</v>
      </c>
      <c r="N12" s="48" t="str">
        <f t="shared" si="37"/>
        <v>[effect:enemy_message, val1:1, val2:2.2]</v>
      </c>
      <c r="O12" s="63">
        <f t="shared" si="23"/>
        <v>9</v>
      </c>
      <c r="P12" s="63">
        <f t="shared" si="38"/>
        <v>22</v>
      </c>
      <c r="Q12" s="63" t="e">
        <f t="shared" si="39"/>
        <v>#VALUE!</v>
      </c>
      <c r="R12" s="63">
        <f t="shared" si="40"/>
        <v>30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41"/>
        <v>none</v>
      </c>
      <c r="U12" s="63" t="e">
        <f t="shared" si="28"/>
        <v>#VALUE!</v>
      </c>
      <c r="V12" s="63">
        <f t="shared" si="42"/>
        <v>4</v>
      </c>
      <c r="W12" s="63" t="e">
        <f t="shared" si="43"/>
        <v>#VALUE!</v>
      </c>
      <c r="X12" s="63" t="e">
        <f t="shared" si="4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28" customHeight="1" x14ac:dyDescent="0.15">
      <c r="A13" s="141">
        <v>30045012</v>
      </c>
      <c r="B13" s="141" t="s">
        <v>357</v>
      </c>
      <c r="C13" s="148">
        <v>3</v>
      </c>
      <c r="D13" s="148" t="s">
        <v>128</v>
      </c>
      <c r="E13" s="149" t="s">
        <v>268</v>
      </c>
      <c r="F13" s="149" t="s">
        <v>321</v>
      </c>
      <c r="G13" s="63" t="str">
        <f t="shared" si="32"/>
        <v>[effect:rush, count:3, val:0.3]</v>
      </c>
      <c r="H13" s="63">
        <f t="shared" si="17"/>
        <v>9</v>
      </c>
      <c r="I13" s="63">
        <f t="shared" si="33"/>
        <v>13</v>
      </c>
      <c r="J13" s="63" t="e">
        <f t="shared" si="34"/>
        <v>#VALUE!</v>
      </c>
      <c r="K13" s="63">
        <f t="shared" si="35"/>
        <v>22</v>
      </c>
      <c r="L13" s="63" t="str">
        <f>IFERROR(VLOOKUP(MID(G13,J13,K13-J13),[6]skilldef!$C:$D,2,FALSE),"-") &amp; " / " &amp; IFERROR(VLOOKUP(MID(G13,H13,I13-H13),[6]skilldef!$A:$B,2,FALSE),"-")</f>
        <v>- / 連続攻撃</v>
      </c>
      <c r="M13" s="63" t="str">
        <f t="shared" si="36"/>
        <v>[effect:force_change_block, new_block:jammer, target:block_all, ignore01:crash, ignore02:jammer, ignore03:crack_bomb, ignore04:time_bomb, ignore05:color_break, count:3, val:0, animation:change_block],[effect:enemy_message, val1:1, val2:2.4]</v>
      </c>
      <c r="N13" s="48" t="str">
        <f t="shared" si="37"/>
        <v>[effect:force_change_block, new_block:jammer, target:block_all, ignore01:crash, ignore02:jammer, ignore03:crack_bomb, ignore04:time_bomb, ignore05:color_break, count:3, val:0, animation:change_block],[effect:enemy_message, val1:1, val2:2.4]</v>
      </c>
      <c r="O13" s="63">
        <f t="shared" si="23"/>
        <v>9</v>
      </c>
      <c r="P13" s="63">
        <f t="shared" si="38"/>
        <v>27</v>
      </c>
      <c r="Q13" s="63">
        <f t="shared" si="39"/>
        <v>54</v>
      </c>
      <c r="R13" s="63">
        <f t="shared" si="40"/>
        <v>45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41"/>
        <v>[effect:enemy_message, val1:1, val2:2.4]</v>
      </c>
      <c r="U13" s="63">
        <f t="shared" si="28"/>
        <v>9</v>
      </c>
      <c r="V13" s="63">
        <f t="shared" si="42"/>
        <v>22</v>
      </c>
      <c r="W13" s="63" t="e">
        <f t="shared" si="43"/>
        <v>#VALUE!</v>
      </c>
      <c r="X13" s="63">
        <f t="shared" si="44"/>
        <v>30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28" customHeight="1" x14ac:dyDescent="0.15">
      <c r="A14" s="141">
        <v>30045013</v>
      </c>
      <c r="B14" s="141" t="s">
        <v>358</v>
      </c>
      <c r="C14" s="148">
        <v>3</v>
      </c>
      <c r="D14" s="148" t="s">
        <v>128</v>
      </c>
      <c r="E14" s="149" t="s">
        <v>269</v>
      </c>
      <c r="F14" s="149" t="s">
        <v>322</v>
      </c>
      <c r="G14" s="63" t="str">
        <f t="shared" si="32"/>
        <v>[effect:rush, count:2, val:0.5]</v>
      </c>
      <c r="H14" s="63">
        <f t="shared" si="17"/>
        <v>9</v>
      </c>
      <c r="I14" s="63">
        <f t="shared" si="33"/>
        <v>13</v>
      </c>
      <c r="J14" s="63" t="e">
        <f t="shared" si="34"/>
        <v>#VALUE!</v>
      </c>
      <c r="K14" s="63">
        <f t="shared" si="35"/>
        <v>22</v>
      </c>
      <c r="L14" s="63" t="str">
        <f>IFERROR(VLOOKUP(MID(G14,J14,K14-J14),[6]skilldef!$C:$D,2,FALSE),"-") &amp; " / " &amp; IFERROR(VLOOKUP(MID(G14,H14,I14-H14),[6]skilldef!$A:$B,2,FALSE),"-")</f>
        <v>- / 連続攻撃</v>
      </c>
      <c r="M14" s="63" t="str">
        <f t="shared" si="36"/>
        <v>[effect:force_change_block, new_block:jammer, target:block_all, ignore01:crash, ignore02:jammer, ignore03:crack_bomb, ignore04:time_bomb, ignore05:color_break, count:2, val:0, animation:change_block],[effect:enemy_message, val1:1, val2:2.4]</v>
      </c>
      <c r="N14" s="48" t="str">
        <f t="shared" si="37"/>
        <v>[effect:force_change_block, new_block:jammer, target:block_all, ignore01:crash, ignore02:jammer, ignore03:crack_bomb, ignore04:time_bomb, ignore05:color_break, count:2, val:0, animation:change_block],[effect:enemy_message, val1:1, val2:2.4]</v>
      </c>
      <c r="O14" s="63">
        <f t="shared" si="23"/>
        <v>9</v>
      </c>
      <c r="P14" s="63">
        <f t="shared" si="38"/>
        <v>27</v>
      </c>
      <c r="Q14" s="63">
        <f t="shared" si="39"/>
        <v>54</v>
      </c>
      <c r="R14" s="63">
        <f t="shared" si="40"/>
        <v>45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41"/>
        <v>[effect:enemy_message, val1:1, val2:2.4]</v>
      </c>
      <c r="U14" s="63">
        <f t="shared" si="28"/>
        <v>9</v>
      </c>
      <c r="V14" s="63">
        <f t="shared" si="42"/>
        <v>22</v>
      </c>
      <c r="W14" s="63" t="e">
        <f t="shared" si="43"/>
        <v>#VALUE!</v>
      </c>
      <c r="X14" s="63">
        <f t="shared" si="44"/>
        <v>30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28" customHeight="1" x14ac:dyDescent="0.15">
      <c r="A15" s="141">
        <v>30045014</v>
      </c>
      <c r="B15" s="141" t="s">
        <v>359</v>
      </c>
      <c r="C15" s="148">
        <v>3</v>
      </c>
      <c r="D15" s="148" t="s">
        <v>128</v>
      </c>
      <c r="E15" s="149" t="s">
        <v>272</v>
      </c>
      <c r="F15" s="149" t="s">
        <v>323</v>
      </c>
      <c r="G15" s="63" t="str">
        <f t="shared" si="32"/>
        <v>[effect:rush, count:1, val:1.25]</v>
      </c>
      <c r="H15" s="63">
        <f t="shared" si="17"/>
        <v>9</v>
      </c>
      <c r="I15" s="63">
        <f t="shared" si="33"/>
        <v>13</v>
      </c>
      <c r="J15" s="63" t="e">
        <f t="shared" si="34"/>
        <v>#VALUE!</v>
      </c>
      <c r="K15" s="63">
        <f t="shared" si="35"/>
        <v>22</v>
      </c>
      <c r="L15" s="63" t="str">
        <f>IFERROR(VLOOKUP(MID(G15,J15,K15-J15),[6]skilldef!$C:$D,2,FALSE),"-") &amp; " / " &amp; IFERROR(VLOOKUP(MID(G15,H15,I15-H15),[6]skilldef!$A:$B,2,FALSE),"-")</f>
        <v>- / 連続攻撃</v>
      </c>
      <c r="M15" s="63" t="str">
        <f t="shared" si="36"/>
        <v>[effect:force_change_block, new_block:jammer, target:block_all, ignore01:crash, ignore02:jammer, ignore03:crack_bomb, ignore04:time_bomb, ignore05:color_break, count:1, val:0, animation:change_block],[effect:enemy_message, val1:1, val2:2.4]</v>
      </c>
      <c r="N15" s="48" t="str">
        <f t="shared" si="37"/>
        <v>[effect:force_change_block, new_block:jammer, target:block_all, ignore01:crash, ignore02:jammer, ignore03:crack_bomb, ignore04:time_bomb, ignore05:color_break, count:1, val:0, animation:change_block],[effect:enemy_message, val1:1, val2:2.4]</v>
      </c>
      <c r="O15" s="63">
        <f t="shared" si="23"/>
        <v>9</v>
      </c>
      <c r="P15" s="63">
        <f t="shared" si="38"/>
        <v>27</v>
      </c>
      <c r="Q15" s="63">
        <f t="shared" si="39"/>
        <v>54</v>
      </c>
      <c r="R15" s="63">
        <f t="shared" si="40"/>
        <v>45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41"/>
        <v>[effect:enemy_message, val1:1, val2:2.4]</v>
      </c>
      <c r="U15" s="63">
        <f t="shared" si="28"/>
        <v>9</v>
      </c>
      <c r="V15" s="63">
        <f t="shared" si="42"/>
        <v>22</v>
      </c>
      <c r="W15" s="63" t="e">
        <f t="shared" si="43"/>
        <v>#VALUE!</v>
      </c>
      <c r="X15" s="63">
        <f t="shared" si="44"/>
        <v>30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28" customHeight="1" x14ac:dyDescent="0.15">
      <c r="A16" s="128">
        <v>30045015</v>
      </c>
      <c r="B16" s="128" t="s">
        <v>350</v>
      </c>
      <c r="C16" s="129">
        <v>3</v>
      </c>
      <c r="D16" s="129" t="s">
        <v>128</v>
      </c>
      <c r="E16" s="130" t="s">
        <v>299</v>
      </c>
      <c r="F16" s="130" t="s">
        <v>295</v>
      </c>
      <c r="G16" s="63" t="str">
        <f t="shared" si="32"/>
        <v>[effect:force_change_block, new_block:time_bomb, target:block_blue, ignore01:crash, ignore02:crack_bomb, ignore03:jammer, ignore04:time_bomb, ignore05:color_break, count:7, val:0.3, animation:change_block]</v>
      </c>
      <c r="H16" s="63">
        <f t="shared" si="17"/>
        <v>9</v>
      </c>
      <c r="I16" s="63">
        <f t="shared" si="33"/>
        <v>27</v>
      </c>
      <c r="J16" s="63">
        <f t="shared" si="34"/>
        <v>57</v>
      </c>
      <c r="K16" s="63">
        <f t="shared" si="35"/>
        <v>48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36"/>
        <v>[effect:enemy_message, val1:1, val2:2.4]</v>
      </c>
      <c r="N16" s="48" t="str">
        <f t="shared" si="37"/>
        <v>[effect:enemy_message, val1:1, val2:2.4]</v>
      </c>
      <c r="O16" s="63">
        <f t="shared" si="23"/>
        <v>9</v>
      </c>
      <c r="P16" s="63">
        <f t="shared" si="38"/>
        <v>22</v>
      </c>
      <c r="Q16" s="63" t="e">
        <f t="shared" si="39"/>
        <v>#VALUE!</v>
      </c>
      <c r="R16" s="63">
        <f t="shared" si="40"/>
        <v>30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41"/>
        <v>none</v>
      </c>
      <c r="U16" s="63" t="e">
        <f t="shared" si="28"/>
        <v>#VALUE!</v>
      </c>
      <c r="V16" s="63">
        <f t="shared" si="42"/>
        <v>4</v>
      </c>
      <c r="W16" s="63" t="e">
        <f t="shared" si="43"/>
        <v>#VALUE!</v>
      </c>
      <c r="X16" s="63" t="e">
        <f t="shared" si="4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28" customHeight="1" x14ac:dyDescent="0.15">
      <c r="A17" s="128">
        <v>30045016</v>
      </c>
      <c r="B17" s="128" t="s">
        <v>349</v>
      </c>
      <c r="C17" s="129">
        <v>3</v>
      </c>
      <c r="D17" s="129" t="s">
        <v>128</v>
      </c>
      <c r="E17" s="130" t="s">
        <v>300</v>
      </c>
      <c r="F17" s="130" t="s">
        <v>333</v>
      </c>
      <c r="G17" s="63" t="str">
        <f t="shared" ref="G17:G24" si="45">IFERROR(LEFT(B17,FIND("],",B17)),B17)</f>
        <v>[effect:force_change_block, new_block:jammer, target:block_yellow, ignore01:crash, ignore02:crack_bomb, ignore03:jammer, ignore04:time_bomb, ignore05:color_break, count:10, val:0, animation:change_block]</v>
      </c>
      <c r="H17" s="63">
        <f t="shared" si="17"/>
        <v>9</v>
      </c>
      <c r="I17" s="63">
        <f t="shared" ref="I17:I24" si="46">IFERROR(FIND(",",G17),LEN(G17))</f>
        <v>27</v>
      </c>
      <c r="J17" s="63">
        <f t="shared" ref="J17:J24" si="47">FIND("target:",G17)+7</f>
        <v>54</v>
      </c>
      <c r="K17" s="63">
        <f t="shared" ref="K17:K24" si="48">FIND(",",G17,I17+1)</f>
        <v>45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ref="M17:M24" si="49">IFERROR(RIGHT(B17,LEN(B17)-FIND("],",B17)-1),"none")</f>
        <v>[effect:enemy_message, val1:1, val2:2.2]</v>
      </c>
      <c r="N17" s="48" t="str">
        <f t="shared" ref="N17:N20" si="50">IFERROR(LEFT(M17,FIND("],",M17)+S27),M17)</f>
        <v>[effect:enemy_message, val1:1, val2:2.2]</v>
      </c>
      <c r="O17" s="63">
        <f t="shared" si="23"/>
        <v>9</v>
      </c>
      <c r="P17" s="63">
        <f t="shared" ref="P17:P24" si="51">IFERROR(FIND(",",N17),LEN(N17))</f>
        <v>22</v>
      </c>
      <c r="Q17" s="63" t="e">
        <f t="shared" ref="Q17:Q24" si="52">FIND("target:",N17)+7</f>
        <v>#VALUE!</v>
      </c>
      <c r="R17" s="63">
        <f t="shared" ref="R17:R24" si="53">FIND(",",N17,P17+1)</f>
        <v>30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ref="T17:T24" si="54">IFERROR(RIGHT(M17,LEN(M17)-FIND("],",M17)-1),"none")</f>
        <v>none</v>
      </c>
      <c r="U17" s="63" t="e">
        <f t="shared" si="28"/>
        <v>#VALUE!</v>
      </c>
      <c r="V17" s="63">
        <f t="shared" ref="V17:V24" si="55">IFERROR(FIND(",",T17),LEN(T17))</f>
        <v>4</v>
      </c>
      <c r="W17" s="63" t="e">
        <f t="shared" ref="W17:W24" si="56">FIND("target:",T17)+7</f>
        <v>#VALUE!</v>
      </c>
      <c r="X17" s="63" t="e">
        <f t="shared" ref="X17:X24" si="57">FIND(",",T17,V17+1)</f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28" customHeight="1" x14ac:dyDescent="0.15">
      <c r="A18" s="128">
        <v>30045017</v>
      </c>
      <c r="B18" s="128" t="s">
        <v>348</v>
      </c>
      <c r="C18" s="129">
        <v>3</v>
      </c>
      <c r="D18" s="129" t="s">
        <v>128</v>
      </c>
      <c r="E18" s="130" t="s">
        <v>303</v>
      </c>
      <c r="F18" s="130" t="s">
        <v>283</v>
      </c>
      <c r="G18" s="63" t="str">
        <f t="shared" si="45"/>
        <v>[effect:rush, count:1, val:1.0]</v>
      </c>
      <c r="H18" s="63">
        <f t="shared" si="17"/>
        <v>9</v>
      </c>
      <c r="I18" s="63">
        <f t="shared" si="46"/>
        <v>13</v>
      </c>
      <c r="J18" s="63" t="e">
        <f t="shared" si="47"/>
        <v>#VALUE!</v>
      </c>
      <c r="K18" s="63">
        <f t="shared" si="48"/>
        <v>22</v>
      </c>
      <c r="L18" s="63" t="str">
        <f>IFERROR(VLOOKUP(MID(G18,J18,K18-J18),[6]skilldef!$C:$D,2,FALSE),"-") &amp; " / " &amp; IFERROR(VLOOKUP(MID(G18,H18,I18-H18),[6]skilldef!$A:$B,2,FALSE),"-")</f>
        <v>- / 連続攻撃</v>
      </c>
      <c r="M18" s="63" t="str">
        <f t="shared" si="49"/>
        <v>[effect:force_change_block, new_block:jammer, target:block_yellow, ignore01:crash, ignore02:crack_bomb, ignore03:jammer, ignore04:time_bomb, ignore05:color_break, count:5, val:0, animation:change_block],[effect:enemy_message, val1:1, val2:2.4]</v>
      </c>
      <c r="N18" s="48" t="str">
        <f t="shared" si="50"/>
        <v>[effect:force_change_block, new_block:jammer, target:block_yellow, ignore01:crash, ignore02:crack_bomb, ignore03:jammer, ignore04:time_bomb, ignore05:color_break, count:5, val:0, animation:change_block],[effect:enemy_message, val1:1, val2:2.4]</v>
      </c>
      <c r="O18" s="63">
        <f t="shared" si="23"/>
        <v>9</v>
      </c>
      <c r="P18" s="63">
        <f t="shared" si="51"/>
        <v>27</v>
      </c>
      <c r="Q18" s="63">
        <f t="shared" si="52"/>
        <v>54</v>
      </c>
      <c r="R18" s="63">
        <f t="shared" si="53"/>
        <v>45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54"/>
        <v>[effect:enemy_message, val1:1, val2:2.4]</v>
      </c>
      <c r="U18" s="63">
        <f t="shared" si="28"/>
        <v>9</v>
      </c>
      <c r="V18" s="63">
        <f t="shared" si="55"/>
        <v>22</v>
      </c>
      <c r="W18" s="63" t="e">
        <f t="shared" si="56"/>
        <v>#VALUE!</v>
      </c>
      <c r="X18" s="63">
        <f t="shared" si="57"/>
        <v>30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ht="28" customHeight="1" x14ac:dyDescent="0.15">
      <c r="A19" s="128">
        <v>30045018</v>
      </c>
      <c r="B19" s="128" t="s">
        <v>332</v>
      </c>
      <c r="C19" s="129">
        <v>3</v>
      </c>
      <c r="D19" s="129" t="s">
        <v>128</v>
      </c>
      <c r="E19" s="170" t="s">
        <v>302</v>
      </c>
      <c r="F19" s="130" t="s">
        <v>256</v>
      </c>
      <c r="G19" s="63" t="str">
        <f t="shared" si="45"/>
        <v>[effect:spread, val:0.25]</v>
      </c>
      <c r="H19" s="63">
        <f t="shared" si="17"/>
        <v>9</v>
      </c>
      <c r="I19" s="63">
        <f t="shared" si="46"/>
        <v>15</v>
      </c>
      <c r="J19" s="63" t="e">
        <f t="shared" si="47"/>
        <v>#VALUE!</v>
      </c>
      <c r="K19" s="63" t="e">
        <f t="shared" si="48"/>
        <v>#VALUE!</v>
      </c>
      <c r="L19" s="63" t="str">
        <f>IFERROR(VLOOKUP(MID(G19,J19,K19-J19),[6]skilldef!$C:$D,2,FALSE),"-") &amp; " / " &amp; IFERROR(VLOOKUP(MID(G19,H19,I19-H19),[6]skilldef!$A:$B,2,FALSE),"-")</f>
        <v>- / 全体攻撃</v>
      </c>
      <c r="M19" s="63" t="str">
        <f t="shared" si="49"/>
        <v>[effect:force_change_block, new_block:time_bomb, target:block_yellow, ignore01:crash, ignore02:crack_bomb, ignore03:jammer, ignore04:time_bomb, ignore05:color_break, color:block_green, count:6, val:0.3, animation:change_block],[effect:enemy_message, val1:1, val2:2.4]</v>
      </c>
      <c r="N19" s="48" t="str">
        <f t="shared" si="50"/>
        <v>[effect:force_change_block, new_block:time_bomb, target:block_yellow, ignore01:crash, ignore02:crack_bomb, ignore03:jammer, ignore04:time_bomb, ignore05:color_break, color:block_green, count:6, val:0.3, animation:change_block],[effect:enemy_message, val1:1, val2:2.4]</v>
      </c>
      <c r="O19" s="63">
        <f t="shared" si="23"/>
        <v>9</v>
      </c>
      <c r="P19" s="63">
        <f t="shared" si="51"/>
        <v>27</v>
      </c>
      <c r="Q19" s="63">
        <f t="shared" si="52"/>
        <v>57</v>
      </c>
      <c r="R19" s="63">
        <f t="shared" si="53"/>
        <v>48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54"/>
        <v>[effect:enemy_message, val1:1, val2:2.4]</v>
      </c>
      <c r="U19" s="63">
        <f t="shared" si="28"/>
        <v>9</v>
      </c>
      <c r="V19" s="63">
        <f t="shared" si="55"/>
        <v>22</v>
      </c>
      <c r="W19" s="63" t="e">
        <f t="shared" si="56"/>
        <v>#VALUE!</v>
      </c>
      <c r="X19" s="63">
        <f t="shared" si="57"/>
        <v>30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28" customHeight="1" x14ac:dyDescent="0.15">
      <c r="A20" s="128">
        <v>30045019</v>
      </c>
      <c r="B20" s="128" t="s">
        <v>347</v>
      </c>
      <c r="C20" s="129">
        <v>3</v>
      </c>
      <c r="D20" s="129" t="s">
        <v>128</v>
      </c>
      <c r="E20" s="130" t="s">
        <v>301</v>
      </c>
      <c r="F20" s="130" t="s">
        <v>284</v>
      </c>
      <c r="G20" s="63" t="str">
        <f t="shared" si="45"/>
        <v>[effect:rush, count:1, val:1.0]</v>
      </c>
      <c r="H20" s="63">
        <f t="shared" si="17"/>
        <v>9</v>
      </c>
      <c r="I20" s="63">
        <f t="shared" si="46"/>
        <v>13</v>
      </c>
      <c r="J20" s="63" t="e">
        <f t="shared" si="47"/>
        <v>#VALUE!</v>
      </c>
      <c r="K20" s="63">
        <f t="shared" si="48"/>
        <v>22</v>
      </c>
      <c r="L20" s="63" t="str">
        <f>IFERROR(VLOOKUP(MID(G20,J20,K20-J20),[6]skilldef!$C:$D,2,FALSE),"-") &amp; " / " &amp; IFERROR(VLOOKUP(MID(G20,H20,I20-H20),[6]skilldef!$A:$B,2,FALSE),"-")</f>
        <v>- / 連続攻撃</v>
      </c>
      <c r="M20" s="63" t="str">
        <f t="shared" si="49"/>
        <v>[effect:force_change_block, new_block:jammer, target:block_blue, ignore01:crash, ignore02:crack_bomb, ignore03:jammer, ignore04:time_bomb, ignore05:color_break, count:5, val:0, animation:change_block],[effect:enemy_message, val1:1, val2:2.4]</v>
      </c>
      <c r="N20" s="48" t="str">
        <f t="shared" si="50"/>
        <v>[effect:force_change_block, new_block:jammer, target:block_blue, ignore01:crash, ignore02:crack_bomb, ignore03:jammer, ignore04:time_bomb, ignore05:color_break, count:5, val:0, animation:change_block],[effect:enemy_message, val1:1, val2:2.4]</v>
      </c>
      <c r="O20" s="63">
        <f t="shared" si="23"/>
        <v>9</v>
      </c>
      <c r="P20" s="63">
        <f t="shared" si="51"/>
        <v>27</v>
      </c>
      <c r="Q20" s="63">
        <f t="shared" si="52"/>
        <v>54</v>
      </c>
      <c r="R20" s="63">
        <f t="shared" si="53"/>
        <v>45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54"/>
        <v>[effect:enemy_message, val1:1, val2:2.4]</v>
      </c>
      <c r="U20" s="63">
        <f t="shared" si="28"/>
        <v>9</v>
      </c>
      <c r="V20" s="63">
        <f t="shared" si="55"/>
        <v>22</v>
      </c>
      <c r="W20" s="63" t="e">
        <f t="shared" si="56"/>
        <v>#VALUE!</v>
      </c>
      <c r="X20" s="63">
        <f t="shared" si="57"/>
        <v>30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28" customHeight="1" thickBot="1" x14ac:dyDescent="0.2">
      <c r="A21" s="156">
        <v>30045020</v>
      </c>
      <c r="B21" s="156" t="s">
        <v>346</v>
      </c>
      <c r="C21" s="157">
        <v>3</v>
      </c>
      <c r="D21" s="157" t="s">
        <v>128</v>
      </c>
      <c r="E21" s="171" t="s">
        <v>305</v>
      </c>
      <c r="F21" s="158" t="s">
        <v>331</v>
      </c>
      <c r="G21" s="63" t="str">
        <f t="shared" si="45"/>
        <v>[effect:spread, val:0.25]</v>
      </c>
      <c r="H21" s="63">
        <f t="shared" si="17"/>
        <v>9</v>
      </c>
      <c r="I21" s="63">
        <f t="shared" si="46"/>
        <v>15</v>
      </c>
      <c r="J21" s="63" t="e">
        <f t="shared" si="47"/>
        <v>#VALUE!</v>
      </c>
      <c r="K21" s="63" t="e">
        <f t="shared" si="48"/>
        <v>#VALUE!</v>
      </c>
      <c r="L21" s="63" t="str">
        <f>IFERROR(VLOOKUP(MID(G21,J21,K21-J21),[6]skilldef!$C:$D,2,FALSE),"-") &amp; " / " &amp; IFERROR(VLOOKUP(MID(G21,H21,I21-H21),[6]skilldef!$A:$B,2,FALSE),"-")</f>
        <v>- / 全体攻撃</v>
      </c>
      <c r="M21" s="63" t="str">
        <f t="shared" si="49"/>
        <v>[effect:force_change_block, new_block:time_bomb, target:block_blue, ignore01:crash, ignore02:crack_bomb, ignore03:jammer, ignore04:time_bomb, ignore05:color_break, color:block_green, count:6, val:0.3, animation:change_block],[effect:enemy_message, val1:1, val2:2.4]</v>
      </c>
      <c r="N21" s="48" t="str">
        <f>IFERROR(LEFT(M21,FIND("],",M21)+#REF!),M21)</f>
        <v>[effect:force_change_block, new_block:time_bomb, target:block_blue, ignore01:crash, ignore02:crack_bomb, ignore03:jammer, ignore04:time_bomb, ignore05:color_break, color:block_green, count:6, val:0.3, animation:change_block],[effect:enemy_message, val1:1, val2:2.4]</v>
      </c>
      <c r="O21" s="63">
        <f t="shared" si="23"/>
        <v>9</v>
      </c>
      <c r="P21" s="63">
        <f t="shared" si="51"/>
        <v>27</v>
      </c>
      <c r="Q21" s="63">
        <f t="shared" si="52"/>
        <v>57</v>
      </c>
      <c r="R21" s="63">
        <f t="shared" si="53"/>
        <v>48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54"/>
        <v>[effect:enemy_message, val1:1, val2:2.4]</v>
      </c>
      <c r="U21" s="63">
        <f t="shared" si="28"/>
        <v>9</v>
      </c>
      <c r="V21" s="63">
        <f t="shared" si="55"/>
        <v>22</v>
      </c>
      <c r="W21" s="63" t="e">
        <f t="shared" si="56"/>
        <v>#VALUE!</v>
      </c>
      <c r="X21" s="63">
        <f t="shared" si="57"/>
        <v>30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28" customHeight="1" x14ac:dyDescent="0.15">
      <c r="A22" s="153">
        <v>30045025</v>
      </c>
      <c r="B22" s="153" t="s">
        <v>334</v>
      </c>
      <c r="C22" s="154">
        <v>3</v>
      </c>
      <c r="D22" s="154" t="s">
        <v>128</v>
      </c>
      <c r="E22" s="155" t="s">
        <v>289</v>
      </c>
      <c r="F22" s="155" t="s">
        <v>257</v>
      </c>
      <c r="G22" s="63" t="str">
        <f t="shared" si="45"/>
        <v>[effect:force_change_block, new_block:jammer, target:block_yellow, ignore01:crash, ignore02:crack_bomb, ignore03:jammer, ignore04:time_bomb, ignore05:color_break,  count:10, val:0, animation:change_block]</v>
      </c>
      <c r="H22" s="63">
        <f t="shared" si="17"/>
        <v>9</v>
      </c>
      <c r="I22" s="63">
        <f t="shared" si="46"/>
        <v>27</v>
      </c>
      <c r="J22" s="63">
        <f t="shared" si="47"/>
        <v>54</v>
      </c>
      <c r="K22" s="63">
        <f t="shared" si="48"/>
        <v>45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49"/>
        <v>[effect:enemy_message, val1:1, val2:2.4]</v>
      </c>
      <c r="N22" s="48" t="str">
        <f t="shared" ref="N22:N30" si="58">IFERROR(LEFT(M22,FIND("],",M22)+S31),M22)</f>
        <v>[effect:enemy_message, val1:1, val2:2.4]</v>
      </c>
      <c r="O22" s="63">
        <f t="shared" si="23"/>
        <v>9</v>
      </c>
      <c r="P22" s="63">
        <f t="shared" si="51"/>
        <v>22</v>
      </c>
      <c r="Q22" s="63" t="e">
        <f t="shared" si="52"/>
        <v>#VALUE!</v>
      </c>
      <c r="R22" s="63">
        <f t="shared" si="53"/>
        <v>30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54"/>
        <v>none</v>
      </c>
      <c r="U22" s="63" t="e">
        <f t="shared" si="28"/>
        <v>#VALUE!</v>
      </c>
      <c r="V22" s="63">
        <f t="shared" si="55"/>
        <v>4</v>
      </c>
      <c r="W22" s="63" t="e">
        <f t="shared" si="56"/>
        <v>#VALUE!</v>
      </c>
      <c r="X22" s="63" t="e">
        <f t="shared" si="57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28" customHeight="1" x14ac:dyDescent="0.15">
      <c r="A23" s="150">
        <v>30045026</v>
      </c>
      <c r="B23" s="150" t="s">
        <v>344</v>
      </c>
      <c r="C23" s="151">
        <v>3</v>
      </c>
      <c r="D23" s="151" t="s">
        <v>128</v>
      </c>
      <c r="E23" s="152" t="s">
        <v>291</v>
      </c>
      <c r="F23" s="152" t="s">
        <v>342</v>
      </c>
      <c r="G23" s="63" t="str">
        <f t="shared" si="45"/>
        <v>[effect:force_change_block, new_block:jammer, target:block_all, ignore01:crash, ignore02:time_bomb, ignore03:jammer, ignore04:crack_bomb, ignore05:color_break, count:3, val:0, animation:change_block]</v>
      </c>
      <c r="H23" s="63">
        <f t="shared" si="17"/>
        <v>9</v>
      </c>
      <c r="I23" s="63">
        <f t="shared" si="46"/>
        <v>27</v>
      </c>
      <c r="J23" s="63">
        <f t="shared" si="47"/>
        <v>54</v>
      </c>
      <c r="K23" s="63">
        <f t="shared" si="48"/>
        <v>45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49"/>
        <v>[effect:force_change_block, new_block:time_bomb, target:block_all, ignore01:crash, ignore02:time_bomb, ignore03:jammer, ignore04:crack_bomb, ignore05:color_break,  count:5, val:0.35, animation:change_block],[effect:critical, val:2.5, animation:enemy_critical],[effect:fix_speed, target:myself, turn:1],[effect:enemy_message, val1:2, val2:3.5]</v>
      </c>
      <c r="N23" s="48" t="str">
        <f t="shared" si="58"/>
        <v>[effect:force_change_block, new_block:time_bomb, target:block_all, ignore01:crash, ignore02:time_bomb, ignore03:jammer, ignore04:crack_bomb, ignore05:color_break,  count:5, val:0.35, animation:change_block]</v>
      </c>
      <c r="O23" s="63">
        <f t="shared" si="23"/>
        <v>9</v>
      </c>
      <c r="P23" s="63">
        <f t="shared" si="51"/>
        <v>27</v>
      </c>
      <c r="Q23" s="63">
        <f t="shared" si="52"/>
        <v>57</v>
      </c>
      <c r="R23" s="63">
        <f t="shared" si="53"/>
        <v>48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54"/>
        <v>[effect:critical, val:2.5, animation:enemy_critical],[effect:fix_speed, target:myself, turn:1],[effect:enemy_message, val1:2, val2:3.5]</v>
      </c>
      <c r="U23" s="63">
        <f t="shared" si="28"/>
        <v>9</v>
      </c>
      <c r="V23" s="63">
        <f t="shared" si="55"/>
        <v>17</v>
      </c>
      <c r="W23" s="63">
        <f t="shared" si="56"/>
        <v>80</v>
      </c>
      <c r="X23" s="63">
        <f t="shared" si="57"/>
        <v>26</v>
      </c>
      <c r="Y23" s="63" t="str">
        <f>IFERROR(VLOOKUP(MID(T23,W23,X23-W23),[6]skilldef!$C:$D,2,FALSE),"-") &amp; " / " &amp; IFERROR(VLOOKUP(MID(T23,U23,V23-U23),[6]skilldef!$A:$B,2,FALSE),"-")</f>
        <v>- / 大攻撃</v>
      </c>
      <c r="Z23" s="50"/>
      <c r="AA23" s="51"/>
      <c r="AB23" s="50"/>
    </row>
    <row r="24" spans="1:28" ht="28" customHeight="1" x14ac:dyDescent="0.15">
      <c r="A24" s="150">
        <v>30045027</v>
      </c>
      <c r="B24" s="150" t="s">
        <v>360</v>
      </c>
      <c r="C24" s="151">
        <v>3</v>
      </c>
      <c r="D24" s="151" t="s">
        <v>128</v>
      </c>
      <c r="E24" s="152" t="s">
        <v>290</v>
      </c>
      <c r="F24" s="161" t="s">
        <v>324</v>
      </c>
      <c r="G24" s="63" t="str">
        <f t="shared" si="45"/>
        <v>[effect:force_change_block, new_block:jammer, target:block_all, ignore01:crash, ignore02:crack_bomb, ignore03:jammer, ignore04:time_bomb, ignore05:color_break, count:15, val:0, animation:change_block]</v>
      </c>
      <c r="H24" s="63">
        <f t="shared" si="17"/>
        <v>9</v>
      </c>
      <c r="I24" s="63">
        <f t="shared" si="46"/>
        <v>27</v>
      </c>
      <c r="J24" s="63">
        <f t="shared" si="47"/>
        <v>54</v>
      </c>
      <c r="K24" s="63">
        <f t="shared" si="48"/>
        <v>45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49"/>
        <v>[effect:enemy_message, val1:1, val2:2.2]</v>
      </c>
      <c r="N24" s="48" t="str">
        <f t="shared" si="58"/>
        <v>[effect:enemy_message, val1:1, val2:2.2]</v>
      </c>
      <c r="O24" s="63">
        <f t="shared" si="23"/>
        <v>9</v>
      </c>
      <c r="P24" s="63">
        <f t="shared" si="51"/>
        <v>22</v>
      </c>
      <c r="Q24" s="63" t="e">
        <f t="shared" si="52"/>
        <v>#VALUE!</v>
      </c>
      <c r="R24" s="63">
        <f t="shared" si="53"/>
        <v>30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54"/>
        <v>none</v>
      </c>
      <c r="U24" s="63" t="e">
        <f t="shared" si="28"/>
        <v>#VALUE!</v>
      </c>
      <c r="V24" s="63">
        <f t="shared" si="55"/>
        <v>4</v>
      </c>
      <c r="W24" s="63" t="e">
        <f t="shared" si="56"/>
        <v>#VALUE!</v>
      </c>
      <c r="X24" s="63" t="e">
        <f t="shared" si="57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28" customHeight="1" x14ac:dyDescent="0.15">
      <c r="A25" s="150">
        <v>30045028</v>
      </c>
      <c r="B25" s="150" t="s">
        <v>335</v>
      </c>
      <c r="C25" s="151">
        <v>3</v>
      </c>
      <c r="D25" s="151" t="s">
        <v>128</v>
      </c>
      <c r="E25" s="152" t="s">
        <v>341</v>
      </c>
      <c r="F25" s="152" t="s">
        <v>308</v>
      </c>
      <c r="G25" s="63" t="str">
        <f t="shared" ref="G25:G27" si="59">IFERROR(LEFT(B25,FIND("],",B25)),B25)</f>
        <v>[effect:spread, val:0.33]</v>
      </c>
      <c r="H25" s="63">
        <f t="shared" si="17"/>
        <v>9</v>
      </c>
      <c r="I25" s="63">
        <f t="shared" ref="I25:I27" si="60">IFERROR(FIND(",",G25),LEN(G25))</f>
        <v>15</v>
      </c>
      <c r="J25" s="63" t="e">
        <f t="shared" ref="J25:J27" si="61">FIND("target:",G25)+7</f>
        <v>#VALUE!</v>
      </c>
      <c r="K25" s="63" t="e">
        <f t="shared" ref="K25:K27" si="62">FIND(",",G25,I25+1)</f>
        <v>#VALUE!</v>
      </c>
      <c r="L25" s="63" t="str">
        <f>IFERROR(VLOOKUP(MID(G25,J25,K25-J25),[6]skilldef!$C:$D,2,FALSE),"-") &amp; " / " &amp; IFERROR(VLOOKUP(MID(G25,H25,I25-H25),[6]skilldef!$A:$B,2,FALSE),"-")</f>
        <v>- / 全体攻撃</v>
      </c>
      <c r="M25" s="63" t="str">
        <f t="shared" ref="M25:M27" si="63">IFERROR(RIGHT(B25,LEN(B25)-FIND("],",B25)-1),"none")</f>
        <v>[effect:force_change_block, new_block:time_bomb, target:block_blue, ignore01:crash, ignore02:crack_bomb, ignore03:jammer, ignore04:time_bomb, ignore05:color_break, color:block_blue, count:10, val:0.35, animation:change_block],[effect:enemy_message, val1:1, val2:2.4]</v>
      </c>
      <c r="N25" s="48" t="str">
        <f t="shared" si="58"/>
        <v>[effect:force_change_block, new_block:time_bomb, target:block_blue, ignore01:crash, ignore02:crack_bomb, ignore03:jammer, ignore04:time_bomb, ignore05:color_break, color:block_blue, count:10, val:0.35, animation:change_block]</v>
      </c>
      <c r="O25" s="63">
        <f t="shared" si="23"/>
        <v>9</v>
      </c>
      <c r="P25" s="63">
        <f t="shared" ref="P25:P27" si="64">IFERROR(FIND(",",N25),LEN(N25))</f>
        <v>27</v>
      </c>
      <c r="Q25" s="63">
        <f t="shared" ref="Q25:Q27" si="65">FIND("target:",N25)+7</f>
        <v>57</v>
      </c>
      <c r="R25" s="63">
        <f t="shared" ref="R25:R27" si="66">FIND(",",N25,P25+1)</f>
        <v>48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ref="T25:T27" si="67">IFERROR(RIGHT(M25,LEN(M25)-FIND("],",M25)-1),"none")</f>
        <v>[effect:enemy_message, val1:1, val2:2.4]</v>
      </c>
      <c r="U25" s="63">
        <f t="shared" si="28"/>
        <v>9</v>
      </c>
      <c r="V25" s="63">
        <f t="shared" ref="V25:V27" si="68">IFERROR(FIND(",",T25),LEN(T25))</f>
        <v>22</v>
      </c>
      <c r="W25" s="63" t="e">
        <f t="shared" ref="W25:W27" si="69">FIND("target:",T25)+7</f>
        <v>#VALUE!</v>
      </c>
      <c r="X25" s="63">
        <f t="shared" ref="X25:X27" si="70">FIND(",",T25,V25+1)</f>
        <v>30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28" customHeight="1" x14ac:dyDescent="0.15">
      <c r="A26" s="150">
        <v>30045029</v>
      </c>
      <c r="B26" s="150" t="s">
        <v>336</v>
      </c>
      <c r="C26" s="151">
        <v>3</v>
      </c>
      <c r="D26" s="151" t="s">
        <v>128</v>
      </c>
      <c r="E26" s="152" t="s">
        <v>280</v>
      </c>
      <c r="F26" s="161" t="s">
        <v>309</v>
      </c>
      <c r="G26" s="63" t="str">
        <f t="shared" si="59"/>
        <v>[effect:rush, count:1, val:1.1]</v>
      </c>
      <c r="H26" s="63">
        <f t="shared" si="17"/>
        <v>9</v>
      </c>
      <c r="I26" s="63">
        <f t="shared" si="60"/>
        <v>13</v>
      </c>
      <c r="J26" s="63" t="e">
        <f t="shared" si="61"/>
        <v>#VALUE!</v>
      </c>
      <c r="K26" s="63">
        <f t="shared" si="62"/>
        <v>22</v>
      </c>
      <c r="L26" s="63" t="str">
        <f>IFERROR(VLOOKUP(MID(G26,J26,K26-J26),[6]skilldef!$C:$D,2,FALSE),"-") &amp; " / " &amp; IFERROR(VLOOKUP(MID(G26,H26,I26-H26),[6]skilldef!$A:$B,2,FALSE),"-")</f>
        <v>- / 連続攻撃</v>
      </c>
      <c r="M26" s="63" t="str">
        <f t="shared" si="63"/>
        <v>[effect:force_change_block, new_block:jammer, target:block_blue, ignore01:crash, ignore02:crack_bomb, ignore03:jammer, ignore04:time_bomb, ignore05:color_break, count:5, val:0, animation:change_block],[effect:enemy_message, val1:1, val2:2.4]</v>
      </c>
      <c r="N26" s="48" t="str">
        <f t="shared" si="58"/>
        <v>[effect:force_change_block, new_block:jammer, target:block_blue, ignore01:crash, ignore02:crack_bomb, ignore03:jammer, ignore04:time_bomb, ignore05:color_break, count:5, val:0, animation:change_block]</v>
      </c>
      <c r="O26" s="63">
        <f t="shared" si="23"/>
        <v>9</v>
      </c>
      <c r="P26" s="63">
        <f t="shared" si="64"/>
        <v>27</v>
      </c>
      <c r="Q26" s="63">
        <f t="shared" si="65"/>
        <v>54</v>
      </c>
      <c r="R26" s="63">
        <f t="shared" si="66"/>
        <v>45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67"/>
        <v>[effect:enemy_message, val1:1, val2:2.4]</v>
      </c>
      <c r="U26" s="63">
        <f t="shared" si="28"/>
        <v>9</v>
      </c>
      <c r="V26" s="63">
        <f t="shared" si="68"/>
        <v>22</v>
      </c>
      <c r="W26" s="63" t="e">
        <f t="shared" si="69"/>
        <v>#VALUE!</v>
      </c>
      <c r="X26" s="63">
        <f t="shared" si="70"/>
        <v>30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28" customHeight="1" x14ac:dyDescent="0.15">
      <c r="A27" s="150">
        <v>30045030</v>
      </c>
      <c r="B27" s="150" t="s">
        <v>337</v>
      </c>
      <c r="C27" s="151">
        <v>3</v>
      </c>
      <c r="D27" s="151" t="s">
        <v>128</v>
      </c>
      <c r="E27" s="152" t="s">
        <v>279</v>
      </c>
      <c r="F27" s="152" t="s">
        <v>277</v>
      </c>
      <c r="G27" s="63" t="str">
        <f t="shared" si="59"/>
        <v>[effect:spread, val:0.33]</v>
      </c>
      <c r="H27" s="63">
        <f t="shared" si="17"/>
        <v>9</v>
      </c>
      <c r="I27" s="63">
        <f t="shared" si="60"/>
        <v>15</v>
      </c>
      <c r="J27" s="63" t="e">
        <f t="shared" si="61"/>
        <v>#VALUE!</v>
      </c>
      <c r="K27" s="63" t="e">
        <f t="shared" si="62"/>
        <v>#VALUE!</v>
      </c>
      <c r="L27" s="63" t="str">
        <f>IFERROR(VLOOKUP(MID(G27,J27,K27-J27),[6]skilldef!$C:$D,2,FALSE),"-") &amp; " / " &amp; IFERROR(VLOOKUP(MID(G27,H27,I27-H27),[6]skilldef!$A:$B,2,FALSE),"-")</f>
        <v>- / 全体攻撃</v>
      </c>
      <c r="M27" s="63" t="str">
        <f t="shared" si="63"/>
        <v>[effect:force_change_block, new_block:time_bomb, target:block_blue, ignore01:crash, ignore02:crack_bomb, ignore03:jammer, ignore04:time_bomb, ignore05:color_break, color:block_yellow, count:10, val:0.35, animation:change_block],[effect:enemy_message, val1:1, val2:2.4]</v>
      </c>
      <c r="N27" s="48" t="str">
        <f t="shared" si="58"/>
        <v>[effect:force_change_block, new_block:time_bomb, target:block_blue, ignore01:crash, ignore02:crack_bomb, ignore03:jammer, ignore04:time_bomb, ignore05:color_break, color:block_yellow, count:10, val:0.35, animation:change_block]</v>
      </c>
      <c r="O27" s="63">
        <f t="shared" si="23"/>
        <v>9</v>
      </c>
      <c r="P27" s="63">
        <f t="shared" si="64"/>
        <v>27</v>
      </c>
      <c r="Q27" s="63">
        <f t="shared" si="65"/>
        <v>57</v>
      </c>
      <c r="R27" s="63">
        <f t="shared" si="66"/>
        <v>48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67"/>
        <v>[effect:enemy_message, val1:1, val2:2.4]</v>
      </c>
      <c r="U27" s="63">
        <f t="shared" si="28"/>
        <v>9</v>
      </c>
      <c r="V27" s="63">
        <f t="shared" si="68"/>
        <v>22</v>
      </c>
      <c r="W27" s="63" t="e">
        <f t="shared" si="69"/>
        <v>#VALUE!</v>
      </c>
      <c r="X27" s="63">
        <f t="shared" si="70"/>
        <v>30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</row>
    <row r="28" spans="1:28" ht="28" customHeight="1" x14ac:dyDescent="0.15">
      <c r="A28" s="150">
        <v>30045031</v>
      </c>
      <c r="B28" s="150" t="s">
        <v>338</v>
      </c>
      <c r="C28" s="151">
        <v>3</v>
      </c>
      <c r="D28" s="151" t="s">
        <v>128</v>
      </c>
      <c r="E28" s="152" t="s">
        <v>281</v>
      </c>
      <c r="F28" s="161" t="s">
        <v>310</v>
      </c>
      <c r="G28" s="63" t="str">
        <f t="shared" ref="G28:G29" si="71">IFERROR(LEFT(B28,FIND("],",B28)),B28)</f>
        <v>[effect:rush, count:1, val:1.1]</v>
      </c>
      <c r="H28" s="63">
        <f t="shared" si="17"/>
        <v>9</v>
      </c>
      <c r="I28" s="63">
        <f t="shared" ref="I28:I29" si="72">IFERROR(FIND(",",G28),LEN(G28))</f>
        <v>13</v>
      </c>
      <c r="J28" s="63" t="e">
        <f t="shared" ref="J28:J29" si="73">FIND("target:",G28)+7</f>
        <v>#VALUE!</v>
      </c>
      <c r="K28" s="63">
        <f t="shared" ref="K28:K29" si="74">FIND(",",G28,I28+1)</f>
        <v>22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ref="M28:M29" si="75">IFERROR(RIGHT(B28,LEN(B28)-FIND("],",B28)-1),"none")</f>
        <v>[effect:force_change_block, new_block:jammer, target:block_yellow, ignore01:crash, ignore02:crack_bomb, ignore03:jammer, ignore04:time_bomb, ignore05:color_break, count:5, val:0, animation:change_block],[effect:enemy_message, val1:1, val2:2.4]</v>
      </c>
      <c r="N28" s="48" t="str">
        <f t="shared" si="58"/>
        <v>[effect:force_change_block, new_block:jammer, target:block_yellow, ignore01:crash, ignore02:crack_bomb, ignore03:jammer, ignore04:time_bomb, ignore05:color_break, count:5, val:0, animation:change_block]</v>
      </c>
      <c r="O28" s="63">
        <f t="shared" si="23"/>
        <v>9</v>
      </c>
      <c r="P28" s="63">
        <f t="shared" ref="P28:P29" si="76">IFERROR(FIND(",",N28),LEN(N28))</f>
        <v>27</v>
      </c>
      <c r="Q28" s="63">
        <f t="shared" ref="Q28:Q29" si="77">FIND("target:",N28)+7</f>
        <v>54</v>
      </c>
      <c r="R28" s="63">
        <f t="shared" ref="R28:R29" si="78">FIND(",",N28,P28+1)</f>
        <v>45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ref="T28:T29" si="79">IFERROR(RIGHT(M28,LEN(M28)-FIND("],",M28)-1),"none")</f>
        <v>[effect:enemy_message, val1:1, val2:2.4]</v>
      </c>
      <c r="U28" s="63">
        <f t="shared" si="28"/>
        <v>9</v>
      </c>
      <c r="V28" s="63">
        <f t="shared" ref="V28:V29" si="80">IFERROR(FIND(",",T28),LEN(T28))</f>
        <v>22</v>
      </c>
      <c r="W28" s="63" t="e">
        <f t="shared" ref="W28:W29" si="81">FIND("target:",T28)+7</f>
        <v>#VALUE!</v>
      </c>
      <c r="X28" s="63">
        <f t="shared" ref="X28:X29" si="82">FIND(",",T28,V28+1)</f>
        <v>30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</row>
    <row r="29" spans="1:28" ht="28" customHeight="1" x14ac:dyDescent="0.15">
      <c r="A29" s="150">
        <v>30045032</v>
      </c>
      <c r="B29" s="150" t="s">
        <v>339</v>
      </c>
      <c r="C29" s="151">
        <v>3</v>
      </c>
      <c r="D29" s="151" t="s">
        <v>128</v>
      </c>
      <c r="E29" s="152" t="s">
        <v>296</v>
      </c>
      <c r="F29" s="152" t="s">
        <v>278</v>
      </c>
      <c r="G29" s="63" t="str">
        <f t="shared" si="71"/>
        <v>[effect:spread, val:0.33]</v>
      </c>
      <c r="H29" s="63">
        <f t="shared" si="17"/>
        <v>9</v>
      </c>
      <c r="I29" s="63">
        <f t="shared" si="72"/>
        <v>15</v>
      </c>
      <c r="J29" s="63" t="e">
        <f t="shared" si="73"/>
        <v>#VALUE!</v>
      </c>
      <c r="K29" s="63" t="e">
        <f t="shared" si="74"/>
        <v>#VALUE!</v>
      </c>
      <c r="L29" s="63" t="str">
        <f>IFERROR(VLOOKUP(MID(G29,J29,K29-J29),[6]skilldef!$C:$D,2,FALSE),"-") &amp; " / " &amp; IFERROR(VLOOKUP(MID(G29,H29,I29-H29),[6]skilldef!$A:$B,2,FALSE),"-")</f>
        <v>- / 全体攻撃</v>
      </c>
      <c r="M29" s="63" t="str">
        <f t="shared" si="75"/>
        <v>[effect:force_change_block, new_block:time_bomb, target:block_blue, ignore01:crash, ignore02:crack_bomb, ignore03:jammer, ignore04:time_bomb, ignore05:color_break, color:block_green, count:10, val:0.35, animation:change_block],[effect:enemy_message, val1:1, val2:2.4]</v>
      </c>
      <c r="N29" s="48" t="str">
        <f t="shared" si="58"/>
        <v>[effect:force_change_block, new_block:time_bomb, target:block_blue, ignore01:crash, ignore02:crack_bomb, ignore03:jammer, ignore04:time_bomb, ignore05:color_break, color:block_green, count:10, val:0.35, animation:change_block]</v>
      </c>
      <c r="O29" s="63">
        <f t="shared" si="23"/>
        <v>9</v>
      </c>
      <c r="P29" s="63">
        <f t="shared" si="76"/>
        <v>27</v>
      </c>
      <c r="Q29" s="63">
        <f t="shared" si="77"/>
        <v>57</v>
      </c>
      <c r="R29" s="63">
        <f t="shared" si="78"/>
        <v>48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79"/>
        <v>[effect:enemy_message, val1:1, val2:2.4]</v>
      </c>
      <c r="U29" s="63">
        <f t="shared" si="28"/>
        <v>9</v>
      </c>
      <c r="V29" s="63">
        <f t="shared" si="80"/>
        <v>22</v>
      </c>
      <c r="W29" s="63" t="e">
        <f t="shared" si="81"/>
        <v>#VALUE!</v>
      </c>
      <c r="X29" s="63">
        <f t="shared" si="82"/>
        <v>30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</row>
    <row r="30" spans="1:28" ht="28" customHeight="1" x14ac:dyDescent="0.15">
      <c r="A30" s="150">
        <v>30045033</v>
      </c>
      <c r="B30" s="150" t="s">
        <v>340</v>
      </c>
      <c r="C30" s="151">
        <v>3</v>
      </c>
      <c r="D30" s="151" t="s">
        <v>128</v>
      </c>
      <c r="E30" s="152" t="s">
        <v>282</v>
      </c>
      <c r="F30" s="161" t="s">
        <v>311</v>
      </c>
      <c r="G30" s="63" t="str">
        <f t="shared" ref="G30:G31" si="83">IFERROR(LEFT(B30,FIND("],",B30)),B30)</f>
        <v>[effect:rush, count:1, val:1.1]</v>
      </c>
      <c r="H30" s="63">
        <f t="shared" si="17"/>
        <v>9</v>
      </c>
      <c r="I30" s="63">
        <f t="shared" ref="I30:I31" si="84">IFERROR(FIND(",",G30),LEN(G30))</f>
        <v>13</v>
      </c>
      <c r="J30" s="63" t="e">
        <f t="shared" ref="J30:J31" si="85">FIND("target:",G30)+7</f>
        <v>#VALUE!</v>
      </c>
      <c r="K30" s="63">
        <f t="shared" ref="K30:K31" si="86">FIND(",",G30,I30+1)</f>
        <v>22</v>
      </c>
      <c r="L30" s="63" t="str">
        <f>IFERROR(VLOOKUP(MID(G30,J30,K30-J30),[6]skilldef!$C:$D,2,FALSE),"-") &amp; " / " &amp; IFERROR(VLOOKUP(MID(G30,H30,I30-H30),[6]skilldef!$A:$B,2,FALSE),"-")</f>
        <v>- / 連続攻撃</v>
      </c>
      <c r="M30" s="63" t="str">
        <f t="shared" ref="M30:M31" si="87">IFERROR(RIGHT(B30,LEN(B30)-FIND("],",B30)-1),"none")</f>
        <v>[effect:force_change_block, new_block:jammer, target:block_green, ignore01:crash, ignore02:crack_bomb, ignore03:jammer, ignore04:time_bomb, ignore05:color_break, count:5, val:0, animation:change_block],[effect:enemy_message, val1:1, val2:2.4]</v>
      </c>
      <c r="N30" s="48" t="str">
        <f t="shared" si="58"/>
        <v>[effect:force_change_block, new_block:jammer, target:block_green, ignore01:crash, ignore02:crack_bomb, ignore03:jammer, ignore04:time_bomb, ignore05:color_break, count:5, val:0, animation:change_block]</v>
      </c>
      <c r="O30" s="63">
        <f t="shared" si="23"/>
        <v>9</v>
      </c>
      <c r="P30" s="63">
        <f t="shared" ref="P30:P31" si="88">IFERROR(FIND(",",N30),LEN(N30))</f>
        <v>27</v>
      </c>
      <c r="Q30" s="63">
        <f t="shared" ref="Q30:Q31" si="89">FIND("target:",N30)+7</f>
        <v>54</v>
      </c>
      <c r="R30" s="63">
        <f t="shared" ref="R30:R31" si="90">FIND(",",N30,P30+1)</f>
        <v>45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ref="T30:T31" si="91">IFERROR(RIGHT(M30,LEN(M30)-FIND("],",M30)-1),"none")</f>
        <v>[effect:enemy_message, val1:1, val2:2.4]</v>
      </c>
      <c r="U30" s="63">
        <f t="shared" si="28"/>
        <v>9</v>
      </c>
      <c r="V30" s="63">
        <f t="shared" ref="V30:V31" si="92">IFERROR(FIND(",",T30),LEN(T30))</f>
        <v>22</v>
      </c>
      <c r="W30" s="63" t="e">
        <f t="shared" ref="W30:W31" si="93">FIND("target:",T30)+7</f>
        <v>#VALUE!</v>
      </c>
      <c r="X30" s="63">
        <f t="shared" ref="X30:X31" si="94">FIND(",",T30,V30+1)</f>
        <v>30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</row>
    <row r="31" spans="1:28" ht="28" customHeight="1" x14ac:dyDescent="0.15">
      <c r="A31" s="141">
        <v>30045034</v>
      </c>
      <c r="B31" s="141" t="s">
        <v>345</v>
      </c>
      <c r="C31" s="148">
        <v>3</v>
      </c>
      <c r="D31" s="148" t="s">
        <v>128</v>
      </c>
      <c r="E31" s="149" t="s">
        <v>292</v>
      </c>
      <c r="F31" s="149" t="s">
        <v>343</v>
      </c>
      <c r="G31" s="63" t="str">
        <f t="shared" si="83"/>
        <v>[effect:force_change_block, new_block:jammer, target:block_all, ignore01:crash, ignore02:time_bomb, ignore03:jammer, ignore04:crack_bomb, ignore05:color_break, count:3, val:0, animation:change_block]</v>
      </c>
      <c r="H31" s="63">
        <f t="shared" ref="H31" si="95">FIND("effect:",G31)+7</f>
        <v>9</v>
      </c>
      <c r="I31" s="63">
        <f t="shared" si="84"/>
        <v>27</v>
      </c>
      <c r="J31" s="63">
        <f t="shared" si="85"/>
        <v>54</v>
      </c>
      <c r="K31" s="63">
        <f t="shared" si="86"/>
        <v>45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87"/>
        <v>[effect:force_change_block, new_block:time_bomb, target:block_all, ignore01:crash, ignore02:time_bomb, ignore03:jammer, ignore04:crack_bomb, ignore05:color_break, count:5, val:0.35, animation:change_block],[effect:critical, val:2.4, animation:enemy_critical],[effect:enemy_message, val1:2, val2:3.4]</v>
      </c>
      <c r="N31" s="48" t="str">
        <f t="shared" ref="N31" si="96">IFERROR(LEFT(M31,FIND("],",M31)+S40),M31)</f>
        <v>[effect:force_change_block, new_block:time_bomb, target:block_all, ignore01:crash, ignore02:time_bomb, ignore03:jammer, ignore04:crack_bomb, ignore05:color_break, count:5, val:0.35, animation:change_block]</v>
      </c>
      <c r="O31" s="63">
        <f t="shared" ref="O31" si="97">FIND("effect:",N31)+7</f>
        <v>9</v>
      </c>
      <c r="P31" s="63">
        <f t="shared" si="88"/>
        <v>27</v>
      </c>
      <c r="Q31" s="63">
        <f t="shared" si="89"/>
        <v>57</v>
      </c>
      <c r="R31" s="63">
        <f t="shared" si="90"/>
        <v>48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91"/>
        <v>[effect:critical, val:2.4, animation:enemy_critical],[effect:enemy_message, val1:2, val2:3.4]</v>
      </c>
      <c r="U31" s="63">
        <f t="shared" ref="U31" si="98">FIND("effect:",T31)+7</f>
        <v>9</v>
      </c>
      <c r="V31" s="63">
        <f t="shared" si="92"/>
        <v>17</v>
      </c>
      <c r="W31" s="63" t="e">
        <f t="shared" si="93"/>
        <v>#VALUE!</v>
      </c>
      <c r="X31" s="63">
        <f t="shared" si="94"/>
        <v>26</v>
      </c>
      <c r="Y31" s="63" t="str">
        <f>IFERROR(VLOOKUP(MID(T31,W31,X31-W31),[6]skilldef!$C:$D,2,FALSE),"-") &amp; " / " &amp; IFERROR(VLOOKUP(MID(T31,U31,V31-U31),[6]skilldef!$A:$B,2,FALSE),"-")</f>
        <v>- / 大攻撃</v>
      </c>
      <c r="Z31" s="50"/>
      <c r="AA31" s="51"/>
      <c r="AB3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33.5" style="49" customWidth="1" outlineLevel="1"/>
    <col min="5" max="5" width="50.83203125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30045001_30045001</v>
      </c>
      <c r="B2" s="131">
        <v>30045001</v>
      </c>
      <c r="C2" s="47">
        <v>30045001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ここにいたら危ないですよ？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コスト31以上のユニットに大ダメージ</v>
      </c>
      <c r="F2" s="47">
        <v>30045001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20" si="1">B3&amp;"_"&amp;C3</f>
        <v>30045001_30045002</v>
      </c>
      <c r="B3" s="131">
        <v>30045001</v>
      </c>
      <c r="C3" s="47">
        <v>30045002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きみに免じて帰ろうかな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緑パネルを緑の時限式ダメージパネルに変換(最大5個)</v>
      </c>
      <c r="F3" s="47">
        <v>30045002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65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30045001_30045003</v>
      </c>
      <c r="B4" s="131">
        <v>30045001</v>
      </c>
      <c r="C4" s="47">
        <v>30045003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よし…帰っちゃおう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ランダムで緑の時限式ダメージパネルに7個変換</v>
      </c>
      <c r="F4" s="47">
        <v>30045003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65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30045001_30045004</v>
      </c>
      <c r="B5" s="131">
        <v>30045001</v>
      </c>
      <c r="C5" s="47">
        <v>30045004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うーん…何処に置こう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</v>
      </c>
      <c r="F5" s="47">
        <v>30045004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30045003_30045005</v>
      </c>
      <c r="B6" s="134">
        <v>30045003</v>
      </c>
      <c r="C6" s="47">
        <v>30045005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御邪魔の書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単体攻撃+_x000D_ランダムでお邪魔パネルに3個変換</v>
      </c>
      <c r="F6" s="47">
        <v>30045005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30045003_30045006</v>
      </c>
      <c r="B7" s="134">
        <v>30045003</v>
      </c>
      <c r="C7" s="47">
        <v>30045006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時限式の書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単体攻撃+_x000D_ランダムで緑の時限式ダメージパネルに3個変換</v>
      </c>
      <c r="F7" s="47">
        <v>30045006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30045004_30045007</v>
      </c>
      <c r="B8" s="138">
        <v>30045004</v>
      </c>
      <c r="C8" s="47">
        <v>30045007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時限式の書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単体攻撃+_x000D_ランダムで緑の時限式ダメージパネルに3個変換</v>
      </c>
      <c r="F8" s="47">
        <v>30045007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30045004_30045008</v>
      </c>
      <c r="B9" s="138">
        <v>30045004</v>
      </c>
      <c r="C9" s="47">
        <v>30045008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御邪魔の書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単体攻撃+_x000D_ランダムでお邪魔パネルに3個変換</v>
      </c>
      <c r="F9" s="47">
        <v>30045008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30045005_30045009</v>
      </c>
      <c r="B10" s="141">
        <v>30045005</v>
      </c>
      <c r="C10" s="47">
        <v>30045009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お邪魔・スペシャル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緑パネルをお邪魔パネルに変換(最大7個)</v>
      </c>
      <c r="F10" s="47">
        <v>30045009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30045005_30045010</v>
      </c>
      <c r="B11" s="141">
        <v>30045005</v>
      </c>
      <c r="C11" s="47">
        <v>30045010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眼光の放出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ランダムでお邪魔パネルに12個変換</v>
      </c>
      <c r="F11" s="47">
        <v>30045010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55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30045005_30045011</v>
      </c>
      <c r="B12" s="141">
        <v>30045005</v>
      </c>
      <c r="C12" s="47">
        <v>30045011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お邪魔・スペシャル改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緑パネルをお邪魔パネルに変換(最大12個)</v>
      </c>
      <c r="F12" s="47">
        <v>30045011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30045005_30045012</v>
      </c>
      <c r="B13" s="141">
        <v>30045005</v>
      </c>
      <c r="C13" s="47">
        <v>30045012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トリプル・ショット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3回連続攻撃+_x000D_ランダムでお邪魔パネルに3個変換</v>
      </c>
      <c r="F13" s="47">
        <v>30045012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3" s="47"/>
      <c r="Q13" s="47"/>
      <c r="R13" s="47"/>
    </row>
    <row r="14" spans="1:18" ht="21" customHeight="1" x14ac:dyDescent="0.15">
      <c r="A14" s="39" t="str">
        <f t="shared" si="1"/>
        <v>30045005_30045013</v>
      </c>
      <c r="B14" s="141">
        <v>30045005</v>
      </c>
      <c r="C14" s="47">
        <v>30045013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ダブル・ショット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2回連続攻撃+_x000D_ランダムでお邪魔パネルに2個変換</v>
      </c>
      <c r="F14" s="47">
        <v>30045013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4" s="47"/>
      <c r="Q14" s="47"/>
      <c r="R14" s="47"/>
    </row>
    <row r="15" spans="1:18" ht="21" customHeight="1" x14ac:dyDescent="0.15">
      <c r="A15" s="39" t="str">
        <f t="shared" si="1"/>
        <v>30045005_30045014</v>
      </c>
      <c r="B15" s="141">
        <v>30045005</v>
      </c>
      <c r="C15" s="47">
        <v>30045014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シングル・ショット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単体攻撃+_x000D_ランダムでお邪魔パネルに1個変換</v>
      </c>
      <c r="F15" s="47">
        <v>30045014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30045006_30045015</v>
      </c>
      <c r="B16" s="128">
        <v>30045006</v>
      </c>
      <c r="C16" s="47">
        <v>30045015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ぼくを止めるって言うのかい？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青パネルを緑の時限式ダメージパネルに変換(最大7個)</v>
      </c>
      <c r="F16" s="47">
        <v>30045015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30045006_30045016</v>
      </c>
      <c r="B17" s="128">
        <v>30045006</v>
      </c>
      <c r="C17" s="47">
        <v>30045016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きみは本当に愚かだね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黄パネルをお邪魔パネルに変換(最大10個)</v>
      </c>
      <c r="F17" s="47">
        <v>30045016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7" s="47"/>
      <c r="Q17" s="47"/>
      <c r="R17" s="47"/>
    </row>
    <row r="18" spans="1:18" ht="21" customHeight="1" x14ac:dyDescent="0.15">
      <c r="A18" s="39" t="str">
        <f t="shared" si="1"/>
        <v>30045006_30045017</v>
      </c>
      <c r="B18" s="128">
        <v>30045006</v>
      </c>
      <c r="C18" s="47">
        <v>30045017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見つからないと思うよ？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単体攻撃+_x000D_黄パネルをお邪魔パネルに変換(最大5個)</v>
      </c>
      <c r="F18" s="47">
        <v>30045017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8" s="47"/>
      <c r="Q18" s="47"/>
      <c r="R18" s="47"/>
    </row>
    <row r="19" spans="1:18" ht="21" customHeight="1" x14ac:dyDescent="0.15">
      <c r="A19" s="39" t="str">
        <f t="shared" si="1"/>
        <v>30045006_30045018</v>
      </c>
      <c r="B19" s="128">
        <v>30045006</v>
      </c>
      <c r="C19" s="47">
        <v>30045018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さあ、始めるよ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全体攻撃+_x000D_黄パネルを緑の時限式ダメージパネルに変換(最大6個)</v>
      </c>
      <c r="F19" s="47">
        <v>30045018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9" s="47"/>
      <c r="Q19" s="47"/>
      <c r="R19" s="47"/>
    </row>
    <row r="20" spans="1:18" ht="21" customHeight="1" x14ac:dyDescent="0.15">
      <c r="A20" s="39" t="str">
        <f t="shared" si="1"/>
        <v>30045006_30045019</v>
      </c>
      <c r="B20" s="128">
        <v>30045006</v>
      </c>
      <c r="C20" s="47">
        <v>30045019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避難したほうが賢明だよ？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単体攻撃+_x000D_青パネルをお邪魔パネルに変換(最大5個)</v>
      </c>
      <c r="F20" s="47">
        <v>30045019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0" s="47"/>
      <c r="Q20" s="47"/>
      <c r="R20" s="47"/>
    </row>
    <row r="21" spans="1:18" ht="21" customHeight="1" thickBot="1" x14ac:dyDescent="0.2">
      <c r="A21" s="39" t="str">
        <f t="shared" ref="A21:A29" si="2">B21&amp;"_"&amp;C21</f>
        <v>30045006_30045020</v>
      </c>
      <c r="B21" s="128">
        <v>30045006</v>
      </c>
      <c r="C21" s="145">
        <v>30045020</v>
      </c>
      <c r="D21" s="160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粉葉みじんにするね</v>
      </c>
      <c r="E21" s="160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全体攻撃+_x000D_青パネルを緑の時限式ダメージパネルに変換(最大6個)</v>
      </c>
      <c r="F21" s="145">
        <v>30045020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30045007_30045025</v>
      </c>
      <c r="B22" s="150">
        <v>30045007</v>
      </c>
      <c r="C22" s="144">
        <v>30045025</v>
      </c>
      <c r="D22" s="159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あはは！きみに美しい世界を見せてあげるよ！！</v>
      </c>
      <c r="E22" s="159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黄パネルをお邪魔パネルに変換(最大10個)</v>
      </c>
      <c r="F22" s="143">
        <v>30045025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30045007_30045026</v>
      </c>
      <c r="B23" s="150">
        <v>30045007</v>
      </c>
      <c r="C23" s="142">
        <v>30045026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世界はもっと鮮やかであるべきなんだ！！！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クリティカル+攻撃頻度UP+_x000D_ランダムでお邪魔パネルに3個変換+_x000D_ランダムで緑の時限式ダメージパネルに5個変換</v>
      </c>
      <c r="F23" s="47">
        <v>30045026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2"/>
        <v>30045007_30045027</v>
      </c>
      <c r="B24" s="150">
        <v>30045007</v>
      </c>
      <c r="C24" s="142">
        <v>30045027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もう諦めたらどうだい？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ランダムでお邪魔パネルに15個変換</v>
      </c>
      <c r="F24" s="47">
        <v>30045027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24" s="47"/>
      <c r="Q24" s="47"/>
      <c r="R24" s="47"/>
    </row>
    <row r="25" spans="1:18" ht="21" customHeight="1" x14ac:dyDescent="0.15">
      <c r="A25" s="39" t="str">
        <f t="shared" si="2"/>
        <v>30045007_30045028</v>
      </c>
      <c r="B25" s="150">
        <v>30045007</v>
      </c>
      <c r="C25" s="142">
        <v>30045028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すべてのものに二面性があるんだ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全体攻撃+_x000D_青パネルを青の時限式ダメージパネルに変換(最大10個)</v>
      </c>
      <c r="F25" s="47">
        <v>30045028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25" s="47"/>
      <c r="Q25" s="47"/>
      <c r="R25" s="47"/>
    </row>
    <row r="26" spans="1:18" ht="21" customHeight="1" x14ac:dyDescent="0.15">
      <c r="A26" s="39" t="str">
        <f t="shared" si="2"/>
        <v>30045007_30045029</v>
      </c>
      <c r="B26" s="150">
        <v>30045007</v>
      </c>
      <c r="C26" s="142">
        <v>30045029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青の迷彩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単体攻撃+_x000D_青パネルをお邪魔パネルに変換(最大5個)</v>
      </c>
      <c r="F26" s="47">
        <v>30045029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26" s="47"/>
      <c r="Q26" s="47"/>
      <c r="R26" s="47"/>
    </row>
    <row r="27" spans="1:18" ht="21" customHeight="1" x14ac:dyDescent="0.15">
      <c r="A27" s="39" t="str">
        <f t="shared" si="2"/>
        <v>30045007_30045030</v>
      </c>
      <c r="B27" s="150">
        <v>30045007</v>
      </c>
      <c r="C27" s="142">
        <v>30045030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黄色く染まったのが見えるかい？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全体攻撃+_x000D_青パネルを黄の時限式ダメージパネルに変換(最大10個)</v>
      </c>
      <c r="F27" s="47">
        <v>30045030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27" s="47"/>
      <c r="Q27" s="47"/>
      <c r="R27" s="47"/>
    </row>
    <row r="28" spans="1:18" ht="21" customHeight="1" x14ac:dyDescent="0.15">
      <c r="A28" s="39" t="str">
        <f t="shared" si="2"/>
        <v>30045007_30045031</v>
      </c>
      <c r="B28" s="150">
        <v>30045007</v>
      </c>
      <c r="C28" s="142">
        <v>30045031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黄の迷彩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単体攻撃+_x000D_黄パネルをお邪魔パネルに変換(最大5個)</v>
      </c>
      <c r="F28" s="47">
        <v>30045031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28" s="47"/>
      <c r="Q28" s="47"/>
      <c r="R28" s="47"/>
    </row>
    <row r="29" spans="1:18" ht="21" customHeight="1" x14ac:dyDescent="0.15">
      <c r="A29" s="39" t="str">
        <f t="shared" si="2"/>
        <v>30045007_30045032</v>
      </c>
      <c r="B29" s="150">
        <v>30045007</v>
      </c>
      <c r="C29" s="142">
        <v>30045032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緑色に染まったのが見えるかい？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全体攻撃+_x000D_青パネルを緑の時限式ダメージパネルに変換(最大10個)</v>
      </c>
      <c r="F29" s="47">
        <v>30045032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29" s="47"/>
      <c r="Q29" s="47"/>
      <c r="R29" s="47"/>
    </row>
    <row r="30" spans="1:18" ht="21" customHeight="1" x14ac:dyDescent="0.15">
      <c r="A30" s="39" t="str">
        <f t="shared" ref="A30:A38" si="3">B30&amp;"_"&amp;C30</f>
        <v>30045007_30045033</v>
      </c>
      <c r="B30" s="150">
        <v>30045007</v>
      </c>
      <c r="C30" s="142">
        <v>30045033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緑の迷彩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単体攻撃+_x000D_緑パネルをお邪魔パネルに変換(最大5個)</v>
      </c>
      <c r="F30" s="47">
        <v>30045033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3"/>
        <v>30045008_30045025</v>
      </c>
      <c r="B31" s="141">
        <v>30045008</v>
      </c>
      <c r="C31" s="144">
        <v>30045025</v>
      </c>
      <c r="D31" s="159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あはは！きみに美しい世界を見せてあげるよ！！</v>
      </c>
      <c r="E31" s="159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黄パネルをお邪魔パネルに変換(最大10個)</v>
      </c>
      <c r="F31" s="143">
        <v>30045025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30045008_30045034</v>
      </c>
      <c r="B32" s="141">
        <v>30045008</v>
      </c>
      <c r="C32" s="141">
        <v>30045034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世界はもっと鮮やかであるべきなんだ！！！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クリティカル+ランダムでお邪魔パネルに3個変換+_x000D_ランダムで緑の時限式ダメージパネルに5個変換</v>
      </c>
      <c r="F32" s="47">
        <v>30045026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30045008_30045027</v>
      </c>
      <c r="B33" s="141">
        <v>30045008</v>
      </c>
      <c r="C33" s="142">
        <v>30045027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もう諦めたらどうだい？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ランダムでお邪魔パネルに15個変換</v>
      </c>
      <c r="F33" s="47">
        <v>30045027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33" s="47"/>
      <c r="Q33" s="47"/>
      <c r="R33" s="47"/>
    </row>
    <row r="34" spans="1:18" ht="21" customHeight="1" x14ac:dyDescent="0.15">
      <c r="A34" s="39" t="str">
        <f t="shared" si="3"/>
        <v>30045008_30045028</v>
      </c>
      <c r="B34" s="141">
        <v>30045008</v>
      </c>
      <c r="C34" s="142">
        <v>30045028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すべてのものに二面性があるんだ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全体攻撃+_x000D_青パネルを青の時限式ダメージパネルに変換(最大10個)</v>
      </c>
      <c r="F34" s="47">
        <v>30045028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34" s="47"/>
      <c r="Q34" s="47"/>
      <c r="R34" s="47"/>
    </row>
    <row r="35" spans="1:18" ht="21" customHeight="1" x14ac:dyDescent="0.15">
      <c r="A35" s="39" t="str">
        <f t="shared" si="3"/>
        <v>30045008_30045029</v>
      </c>
      <c r="B35" s="141">
        <v>30045008</v>
      </c>
      <c r="C35" s="142">
        <v>30045029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青の迷彩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単体攻撃+_x000D_青パネルをお邪魔パネルに変換(最大5個)</v>
      </c>
      <c r="F35" s="47">
        <v>30045029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35" s="47"/>
      <c r="Q35" s="47"/>
      <c r="R35" s="47"/>
    </row>
    <row r="36" spans="1:18" ht="21" customHeight="1" x14ac:dyDescent="0.15">
      <c r="A36" s="39" t="str">
        <f t="shared" si="3"/>
        <v>30045008_30045030</v>
      </c>
      <c r="B36" s="141">
        <v>30045008</v>
      </c>
      <c r="C36" s="142">
        <v>30045030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黄色く染まったのが見えるかい？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全体攻撃+_x000D_青パネルを黄の時限式ダメージパネルに変換(最大10個)</v>
      </c>
      <c r="F36" s="47">
        <v>30045030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36" s="47"/>
      <c r="Q36" s="47"/>
      <c r="R36" s="47"/>
    </row>
    <row r="37" spans="1:18" ht="21" customHeight="1" x14ac:dyDescent="0.15">
      <c r="A37" s="39" t="str">
        <f t="shared" si="3"/>
        <v>30045008_30045031</v>
      </c>
      <c r="B37" s="141">
        <v>30045008</v>
      </c>
      <c r="C37" s="142">
        <v>30045031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黄の迷彩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単体攻撃+_x000D_黄パネルをお邪魔パネルに変換(最大5個)</v>
      </c>
      <c r="F37" s="47">
        <v>30045031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37" s="47"/>
      <c r="Q37" s="47"/>
      <c r="R37" s="47"/>
    </row>
    <row r="38" spans="1:18" ht="21" customHeight="1" x14ac:dyDescent="0.15">
      <c r="A38" s="39" t="str">
        <f t="shared" si="3"/>
        <v>30045008_30045032</v>
      </c>
      <c r="B38" s="141">
        <v>30045008</v>
      </c>
      <c r="C38" s="142">
        <v>30045032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緑色に染まったのが見えるかい？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全体攻撃+_x000D_青パネルを緑の時限式ダメージパネルに変換(最大10個)</v>
      </c>
      <c r="F38" s="47">
        <v>30045032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38" s="47"/>
      <c r="Q38" s="47"/>
      <c r="R38" s="47"/>
    </row>
    <row r="39" spans="1:18" ht="21" customHeight="1" x14ac:dyDescent="0.15">
      <c r="A39" s="39" t="str">
        <f t="shared" ref="A39" si="4">B39&amp;"_"&amp;C39</f>
        <v>30045008_30045033</v>
      </c>
      <c r="B39" s="141">
        <v>30045008</v>
      </c>
      <c r="C39" s="142">
        <v>30045033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緑の迷彩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単体攻撃+_x000D_緑パネルをお邪魔パネルに変換(最大5個)</v>
      </c>
      <c r="F39" s="47">
        <v>30045033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0"/>
  <sheetViews>
    <sheetView showGridLines="0" zoomScale="90" zoomScaleNormal="90" zoomScalePageLayoutView="9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131">
        <v>30045001</v>
      </c>
      <c r="B2" s="47">
        <v>1</v>
      </c>
      <c r="C2" s="47" t="s">
        <v>89</v>
      </c>
      <c r="D2" s="47">
        <v>100</v>
      </c>
      <c r="E2" s="47" t="s">
        <v>53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131">
        <v>30045002</v>
      </c>
      <c r="B3" s="47">
        <v>0</v>
      </c>
      <c r="C3" s="47">
        <v>200</v>
      </c>
      <c r="D3" s="47">
        <v>100</v>
      </c>
      <c r="E3" s="47">
        <v>65</v>
      </c>
      <c r="F3" s="47" t="s">
        <v>90</v>
      </c>
      <c r="G3" s="47" t="s">
        <v>254</v>
      </c>
      <c r="H3" s="47">
        <v>3</v>
      </c>
      <c r="I3" s="47" t="s">
        <v>90</v>
      </c>
      <c r="J3" s="48">
        <f t="shared" ref="J3:J20" si="1">D3</f>
        <v>100</v>
      </c>
    </row>
    <row r="4" spans="1:11" ht="21" customHeight="1" x14ac:dyDescent="0.15">
      <c r="A4" s="131">
        <v>30045003</v>
      </c>
      <c r="B4" s="47">
        <v>0</v>
      </c>
      <c r="C4" s="47">
        <v>150</v>
      </c>
      <c r="D4" s="47">
        <v>100</v>
      </c>
      <c r="E4" s="47" t="s">
        <v>271</v>
      </c>
      <c r="F4" s="47">
        <v>65</v>
      </c>
      <c r="G4" s="47" t="s">
        <v>254</v>
      </c>
      <c r="H4" s="47">
        <v>3</v>
      </c>
      <c r="I4" s="47" t="s">
        <v>90</v>
      </c>
      <c r="J4" s="48">
        <f t="shared" si="1"/>
        <v>100</v>
      </c>
    </row>
    <row r="5" spans="1:11" ht="21" customHeight="1" thickBot="1" x14ac:dyDescent="0.2">
      <c r="A5" s="131">
        <v>30045004</v>
      </c>
      <c r="B5" s="145">
        <v>0</v>
      </c>
      <c r="C5" s="145">
        <v>100</v>
      </c>
      <c r="D5" s="145">
        <v>100</v>
      </c>
      <c r="E5" s="145" t="s">
        <v>53</v>
      </c>
      <c r="F5" s="145" t="s">
        <v>90</v>
      </c>
      <c r="G5" s="145" t="s">
        <v>254</v>
      </c>
      <c r="H5" s="145" t="s">
        <v>90</v>
      </c>
      <c r="I5" s="145" t="s">
        <v>90</v>
      </c>
      <c r="J5" s="48">
        <f t="shared" si="1"/>
        <v>100</v>
      </c>
    </row>
    <row r="6" spans="1:11" ht="21" customHeight="1" x14ac:dyDescent="0.15">
      <c r="A6" s="134">
        <v>30045005</v>
      </c>
      <c r="B6" s="143">
        <v>0</v>
      </c>
      <c r="C6" s="143">
        <v>200</v>
      </c>
      <c r="D6" s="144">
        <v>100</v>
      </c>
      <c r="E6" s="143">
        <v>50</v>
      </c>
      <c r="F6" s="143" t="s">
        <v>90</v>
      </c>
      <c r="G6" s="143">
        <v>2</v>
      </c>
      <c r="H6" s="143" t="s">
        <v>262</v>
      </c>
      <c r="I6" s="143" t="s">
        <v>90</v>
      </c>
      <c r="J6" s="48">
        <f t="shared" si="1"/>
        <v>100</v>
      </c>
    </row>
    <row r="7" spans="1:11" ht="21" customHeight="1" thickBot="1" x14ac:dyDescent="0.2">
      <c r="A7" s="134">
        <v>30045006</v>
      </c>
      <c r="B7" s="145">
        <v>0</v>
      </c>
      <c r="C7" s="145">
        <v>150</v>
      </c>
      <c r="D7" s="146">
        <v>100</v>
      </c>
      <c r="E7" s="145">
        <v>70</v>
      </c>
      <c r="F7" s="145" t="s">
        <v>90</v>
      </c>
      <c r="G7" s="145" t="s">
        <v>254</v>
      </c>
      <c r="H7" s="145" t="s">
        <v>90</v>
      </c>
      <c r="I7" s="145" t="s">
        <v>90</v>
      </c>
      <c r="J7" s="48">
        <f t="shared" si="1"/>
        <v>100</v>
      </c>
    </row>
    <row r="8" spans="1:11" ht="21" customHeight="1" x14ac:dyDescent="0.15">
      <c r="A8" s="138">
        <v>30045007</v>
      </c>
      <c r="B8" s="143">
        <v>0</v>
      </c>
      <c r="C8" s="143">
        <v>200</v>
      </c>
      <c r="D8" s="144">
        <v>100</v>
      </c>
      <c r="E8" s="143">
        <v>50</v>
      </c>
      <c r="F8" s="143" t="s">
        <v>90</v>
      </c>
      <c r="G8" s="143">
        <v>2</v>
      </c>
      <c r="H8" s="143" t="s">
        <v>263</v>
      </c>
      <c r="I8" s="143" t="s">
        <v>90</v>
      </c>
      <c r="J8" s="48">
        <f t="shared" si="1"/>
        <v>100</v>
      </c>
    </row>
    <row r="9" spans="1:11" ht="21" customHeight="1" thickBot="1" x14ac:dyDescent="0.2">
      <c r="A9" s="138">
        <v>30045008</v>
      </c>
      <c r="B9" s="145">
        <v>0</v>
      </c>
      <c r="C9" s="145">
        <v>150</v>
      </c>
      <c r="D9" s="146">
        <v>100</v>
      </c>
      <c r="E9" s="145">
        <v>70</v>
      </c>
      <c r="F9" s="145" t="s">
        <v>90</v>
      </c>
      <c r="G9" s="145" t="s">
        <v>254</v>
      </c>
      <c r="H9" s="145" t="s">
        <v>90</v>
      </c>
      <c r="I9" s="145" t="s">
        <v>90</v>
      </c>
      <c r="J9" s="48">
        <f t="shared" si="1"/>
        <v>100</v>
      </c>
    </row>
    <row r="10" spans="1:11" ht="21" customHeight="1" x14ac:dyDescent="0.15">
      <c r="A10" s="141">
        <v>30045009</v>
      </c>
      <c r="B10" s="143">
        <v>1</v>
      </c>
      <c r="C10" s="143" t="s">
        <v>89</v>
      </c>
      <c r="D10" s="143">
        <v>100</v>
      </c>
      <c r="E10" s="143" t="s">
        <v>53</v>
      </c>
      <c r="F10" s="143" t="s">
        <v>90</v>
      </c>
      <c r="G10" s="143">
        <v>1</v>
      </c>
      <c r="H10" s="143" t="s">
        <v>260</v>
      </c>
      <c r="I10" s="143" t="s">
        <v>90</v>
      </c>
      <c r="J10" s="48">
        <f t="shared" si="1"/>
        <v>100</v>
      </c>
    </row>
    <row r="11" spans="1:11" ht="21" customHeight="1" x14ac:dyDescent="0.15">
      <c r="A11" s="141">
        <v>30045010</v>
      </c>
      <c r="B11" s="47">
        <v>0</v>
      </c>
      <c r="C11" s="47">
        <v>200</v>
      </c>
      <c r="D11" s="47">
        <v>100</v>
      </c>
      <c r="E11" s="47">
        <v>55</v>
      </c>
      <c r="F11" s="47" t="s">
        <v>90</v>
      </c>
      <c r="G11" s="47">
        <v>1</v>
      </c>
      <c r="H11" s="47" t="s">
        <v>53</v>
      </c>
      <c r="I11" s="47" t="s">
        <v>90</v>
      </c>
      <c r="J11" s="48">
        <f t="shared" si="1"/>
        <v>100</v>
      </c>
    </row>
    <row r="12" spans="1:11" ht="21" customHeight="1" x14ac:dyDescent="0.15">
      <c r="A12" s="141">
        <v>30045011</v>
      </c>
      <c r="B12" s="47">
        <v>0</v>
      </c>
      <c r="C12" s="47">
        <v>150</v>
      </c>
      <c r="D12" s="47">
        <v>100</v>
      </c>
      <c r="E12" s="47" t="s">
        <v>53</v>
      </c>
      <c r="F12" s="47" t="s">
        <v>90</v>
      </c>
      <c r="G12" s="47" t="s">
        <v>53</v>
      </c>
      <c r="H12" s="47">
        <v>3</v>
      </c>
      <c r="I12" s="47" t="s">
        <v>90</v>
      </c>
      <c r="J12" s="48">
        <f t="shared" si="1"/>
        <v>100</v>
      </c>
    </row>
    <row r="13" spans="1:11" ht="21" customHeight="1" x14ac:dyDescent="0.15">
      <c r="A13" s="141">
        <v>30045012</v>
      </c>
      <c r="B13" s="47">
        <v>0</v>
      </c>
      <c r="C13" s="47">
        <v>100</v>
      </c>
      <c r="D13" s="47">
        <v>33</v>
      </c>
      <c r="E13" s="47" t="s">
        <v>53</v>
      </c>
      <c r="F13" s="47" t="s">
        <v>90</v>
      </c>
      <c r="G13" s="47" t="s">
        <v>254</v>
      </c>
      <c r="H13" s="47" t="s">
        <v>90</v>
      </c>
      <c r="I13" s="47" t="s">
        <v>90</v>
      </c>
      <c r="J13" s="48">
        <f t="shared" si="1"/>
        <v>33</v>
      </c>
    </row>
    <row r="14" spans="1:11" ht="21" customHeight="1" x14ac:dyDescent="0.15">
      <c r="A14" s="141">
        <v>30045013</v>
      </c>
      <c r="B14" s="47">
        <v>0</v>
      </c>
      <c r="C14" s="47">
        <v>90</v>
      </c>
      <c r="D14" s="47">
        <v>33</v>
      </c>
      <c r="E14" s="47" t="s">
        <v>53</v>
      </c>
      <c r="F14" s="47" t="s">
        <v>90</v>
      </c>
      <c r="G14" s="47" t="s">
        <v>254</v>
      </c>
      <c r="H14" s="47" t="s">
        <v>90</v>
      </c>
      <c r="I14" s="47" t="s">
        <v>90</v>
      </c>
      <c r="J14" s="48">
        <f t="shared" si="1"/>
        <v>33</v>
      </c>
    </row>
    <row r="15" spans="1:11" ht="21" customHeight="1" thickBot="1" x14ac:dyDescent="0.2">
      <c r="A15" s="141">
        <v>30045014</v>
      </c>
      <c r="B15" s="145">
        <v>0</v>
      </c>
      <c r="C15" s="145">
        <v>70</v>
      </c>
      <c r="D15" s="145">
        <v>100</v>
      </c>
      <c r="E15" s="145" t="s">
        <v>53</v>
      </c>
      <c r="F15" s="145" t="s">
        <v>90</v>
      </c>
      <c r="G15" s="145" t="s">
        <v>254</v>
      </c>
      <c r="H15" s="145" t="s">
        <v>90</v>
      </c>
      <c r="I15" s="145" t="s">
        <v>90</v>
      </c>
      <c r="J15" s="48">
        <f t="shared" si="1"/>
        <v>100</v>
      </c>
    </row>
    <row r="16" spans="1:11" ht="21" customHeight="1" x14ac:dyDescent="0.15">
      <c r="A16" s="128">
        <v>30045015</v>
      </c>
      <c r="B16" s="143">
        <v>1</v>
      </c>
      <c r="C16" s="143" t="s">
        <v>89</v>
      </c>
      <c r="D16" s="143">
        <v>100</v>
      </c>
      <c r="E16" s="143" t="s">
        <v>53</v>
      </c>
      <c r="F16" s="143" t="s">
        <v>90</v>
      </c>
      <c r="G16" s="143">
        <v>1</v>
      </c>
      <c r="H16" s="143" t="s">
        <v>90</v>
      </c>
      <c r="I16" s="143" t="s">
        <v>90</v>
      </c>
      <c r="J16" s="48">
        <f t="shared" si="1"/>
        <v>100</v>
      </c>
    </row>
    <row r="17" spans="1:10" ht="21" customHeight="1" x14ac:dyDescent="0.15">
      <c r="A17" s="128">
        <v>30045016</v>
      </c>
      <c r="B17" s="47">
        <v>0</v>
      </c>
      <c r="C17" s="47">
        <v>150</v>
      </c>
      <c r="D17" s="47">
        <v>33</v>
      </c>
      <c r="E17" s="47">
        <v>70</v>
      </c>
      <c r="F17" s="47" t="s">
        <v>90</v>
      </c>
      <c r="G17" s="47" t="s">
        <v>254</v>
      </c>
      <c r="H17" s="47">
        <v>3</v>
      </c>
      <c r="I17" s="47" t="s">
        <v>90</v>
      </c>
      <c r="J17" s="48">
        <f t="shared" si="1"/>
        <v>33</v>
      </c>
    </row>
    <row r="18" spans="1:10" ht="21" customHeight="1" x14ac:dyDescent="0.15">
      <c r="A18" s="128">
        <v>30045017</v>
      </c>
      <c r="B18" s="47">
        <v>0</v>
      </c>
      <c r="C18" s="47">
        <v>100</v>
      </c>
      <c r="D18" s="47">
        <v>25</v>
      </c>
      <c r="E18" s="47" t="s">
        <v>53</v>
      </c>
      <c r="F18" s="47" t="s">
        <v>90</v>
      </c>
      <c r="G18" s="47" t="s">
        <v>254</v>
      </c>
      <c r="H18" s="47" t="s">
        <v>90</v>
      </c>
      <c r="I18" s="47" t="s">
        <v>90</v>
      </c>
      <c r="J18" s="48">
        <f t="shared" si="1"/>
        <v>25</v>
      </c>
    </row>
    <row r="19" spans="1:10" ht="21" customHeight="1" x14ac:dyDescent="0.15">
      <c r="A19" s="128">
        <v>30045018</v>
      </c>
      <c r="B19" s="47">
        <v>0</v>
      </c>
      <c r="C19" s="47">
        <v>90</v>
      </c>
      <c r="D19" s="47">
        <v>25</v>
      </c>
      <c r="E19" s="47" t="s">
        <v>53</v>
      </c>
      <c r="F19" s="47" t="s">
        <v>90</v>
      </c>
      <c r="G19" s="47" t="s">
        <v>254</v>
      </c>
      <c r="H19" s="47" t="s">
        <v>90</v>
      </c>
      <c r="I19" s="47" t="s">
        <v>90</v>
      </c>
      <c r="J19" s="48">
        <f t="shared" si="1"/>
        <v>25</v>
      </c>
    </row>
    <row r="20" spans="1:10" ht="21" customHeight="1" x14ac:dyDescent="0.15">
      <c r="A20" s="128">
        <v>30045019</v>
      </c>
      <c r="B20" s="47">
        <v>0</v>
      </c>
      <c r="C20" s="47">
        <v>80</v>
      </c>
      <c r="D20" s="47">
        <v>25</v>
      </c>
      <c r="E20" s="47" t="s">
        <v>53</v>
      </c>
      <c r="F20" s="47" t="s">
        <v>90</v>
      </c>
      <c r="G20" s="47" t="s">
        <v>254</v>
      </c>
      <c r="H20" s="47" t="s">
        <v>90</v>
      </c>
      <c r="I20" s="47" t="s">
        <v>90</v>
      </c>
      <c r="J20" s="48">
        <f t="shared" si="1"/>
        <v>25</v>
      </c>
    </row>
    <row r="21" spans="1:10" ht="21" customHeight="1" thickBot="1" x14ac:dyDescent="0.2">
      <c r="A21" s="128">
        <v>30045020</v>
      </c>
      <c r="B21" s="145">
        <v>0</v>
      </c>
      <c r="C21" s="145">
        <v>70</v>
      </c>
      <c r="D21" s="145">
        <v>100</v>
      </c>
      <c r="E21" s="145" t="s">
        <v>53</v>
      </c>
      <c r="F21" s="145" t="s">
        <v>90</v>
      </c>
      <c r="G21" s="145" t="s">
        <v>254</v>
      </c>
      <c r="H21" s="145" t="s">
        <v>90</v>
      </c>
      <c r="I21" s="145" t="s">
        <v>90</v>
      </c>
      <c r="J21" s="48">
        <f t="shared" ref="J21" si="2">D21</f>
        <v>100</v>
      </c>
    </row>
    <row r="22" spans="1:10" ht="21" customHeight="1" x14ac:dyDescent="0.15">
      <c r="A22" s="150">
        <v>30045025</v>
      </c>
      <c r="B22" s="143">
        <v>1</v>
      </c>
      <c r="C22" s="143" t="s">
        <v>53</v>
      </c>
      <c r="D22" s="143">
        <v>100</v>
      </c>
      <c r="E22" s="143" t="s">
        <v>53</v>
      </c>
      <c r="F22" s="143" t="s">
        <v>90</v>
      </c>
      <c r="G22" s="143">
        <v>1</v>
      </c>
      <c r="H22" s="143" t="s">
        <v>90</v>
      </c>
      <c r="I22" s="143" t="s">
        <v>90</v>
      </c>
      <c r="J22" s="48">
        <f t="shared" ref="J22:J28" si="3">D22</f>
        <v>100</v>
      </c>
    </row>
    <row r="23" spans="1:10" ht="21" customHeight="1" x14ac:dyDescent="0.15">
      <c r="A23" s="150">
        <v>30045026</v>
      </c>
      <c r="B23" s="47">
        <v>0</v>
      </c>
      <c r="C23" s="47">
        <v>150</v>
      </c>
      <c r="D23" s="47">
        <v>100</v>
      </c>
      <c r="E23" s="47">
        <v>50</v>
      </c>
      <c r="F23" s="47" t="s">
        <v>90</v>
      </c>
      <c r="G23" s="47">
        <v>1</v>
      </c>
      <c r="H23" s="47" t="s">
        <v>261</v>
      </c>
      <c r="I23" s="47" t="s">
        <v>90</v>
      </c>
      <c r="J23" s="48">
        <f t="shared" si="3"/>
        <v>100</v>
      </c>
    </row>
    <row r="24" spans="1:10" ht="21" customHeight="1" x14ac:dyDescent="0.15">
      <c r="A24" s="150">
        <v>30045027</v>
      </c>
      <c r="B24" s="47">
        <v>0</v>
      </c>
      <c r="C24" s="47">
        <v>100</v>
      </c>
      <c r="D24" s="47">
        <v>14</v>
      </c>
      <c r="E24" s="47" t="s">
        <v>53</v>
      </c>
      <c r="F24" s="47" t="s">
        <v>90</v>
      </c>
      <c r="G24" s="47" t="s">
        <v>254</v>
      </c>
      <c r="H24" s="47" t="s">
        <v>90</v>
      </c>
      <c r="I24" s="47" t="s">
        <v>90</v>
      </c>
      <c r="J24" s="48">
        <f t="shared" si="3"/>
        <v>14</v>
      </c>
    </row>
    <row r="25" spans="1:10" ht="21" customHeight="1" x14ac:dyDescent="0.15">
      <c r="A25" s="150">
        <v>30045028</v>
      </c>
      <c r="B25" s="47">
        <v>0</v>
      </c>
      <c r="C25" s="47">
        <v>90</v>
      </c>
      <c r="D25" s="47">
        <v>14</v>
      </c>
      <c r="E25" s="47" t="s">
        <v>53</v>
      </c>
      <c r="F25" s="47" t="s">
        <v>90</v>
      </c>
      <c r="G25" s="47" t="s">
        <v>254</v>
      </c>
      <c r="H25" s="47" t="s">
        <v>90</v>
      </c>
      <c r="I25" s="47" t="s">
        <v>90</v>
      </c>
      <c r="J25" s="48">
        <f t="shared" si="3"/>
        <v>14</v>
      </c>
    </row>
    <row r="26" spans="1:10" ht="21" customHeight="1" x14ac:dyDescent="0.15">
      <c r="A26" s="150">
        <v>30045029</v>
      </c>
      <c r="B26" s="47">
        <v>0</v>
      </c>
      <c r="C26" s="47">
        <v>80</v>
      </c>
      <c r="D26" s="47">
        <v>14</v>
      </c>
      <c r="E26" s="47" t="s">
        <v>53</v>
      </c>
      <c r="F26" s="47" t="s">
        <v>90</v>
      </c>
      <c r="G26" s="47" t="s">
        <v>254</v>
      </c>
      <c r="H26" s="47" t="s">
        <v>90</v>
      </c>
      <c r="I26" s="47" t="s">
        <v>90</v>
      </c>
      <c r="J26" s="48">
        <f t="shared" si="3"/>
        <v>14</v>
      </c>
    </row>
    <row r="27" spans="1:10" ht="21" customHeight="1" x14ac:dyDescent="0.15">
      <c r="A27" s="150">
        <v>30045030</v>
      </c>
      <c r="B27" s="47">
        <v>0</v>
      </c>
      <c r="C27" s="47">
        <v>70</v>
      </c>
      <c r="D27" s="47">
        <v>14</v>
      </c>
      <c r="E27" s="47" t="s">
        <v>53</v>
      </c>
      <c r="F27" s="47" t="s">
        <v>90</v>
      </c>
      <c r="G27" s="47" t="s">
        <v>254</v>
      </c>
      <c r="H27" s="47" t="s">
        <v>90</v>
      </c>
      <c r="I27" s="47" t="s">
        <v>90</v>
      </c>
      <c r="J27" s="48">
        <f t="shared" si="3"/>
        <v>14</v>
      </c>
    </row>
    <row r="28" spans="1:10" ht="21" customHeight="1" x14ac:dyDescent="0.15">
      <c r="A28" s="150">
        <v>30045031</v>
      </c>
      <c r="B28" s="47">
        <v>0</v>
      </c>
      <c r="C28" s="47">
        <v>60</v>
      </c>
      <c r="D28" s="47">
        <v>14</v>
      </c>
      <c r="E28" s="47" t="s">
        <v>53</v>
      </c>
      <c r="F28" s="47" t="s">
        <v>90</v>
      </c>
      <c r="G28" s="47" t="s">
        <v>254</v>
      </c>
      <c r="H28" s="47" t="s">
        <v>90</v>
      </c>
      <c r="I28" s="47" t="s">
        <v>90</v>
      </c>
      <c r="J28" s="48">
        <f t="shared" si="3"/>
        <v>14</v>
      </c>
    </row>
    <row r="29" spans="1:10" ht="21" customHeight="1" x14ac:dyDescent="0.15">
      <c r="A29" s="150">
        <v>30045032</v>
      </c>
      <c r="B29" s="47">
        <v>0</v>
      </c>
      <c r="C29" s="47">
        <v>50</v>
      </c>
      <c r="D29" s="47">
        <v>14</v>
      </c>
      <c r="E29" s="47" t="s">
        <v>53</v>
      </c>
      <c r="F29" s="47" t="s">
        <v>90</v>
      </c>
      <c r="G29" s="47" t="s">
        <v>254</v>
      </c>
      <c r="H29" s="47" t="s">
        <v>90</v>
      </c>
      <c r="I29" s="47" t="s">
        <v>90</v>
      </c>
      <c r="J29" s="48">
        <f t="shared" ref="J29" si="4">D29</f>
        <v>14</v>
      </c>
    </row>
    <row r="30" spans="1:10" ht="21" customHeight="1" x14ac:dyDescent="0.15">
      <c r="A30" s="150">
        <v>30045033</v>
      </c>
      <c r="B30" s="47">
        <v>0</v>
      </c>
      <c r="C30" s="47">
        <v>40</v>
      </c>
      <c r="D30" s="47">
        <v>100</v>
      </c>
      <c r="E30" s="47" t="s">
        <v>53</v>
      </c>
      <c r="F30" s="47" t="s">
        <v>90</v>
      </c>
      <c r="G30" s="47" t="s">
        <v>254</v>
      </c>
      <c r="H30" s="47" t="s">
        <v>90</v>
      </c>
      <c r="I30" s="47" t="s">
        <v>90</v>
      </c>
      <c r="J30" s="48">
        <f t="shared" ref="J30" si="5">D30</f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O25" sqref="O2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1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6">
        <f>floors!C2</f>
        <v>30045</v>
      </c>
      <c r="B2" s="56">
        <v>3</v>
      </c>
      <c r="C2" s="70" t="str">
        <f>A2&amp; "_"&amp;B2</f>
        <v>30045_3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169</v>
      </c>
      <c r="G2" s="56">
        <v>6500</v>
      </c>
      <c r="H2" s="56" t="s">
        <v>170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100</v>
      </c>
      <c r="Q2" s="56" t="s">
        <v>171</v>
      </c>
      <c r="R2" s="56" t="s">
        <v>172</v>
      </c>
    </row>
    <row r="3" spans="1:18" x14ac:dyDescent="0.15">
      <c r="A3" s="56">
        <f>floors!C3</f>
        <v>30045</v>
      </c>
      <c r="B3" s="56">
        <v>3</v>
      </c>
      <c r="C3" s="70" t="str">
        <f t="shared" ref="C3:C11" si="0">A3&amp; "_"&amp;B3</f>
        <v>30045_3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285</v>
      </c>
      <c r="G3" s="56">
        <v>25</v>
      </c>
      <c r="H3" s="56" t="s">
        <v>170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100</v>
      </c>
      <c r="Q3" s="56" t="s">
        <v>171</v>
      </c>
      <c r="R3" s="56" t="s">
        <v>172</v>
      </c>
    </row>
    <row r="4" spans="1:18" x14ac:dyDescent="0.15">
      <c r="A4" s="56">
        <f>floors!C4</f>
        <v>30045</v>
      </c>
      <c r="B4" s="56">
        <v>3</v>
      </c>
      <c r="C4" s="70" t="str">
        <f t="shared" si="0"/>
        <v>30045_3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286</v>
      </c>
      <c r="G4" s="56">
        <v>336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28</v>
      </c>
      <c r="Q4" s="56" t="s">
        <v>171</v>
      </c>
      <c r="R4" s="56" t="s">
        <v>172</v>
      </c>
    </row>
    <row r="5" spans="1:18" x14ac:dyDescent="0.15">
      <c r="A5" s="56">
        <f>floors!C5</f>
        <v>30045</v>
      </c>
      <c r="B5" s="56">
        <v>3</v>
      </c>
      <c r="C5" s="70" t="str">
        <f t="shared" si="0"/>
        <v>30045_3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286</v>
      </c>
      <c r="G5" s="56">
        <v>337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56</v>
      </c>
      <c r="Q5" s="56" t="s">
        <v>171</v>
      </c>
      <c r="R5" s="56" t="s">
        <v>172</v>
      </c>
    </row>
    <row r="6" spans="1:18" x14ac:dyDescent="0.15">
      <c r="A6" s="56">
        <f>floors!C6</f>
        <v>30045</v>
      </c>
      <c r="B6" s="56">
        <v>3</v>
      </c>
      <c r="C6" s="70" t="str">
        <f t="shared" si="0"/>
        <v>30045_3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286</v>
      </c>
      <c r="G6" s="56">
        <v>338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56</v>
      </c>
      <c r="Q6" s="56" t="s">
        <v>171</v>
      </c>
      <c r="R6" s="56" t="s">
        <v>172</v>
      </c>
    </row>
    <row r="7" spans="1:18" x14ac:dyDescent="0.15">
      <c r="A7" s="56">
        <f>floors!C7</f>
        <v>30045</v>
      </c>
      <c r="B7" s="56">
        <v>3</v>
      </c>
      <c r="C7" s="70" t="str">
        <f t="shared" si="0"/>
        <v>30045_3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286</v>
      </c>
      <c r="G7" s="56">
        <v>350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100</v>
      </c>
      <c r="Q7" s="56" t="s">
        <v>171</v>
      </c>
      <c r="R7" s="56" t="s">
        <v>172</v>
      </c>
    </row>
    <row r="8" spans="1:18" x14ac:dyDescent="0.15">
      <c r="A8" s="56">
        <f>floors!C8</f>
        <v>30045</v>
      </c>
      <c r="B8" s="56">
        <v>3</v>
      </c>
      <c r="C8" s="70" t="str">
        <f t="shared" si="0"/>
        <v>30045_3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286</v>
      </c>
      <c r="G8" s="56">
        <v>121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50</v>
      </c>
      <c r="Q8" s="56" t="s">
        <v>171</v>
      </c>
      <c r="R8" s="56" t="s">
        <v>172</v>
      </c>
    </row>
    <row r="9" spans="1:18" x14ac:dyDescent="0.15">
      <c r="A9" s="56">
        <f>floors!C9</f>
        <v>30045</v>
      </c>
      <c r="B9" s="56">
        <v>3</v>
      </c>
      <c r="C9" s="70" t="str">
        <f t="shared" si="0"/>
        <v>30045_3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286</v>
      </c>
      <c r="G9" s="56">
        <v>122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50</v>
      </c>
      <c r="Q9" s="56" t="s">
        <v>171</v>
      </c>
      <c r="R9" s="56" t="s">
        <v>172</v>
      </c>
    </row>
    <row r="10" spans="1:18" x14ac:dyDescent="0.15">
      <c r="A10" s="56">
        <f>floors!C10</f>
        <v>30045</v>
      </c>
      <c r="B10" s="56">
        <v>3</v>
      </c>
      <c r="C10" s="70" t="str">
        <f t="shared" si="0"/>
        <v>30045_3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286</v>
      </c>
      <c r="G10" s="56">
        <v>123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50</v>
      </c>
      <c r="Q10" s="56" t="s">
        <v>171</v>
      </c>
      <c r="R10" s="56" t="s">
        <v>172</v>
      </c>
    </row>
    <row r="11" spans="1:18" x14ac:dyDescent="0.15">
      <c r="A11" s="56">
        <f>floors!C11</f>
        <v>30045</v>
      </c>
      <c r="B11" s="56">
        <v>3</v>
      </c>
      <c r="C11" s="70" t="str">
        <f t="shared" si="0"/>
        <v>30045_3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286</v>
      </c>
      <c r="G11" s="56">
        <v>125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10</v>
      </c>
      <c r="Q11" s="56" t="s">
        <v>171</v>
      </c>
      <c r="R11" s="56" t="s">
        <v>172</v>
      </c>
    </row>
    <row r="12" spans="1:18" x14ac:dyDescent="0.15">
      <c r="A12" s="56">
        <f>floors!C12</f>
        <v>30045</v>
      </c>
      <c r="B12" s="56">
        <v>3</v>
      </c>
      <c r="C12" s="70" t="str">
        <f t="shared" ref="C12" si="1">A12&amp; "_"&amp;B12</f>
        <v>30045_3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286</v>
      </c>
      <c r="G12" s="56">
        <v>1216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162">
        <v>400</v>
      </c>
      <c r="Q12" s="56" t="s">
        <v>171</v>
      </c>
      <c r="R12" s="56" t="s">
        <v>172</v>
      </c>
    </row>
    <row r="13" spans="1:18" x14ac:dyDescent="0.15">
      <c r="A13" s="56">
        <f>floors!C13</f>
        <v>30045</v>
      </c>
      <c r="B13" s="163">
        <v>2</v>
      </c>
      <c r="C13" s="70" t="str">
        <f t="shared" ref="C13" si="2">A13&amp; "_"&amp;B13</f>
        <v>30045_2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63">
        <v>12</v>
      </c>
      <c r="F13" s="163" t="s">
        <v>169</v>
      </c>
      <c r="G13" s="163">
        <v>5000</v>
      </c>
      <c r="H13" s="163" t="s">
        <v>170</v>
      </c>
      <c r="I13" s="163">
        <v>1</v>
      </c>
      <c r="J13" s="163">
        <v>1</v>
      </c>
      <c r="K13" s="163">
        <v>0</v>
      </c>
      <c r="L13" s="163">
        <v>0</v>
      </c>
      <c r="M13" s="163">
        <v>0</v>
      </c>
      <c r="N13" s="163">
        <v>0</v>
      </c>
      <c r="O13" s="163">
        <v>1</v>
      </c>
      <c r="P13" s="164">
        <v>200</v>
      </c>
      <c r="Q13" s="56" t="s">
        <v>171</v>
      </c>
      <c r="R13" s="56" t="s">
        <v>172</v>
      </c>
    </row>
    <row r="14" spans="1:18" x14ac:dyDescent="0.15">
      <c r="A14" s="56">
        <v>30045</v>
      </c>
      <c r="B14" s="163">
        <v>2</v>
      </c>
      <c r="C14" s="70" t="str">
        <f t="shared" ref="C14:C24" si="3">A14&amp; "_"&amp;B14</f>
        <v>30045_2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63">
        <v>13</v>
      </c>
      <c r="F14" s="163" t="s">
        <v>285</v>
      </c>
      <c r="G14" s="163">
        <v>25</v>
      </c>
      <c r="H14" s="163" t="s">
        <v>170</v>
      </c>
      <c r="I14" s="163">
        <v>1</v>
      </c>
      <c r="J14" s="163">
        <v>1</v>
      </c>
      <c r="K14" s="163">
        <v>0</v>
      </c>
      <c r="L14" s="163">
        <v>0</v>
      </c>
      <c r="M14" s="163">
        <v>0</v>
      </c>
      <c r="N14" s="163">
        <v>0</v>
      </c>
      <c r="O14" s="163">
        <v>1</v>
      </c>
      <c r="P14" s="164">
        <v>150</v>
      </c>
      <c r="Q14" s="56" t="s">
        <v>171</v>
      </c>
      <c r="R14" s="56" t="s">
        <v>172</v>
      </c>
    </row>
    <row r="15" spans="1:18" x14ac:dyDescent="0.15">
      <c r="A15" s="56">
        <v>30045</v>
      </c>
      <c r="B15" s="163">
        <v>2</v>
      </c>
      <c r="C15" s="70" t="str">
        <f t="shared" si="3"/>
        <v>30045_2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63">
        <v>14</v>
      </c>
      <c r="F15" s="163" t="s">
        <v>286</v>
      </c>
      <c r="G15" s="163">
        <v>336</v>
      </c>
      <c r="H15" s="163">
        <v>1</v>
      </c>
      <c r="I15" s="163">
        <v>1</v>
      </c>
      <c r="J15" s="163">
        <v>1</v>
      </c>
      <c r="K15" s="163">
        <v>0</v>
      </c>
      <c r="L15" s="163">
        <v>0</v>
      </c>
      <c r="M15" s="163">
        <v>0</v>
      </c>
      <c r="N15" s="163">
        <v>0</v>
      </c>
      <c r="O15" s="163">
        <v>1</v>
      </c>
      <c r="P15" s="164">
        <v>56</v>
      </c>
      <c r="Q15" s="56" t="s">
        <v>171</v>
      </c>
      <c r="R15" s="56" t="s">
        <v>172</v>
      </c>
    </row>
    <row r="16" spans="1:18" x14ac:dyDescent="0.15">
      <c r="A16" s="56">
        <v>30045</v>
      </c>
      <c r="B16" s="163">
        <v>2</v>
      </c>
      <c r="C16" s="70" t="str">
        <f t="shared" si="3"/>
        <v>30045_2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63">
        <v>15</v>
      </c>
      <c r="F16" s="163" t="s">
        <v>286</v>
      </c>
      <c r="G16" s="163">
        <v>337</v>
      </c>
      <c r="H16" s="163">
        <v>1</v>
      </c>
      <c r="I16" s="163">
        <v>1</v>
      </c>
      <c r="J16" s="163">
        <v>1</v>
      </c>
      <c r="K16" s="163">
        <v>0</v>
      </c>
      <c r="L16" s="163">
        <v>0</v>
      </c>
      <c r="M16" s="163">
        <v>0</v>
      </c>
      <c r="N16" s="163">
        <v>0</v>
      </c>
      <c r="O16" s="163">
        <v>1</v>
      </c>
      <c r="P16" s="164">
        <v>56</v>
      </c>
      <c r="Q16" s="56" t="s">
        <v>171</v>
      </c>
      <c r="R16" s="56" t="s">
        <v>172</v>
      </c>
    </row>
    <row r="17" spans="1:18" x14ac:dyDescent="0.15">
      <c r="A17" s="56">
        <v>30045</v>
      </c>
      <c r="B17" s="163">
        <v>2</v>
      </c>
      <c r="C17" s="70" t="str">
        <f t="shared" si="3"/>
        <v>30045_2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63">
        <v>16</v>
      </c>
      <c r="F17" s="163" t="s">
        <v>286</v>
      </c>
      <c r="G17" s="163">
        <v>338</v>
      </c>
      <c r="H17" s="163">
        <v>1</v>
      </c>
      <c r="I17" s="163">
        <v>1</v>
      </c>
      <c r="J17" s="163">
        <v>1</v>
      </c>
      <c r="K17" s="163">
        <v>0</v>
      </c>
      <c r="L17" s="163">
        <v>0</v>
      </c>
      <c r="M17" s="163">
        <v>0</v>
      </c>
      <c r="N17" s="163">
        <v>0</v>
      </c>
      <c r="O17" s="163">
        <v>1</v>
      </c>
      <c r="P17" s="164">
        <v>28</v>
      </c>
      <c r="Q17" s="56" t="s">
        <v>171</v>
      </c>
      <c r="R17" s="56" t="s">
        <v>172</v>
      </c>
    </row>
    <row r="18" spans="1:18" x14ac:dyDescent="0.15">
      <c r="A18" s="56">
        <v>30045</v>
      </c>
      <c r="B18" s="163">
        <v>2</v>
      </c>
      <c r="C18" s="70" t="str">
        <f t="shared" si="3"/>
        <v>30045_2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3">
        <v>17</v>
      </c>
      <c r="F18" s="163" t="s">
        <v>286</v>
      </c>
      <c r="G18" s="163">
        <v>350</v>
      </c>
      <c r="H18" s="163">
        <v>1</v>
      </c>
      <c r="I18" s="163">
        <v>1</v>
      </c>
      <c r="J18" s="163">
        <v>1</v>
      </c>
      <c r="K18" s="163">
        <v>0</v>
      </c>
      <c r="L18" s="163">
        <v>0</v>
      </c>
      <c r="M18" s="163">
        <v>0</v>
      </c>
      <c r="N18" s="163">
        <v>0</v>
      </c>
      <c r="O18" s="163">
        <v>1</v>
      </c>
      <c r="P18" s="164">
        <v>100</v>
      </c>
      <c r="Q18" s="56" t="s">
        <v>171</v>
      </c>
      <c r="R18" s="56" t="s">
        <v>172</v>
      </c>
    </row>
    <row r="19" spans="1:18" x14ac:dyDescent="0.15">
      <c r="A19" s="56">
        <v>30045</v>
      </c>
      <c r="B19" s="163">
        <v>2</v>
      </c>
      <c r="C19" s="70" t="str">
        <f t="shared" si="3"/>
        <v>30045_2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63">
        <v>18</v>
      </c>
      <c r="F19" s="163" t="s">
        <v>286</v>
      </c>
      <c r="G19" s="163">
        <v>121</v>
      </c>
      <c r="H19" s="163">
        <v>1</v>
      </c>
      <c r="I19" s="163">
        <v>1</v>
      </c>
      <c r="J19" s="163">
        <v>1</v>
      </c>
      <c r="K19" s="163">
        <v>0</v>
      </c>
      <c r="L19" s="163">
        <v>0</v>
      </c>
      <c r="M19" s="163">
        <v>0</v>
      </c>
      <c r="N19" s="163">
        <v>0</v>
      </c>
      <c r="O19" s="163">
        <v>1</v>
      </c>
      <c r="P19" s="164">
        <v>50</v>
      </c>
      <c r="Q19" s="56" t="s">
        <v>171</v>
      </c>
      <c r="R19" s="56" t="s">
        <v>172</v>
      </c>
    </row>
    <row r="20" spans="1:18" x14ac:dyDescent="0.15">
      <c r="A20" s="56">
        <v>30045</v>
      </c>
      <c r="B20" s="163">
        <v>2</v>
      </c>
      <c r="C20" s="70" t="str">
        <f t="shared" si="3"/>
        <v>30045_2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63">
        <v>19</v>
      </c>
      <c r="F20" s="163" t="s">
        <v>286</v>
      </c>
      <c r="G20" s="163">
        <v>122</v>
      </c>
      <c r="H20" s="163">
        <v>1</v>
      </c>
      <c r="I20" s="163">
        <v>1</v>
      </c>
      <c r="J20" s="163">
        <v>1</v>
      </c>
      <c r="K20" s="163">
        <v>0</v>
      </c>
      <c r="L20" s="163">
        <v>0</v>
      </c>
      <c r="M20" s="163">
        <v>0</v>
      </c>
      <c r="N20" s="163">
        <v>0</v>
      </c>
      <c r="O20" s="163">
        <v>1</v>
      </c>
      <c r="P20" s="164">
        <v>50</v>
      </c>
      <c r="Q20" s="56" t="s">
        <v>171</v>
      </c>
      <c r="R20" s="56" t="s">
        <v>172</v>
      </c>
    </row>
    <row r="21" spans="1:18" x14ac:dyDescent="0.15">
      <c r="A21" s="56">
        <v>30045</v>
      </c>
      <c r="B21" s="163">
        <v>2</v>
      </c>
      <c r="C21" s="70" t="str">
        <f t="shared" si="3"/>
        <v>30045_2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63">
        <v>20</v>
      </c>
      <c r="F21" s="163" t="s">
        <v>286</v>
      </c>
      <c r="G21" s="163">
        <v>123</v>
      </c>
      <c r="H21" s="163">
        <v>1</v>
      </c>
      <c r="I21" s="163">
        <v>1</v>
      </c>
      <c r="J21" s="163">
        <v>1</v>
      </c>
      <c r="K21" s="163">
        <v>0</v>
      </c>
      <c r="L21" s="163">
        <v>0</v>
      </c>
      <c r="M21" s="163">
        <v>0</v>
      </c>
      <c r="N21" s="163">
        <v>0</v>
      </c>
      <c r="O21" s="163">
        <v>1</v>
      </c>
      <c r="P21" s="164">
        <v>50</v>
      </c>
      <c r="Q21" s="56" t="s">
        <v>171</v>
      </c>
      <c r="R21" s="56" t="s">
        <v>172</v>
      </c>
    </row>
    <row r="22" spans="1:18" x14ac:dyDescent="0.15">
      <c r="A22" s="56">
        <v>30045</v>
      </c>
      <c r="B22" s="163">
        <v>2</v>
      </c>
      <c r="C22" s="70" t="str">
        <f t="shared" si="3"/>
        <v>30045_2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63">
        <v>21</v>
      </c>
      <c r="F22" s="163" t="s">
        <v>286</v>
      </c>
      <c r="G22" s="163">
        <v>125</v>
      </c>
      <c r="H22" s="163">
        <v>1</v>
      </c>
      <c r="I22" s="163">
        <v>1</v>
      </c>
      <c r="J22" s="163">
        <v>1</v>
      </c>
      <c r="K22" s="163">
        <v>0</v>
      </c>
      <c r="L22" s="163">
        <v>0</v>
      </c>
      <c r="M22" s="163">
        <v>0</v>
      </c>
      <c r="N22" s="163">
        <v>0</v>
      </c>
      <c r="O22" s="163">
        <v>1</v>
      </c>
      <c r="P22" s="164">
        <v>10</v>
      </c>
      <c r="Q22" s="56" t="s">
        <v>171</v>
      </c>
      <c r="R22" s="56" t="s">
        <v>172</v>
      </c>
    </row>
    <row r="23" spans="1:18" x14ac:dyDescent="0.15">
      <c r="A23" s="56">
        <v>30045</v>
      </c>
      <c r="B23" s="163">
        <v>2</v>
      </c>
      <c r="C23" s="70" t="str">
        <f t="shared" si="3"/>
        <v>30045_2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63">
        <v>22</v>
      </c>
      <c r="F23" s="163" t="s">
        <v>286</v>
      </c>
      <c r="G23" s="163">
        <v>1216</v>
      </c>
      <c r="H23" s="163">
        <v>1</v>
      </c>
      <c r="I23" s="163">
        <v>1</v>
      </c>
      <c r="J23" s="163">
        <v>1</v>
      </c>
      <c r="K23" s="163">
        <v>0</v>
      </c>
      <c r="L23" s="163">
        <v>0</v>
      </c>
      <c r="M23" s="163">
        <v>0</v>
      </c>
      <c r="N23" s="163">
        <v>0</v>
      </c>
      <c r="O23" s="163">
        <v>1</v>
      </c>
      <c r="P23" s="165">
        <v>250</v>
      </c>
      <c r="Q23" s="56" t="s">
        <v>171</v>
      </c>
      <c r="R23" s="56" t="s">
        <v>172</v>
      </c>
    </row>
    <row r="24" spans="1:18" x14ac:dyDescent="0.15">
      <c r="A24" s="56">
        <v>30045</v>
      </c>
      <c r="B24" s="166">
        <v>1</v>
      </c>
      <c r="C24" s="70" t="str">
        <f t="shared" si="3"/>
        <v>30045_1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66">
        <v>23</v>
      </c>
      <c r="F24" s="166" t="s">
        <v>169</v>
      </c>
      <c r="G24" s="166">
        <v>3200</v>
      </c>
      <c r="H24" s="166" t="s">
        <v>170</v>
      </c>
      <c r="I24" s="166">
        <v>1</v>
      </c>
      <c r="J24" s="166">
        <v>1</v>
      </c>
      <c r="K24" s="166">
        <v>0</v>
      </c>
      <c r="L24" s="166">
        <v>0</v>
      </c>
      <c r="M24" s="166">
        <v>0</v>
      </c>
      <c r="N24" s="166">
        <v>0</v>
      </c>
      <c r="O24" s="166">
        <v>1</v>
      </c>
      <c r="P24" s="167">
        <v>200</v>
      </c>
      <c r="Q24" s="56" t="s">
        <v>171</v>
      </c>
      <c r="R24" s="56" t="s">
        <v>172</v>
      </c>
    </row>
    <row r="25" spans="1:18" x14ac:dyDescent="0.15">
      <c r="A25" s="56">
        <v>30045</v>
      </c>
      <c r="B25" s="166">
        <v>1</v>
      </c>
      <c r="C25" s="70" t="str">
        <f t="shared" ref="C25" si="4">A25&amp; "_"&amp;B25</f>
        <v>30045_1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66">
        <v>24</v>
      </c>
      <c r="F25" s="166" t="s">
        <v>285</v>
      </c>
      <c r="G25" s="166">
        <v>20</v>
      </c>
      <c r="H25" s="166" t="s">
        <v>170</v>
      </c>
      <c r="I25" s="166">
        <v>1</v>
      </c>
      <c r="J25" s="166">
        <v>1</v>
      </c>
      <c r="K25" s="166">
        <v>0</v>
      </c>
      <c r="L25" s="166">
        <v>0</v>
      </c>
      <c r="M25" s="166">
        <v>0</v>
      </c>
      <c r="N25" s="166">
        <v>0</v>
      </c>
      <c r="O25" s="166">
        <v>1</v>
      </c>
      <c r="P25" s="167">
        <v>200</v>
      </c>
      <c r="Q25" s="56" t="s">
        <v>171</v>
      </c>
      <c r="R25" s="56" t="s">
        <v>172</v>
      </c>
    </row>
    <row r="26" spans="1:18" x14ac:dyDescent="0.15">
      <c r="A26" s="56">
        <v>30045</v>
      </c>
      <c r="B26" s="166">
        <v>1</v>
      </c>
      <c r="C26" s="70" t="str">
        <f t="shared" ref="C26" si="5">A26&amp; "_"&amp;B26</f>
        <v>30045_1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66">
        <v>25</v>
      </c>
      <c r="F26" s="166" t="s">
        <v>286</v>
      </c>
      <c r="G26" s="166">
        <v>336</v>
      </c>
      <c r="H26" s="166">
        <v>1</v>
      </c>
      <c r="I26" s="166">
        <v>1</v>
      </c>
      <c r="J26" s="166">
        <v>1</v>
      </c>
      <c r="K26" s="166">
        <v>0</v>
      </c>
      <c r="L26" s="166">
        <v>0</v>
      </c>
      <c r="M26" s="166">
        <v>0</v>
      </c>
      <c r="N26" s="166">
        <v>0</v>
      </c>
      <c r="O26" s="166">
        <v>1</v>
      </c>
      <c r="P26" s="167">
        <v>70</v>
      </c>
      <c r="Q26" s="56" t="s">
        <v>171</v>
      </c>
      <c r="R26" s="56" t="s">
        <v>172</v>
      </c>
    </row>
    <row r="27" spans="1:18" x14ac:dyDescent="0.15">
      <c r="A27" s="56">
        <v>30045</v>
      </c>
      <c r="B27" s="166">
        <v>1</v>
      </c>
      <c r="C27" s="70" t="str">
        <f t="shared" ref="C27:C33" si="6">A27&amp; "_"&amp;B27</f>
        <v>30045_1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66">
        <v>26</v>
      </c>
      <c r="F27" s="166" t="s">
        <v>286</v>
      </c>
      <c r="G27" s="166">
        <v>337</v>
      </c>
      <c r="H27" s="166">
        <v>1</v>
      </c>
      <c r="I27" s="166">
        <v>1</v>
      </c>
      <c r="J27" s="166">
        <v>1</v>
      </c>
      <c r="K27" s="166">
        <v>0</v>
      </c>
      <c r="L27" s="166">
        <v>0</v>
      </c>
      <c r="M27" s="166">
        <v>0</v>
      </c>
      <c r="N27" s="166">
        <v>0</v>
      </c>
      <c r="O27" s="166">
        <v>1</v>
      </c>
      <c r="P27" s="167">
        <v>70</v>
      </c>
      <c r="Q27" s="56" t="s">
        <v>171</v>
      </c>
      <c r="R27" s="56" t="s">
        <v>172</v>
      </c>
    </row>
    <row r="28" spans="1:18" x14ac:dyDescent="0.15">
      <c r="A28" s="56">
        <v>30045</v>
      </c>
      <c r="B28" s="166">
        <v>1</v>
      </c>
      <c r="C28" s="70" t="str">
        <f t="shared" si="6"/>
        <v>30045_1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166">
        <v>27</v>
      </c>
      <c r="F28" s="166" t="s">
        <v>286</v>
      </c>
      <c r="G28" s="166">
        <v>350</v>
      </c>
      <c r="H28" s="166">
        <v>1</v>
      </c>
      <c r="I28" s="166">
        <v>1</v>
      </c>
      <c r="J28" s="166">
        <v>1</v>
      </c>
      <c r="K28" s="166">
        <v>0</v>
      </c>
      <c r="L28" s="166">
        <v>0</v>
      </c>
      <c r="M28" s="166">
        <v>0</v>
      </c>
      <c r="N28" s="166">
        <v>0</v>
      </c>
      <c r="O28" s="166">
        <v>1</v>
      </c>
      <c r="P28" s="167">
        <v>100</v>
      </c>
      <c r="Q28" s="56" t="s">
        <v>171</v>
      </c>
      <c r="R28" s="56" t="s">
        <v>172</v>
      </c>
    </row>
    <row r="29" spans="1:18" x14ac:dyDescent="0.15">
      <c r="A29" s="56">
        <v>30045</v>
      </c>
      <c r="B29" s="166">
        <v>1</v>
      </c>
      <c r="C29" s="70" t="str">
        <f t="shared" si="6"/>
        <v>30045_1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66">
        <v>28</v>
      </c>
      <c r="F29" s="166" t="s">
        <v>286</v>
      </c>
      <c r="G29" s="166">
        <v>121</v>
      </c>
      <c r="H29" s="166">
        <v>1</v>
      </c>
      <c r="I29" s="166">
        <v>1</v>
      </c>
      <c r="J29" s="166">
        <v>1</v>
      </c>
      <c r="K29" s="166">
        <v>0</v>
      </c>
      <c r="L29" s="166">
        <v>0</v>
      </c>
      <c r="M29" s="166">
        <v>0</v>
      </c>
      <c r="N29" s="166">
        <v>0</v>
      </c>
      <c r="O29" s="166">
        <v>1</v>
      </c>
      <c r="P29" s="167">
        <v>50</v>
      </c>
      <c r="Q29" s="56" t="s">
        <v>171</v>
      </c>
      <c r="R29" s="56" t="s">
        <v>172</v>
      </c>
    </row>
    <row r="30" spans="1:18" x14ac:dyDescent="0.15">
      <c r="A30" s="56">
        <v>30045</v>
      </c>
      <c r="B30" s="166">
        <v>1</v>
      </c>
      <c r="C30" s="70" t="str">
        <f t="shared" si="6"/>
        <v>30045_1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66">
        <v>29</v>
      </c>
      <c r="F30" s="166" t="s">
        <v>286</v>
      </c>
      <c r="G30" s="166">
        <v>122</v>
      </c>
      <c r="H30" s="166">
        <v>1</v>
      </c>
      <c r="I30" s="166">
        <v>1</v>
      </c>
      <c r="J30" s="166">
        <v>1</v>
      </c>
      <c r="K30" s="166">
        <v>0</v>
      </c>
      <c r="L30" s="166">
        <v>0</v>
      </c>
      <c r="M30" s="166">
        <v>0</v>
      </c>
      <c r="N30" s="166">
        <v>0</v>
      </c>
      <c r="O30" s="166">
        <v>1</v>
      </c>
      <c r="P30" s="167">
        <v>50</v>
      </c>
      <c r="Q30" s="56" t="s">
        <v>171</v>
      </c>
      <c r="R30" s="56" t="s">
        <v>172</v>
      </c>
    </row>
    <row r="31" spans="1:18" x14ac:dyDescent="0.15">
      <c r="A31" s="56">
        <v>30045</v>
      </c>
      <c r="B31" s="166">
        <v>1</v>
      </c>
      <c r="C31" s="70" t="str">
        <f t="shared" si="6"/>
        <v>30045_1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66">
        <v>30</v>
      </c>
      <c r="F31" s="166" t="s">
        <v>286</v>
      </c>
      <c r="G31" s="166">
        <v>123</v>
      </c>
      <c r="H31" s="166">
        <v>1</v>
      </c>
      <c r="I31" s="166">
        <v>1</v>
      </c>
      <c r="J31" s="166">
        <v>1</v>
      </c>
      <c r="K31" s="166">
        <v>0</v>
      </c>
      <c r="L31" s="166">
        <v>0</v>
      </c>
      <c r="M31" s="166">
        <v>0</v>
      </c>
      <c r="N31" s="166">
        <v>0</v>
      </c>
      <c r="O31" s="166">
        <v>1</v>
      </c>
      <c r="P31" s="167">
        <v>50</v>
      </c>
      <c r="Q31" s="56" t="s">
        <v>171</v>
      </c>
      <c r="R31" s="56" t="s">
        <v>172</v>
      </c>
    </row>
    <row r="32" spans="1:18" x14ac:dyDescent="0.15">
      <c r="A32" s="56">
        <v>30045</v>
      </c>
      <c r="B32" s="166">
        <v>1</v>
      </c>
      <c r="C32" s="70" t="str">
        <f t="shared" si="6"/>
        <v>30045_1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66">
        <v>31</v>
      </c>
      <c r="F32" s="166" t="s">
        <v>286</v>
      </c>
      <c r="G32" s="166">
        <v>125</v>
      </c>
      <c r="H32" s="166">
        <v>1</v>
      </c>
      <c r="I32" s="166">
        <v>1</v>
      </c>
      <c r="J32" s="166">
        <v>1</v>
      </c>
      <c r="K32" s="166">
        <v>0</v>
      </c>
      <c r="L32" s="166">
        <v>0</v>
      </c>
      <c r="M32" s="166">
        <v>0</v>
      </c>
      <c r="N32" s="166">
        <v>0</v>
      </c>
      <c r="O32" s="166">
        <v>1</v>
      </c>
      <c r="P32" s="167">
        <v>10</v>
      </c>
      <c r="Q32" s="56" t="s">
        <v>171</v>
      </c>
      <c r="R32" s="56" t="s">
        <v>172</v>
      </c>
    </row>
    <row r="33" spans="1:18" x14ac:dyDescent="0.15">
      <c r="A33" s="56">
        <v>30045</v>
      </c>
      <c r="B33" s="166">
        <v>1</v>
      </c>
      <c r="C33" s="70" t="str">
        <f t="shared" si="6"/>
        <v>30045_1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66">
        <v>32</v>
      </c>
      <c r="F33" s="166" t="s">
        <v>286</v>
      </c>
      <c r="G33" s="166">
        <v>1216</v>
      </c>
      <c r="H33" s="166">
        <v>1</v>
      </c>
      <c r="I33" s="166">
        <v>1</v>
      </c>
      <c r="J33" s="166">
        <v>1</v>
      </c>
      <c r="K33" s="166">
        <v>0</v>
      </c>
      <c r="L33" s="166">
        <v>0</v>
      </c>
      <c r="M33" s="166">
        <v>0</v>
      </c>
      <c r="N33" s="166">
        <v>0</v>
      </c>
      <c r="O33" s="166">
        <v>1</v>
      </c>
      <c r="P33" s="168">
        <v>200</v>
      </c>
      <c r="Q33" s="56" t="s">
        <v>171</v>
      </c>
      <c r="R33" s="56" t="s">
        <v>172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189</v>
      </c>
      <c r="B1" s="72" t="s">
        <v>190</v>
      </c>
      <c r="C1" s="76" t="s">
        <v>191</v>
      </c>
      <c r="D1" s="76" t="s">
        <v>33</v>
      </c>
      <c r="E1" s="72" t="s">
        <v>192</v>
      </c>
      <c r="F1" s="76" t="s">
        <v>193</v>
      </c>
      <c r="G1" s="76" t="s">
        <v>33</v>
      </c>
      <c r="H1" s="72" t="s">
        <v>194</v>
      </c>
      <c r="I1" s="90" t="s">
        <v>196</v>
      </c>
      <c r="J1" s="78" t="s">
        <v>127</v>
      </c>
      <c r="K1" s="77" t="s">
        <v>188</v>
      </c>
      <c r="L1" s="91" t="s">
        <v>187</v>
      </c>
      <c r="M1" s="79" t="s">
        <v>197</v>
      </c>
    </row>
    <row r="2" spans="1:13" x14ac:dyDescent="0.15">
      <c r="A2" s="80" t="s">
        <v>202</v>
      </c>
      <c r="B2" s="81">
        <f>floors!$C$2</f>
        <v>30045</v>
      </c>
      <c r="C2" s="82" t="str">
        <f ca="1">VLOOKUP($B2,OFFSET([2]quests!$A$1,0,0,COUNTA([2]quests!$A:$A),MATCH(C$1,[2]quests!$1:$1,0)-MATCH($B$1,[2]quests!$1:$1,0)+1),MATCH(C$1,[2]quests!$1:$1,0)-MATCH($B$1,[2]quests!$1:$1,0)+1,FALSE)</f>
        <v>れもん色の衝動</v>
      </c>
      <c r="D2" s="82" t="str">
        <f ca="1">VLOOKUP($B2,OFFSET([2]quests!$A$1,0,0,COUNTA([2]quests!$A:$A),MATCH(D$1,[2]quests!$1:$1,0)-MATCH($B$1,[2]quests!$1:$1,0)+1),MATCH(D$1,[2]quests!$1:$1,0)-MATCH($B$1,[2]quests!$1:$1,0)+1,FALSE)</f>
        <v>文豪シリーズ　超級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【中級】れもん色の衝動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文豪シリーズ　超級</v>
      </c>
      <c r="H2" s="84">
        <v>0</v>
      </c>
      <c r="I2">
        <v>3</v>
      </c>
      <c r="J2" s="83" t="s">
        <v>199</v>
      </c>
      <c r="K2" s="92" t="str">
        <f>VLOOKUP(I2,[7]stage_hints!$A:$C,3,FALSE)</f>
        <v>ターゲット</v>
      </c>
      <c r="L2" s="93" t="str">
        <f>VLOOKUP(I2,[7]stage_hints!$A:$D,4,FALSE)</f>
        <v>敵ユニットをタップすると_x000D_その敵を狙い撃ちできます</v>
      </c>
      <c r="M2" s="56" t="s">
        <v>212</v>
      </c>
    </row>
    <row r="3" spans="1:13" x14ac:dyDescent="0.15">
      <c r="A3" s="80" t="s">
        <v>202</v>
      </c>
      <c r="B3" s="81">
        <f>floors!$C$2</f>
        <v>30045</v>
      </c>
      <c r="C3" s="82" t="str">
        <f ca="1">VLOOKUP($B3,OFFSET([2]quests!$A$1,0,0,COUNTA([2]quests!$A:$A),MATCH(C$1,[2]quests!$1:$1,0)-MATCH($B$1,[2]quests!$1:$1,0)+1),MATCH(C$1,[2]quests!$1:$1,0)-MATCH($B$1,[2]quests!$1:$1,0)+1,FALSE)</f>
        <v>れもん色の衝動</v>
      </c>
      <c r="D3" s="82" t="str">
        <f ca="1">VLOOKUP($B3,OFFSET([2]quests!$A$1,0,0,COUNTA([2]quests!$A:$A),MATCH(D$1,[2]quests!$1:$1,0)-MATCH($B$1,[2]quests!$1:$1,0)+1),MATCH(D$1,[2]quests!$1:$1,0)-MATCH($B$1,[2]quests!$1:$1,0)+1,FALSE)</f>
        <v>文豪シリーズ　超級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【中級】れもん色の衝動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文豪シリーズ　超級</v>
      </c>
      <c r="H3" s="84">
        <v>0</v>
      </c>
      <c r="I3">
        <v>6</v>
      </c>
      <c r="J3" s="83" t="s">
        <v>199</v>
      </c>
      <c r="K3" s="92" t="str">
        <f>VLOOKUP(I3,[7]stage_hints!$A:$C,3,FALSE)</f>
        <v>ユニット強化の属性ボーナス</v>
      </c>
      <c r="L3" s="93" t="str">
        <f>VLOOKUP(I3,[7]stage_hints!$A:$D,4,FALSE)</f>
        <v>同属性ユニットを強化素材にすると_x000D_経験値が多くもらえます</v>
      </c>
      <c r="M3" s="56" t="s">
        <v>212</v>
      </c>
    </row>
    <row r="4" spans="1:13" x14ac:dyDescent="0.15">
      <c r="A4" s="80" t="s">
        <v>202</v>
      </c>
      <c r="B4" s="81">
        <f>floors!$C$2</f>
        <v>30045</v>
      </c>
      <c r="C4" s="82" t="str">
        <f ca="1">VLOOKUP($B4,OFFSET([2]quests!$A$1,0,0,COUNTA([2]quests!$A:$A),MATCH(C$1,[2]quests!$1:$1,0)-MATCH($B$1,[2]quests!$1:$1,0)+1),MATCH(C$1,[2]quests!$1:$1,0)-MATCH($B$1,[2]quests!$1:$1,0)+1,FALSE)</f>
        <v>れもん色の衝動</v>
      </c>
      <c r="D4" s="82" t="str">
        <f ca="1">VLOOKUP($B4,OFFSET([2]quests!$A$1,0,0,COUNTA([2]quests!$A:$A),MATCH(D$1,[2]quests!$1:$1,0)-MATCH($B$1,[2]quests!$1:$1,0)+1),MATCH(D$1,[2]quests!$1:$1,0)-MATCH($B$1,[2]quests!$1:$1,0)+1,FALSE)</f>
        <v>文豪シリーズ　超級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【中級】れもん色の衝動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文豪シリーズ　超級</v>
      </c>
      <c r="H4" s="84">
        <v>0</v>
      </c>
      <c r="I4">
        <v>7</v>
      </c>
      <c r="J4" s="83" t="s">
        <v>199</v>
      </c>
      <c r="K4" s="92" t="str">
        <f>VLOOKUP(I4,[7]stage_hints!$A:$C,3,FALSE)</f>
        <v>メタルダックで経験値を獲得</v>
      </c>
      <c r="L4" s="93" t="str">
        <f>VLOOKUP(I4,[7]stage_hints!$A:$D,4,FALSE)</f>
        <v>「メタルなアヒル」を強化素材にすると_x000D_大量の経験値がもらえます</v>
      </c>
      <c r="M4" s="56" t="s">
        <v>212</v>
      </c>
    </row>
    <row r="5" spans="1:13" x14ac:dyDescent="0.15">
      <c r="A5" s="80" t="s">
        <v>202</v>
      </c>
      <c r="B5" s="81">
        <f>floors!$C$2</f>
        <v>30045</v>
      </c>
      <c r="C5" s="82" t="str">
        <f ca="1">VLOOKUP($B5,OFFSET([2]quests!$A$1,0,0,COUNTA([2]quests!$A:$A),MATCH(C$1,[2]quests!$1:$1,0)-MATCH($B$1,[2]quests!$1:$1,0)+1),MATCH(C$1,[2]quests!$1:$1,0)-MATCH($B$1,[2]quests!$1:$1,0)+1,FALSE)</f>
        <v>れもん色の衝動</v>
      </c>
      <c r="D5" s="82" t="str">
        <f ca="1">VLOOKUP($B5,OFFSET([2]quests!$A$1,0,0,COUNTA([2]quests!$A:$A),MATCH(D$1,[2]quests!$1:$1,0)-MATCH($B$1,[2]quests!$1:$1,0)+1),MATCH(D$1,[2]quests!$1:$1,0)-MATCH($B$1,[2]quests!$1:$1,0)+1,FALSE)</f>
        <v>文豪シリーズ　超級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【中級】れもん色の衝動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文豪シリーズ　超級</v>
      </c>
      <c r="H5" s="84">
        <v>0</v>
      </c>
      <c r="I5">
        <v>8</v>
      </c>
      <c r="J5" s="83" t="s">
        <v>199</v>
      </c>
      <c r="K5" s="92" t="str">
        <f>VLOOKUP(I5,[7]stage_hints!$A:$C,3,FALSE)</f>
        <v>ゲリラクエストは要チェック</v>
      </c>
      <c r="L5" s="93" t="str">
        <f>VLOOKUP(I5,[7]stage_hints!$A:$D,4,FALSE)</f>
        <v>時間限定の「アヒル捕獲作戦」では_x000D_経験値素材ユニットが多く手に入ります</v>
      </c>
      <c r="M5" s="56" t="s">
        <v>212</v>
      </c>
    </row>
    <row r="6" spans="1:13" x14ac:dyDescent="0.15">
      <c r="A6" s="80" t="s">
        <v>202</v>
      </c>
      <c r="B6" s="81">
        <f>floors!$C$2</f>
        <v>30045</v>
      </c>
      <c r="C6" s="82" t="str">
        <f ca="1">VLOOKUP($B6,OFFSET([2]quests!$A$1,0,0,COUNTA([2]quests!$A:$A),MATCH(C$1,[2]quests!$1:$1,0)-MATCH($B$1,[2]quests!$1:$1,0)+1),MATCH(C$1,[2]quests!$1:$1,0)-MATCH($B$1,[2]quests!$1:$1,0)+1,FALSE)</f>
        <v>れもん色の衝動</v>
      </c>
      <c r="D6" s="82" t="str">
        <f ca="1">VLOOKUP($B6,OFFSET([2]quests!$A$1,0,0,COUNTA([2]quests!$A:$A),MATCH(D$1,[2]quests!$1:$1,0)-MATCH($B$1,[2]quests!$1:$1,0)+1),MATCH(D$1,[2]quests!$1:$1,0)-MATCH($B$1,[2]quests!$1:$1,0)+1,FALSE)</f>
        <v>文豪シリーズ　超級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【中級】れもん色の衝動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文豪シリーズ　超級</v>
      </c>
      <c r="H6" s="84">
        <v>0</v>
      </c>
      <c r="I6">
        <v>9</v>
      </c>
      <c r="J6" s="83" t="s">
        <v>199</v>
      </c>
      <c r="K6" s="92" t="str">
        <f>VLOOKUP(I6,[7]stage_hints!$A:$C,3,FALSE)</f>
        <v>ゴールドダックでビットを獲得</v>
      </c>
      <c r="L6" s="93" t="str">
        <f>VLOOKUP(I6,[7]stage_hints!$A:$D,4,FALSE)</f>
        <v>「ゴールドなアヒル」を売却すると_x000D_大量のビットがもらえます</v>
      </c>
      <c r="M6" s="56" t="s">
        <v>212</v>
      </c>
    </row>
    <row r="7" spans="1:13" x14ac:dyDescent="0.15">
      <c r="A7" s="80" t="s">
        <v>202</v>
      </c>
      <c r="B7" s="81">
        <f>floors!$C$2</f>
        <v>30045</v>
      </c>
      <c r="C7" s="82" t="str">
        <f ca="1">VLOOKUP($B7,OFFSET([2]quests!$A$1,0,0,COUNTA([2]quests!$A:$A),MATCH(C$1,[2]quests!$1:$1,0)-MATCH($B$1,[2]quests!$1:$1,0)+1),MATCH(C$1,[2]quests!$1:$1,0)-MATCH($B$1,[2]quests!$1:$1,0)+1,FALSE)</f>
        <v>れもん色の衝動</v>
      </c>
      <c r="D7" s="82" t="str">
        <f ca="1">VLOOKUP($B7,OFFSET([2]quests!$A$1,0,0,COUNTA([2]quests!$A:$A),MATCH(D$1,[2]quests!$1:$1,0)-MATCH($B$1,[2]quests!$1:$1,0)+1),MATCH(D$1,[2]quests!$1:$1,0)-MATCH($B$1,[2]quests!$1:$1,0)+1,FALSE)</f>
        <v>文豪シリーズ　超級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【中級】れもん色の衝動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文豪シリーズ　超級</v>
      </c>
      <c r="H7" s="84">
        <v>0</v>
      </c>
      <c r="I7">
        <v>10</v>
      </c>
      <c r="J7" s="83" t="s">
        <v>199</v>
      </c>
      <c r="K7" s="92" t="str">
        <f>VLOOKUP(I7,[7]stage_hints!$A:$C,3,FALSE)</f>
        <v>土日に大量のビットを獲得</v>
      </c>
      <c r="L7" s="93" t="str">
        <f>VLOOKUP(I7,[7]stage_hints!$A:$D,4,FALSE)</f>
        <v>土日限定の「ゴールドカジノ」では_x000D_売却素材ユニットが多く手に入ります</v>
      </c>
      <c r="M7" s="56" t="s">
        <v>212</v>
      </c>
    </row>
    <row r="8" spans="1:13" x14ac:dyDescent="0.15">
      <c r="A8" s="80" t="s">
        <v>202</v>
      </c>
      <c r="B8" s="81">
        <f>floors!$C$2</f>
        <v>30045</v>
      </c>
      <c r="C8" s="82" t="str">
        <f ca="1">VLOOKUP($B8,OFFSET([2]quests!$A$1,0,0,COUNTA([2]quests!$A:$A),MATCH(C$1,[2]quests!$1:$1,0)-MATCH($B$1,[2]quests!$1:$1,0)+1),MATCH(C$1,[2]quests!$1:$1,0)-MATCH($B$1,[2]quests!$1:$1,0)+1,FALSE)</f>
        <v>れもん色の衝動</v>
      </c>
      <c r="D8" s="82" t="str">
        <f ca="1">VLOOKUP($B8,OFFSET([2]quests!$A$1,0,0,COUNTA([2]quests!$A:$A),MATCH(D$1,[2]quests!$1:$1,0)-MATCH($B$1,[2]quests!$1:$1,0)+1),MATCH(D$1,[2]quests!$1:$1,0)-MATCH($B$1,[2]quests!$1:$1,0)+1,FALSE)</f>
        <v>文豪シリーズ　超級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【中級】れもん色の衝動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文豪シリーズ　超級</v>
      </c>
      <c r="H8" s="84">
        <v>0</v>
      </c>
      <c r="I8">
        <v>11</v>
      </c>
      <c r="J8" s="83" t="s">
        <v>199</v>
      </c>
      <c r="K8" s="92" t="str">
        <f>VLOOKUP(I8,[7]stage_hints!$A:$C,3,FALSE)</f>
        <v>ランク解放クエスト</v>
      </c>
      <c r="L8" s="93" t="str">
        <f>VLOOKUP(I8,[7]stage_hints!$A:$D,4,FALSE)</f>
        <v>一定ランクに到達すると_x000D_報酬付きのランク開放クエストが現れます</v>
      </c>
      <c r="M8" s="56" t="s">
        <v>212</v>
      </c>
    </row>
    <row r="9" spans="1:13" x14ac:dyDescent="0.15">
      <c r="A9" s="80" t="s">
        <v>202</v>
      </c>
      <c r="B9" s="81">
        <f>floors!$C$2</f>
        <v>30045</v>
      </c>
      <c r="C9" s="82" t="str">
        <f ca="1">VLOOKUP($B9,OFFSET([2]quests!$A$1,0,0,COUNTA([2]quests!$A:$A),MATCH(C$1,[2]quests!$1:$1,0)-MATCH($B$1,[2]quests!$1:$1,0)+1),MATCH(C$1,[2]quests!$1:$1,0)-MATCH($B$1,[2]quests!$1:$1,0)+1,FALSE)</f>
        <v>れもん色の衝動</v>
      </c>
      <c r="D9" s="82" t="str">
        <f ca="1">VLOOKUP($B9,OFFSET([2]quests!$A$1,0,0,COUNTA([2]quests!$A:$A),MATCH(D$1,[2]quests!$1:$1,0)-MATCH($B$1,[2]quests!$1:$1,0)+1),MATCH(D$1,[2]quests!$1:$1,0)-MATCH($B$1,[2]quests!$1:$1,0)+1,FALSE)</f>
        <v>文豪シリーズ　超級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【中級】れもん色の衝動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文豪シリーズ　超級</v>
      </c>
      <c r="H9" s="84">
        <v>0</v>
      </c>
      <c r="I9">
        <v>12</v>
      </c>
      <c r="J9" s="83" t="s">
        <v>199</v>
      </c>
      <c r="K9" s="92" t="str">
        <f>VLOOKUP(I9,[7]stage_hints!$A:$C,3,FALSE)</f>
        <v>ユニットのお気に入り登録</v>
      </c>
      <c r="L9" s="93" t="str">
        <f>VLOOKUP(I9,[7]stage_hints!$A:$D,4,FALSE)</f>
        <v>大事なユニットを誤って消さないように_x000D_フォルダから「お気に入り登録」しましょう</v>
      </c>
      <c r="M9" s="56" t="s">
        <v>212</v>
      </c>
    </row>
    <row r="10" spans="1:13" x14ac:dyDescent="0.15">
      <c r="A10" s="80" t="s">
        <v>202</v>
      </c>
      <c r="B10" s="81">
        <f>floors!$C$2</f>
        <v>30045</v>
      </c>
      <c r="C10" s="82" t="str">
        <f ca="1">VLOOKUP($B10,OFFSET([2]quests!$A$1,0,0,COUNTA([2]quests!$A:$A),MATCH(C$1,[2]quests!$1:$1,0)-MATCH($B$1,[2]quests!$1:$1,0)+1),MATCH(C$1,[2]quests!$1:$1,0)-MATCH($B$1,[2]quests!$1:$1,0)+1,FALSE)</f>
        <v>れもん色の衝動</v>
      </c>
      <c r="D10" s="82" t="str">
        <f ca="1">VLOOKUP($B10,OFFSET([2]quests!$A$1,0,0,COUNTA([2]quests!$A:$A),MATCH(D$1,[2]quests!$1:$1,0)-MATCH($B$1,[2]quests!$1:$1,0)+1),MATCH(D$1,[2]quests!$1:$1,0)-MATCH($B$1,[2]quests!$1:$1,0)+1,FALSE)</f>
        <v>文豪シリーズ　超級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【中級】れもん色の衝動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文豪シリーズ　超級</v>
      </c>
      <c r="H10" s="84">
        <v>0</v>
      </c>
      <c r="I10">
        <v>13</v>
      </c>
      <c r="J10" s="83" t="s">
        <v>199</v>
      </c>
      <c r="K10" s="92" t="str">
        <f>VLOOKUP(I10,[7]stage_hints!$A:$C,3,FALSE)</f>
        <v>ユニットの覚醒</v>
      </c>
      <c r="L10" s="93" t="str">
        <f>VLOOKUP(I10,[7]stage_hints!$A:$D,4,FALSE)</f>
        <v>ユニットを覚醒させると_x000D_比べものにならない強さが手に入ります</v>
      </c>
      <c r="M10" s="56" t="s">
        <v>212</v>
      </c>
    </row>
    <row r="11" spans="1:13" x14ac:dyDescent="0.15">
      <c r="A11" s="80" t="s">
        <v>202</v>
      </c>
      <c r="B11" s="81">
        <f>floors!$C$2</f>
        <v>30045</v>
      </c>
      <c r="C11" s="82" t="str">
        <f ca="1">VLOOKUP($B11,OFFSET([2]quests!$A$1,0,0,COUNTA([2]quests!$A:$A),MATCH(C$1,[2]quests!$1:$1,0)-MATCH($B$1,[2]quests!$1:$1,0)+1),MATCH(C$1,[2]quests!$1:$1,0)-MATCH($B$1,[2]quests!$1:$1,0)+1,FALSE)</f>
        <v>れもん色の衝動</v>
      </c>
      <c r="D11" s="82" t="str">
        <f ca="1">VLOOKUP($B11,OFFSET([2]quests!$A$1,0,0,COUNTA([2]quests!$A:$A),MATCH(D$1,[2]quests!$1:$1,0)-MATCH($B$1,[2]quests!$1:$1,0)+1),MATCH(D$1,[2]quests!$1:$1,0)-MATCH($B$1,[2]quests!$1:$1,0)+1,FALSE)</f>
        <v>文豪シリーズ　超級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【中級】れもん色の衝動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文豪シリーズ　超級</v>
      </c>
      <c r="H11" s="84">
        <v>0</v>
      </c>
      <c r="I11">
        <v>14</v>
      </c>
      <c r="J11" s="83" t="s">
        <v>199</v>
      </c>
      <c r="K11" s="92" t="str">
        <f>VLOOKUP(I11,[7]stage_hints!$A:$C,3,FALSE)</f>
        <v>覚醒するにはレベルを最大に</v>
      </c>
      <c r="L11" s="93" t="str">
        <f>VLOOKUP(I11,[7]stage_hints!$A:$D,4,FALSE)</f>
        <v>覚醒するにはユニットのレベルを_x000D_最大まで上げる必要があります</v>
      </c>
      <c r="M11" s="56" t="s">
        <v>212</v>
      </c>
    </row>
    <row r="12" spans="1:13" x14ac:dyDescent="0.15">
      <c r="A12" s="80" t="s">
        <v>202</v>
      </c>
      <c r="B12" s="81">
        <f>floors!$C$2</f>
        <v>30045</v>
      </c>
      <c r="C12" s="82" t="str">
        <f ca="1">VLOOKUP($B12,OFFSET([2]quests!$A$1,0,0,COUNTA([2]quests!$A:$A),MATCH(C$1,[2]quests!$1:$1,0)-MATCH($B$1,[2]quests!$1:$1,0)+1),MATCH(C$1,[2]quests!$1:$1,0)-MATCH($B$1,[2]quests!$1:$1,0)+1,FALSE)</f>
        <v>れもん色の衝動</v>
      </c>
      <c r="D12" s="82" t="str">
        <f ca="1">VLOOKUP($B12,OFFSET([2]quests!$A$1,0,0,COUNTA([2]quests!$A:$A),MATCH(D$1,[2]quests!$1:$1,0)-MATCH($B$1,[2]quests!$1:$1,0)+1),MATCH(D$1,[2]quests!$1:$1,0)-MATCH($B$1,[2]quests!$1:$1,0)+1,FALSE)</f>
        <v>文豪シリーズ　超級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【中級】れもん色の衝動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文豪シリーズ　超級</v>
      </c>
      <c r="H12" s="84">
        <v>0</v>
      </c>
      <c r="I12">
        <v>15</v>
      </c>
      <c r="J12" s="83" t="s">
        <v>199</v>
      </c>
      <c r="K12" s="92" t="str">
        <f>VLOOKUP(I12,[7]stage_hints!$A:$C,3,FALSE)</f>
        <v>覚醒素材を獲得</v>
      </c>
      <c r="L12" s="93" t="str">
        <f>VLOOKUP(I12,[7]stage_hints!$A:$D,4,FALSE)</f>
        <v>「曜日クエスト」では_x000D_ユニットの覚醒に必要な素材が手に入ります</v>
      </c>
      <c r="M12" s="56" t="s">
        <v>212</v>
      </c>
    </row>
    <row r="13" spans="1:13" x14ac:dyDescent="0.15">
      <c r="A13" s="80" t="s">
        <v>202</v>
      </c>
      <c r="B13" s="81">
        <f>floors!$C$2</f>
        <v>30045</v>
      </c>
      <c r="C13" s="82" t="str">
        <f ca="1">VLOOKUP($B13,OFFSET([2]quests!$A$1,0,0,COUNTA([2]quests!$A:$A),MATCH(C$1,[2]quests!$1:$1,0)-MATCH($B$1,[2]quests!$1:$1,0)+1),MATCH(C$1,[2]quests!$1:$1,0)-MATCH($B$1,[2]quests!$1:$1,0)+1,FALSE)</f>
        <v>れもん色の衝動</v>
      </c>
      <c r="D13" s="82" t="str">
        <f ca="1">VLOOKUP($B13,OFFSET([2]quests!$A$1,0,0,COUNTA([2]quests!$A:$A),MATCH(D$1,[2]quests!$1:$1,0)-MATCH($B$1,[2]quests!$1:$1,0)+1),MATCH(D$1,[2]quests!$1:$1,0)-MATCH($B$1,[2]quests!$1:$1,0)+1,FALSE)</f>
        <v>文豪シリーズ　超級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【中級】れもん色の衝動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文豪シリーズ　超級</v>
      </c>
      <c r="H13" s="84">
        <v>0</v>
      </c>
      <c r="I13">
        <v>16</v>
      </c>
      <c r="J13" s="83" t="s">
        <v>199</v>
      </c>
      <c r="K13" s="92" t="str">
        <f>VLOOKUP(I13,[7]stage_hints!$A:$C,3,FALSE)</f>
        <v>マルチプレイのメリット（その1）</v>
      </c>
      <c r="L13" s="93" t="str">
        <f>VLOOKUP(I13,[7]stage_hints!$A:$D,4,FALSE)</f>
        <v>他のプレイヤーとマルチプレイで遊ぶと_x000D_ポリゴンがもらえます（100人まで）</v>
      </c>
      <c r="M13" s="56" t="s">
        <v>212</v>
      </c>
    </row>
    <row r="14" spans="1:13" x14ac:dyDescent="0.15">
      <c r="A14" s="80" t="s">
        <v>202</v>
      </c>
      <c r="B14" s="81">
        <f>floors!$C$2</f>
        <v>30045</v>
      </c>
      <c r="C14" s="82" t="str">
        <f ca="1">VLOOKUP($B14,OFFSET([2]quests!$A$1,0,0,COUNTA([2]quests!$A:$A),MATCH(C$1,[2]quests!$1:$1,0)-MATCH($B$1,[2]quests!$1:$1,0)+1),MATCH(C$1,[2]quests!$1:$1,0)-MATCH($B$1,[2]quests!$1:$1,0)+1,FALSE)</f>
        <v>れもん色の衝動</v>
      </c>
      <c r="D14" s="82" t="str">
        <f ca="1">VLOOKUP($B14,OFFSET([2]quests!$A$1,0,0,COUNTA([2]quests!$A:$A),MATCH(D$1,[2]quests!$1:$1,0)-MATCH($B$1,[2]quests!$1:$1,0)+1),MATCH(D$1,[2]quests!$1:$1,0)-MATCH($B$1,[2]quests!$1:$1,0)+1,FALSE)</f>
        <v>文豪シリーズ　超級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【中級】れもん色の衝動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文豪シリーズ　超級</v>
      </c>
      <c r="H14" s="84">
        <v>0</v>
      </c>
      <c r="I14">
        <v>17</v>
      </c>
      <c r="J14" s="83" t="s">
        <v>199</v>
      </c>
      <c r="K14" s="92" t="str">
        <f>VLOOKUP(I14,[7]stage_hints!$A:$C,3,FALSE)</f>
        <v>リンクガチャ</v>
      </c>
      <c r="L14" s="93" t="str">
        <f>VLOOKUP(I14,[7]stage_hints!$A:$D,4,FALSE)</f>
        <v>無料のリンクガチャを回して_x000D_経験値素材や売却素材を獲得しましょう</v>
      </c>
      <c r="M14" s="56" t="s">
        <v>212</v>
      </c>
    </row>
    <row r="15" spans="1:13" x14ac:dyDescent="0.15">
      <c r="A15" s="80" t="s">
        <v>202</v>
      </c>
      <c r="B15" s="81">
        <f>floors!$C$2</f>
        <v>30045</v>
      </c>
      <c r="C15" s="82" t="str">
        <f ca="1">VLOOKUP($B15,OFFSET([2]quests!$A$1,0,0,COUNTA([2]quests!$A:$A),MATCH(C$1,[2]quests!$1:$1,0)-MATCH($B$1,[2]quests!$1:$1,0)+1),MATCH(C$1,[2]quests!$1:$1,0)-MATCH($B$1,[2]quests!$1:$1,0)+1,FALSE)</f>
        <v>れもん色の衝動</v>
      </c>
      <c r="D15" s="82" t="str">
        <f ca="1">VLOOKUP($B15,OFFSET([2]quests!$A$1,0,0,COUNTA([2]quests!$A:$A),MATCH(D$1,[2]quests!$1:$1,0)-MATCH($B$1,[2]quests!$1:$1,0)+1),MATCH(D$1,[2]quests!$1:$1,0)-MATCH($B$1,[2]quests!$1:$1,0)+1,FALSE)</f>
        <v>文豪シリーズ　超級</v>
      </c>
      <c r="E15" s="86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【中級】れもん色の衝動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文豪シリーズ　超級</v>
      </c>
      <c r="H15" s="84">
        <v>0</v>
      </c>
      <c r="I15">
        <v>18</v>
      </c>
      <c r="J15" s="83" t="s">
        <v>199</v>
      </c>
      <c r="K15" s="92" t="str">
        <f>VLOOKUP(I15,[7]stage_hints!$A:$C,3,FALSE)</f>
        <v>マルチプレイのメリット（その2）</v>
      </c>
      <c r="L15" s="93" t="str">
        <f>VLOOKUP(I15,[7]stage_hints!$A:$D,4,FALSE)</f>
        <v>マルチプレイならリンクが2倍もらえます_x000D_リンクガチャをたくさん回しましょう</v>
      </c>
      <c r="M15" s="56" t="s">
        <v>212</v>
      </c>
    </row>
    <row r="16" spans="1:13" x14ac:dyDescent="0.15">
      <c r="A16" s="80" t="s">
        <v>202</v>
      </c>
      <c r="B16" s="81">
        <f>floors!$C$2</f>
        <v>30045</v>
      </c>
      <c r="C16" s="82" t="str">
        <f ca="1">VLOOKUP($B16,OFFSET([2]quests!$A$1,0,0,COUNTA([2]quests!$A:$A),MATCH(C$1,[2]quests!$1:$1,0)-MATCH($B$1,[2]quests!$1:$1,0)+1),MATCH(C$1,[2]quests!$1:$1,0)-MATCH($B$1,[2]quests!$1:$1,0)+1,FALSE)</f>
        <v>れもん色の衝動</v>
      </c>
      <c r="D16" s="82" t="str">
        <f ca="1">VLOOKUP($B16,OFFSET([2]quests!$A$1,0,0,COUNTA([2]quests!$A:$A),MATCH(D$1,[2]quests!$1:$1,0)-MATCH($B$1,[2]quests!$1:$1,0)+1),MATCH(D$1,[2]quests!$1:$1,0)-MATCH($B$1,[2]quests!$1:$1,0)+1,FALSE)</f>
        <v>文豪シリーズ　超級</v>
      </c>
      <c r="E16" s="86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【中級】れもん色の衝動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文豪シリーズ　超級</v>
      </c>
      <c r="H16" s="84">
        <v>0</v>
      </c>
      <c r="I16">
        <v>19</v>
      </c>
      <c r="J16" s="83" t="s">
        <v>199</v>
      </c>
      <c r="K16" s="92" t="str">
        <f>VLOOKUP(I16,[7]stage_hints!$A:$C,3,FALSE)</f>
        <v>ソロ専用タワーオブザクイーン</v>
      </c>
      <c r="L16" s="93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6" t="s">
        <v>212</v>
      </c>
    </row>
    <row r="17" spans="1:13" x14ac:dyDescent="0.15">
      <c r="A17" s="80" t="s">
        <v>202</v>
      </c>
      <c r="B17" s="81">
        <f>floors!$C$2</f>
        <v>30045</v>
      </c>
      <c r="C17" s="82" t="str">
        <f ca="1">VLOOKUP($B17,OFFSET([2]quests!$A$1,0,0,COUNTA([2]quests!$A:$A),MATCH(C$1,[2]quests!$1:$1,0)-MATCH($B$1,[2]quests!$1:$1,0)+1),MATCH(C$1,[2]quests!$1:$1,0)-MATCH($B$1,[2]quests!$1:$1,0)+1,FALSE)</f>
        <v>れもん色の衝動</v>
      </c>
      <c r="D17" s="82" t="str">
        <f ca="1">VLOOKUP($B17,OFFSET([2]quests!$A$1,0,0,COUNTA([2]quests!$A:$A),MATCH(D$1,[2]quests!$1:$1,0)-MATCH($B$1,[2]quests!$1:$1,0)+1),MATCH(D$1,[2]quests!$1:$1,0)-MATCH($B$1,[2]quests!$1:$1,0)+1,FALSE)</f>
        <v>文豪シリーズ　超級</v>
      </c>
      <c r="E17" s="86">
        <v>1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【中級】れもん色の衝動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文豪シリーズ　超級</v>
      </c>
      <c r="H17" s="84">
        <v>0</v>
      </c>
      <c r="I17">
        <v>20</v>
      </c>
      <c r="J17" s="83" t="s">
        <v>199</v>
      </c>
      <c r="K17" s="92" t="str">
        <f>VLOOKUP(I17,[7]stage_hints!$A:$C,3,FALSE)</f>
        <v>マルチプレイのメリット（その3）</v>
      </c>
      <c r="L17" s="93" t="str">
        <f>VLOOKUP(I17,[7]stage_hints!$A:$D,4,FALSE)</f>
        <v>マルチプレイへの参加はエナジー消費ゼロ_x000D_いつでも好きなだけ遊ぶことができます</v>
      </c>
      <c r="M17" s="56" t="s">
        <v>212</v>
      </c>
    </row>
    <row r="18" spans="1:13" x14ac:dyDescent="0.15">
      <c r="A18" s="80" t="s">
        <v>202</v>
      </c>
      <c r="B18" s="81">
        <f>floors!$C$2</f>
        <v>30045</v>
      </c>
      <c r="C18" s="82" t="str">
        <f ca="1">VLOOKUP($B18,OFFSET([2]quests!$A$1,0,0,COUNTA([2]quests!$A:$A),MATCH(C$1,[2]quests!$1:$1,0)-MATCH($B$1,[2]quests!$1:$1,0)+1),MATCH(C$1,[2]quests!$1:$1,0)-MATCH($B$1,[2]quests!$1:$1,0)+1,FALSE)</f>
        <v>れもん色の衝動</v>
      </c>
      <c r="D18" s="82" t="str">
        <f ca="1">VLOOKUP($B18,OFFSET([2]quests!$A$1,0,0,COUNTA([2]quests!$A:$A),MATCH(D$1,[2]quests!$1:$1,0)-MATCH($B$1,[2]quests!$1:$1,0)+1),MATCH(D$1,[2]quests!$1:$1,0)-MATCH($B$1,[2]quests!$1:$1,0)+1,FALSE)</f>
        <v>文豪シリーズ　超級</v>
      </c>
      <c r="E18" s="86">
        <v>1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【中級】れもん色の衝動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文豪シリーズ　超級</v>
      </c>
      <c r="H18" s="84">
        <v>0</v>
      </c>
      <c r="I18">
        <v>21</v>
      </c>
      <c r="J18" s="83" t="s">
        <v>199</v>
      </c>
      <c r="K18" s="92" t="str">
        <f>VLOOKUP(I18,[7]stage_hints!$A:$C,3,FALSE)</f>
        <v>スキルを有効に</v>
      </c>
      <c r="L18" s="93" t="str">
        <f>VLOOKUP(I18,[7]stage_hints!$A:$D,4,FALSE)</f>
        <v>ターン経過でユニットのスキルが使えます_x000D_強力スキルでバトルを有利に進めましょう</v>
      </c>
      <c r="M18" s="56" t="s">
        <v>212</v>
      </c>
    </row>
    <row r="19" spans="1:13" x14ac:dyDescent="0.15">
      <c r="A19" s="80" t="s">
        <v>202</v>
      </c>
      <c r="B19" s="81">
        <f>floors!$C$2</f>
        <v>30045</v>
      </c>
      <c r="C19" s="82" t="str">
        <f ca="1">VLOOKUP($B19,OFFSET([2]quests!$A$1,0,0,COUNTA([2]quests!$A:$A),MATCH(C$1,[2]quests!$1:$1,0)-MATCH($B$1,[2]quests!$1:$1,0)+1),MATCH(C$1,[2]quests!$1:$1,0)-MATCH($B$1,[2]quests!$1:$1,0)+1,FALSE)</f>
        <v>れもん色の衝動</v>
      </c>
      <c r="D19" s="82" t="str">
        <f ca="1">VLOOKUP($B19,OFFSET([2]quests!$A$1,0,0,COUNTA([2]quests!$A:$A),MATCH(D$1,[2]quests!$1:$1,0)-MATCH($B$1,[2]quests!$1:$1,0)+1),MATCH(D$1,[2]quests!$1:$1,0)-MATCH($B$1,[2]quests!$1:$1,0)+1,FALSE)</f>
        <v>文豪シリーズ　超級</v>
      </c>
      <c r="E19" s="86">
        <v>1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【中級】れもん色の衝動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文豪シリーズ　超級</v>
      </c>
      <c r="H19" s="84">
        <v>0</v>
      </c>
      <c r="I19">
        <v>22</v>
      </c>
      <c r="J19" s="83" t="s">
        <v>199</v>
      </c>
      <c r="K19" s="92" t="str">
        <f>VLOOKUP(I19,[7]stage_hints!$A:$C,3,FALSE)</f>
        <v>フィーバーで一発逆転（その1）</v>
      </c>
      <c r="L19" s="93" t="str">
        <f>VLOOKUP(I19,[7]stage_hints!$A:$D,4,FALSE)</f>
        <v>フィーバーは攻撃と回復を兼ね備えます_x000D_ピンチからの一発逆転を狙いましょう</v>
      </c>
      <c r="M19" s="56" t="s">
        <v>212</v>
      </c>
    </row>
    <row r="20" spans="1:13" x14ac:dyDescent="0.15">
      <c r="A20" s="80" t="s">
        <v>202</v>
      </c>
      <c r="B20" s="81">
        <f>floors!$C$2</f>
        <v>30045</v>
      </c>
      <c r="C20" s="82" t="str">
        <f ca="1">VLOOKUP($B20,OFFSET([2]quests!$A$1,0,0,COUNTA([2]quests!$A:$A),MATCH(C$1,[2]quests!$1:$1,0)-MATCH($B$1,[2]quests!$1:$1,0)+1),MATCH(C$1,[2]quests!$1:$1,0)-MATCH($B$1,[2]quests!$1:$1,0)+1,FALSE)</f>
        <v>れもん色の衝動</v>
      </c>
      <c r="D20" s="82" t="str">
        <f ca="1">VLOOKUP($B20,OFFSET([2]quests!$A$1,0,0,COUNTA([2]quests!$A:$A),MATCH(D$1,[2]quests!$1:$1,0)-MATCH($B$1,[2]quests!$1:$1,0)+1),MATCH(D$1,[2]quests!$1:$1,0)-MATCH($B$1,[2]quests!$1:$1,0)+1,FALSE)</f>
        <v>文豪シリーズ　超級</v>
      </c>
      <c r="E20" s="86">
        <v>1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【中級】れもん色の衝動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文豪シリーズ　超級</v>
      </c>
      <c r="H20" s="84">
        <v>0</v>
      </c>
      <c r="I20">
        <v>23</v>
      </c>
      <c r="J20" s="83" t="s">
        <v>199</v>
      </c>
      <c r="K20" s="92" t="str">
        <f>VLOOKUP(I20,[7]stage_hints!$A:$C,3,FALSE)</f>
        <v>フィーバーで一発逆転（その2）</v>
      </c>
      <c r="L20" s="93" t="str">
        <f>VLOOKUP(I20,[7]stage_hints!$A:$D,4,FALSE)</f>
        <v>フィーバー中は虹色のボムパネルを狙って_x000D_画面上のパネルを一気に破壊しましょう</v>
      </c>
      <c r="M20" s="56" t="s">
        <v>212</v>
      </c>
    </row>
    <row r="21" spans="1:13" x14ac:dyDescent="0.15">
      <c r="A21" s="80" t="s">
        <v>202</v>
      </c>
      <c r="B21" s="81">
        <f>floors!$C$2</f>
        <v>30045</v>
      </c>
      <c r="C21" s="82" t="str">
        <f ca="1">VLOOKUP($B21,OFFSET([2]quests!$A$1,0,0,COUNTA([2]quests!$A:$A),MATCH(C$1,[2]quests!$1:$1,0)-MATCH($B$1,[2]quests!$1:$1,0)+1),MATCH(C$1,[2]quests!$1:$1,0)-MATCH($B$1,[2]quests!$1:$1,0)+1,FALSE)</f>
        <v>れもん色の衝動</v>
      </c>
      <c r="D21" s="82" t="str">
        <f ca="1">VLOOKUP($B21,OFFSET([2]quests!$A$1,0,0,COUNTA([2]quests!$A:$A),MATCH(D$1,[2]quests!$1:$1,0)-MATCH($B$1,[2]quests!$1:$1,0)+1),MATCH(D$1,[2]quests!$1:$1,0)-MATCH($B$1,[2]quests!$1:$1,0)+1,FALSE)</f>
        <v>文豪シリーズ　超級</v>
      </c>
      <c r="E21" s="86">
        <v>1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【中級】れもん色の衝動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文豪シリーズ　超級</v>
      </c>
      <c r="H21" s="84">
        <v>0</v>
      </c>
      <c r="I21">
        <v>24</v>
      </c>
      <c r="J21" s="83" t="s">
        <v>199</v>
      </c>
      <c r="K21" s="92" t="str">
        <f>VLOOKUP(I21,[7]stage_hints!$A:$C,3,FALSE)</f>
        <v>りんごを使って限界突破</v>
      </c>
      <c r="L21" s="93" t="str">
        <f>VLOOKUP(I21,[7]stage_hints!$A:$D,4,FALSE)</f>
        <v>赤りんご(攻撃力) 青りんご(回復力)_x000D_緑りんご(体力)をユニット強化に使うと_x000D_ステータスが限界突破します（計99個迄）</v>
      </c>
      <c r="M21" s="56" t="s">
        <v>212</v>
      </c>
    </row>
    <row r="22" spans="1:13" x14ac:dyDescent="0.15">
      <c r="A22" s="80" t="s">
        <v>202</v>
      </c>
      <c r="B22" s="81">
        <f>floors!$C$2</f>
        <v>30045</v>
      </c>
      <c r="C22" s="82" t="str">
        <f ca="1">VLOOKUP($B22,OFFSET([2]quests!$A$1,0,0,COUNTA([2]quests!$A:$A),MATCH(C$1,[2]quests!$1:$1,0)-MATCH($B$1,[2]quests!$1:$1,0)+1),MATCH(C$1,[2]quests!$1:$1,0)-MATCH($B$1,[2]quests!$1:$1,0)+1,FALSE)</f>
        <v>れもん色の衝動</v>
      </c>
      <c r="D22" s="82" t="str">
        <f ca="1">VLOOKUP($B22,OFFSET([2]quests!$A$1,0,0,COUNTA([2]quests!$A:$A),MATCH(D$1,[2]quests!$1:$1,0)-MATCH($B$1,[2]quests!$1:$1,0)+1),MATCH(D$1,[2]quests!$1:$1,0)-MATCH($B$1,[2]quests!$1:$1,0)+1,FALSE)</f>
        <v>文豪シリーズ　超級</v>
      </c>
      <c r="E22" s="86">
        <v>1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【中級】れもん色の衝動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文豪シリーズ　超級</v>
      </c>
      <c r="H22" s="84">
        <v>0</v>
      </c>
      <c r="I22">
        <v>25</v>
      </c>
      <c r="J22" s="83" t="s">
        <v>199</v>
      </c>
      <c r="K22" s="92" t="str">
        <f>VLOOKUP(I22,[7]stage_hints!$A:$C,3,FALSE)</f>
        <v>スキルレベルアップ</v>
      </c>
      <c r="L22" s="93" t="str">
        <f>VLOOKUP(I22,[7]stage_hints!$A:$D,4,FALSE)</f>
        <v>「クリスタルのりんご」を強化に使うと_x000D_スキルレベルを上げることができます</v>
      </c>
      <c r="M22" s="56" t="s">
        <v>212</v>
      </c>
    </row>
    <row r="23" spans="1:13" x14ac:dyDescent="0.15">
      <c r="A23" s="80" t="s">
        <v>202</v>
      </c>
      <c r="B23" s="81">
        <f>floors!$C$2</f>
        <v>30045</v>
      </c>
      <c r="C23" s="82" t="str">
        <f ca="1">VLOOKUP($B23,OFFSET([2]quests!$A$1,0,0,COUNTA([2]quests!$A:$A),MATCH(C$1,[2]quests!$1:$1,0)-MATCH($B$1,[2]quests!$1:$1,0)+1),MATCH(C$1,[2]quests!$1:$1,0)-MATCH($B$1,[2]quests!$1:$1,0)+1,FALSE)</f>
        <v>れもん色の衝動</v>
      </c>
      <c r="D23" s="82" t="str">
        <f ca="1">VLOOKUP($B23,OFFSET([2]quests!$A$1,0,0,COUNTA([2]quests!$A:$A),MATCH(D$1,[2]quests!$1:$1,0)-MATCH($B$1,[2]quests!$1:$1,0)+1),MATCH(D$1,[2]quests!$1:$1,0)-MATCH($B$1,[2]quests!$1:$1,0)+1,FALSE)</f>
        <v>文豪シリーズ　超級</v>
      </c>
      <c r="E23" s="86">
        <v>1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【中級】れもん色の衝動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文豪シリーズ　超級</v>
      </c>
      <c r="H23" s="84">
        <v>0</v>
      </c>
      <c r="I23">
        <v>26</v>
      </c>
      <c r="J23" s="83" t="s">
        <v>199</v>
      </c>
      <c r="K23" s="92" t="str">
        <f>VLOOKUP(I23,[7]stage_hints!$A:$C,3,FALSE)</f>
        <v>スキルレベルの効果</v>
      </c>
      <c r="L23" s="93" t="str">
        <f>VLOOKUP(I23,[7]stage_hints!$A:$D,4,FALSE)</f>
        <v>スキルレベルが上がると_x000D_短いターンでスキルを使うことができます</v>
      </c>
      <c r="M23" s="56" t="s">
        <v>212</v>
      </c>
    </row>
    <row r="24" spans="1:13" x14ac:dyDescent="0.15">
      <c r="A24" s="80" t="s">
        <v>202</v>
      </c>
      <c r="B24" s="81">
        <f>floors!$C$2</f>
        <v>30045</v>
      </c>
      <c r="C24" s="82" t="str">
        <f ca="1">VLOOKUP($B24,OFFSET([2]quests!$A$1,0,0,COUNTA([2]quests!$A:$A),MATCH(C$1,[2]quests!$1:$1,0)-MATCH($B$1,[2]quests!$1:$1,0)+1),MATCH(C$1,[2]quests!$1:$1,0)-MATCH($B$1,[2]quests!$1:$1,0)+1,FALSE)</f>
        <v>れもん色の衝動</v>
      </c>
      <c r="D24" s="82" t="str">
        <f ca="1">VLOOKUP($B24,OFFSET([2]quests!$A$1,0,0,COUNTA([2]quests!$A:$A),MATCH(D$1,[2]quests!$1:$1,0)-MATCH($B$1,[2]quests!$1:$1,0)+1),MATCH(D$1,[2]quests!$1:$1,0)-MATCH($B$1,[2]quests!$1:$1,0)+1,FALSE)</f>
        <v>文豪シリーズ　超級</v>
      </c>
      <c r="E24" s="86">
        <v>1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【中級】れもん色の衝動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文豪シリーズ　超級</v>
      </c>
      <c r="H24" s="84">
        <v>0</v>
      </c>
      <c r="I24">
        <v>27</v>
      </c>
      <c r="J24" s="83" t="s">
        <v>199</v>
      </c>
      <c r="K24" s="92" t="str">
        <f>VLOOKUP(I24,[7]stage_hints!$A:$C,3,FALSE)</f>
        <v>ホーム画面からデッキを編成</v>
      </c>
      <c r="L24" s="93" t="str">
        <f>VLOOKUP(I24,[7]stage_hints!$A:$D,4,FALSE)</f>
        <v>ホーム画面でユニットを長押しすると_x000D_すぐにパーティ編成に移動できます</v>
      </c>
      <c r="M24" s="56" t="s">
        <v>212</v>
      </c>
    </row>
    <row r="25" spans="1:13" x14ac:dyDescent="0.15">
      <c r="A25" s="80" t="s">
        <v>202</v>
      </c>
      <c r="B25" s="81">
        <f>floors!$C$2</f>
        <v>30045</v>
      </c>
      <c r="C25" s="82" t="str">
        <f ca="1">VLOOKUP($B25,OFFSET([2]quests!$A$1,0,0,COUNTA([2]quests!$A:$A),MATCH(C$1,[2]quests!$1:$1,0)-MATCH($B$1,[2]quests!$1:$1,0)+1),MATCH(C$1,[2]quests!$1:$1,0)-MATCH($B$1,[2]quests!$1:$1,0)+1,FALSE)</f>
        <v>れもん色の衝動</v>
      </c>
      <c r="D25" s="82" t="str">
        <f ca="1">VLOOKUP($B25,OFFSET([2]quests!$A$1,0,0,COUNTA([2]quests!$A:$A),MATCH(D$1,[2]quests!$1:$1,0)-MATCH($B$1,[2]quests!$1:$1,0)+1),MATCH(D$1,[2]quests!$1:$1,0)-MATCH($B$1,[2]quests!$1:$1,0)+1,FALSE)</f>
        <v>文豪シリーズ　超級</v>
      </c>
      <c r="E25" s="86">
        <v>1</v>
      </c>
      <c r="F25" s="82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【中級】れもん色の衝動</v>
      </c>
      <c r="G25" s="82" t="str">
        <f ca="1">VLOOKUP($B25&amp;"_"&amp;$E25,OFFSET([2]stages!$A$1,0,0,COUNTA([2]stages!$A:$A),MATCH(G$1,[2]stages!$2:$2,0)-MATCH("temp_stage",[2]stages!$2:$2,0)+1),MATCH(G$1,[2]stages!$2:$2,0)-MATCH("temp_stage",[2]stages!$2:$2,0)+1,FALSE)</f>
        <v>文豪シリーズ　超級</v>
      </c>
      <c r="H25" s="84">
        <v>0</v>
      </c>
      <c r="I25">
        <v>28</v>
      </c>
      <c r="J25" s="83" t="s">
        <v>199</v>
      </c>
      <c r="K25" s="92" t="str">
        <f>VLOOKUP(I25,[7]stage_hints!$A:$C,3,FALSE)</f>
        <v>ステータス情報は長押しで</v>
      </c>
      <c r="L25" s="93" t="str">
        <f>VLOOKUP(I25,[7]stage_hints!$A:$D,4,FALSE)</f>
        <v>ユニットのアイコンを長押しすると_x000D_ステータス情報を確認することができます</v>
      </c>
      <c r="M25" s="56" t="s">
        <v>212</v>
      </c>
    </row>
    <row r="26" spans="1:13" x14ac:dyDescent="0.15">
      <c r="A26" s="80" t="s">
        <v>202</v>
      </c>
      <c r="B26" s="81">
        <f>floors!$C$2</f>
        <v>30045</v>
      </c>
      <c r="C26" s="82" t="str">
        <f ca="1">VLOOKUP($B26,OFFSET([2]quests!$A$1,0,0,COUNTA([2]quests!$A:$A),MATCH(C$1,[2]quests!$1:$1,0)-MATCH($B$1,[2]quests!$1:$1,0)+1),MATCH(C$1,[2]quests!$1:$1,0)-MATCH($B$1,[2]quests!$1:$1,0)+1,FALSE)</f>
        <v>れもん色の衝動</v>
      </c>
      <c r="D26" s="82" t="str">
        <f ca="1">VLOOKUP($B26,OFFSET([2]quests!$A$1,0,0,COUNTA([2]quests!$A:$A),MATCH(D$1,[2]quests!$1:$1,0)-MATCH($B$1,[2]quests!$1:$1,0)+1),MATCH(D$1,[2]quests!$1:$1,0)-MATCH($B$1,[2]quests!$1:$1,0)+1,FALSE)</f>
        <v>文豪シリーズ　超級</v>
      </c>
      <c r="E26" s="86">
        <v>1</v>
      </c>
      <c r="F26" s="82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【中級】れもん色の衝動</v>
      </c>
      <c r="G26" s="82" t="str">
        <f ca="1">VLOOKUP($B26&amp;"_"&amp;$E26,OFFSET([2]stages!$A$1,0,0,COUNTA([2]stages!$A:$A),MATCH(G$1,[2]stages!$2:$2,0)-MATCH("temp_stage",[2]stages!$2:$2,0)+1),MATCH(G$1,[2]stages!$2:$2,0)-MATCH("temp_stage",[2]stages!$2:$2,0)+1,FALSE)</f>
        <v>文豪シリーズ　超級</v>
      </c>
      <c r="H26" s="84">
        <v>0</v>
      </c>
      <c r="I26">
        <v>29</v>
      </c>
      <c r="J26" s="83" t="s">
        <v>199</v>
      </c>
      <c r="K26" s="92" t="str">
        <f>VLOOKUP(I26,[7]stage_hints!$A:$C,3,FALSE)</f>
        <v>「バグ」のメリット</v>
      </c>
      <c r="L26" s="93" t="str">
        <f>VLOOKUP(I26,[7]stage_hints!$A:$D,4,FALSE)</f>
        <v>ユニットの「バグ」を増やすと_x000D_報酬をもらえる確率がアップします</v>
      </c>
      <c r="M26" s="56" t="s">
        <v>212</v>
      </c>
    </row>
    <row r="27" spans="1:13" x14ac:dyDescent="0.15">
      <c r="A27" s="80" t="s">
        <v>202</v>
      </c>
      <c r="B27" s="81">
        <f>floors!$C$2</f>
        <v>30045</v>
      </c>
      <c r="C27" s="82" t="str">
        <f ca="1">VLOOKUP($B27,OFFSET([2]quests!$A$1,0,0,COUNTA([2]quests!$A:$A),MATCH(C$1,[2]quests!$1:$1,0)-MATCH($B$1,[2]quests!$1:$1,0)+1),MATCH(C$1,[2]quests!$1:$1,0)-MATCH($B$1,[2]quests!$1:$1,0)+1,FALSE)</f>
        <v>れもん色の衝動</v>
      </c>
      <c r="D27" s="82" t="str">
        <f ca="1">VLOOKUP($B27,OFFSET([2]quests!$A$1,0,0,COUNTA([2]quests!$A:$A),MATCH(D$1,[2]quests!$1:$1,0)-MATCH($B$1,[2]quests!$1:$1,0)+1),MATCH(D$1,[2]quests!$1:$1,0)-MATCH($B$1,[2]quests!$1:$1,0)+1,FALSE)</f>
        <v>文豪シリーズ　超級</v>
      </c>
      <c r="E27" s="86">
        <v>1</v>
      </c>
      <c r="F27" s="82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【中級】れもん色の衝動</v>
      </c>
      <c r="G27" s="82" t="str">
        <f ca="1">VLOOKUP($B27&amp;"_"&amp;$E27,OFFSET([2]stages!$A$1,0,0,COUNTA([2]stages!$A:$A),MATCH(G$1,[2]stages!$2:$2,0)-MATCH("temp_stage",[2]stages!$2:$2,0)+1),MATCH(G$1,[2]stages!$2:$2,0)-MATCH("temp_stage",[2]stages!$2:$2,0)+1,FALSE)</f>
        <v>文豪シリーズ　超級</v>
      </c>
      <c r="H27" s="84">
        <v>0</v>
      </c>
      <c r="I27">
        <v>30</v>
      </c>
      <c r="J27" s="83" t="s">
        <v>199</v>
      </c>
      <c r="K27" s="92" t="str">
        <f>VLOOKUP(I27,[7]stage_hints!$A:$C,3,FALSE)</f>
        <v>「バグ」の増やし方</v>
      </c>
      <c r="L27" s="93" t="str">
        <f>VLOOKUP(I27,[7]stage_hints!$A:$D,4,FALSE)</f>
        <v>同じユニット同士を強化で合成すると_x000D_「バグ」を増やすことができます</v>
      </c>
      <c r="M27" s="56" t="s">
        <v>212</v>
      </c>
    </row>
    <row r="28" spans="1:13" x14ac:dyDescent="0.15">
      <c r="A28" s="80" t="s">
        <v>202</v>
      </c>
      <c r="B28" s="81">
        <f>floors!$C$2</f>
        <v>30045</v>
      </c>
      <c r="C28" s="82" t="str">
        <f ca="1">VLOOKUP($B28,OFFSET([2]quests!$A$1,0,0,COUNTA([2]quests!$A:$A),MATCH(C$1,[2]quests!$1:$1,0)-MATCH($B$1,[2]quests!$1:$1,0)+1),MATCH(C$1,[2]quests!$1:$1,0)-MATCH($B$1,[2]quests!$1:$1,0)+1,FALSE)</f>
        <v>れもん色の衝動</v>
      </c>
      <c r="D28" s="82" t="str">
        <f ca="1">VLOOKUP($B28,OFFSET([2]quests!$A$1,0,0,COUNTA([2]quests!$A:$A),MATCH(D$1,[2]quests!$1:$1,0)-MATCH($B$1,[2]quests!$1:$1,0)+1),MATCH(D$1,[2]quests!$1:$1,0)-MATCH($B$1,[2]quests!$1:$1,0)+1,FALSE)</f>
        <v>文豪シリーズ　超級</v>
      </c>
      <c r="E28" s="86">
        <v>1</v>
      </c>
      <c r="F28" s="82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【中級】れもん色の衝動</v>
      </c>
      <c r="G28" s="82" t="str">
        <f ca="1">VLOOKUP($B28&amp;"_"&amp;$E28,OFFSET([2]stages!$A$1,0,0,COUNTA([2]stages!$A:$A),MATCH(G$1,[2]stages!$2:$2,0)-MATCH("temp_stage",[2]stages!$2:$2,0)+1),MATCH(G$1,[2]stages!$2:$2,0)-MATCH("temp_stage",[2]stages!$2:$2,0)+1,FALSE)</f>
        <v>文豪シリーズ　超級</v>
      </c>
      <c r="H28" s="84">
        <v>0</v>
      </c>
      <c r="I28">
        <v>31</v>
      </c>
      <c r="J28" s="83" t="s">
        <v>199</v>
      </c>
      <c r="K28" s="92" t="str">
        <f>VLOOKUP(I28,[7]stage_hints!$A:$C,3,FALSE)</f>
        <v>イベントはお知らせでチェック</v>
      </c>
      <c r="L28" s="93" t="str">
        <f>VLOOKUP(I28,[7]stage_hints!$A:$D,4,FALSE)</f>
        <v>イベント限定ユニットを取り忘れないように_x000D_お知らせをこまめにチェックしましょう</v>
      </c>
      <c r="M28" s="56" t="s">
        <v>212</v>
      </c>
    </row>
    <row r="29" spans="1:13" x14ac:dyDescent="0.15">
      <c r="A29" s="80" t="s">
        <v>202</v>
      </c>
      <c r="B29" s="81">
        <f>floors!$C$2</f>
        <v>30045</v>
      </c>
      <c r="C29" s="82" t="str">
        <f ca="1">VLOOKUP($B29,OFFSET([2]quests!$A$1,0,0,COUNTA([2]quests!$A:$A),MATCH(C$1,[2]quests!$1:$1,0)-MATCH($B$1,[2]quests!$1:$1,0)+1),MATCH(C$1,[2]quests!$1:$1,0)-MATCH($B$1,[2]quests!$1:$1,0)+1,FALSE)</f>
        <v>れもん色の衝動</v>
      </c>
      <c r="D29" s="82" t="str">
        <f ca="1">VLOOKUP($B29,OFFSET([2]quests!$A$1,0,0,COUNTA([2]quests!$A:$A),MATCH(D$1,[2]quests!$1:$1,0)-MATCH($B$1,[2]quests!$1:$1,0)+1),MATCH(D$1,[2]quests!$1:$1,0)-MATCH($B$1,[2]quests!$1:$1,0)+1,FALSE)</f>
        <v>文豪シリーズ　超級</v>
      </c>
      <c r="E29" s="86">
        <v>1</v>
      </c>
      <c r="F29" s="82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【中級】れもん色の衝動</v>
      </c>
      <c r="G29" s="82" t="str">
        <f ca="1">VLOOKUP($B29&amp;"_"&amp;$E29,OFFSET([2]stages!$A$1,0,0,COUNTA([2]stages!$A:$A),MATCH(G$1,[2]stages!$2:$2,0)-MATCH("temp_stage",[2]stages!$2:$2,0)+1),MATCH(G$1,[2]stages!$2:$2,0)-MATCH("temp_stage",[2]stages!$2:$2,0)+1,FALSE)</f>
        <v>文豪シリーズ　超級</v>
      </c>
      <c r="H29" s="84">
        <v>0</v>
      </c>
      <c r="I29">
        <v>32</v>
      </c>
      <c r="J29" s="83" t="s">
        <v>199</v>
      </c>
      <c r="K29" s="92" t="str">
        <f>VLOOKUP(I29,[7]stage_hints!$A:$C,3,FALSE)</f>
        <v>敵の連続攻撃には</v>
      </c>
      <c r="L29" s="93" t="str">
        <f>VLOOKUP(I29,[7]stage_hints!$A:$D,4,FALSE)</f>
        <v>カウンタースキルを持つユニットがいれば_x000D_ダメージ回数分の反撃ができます</v>
      </c>
      <c r="M29" s="56" t="s">
        <v>212</v>
      </c>
    </row>
    <row r="30" spans="1:13" x14ac:dyDescent="0.15">
      <c r="A30" s="80" t="s">
        <v>202</v>
      </c>
      <c r="B30" s="81">
        <f>floors!$C$2</f>
        <v>30045</v>
      </c>
      <c r="C30" s="82" t="str">
        <f ca="1">VLOOKUP($B30,OFFSET([2]quests!$A$1,0,0,COUNTA([2]quests!$A:$A),MATCH(C$1,[2]quests!$1:$1,0)-MATCH($B$1,[2]quests!$1:$1,0)+1),MATCH(C$1,[2]quests!$1:$1,0)-MATCH($B$1,[2]quests!$1:$1,0)+1,FALSE)</f>
        <v>れもん色の衝動</v>
      </c>
      <c r="D30" s="82" t="str">
        <f ca="1">VLOOKUP($B30,OFFSET([2]quests!$A$1,0,0,COUNTA([2]quests!$A:$A),MATCH(D$1,[2]quests!$1:$1,0)-MATCH($B$1,[2]quests!$1:$1,0)+1),MATCH(D$1,[2]quests!$1:$1,0)-MATCH($B$1,[2]quests!$1:$1,0)+1,FALSE)</f>
        <v>文豪シリーズ　超級</v>
      </c>
      <c r="E30" s="86">
        <v>1</v>
      </c>
      <c r="F30" s="82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【中級】れもん色の衝動</v>
      </c>
      <c r="G30" s="82" t="str">
        <f ca="1">VLOOKUP($B30&amp;"_"&amp;$E30,OFFSET([2]stages!$A$1,0,0,COUNTA([2]stages!$A:$A),MATCH(G$1,[2]stages!$2:$2,0)-MATCH("temp_stage",[2]stages!$2:$2,0)+1),MATCH(G$1,[2]stages!$2:$2,0)-MATCH("temp_stage",[2]stages!$2:$2,0)+1,FALSE)</f>
        <v>文豪シリーズ　超級</v>
      </c>
      <c r="H30" s="84">
        <v>0</v>
      </c>
      <c r="I30">
        <v>33</v>
      </c>
      <c r="J30" s="83" t="s">
        <v>199</v>
      </c>
      <c r="K30" s="92" t="str">
        <f>VLOOKUP(I30,[7]stage_hints!$A:$C,3,FALSE)</f>
        <v>敵のカウンター攻撃には</v>
      </c>
      <c r="L30" s="93" t="str">
        <f>VLOOKUP(I30,[7]stage_hints!$A:$D,4,FALSE)</f>
        <v>カウンターブレイクスキルを持っていれば_x000D_敵のカウンターを解除して攻撃ができます</v>
      </c>
      <c r="M30" s="56" t="s">
        <v>212</v>
      </c>
    </row>
    <row r="31" spans="1:13" x14ac:dyDescent="0.15">
      <c r="A31" s="80" t="s">
        <v>202</v>
      </c>
      <c r="B31" s="81">
        <f>floors!$C$2</f>
        <v>30045</v>
      </c>
      <c r="C31" s="82" t="str">
        <f ca="1">VLOOKUP($B31,OFFSET([2]quests!$A$1,0,0,COUNTA([2]quests!$A:$A),MATCH(C$1,[2]quests!$1:$1,0)-MATCH($B$1,[2]quests!$1:$1,0)+1),MATCH(C$1,[2]quests!$1:$1,0)-MATCH($B$1,[2]quests!$1:$1,0)+1,FALSE)</f>
        <v>れもん色の衝動</v>
      </c>
      <c r="D31" s="82" t="str">
        <f ca="1">VLOOKUP($B31,OFFSET([2]quests!$A$1,0,0,COUNTA([2]quests!$A:$A),MATCH(D$1,[2]quests!$1:$1,0)-MATCH($B$1,[2]quests!$1:$1,0)+1),MATCH(D$1,[2]quests!$1:$1,0)-MATCH($B$1,[2]quests!$1:$1,0)+1,FALSE)</f>
        <v>文豪シリーズ　超級</v>
      </c>
      <c r="E31" s="86">
        <v>1</v>
      </c>
      <c r="F31" s="82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【中級】れもん色の衝動</v>
      </c>
      <c r="G31" s="82" t="str">
        <f ca="1">VLOOKUP($B31&amp;"_"&amp;$E31,OFFSET([2]stages!$A$1,0,0,COUNTA([2]stages!$A:$A),MATCH(G$1,[2]stages!$2:$2,0)-MATCH("temp_stage",[2]stages!$2:$2,0)+1),MATCH(G$1,[2]stages!$2:$2,0)-MATCH("temp_stage",[2]stages!$2:$2,0)+1,FALSE)</f>
        <v>文豪シリーズ　超級</v>
      </c>
      <c r="H31" s="84">
        <v>0</v>
      </c>
      <c r="I31">
        <v>34</v>
      </c>
      <c r="J31" s="83" t="s">
        <v>199</v>
      </c>
      <c r="K31" s="92" t="str">
        <f>VLOOKUP(I31,[7]stage_hints!$A:$C,3,FALSE)</f>
        <v>ステータスをスキルで下げられたら</v>
      </c>
      <c r="L31" s="93" t="str">
        <f>VLOOKUP(I31,[7]stage_hints!$A:$D,4,FALSE)</f>
        <v>ステータスダウンのスキルを受けたら_x000D_ステータスアップスキルで上書きしましょう</v>
      </c>
      <c r="M31" s="56" t="s">
        <v>212</v>
      </c>
    </row>
    <row r="32" spans="1:13" x14ac:dyDescent="0.15">
      <c r="A32" s="80" t="s">
        <v>202</v>
      </c>
      <c r="B32" s="81">
        <f>floors!$C$2</f>
        <v>30045</v>
      </c>
      <c r="C32" s="82" t="str">
        <f ca="1">VLOOKUP($B32,OFFSET([2]quests!$A$1,0,0,COUNTA([2]quests!$A:$A),MATCH(C$1,[2]quests!$1:$1,0)-MATCH($B$1,[2]quests!$1:$1,0)+1),MATCH(C$1,[2]quests!$1:$1,0)-MATCH($B$1,[2]quests!$1:$1,0)+1,FALSE)</f>
        <v>れもん色の衝動</v>
      </c>
      <c r="D32" s="82" t="str">
        <f ca="1">VLOOKUP($B32,OFFSET([2]quests!$A$1,0,0,COUNTA([2]quests!$A:$A),MATCH(D$1,[2]quests!$1:$1,0)-MATCH($B$1,[2]quests!$1:$1,0)+1),MATCH(D$1,[2]quests!$1:$1,0)-MATCH($B$1,[2]quests!$1:$1,0)+1,FALSE)</f>
        <v>文豪シリーズ　超級</v>
      </c>
      <c r="E32" s="86">
        <v>1</v>
      </c>
      <c r="F32" s="82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【中級】れもん色の衝動</v>
      </c>
      <c r="G32" s="82" t="str">
        <f ca="1">VLOOKUP($B32&amp;"_"&amp;$E32,OFFSET([2]stages!$A$1,0,0,COUNTA([2]stages!$A:$A),MATCH(G$1,[2]stages!$2:$2,0)-MATCH("temp_stage",[2]stages!$2:$2,0)+1),MATCH(G$1,[2]stages!$2:$2,0)-MATCH("temp_stage",[2]stages!$2:$2,0)+1,FALSE)</f>
        <v>文豪シリーズ　超級</v>
      </c>
      <c r="H32" s="84">
        <v>0</v>
      </c>
      <c r="I32">
        <v>35</v>
      </c>
      <c r="J32" s="83" t="s">
        <v>199</v>
      </c>
      <c r="K32" s="92" t="str">
        <f>VLOOKUP(I32,[7]stage_hints!$A:$C,3,FALSE)</f>
        <v>敵のステータスがスキルで上がったら</v>
      </c>
      <c r="L32" s="93" t="str">
        <f>VLOOKUP(I32,[7]stage_hints!$A:$D,4,FALSE)</f>
        <v>敵のステータスがスキルでアップしたときは_x000D_ステータスダウンスキルで上書きしましょう</v>
      </c>
      <c r="M32" s="56" t="s">
        <v>212</v>
      </c>
    </row>
    <row r="33" spans="1:13" x14ac:dyDescent="0.15">
      <c r="A33" s="80" t="s">
        <v>202</v>
      </c>
      <c r="B33" s="81">
        <f>floors!$C$2</f>
        <v>30045</v>
      </c>
      <c r="C33" s="82" t="str">
        <f ca="1">VLOOKUP($B33,OFFSET([2]quests!$A$1,0,0,COUNTA([2]quests!$A:$A),MATCH(C$1,[2]quests!$1:$1,0)-MATCH($B$1,[2]quests!$1:$1,0)+1),MATCH(C$1,[2]quests!$1:$1,0)-MATCH($B$1,[2]quests!$1:$1,0)+1,FALSE)</f>
        <v>れもん色の衝動</v>
      </c>
      <c r="D33" s="82" t="str">
        <f ca="1">VLOOKUP($B33,OFFSET([2]quests!$A$1,0,0,COUNTA([2]quests!$A:$A),MATCH(D$1,[2]quests!$1:$1,0)-MATCH($B$1,[2]quests!$1:$1,0)+1),MATCH(D$1,[2]quests!$1:$1,0)-MATCH($B$1,[2]quests!$1:$1,0)+1,FALSE)</f>
        <v>文豪シリーズ　超級</v>
      </c>
      <c r="E33" s="86">
        <v>1</v>
      </c>
      <c r="F33" s="82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【中級】れもん色の衝動</v>
      </c>
      <c r="G33" s="82" t="str">
        <f ca="1">VLOOKUP($B33&amp;"_"&amp;$E33,OFFSET([2]stages!$A$1,0,0,COUNTA([2]stages!$A:$A),MATCH(G$1,[2]stages!$2:$2,0)-MATCH("temp_stage",[2]stages!$2:$2,0)+1),MATCH(G$1,[2]stages!$2:$2,0)-MATCH("temp_stage",[2]stages!$2:$2,0)+1,FALSE)</f>
        <v>文豪シリーズ　超級</v>
      </c>
      <c r="H33" s="84">
        <v>0</v>
      </c>
      <c r="I33">
        <v>39</v>
      </c>
      <c r="J33" s="83" t="s">
        <v>199</v>
      </c>
      <c r="K33" s="92" t="str">
        <f>VLOOKUP(I33,[7]stage_hints!$A:$C,3,FALSE)</f>
        <v>システム適合者を確認</v>
      </c>
      <c r="L33" s="93" t="str">
        <f>VLOOKUP(I33,[7]stage_hints!$A:$D,4,FALSE)</f>
        <v>ALICEが 「アナタ」を呼んでいます</v>
      </c>
      <c r="M33" s="56" t="s">
        <v>212</v>
      </c>
    </row>
    <row r="34" spans="1:13" x14ac:dyDescent="0.15">
      <c r="A34" s="80" t="s">
        <v>202</v>
      </c>
      <c r="B34" s="81">
        <f>floors!$C$2</f>
        <v>30045</v>
      </c>
      <c r="C34" s="82" t="str">
        <f ca="1">VLOOKUP($B34,OFFSET([2]quests!$A$1,0,0,COUNTA([2]quests!$A:$A),MATCH(C$1,[2]quests!$1:$1,0)-MATCH($B$1,[2]quests!$1:$1,0)+1),MATCH(C$1,[2]quests!$1:$1,0)-MATCH($B$1,[2]quests!$1:$1,0)+1,FALSE)</f>
        <v>れもん色の衝動</v>
      </c>
      <c r="D34" s="82" t="str">
        <f ca="1">VLOOKUP($B34,OFFSET([2]quests!$A$1,0,0,COUNTA([2]quests!$A:$A),MATCH(D$1,[2]quests!$1:$1,0)-MATCH($B$1,[2]quests!$1:$1,0)+1),MATCH(D$1,[2]quests!$1:$1,0)-MATCH($B$1,[2]quests!$1:$1,0)+1,FALSE)</f>
        <v>文豪シリーズ　超級</v>
      </c>
      <c r="E34" s="86">
        <v>2</v>
      </c>
      <c r="F34" s="82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【上級】れもん色の衝動</v>
      </c>
      <c r="G34" s="82" t="str">
        <f ca="1">VLOOKUP($B34&amp;"_"&amp;$E34,OFFSET([2]stages!$A$1,0,0,COUNTA([2]stages!$A:$A),MATCH(G$1,[2]stages!$2:$2,0)-MATCH("temp_stage",[2]stages!$2:$2,0)+1),MATCH(G$1,[2]stages!$2:$2,0)-MATCH("temp_stage",[2]stages!$2:$2,0)+1,FALSE)</f>
        <v>文豪シリーズ　超級</v>
      </c>
      <c r="H34" s="84">
        <v>0</v>
      </c>
      <c r="I34" s="95">
        <v>3</v>
      </c>
      <c r="J34" s="83" t="s">
        <v>199</v>
      </c>
      <c r="K34" s="92" t="str">
        <f>VLOOKUP(I34,[7]stage_hints!$A:$C,3,FALSE)</f>
        <v>ターゲット</v>
      </c>
      <c r="L34" s="93" t="str">
        <f>VLOOKUP(I34,[7]stage_hints!$A:$D,4,FALSE)</f>
        <v>敵ユニットをタップすると_x000D_その敵を狙い撃ちできます</v>
      </c>
      <c r="M34" s="56" t="s">
        <v>212</v>
      </c>
    </row>
    <row r="35" spans="1:13" x14ac:dyDescent="0.15">
      <c r="A35" s="80" t="s">
        <v>202</v>
      </c>
      <c r="B35" s="81">
        <f>floors!$C$2</f>
        <v>30045</v>
      </c>
      <c r="C35" s="82" t="str">
        <f ca="1">VLOOKUP($B35,OFFSET([2]quests!$A$1,0,0,COUNTA([2]quests!$A:$A),MATCH(C$1,[2]quests!$1:$1,0)-MATCH($B$1,[2]quests!$1:$1,0)+1),MATCH(C$1,[2]quests!$1:$1,0)-MATCH($B$1,[2]quests!$1:$1,0)+1,FALSE)</f>
        <v>れもん色の衝動</v>
      </c>
      <c r="D35" s="82" t="str">
        <f ca="1">VLOOKUP($B35,OFFSET([2]quests!$A$1,0,0,COUNTA([2]quests!$A:$A),MATCH(D$1,[2]quests!$1:$1,0)-MATCH($B$1,[2]quests!$1:$1,0)+1),MATCH(D$1,[2]quests!$1:$1,0)-MATCH($B$1,[2]quests!$1:$1,0)+1,FALSE)</f>
        <v>文豪シリーズ　超級</v>
      </c>
      <c r="E35" s="86">
        <v>2</v>
      </c>
      <c r="F35" s="82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【上級】れもん色の衝動</v>
      </c>
      <c r="G35" s="82" t="str">
        <f ca="1">VLOOKUP($B35&amp;"_"&amp;$E35,OFFSET([2]stages!$A$1,0,0,COUNTA([2]stages!$A:$A),MATCH(G$1,[2]stages!$2:$2,0)-MATCH("temp_stage",[2]stages!$2:$2,0)+1),MATCH(G$1,[2]stages!$2:$2,0)-MATCH("temp_stage",[2]stages!$2:$2,0)+1,FALSE)</f>
        <v>文豪シリーズ　超級</v>
      </c>
      <c r="H35" s="84">
        <v>0</v>
      </c>
      <c r="I35" s="95">
        <v>6</v>
      </c>
      <c r="J35" s="83" t="s">
        <v>199</v>
      </c>
      <c r="K35" s="92" t="str">
        <f>VLOOKUP(I35,[7]stage_hints!$A:$C,3,FALSE)</f>
        <v>ユニット強化の属性ボーナス</v>
      </c>
      <c r="L35" s="93" t="str">
        <f>VLOOKUP(I35,[7]stage_hints!$A:$D,4,FALSE)</f>
        <v>同属性ユニットを強化素材にすると_x000D_経験値が多くもらえます</v>
      </c>
      <c r="M35" s="56" t="s">
        <v>212</v>
      </c>
    </row>
    <row r="36" spans="1:13" x14ac:dyDescent="0.15">
      <c r="A36" s="80" t="s">
        <v>202</v>
      </c>
      <c r="B36" s="81">
        <f>floors!$C$2</f>
        <v>30045</v>
      </c>
      <c r="C36" s="82" t="str">
        <f ca="1">VLOOKUP($B36,OFFSET([2]quests!$A$1,0,0,COUNTA([2]quests!$A:$A),MATCH(C$1,[2]quests!$1:$1,0)-MATCH($B$1,[2]quests!$1:$1,0)+1),MATCH(C$1,[2]quests!$1:$1,0)-MATCH($B$1,[2]quests!$1:$1,0)+1,FALSE)</f>
        <v>れもん色の衝動</v>
      </c>
      <c r="D36" s="82" t="str">
        <f ca="1">VLOOKUP($B36,OFFSET([2]quests!$A$1,0,0,COUNTA([2]quests!$A:$A),MATCH(D$1,[2]quests!$1:$1,0)-MATCH($B$1,[2]quests!$1:$1,0)+1),MATCH(D$1,[2]quests!$1:$1,0)-MATCH($B$1,[2]quests!$1:$1,0)+1,FALSE)</f>
        <v>文豪シリーズ　超級</v>
      </c>
      <c r="E36" s="86">
        <v>2</v>
      </c>
      <c r="F36" s="82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【上級】れもん色の衝動</v>
      </c>
      <c r="G36" s="82" t="str">
        <f ca="1">VLOOKUP($B36&amp;"_"&amp;$E36,OFFSET([2]stages!$A$1,0,0,COUNTA([2]stages!$A:$A),MATCH(G$1,[2]stages!$2:$2,0)-MATCH("temp_stage",[2]stages!$2:$2,0)+1),MATCH(G$1,[2]stages!$2:$2,0)-MATCH("temp_stage",[2]stages!$2:$2,0)+1,FALSE)</f>
        <v>文豪シリーズ　超級</v>
      </c>
      <c r="H36" s="84">
        <v>0</v>
      </c>
      <c r="I36" s="95">
        <v>7</v>
      </c>
      <c r="J36" s="83" t="s">
        <v>199</v>
      </c>
      <c r="K36" s="92" t="str">
        <f>VLOOKUP(I36,[7]stage_hints!$A:$C,3,FALSE)</f>
        <v>メタルダックで経験値を獲得</v>
      </c>
      <c r="L36" s="93" t="str">
        <f>VLOOKUP(I36,[7]stage_hints!$A:$D,4,FALSE)</f>
        <v>「メタルなアヒル」を強化素材にすると_x000D_大量の経験値がもらえます</v>
      </c>
      <c r="M36" s="56" t="s">
        <v>212</v>
      </c>
    </row>
    <row r="37" spans="1:13" x14ac:dyDescent="0.15">
      <c r="A37" s="80" t="s">
        <v>202</v>
      </c>
      <c r="B37" s="81">
        <f>floors!$C$2</f>
        <v>30045</v>
      </c>
      <c r="C37" s="82" t="str">
        <f ca="1">VLOOKUP($B37,OFFSET([2]quests!$A$1,0,0,COUNTA([2]quests!$A:$A),MATCH(C$1,[2]quests!$1:$1,0)-MATCH($B$1,[2]quests!$1:$1,0)+1),MATCH(C$1,[2]quests!$1:$1,0)-MATCH($B$1,[2]quests!$1:$1,0)+1,FALSE)</f>
        <v>れもん色の衝動</v>
      </c>
      <c r="D37" s="82" t="str">
        <f ca="1">VLOOKUP($B37,OFFSET([2]quests!$A$1,0,0,COUNTA([2]quests!$A:$A),MATCH(D$1,[2]quests!$1:$1,0)-MATCH($B$1,[2]quests!$1:$1,0)+1),MATCH(D$1,[2]quests!$1:$1,0)-MATCH($B$1,[2]quests!$1:$1,0)+1,FALSE)</f>
        <v>文豪シリーズ　超級</v>
      </c>
      <c r="E37" s="86">
        <v>2</v>
      </c>
      <c r="F37" s="82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【上級】れもん色の衝動</v>
      </c>
      <c r="G37" s="82" t="str">
        <f ca="1">VLOOKUP($B37&amp;"_"&amp;$E37,OFFSET([2]stages!$A$1,0,0,COUNTA([2]stages!$A:$A),MATCH(G$1,[2]stages!$2:$2,0)-MATCH("temp_stage",[2]stages!$2:$2,0)+1),MATCH(G$1,[2]stages!$2:$2,0)-MATCH("temp_stage",[2]stages!$2:$2,0)+1,FALSE)</f>
        <v>文豪シリーズ　超級</v>
      </c>
      <c r="H37" s="84">
        <v>0</v>
      </c>
      <c r="I37" s="95">
        <v>8</v>
      </c>
      <c r="J37" s="83" t="s">
        <v>199</v>
      </c>
      <c r="K37" s="92" t="str">
        <f>VLOOKUP(I37,[7]stage_hints!$A:$C,3,FALSE)</f>
        <v>ゲリラクエストは要チェック</v>
      </c>
      <c r="L37" s="93" t="str">
        <f>VLOOKUP(I37,[7]stage_hints!$A:$D,4,FALSE)</f>
        <v>時間限定の「アヒル捕獲作戦」では_x000D_経験値素材ユニットが多く手に入ります</v>
      </c>
      <c r="M37" s="56" t="s">
        <v>212</v>
      </c>
    </row>
    <row r="38" spans="1:13" x14ac:dyDescent="0.15">
      <c r="A38" s="80" t="s">
        <v>202</v>
      </c>
      <c r="B38" s="81">
        <f>floors!$C$2</f>
        <v>30045</v>
      </c>
      <c r="C38" s="82" t="str">
        <f ca="1">VLOOKUP($B38,OFFSET([2]quests!$A$1,0,0,COUNTA([2]quests!$A:$A),MATCH(C$1,[2]quests!$1:$1,0)-MATCH($B$1,[2]quests!$1:$1,0)+1),MATCH(C$1,[2]quests!$1:$1,0)-MATCH($B$1,[2]quests!$1:$1,0)+1,FALSE)</f>
        <v>れもん色の衝動</v>
      </c>
      <c r="D38" s="82" t="str">
        <f ca="1">VLOOKUP($B38,OFFSET([2]quests!$A$1,0,0,COUNTA([2]quests!$A:$A),MATCH(D$1,[2]quests!$1:$1,0)-MATCH($B$1,[2]quests!$1:$1,0)+1),MATCH(D$1,[2]quests!$1:$1,0)-MATCH($B$1,[2]quests!$1:$1,0)+1,FALSE)</f>
        <v>文豪シリーズ　超級</v>
      </c>
      <c r="E38" s="86">
        <v>2</v>
      </c>
      <c r="F38" s="82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【上級】れもん色の衝動</v>
      </c>
      <c r="G38" s="82" t="str">
        <f ca="1">VLOOKUP($B38&amp;"_"&amp;$E38,OFFSET([2]stages!$A$1,0,0,COUNTA([2]stages!$A:$A),MATCH(G$1,[2]stages!$2:$2,0)-MATCH("temp_stage",[2]stages!$2:$2,0)+1),MATCH(G$1,[2]stages!$2:$2,0)-MATCH("temp_stage",[2]stages!$2:$2,0)+1,FALSE)</f>
        <v>文豪シリーズ　超級</v>
      </c>
      <c r="H38" s="84">
        <v>0</v>
      </c>
      <c r="I38" s="95">
        <v>9</v>
      </c>
      <c r="J38" s="83" t="s">
        <v>199</v>
      </c>
      <c r="K38" s="92" t="str">
        <f>VLOOKUP(I38,[7]stage_hints!$A:$C,3,FALSE)</f>
        <v>ゴールドダックでビットを獲得</v>
      </c>
      <c r="L38" s="93" t="str">
        <f>VLOOKUP(I38,[7]stage_hints!$A:$D,4,FALSE)</f>
        <v>「ゴールドなアヒル」を売却すると_x000D_大量のビットがもらえます</v>
      </c>
      <c r="M38" s="56" t="s">
        <v>212</v>
      </c>
    </row>
    <row r="39" spans="1:13" x14ac:dyDescent="0.15">
      <c r="A39" s="80" t="s">
        <v>202</v>
      </c>
      <c r="B39" s="81">
        <f>floors!$C$2</f>
        <v>30045</v>
      </c>
      <c r="C39" s="82" t="str">
        <f ca="1">VLOOKUP($B39,OFFSET([2]quests!$A$1,0,0,COUNTA([2]quests!$A:$A),MATCH(C$1,[2]quests!$1:$1,0)-MATCH($B$1,[2]quests!$1:$1,0)+1),MATCH(C$1,[2]quests!$1:$1,0)-MATCH($B$1,[2]quests!$1:$1,0)+1,FALSE)</f>
        <v>れもん色の衝動</v>
      </c>
      <c r="D39" s="82" t="str">
        <f ca="1">VLOOKUP($B39,OFFSET([2]quests!$A$1,0,0,COUNTA([2]quests!$A:$A),MATCH(D$1,[2]quests!$1:$1,0)-MATCH($B$1,[2]quests!$1:$1,0)+1),MATCH(D$1,[2]quests!$1:$1,0)-MATCH($B$1,[2]quests!$1:$1,0)+1,FALSE)</f>
        <v>文豪シリーズ　超級</v>
      </c>
      <c r="E39" s="86">
        <v>2</v>
      </c>
      <c r="F39" s="82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【上級】れもん色の衝動</v>
      </c>
      <c r="G39" s="82" t="str">
        <f ca="1">VLOOKUP($B39&amp;"_"&amp;$E39,OFFSET([2]stages!$A$1,0,0,COUNTA([2]stages!$A:$A),MATCH(G$1,[2]stages!$2:$2,0)-MATCH("temp_stage",[2]stages!$2:$2,0)+1),MATCH(G$1,[2]stages!$2:$2,0)-MATCH("temp_stage",[2]stages!$2:$2,0)+1,FALSE)</f>
        <v>文豪シリーズ　超級</v>
      </c>
      <c r="H39" s="84">
        <v>0</v>
      </c>
      <c r="I39" s="95">
        <v>10</v>
      </c>
      <c r="J39" s="83" t="s">
        <v>199</v>
      </c>
      <c r="K39" s="92" t="str">
        <f>VLOOKUP(I39,[7]stage_hints!$A:$C,3,FALSE)</f>
        <v>土日に大量のビットを獲得</v>
      </c>
      <c r="L39" s="93" t="str">
        <f>VLOOKUP(I39,[7]stage_hints!$A:$D,4,FALSE)</f>
        <v>土日限定の「ゴールドカジノ」では_x000D_売却素材ユニットが多く手に入ります</v>
      </c>
      <c r="M39" s="56" t="s">
        <v>212</v>
      </c>
    </row>
    <row r="40" spans="1:13" x14ac:dyDescent="0.15">
      <c r="A40" s="80" t="s">
        <v>202</v>
      </c>
      <c r="B40" s="81">
        <f>floors!$C$2</f>
        <v>30045</v>
      </c>
      <c r="C40" s="82" t="str">
        <f ca="1">VLOOKUP($B40,OFFSET([2]quests!$A$1,0,0,COUNTA([2]quests!$A:$A),MATCH(C$1,[2]quests!$1:$1,0)-MATCH($B$1,[2]quests!$1:$1,0)+1),MATCH(C$1,[2]quests!$1:$1,0)-MATCH($B$1,[2]quests!$1:$1,0)+1,FALSE)</f>
        <v>れもん色の衝動</v>
      </c>
      <c r="D40" s="82" t="str">
        <f ca="1">VLOOKUP($B40,OFFSET([2]quests!$A$1,0,0,COUNTA([2]quests!$A:$A),MATCH(D$1,[2]quests!$1:$1,0)-MATCH($B$1,[2]quests!$1:$1,0)+1),MATCH(D$1,[2]quests!$1:$1,0)-MATCH($B$1,[2]quests!$1:$1,0)+1,FALSE)</f>
        <v>文豪シリーズ　超級</v>
      </c>
      <c r="E40" s="86">
        <v>2</v>
      </c>
      <c r="F40" s="82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【上級】れもん色の衝動</v>
      </c>
      <c r="G40" s="82" t="str">
        <f ca="1">VLOOKUP($B40&amp;"_"&amp;$E40,OFFSET([2]stages!$A$1,0,0,COUNTA([2]stages!$A:$A),MATCH(G$1,[2]stages!$2:$2,0)-MATCH("temp_stage",[2]stages!$2:$2,0)+1),MATCH(G$1,[2]stages!$2:$2,0)-MATCH("temp_stage",[2]stages!$2:$2,0)+1,FALSE)</f>
        <v>文豪シリーズ　超級</v>
      </c>
      <c r="H40" s="84">
        <v>0</v>
      </c>
      <c r="I40" s="95">
        <v>11</v>
      </c>
      <c r="J40" s="83" t="s">
        <v>199</v>
      </c>
      <c r="K40" s="92" t="str">
        <f>VLOOKUP(I40,[7]stage_hints!$A:$C,3,FALSE)</f>
        <v>ランク解放クエスト</v>
      </c>
      <c r="L40" s="93" t="str">
        <f>VLOOKUP(I40,[7]stage_hints!$A:$D,4,FALSE)</f>
        <v>一定ランクに到達すると_x000D_報酬付きのランク開放クエストが現れます</v>
      </c>
      <c r="M40" s="56" t="s">
        <v>212</v>
      </c>
    </row>
    <row r="41" spans="1:13" x14ac:dyDescent="0.15">
      <c r="A41" s="80" t="s">
        <v>202</v>
      </c>
      <c r="B41" s="81">
        <f>floors!$C$2</f>
        <v>30045</v>
      </c>
      <c r="C41" s="82" t="str">
        <f ca="1">VLOOKUP($B41,OFFSET([2]quests!$A$1,0,0,COUNTA([2]quests!$A:$A),MATCH(C$1,[2]quests!$1:$1,0)-MATCH($B$1,[2]quests!$1:$1,0)+1),MATCH(C$1,[2]quests!$1:$1,0)-MATCH($B$1,[2]quests!$1:$1,0)+1,FALSE)</f>
        <v>れもん色の衝動</v>
      </c>
      <c r="D41" s="82" t="str">
        <f ca="1">VLOOKUP($B41,OFFSET([2]quests!$A$1,0,0,COUNTA([2]quests!$A:$A),MATCH(D$1,[2]quests!$1:$1,0)-MATCH($B$1,[2]quests!$1:$1,0)+1),MATCH(D$1,[2]quests!$1:$1,0)-MATCH($B$1,[2]quests!$1:$1,0)+1,FALSE)</f>
        <v>文豪シリーズ　超級</v>
      </c>
      <c r="E41" s="86">
        <v>2</v>
      </c>
      <c r="F41" s="82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【上級】れもん色の衝動</v>
      </c>
      <c r="G41" s="82" t="str">
        <f ca="1">VLOOKUP($B41&amp;"_"&amp;$E41,OFFSET([2]stages!$A$1,0,0,COUNTA([2]stages!$A:$A),MATCH(G$1,[2]stages!$2:$2,0)-MATCH("temp_stage",[2]stages!$2:$2,0)+1),MATCH(G$1,[2]stages!$2:$2,0)-MATCH("temp_stage",[2]stages!$2:$2,0)+1,FALSE)</f>
        <v>文豪シリーズ　超級</v>
      </c>
      <c r="H41" s="84">
        <v>0</v>
      </c>
      <c r="I41" s="95">
        <v>12</v>
      </c>
      <c r="J41" s="83" t="s">
        <v>199</v>
      </c>
      <c r="K41" s="92" t="str">
        <f>VLOOKUP(I41,[7]stage_hints!$A:$C,3,FALSE)</f>
        <v>ユニットのお気に入り登録</v>
      </c>
      <c r="L41" s="93" t="str">
        <f>VLOOKUP(I41,[7]stage_hints!$A:$D,4,FALSE)</f>
        <v>大事なユニットを誤って消さないように_x000D_フォルダから「お気に入り登録」しましょう</v>
      </c>
      <c r="M41" s="56" t="s">
        <v>212</v>
      </c>
    </row>
    <row r="42" spans="1:13" x14ac:dyDescent="0.15">
      <c r="A42" s="80" t="s">
        <v>202</v>
      </c>
      <c r="B42" s="81">
        <f>floors!$C$2</f>
        <v>30045</v>
      </c>
      <c r="C42" s="82" t="str">
        <f ca="1">VLOOKUP($B42,OFFSET([2]quests!$A$1,0,0,COUNTA([2]quests!$A:$A),MATCH(C$1,[2]quests!$1:$1,0)-MATCH($B$1,[2]quests!$1:$1,0)+1),MATCH(C$1,[2]quests!$1:$1,0)-MATCH($B$1,[2]quests!$1:$1,0)+1,FALSE)</f>
        <v>れもん色の衝動</v>
      </c>
      <c r="D42" s="82" t="str">
        <f ca="1">VLOOKUP($B42,OFFSET([2]quests!$A$1,0,0,COUNTA([2]quests!$A:$A),MATCH(D$1,[2]quests!$1:$1,0)-MATCH($B$1,[2]quests!$1:$1,0)+1),MATCH(D$1,[2]quests!$1:$1,0)-MATCH($B$1,[2]quests!$1:$1,0)+1,FALSE)</f>
        <v>文豪シリーズ　超級</v>
      </c>
      <c r="E42" s="86">
        <v>2</v>
      </c>
      <c r="F42" s="82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【上級】れもん色の衝動</v>
      </c>
      <c r="G42" s="82" t="str">
        <f ca="1">VLOOKUP($B42&amp;"_"&amp;$E42,OFFSET([2]stages!$A$1,0,0,COUNTA([2]stages!$A:$A),MATCH(G$1,[2]stages!$2:$2,0)-MATCH("temp_stage",[2]stages!$2:$2,0)+1),MATCH(G$1,[2]stages!$2:$2,0)-MATCH("temp_stage",[2]stages!$2:$2,0)+1,FALSE)</f>
        <v>文豪シリーズ　超級</v>
      </c>
      <c r="H42" s="84">
        <v>0</v>
      </c>
      <c r="I42" s="95">
        <v>13</v>
      </c>
      <c r="J42" s="83" t="s">
        <v>199</v>
      </c>
      <c r="K42" s="92" t="str">
        <f>VLOOKUP(I42,[7]stage_hints!$A:$C,3,FALSE)</f>
        <v>ユニットの覚醒</v>
      </c>
      <c r="L42" s="93" t="str">
        <f>VLOOKUP(I42,[7]stage_hints!$A:$D,4,FALSE)</f>
        <v>ユニットを覚醒させると_x000D_比べものにならない強さが手に入ります</v>
      </c>
      <c r="M42" s="56" t="s">
        <v>212</v>
      </c>
    </row>
    <row r="43" spans="1:13" x14ac:dyDescent="0.15">
      <c r="A43" s="80" t="s">
        <v>202</v>
      </c>
      <c r="B43" s="81">
        <f>floors!$C$2</f>
        <v>30045</v>
      </c>
      <c r="C43" s="82" t="str">
        <f ca="1">VLOOKUP($B43,OFFSET([2]quests!$A$1,0,0,COUNTA([2]quests!$A:$A),MATCH(C$1,[2]quests!$1:$1,0)-MATCH($B$1,[2]quests!$1:$1,0)+1),MATCH(C$1,[2]quests!$1:$1,0)-MATCH($B$1,[2]quests!$1:$1,0)+1,FALSE)</f>
        <v>れもん色の衝動</v>
      </c>
      <c r="D43" s="82" t="str">
        <f ca="1">VLOOKUP($B43,OFFSET([2]quests!$A$1,0,0,COUNTA([2]quests!$A:$A),MATCH(D$1,[2]quests!$1:$1,0)-MATCH($B$1,[2]quests!$1:$1,0)+1),MATCH(D$1,[2]quests!$1:$1,0)-MATCH($B$1,[2]quests!$1:$1,0)+1,FALSE)</f>
        <v>文豪シリーズ　超級</v>
      </c>
      <c r="E43" s="86">
        <v>2</v>
      </c>
      <c r="F43" s="82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【上級】れもん色の衝動</v>
      </c>
      <c r="G43" s="82" t="str">
        <f ca="1">VLOOKUP($B43&amp;"_"&amp;$E43,OFFSET([2]stages!$A$1,0,0,COUNTA([2]stages!$A:$A),MATCH(G$1,[2]stages!$2:$2,0)-MATCH("temp_stage",[2]stages!$2:$2,0)+1),MATCH(G$1,[2]stages!$2:$2,0)-MATCH("temp_stage",[2]stages!$2:$2,0)+1,FALSE)</f>
        <v>文豪シリーズ　超級</v>
      </c>
      <c r="H43" s="84">
        <v>0</v>
      </c>
      <c r="I43" s="95">
        <v>14</v>
      </c>
      <c r="J43" s="83" t="s">
        <v>199</v>
      </c>
      <c r="K43" s="92" t="str">
        <f>VLOOKUP(I43,[7]stage_hints!$A:$C,3,FALSE)</f>
        <v>覚醒するにはレベルを最大に</v>
      </c>
      <c r="L43" s="93" t="str">
        <f>VLOOKUP(I43,[7]stage_hints!$A:$D,4,FALSE)</f>
        <v>覚醒するにはユニットのレベルを_x000D_最大まで上げる必要があります</v>
      </c>
      <c r="M43" s="56" t="s">
        <v>212</v>
      </c>
    </row>
    <row r="44" spans="1:13" x14ac:dyDescent="0.15">
      <c r="A44" s="80" t="s">
        <v>202</v>
      </c>
      <c r="B44" s="81">
        <f>floors!$C$2</f>
        <v>30045</v>
      </c>
      <c r="C44" s="82" t="str">
        <f ca="1">VLOOKUP($B44,OFFSET([2]quests!$A$1,0,0,COUNTA([2]quests!$A:$A),MATCH(C$1,[2]quests!$1:$1,0)-MATCH($B$1,[2]quests!$1:$1,0)+1),MATCH(C$1,[2]quests!$1:$1,0)-MATCH($B$1,[2]quests!$1:$1,0)+1,FALSE)</f>
        <v>れもん色の衝動</v>
      </c>
      <c r="D44" s="82" t="str">
        <f ca="1">VLOOKUP($B44,OFFSET([2]quests!$A$1,0,0,COUNTA([2]quests!$A:$A),MATCH(D$1,[2]quests!$1:$1,0)-MATCH($B$1,[2]quests!$1:$1,0)+1),MATCH(D$1,[2]quests!$1:$1,0)-MATCH($B$1,[2]quests!$1:$1,0)+1,FALSE)</f>
        <v>文豪シリーズ　超級</v>
      </c>
      <c r="E44" s="86">
        <v>2</v>
      </c>
      <c r="F44" s="82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【上級】れもん色の衝動</v>
      </c>
      <c r="G44" s="82" t="str">
        <f ca="1">VLOOKUP($B44&amp;"_"&amp;$E44,OFFSET([2]stages!$A$1,0,0,COUNTA([2]stages!$A:$A),MATCH(G$1,[2]stages!$2:$2,0)-MATCH("temp_stage",[2]stages!$2:$2,0)+1),MATCH(G$1,[2]stages!$2:$2,0)-MATCH("temp_stage",[2]stages!$2:$2,0)+1,FALSE)</f>
        <v>文豪シリーズ　超級</v>
      </c>
      <c r="H44" s="84">
        <v>0</v>
      </c>
      <c r="I44" s="95">
        <v>15</v>
      </c>
      <c r="J44" s="83" t="s">
        <v>199</v>
      </c>
      <c r="K44" s="92" t="str">
        <f>VLOOKUP(I44,[7]stage_hints!$A:$C,3,FALSE)</f>
        <v>覚醒素材を獲得</v>
      </c>
      <c r="L44" s="93" t="str">
        <f>VLOOKUP(I44,[7]stage_hints!$A:$D,4,FALSE)</f>
        <v>「曜日クエスト」では_x000D_ユニットの覚醒に必要な素材が手に入ります</v>
      </c>
      <c r="M44" s="56" t="s">
        <v>212</v>
      </c>
    </row>
    <row r="45" spans="1:13" x14ac:dyDescent="0.15">
      <c r="A45" s="80" t="s">
        <v>202</v>
      </c>
      <c r="B45" s="81">
        <f>floors!$C$2</f>
        <v>30045</v>
      </c>
      <c r="C45" s="82" t="str">
        <f ca="1">VLOOKUP($B45,OFFSET([2]quests!$A$1,0,0,COUNTA([2]quests!$A:$A),MATCH(C$1,[2]quests!$1:$1,0)-MATCH($B$1,[2]quests!$1:$1,0)+1),MATCH(C$1,[2]quests!$1:$1,0)-MATCH($B$1,[2]quests!$1:$1,0)+1,FALSE)</f>
        <v>れもん色の衝動</v>
      </c>
      <c r="D45" s="82" t="str">
        <f ca="1">VLOOKUP($B45,OFFSET([2]quests!$A$1,0,0,COUNTA([2]quests!$A:$A),MATCH(D$1,[2]quests!$1:$1,0)-MATCH($B$1,[2]quests!$1:$1,0)+1),MATCH(D$1,[2]quests!$1:$1,0)-MATCH($B$1,[2]quests!$1:$1,0)+1,FALSE)</f>
        <v>文豪シリーズ　超級</v>
      </c>
      <c r="E45" s="86">
        <v>2</v>
      </c>
      <c r="F45" s="82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【上級】れもん色の衝動</v>
      </c>
      <c r="G45" s="82" t="str">
        <f ca="1">VLOOKUP($B45&amp;"_"&amp;$E45,OFFSET([2]stages!$A$1,0,0,COUNTA([2]stages!$A:$A),MATCH(G$1,[2]stages!$2:$2,0)-MATCH("temp_stage",[2]stages!$2:$2,0)+1),MATCH(G$1,[2]stages!$2:$2,0)-MATCH("temp_stage",[2]stages!$2:$2,0)+1,FALSE)</f>
        <v>文豪シリーズ　超級</v>
      </c>
      <c r="H45" s="84">
        <v>0</v>
      </c>
      <c r="I45" s="95">
        <v>16</v>
      </c>
      <c r="J45" s="83" t="s">
        <v>199</v>
      </c>
      <c r="K45" s="92" t="str">
        <f>VLOOKUP(I45,[7]stage_hints!$A:$C,3,FALSE)</f>
        <v>マルチプレイのメリット（その1）</v>
      </c>
      <c r="L45" s="93" t="str">
        <f>VLOOKUP(I45,[7]stage_hints!$A:$D,4,FALSE)</f>
        <v>他のプレイヤーとマルチプレイで遊ぶと_x000D_ポリゴンがもらえます（100人まで）</v>
      </c>
      <c r="M45" s="56" t="s">
        <v>212</v>
      </c>
    </row>
    <row r="46" spans="1:13" x14ac:dyDescent="0.15">
      <c r="A46" s="80" t="s">
        <v>202</v>
      </c>
      <c r="B46" s="81">
        <f>floors!$C$2</f>
        <v>30045</v>
      </c>
      <c r="C46" s="82" t="str">
        <f ca="1">VLOOKUP($B46,OFFSET([2]quests!$A$1,0,0,COUNTA([2]quests!$A:$A),MATCH(C$1,[2]quests!$1:$1,0)-MATCH($B$1,[2]quests!$1:$1,0)+1),MATCH(C$1,[2]quests!$1:$1,0)-MATCH($B$1,[2]quests!$1:$1,0)+1,FALSE)</f>
        <v>れもん色の衝動</v>
      </c>
      <c r="D46" s="82" t="str">
        <f ca="1">VLOOKUP($B46,OFFSET([2]quests!$A$1,0,0,COUNTA([2]quests!$A:$A),MATCH(D$1,[2]quests!$1:$1,0)-MATCH($B$1,[2]quests!$1:$1,0)+1),MATCH(D$1,[2]quests!$1:$1,0)-MATCH($B$1,[2]quests!$1:$1,0)+1,FALSE)</f>
        <v>文豪シリーズ　超級</v>
      </c>
      <c r="E46" s="86">
        <v>2</v>
      </c>
      <c r="F46" s="82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【上級】れもん色の衝動</v>
      </c>
      <c r="G46" s="82" t="str">
        <f ca="1">VLOOKUP($B46&amp;"_"&amp;$E46,OFFSET([2]stages!$A$1,0,0,COUNTA([2]stages!$A:$A),MATCH(G$1,[2]stages!$2:$2,0)-MATCH("temp_stage",[2]stages!$2:$2,0)+1),MATCH(G$1,[2]stages!$2:$2,0)-MATCH("temp_stage",[2]stages!$2:$2,0)+1,FALSE)</f>
        <v>文豪シリーズ　超級</v>
      </c>
      <c r="H46" s="84">
        <v>0</v>
      </c>
      <c r="I46" s="95">
        <v>17</v>
      </c>
      <c r="J46" s="83" t="s">
        <v>199</v>
      </c>
      <c r="K46" s="92" t="str">
        <f>VLOOKUP(I46,[7]stage_hints!$A:$C,3,FALSE)</f>
        <v>リンクガチャ</v>
      </c>
      <c r="L46" s="93" t="str">
        <f>VLOOKUP(I46,[7]stage_hints!$A:$D,4,FALSE)</f>
        <v>無料のリンクガチャを回して_x000D_経験値素材や売却素材を獲得しましょう</v>
      </c>
      <c r="M46" s="56" t="s">
        <v>212</v>
      </c>
    </row>
    <row r="47" spans="1:13" x14ac:dyDescent="0.15">
      <c r="A47" s="80" t="s">
        <v>202</v>
      </c>
      <c r="B47" s="81">
        <f>floors!$C$2</f>
        <v>30045</v>
      </c>
      <c r="C47" s="82" t="str">
        <f ca="1">VLOOKUP($B47,OFFSET([2]quests!$A$1,0,0,COUNTA([2]quests!$A:$A),MATCH(C$1,[2]quests!$1:$1,0)-MATCH($B$1,[2]quests!$1:$1,0)+1),MATCH(C$1,[2]quests!$1:$1,0)-MATCH($B$1,[2]quests!$1:$1,0)+1,FALSE)</f>
        <v>れもん色の衝動</v>
      </c>
      <c r="D47" s="82" t="str">
        <f ca="1">VLOOKUP($B47,OFFSET([2]quests!$A$1,0,0,COUNTA([2]quests!$A:$A),MATCH(D$1,[2]quests!$1:$1,0)-MATCH($B$1,[2]quests!$1:$1,0)+1),MATCH(D$1,[2]quests!$1:$1,0)-MATCH($B$1,[2]quests!$1:$1,0)+1,FALSE)</f>
        <v>文豪シリーズ　超級</v>
      </c>
      <c r="E47" s="86">
        <v>2</v>
      </c>
      <c r="F47" s="82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【上級】れもん色の衝動</v>
      </c>
      <c r="G47" s="82" t="str">
        <f ca="1">VLOOKUP($B47&amp;"_"&amp;$E47,OFFSET([2]stages!$A$1,0,0,COUNTA([2]stages!$A:$A),MATCH(G$1,[2]stages!$2:$2,0)-MATCH("temp_stage",[2]stages!$2:$2,0)+1),MATCH(G$1,[2]stages!$2:$2,0)-MATCH("temp_stage",[2]stages!$2:$2,0)+1,FALSE)</f>
        <v>文豪シリーズ　超級</v>
      </c>
      <c r="H47" s="84">
        <v>0</v>
      </c>
      <c r="I47" s="95">
        <v>18</v>
      </c>
      <c r="J47" s="83" t="s">
        <v>199</v>
      </c>
      <c r="K47" s="92" t="str">
        <f>VLOOKUP(I47,[7]stage_hints!$A:$C,3,FALSE)</f>
        <v>マルチプレイのメリット（その2）</v>
      </c>
      <c r="L47" s="93" t="str">
        <f>VLOOKUP(I47,[7]stage_hints!$A:$D,4,FALSE)</f>
        <v>マルチプレイならリンクが2倍もらえます_x000D_リンクガチャをたくさん回しましょう</v>
      </c>
      <c r="M47" s="56" t="s">
        <v>212</v>
      </c>
    </row>
    <row r="48" spans="1:13" x14ac:dyDescent="0.15">
      <c r="A48" s="80" t="s">
        <v>202</v>
      </c>
      <c r="B48" s="81">
        <f>floors!$C$2</f>
        <v>30045</v>
      </c>
      <c r="C48" s="82" t="str">
        <f ca="1">VLOOKUP($B48,OFFSET([2]quests!$A$1,0,0,COUNTA([2]quests!$A:$A),MATCH(C$1,[2]quests!$1:$1,0)-MATCH($B$1,[2]quests!$1:$1,0)+1),MATCH(C$1,[2]quests!$1:$1,0)-MATCH($B$1,[2]quests!$1:$1,0)+1,FALSE)</f>
        <v>れもん色の衝動</v>
      </c>
      <c r="D48" s="82" t="str">
        <f ca="1">VLOOKUP($B48,OFFSET([2]quests!$A$1,0,0,COUNTA([2]quests!$A:$A),MATCH(D$1,[2]quests!$1:$1,0)-MATCH($B$1,[2]quests!$1:$1,0)+1),MATCH(D$1,[2]quests!$1:$1,0)-MATCH($B$1,[2]quests!$1:$1,0)+1,FALSE)</f>
        <v>文豪シリーズ　超級</v>
      </c>
      <c r="E48" s="86">
        <v>2</v>
      </c>
      <c r="F48" s="82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【上級】れもん色の衝動</v>
      </c>
      <c r="G48" s="82" t="str">
        <f ca="1">VLOOKUP($B48&amp;"_"&amp;$E48,OFFSET([2]stages!$A$1,0,0,COUNTA([2]stages!$A:$A),MATCH(G$1,[2]stages!$2:$2,0)-MATCH("temp_stage",[2]stages!$2:$2,0)+1),MATCH(G$1,[2]stages!$2:$2,0)-MATCH("temp_stage",[2]stages!$2:$2,0)+1,FALSE)</f>
        <v>文豪シリーズ　超級</v>
      </c>
      <c r="H48" s="84">
        <v>0</v>
      </c>
      <c r="I48" s="95">
        <v>19</v>
      </c>
      <c r="J48" s="83" t="s">
        <v>199</v>
      </c>
      <c r="K48" s="92" t="str">
        <f>VLOOKUP(I48,[7]stage_hints!$A:$C,3,FALSE)</f>
        <v>ソロ専用タワーオブザクイーン</v>
      </c>
      <c r="L48" s="93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6" t="s">
        <v>212</v>
      </c>
    </row>
    <row r="49" spans="1:13" x14ac:dyDescent="0.15">
      <c r="A49" s="80" t="s">
        <v>202</v>
      </c>
      <c r="B49" s="81">
        <f>floors!$C$2</f>
        <v>30045</v>
      </c>
      <c r="C49" s="82" t="str">
        <f ca="1">VLOOKUP($B49,OFFSET([2]quests!$A$1,0,0,COUNTA([2]quests!$A:$A),MATCH(C$1,[2]quests!$1:$1,0)-MATCH($B$1,[2]quests!$1:$1,0)+1),MATCH(C$1,[2]quests!$1:$1,0)-MATCH($B$1,[2]quests!$1:$1,0)+1,FALSE)</f>
        <v>れもん色の衝動</v>
      </c>
      <c r="D49" s="82" t="str">
        <f ca="1">VLOOKUP($B49,OFFSET([2]quests!$A$1,0,0,COUNTA([2]quests!$A:$A),MATCH(D$1,[2]quests!$1:$1,0)-MATCH($B$1,[2]quests!$1:$1,0)+1),MATCH(D$1,[2]quests!$1:$1,0)-MATCH($B$1,[2]quests!$1:$1,0)+1,FALSE)</f>
        <v>文豪シリーズ　超級</v>
      </c>
      <c r="E49" s="86">
        <v>2</v>
      </c>
      <c r="F49" s="82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【上級】れもん色の衝動</v>
      </c>
      <c r="G49" s="82" t="str">
        <f ca="1">VLOOKUP($B49&amp;"_"&amp;$E49,OFFSET([2]stages!$A$1,0,0,COUNTA([2]stages!$A:$A),MATCH(G$1,[2]stages!$2:$2,0)-MATCH("temp_stage",[2]stages!$2:$2,0)+1),MATCH(G$1,[2]stages!$2:$2,0)-MATCH("temp_stage",[2]stages!$2:$2,0)+1,FALSE)</f>
        <v>文豪シリーズ　超級</v>
      </c>
      <c r="H49" s="84">
        <v>0</v>
      </c>
      <c r="I49" s="95">
        <v>20</v>
      </c>
      <c r="J49" s="83" t="s">
        <v>199</v>
      </c>
      <c r="K49" s="92" t="str">
        <f>VLOOKUP(I49,[7]stage_hints!$A:$C,3,FALSE)</f>
        <v>マルチプレイのメリット（その3）</v>
      </c>
      <c r="L49" s="93" t="str">
        <f>VLOOKUP(I49,[7]stage_hints!$A:$D,4,FALSE)</f>
        <v>マルチプレイへの参加はエナジー消費ゼロ_x000D_いつでも好きなだけ遊ぶことができます</v>
      </c>
      <c r="M49" s="56" t="s">
        <v>212</v>
      </c>
    </row>
    <row r="50" spans="1:13" x14ac:dyDescent="0.15">
      <c r="A50" s="80" t="s">
        <v>202</v>
      </c>
      <c r="B50" s="81">
        <f>floors!$C$2</f>
        <v>30045</v>
      </c>
      <c r="C50" s="82" t="str">
        <f ca="1">VLOOKUP($B50,OFFSET([2]quests!$A$1,0,0,COUNTA([2]quests!$A:$A),MATCH(C$1,[2]quests!$1:$1,0)-MATCH($B$1,[2]quests!$1:$1,0)+1),MATCH(C$1,[2]quests!$1:$1,0)-MATCH($B$1,[2]quests!$1:$1,0)+1,FALSE)</f>
        <v>れもん色の衝動</v>
      </c>
      <c r="D50" s="82" t="str">
        <f ca="1">VLOOKUP($B50,OFFSET([2]quests!$A$1,0,0,COUNTA([2]quests!$A:$A),MATCH(D$1,[2]quests!$1:$1,0)-MATCH($B$1,[2]quests!$1:$1,0)+1),MATCH(D$1,[2]quests!$1:$1,0)-MATCH($B$1,[2]quests!$1:$1,0)+1,FALSE)</f>
        <v>文豪シリーズ　超級</v>
      </c>
      <c r="E50" s="86">
        <v>2</v>
      </c>
      <c r="F50" s="82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【上級】れもん色の衝動</v>
      </c>
      <c r="G50" s="82" t="str">
        <f ca="1">VLOOKUP($B50&amp;"_"&amp;$E50,OFFSET([2]stages!$A$1,0,0,COUNTA([2]stages!$A:$A),MATCH(G$1,[2]stages!$2:$2,0)-MATCH("temp_stage",[2]stages!$2:$2,0)+1),MATCH(G$1,[2]stages!$2:$2,0)-MATCH("temp_stage",[2]stages!$2:$2,0)+1,FALSE)</f>
        <v>文豪シリーズ　超級</v>
      </c>
      <c r="H50" s="84">
        <v>0</v>
      </c>
      <c r="I50" s="95">
        <v>21</v>
      </c>
      <c r="J50" s="83" t="s">
        <v>199</v>
      </c>
      <c r="K50" s="92" t="str">
        <f>VLOOKUP(I50,[7]stage_hints!$A:$C,3,FALSE)</f>
        <v>スキルを有効に</v>
      </c>
      <c r="L50" s="93" t="str">
        <f>VLOOKUP(I50,[7]stage_hints!$A:$D,4,FALSE)</f>
        <v>ターン経過でユニットのスキルが使えます_x000D_強力スキルでバトルを有利に進めましょう</v>
      </c>
      <c r="M50" s="56" t="s">
        <v>212</v>
      </c>
    </row>
    <row r="51" spans="1:13" x14ac:dyDescent="0.15">
      <c r="A51" s="80" t="s">
        <v>202</v>
      </c>
      <c r="B51" s="81">
        <f>floors!$C$2</f>
        <v>30045</v>
      </c>
      <c r="C51" s="82" t="str">
        <f ca="1">VLOOKUP($B51,OFFSET([2]quests!$A$1,0,0,COUNTA([2]quests!$A:$A),MATCH(C$1,[2]quests!$1:$1,0)-MATCH($B$1,[2]quests!$1:$1,0)+1),MATCH(C$1,[2]quests!$1:$1,0)-MATCH($B$1,[2]quests!$1:$1,0)+1,FALSE)</f>
        <v>れもん色の衝動</v>
      </c>
      <c r="D51" s="82" t="str">
        <f ca="1">VLOOKUP($B51,OFFSET([2]quests!$A$1,0,0,COUNTA([2]quests!$A:$A),MATCH(D$1,[2]quests!$1:$1,0)-MATCH($B$1,[2]quests!$1:$1,0)+1),MATCH(D$1,[2]quests!$1:$1,0)-MATCH($B$1,[2]quests!$1:$1,0)+1,FALSE)</f>
        <v>文豪シリーズ　超級</v>
      </c>
      <c r="E51" s="86">
        <v>2</v>
      </c>
      <c r="F51" s="82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【上級】れもん色の衝動</v>
      </c>
      <c r="G51" s="82" t="str">
        <f ca="1">VLOOKUP($B51&amp;"_"&amp;$E51,OFFSET([2]stages!$A$1,0,0,COUNTA([2]stages!$A:$A),MATCH(G$1,[2]stages!$2:$2,0)-MATCH("temp_stage",[2]stages!$2:$2,0)+1),MATCH(G$1,[2]stages!$2:$2,0)-MATCH("temp_stage",[2]stages!$2:$2,0)+1,FALSE)</f>
        <v>文豪シリーズ　超級</v>
      </c>
      <c r="H51" s="84">
        <v>0</v>
      </c>
      <c r="I51" s="95">
        <v>22</v>
      </c>
      <c r="J51" s="83" t="s">
        <v>199</v>
      </c>
      <c r="K51" s="92" t="str">
        <f>VLOOKUP(I51,[7]stage_hints!$A:$C,3,FALSE)</f>
        <v>フィーバーで一発逆転（その1）</v>
      </c>
      <c r="L51" s="93" t="str">
        <f>VLOOKUP(I51,[7]stage_hints!$A:$D,4,FALSE)</f>
        <v>フィーバーは攻撃と回復を兼ね備えます_x000D_ピンチからの一発逆転を狙いましょう</v>
      </c>
      <c r="M51" s="56" t="s">
        <v>212</v>
      </c>
    </row>
    <row r="52" spans="1:13" x14ac:dyDescent="0.15">
      <c r="A52" s="80" t="s">
        <v>202</v>
      </c>
      <c r="B52" s="81">
        <f>floors!$C$2</f>
        <v>30045</v>
      </c>
      <c r="C52" s="82" t="str">
        <f ca="1">VLOOKUP($B52,OFFSET([2]quests!$A$1,0,0,COUNTA([2]quests!$A:$A),MATCH(C$1,[2]quests!$1:$1,0)-MATCH($B$1,[2]quests!$1:$1,0)+1),MATCH(C$1,[2]quests!$1:$1,0)-MATCH($B$1,[2]quests!$1:$1,0)+1,FALSE)</f>
        <v>れもん色の衝動</v>
      </c>
      <c r="D52" s="82" t="str">
        <f ca="1">VLOOKUP($B52,OFFSET([2]quests!$A$1,0,0,COUNTA([2]quests!$A:$A),MATCH(D$1,[2]quests!$1:$1,0)-MATCH($B$1,[2]quests!$1:$1,0)+1),MATCH(D$1,[2]quests!$1:$1,0)-MATCH($B$1,[2]quests!$1:$1,0)+1,FALSE)</f>
        <v>文豪シリーズ　超級</v>
      </c>
      <c r="E52" s="86">
        <v>2</v>
      </c>
      <c r="F52" s="82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【上級】れもん色の衝動</v>
      </c>
      <c r="G52" s="82" t="str">
        <f ca="1">VLOOKUP($B52&amp;"_"&amp;$E52,OFFSET([2]stages!$A$1,0,0,COUNTA([2]stages!$A:$A),MATCH(G$1,[2]stages!$2:$2,0)-MATCH("temp_stage",[2]stages!$2:$2,0)+1),MATCH(G$1,[2]stages!$2:$2,0)-MATCH("temp_stage",[2]stages!$2:$2,0)+1,FALSE)</f>
        <v>文豪シリーズ　超級</v>
      </c>
      <c r="H52" s="84">
        <v>0</v>
      </c>
      <c r="I52" s="95">
        <v>23</v>
      </c>
      <c r="J52" s="83" t="s">
        <v>199</v>
      </c>
      <c r="K52" s="92" t="str">
        <f>VLOOKUP(I52,[7]stage_hints!$A:$C,3,FALSE)</f>
        <v>フィーバーで一発逆転（その2）</v>
      </c>
      <c r="L52" s="93" t="str">
        <f>VLOOKUP(I52,[7]stage_hints!$A:$D,4,FALSE)</f>
        <v>フィーバー中は虹色のボムパネルを狙って_x000D_画面上のパネルを一気に破壊しましょう</v>
      </c>
      <c r="M52" s="56" t="s">
        <v>212</v>
      </c>
    </row>
    <row r="53" spans="1:13" x14ac:dyDescent="0.15">
      <c r="A53" s="80" t="s">
        <v>202</v>
      </c>
      <c r="B53" s="81">
        <f>floors!$C$2</f>
        <v>30045</v>
      </c>
      <c r="C53" s="82" t="str">
        <f ca="1">VLOOKUP($B53,OFFSET([2]quests!$A$1,0,0,COUNTA([2]quests!$A:$A),MATCH(C$1,[2]quests!$1:$1,0)-MATCH($B$1,[2]quests!$1:$1,0)+1),MATCH(C$1,[2]quests!$1:$1,0)-MATCH($B$1,[2]quests!$1:$1,0)+1,FALSE)</f>
        <v>れもん色の衝動</v>
      </c>
      <c r="D53" s="82" t="str">
        <f ca="1">VLOOKUP($B53,OFFSET([2]quests!$A$1,0,0,COUNTA([2]quests!$A:$A),MATCH(D$1,[2]quests!$1:$1,0)-MATCH($B$1,[2]quests!$1:$1,0)+1),MATCH(D$1,[2]quests!$1:$1,0)-MATCH($B$1,[2]quests!$1:$1,0)+1,FALSE)</f>
        <v>文豪シリーズ　超級</v>
      </c>
      <c r="E53" s="86">
        <v>2</v>
      </c>
      <c r="F53" s="82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【上級】れもん色の衝動</v>
      </c>
      <c r="G53" s="82" t="str">
        <f ca="1">VLOOKUP($B53&amp;"_"&amp;$E53,OFFSET([2]stages!$A$1,0,0,COUNTA([2]stages!$A:$A),MATCH(G$1,[2]stages!$2:$2,0)-MATCH("temp_stage",[2]stages!$2:$2,0)+1),MATCH(G$1,[2]stages!$2:$2,0)-MATCH("temp_stage",[2]stages!$2:$2,0)+1,FALSE)</f>
        <v>文豪シリーズ　超級</v>
      </c>
      <c r="H53" s="84">
        <v>0</v>
      </c>
      <c r="I53" s="95">
        <v>24</v>
      </c>
      <c r="J53" s="83" t="s">
        <v>199</v>
      </c>
      <c r="K53" s="92" t="str">
        <f>VLOOKUP(I53,[7]stage_hints!$A:$C,3,FALSE)</f>
        <v>りんごを使って限界突破</v>
      </c>
      <c r="L53" s="93" t="str">
        <f>VLOOKUP(I53,[7]stage_hints!$A:$D,4,FALSE)</f>
        <v>赤りんご(攻撃力) 青りんご(回復力)_x000D_緑りんご(体力)をユニット強化に使うと_x000D_ステータスが限界突破します（計99個迄）</v>
      </c>
      <c r="M53" s="56" t="s">
        <v>212</v>
      </c>
    </row>
    <row r="54" spans="1:13" x14ac:dyDescent="0.15">
      <c r="A54" s="80" t="s">
        <v>202</v>
      </c>
      <c r="B54" s="81">
        <f>floors!$C$2</f>
        <v>30045</v>
      </c>
      <c r="C54" s="82" t="str">
        <f ca="1">VLOOKUP($B54,OFFSET([2]quests!$A$1,0,0,COUNTA([2]quests!$A:$A),MATCH(C$1,[2]quests!$1:$1,0)-MATCH($B$1,[2]quests!$1:$1,0)+1),MATCH(C$1,[2]quests!$1:$1,0)-MATCH($B$1,[2]quests!$1:$1,0)+1,FALSE)</f>
        <v>れもん色の衝動</v>
      </c>
      <c r="D54" s="82" t="str">
        <f ca="1">VLOOKUP($B54,OFFSET([2]quests!$A$1,0,0,COUNTA([2]quests!$A:$A),MATCH(D$1,[2]quests!$1:$1,0)-MATCH($B$1,[2]quests!$1:$1,0)+1),MATCH(D$1,[2]quests!$1:$1,0)-MATCH($B$1,[2]quests!$1:$1,0)+1,FALSE)</f>
        <v>文豪シリーズ　超級</v>
      </c>
      <c r="E54" s="86">
        <v>2</v>
      </c>
      <c r="F54" s="82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【上級】れもん色の衝動</v>
      </c>
      <c r="G54" s="82" t="str">
        <f ca="1">VLOOKUP($B54&amp;"_"&amp;$E54,OFFSET([2]stages!$A$1,0,0,COUNTA([2]stages!$A:$A),MATCH(G$1,[2]stages!$2:$2,0)-MATCH("temp_stage",[2]stages!$2:$2,0)+1),MATCH(G$1,[2]stages!$2:$2,0)-MATCH("temp_stage",[2]stages!$2:$2,0)+1,FALSE)</f>
        <v>文豪シリーズ　超級</v>
      </c>
      <c r="H54" s="84">
        <v>0</v>
      </c>
      <c r="I54" s="95">
        <v>25</v>
      </c>
      <c r="J54" s="83" t="s">
        <v>199</v>
      </c>
      <c r="K54" s="92" t="str">
        <f>VLOOKUP(I54,[7]stage_hints!$A:$C,3,FALSE)</f>
        <v>スキルレベルアップ</v>
      </c>
      <c r="L54" s="93" t="str">
        <f>VLOOKUP(I54,[7]stage_hints!$A:$D,4,FALSE)</f>
        <v>「クリスタルのりんご」を強化に使うと_x000D_スキルレベルを上げることができます</v>
      </c>
      <c r="M54" s="56" t="s">
        <v>212</v>
      </c>
    </row>
    <row r="55" spans="1:13" x14ac:dyDescent="0.15">
      <c r="A55" s="80" t="s">
        <v>202</v>
      </c>
      <c r="B55" s="81">
        <f>floors!$C$2</f>
        <v>30045</v>
      </c>
      <c r="C55" s="82" t="str">
        <f ca="1">VLOOKUP($B55,OFFSET([2]quests!$A$1,0,0,COUNTA([2]quests!$A:$A),MATCH(C$1,[2]quests!$1:$1,0)-MATCH($B$1,[2]quests!$1:$1,0)+1),MATCH(C$1,[2]quests!$1:$1,0)-MATCH($B$1,[2]quests!$1:$1,0)+1,FALSE)</f>
        <v>れもん色の衝動</v>
      </c>
      <c r="D55" s="82" t="str">
        <f ca="1">VLOOKUP($B55,OFFSET([2]quests!$A$1,0,0,COUNTA([2]quests!$A:$A),MATCH(D$1,[2]quests!$1:$1,0)-MATCH($B$1,[2]quests!$1:$1,0)+1),MATCH(D$1,[2]quests!$1:$1,0)-MATCH($B$1,[2]quests!$1:$1,0)+1,FALSE)</f>
        <v>文豪シリーズ　超級</v>
      </c>
      <c r="E55" s="86">
        <v>2</v>
      </c>
      <c r="F55" s="82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【上級】れもん色の衝動</v>
      </c>
      <c r="G55" s="82" t="str">
        <f ca="1">VLOOKUP($B55&amp;"_"&amp;$E55,OFFSET([2]stages!$A$1,0,0,COUNTA([2]stages!$A:$A),MATCH(G$1,[2]stages!$2:$2,0)-MATCH("temp_stage",[2]stages!$2:$2,0)+1),MATCH(G$1,[2]stages!$2:$2,0)-MATCH("temp_stage",[2]stages!$2:$2,0)+1,FALSE)</f>
        <v>文豪シリーズ　超級</v>
      </c>
      <c r="H55" s="84">
        <v>0</v>
      </c>
      <c r="I55" s="95">
        <v>26</v>
      </c>
      <c r="J55" s="83" t="s">
        <v>199</v>
      </c>
      <c r="K55" s="92" t="str">
        <f>VLOOKUP(I55,[7]stage_hints!$A:$C,3,FALSE)</f>
        <v>スキルレベルの効果</v>
      </c>
      <c r="L55" s="93" t="str">
        <f>VLOOKUP(I55,[7]stage_hints!$A:$D,4,FALSE)</f>
        <v>スキルレベルが上がると_x000D_短いターンでスキルを使うことができます</v>
      </c>
      <c r="M55" s="56" t="s">
        <v>212</v>
      </c>
    </row>
    <row r="56" spans="1:13" x14ac:dyDescent="0.15">
      <c r="A56" s="80" t="s">
        <v>202</v>
      </c>
      <c r="B56" s="81">
        <f>floors!$C$2</f>
        <v>30045</v>
      </c>
      <c r="C56" s="82" t="str">
        <f ca="1">VLOOKUP($B56,OFFSET([2]quests!$A$1,0,0,COUNTA([2]quests!$A:$A),MATCH(C$1,[2]quests!$1:$1,0)-MATCH($B$1,[2]quests!$1:$1,0)+1),MATCH(C$1,[2]quests!$1:$1,0)-MATCH($B$1,[2]quests!$1:$1,0)+1,FALSE)</f>
        <v>れもん色の衝動</v>
      </c>
      <c r="D56" s="82" t="str">
        <f ca="1">VLOOKUP($B56,OFFSET([2]quests!$A$1,0,0,COUNTA([2]quests!$A:$A),MATCH(D$1,[2]quests!$1:$1,0)-MATCH($B$1,[2]quests!$1:$1,0)+1),MATCH(D$1,[2]quests!$1:$1,0)-MATCH($B$1,[2]quests!$1:$1,0)+1,FALSE)</f>
        <v>文豪シリーズ　超級</v>
      </c>
      <c r="E56" s="86">
        <v>2</v>
      </c>
      <c r="F56" s="82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【上級】れもん色の衝動</v>
      </c>
      <c r="G56" s="82" t="str">
        <f ca="1">VLOOKUP($B56&amp;"_"&amp;$E56,OFFSET([2]stages!$A$1,0,0,COUNTA([2]stages!$A:$A),MATCH(G$1,[2]stages!$2:$2,0)-MATCH("temp_stage",[2]stages!$2:$2,0)+1),MATCH(G$1,[2]stages!$2:$2,0)-MATCH("temp_stage",[2]stages!$2:$2,0)+1,FALSE)</f>
        <v>文豪シリーズ　超級</v>
      </c>
      <c r="H56" s="84">
        <v>0</v>
      </c>
      <c r="I56" s="95">
        <v>27</v>
      </c>
      <c r="J56" s="83" t="s">
        <v>199</v>
      </c>
      <c r="K56" s="92" t="str">
        <f>VLOOKUP(I56,[7]stage_hints!$A:$C,3,FALSE)</f>
        <v>ホーム画面からデッキを編成</v>
      </c>
      <c r="L56" s="93" t="str">
        <f>VLOOKUP(I56,[7]stage_hints!$A:$D,4,FALSE)</f>
        <v>ホーム画面でユニットを長押しすると_x000D_すぐにパーティ編成に移動できます</v>
      </c>
      <c r="M56" s="56" t="s">
        <v>212</v>
      </c>
    </row>
    <row r="57" spans="1:13" x14ac:dyDescent="0.15">
      <c r="A57" s="80" t="s">
        <v>202</v>
      </c>
      <c r="B57" s="81">
        <f>floors!$C$2</f>
        <v>30045</v>
      </c>
      <c r="C57" s="82" t="str">
        <f ca="1">VLOOKUP($B57,OFFSET([2]quests!$A$1,0,0,COUNTA([2]quests!$A:$A),MATCH(C$1,[2]quests!$1:$1,0)-MATCH($B$1,[2]quests!$1:$1,0)+1),MATCH(C$1,[2]quests!$1:$1,0)-MATCH($B$1,[2]quests!$1:$1,0)+1,FALSE)</f>
        <v>れもん色の衝動</v>
      </c>
      <c r="D57" s="82" t="str">
        <f ca="1">VLOOKUP($B57,OFFSET([2]quests!$A$1,0,0,COUNTA([2]quests!$A:$A),MATCH(D$1,[2]quests!$1:$1,0)-MATCH($B$1,[2]quests!$1:$1,0)+1),MATCH(D$1,[2]quests!$1:$1,0)-MATCH($B$1,[2]quests!$1:$1,0)+1,FALSE)</f>
        <v>文豪シリーズ　超級</v>
      </c>
      <c r="E57" s="86">
        <v>2</v>
      </c>
      <c r="F57" s="82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【上級】れもん色の衝動</v>
      </c>
      <c r="G57" s="82" t="str">
        <f ca="1">VLOOKUP($B57&amp;"_"&amp;$E57,OFFSET([2]stages!$A$1,0,0,COUNTA([2]stages!$A:$A),MATCH(G$1,[2]stages!$2:$2,0)-MATCH("temp_stage",[2]stages!$2:$2,0)+1),MATCH(G$1,[2]stages!$2:$2,0)-MATCH("temp_stage",[2]stages!$2:$2,0)+1,FALSE)</f>
        <v>文豪シリーズ　超級</v>
      </c>
      <c r="H57" s="84">
        <v>0</v>
      </c>
      <c r="I57" s="95">
        <v>28</v>
      </c>
      <c r="J57" s="83" t="s">
        <v>199</v>
      </c>
      <c r="K57" s="92" t="str">
        <f>VLOOKUP(I57,[7]stage_hints!$A:$C,3,FALSE)</f>
        <v>ステータス情報は長押しで</v>
      </c>
      <c r="L57" s="93" t="str">
        <f>VLOOKUP(I57,[7]stage_hints!$A:$D,4,FALSE)</f>
        <v>ユニットのアイコンを長押しすると_x000D_ステータス情報を確認することができます</v>
      </c>
      <c r="M57" s="56" t="s">
        <v>212</v>
      </c>
    </row>
    <row r="58" spans="1:13" x14ac:dyDescent="0.15">
      <c r="A58" s="80" t="s">
        <v>202</v>
      </c>
      <c r="B58" s="81">
        <f>floors!$C$2</f>
        <v>30045</v>
      </c>
      <c r="C58" s="82" t="str">
        <f ca="1">VLOOKUP($B58,OFFSET([2]quests!$A$1,0,0,COUNTA([2]quests!$A:$A),MATCH(C$1,[2]quests!$1:$1,0)-MATCH($B$1,[2]quests!$1:$1,0)+1),MATCH(C$1,[2]quests!$1:$1,0)-MATCH($B$1,[2]quests!$1:$1,0)+1,FALSE)</f>
        <v>れもん色の衝動</v>
      </c>
      <c r="D58" s="82" t="str">
        <f ca="1">VLOOKUP($B58,OFFSET([2]quests!$A$1,0,0,COUNTA([2]quests!$A:$A),MATCH(D$1,[2]quests!$1:$1,0)-MATCH($B$1,[2]quests!$1:$1,0)+1),MATCH(D$1,[2]quests!$1:$1,0)-MATCH($B$1,[2]quests!$1:$1,0)+1,FALSE)</f>
        <v>文豪シリーズ　超級</v>
      </c>
      <c r="E58" s="86">
        <v>2</v>
      </c>
      <c r="F58" s="82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【上級】れもん色の衝動</v>
      </c>
      <c r="G58" s="82" t="str">
        <f ca="1">VLOOKUP($B58&amp;"_"&amp;$E58,OFFSET([2]stages!$A$1,0,0,COUNTA([2]stages!$A:$A),MATCH(G$1,[2]stages!$2:$2,0)-MATCH("temp_stage",[2]stages!$2:$2,0)+1),MATCH(G$1,[2]stages!$2:$2,0)-MATCH("temp_stage",[2]stages!$2:$2,0)+1,FALSE)</f>
        <v>文豪シリーズ　超級</v>
      </c>
      <c r="H58" s="84">
        <v>0</v>
      </c>
      <c r="I58" s="95">
        <v>29</v>
      </c>
      <c r="J58" s="83" t="s">
        <v>199</v>
      </c>
      <c r="K58" s="92" t="str">
        <f>VLOOKUP(I58,[7]stage_hints!$A:$C,3,FALSE)</f>
        <v>「バグ」のメリット</v>
      </c>
      <c r="L58" s="93" t="str">
        <f>VLOOKUP(I58,[7]stage_hints!$A:$D,4,FALSE)</f>
        <v>ユニットの「バグ」を増やすと_x000D_報酬をもらえる確率がアップします</v>
      </c>
      <c r="M58" s="56" t="s">
        <v>212</v>
      </c>
    </row>
    <row r="59" spans="1:13" x14ac:dyDescent="0.15">
      <c r="A59" s="80" t="s">
        <v>202</v>
      </c>
      <c r="B59" s="81">
        <f>floors!$C$2</f>
        <v>30045</v>
      </c>
      <c r="C59" s="82" t="str">
        <f ca="1">VLOOKUP($B59,OFFSET([2]quests!$A$1,0,0,COUNTA([2]quests!$A:$A),MATCH(C$1,[2]quests!$1:$1,0)-MATCH($B$1,[2]quests!$1:$1,0)+1),MATCH(C$1,[2]quests!$1:$1,0)-MATCH($B$1,[2]quests!$1:$1,0)+1,FALSE)</f>
        <v>れもん色の衝動</v>
      </c>
      <c r="D59" s="82" t="str">
        <f ca="1">VLOOKUP($B59,OFFSET([2]quests!$A$1,0,0,COUNTA([2]quests!$A:$A),MATCH(D$1,[2]quests!$1:$1,0)-MATCH($B$1,[2]quests!$1:$1,0)+1),MATCH(D$1,[2]quests!$1:$1,0)-MATCH($B$1,[2]quests!$1:$1,0)+1,FALSE)</f>
        <v>文豪シリーズ　超級</v>
      </c>
      <c r="E59" s="86">
        <v>2</v>
      </c>
      <c r="F59" s="82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【上級】れもん色の衝動</v>
      </c>
      <c r="G59" s="82" t="str">
        <f ca="1">VLOOKUP($B59&amp;"_"&amp;$E59,OFFSET([2]stages!$A$1,0,0,COUNTA([2]stages!$A:$A),MATCH(G$1,[2]stages!$2:$2,0)-MATCH("temp_stage",[2]stages!$2:$2,0)+1),MATCH(G$1,[2]stages!$2:$2,0)-MATCH("temp_stage",[2]stages!$2:$2,0)+1,FALSE)</f>
        <v>文豪シリーズ　超級</v>
      </c>
      <c r="H59" s="84">
        <v>0</v>
      </c>
      <c r="I59" s="95">
        <v>30</v>
      </c>
      <c r="J59" s="83" t="s">
        <v>199</v>
      </c>
      <c r="K59" s="92" t="str">
        <f>VLOOKUP(I59,[7]stage_hints!$A:$C,3,FALSE)</f>
        <v>「バグ」の増やし方</v>
      </c>
      <c r="L59" s="93" t="str">
        <f>VLOOKUP(I59,[7]stage_hints!$A:$D,4,FALSE)</f>
        <v>同じユニット同士を強化で合成すると_x000D_「バグ」を増やすことができます</v>
      </c>
      <c r="M59" s="56" t="s">
        <v>212</v>
      </c>
    </row>
    <row r="60" spans="1:13" x14ac:dyDescent="0.15">
      <c r="A60" s="80" t="s">
        <v>202</v>
      </c>
      <c r="B60" s="81">
        <f>floors!$C$2</f>
        <v>30045</v>
      </c>
      <c r="C60" s="82" t="str">
        <f ca="1">VLOOKUP($B60,OFFSET([2]quests!$A$1,0,0,COUNTA([2]quests!$A:$A),MATCH(C$1,[2]quests!$1:$1,0)-MATCH($B$1,[2]quests!$1:$1,0)+1),MATCH(C$1,[2]quests!$1:$1,0)-MATCH($B$1,[2]quests!$1:$1,0)+1,FALSE)</f>
        <v>れもん色の衝動</v>
      </c>
      <c r="D60" s="82" t="str">
        <f ca="1">VLOOKUP($B60,OFFSET([2]quests!$A$1,0,0,COUNTA([2]quests!$A:$A),MATCH(D$1,[2]quests!$1:$1,0)-MATCH($B$1,[2]quests!$1:$1,0)+1),MATCH(D$1,[2]quests!$1:$1,0)-MATCH($B$1,[2]quests!$1:$1,0)+1,FALSE)</f>
        <v>文豪シリーズ　超級</v>
      </c>
      <c r="E60" s="86">
        <v>2</v>
      </c>
      <c r="F60" s="82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【上級】れもん色の衝動</v>
      </c>
      <c r="G60" s="82" t="str">
        <f ca="1">VLOOKUP($B60&amp;"_"&amp;$E60,OFFSET([2]stages!$A$1,0,0,COUNTA([2]stages!$A:$A),MATCH(G$1,[2]stages!$2:$2,0)-MATCH("temp_stage",[2]stages!$2:$2,0)+1),MATCH(G$1,[2]stages!$2:$2,0)-MATCH("temp_stage",[2]stages!$2:$2,0)+1,FALSE)</f>
        <v>文豪シリーズ　超級</v>
      </c>
      <c r="H60" s="84">
        <v>0</v>
      </c>
      <c r="I60" s="95">
        <v>31</v>
      </c>
      <c r="J60" s="83" t="s">
        <v>199</v>
      </c>
      <c r="K60" s="92" t="str">
        <f>VLOOKUP(I60,[7]stage_hints!$A:$C,3,FALSE)</f>
        <v>イベントはお知らせでチェック</v>
      </c>
      <c r="L60" s="93" t="str">
        <f>VLOOKUP(I60,[7]stage_hints!$A:$D,4,FALSE)</f>
        <v>イベント限定ユニットを取り忘れないように_x000D_お知らせをこまめにチェックしましょう</v>
      </c>
      <c r="M60" s="56" t="s">
        <v>212</v>
      </c>
    </row>
    <row r="61" spans="1:13" x14ac:dyDescent="0.15">
      <c r="A61" s="80" t="s">
        <v>202</v>
      </c>
      <c r="B61" s="81">
        <f>floors!$C$2</f>
        <v>30045</v>
      </c>
      <c r="C61" s="82" t="str">
        <f ca="1">VLOOKUP($B61,OFFSET([2]quests!$A$1,0,0,COUNTA([2]quests!$A:$A),MATCH(C$1,[2]quests!$1:$1,0)-MATCH($B$1,[2]quests!$1:$1,0)+1),MATCH(C$1,[2]quests!$1:$1,0)-MATCH($B$1,[2]quests!$1:$1,0)+1,FALSE)</f>
        <v>れもん色の衝動</v>
      </c>
      <c r="D61" s="82" t="str">
        <f ca="1">VLOOKUP($B61,OFFSET([2]quests!$A$1,0,0,COUNTA([2]quests!$A:$A),MATCH(D$1,[2]quests!$1:$1,0)-MATCH($B$1,[2]quests!$1:$1,0)+1),MATCH(D$1,[2]quests!$1:$1,0)-MATCH($B$1,[2]quests!$1:$1,0)+1,FALSE)</f>
        <v>文豪シリーズ　超級</v>
      </c>
      <c r="E61" s="86">
        <v>2</v>
      </c>
      <c r="F61" s="82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【上級】れもん色の衝動</v>
      </c>
      <c r="G61" s="82" t="str">
        <f ca="1">VLOOKUP($B61&amp;"_"&amp;$E61,OFFSET([2]stages!$A$1,0,0,COUNTA([2]stages!$A:$A),MATCH(G$1,[2]stages!$2:$2,0)-MATCH("temp_stage",[2]stages!$2:$2,0)+1),MATCH(G$1,[2]stages!$2:$2,0)-MATCH("temp_stage",[2]stages!$2:$2,0)+1,FALSE)</f>
        <v>文豪シリーズ　超級</v>
      </c>
      <c r="H61" s="84">
        <v>0</v>
      </c>
      <c r="I61" s="95">
        <v>32</v>
      </c>
      <c r="J61" s="83" t="s">
        <v>199</v>
      </c>
      <c r="K61" s="92" t="str">
        <f>VLOOKUP(I61,[7]stage_hints!$A:$C,3,FALSE)</f>
        <v>敵の連続攻撃には</v>
      </c>
      <c r="L61" s="93" t="str">
        <f>VLOOKUP(I61,[7]stage_hints!$A:$D,4,FALSE)</f>
        <v>カウンタースキルを持つユニットがいれば_x000D_ダメージ回数分の反撃ができます</v>
      </c>
      <c r="M61" s="56" t="s">
        <v>212</v>
      </c>
    </row>
    <row r="62" spans="1:13" x14ac:dyDescent="0.15">
      <c r="A62" s="80" t="s">
        <v>202</v>
      </c>
      <c r="B62" s="81">
        <f>floors!$C$2</f>
        <v>30045</v>
      </c>
      <c r="C62" s="82" t="str">
        <f ca="1">VLOOKUP($B62,OFFSET([2]quests!$A$1,0,0,COUNTA([2]quests!$A:$A),MATCH(C$1,[2]quests!$1:$1,0)-MATCH($B$1,[2]quests!$1:$1,0)+1),MATCH(C$1,[2]quests!$1:$1,0)-MATCH($B$1,[2]quests!$1:$1,0)+1,FALSE)</f>
        <v>れもん色の衝動</v>
      </c>
      <c r="D62" s="82" t="str">
        <f ca="1">VLOOKUP($B62,OFFSET([2]quests!$A$1,0,0,COUNTA([2]quests!$A:$A),MATCH(D$1,[2]quests!$1:$1,0)-MATCH($B$1,[2]quests!$1:$1,0)+1),MATCH(D$1,[2]quests!$1:$1,0)-MATCH($B$1,[2]quests!$1:$1,0)+1,FALSE)</f>
        <v>文豪シリーズ　超級</v>
      </c>
      <c r="E62" s="86">
        <v>2</v>
      </c>
      <c r="F62" s="82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【上級】れもん色の衝動</v>
      </c>
      <c r="G62" s="82" t="str">
        <f ca="1">VLOOKUP($B62&amp;"_"&amp;$E62,OFFSET([2]stages!$A$1,0,0,COUNTA([2]stages!$A:$A),MATCH(G$1,[2]stages!$2:$2,0)-MATCH("temp_stage",[2]stages!$2:$2,0)+1),MATCH(G$1,[2]stages!$2:$2,0)-MATCH("temp_stage",[2]stages!$2:$2,0)+1,FALSE)</f>
        <v>文豪シリーズ　超級</v>
      </c>
      <c r="H62" s="84">
        <v>0</v>
      </c>
      <c r="I62" s="95">
        <v>33</v>
      </c>
      <c r="J62" s="83" t="s">
        <v>199</v>
      </c>
      <c r="K62" s="92" t="str">
        <f>VLOOKUP(I62,[7]stage_hints!$A:$C,3,FALSE)</f>
        <v>敵のカウンター攻撃には</v>
      </c>
      <c r="L62" s="93" t="str">
        <f>VLOOKUP(I62,[7]stage_hints!$A:$D,4,FALSE)</f>
        <v>カウンターブレイクスキルを持っていれば_x000D_敵のカウンターを解除して攻撃ができます</v>
      </c>
      <c r="M62" s="56" t="s">
        <v>212</v>
      </c>
    </row>
    <row r="63" spans="1:13" x14ac:dyDescent="0.15">
      <c r="A63" s="80" t="s">
        <v>202</v>
      </c>
      <c r="B63" s="81">
        <f>floors!$C$2</f>
        <v>30045</v>
      </c>
      <c r="C63" s="82" t="str">
        <f ca="1">VLOOKUP($B63,OFFSET([2]quests!$A$1,0,0,COUNTA([2]quests!$A:$A),MATCH(C$1,[2]quests!$1:$1,0)-MATCH($B$1,[2]quests!$1:$1,0)+1),MATCH(C$1,[2]quests!$1:$1,0)-MATCH($B$1,[2]quests!$1:$1,0)+1,FALSE)</f>
        <v>れもん色の衝動</v>
      </c>
      <c r="D63" s="82" t="str">
        <f ca="1">VLOOKUP($B63,OFFSET([2]quests!$A$1,0,0,COUNTA([2]quests!$A:$A),MATCH(D$1,[2]quests!$1:$1,0)-MATCH($B$1,[2]quests!$1:$1,0)+1),MATCH(D$1,[2]quests!$1:$1,0)-MATCH($B$1,[2]quests!$1:$1,0)+1,FALSE)</f>
        <v>文豪シリーズ　超級</v>
      </c>
      <c r="E63" s="86">
        <v>2</v>
      </c>
      <c r="F63" s="82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【上級】れもん色の衝動</v>
      </c>
      <c r="G63" s="82" t="str">
        <f ca="1">VLOOKUP($B63&amp;"_"&amp;$E63,OFFSET([2]stages!$A$1,0,0,COUNTA([2]stages!$A:$A),MATCH(G$1,[2]stages!$2:$2,0)-MATCH("temp_stage",[2]stages!$2:$2,0)+1),MATCH(G$1,[2]stages!$2:$2,0)-MATCH("temp_stage",[2]stages!$2:$2,0)+1,FALSE)</f>
        <v>文豪シリーズ　超級</v>
      </c>
      <c r="H63" s="84">
        <v>0</v>
      </c>
      <c r="I63" s="95">
        <v>34</v>
      </c>
      <c r="J63" s="83" t="s">
        <v>199</v>
      </c>
      <c r="K63" s="92" t="str">
        <f>VLOOKUP(I63,[7]stage_hints!$A:$C,3,FALSE)</f>
        <v>ステータスをスキルで下げられたら</v>
      </c>
      <c r="L63" s="93" t="str">
        <f>VLOOKUP(I63,[7]stage_hints!$A:$D,4,FALSE)</f>
        <v>ステータスダウンのスキルを受けたら_x000D_ステータスアップスキルで上書きしましょう</v>
      </c>
      <c r="M63" s="56" t="s">
        <v>212</v>
      </c>
    </row>
    <row r="64" spans="1:13" x14ac:dyDescent="0.15">
      <c r="A64" s="80" t="s">
        <v>202</v>
      </c>
      <c r="B64" s="81">
        <f>floors!$C$2</f>
        <v>30045</v>
      </c>
      <c r="C64" s="82" t="str">
        <f ca="1">VLOOKUP($B64,OFFSET([2]quests!$A$1,0,0,COUNTA([2]quests!$A:$A),MATCH(C$1,[2]quests!$1:$1,0)-MATCH($B$1,[2]quests!$1:$1,0)+1),MATCH(C$1,[2]quests!$1:$1,0)-MATCH($B$1,[2]quests!$1:$1,0)+1,FALSE)</f>
        <v>れもん色の衝動</v>
      </c>
      <c r="D64" s="82" t="str">
        <f ca="1">VLOOKUP($B64,OFFSET([2]quests!$A$1,0,0,COUNTA([2]quests!$A:$A),MATCH(D$1,[2]quests!$1:$1,0)-MATCH($B$1,[2]quests!$1:$1,0)+1),MATCH(D$1,[2]quests!$1:$1,0)-MATCH($B$1,[2]quests!$1:$1,0)+1,FALSE)</f>
        <v>文豪シリーズ　超級</v>
      </c>
      <c r="E64" s="86">
        <v>2</v>
      </c>
      <c r="F64" s="82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【上級】れもん色の衝動</v>
      </c>
      <c r="G64" s="82" t="str">
        <f ca="1">VLOOKUP($B64&amp;"_"&amp;$E64,OFFSET([2]stages!$A$1,0,0,COUNTA([2]stages!$A:$A),MATCH(G$1,[2]stages!$2:$2,0)-MATCH("temp_stage",[2]stages!$2:$2,0)+1),MATCH(G$1,[2]stages!$2:$2,0)-MATCH("temp_stage",[2]stages!$2:$2,0)+1,FALSE)</f>
        <v>文豪シリーズ　超級</v>
      </c>
      <c r="H64" s="84">
        <v>0</v>
      </c>
      <c r="I64" s="95">
        <v>35</v>
      </c>
      <c r="J64" s="83" t="s">
        <v>199</v>
      </c>
      <c r="K64" s="92" t="str">
        <f>VLOOKUP(I64,[7]stage_hints!$A:$C,3,FALSE)</f>
        <v>敵のステータスがスキルで上がったら</v>
      </c>
      <c r="L64" s="93" t="str">
        <f>VLOOKUP(I64,[7]stage_hints!$A:$D,4,FALSE)</f>
        <v>敵のステータスがスキルでアップしたときは_x000D_ステータスダウンスキルで上書きしましょう</v>
      </c>
      <c r="M64" s="56" t="s">
        <v>212</v>
      </c>
    </row>
    <row r="65" spans="1:13" x14ac:dyDescent="0.15">
      <c r="A65" s="80" t="s">
        <v>202</v>
      </c>
      <c r="B65" s="81">
        <f>floors!$C$2</f>
        <v>30045</v>
      </c>
      <c r="C65" s="82" t="str">
        <f ca="1">VLOOKUP($B65,OFFSET([2]quests!$A$1,0,0,COUNTA([2]quests!$A:$A),MATCH(C$1,[2]quests!$1:$1,0)-MATCH($B$1,[2]quests!$1:$1,0)+1),MATCH(C$1,[2]quests!$1:$1,0)-MATCH($B$1,[2]quests!$1:$1,0)+1,FALSE)</f>
        <v>れもん色の衝動</v>
      </c>
      <c r="D65" s="82" t="str">
        <f ca="1">VLOOKUP($B65,OFFSET([2]quests!$A$1,0,0,COUNTA([2]quests!$A:$A),MATCH(D$1,[2]quests!$1:$1,0)-MATCH($B$1,[2]quests!$1:$1,0)+1),MATCH(D$1,[2]quests!$1:$1,0)-MATCH($B$1,[2]quests!$1:$1,0)+1,FALSE)</f>
        <v>文豪シリーズ　超級</v>
      </c>
      <c r="E65" s="86">
        <v>2</v>
      </c>
      <c r="F65" s="82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【上級】れもん色の衝動</v>
      </c>
      <c r="G65" s="82" t="str">
        <f ca="1">VLOOKUP($B65&amp;"_"&amp;$E65,OFFSET([2]stages!$A$1,0,0,COUNTA([2]stages!$A:$A),MATCH(G$1,[2]stages!$2:$2,0)-MATCH("temp_stage",[2]stages!$2:$2,0)+1),MATCH(G$1,[2]stages!$2:$2,0)-MATCH("temp_stage",[2]stages!$2:$2,0)+1,FALSE)</f>
        <v>文豪シリーズ　超級</v>
      </c>
      <c r="H65" s="84">
        <v>0</v>
      </c>
      <c r="I65" s="95">
        <v>36</v>
      </c>
      <c r="J65" s="83" t="s">
        <v>199</v>
      </c>
      <c r="K65" s="92" t="str">
        <f>VLOOKUP(I65,[7]stage_hints!$A:$C,3,FALSE)</f>
        <v>タワーオブザクイーンのボス</v>
      </c>
      <c r="L65" s="93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6" t="s">
        <v>212</v>
      </c>
    </row>
    <row r="66" spans="1:13" x14ac:dyDescent="0.15">
      <c r="A66" s="80" t="s">
        <v>202</v>
      </c>
      <c r="B66" s="81">
        <f>floors!$C$2</f>
        <v>30045</v>
      </c>
      <c r="C66" s="82" t="str">
        <f ca="1">VLOOKUP($B66,OFFSET([2]quests!$A$1,0,0,COUNTA([2]quests!$A:$A),MATCH(C$1,[2]quests!$1:$1,0)-MATCH($B$1,[2]quests!$1:$1,0)+1),MATCH(C$1,[2]quests!$1:$1,0)-MATCH($B$1,[2]quests!$1:$1,0)+1,FALSE)</f>
        <v>れもん色の衝動</v>
      </c>
      <c r="D66" s="82" t="str">
        <f ca="1">VLOOKUP($B66,OFFSET([2]quests!$A$1,0,0,COUNTA([2]quests!$A:$A),MATCH(D$1,[2]quests!$1:$1,0)-MATCH($B$1,[2]quests!$1:$1,0)+1),MATCH(D$1,[2]quests!$1:$1,0)-MATCH($B$1,[2]quests!$1:$1,0)+1,FALSE)</f>
        <v>文豪シリーズ　超級</v>
      </c>
      <c r="E66" s="86">
        <v>2</v>
      </c>
      <c r="F66" s="82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【上級】れもん色の衝動</v>
      </c>
      <c r="G66" s="82" t="str">
        <f ca="1">VLOOKUP($B66&amp;"_"&amp;$E66,OFFSET([2]stages!$A$1,0,0,COUNTA([2]stages!$A:$A),MATCH(G$1,[2]stages!$2:$2,0)-MATCH("temp_stage",[2]stages!$2:$2,0)+1),MATCH(G$1,[2]stages!$2:$2,0)-MATCH("temp_stage",[2]stages!$2:$2,0)+1,FALSE)</f>
        <v>文豪シリーズ　超級</v>
      </c>
      <c r="H66" s="84">
        <v>0</v>
      </c>
      <c r="I66" s="95">
        <v>37</v>
      </c>
      <c r="J66" s="83" t="s">
        <v>199</v>
      </c>
      <c r="K66" s="92" t="str">
        <f>VLOOKUP(I66,[7]stage_hints!$A:$C,3,FALSE)</f>
        <v>限界突破値の引き継ぎ</v>
      </c>
      <c r="L66" s="93" t="str">
        <f>VLOOKUP(I66,[7]stage_hints!$A:$D,4,FALSE)</f>
        <v>同じユニットを強化で合成すると_x000D_限界突破値を引き継げます（覚醒前後も可）</v>
      </c>
      <c r="M66" s="56" t="s">
        <v>212</v>
      </c>
    </row>
    <row r="67" spans="1:13" x14ac:dyDescent="0.15">
      <c r="A67" s="80" t="s">
        <v>202</v>
      </c>
      <c r="B67" s="81">
        <f>floors!$C$2</f>
        <v>30045</v>
      </c>
      <c r="C67" s="82" t="str">
        <f ca="1">VLOOKUP($B67,OFFSET([2]quests!$A$1,0,0,COUNTA([2]quests!$A:$A),MATCH(C$1,[2]quests!$1:$1,0)-MATCH($B$1,[2]quests!$1:$1,0)+1),MATCH(C$1,[2]quests!$1:$1,0)-MATCH($B$1,[2]quests!$1:$1,0)+1,FALSE)</f>
        <v>れもん色の衝動</v>
      </c>
      <c r="D67" s="82" t="str">
        <f ca="1">VLOOKUP($B67,OFFSET([2]quests!$A$1,0,0,COUNTA([2]quests!$A:$A),MATCH(D$1,[2]quests!$1:$1,0)-MATCH($B$1,[2]quests!$1:$1,0)+1),MATCH(D$1,[2]quests!$1:$1,0)-MATCH($B$1,[2]quests!$1:$1,0)+1,FALSE)</f>
        <v>文豪シリーズ　超級</v>
      </c>
      <c r="E67" s="86">
        <v>2</v>
      </c>
      <c r="F67" s="82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【上級】れもん色の衝動</v>
      </c>
      <c r="G67" s="82" t="str">
        <f ca="1">VLOOKUP($B67&amp;"_"&amp;$E67,OFFSET([2]stages!$A$1,0,0,COUNTA([2]stages!$A:$A),MATCH(G$1,[2]stages!$2:$2,0)-MATCH("temp_stage",[2]stages!$2:$2,0)+1),MATCH(G$1,[2]stages!$2:$2,0)-MATCH("temp_stage",[2]stages!$2:$2,0)+1,FALSE)</f>
        <v>文豪シリーズ　超級</v>
      </c>
      <c r="H67" s="84">
        <v>0</v>
      </c>
      <c r="I67" s="95">
        <v>39</v>
      </c>
      <c r="J67" s="83" t="s">
        <v>199</v>
      </c>
      <c r="K67" s="92" t="str">
        <f>VLOOKUP(I67,[7]stage_hints!$A:$C,3,FALSE)</f>
        <v>システム適合者を確認</v>
      </c>
      <c r="L67" s="93" t="str">
        <f>VLOOKUP(I67,[7]stage_hints!$A:$D,4,FALSE)</f>
        <v>ALICEが 「アナタ」を呼んでいます</v>
      </c>
      <c r="M67" s="56" t="s">
        <v>212</v>
      </c>
    </row>
    <row r="68" spans="1:13" x14ac:dyDescent="0.15">
      <c r="A68" s="80" t="s">
        <v>202</v>
      </c>
      <c r="B68" s="81">
        <f>floors!$C$2</f>
        <v>30045</v>
      </c>
      <c r="C68" s="82" t="str">
        <f ca="1">VLOOKUP($B68,OFFSET([2]quests!$A$1,0,0,COUNTA([2]quests!$A:$A),MATCH(C$1,[2]quests!$1:$1,0)-MATCH($B$1,[2]quests!$1:$1,0)+1),MATCH(C$1,[2]quests!$1:$1,0)-MATCH($B$1,[2]quests!$1:$1,0)+1,FALSE)</f>
        <v>れもん色の衝動</v>
      </c>
      <c r="D68" s="82" t="str">
        <f ca="1">VLOOKUP($B68,OFFSET([2]quests!$A$1,0,0,COUNTA([2]quests!$A:$A),MATCH(D$1,[2]quests!$1:$1,0)-MATCH($B$1,[2]quests!$1:$1,0)+1),MATCH(D$1,[2]quests!$1:$1,0)-MATCH($B$1,[2]quests!$1:$1,0)+1,FALSE)</f>
        <v>文豪シリーズ　超級</v>
      </c>
      <c r="E68" s="86">
        <v>3</v>
      </c>
      <c r="F68" s="82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【超級】れもん色の衝動</v>
      </c>
      <c r="G68" s="82" t="str">
        <f ca="1">VLOOKUP($B68&amp;"_"&amp;$E68,OFFSET([2]stages!$A$1,0,0,COUNTA([2]stages!$A:$A),MATCH(G$1,[2]stages!$2:$2,0)-MATCH("temp_stage",[2]stages!$2:$2,0)+1),MATCH(G$1,[2]stages!$2:$2,0)-MATCH("temp_stage",[2]stages!$2:$2,0)+1,FALSE)</f>
        <v>文豪シリーズ　超級</v>
      </c>
      <c r="H68" s="84">
        <v>0</v>
      </c>
      <c r="I68">
        <v>12</v>
      </c>
      <c r="J68" s="83" t="s">
        <v>199</v>
      </c>
      <c r="K68" s="92" t="str">
        <f>VLOOKUP(I68,[7]stage_hints!$A:$C,3,FALSE)</f>
        <v>ユニットのお気に入り登録</v>
      </c>
      <c r="L68" s="93" t="str">
        <f>VLOOKUP(I68,[7]stage_hints!$A:$D,4,FALSE)</f>
        <v>大事なユニットを誤って消さないように_x000D_フォルダから「お気に入り登録」しましょう</v>
      </c>
      <c r="M68" s="56" t="s">
        <v>212</v>
      </c>
    </row>
    <row r="69" spans="1:13" x14ac:dyDescent="0.15">
      <c r="A69" s="80" t="s">
        <v>202</v>
      </c>
      <c r="B69" s="81">
        <f>floors!$C$2</f>
        <v>30045</v>
      </c>
      <c r="C69" s="82" t="str">
        <f ca="1">VLOOKUP($B69,OFFSET([2]quests!$A$1,0,0,COUNTA([2]quests!$A:$A),MATCH(C$1,[2]quests!$1:$1,0)-MATCH($B$1,[2]quests!$1:$1,0)+1),MATCH(C$1,[2]quests!$1:$1,0)-MATCH($B$1,[2]quests!$1:$1,0)+1,FALSE)</f>
        <v>れもん色の衝動</v>
      </c>
      <c r="D69" s="82" t="str">
        <f ca="1">VLOOKUP($B69,OFFSET([2]quests!$A$1,0,0,COUNTA([2]quests!$A:$A),MATCH(D$1,[2]quests!$1:$1,0)-MATCH($B$1,[2]quests!$1:$1,0)+1),MATCH(D$1,[2]quests!$1:$1,0)-MATCH($B$1,[2]quests!$1:$1,0)+1,FALSE)</f>
        <v>文豪シリーズ　超級</v>
      </c>
      <c r="E69" s="86">
        <v>3</v>
      </c>
      <c r="F69" s="82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【超級】れもん色の衝動</v>
      </c>
      <c r="G69" s="82" t="str">
        <f ca="1">VLOOKUP($B69&amp;"_"&amp;$E69,OFFSET([2]stages!$A$1,0,0,COUNTA([2]stages!$A:$A),MATCH(G$1,[2]stages!$2:$2,0)-MATCH("temp_stage",[2]stages!$2:$2,0)+1),MATCH(G$1,[2]stages!$2:$2,0)-MATCH("temp_stage",[2]stages!$2:$2,0)+1,FALSE)</f>
        <v>文豪シリーズ　超級</v>
      </c>
      <c r="H69" s="84">
        <v>0</v>
      </c>
      <c r="I69">
        <v>17</v>
      </c>
      <c r="J69" s="83" t="s">
        <v>199</v>
      </c>
      <c r="K69" s="92" t="str">
        <f>VLOOKUP(I69,[7]stage_hints!$A:$C,3,FALSE)</f>
        <v>リンクガチャ</v>
      </c>
      <c r="L69" s="93" t="str">
        <f>VLOOKUP(I69,[7]stage_hints!$A:$D,4,FALSE)</f>
        <v>無料のリンクガチャを回して_x000D_経験値素材や売却素材を獲得しましょう</v>
      </c>
      <c r="M69" s="56" t="s">
        <v>212</v>
      </c>
    </row>
    <row r="70" spans="1:13" x14ac:dyDescent="0.15">
      <c r="A70" s="80" t="s">
        <v>202</v>
      </c>
      <c r="B70" s="81">
        <f>floors!$C$2</f>
        <v>30045</v>
      </c>
      <c r="C70" s="82" t="str">
        <f ca="1">VLOOKUP($B70,OFFSET([2]quests!$A$1,0,0,COUNTA([2]quests!$A:$A),MATCH(C$1,[2]quests!$1:$1,0)-MATCH($B$1,[2]quests!$1:$1,0)+1),MATCH(C$1,[2]quests!$1:$1,0)-MATCH($B$1,[2]quests!$1:$1,0)+1,FALSE)</f>
        <v>れもん色の衝動</v>
      </c>
      <c r="D70" s="82" t="str">
        <f ca="1">VLOOKUP($B70,OFFSET([2]quests!$A$1,0,0,COUNTA([2]quests!$A:$A),MATCH(D$1,[2]quests!$1:$1,0)-MATCH($B$1,[2]quests!$1:$1,0)+1),MATCH(D$1,[2]quests!$1:$1,0)-MATCH($B$1,[2]quests!$1:$1,0)+1,FALSE)</f>
        <v>文豪シリーズ　超級</v>
      </c>
      <c r="E70" s="86">
        <v>3</v>
      </c>
      <c r="F70" s="82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【超級】れもん色の衝動</v>
      </c>
      <c r="G70" s="82" t="str">
        <f ca="1">VLOOKUP($B70&amp;"_"&amp;$E70,OFFSET([2]stages!$A$1,0,0,COUNTA([2]stages!$A:$A),MATCH(G$1,[2]stages!$2:$2,0)-MATCH("temp_stage",[2]stages!$2:$2,0)+1),MATCH(G$1,[2]stages!$2:$2,0)-MATCH("temp_stage",[2]stages!$2:$2,0)+1,FALSE)</f>
        <v>文豪シリーズ　超級</v>
      </c>
      <c r="H70" s="84">
        <v>0</v>
      </c>
      <c r="I70">
        <v>19</v>
      </c>
      <c r="J70" s="83" t="s">
        <v>199</v>
      </c>
      <c r="K70" s="92" t="str">
        <f>VLOOKUP(I70,[7]stage_hints!$A:$C,3,FALSE)</f>
        <v>ソロ専用タワーオブザクイーン</v>
      </c>
      <c r="L70" s="93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6" t="s">
        <v>212</v>
      </c>
    </row>
    <row r="71" spans="1:13" x14ac:dyDescent="0.15">
      <c r="A71" s="80" t="s">
        <v>202</v>
      </c>
      <c r="B71" s="81">
        <f>floors!$C$2</f>
        <v>30045</v>
      </c>
      <c r="C71" s="82" t="str">
        <f ca="1">VLOOKUP($B71,OFFSET([2]quests!$A$1,0,0,COUNTA([2]quests!$A:$A),MATCH(C$1,[2]quests!$1:$1,0)-MATCH($B$1,[2]quests!$1:$1,0)+1),MATCH(C$1,[2]quests!$1:$1,0)-MATCH($B$1,[2]quests!$1:$1,0)+1,FALSE)</f>
        <v>れもん色の衝動</v>
      </c>
      <c r="D71" s="82" t="str">
        <f ca="1">VLOOKUP($B71,OFFSET([2]quests!$A$1,0,0,COUNTA([2]quests!$A:$A),MATCH(D$1,[2]quests!$1:$1,0)-MATCH($B$1,[2]quests!$1:$1,0)+1),MATCH(D$1,[2]quests!$1:$1,0)-MATCH($B$1,[2]quests!$1:$1,0)+1,FALSE)</f>
        <v>文豪シリーズ　超級</v>
      </c>
      <c r="E71" s="86">
        <v>3</v>
      </c>
      <c r="F71" s="82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【超級】れもん色の衝動</v>
      </c>
      <c r="G71" s="82" t="str">
        <f ca="1">VLOOKUP($B71&amp;"_"&amp;$E71,OFFSET([2]stages!$A$1,0,0,COUNTA([2]stages!$A:$A),MATCH(G$1,[2]stages!$2:$2,0)-MATCH("temp_stage",[2]stages!$2:$2,0)+1),MATCH(G$1,[2]stages!$2:$2,0)-MATCH("temp_stage",[2]stages!$2:$2,0)+1,FALSE)</f>
        <v>文豪シリーズ　超級</v>
      </c>
      <c r="H71" s="84">
        <v>0</v>
      </c>
      <c r="I71">
        <v>21</v>
      </c>
      <c r="J71" s="83" t="s">
        <v>199</v>
      </c>
      <c r="K71" s="92" t="str">
        <f>VLOOKUP(I71,[7]stage_hints!$A:$C,3,FALSE)</f>
        <v>スキルを有効に</v>
      </c>
      <c r="L71" s="93" t="str">
        <f>VLOOKUP(I71,[7]stage_hints!$A:$D,4,FALSE)</f>
        <v>ターン経過でユニットのスキルが使えます_x000D_強力スキルでバトルを有利に進めましょう</v>
      </c>
      <c r="M71" s="56" t="s">
        <v>212</v>
      </c>
    </row>
    <row r="72" spans="1:13" x14ac:dyDescent="0.15">
      <c r="A72" s="80" t="s">
        <v>202</v>
      </c>
      <c r="B72" s="81">
        <f>floors!$C$2</f>
        <v>30045</v>
      </c>
      <c r="C72" s="82" t="str">
        <f ca="1">VLOOKUP($B72,OFFSET([2]quests!$A$1,0,0,COUNTA([2]quests!$A:$A),MATCH(C$1,[2]quests!$1:$1,0)-MATCH($B$1,[2]quests!$1:$1,0)+1),MATCH(C$1,[2]quests!$1:$1,0)-MATCH($B$1,[2]quests!$1:$1,0)+1,FALSE)</f>
        <v>れもん色の衝動</v>
      </c>
      <c r="D72" s="82" t="str">
        <f ca="1">VLOOKUP($B72,OFFSET([2]quests!$A$1,0,0,COUNTA([2]quests!$A:$A),MATCH(D$1,[2]quests!$1:$1,0)-MATCH($B$1,[2]quests!$1:$1,0)+1),MATCH(D$1,[2]quests!$1:$1,0)-MATCH($B$1,[2]quests!$1:$1,0)+1,FALSE)</f>
        <v>文豪シリーズ　超級</v>
      </c>
      <c r="E72" s="86">
        <v>3</v>
      </c>
      <c r="F72" s="82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【超級】れもん色の衝動</v>
      </c>
      <c r="G72" s="82" t="str">
        <f ca="1">VLOOKUP($B72&amp;"_"&amp;$E72,OFFSET([2]stages!$A$1,0,0,COUNTA([2]stages!$A:$A),MATCH(G$1,[2]stages!$2:$2,0)-MATCH("temp_stage",[2]stages!$2:$2,0)+1),MATCH(G$1,[2]stages!$2:$2,0)-MATCH("temp_stage",[2]stages!$2:$2,0)+1,FALSE)</f>
        <v>文豪シリーズ　超級</v>
      </c>
      <c r="H72" s="84">
        <v>0</v>
      </c>
      <c r="I72">
        <v>27</v>
      </c>
      <c r="J72" s="83" t="s">
        <v>199</v>
      </c>
      <c r="K72" s="92" t="str">
        <f>VLOOKUP(I72,[7]stage_hints!$A:$C,3,FALSE)</f>
        <v>ホーム画面からデッキを編成</v>
      </c>
      <c r="L72" s="93" t="str">
        <f>VLOOKUP(I72,[7]stage_hints!$A:$D,4,FALSE)</f>
        <v>ホーム画面でユニットを長押しすると_x000D_すぐにパーティ編成に移動できます</v>
      </c>
      <c r="M72" s="56" t="s">
        <v>212</v>
      </c>
    </row>
    <row r="73" spans="1:13" x14ac:dyDescent="0.15">
      <c r="A73" s="80" t="s">
        <v>202</v>
      </c>
      <c r="B73" s="81">
        <f>floors!$C$2</f>
        <v>30045</v>
      </c>
      <c r="C73" s="82" t="str">
        <f ca="1">VLOOKUP($B73,OFFSET([2]quests!$A$1,0,0,COUNTA([2]quests!$A:$A),MATCH(C$1,[2]quests!$1:$1,0)-MATCH($B$1,[2]quests!$1:$1,0)+1),MATCH(C$1,[2]quests!$1:$1,0)-MATCH($B$1,[2]quests!$1:$1,0)+1,FALSE)</f>
        <v>れもん色の衝動</v>
      </c>
      <c r="D73" s="82" t="str">
        <f ca="1">VLOOKUP($B73,OFFSET([2]quests!$A$1,0,0,COUNTA([2]quests!$A:$A),MATCH(D$1,[2]quests!$1:$1,0)-MATCH($B$1,[2]quests!$1:$1,0)+1),MATCH(D$1,[2]quests!$1:$1,0)-MATCH($B$1,[2]quests!$1:$1,0)+1,FALSE)</f>
        <v>文豪シリーズ　超級</v>
      </c>
      <c r="E73" s="86">
        <v>3</v>
      </c>
      <c r="F73" s="82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【超級】れもん色の衝動</v>
      </c>
      <c r="G73" s="82" t="str">
        <f ca="1">VLOOKUP($B73&amp;"_"&amp;$E73,OFFSET([2]stages!$A$1,0,0,COUNTA([2]stages!$A:$A),MATCH(G$1,[2]stages!$2:$2,0)-MATCH("temp_stage",[2]stages!$2:$2,0)+1),MATCH(G$1,[2]stages!$2:$2,0)-MATCH("temp_stage",[2]stages!$2:$2,0)+1,FALSE)</f>
        <v>文豪シリーズ　超級</v>
      </c>
      <c r="H73" s="84">
        <v>0</v>
      </c>
      <c r="I73">
        <v>28</v>
      </c>
      <c r="J73" s="83" t="s">
        <v>199</v>
      </c>
      <c r="K73" s="92" t="str">
        <f>VLOOKUP(I73,[7]stage_hints!$A:$C,3,FALSE)</f>
        <v>ステータス情報は長押しで</v>
      </c>
      <c r="L73" s="93" t="str">
        <f>VLOOKUP(I73,[7]stage_hints!$A:$D,4,FALSE)</f>
        <v>ユニットのアイコンを長押しすると_x000D_ステータス情報を確認することができます</v>
      </c>
      <c r="M73" s="56" t="s">
        <v>212</v>
      </c>
    </row>
    <row r="74" spans="1:13" x14ac:dyDescent="0.15">
      <c r="A74" s="80" t="s">
        <v>202</v>
      </c>
      <c r="B74" s="81">
        <f>floors!$C$2</f>
        <v>30045</v>
      </c>
      <c r="C74" s="82" t="str">
        <f ca="1">VLOOKUP($B74,OFFSET([2]quests!$A$1,0,0,COUNTA([2]quests!$A:$A),MATCH(C$1,[2]quests!$1:$1,0)-MATCH($B$1,[2]quests!$1:$1,0)+1),MATCH(C$1,[2]quests!$1:$1,0)-MATCH($B$1,[2]quests!$1:$1,0)+1,FALSE)</f>
        <v>れもん色の衝動</v>
      </c>
      <c r="D74" s="82" t="str">
        <f ca="1">VLOOKUP($B74,OFFSET([2]quests!$A$1,0,0,COUNTA([2]quests!$A:$A),MATCH(D$1,[2]quests!$1:$1,0)-MATCH($B$1,[2]quests!$1:$1,0)+1),MATCH(D$1,[2]quests!$1:$1,0)-MATCH($B$1,[2]quests!$1:$1,0)+1,FALSE)</f>
        <v>文豪シリーズ　超級</v>
      </c>
      <c r="E74" s="86">
        <v>3</v>
      </c>
      <c r="F74" s="82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【超級】れもん色の衝動</v>
      </c>
      <c r="G74" s="82" t="str">
        <f ca="1">VLOOKUP($B74&amp;"_"&amp;$E74,OFFSET([2]stages!$A$1,0,0,COUNTA([2]stages!$A:$A),MATCH(G$1,[2]stages!$2:$2,0)-MATCH("temp_stage",[2]stages!$2:$2,0)+1),MATCH(G$1,[2]stages!$2:$2,0)-MATCH("temp_stage",[2]stages!$2:$2,0)+1,FALSE)</f>
        <v>文豪シリーズ　超級</v>
      </c>
      <c r="H74" s="84">
        <v>0</v>
      </c>
      <c r="I74">
        <v>29</v>
      </c>
      <c r="J74" s="83" t="s">
        <v>199</v>
      </c>
      <c r="K74" s="92" t="str">
        <f>VLOOKUP(I74,[7]stage_hints!$A:$C,3,FALSE)</f>
        <v>「バグ」のメリット</v>
      </c>
      <c r="L74" s="93" t="str">
        <f>VLOOKUP(I74,[7]stage_hints!$A:$D,4,FALSE)</f>
        <v>ユニットの「バグ」を増やすと_x000D_報酬をもらえる確率がアップします</v>
      </c>
      <c r="M74" s="56" t="s">
        <v>212</v>
      </c>
    </row>
    <row r="75" spans="1:13" x14ac:dyDescent="0.15">
      <c r="A75" s="80" t="s">
        <v>202</v>
      </c>
      <c r="B75" s="81">
        <f>floors!$C$2</f>
        <v>30045</v>
      </c>
      <c r="C75" s="82" t="str">
        <f ca="1">VLOOKUP($B75,OFFSET([2]quests!$A$1,0,0,COUNTA([2]quests!$A:$A),MATCH(C$1,[2]quests!$1:$1,0)-MATCH($B$1,[2]quests!$1:$1,0)+1),MATCH(C$1,[2]quests!$1:$1,0)-MATCH($B$1,[2]quests!$1:$1,0)+1,FALSE)</f>
        <v>れもん色の衝動</v>
      </c>
      <c r="D75" s="82" t="str">
        <f ca="1">VLOOKUP($B75,OFFSET([2]quests!$A$1,0,0,COUNTA([2]quests!$A:$A),MATCH(D$1,[2]quests!$1:$1,0)-MATCH($B$1,[2]quests!$1:$1,0)+1),MATCH(D$1,[2]quests!$1:$1,0)-MATCH($B$1,[2]quests!$1:$1,0)+1,FALSE)</f>
        <v>文豪シリーズ　超級</v>
      </c>
      <c r="E75" s="86">
        <v>3</v>
      </c>
      <c r="F75" s="82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【超級】れもん色の衝動</v>
      </c>
      <c r="G75" s="82" t="str">
        <f ca="1">VLOOKUP($B75&amp;"_"&amp;$E75,OFFSET([2]stages!$A$1,0,0,COUNTA([2]stages!$A:$A),MATCH(G$1,[2]stages!$2:$2,0)-MATCH("temp_stage",[2]stages!$2:$2,0)+1),MATCH(G$1,[2]stages!$2:$2,0)-MATCH("temp_stage",[2]stages!$2:$2,0)+1,FALSE)</f>
        <v>文豪シリーズ　超級</v>
      </c>
      <c r="H75" s="84">
        <v>0</v>
      </c>
      <c r="I75">
        <v>30</v>
      </c>
      <c r="J75" s="83" t="s">
        <v>199</v>
      </c>
      <c r="K75" s="92" t="str">
        <f>VLOOKUP(I75,[7]stage_hints!$A:$C,3,FALSE)</f>
        <v>「バグ」の増やし方</v>
      </c>
      <c r="L75" s="93" t="str">
        <f>VLOOKUP(I75,[7]stage_hints!$A:$D,4,FALSE)</f>
        <v>同じユニット同士を強化で合成すると_x000D_「バグ」を増やすことができます</v>
      </c>
      <c r="M75" s="56" t="s">
        <v>212</v>
      </c>
    </row>
    <row r="76" spans="1:13" x14ac:dyDescent="0.15">
      <c r="A76" s="80" t="s">
        <v>202</v>
      </c>
      <c r="B76" s="81">
        <f>floors!$C$2</f>
        <v>30045</v>
      </c>
      <c r="C76" s="82" t="str">
        <f ca="1">VLOOKUP($B76,OFFSET([2]quests!$A$1,0,0,COUNTA([2]quests!$A:$A),MATCH(C$1,[2]quests!$1:$1,0)-MATCH($B$1,[2]quests!$1:$1,0)+1),MATCH(C$1,[2]quests!$1:$1,0)-MATCH($B$1,[2]quests!$1:$1,0)+1,FALSE)</f>
        <v>れもん色の衝動</v>
      </c>
      <c r="D76" s="82" t="str">
        <f ca="1">VLOOKUP($B76,OFFSET([2]quests!$A$1,0,0,COUNTA([2]quests!$A:$A),MATCH(D$1,[2]quests!$1:$1,0)-MATCH($B$1,[2]quests!$1:$1,0)+1),MATCH(D$1,[2]quests!$1:$1,0)-MATCH($B$1,[2]quests!$1:$1,0)+1,FALSE)</f>
        <v>文豪シリーズ　超級</v>
      </c>
      <c r="E76" s="86">
        <v>3</v>
      </c>
      <c r="F76" s="82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【超級】れもん色の衝動</v>
      </c>
      <c r="G76" s="82" t="str">
        <f ca="1">VLOOKUP($B76&amp;"_"&amp;$E76,OFFSET([2]stages!$A$1,0,0,COUNTA([2]stages!$A:$A),MATCH(G$1,[2]stages!$2:$2,0)-MATCH("temp_stage",[2]stages!$2:$2,0)+1),MATCH(G$1,[2]stages!$2:$2,0)-MATCH("temp_stage",[2]stages!$2:$2,0)+1,FALSE)</f>
        <v>文豪シリーズ　超級</v>
      </c>
      <c r="H76" s="84">
        <v>0</v>
      </c>
      <c r="I76">
        <v>32</v>
      </c>
      <c r="J76" s="83" t="s">
        <v>199</v>
      </c>
      <c r="K76" s="92" t="str">
        <f>VLOOKUP(I76,[7]stage_hints!$A:$C,3,FALSE)</f>
        <v>敵の連続攻撃には</v>
      </c>
      <c r="L76" s="93" t="str">
        <f>VLOOKUP(I76,[7]stage_hints!$A:$D,4,FALSE)</f>
        <v>カウンタースキルを持つユニットがいれば_x000D_ダメージ回数分の反撃ができます</v>
      </c>
      <c r="M76" s="56" t="s">
        <v>212</v>
      </c>
    </row>
    <row r="77" spans="1:13" x14ac:dyDescent="0.15">
      <c r="A77" s="80" t="s">
        <v>202</v>
      </c>
      <c r="B77" s="81">
        <f>floors!$C$2</f>
        <v>30045</v>
      </c>
      <c r="C77" s="82" t="str">
        <f ca="1">VLOOKUP($B77,OFFSET([2]quests!$A$1,0,0,COUNTA([2]quests!$A:$A),MATCH(C$1,[2]quests!$1:$1,0)-MATCH($B$1,[2]quests!$1:$1,0)+1),MATCH(C$1,[2]quests!$1:$1,0)-MATCH($B$1,[2]quests!$1:$1,0)+1,FALSE)</f>
        <v>れもん色の衝動</v>
      </c>
      <c r="D77" s="82" t="str">
        <f ca="1">VLOOKUP($B77,OFFSET([2]quests!$A$1,0,0,COUNTA([2]quests!$A:$A),MATCH(D$1,[2]quests!$1:$1,0)-MATCH($B$1,[2]quests!$1:$1,0)+1),MATCH(D$1,[2]quests!$1:$1,0)-MATCH($B$1,[2]quests!$1:$1,0)+1,FALSE)</f>
        <v>文豪シリーズ　超級</v>
      </c>
      <c r="E77" s="86">
        <v>3</v>
      </c>
      <c r="F77" s="82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【超級】れもん色の衝動</v>
      </c>
      <c r="G77" s="82" t="str">
        <f ca="1">VLOOKUP($B77&amp;"_"&amp;$E77,OFFSET([2]stages!$A$1,0,0,COUNTA([2]stages!$A:$A),MATCH(G$1,[2]stages!$2:$2,0)-MATCH("temp_stage",[2]stages!$2:$2,0)+1),MATCH(G$1,[2]stages!$2:$2,0)-MATCH("temp_stage",[2]stages!$2:$2,0)+1,FALSE)</f>
        <v>文豪シリーズ　超級</v>
      </c>
      <c r="H77" s="84">
        <v>0</v>
      </c>
      <c r="I77">
        <v>33</v>
      </c>
      <c r="J77" s="83" t="s">
        <v>199</v>
      </c>
      <c r="K77" s="92" t="str">
        <f>VLOOKUP(I77,[7]stage_hints!$A:$C,3,FALSE)</f>
        <v>敵のカウンター攻撃には</v>
      </c>
      <c r="L77" s="93" t="str">
        <f>VLOOKUP(I77,[7]stage_hints!$A:$D,4,FALSE)</f>
        <v>カウンターブレイクスキルを持っていれば_x000D_敵のカウンターを解除して攻撃ができます</v>
      </c>
      <c r="M77" s="56" t="s">
        <v>212</v>
      </c>
    </row>
    <row r="78" spans="1:13" x14ac:dyDescent="0.15">
      <c r="A78" s="80" t="s">
        <v>202</v>
      </c>
      <c r="B78" s="81">
        <f>floors!$C$2</f>
        <v>30045</v>
      </c>
      <c r="C78" s="82" t="str">
        <f ca="1">VLOOKUP($B78,OFFSET([2]quests!$A$1,0,0,COUNTA([2]quests!$A:$A),MATCH(C$1,[2]quests!$1:$1,0)-MATCH($B$1,[2]quests!$1:$1,0)+1),MATCH(C$1,[2]quests!$1:$1,0)-MATCH($B$1,[2]quests!$1:$1,0)+1,FALSE)</f>
        <v>れもん色の衝動</v>
      </c>
      <c r="D78" s="82" t="str">
        <f ca="1">VLOOKUP($B78,OFFSET([2]quests!$A$1,0,0,COUNTA([2]quests!$A:$A),MATCH(D$1,[2]quests!$1:$1,0)-MATCH($B$1,[2]quests!$1:$1,0)+1),MATCH(D$1,[2]quests!$1:$1,0)-MATCH($B$1,[2]quests!$1:$1,0)+1,FALSE)</f>
        <v>文豪シリーズ　超級</v>
      </c>
      <c r="E78" s="86">
        <v>3</v>
      </c>
      <c r="F78" s="82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【超級】れもん色の衝動</v>
      </c>
      <c r="G78" s="82" t="str">
        <f ca="1">VLOOKUP($B78&amp;"_"&amp;$E78,OFFSET([2]stages!$A$1,0,0,COUNTA([2]stages!$A:$A),MATCH(G$1,[2]stages!$2:$2,0)-MATCH("temp_stage",[2]stages!$2:$2,0)+1),MATCH(G$1,[2]stages!$2:$2,0)-MATCH("temp_stage",[2]stages!$2:$2,0)+1,FALSE)</f>
        <v>文豪シリーズ　超級</v>
      </c>
      <c r="H78" s="84">
        <v>0</v>
      </c>
      <c r="I78">
        <v>34</v>
      </c>
      <c r="J78" s="83" t="s">
        <v>199</v>
      </c>
      <c r="K78" s="92" t="str">
        <f>VLOOKUP(I78,[7]stage_hints!$A:$C,3,FALSE)</f>
        <v>ステータスをスキルで下げられたら</v>
      </c>
      <c r="L78" s="93" t="str">
        <f>VLOOKUP(I78,[7]stage_hints!$A:$D,4,FALSE)</f>
        <v>ステータスダウンのスキルを受けたら_x000D_ステータスアップスキルで上書きしましょう</v>
      </c>
      <c r="M78" s="56" t="s">
        <v>212</v>
      </c>
    </row>
    <row r="79" spans="1:13" x14ac:dyDescent="0.15">
      <c r="A79" s="80" t="s">
        <v>202</v>
      </c>
      <c r="B79" s="81">
        <f>floors!$C$2</f>
        <v>30045</v>
      </c>
      <c r="C79" s="82" t="str">
        <f ca="1">VLOOKUP($B79,OFFSET([2]quests!$A$1,0,0,COUNTA([2]quests!$A:$A),MATCH(C$1,[2]quests!$1:$1,0)-MATCH($B$1,[2]quests!$1:$1,0)+1),MATCH(C$1,[2]quests!$1:$1,0)-MATCH($B$1,[2]quests!$1:$1,0)+1,FALSE)</f>
        <v>れもん色の衝動</v>
      </c>
      <c r="D79" s="82" t="str">
        <f ca="1">VLOOKUP($B79,OFFSET([2]quests!$A$1,0,0,COUNTA([2]quests!$A:$A),MATCH(D$1,[2]quests!$1:$1,0)-MATCH($B$1,[2]quests!$1:$1,0)+1),MATCH(D$1,[2]quests!$1:$1,0)-MATCH($B$1,[2]quests!$1:$1,0)+1,FALSE)</f>
        <v>文豪シリーズ　超級</v>
      </c>
      <c r="E79" s="86">
        <v>3</v>
      </c>
      <c r="F79" s="82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【超級】れもん色の衝動</v>
      </c>
      <c r="G79" s="82" t="str">
        <f ca="1">VLOOKUP($B79&amp;"_"&amp;$E79,OFFSET([2]stages!$A$1,0,0,COUNTA([2]stages!$A:$A),MATCH(G$1,[2]stages!$2:$2,0)-MATCH("temp_stage",[2]stages!$2:$2,0)+1),MATCH(G$1,[2]stages!$2:$2,0)-MATCH("temp_stage",[2]stages!$2:$2,0)+1,FALSE)</f>
        <v>文豪シリーズ　超級</v>
      </c>
      <c r="H79" s="84">
        <v>0</v>
      </c>
      <c r="I79">
        <v>35</v>
      </c>
      <c r="J79" s="83" t="s">
        <v>199</v>
      </c>
      <c r="K79" s="92" t="str">
        <f>VLOOKUP(I79,[7]stage_hints!$A:$C,3,FALSE)</f>
        <v>敵のステータスがスキルで上がったら</v>
      </c>
      <c r="L79" s="93" t="str">
        <f>VLOOKUP(I79,[7]stage_hints!$A:$D,4,FALSE)</f>
        <v>敵のステータスがスキルでアップしたときは_x000D_ステータスダウンスキルで上書きしましょう</v>
      </c>
      <c r="M79" s="56" t="s">
        <v>212</v>
      </c>
    </row>
    <row r="80" spans="1:13" x14ac:dyDescent="0.15">
      <c r="A80" s="80" t="s">
        <v>202</v>
      </c>
      <c r="B80" s="81">
        <f>floors!$C$2</f>
        <v>30045</v>
      </c>
      <c r="C80" s="82" t="str">
        <f ca="1">VLOOKUP($B80,OFFSET([2]quests!$A$1,0,0,COUNTA([2]quests!$A:$A),MATCH(C$1,[2]quests!$1:$1,0)-MATCH($B$1,[2]quests!$1:$1,0)+1),MATCH(C$1,[2]quests!$1:$1,0)-MATCH($B$1,[2]quests!$1:$1,0)+1,FALSE)</f>
        <v>れもん色の衝動</v>
      </c>
      <c r="D80" s="82" t="str">
        <f ca="1">VLOOKUP($B80,OFFSET([2]quests!$A$1,0,0,COUNTA([2]quests!$A:$A),MATCH(D$1,[2]quests!$1:$1,0)-MATCH($B$1,[2]quests!$1:$1,0)+1),MATCH(D$1,[2]quests!$1:$1,0)-MATCH($B$1,[2]quests!$1:$1,0)+1,FALSE)</f>
        <v>文豪シリーズ　超級</v>
      </c>
      <c r="E80" s="86">
        <v>3</v>
      </c>
      <c r="F80" s="82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【超級】れもん色の衝動</v>
      </c>
      <c r="G80" s="82" t="str">
        <f ca="1">VLOOKUP($B80&amp;"_"&amp;$E80,OFFSET([2]stages!$A$1,0,0,COUNTA([2]stages!$A:$A),MATCH(G$1,[2]stages!$2:$2,0)-MATCH("temp_stage",[2]stages!$2:$2,0)+1),MATCH(G$1,[2]stages!$2:$2,0)-MATCH("temp_stage",[2]stages!$2:$2,0)+1,FALSE)</f>
        <v>文豪シリーズ　超級</v>
      </c>
      <c r="H80" s="84">
        <v>0</v>
      </c>
      <c r="I80">
        <v>36</v>
      </c>
      <c r="J80" s="83" t="s">
        <v>199</v>
      </c>
      <c r="K80" s="92" t="str">
        <f>VLOOKUP(I80,[7]stage_hints!$A:$C,3,FALSE)</f>
        <v>タワーオブザクイーンのボス</v>
      </c>
      <c r="L80" s="93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6" t="s">
        <v>212</v>
      </c>
    </row>
    <row r="81" spans="1:13" x14ac:dyDescent="0.15">
      <c r="A81" s="80" t="s">
        <v>202</v>
      </c>
      <c r="B81" s="81">
        <f>floors!$C$2</f>
        <v>30045</v>
      </c>
      <c r="C81" s="82" t="str">
        <f ca="1">VLOOKUP($B81,OFFSET([2]quests!$A$1,0,0,COUNTA([2]quests!$A:$A),MATCH(C$1,[2]quests!$1:$1,0)-MATCH($B$1,[2]quests!$1:$1,0)+1),MATCH(C$1,[2]quests!$1:$1,0)-MATCH($B$1,[2]quests!$1:$1,0)+1,FALSE)</f>
        <v>れもん色の衝動</v>
      </c>
      <c r="D81" s="82" t="str">
        <f ca="1">VLOOKUP($B81,OFFSET([2]quests!$A$1,0,0,COUNTA([2]quests!$A:$A),MATCH(D$1,[2]quests!$1:$1,0)-MATCH($B$1,[2]quests!$1:$1,0)+1),MATCH(D$1,[2]quests!$1:$1,0)-MATCH($B$1,[2]quests!$1:$1,0)+1,FALSE)</f>
        <v>文豪シリーズ　超級</v>
      </c>
      <c r="E81" s="86">
        <v>3</v>
      </c>
      <c r="F81" s="82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【超級】れもん色の衝動</v>
      </c>
      <c r="G81" s="82" t="str">
        <f ca="1">VLOOKUP($B81&amp;"_"&amp;$E81,OFFSET([2]stages!$A$1,0,0,COUNTA([2]stages!$A:$A),MATCH(G$1,[2]stages!$2:$2,0)-MATCH("temp_stage",[2]stages!$2:$2,0)+1),MATCH(G$1,[2]stages!$2:$2,0)-MATCH("temp_stage",[2]stages!$2:$2,0)+1,FALSE)</f>
        <v>文豪シリーズ　超級</v>
      </c>
      <c r="H81" s="84">
        <v>0</v>
      </c>
      <c r="I81">
        <v>37</v>
      </c>
      <c r="J81" s="83" t="s">
        <v>199</v>
      </c>
      <c r="K81" s="92" t="str">
        <f>VLOOKUP(I81,[7]stage_hints!$A:$C,3,FALSE)</f>
        <v>限界突破値の引き継ぎ</v>
      </c>
      <c r="L81" s="93" t="str">
        <f>VLOOKUP(I81,[7]stage_hints!$A:$D,4,FALSE)</f>
        <v>同じユニットを強化で合成すると_x000D_限界突破値を引き継げます（覚醒前後も可）</v>
      </c>
      <c r="M81" s="56" t="s">
        <v>212</v>
      </c>
    </row>
    <row r="82" spans="1:13" x14ac:dyDescent="0.15">
      <c r="A82" s="80" t="s">
        <v>202</v>
      </c>
      <c r="B82" s="81">
        <f>floors!$C$2</f>
        <v>30045</v>
      </c>
      <c r="C82" s="82" t="str">
        <f ca="1">VLOOKUP($B82,OFFSET([2]quests!$A$1,0,0,COUNTA([2]quests!$A:$A),MATCH(C$1,[2]quests!$1:$1,0)-MATCH($B$1,[2]quests!$1:$1,0)+1),MATCH(C$1,[2]quests!$1:$1,0)-MATCH($B$1,[2]quests!$1:$1,0)+1,FALSE)</f>
        <v>れもん色の衝動</v>
      </c>
      <c r="D82" s="82" t="str">
        <f ca="1">VLOOKUP($B82,OFFSET([2]quests!$A$1,0,0,COUNTA([2]quests!$A:$A),MATCH(D$1,[2]quests!$1:$1,0)-MATCH($B$1,[2]quests!$1:$1,0)+1),MATCH(D$1,[2]quests!$1:$1,0)-MATCH($B$1,[2]quests!$1:$1,0)+1,FALSE)</f>
        <v>文豪シリーズ　超級</v>
      </c>
      <c r="E82" s="86">
        <v>3</v>
      </c>
      <c r="F82" s="82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【超級】れもん色の衝動</v>
      </c>
      <c r="G82" s="82" t="str">
        <f ca="1">VLOOKUP($B82&amp;"_"&amp;$E82,OFFSET([2]stages!$A$1,0,0,COUNTA([2]stages!$A:$A),MATCH(G$1,[2]stages!$2:$2,0)-MATCH("temp_stage",[2]stages!$2:$2,0)+1),MATCH(G$1,[2]stages!$2:$2,0)-MATCH("temp_stage",[2]stages!$2:$2,0)+1,FALSE)</f>
        <v>文豪シリーズ　超級</v>
      </c>
      <c r="H82" s="84">
        <v>0</v>
      </c>
      <c r="I82">
        <v>39</v>
      </c>
      <c r="J82" s="83" t="s">
        <v>199</v>
      </c>
      <c r="K82" s="92" t="str">
        <f>VLOOKUP(I82,[7]stage_hints!$A:$C,3,FALSE)</f>
        <v>システム適合者を確認</v>
      </c>
      <c r="L82" s="93" t="str">
        <f>VLOOKUP(I82,[7]stage_hints!$A:$D,4,FALSE)</f>
        <v>ALICEが 「アナタ」を呼んでいます</v>
      </c>
      <c r="M82" s="56" t="s">
        <v>212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6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189</v>
      </c>
      <c r="B1" s="72" t="s">
        <v>151</v>
      </c>
      <c r="C1" s="76" t="s">
        <v>191</v>
      </c>
      <c r="D1" s="76" t="s">
        <v>33</v>
      </c>
      <c r="E1" s="72" t="s">
        <v>192</v>
      </c>
      <c r="F1" s="76" t="s">
        <v>18</v>
      </c>
      <c r="G1" s="76" t="s">
        <v>33</v>
      </c>
      <c r="H1" s="72" t="s">
        <v>194</v>
      </c>
      <c r="I1" s="88" t="s">
        <v>195</v>
      </c>
      <c r="J1" s="90" t="s">
        <v>196</v>
      </c>
      <c r="K1" s="78" t="s">
        <v>127</v>
      </c>
      <c r="L1" s="77" t="s">
        <v>188</v>
      </c>
      <c r="M1" s="91" t="s">
        <v>187</v>
      </c>
      <c r="N1" s="79" t="s">
        <v>197</v>
      </c>
    </row>
    <row r="2" spans="1:15" ht="42" x14ac:dyDescent="0.15">
      <c r="A2" s="80" t="s">
        <v>198</v>
      </c>
      <c r="B2" s="81">
        <f>floors!$C$2</f>
        <v>30045</v>
      </c>
      <c r="C2" s="82" t="str">
        <f ca="1">VLOOKUP($B2,OFFSET([2]quests!$A$1,0,0,COUNTA([2]quests!$A:$A),MATCH(C$1,[2]quests!$1:$1,0)-MATCH($B$1,[2]quests!$1:$1,0)+1),MATCH(C$1,[2]quests!$1:$1,0)-MATCH($B$1,[2]quests!$1:$1,0)+1,FALSE)</f>
        <v>れもん色の衝動</v>
      </c>
      <c r="D2" s="82" t="str">
        <f ca="1">VLOOKUP($B2,OFFSET([2]quests!$A$1,0,0,COUNTA([2]quests!$A:$A),MATCH(D$1,[2]quests!$1:$1,0)-MATCH($B$1,[2]quests!$1:$1,0)+1),MATCH(D$1,[2]quests!$1:$1,0)-MATCH($B$1,[2]quests!$1:$1,0)+1,FALSE)</f>
        <v>文豪シリーズ　超級</v>
      </c>
      <c r="E2" s="83">
        <v>3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【超級】れもん色の衝動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文豪シリーズ　超級</v>
      </c>
      <c r="H2" s="84">
        <v>1</v>
      </c>
      <c r="I2" s="89">
        <f>ROW()-1</f>
        <v>1</v>
      </c>
      <c r="J2" s="85" t="str">
        <f>B2&amp;TEXT(I2,"00")</f>
        <v>3004501</v>
      </c>
      <c r="K2" s="83" t="s">
        <v>199</v>
      </c>
      <c r="L2" s="86" t="s">
        <v>200</v>
      </c>
      <c r="M2" s="169" t="s">
        <v>287</v>
      </c>
      <c r="N2" s="56" t="s">
        <v>201</v>
      </c>
      <c r="O2">
        <f>LEN(M2)</f>
        <v>55</v>
      </c>
    </row>
    <row r="3" spans="1:15" ht="42" x14ac:dyDescent="0.15">
      <c r="A3" s="80" t="s">
        <v>198</v>
      </c>
      <c r="B3" s="81">
        <f>floors!$C$2</f>
        <v>30045</v>
      </c>
      <c r="C3" s="82" t="str">
        <f ca="1">VLOOKUP($B3,OFFSET([2]quests!$A$1,0,0,COUNTA([2]quests!$A:$A),MATCH(C$1,[2]quests!$1:$1,0)-MATCH($B$1,[2]quests!$1:$1,0)+1),MATCH(C$1,[2]quests!$1:$1,0)-MATCH($B$1,[2]quests!$1:$1,0)+1,FALSE)</f>
        <v>れもん色の衝動</v>
      </c>
      <c r="D3" s="82" t="str">
        <f ca="1">VLOOKUP($B3,OFFSET([2]quests!$A$1,0,0,COUNTA([2]quests!$A:$A),MATCH(D$1,[2]quests!$1:$1,0)-MATCH($B$1,[2]quests!$1:$1,0)+1),MATCH(D$1,[2]quests!$1:$1,0)-MATCH($B$1,[2]quests!$1:$1,0)+1,FALSE)</f>
        <v>文豪シリーズ　超級</v>
      </c>
      <c r="E3" s="83">
        <v>3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【超級】れもん色の衝動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文豪シリーズ　超級</v>
      </c>
      <c r="H3" s="84">
        <v>2</v>
      </c>
      <c r="I3" s="89">
        <f t="shared" ref="I3:I16" si="0">ROW()-1</f>
        <v>2</v>
      </c>
      <c r="J3" s="85" t="str">
        <f t="shared" ref="J3:J11" si="1">B3&amp;TEXT(I3,"00")</f>
        <v>3004502</v>
      </c>
      <c r="K3" s="83" t="s">
        <v>199</v>
      </c>
      <c r="L3" s="86" t="s">
        <v>200</v>
      </c>
      <c r="M3" s="169" t="s">
        <v>328</v>
      </c>
      <c r="N3" s="56" t="s">
        <v>201</v>
      </c>
      <c r="O3">
        <f t="shared" ref="O3:O16" si="2">LEN(M3)</f>
        <v>50</v>
      </c>
    </row>
    <row r="4" spans="1:15" ht="28" x14ac:dyDescent="0.15">
      <c r="A4" s="80" t="s">
        <v>198</v>
      </c>
      <c r="B4" s="81">
        <f>floors!$C$2</f>
        <v>30045</v>
      </c>
      <c r="C4" s="82" t="str">
        <f ca="1">VLOOKUP($B4,OFFSET([2]quests!$A$1,0,0,COUNTA([2]quests!$A:$A),MATCH(C$1,[2]quests!$1:$1,0)-MATCH($B$1,[2]quests!$1:$1,0)+1),MATCH(C$1,[2]quests!$1:$1,0)-MATCH($B$1,[2]quests!$1:$1,0)+1,FALSE)</f>
        <v>れもん色の衝動</v>
      </c>
      <c r="D4" s="82" t="str">
        <f ca="1">VLOOKUP($B4,OFFSET([2]quests!$A$1,0,0,COUNTA([2]quests!$A:$A),MATCH(D$1,[2]quests!$1:$1,0)-MATCH($B$1,[2]quests!$1:$1,0)+1),MATCH(D$1,[2]quests!$1:$1,0)-MATCH($B$1,[2]quests!$1:$1,0)+1,FALSE)</f>
        <v>文豪シリーズ　超級</v>
      </c>
      <c r="E4" s="83">
        <v>3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【超級】れもん色の衝動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文豪シリーズ　超級</v>
      </c>
      <c r="H4" s="84">
        <v>3</v>
      </c>
      <c r="I4" s="89">
        <f t="shared" si="0"/>
        <v>3</v>
      </c>
      <c r="J4" s="85" t="str">
        <f t="shared" si="1"/>
        <v>3004503</v>
      </c>
      <c r="K4" s="83" t="s">
        <v>199</v>
      </c>
      <c r="L4" s="86" t="s">
        <v>200</v>
      </c>
      <c r="M4" s="169" t="s">
        <v>325</v>
      </c>
      <c r="N4" s="56" t="s">
        <v>201</v>
      </c>
      <c r="O4">
        <f t="shared" si="2"/>
        <v>38</v>
      </c>
    </row>
    <row r="5" spans="1:15" ht="56" x14ac:dyDescent="0.15">
      <c r="A5" s="80" t="s">
        <v>198</v>
      </c>
      <c r="B5" s="81">
        <f>floors!$C$2</f>
        <v>30045</v>
      </c>
      <c r="C5" s="82" t="str">
        <f ca="1">VLOOKUP($B5,OFFSET([2]quests!$A$1,0,0,COUNTA([2]quests!$A:$A),MATCH(C$1,[2]quests!$1:$1,0)-MATCH($B$1,[2]quests!$1:$1,0)+1),MATCH(C$1,[2]quests!$1:$1,0)-MATCH($B$1,[2]quests!$1:$1,0)+1,FALSE)</f>
        <v>れもん色の衝動</v>
      </c>
      <c r="D5" s="82" t="str">
        <f ca="1">VLOOKUP($B5,OFFSET([2]quests!$A$1,0,0,COUNTA([2]quests!$A:$A),MATCH(D$1,[2]quests!$1:$1,0)-MATCH($B$1,[2]quests!$1:$1,0)+1),MATCH(D$1,[2]quests!$1:$1,0)-MATCH($B$1,[2]quests!$1:$1,0)+1,FALSE)</f>
        <v>文豪シリーズ　超級</v>
      </c>
      <c r="E5" s="83">
        <v>3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【超級】れもん色の衝動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文豪シリーズ　超級</v>
      </c>
      <c r="H5" s="84">
        <v>4</v>
      </c>
      <c r="I5" s="89">
        <f t="shared" si="0"/>
        <v>4</v>
      </c>
      <c r="J5" s="85" t="str">
        <f t="shared" si="1"/>
        <v>3004504</v>
      </c>
      <c r="K5" s="83" t="s">
        <v>199</v>
      </c>
      <c r="L5" s="86" t="s">
        <v>200</v>
      </c>
      <c r="M5" s="169" t="s">
        <v>314</v>
      </c>
      <c r="N5" s="56" t="s">
        <v>201</v>
      </c>
      <c r="O5">
        <f t="shared" si="2"/>
        <v>56</v>
      </c>
    </row>
    <row r="6" spans="1:15" ht="42" x14ac:dyDescent="0.15">
      <c r="A6" s="80" t="s">
        <v>198</v>
      </c>
      <c r="B6" s="81">
        <f>floors!$C$2</f>
        <v>30045</v>
      </c>
      <c r="C6" s="82" t="str">
        <f ca="1">VLOOKUP($B6,OFFSET([2]quests!$A$1,0,0,COUNTA([2]quests!$A:$A),MATCH(C$1,[2]quests!$1:$1,0)-MATCH($B$1,[2]quests!$1:$1,0)+1),MATCH(C$1,[2]quests!$1:$1,0)-MATCH($B$1,[2]quests!$1:$1,0)+1,FALSE)</f>
        <v>れもん色の衝動</v>
      </c>
      <c r="D6" s="82" t="str">
        <f ca="1">VLOOKUP($B6,OFFSET([2]quests!$A$1,0,0,COUNTA([2]quests!$A:$A),MATCH(D$1,[2]quests!$1:$1,0)-MATCH($B$1,[2]quests!$1:$1,0)+1),MATCH(D$1,[2]quests!$1:$1,0)-MATCH($B$1,[2]quests!$1:$1,0)+1,FALSE)</f>
        <v>文豪シリーズ　超級</v>
      </c>
      <c r="E6" s="83">
        <v>3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【超級】れもん色の衝動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文豪シリーズ　超級</v>
      </c>
      <c r="H6" s="84">
        <v>4</v>
      </c>
      <c r="I6" s="89">
        <f t="shared" si="0"/>
        <v>5</v>
      </c>
      <c r="J6" s="85" t="str">
        <f t="shared" si="1"/>
        <v>3004505</v>
      </c>
      <c r="K6" s="83" t="s">
        <v>199</v>
      </c>
      <c r="L6" s="86" t="s">
        <v>200</v>
      </c>
      <c r="M6" s="169" t="s">
        <v>306</v>
      </c>
      <c r="N6" s="56" t="s">
        <v>201</v>
      </c>
      <c r="O6">
        <f t="shared" si="2"/>
        <v>50</v>
      </c>
    </row>
    <row r="7" spans="1:15" ht="42" x14ac:dyDescent="0.15">
      <c r="A7" s="80" t="s">
        <v>198</v>
      </c>
      <c r="B7" s="81">
        <f>floors!$C$2</f>
        <v>30045</v>
      </c>
      <c r="C7" s="82" t="str">
        <f ca="1">VLOOKUP($B7,OFFSET([2]quests!$A$1,0,0,COUNTA([2]quests!$A:$A),MATCH(C$1,[2]quests!$1:$1,0)-MATCH($B$1,[2]quests!$1:$1,0)+1),MATCH(C$1,[2]quests!$1:$1,0)-MATCH($B$1,[2]quests!$1:$1,0)+1,FALSE)</f>
        <v>れもん色の衝動</v>
      </c>
      <c r="D7" s="82" t="str">
        <f ca="1">VLOOKUP($B7,OFFSET([2]quests!$A$1,0,0,COUNTA([2]quests!$A:$A),MATCH(D$1,[2]quests!$1:$1,0)-MATCH($B$1,[2]quests!$1:$1,0)+1),MATCH(D$1,[2]quests!$1:$1,0)-MATCH($B$1,[2]quests!$1:$1,0)+1,FALSE)</f>
        <v>文豪シリーズ　超級</v>
      </c>
      <c r="E7" s="83">
        <v>2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【上級】れもん色の衝動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文豪シリーズ　超級</v>
      </c>
      <c r="H7" s="84">
        <v>1</v>
      </c>
      <c r="I7" s="89">
        <f t="shared" si="0"/>
        <v>6</v>
      </c>
      <c r="J7" s="85" t="str">
        <f t="shared" si="1"/>
        <v>3004506</v>
      </c>
      <c r="K7" s="83" t="s">
        <v>199</v>
      </c>
      <c r="L7" s="86" t="s">
        <v>200</v>
      </c>
      <c r="M7" s="169" t="s">
        <v>287</v>
      </c>
      <c r="N7" s="56" t="s">
        <v>201</v>
      </c>
      <c r="O7">
        <f t="shared" si="2"/>
        <v>55</v>
      </c>
    </row>
    <row r="8" spans="1:15" ht="42" x14ac:dyDescent="0.15">
      <c r="A8" s="80" t="s">
        <v>198</v>
      </c>
      <c r="B8" s="81">
        <f>floors!$C$2</f>
        <v>30045</v>
      </c>
      <c r="C8" s="82" t="str">
        <f ca="1">VLOOKUP($B8,OFFSET([2]quests!$A$1,0,0,COUNTA([2]quests!$A:$A),MATCH(C$1,[2]quests!$1:$1,0)-MATCH($B$1,[2]quests!$1:$1,0)+1),MATCH(C$1,[2]quests!$1:$1,0)-MATCH($B$1,[2]quests!$1:$1,0)+1,FALSE)</f>
        <v>れもん色の衝動</v>
      </c>
      <c r="D8" s="82" t="str">
        <f ca="1">VLOOKUP($B8,OFFSET([2]quests!$A$1,0,0,COUNTA([2]quests!$A:$A),MATCH(D$1,[2]quests!$1:$1,0)-MATCH($B$1,[2]quests!$1:$1,0)+1),MATCH(D$1,[2]quests!$1:$1,0)-MATCH($B$1,[2]quests!$1:$1,0)+1,FALSE)</f>
        <v>文豪シリーズ　超級</v>
      </c>
      <c r="E8" s="83">
        <v>2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【上級】れもん色の衝動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文豪シリーズ　超級</v>
      </c>
      <c r="H8" s="84">
        <v>2</v>
      </c>
      <c r="I8" s="89">
        <f t="shared" si="0"/>
        <v>7</v>
      </c>
      <c r="J8" s="85" t="str">
        <f t="shared" si="1"/>
        <v>3004507</v>
      </c>
      <c r="K8" s="83" t="s">
        <v>199</v>
      </c>
      <c r="L8" s="86" t="s">
        <v>200</v>
      </c>
      <c r="M8" s="169" t="s">
        <v>329</v>
      </c>
      <c r="N8" s="56" t="s">
        <v>201</v>
      </c>
      <c r="O8">
        <f t="shared" si="2"/>
        <v>50</v>
      </c>
    </row>
    <row r="9" spans="1:15" ht="28" x14ac:dyDescent="0.15">
      <c r="A9" s="80" t="s">
        <v>198</v>
      </c>
      <c r="B9" s="81">
        <f>floors!$C$2</f>
        <v>30045</v>
      </c>
      <c r="C9" s="82" t="str">
        <f ca="1">VLOOKUP($B9,OFFSET([2]quests!$A$1,0,0,COUNTA([2]quests!$A:$A),MATCH(C$1,[2]quests!$1:$1,0)-MATCH($B$1,[2]quests!$1:$1,0)+1),MATCH(C$1,[2]quests!$1:$1,0)-MATCH($B$1,[2]quests!$1:$1,0)+1,FALSE)</f>
        <v>れもん色の衝動</v>
      </c>
      <c r="D9" s="82" t="str">
        <f ca="1">VLOOKUP($B9,OFFSET([2]quests!$A$1,0,0,COUNTA([2]quests!$A:$A),MATCH(D$1,[2]quests!$1:$1,0)-MATCH($B$1,[2]quests!$1:$1,0)+1),MATCH(D$1,[2]quests!$1:$1,0)-MATCH($B$1,[2]quests!$1:$1,0)+1,FALSE)</f>
        <v>文豪シリーズ　超級</v>
      </c>
      <c r="E9" s="83">
        <v>2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【上級】れもん色の衝動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文豪シリーズ　超級</v>
      </c>
      <c r="H9" s="84">
        <v>3</v>
      </c>
      <c r="I9" s="89">
        <f t="shared" si="0"/>
        <v>8</v>
      </c>
      <c r="J9" s="85" t="str">
        <f t="shared" si="1"/>
        <v>3004508</v>
      </c>
      <c r="K9" s="83" t="s">
        <v>199</v>
      </c>
      <c r="L9" s="86" t="s">
        <v>200</v>
      </c>
      <c r="M9" s="169" t="s">
        <v>326</v>
      </c>
      <c r="N9" s="56" t="s">
        <v>201</v>
      </c>
      <c r="O9">
        <f t="shared" si="2"/>
        <v>38</v>
      </c>
    </row>
    <row r="10" spans="1:15" ht="56" x14ac:dyDescent="0.15">
      <c r="A10" s="80" t="s">
        <v>198</v>
      </c>
      <c r="B10" s="81">
        <f>floors!$C$2</f>
        <v>30045</v>
      </c>
      <c r="C10" s="82" t="str">
        <f ca="1">VLOOKUP($B10,OFFSET([2]quests!$A$1,0,0,COUNTA([2]quests!$A:$A),MATCH(C$1,[2]quests!$1:$1,0)-MATCH($B$1,[2]quests!$1:$1,0)+1),MATCH(C$1,[2]quests!$1:$1,0)-MATCH($B$1,[2]quests!$1:$1,0)+1,FALSE)</f>
        <v>れもん色の衝動</v>
      </c>
      <c r="D10" s="82" t="str">
        <f ca="1">VLOOKUP($B10,OFFSET([2]quests!$A$1,0,0,COUNTA([2]quests!$A:$A),MATCH(D$1,[2]quests!$1:$1,0)-MATCH($B$1,[2]quests!$1:$1,0)+1),MATCH(D$1,[2]quests!$1:$1,0)-MATCH($B$1,[2]quests!$1:$1,0)+1,FALSE)</f>
        <v>文豪シリーズ　超級</v>
      </c>
      <c r="E10" s="83">
        <v>2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【上級】れもん色の衝動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文豪シリーズ　超級</v>
      </c>
      <c r="H10" s="84">
        <v>4</v>
      </c>
      <c r="I10" s="89">
        <f t="shared" si="0"/>
        <v>9</v>
      </c>
      <c r="J10" s="85" t="str">
        <f t="shared" si="1"/>
        <v>3004509</v>
      </c>
      <c r="K10" s="83" t="s">
        <v>199</v>
      </c>
      <c r="L10" s="86" t="s">
        <v>200</v>
      </c>
      <c r="M10" s="169" t="s">
        <v>312</v>
      </c>
      <c r="N10" s="56" t="s">
        <v>201</v>
      </c>
      <c r="O10">
        <f t="shared" si="2"/>
        <v>56</v>
      </c>
    </row>
    <row r="11" spans="1:15" ht="42" x14ac:dyDescent="0.15">
      <c r="A11" s="80" t="s">
        <v>198</v>
      </c>
      <c r="B11" s="81">
        <f>floors!$C$2</f>
        <v>30045</v>
      </c>
      <c r="C11" s="82" t="str">
        <f ca="1">VLOOKUP($B11,OFFSET([2]quests!$A$1,0,0,COUNTA([2]quests!$A:$A),MATCH(C$1,[2]quests!$1:$1,0)-MATCH($B$1,[2]quests!$1:$1,0)+1),MATCH(C$1,[2]quests!$1:$1,0)-MATCH($B$1,[2]quests!$1:$1,0)+1,FALSE)</f>
        <v>れもん色の衝動</v>
      </c>
      <c r="D11" s="82" t="str">
        <f ca="1">VLOOKUP($B11,OFFSET([2]quests!$A$1,0,0,COUNTA([2]quests!$A:$A),MATCH(D$1,[2]quests!$1:$1,0)-MATCH($B$1,[2]quests!$1:$1,0)+1),MATCH(D$1,[2]quests!$1:$1,0)-MATCH($B$1,[2]quests!$1:$1,0)+1,FALSE)</f>
        <v>文豪シリーズ　超級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【上級】れもん色の衝動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文豪シリーズ　超級</v>
      </c>
      <c r="H11" s="84">
        <v>4</v>
      </c>
      <c r="I11" s="89">
        <f t="shared" si="0"/>
        <v>10</v>
      </c>
      <c r="J11" s="85" t="str">
        <f t="shared" si="1"/>
        <v>3004510</v>
      </c>
      <c r="K11" s="83" t="s">
        <v>199</v>
      </c>
      <c r="L11" s="86" t="s">
        <v>200</v>
      </c>
      <c r="M11" s="169" t="s">
        <v>306</v>
      </c>
      <c r="N11" s="56" t="s">
        <v>201</v>
      </c>
      <c r="O11">
        <f t="shared" si="2"/>
        <v>50</v>
      </c>
    </row>
    <row r="12" spans="1:15" ht="42" x14ac:dyDescent="0.15">
      <c r="A12" s="80" t="s">
        <v>198</v>
      </c>
      <c r="B12" s="81">
        <f>floors!$C$2</f>
        <v>30045</v>
      </c>
      <c r="C12" s="82" t="str">
        <f ca="1">VLOOKUP($B12,OFFSET([2]quests!$A$1,0,0,COUNTA([2]quests!$A:$A),MATCH(C$1,[2]quests!$1:$1,0)-MATCH($B$1,[2]quests!$1:$1,0)+1),MATCH(C$1,[2]quests!$1:$1,0)-MATCH($B$1,[2]quests!$1:$1,0)+1,FALSE)</f>
        <v>れもん色の衝動</v>
      </c>
      <c r="D12" s="82" t="str">
        <f ca="1">VLOOKUP($B12,OFFSET([2]quests!$A$1,0,0,COUNTA([2]quests!$A:$A),MATCH(D$1,[2]quests!$1:$1,0)-MATCH($B$1,[2]quests!$1:$1,0)+1),MATCH(D$1,[2]quests!$1:$1,0)-MATCH($B$1,[2]quests!$1:$1,0)+1,FALSE)</f>
        <v>文豪シリーズ　超級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【中級】れもん色の衝動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文豪シリーズ　超級</v>
      </c>
      <c r="H12" s="84">
        <v>1</v>
      </c>
      <c r="I12" s="89">
        <f t="shared" si="0"/>
        <v>11</v>
      </c>
      <c r="J12" s="85" t="str">
        <f t="shared" ref="J12:J16" si="3">B12&amp;TEXT(I12,"00")</f>
        <v>3004511</v>
      </c>
      <c r="K12" s="83" t="s">
        <v>199</v>
      </c>
      <c r="L12" s="86" t="s">
        <v>200</v>
      </c>
      <c r="M12" s="169" t="s">
        <v>287</v>
      </c>
      <c r="N12" s="56" t="s">
        <v>201</v>
      </c>
      <c r="O12">
        <f t="shared" si="2"/>
        <v>55</v>
      </c>
    </row>
    <row r="13" spans="1:15" ht="42" x14ac:dyDescent="0.15">
      <c r="A13" s="80" t="s">
        <v>198</v>
      </c>
      <c r="B13" s="81">
        <f>floors!$C$2</f>
        <v>30045</v>
      </c>
      <c r="C13" s="82" t="str">
        <f ca="1">VLOOKUP($B13,OFFSET([2]quests!$A$1,0,0,COUNTA([2]quests!$A:$A),MATCH(C$1,[2]quests!$1:$1,0)-MATCH($B$1,[2]quests!$1:$1,0)+1),MATCH(C$1,[2]quests!$1:$1,0)-MATCH($B$1,[2]quests!$1:$1,0)+1,FALSE)</f>
        <v>れもん色の衝動</v>
      </c>
      <c r="D13" s="82" t="str">
        <f ca="1">VLOOKUP($B13,OFFSET([2]quests!$A$1,0,0,COUNTA([2]quests!$A:$A),MATCH(D$1,[2]quests!$1:$1,0)-MATCH($B$1,[2]quests!$1:$1,0)+1),MATCH(D$1,[2]quests!$1:$1,0)-MATCH($B$1,[2]quests!$1:$1,0)+1,FALSE)</f>
        <v>文豪シリーズ　超級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【中級】れもん色の衝動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文豪シリーズ　超級</v>
      </c>
      <c r="H13" s="84">
        <v>2</v>
      </c>
      <c r="I13" s="89">
        <f t="shared" si="0"/>
        <v>12</v>
      </c>
      <c r="J13" s="85" t="str">
        <f t="shared" si="3"/>
        <v>3004512</v>
      </c>
      <c r="K13" s="83" t="s">
        <v>199</v>
      </c>
      <c r="L13" s="86" t="s">
        <v>200</v>
      </c>
      <c r="M13" s="169" t="s">
        <v>328</v>
      </c>
      <c r="N13" s="56" t="s">
        <v>201</v>
      </c>
      <c r="O13">
        <f t="shared" si="2"/>
        <v>50</v>
      </c>
    </row>
    <row r="14" spans="1:15" ht="28" x14ac:dyDescent="0.15">
      <c r="A14" s="80" t="s">
        <v>198</v>
      </c>
      <c r="B14" s="81">
        <f>floors!$C$2</f>
        <v>30045</v>
      </c>
      <c r="C14" s="82" t="str">
        <f ca="1">VLOOKUP($B14,OFFSET([2]quests!$A$1,0,0,COUNTA([2]quests!$A:$A),MATCH(C$1,[2]quests!$1:$1,0)-MATCH($B$1,[2]quests!$1:$1,0)+1),MATCH(C$1,[2]quests!$1:$1,0)-MATCH($B$1,[2]quests!$1:$1,0)+1,FALSE)</f>
        <v>れもん色の衝動</v>
      </c>
      <c r="D14" s="82" t="str">
        <f ca="1">VLOOKUP($B14,OFFSET([2]quests!$A$1,0,0,COUNTA([2]quests!$A:$A),MATCH(D$1,[2]quests!$1:$1,0)-MATCH($B$1,[2]quests!$1:$1,0)+1),MATCH(D$1,[2]quests!$1:$1,0)-MATCH($B$1,[2]quests!$1:$1,0)+1,FALSE)</f>
        <v>文豪シリーズ　超級</v>
      </c>
      <c r="E14" s="83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【中級】れもん色の衝動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文豪シリーズ　超級</v>
      </c>
      <c r="H14" s="84">
        <v>3</v>
      </c>
      <c r="I14" s="89">
        <f t="shared" si="0"/>
        <v>13</v>
      </c>
      <c r="J14" s="85" t="str">
        <f t="shared" si="3"/>
        <v>3004513</v>
      </c>
      <c r="K14" s="83" t="s">
        <v>199</v>
      </c>
      <c r="L14" s="86" t="s">
        <v>200</v>
      </c>
      <c r="M14" s="169" t="s">
        <v>327</v>
      </c>
      <c r="N14" s="56" t="s">
        <v>201</v>
      </c>
      <c r="O14">
        <f t="shared" si="2"/>
        <v>38</v>
      </c>
    </row>
    <row r="15" spans="1:15" ht="56" x14ac:dyDescent="0.15">
      <c r="A15" s="80" t="s">
        <v>198</v>
      </c>
      <c r="B15" s="81">
        <f>floors!$C$2</f>
        <v>30045</v>
      </c>
      <c r="C15" s="82" t="str">
        <f ca="1">VLOOKUP($B15,OFFSET([2]quests!$A$1,0,0,COUNTA([2]quests!$A:$A),MATCH(C$1,[2]quests!$1:$1,0)-MATCH($B$1,[2]quests!$1:$1,0)+1),MATCH(C$1,[2]quests!$1:$1,0)-MATCH($B$1,[2]quests!$1:$1,0)+1,FALSE)</f>
        <v>れもん色の衝動</v>
      </c>
      <c r="D15" s="82" t="str">
        <f ca="1">VLOOKUP($B15,OFFSET([2]quests!$A$1,0,0,COUNTA([2]quests!$A:$A),MATCH(D$1,[2]quests!$1:$1,0)-MATCH($B$1,[2]quests!$1:$1,0)+1),MATCH(D$1,[2]quests!$1:$1,0)-MATCH($B$1,[2]quests!$1:$1,0)+1,FALSE)</f>
        <v>文豪シリーズ　超級</v>
      </c>
      <c r="E15" s="83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【中級】れもん色の衝動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文豪シリーズ　超級</v>
      </c>
      <c r="H15" s="84">
        <v>4</v>
      </c>
      <c r="I15" s="89">
        <f t="shared" si="0"/>
        <v>14</v>
      </c>
      <c r="J15" s="85" t="str">
        <f t="shared" si="3"/>
        <v>3004514</v>
      </c>
      <c r="K15" s="83" t="s">
        <v>199</v>
      </c>
      <c r="L15" s="86" t="s">
        <v>200</v>
      </c>
      <c r="M15" s="169" t="s">
        <v>313</v>
      </c>
      <c r="N15" s="56" t="s">
        <v>201</v>
      </c>
      <c r="O15">
        <f t="shared" si="2"/>
        <v>56</v>
      </c>
    </row>
    <row r="16" spans="1:15" ht="42" x14ac:dyDescent="0.15">
      <c r="A16" s="80" t="s">
        <v>198</v>
      </c>
      <c r="B16" s="81">
        <f>floors!$C$2</f>
        <v>30045</v>
      </c>
      <c r="C16" s="82" t="str">
        <f ca="1">VLOOKUP($B16,OFFSET([2]quests!$A$1,0,0,COUNTA([2]quests!$A:$A),MATCH(C$1,[2]quests!$1:$1,0)-MATCH($B$1,[2]quests!$1:$1,0)+1),MATCH(C$1,[2]quests!$1:$1,0)-MATCH($B$1,[2]quests!$1:$1,0)+1,FALSE)</f>
        <v>れもん色の衝動</v>
      </c>
      <c r="D16" s="82" t="str">
        <f ca="1">VLOOKUP($B16,OFFSET([2]quests!$A$1,0,0,COUNTA([2]quests!$A:$A),MATCH(D$1,[2]quests!$1:$1,0)-MATCH($B$1,[2]quests!$1:$1,0)+1),MATCH(D$1,[2]quests!$1:$1,0)-MATCH($B$1,[2]quests!$1:$1,0)+1,FALSE)</f>
        <v>文豪シリーズ　超級</v>
      </c>
      <c r="E16" s="83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【中級】れもん色の衝動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文豪シリーズ　超級</v>
      </c>
      <c r="H16" s="84">
        <v>4</v>
      </c>
      <c r="I16" s="89">
        <f t="shared" si="0"/>
        <v>15</v>
      </c>
      <c r="J16" s="85" t="str">
        <f t="shared" si="3"/>
        <v>3004515</v>
      </c>
      <c r="K16" s="83" t="s">
        <v>199</v>
      </c>
      <c r="L16" s="86" t="s">
        <v>200</v>
      </c>
      <c r="M16" s="169" t="s">
        <v>307</v>
      </c>
      <c r="N16" s="56" t="s">
        <v>201</v>
      </c>
      <c r="O16">
        <f t="shared" si="2"/>
        <v>41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6" t="s">
        <v>215</v>
      </c>
      <c r="B1" s="97" t="s">
        <v>216</v>
      </c>
      <c r="C1" s="76" t="s">
        <v>217</v>
      </c>
      <c r="D1" s="76" t="s">
        <v>33</v>
      </c>
      <c r="E1" s="97" t="s">
        <v>218</v>
      </c>
      <c r="F1" s="76" t="s">
        <v>219</v>
      </c>
      <c r="G1" s="76" t="s">
        <v>33</v>
      </c>
      <c r="H1" s="97" t="s">
        <v>220</v>
      </c>
      <c r="I1" s="97" t="s">
        <v>221</v>
      </c>
      <c r="J1" s="97" t="s">
        <v>222</v>
      </c>
      <c r="K1" s="72" t="s">
        <v>223</v>
      </c>
      <c r="L1" s="72" t="s">
        <v>224</v>
      </c>
      <c r="M1" s="72" t="s">
        <v>157</v>
      </c>
      <c r="N1" s="76" t="s">
        <v>16</v>
      </c>
      <c r="O1" s="72" t="s">
        <v>225</v>
      </c>
      <c r="P1" s="72" t="s">
        <v>57</v>
      </c>
      <c r="Q1" s="72" t="s">
        <v>226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227</v>
      </c>
      <c r="X1" s="72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2017-03-08T05:56:16Z</dcterms:modified>
</cp:coreProperties>
</file>