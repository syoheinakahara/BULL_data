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1880" yWindow="1560" windowWidth="25100" windowHeight="14640" tabRatio="943" firstSheet="2" activeTab="13"/>
  </bookViews>
  <sheets>
    <sheet name="確率の考え方" sheetId="110" r:id="rId1"/>
    <sheet name="Sheet1" sheetId="107" r:id="rId2"/>
    <sheet name="output" sheetId="103" r:id="rId3"/>
    <sheet name="input_358101" sheetId="106" r:id="rId4"/>
    <sheet name="tables_358101" sheetId="82" r:id="rId5"/>
    <sheet name="input_358103" sheetId="147" r:id="rId6"/>
    <sheet name="tables_358103" sheetId="148" r:id="rId7"/>
    <sheet name="input_358104" sheetId="149" r:id="rId8"/>
    <sheet name="tables_358104" sheetId="150" r:id="rId9"/>
    <sheet name="input_358105" sheetId="151" r:id="rId10"/>
    <sheet name="tables_358105" sheetId="152" r:id="rId11"/>
    <sheet name="input_358100" sheetId="153" r:id="rId12"/>
    <sheet name="tables_358100" sheetId="154" r:id="rId13"/>
    <sheet name="tables_settle_358103" sheetId="156" r:id="rId14"/>
    <sheet name="gacha_bonus_tables" sheetId="98" r:id="rId15"/>
    <sheet name="R6追加前" sheetId="111" r:id="rId16"/>
    <sheet name="R6開放" sheetId="112" r:id="rId17"/>
  </sheets>
  <externalReferences>
    <externalReference r:id="rId18"/>
  </externalReferences>
  <definedNames>
    <definedName name="_xlnm._FilterDatabase" localSheetId="14" hidden="1">gacha_bonus_tables!$A$1:$F$1</definedName>
    <definedName name="_xlnm._FilterDatabase" localSheetId="12" hidden="1">tables_358100!$A$1:$V$283</definedName>
    <definedName name="_xlnm._FilterDatabase" localSheetId="4" hidden="1">tables_358101!$A$1:$V$283</definedName>
    <definedName name="_xlnm._FilterDatabase" localSheetId="6" hidden="1">tables_358103!$A$1:$V$283</definedName>
    <definedName name="_xlnm._FilterDatabase" localSheetId="8" hidden="1">tables_358104!$A$1:$V$283</definedName>
    <definedName name="_xlnm._FilterDatabase" localSheetId="10" hidden="1">tables_358105!$A$1:$V$283</definedName>
    <definedName name="_xlnm._FilterDatabase" localSheetId="13" hidden="1">tables_settle_358103!$A$1:$V$97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0" i="153" l="1"/>
  <c r="B31" i="153"/>
  <c r="B31" i="151"/>
  <c r="B31" i="149"/>
  <c r="B31" i="147"/>
  <c r="B31" i="106"/>
  <c r="O98" i="156"/>
  <c r="I98" i="156"/>
  <c r="D98" i="156"/>
  <c r="J98" i="156"/>
  <c r="E98" i="156"/>
  <c r="F98" i="156"/>
  <c r="C98" i="156"/>
  <c r="H98" i="156"/>
  <c r="K98" i="156"/>
  <c r="L98" i="156"/>
  <c r="M98" i="156"/>
  <c r="N98" i="156"/>
  <c r="F2" i="156"/>
  <c r="F3" i="156"/>
  <c r="F4" i="156"/>
  <c r="F5" i="156"/>
  <c r="F6" i="156"/>
  <c r="F7" i="156"/>
  <c r="F8" i="156"/>
  <c r="F9" i="156"/>
  <c r="F10" i="156"/>
  <c r="F11" i="156"/>
  <c r="F12" i="156"/>
  <c r="F13" i="156"/>
  <c r="F14" i="156"/>
  <c r="F15" i="156"/>
  <c r="F16" i="156"/>
  <c r="F17" i="156"/>
  <c r="F18" i="156"/>
  <c r="F19" i="156"/>
  <c r="F20" i="156"/>
  <c r="F21" i="156"/>
  <c r="F22" i="156"/>
  <c r="F23" i="156"/>
  <c r="F24" i="156"/>
  <c r="F25" i="156"/>
  <c r="F26" i="156"/>
  <c r="F27" i="156"/>
  <c r="F28" i="156"/>
  <c r="F29" i="156"/>
  <c r="F30" i="156"/>
  <c r="F31" i="156"/>
  <c r="F32" i="156"/>
  <c r="F33" i="156"/>
  <c r="F34" i="156"/>
  <c r="F35" i="156"/>
  <c r="F36" i="156"/>
  <c r="F37" i="156"/>
  <c r="F38" i="156"/>
  <c r="F39" i="156"/>
  <c r="F40" i="156"/>
  <c r="F41" i="156"/>
  <c r="F42" i="156"/>
  <c r="F43" i="156"/>
  <c r="F44" i="156"/>
  <c r="F45" i="156"/>
  <c r="F46" i="156"/>
  <c r="F47" i="156"/>
  <c r="F48" i="156"/>
  <c r="F49" i="156"/>
  <c r="F50" i="156"/>
  <c r="F51" i="156"/>
  <c r="F52" i="156"/>
  <c r="F53" i="156"/>
  <c r="F54" i="156"/>
  <c r="F55" i="156"/>
  <c r="F56" i="156"/>
  <c r="F57" i="156"/>
  <c r="F58" i="156"/>
  <c r="F59" i="156"/>
  <c r="F60" i="156"/>
  <c r="F61" i="156"/>
  <c r="F62" i="156"/>
  <c r="F63" i="156"/>
  <c r="F64" i="156"/>
  <c r="F65" i="156"/>
  <c r="F66" i="156"/>
  <c r="F67" i="156"/>
  <c r="F68" i="156"/>
  <c r="F69" i="156"/>
  <c r="F70" i="156"/>
  <c r="F71" i="156"/>
  <c r="F72" i="156"/>
  <c r="F73" i="156"/>
  <c r="F74" i="156"/>
  <c r="F75" i="156"/>
  <c r="F76" i="156"/>
  <c r="F77" i="156"/>
  <c r="F78" i="156"/>
  <c r="F79" i="156"/>
  <c r="F80" i="156"/>
  <c r="F81" i="156"/>
  <c r="F82" i="156"/>
  <c r="F83" i="156"/>
  <c r="F84" i="156"/>
  <c r="F85" i="156"/>
  <c r="F86" i="156"/>
  <c r="F87" i="156"/>
  <c r="F88" i="156"/>
  <c r="F89" i="156"/>
  <c r="F90" i="156"/>
  <c r="F91" i="156"/>
  <c r="F92" i="156"/>
  <c r="F93" i="156"/>
  <c r="F94" i="156"/>
  <c r="F95" i="156"/>
  <c r="F96" i="156"/>
  <c r="F97" i="156"/>
  <c r="I2" i="156"/>
  <c r="D2" i="156"/>
  <c r="I3" i="156"/>
  <c r="D3" i="156"/>
  <c r="I4" i="156"/>
  <c r="D4" i="156"/>
  <c r="I5" i="156"/>
  <c r="D5" i="156"/>
  <c r="I6" i="156"/>
  <c r="D6" i="156"/>
  <c r="I7" i="156"/>
  <c r="D7" i="156"/>
  <c r="I8" i="156"/>
  <c r="D8" i="156"/>
  <c r="I9" i="156"/>
  <c r="D9" i="156"/>
  <c r="I10" i="156"/>
  <c r="D10" i="156"/>
  <c r="I11" i="156"/>
  <c r="D11" i="156"/>
  <c r="I12" i="156"/>
  <c r="D12" i="156"/>
  <c r="I13" i="156"/>
  <c r="D13" i="156"/>
  <c r="I14" i="156"/>
  <c r="D14" i="156"/>
  <c r="I15" i="156"/>
  <c r="D15" i="156"/>
  <c r="I16" i="156"/>
  <c r="D16" i="156"/>
  <c r="I17" i="156"/>
  <c r="D17" i="156"/>
  <c r="I18" i="156"/>
  <c r="D18" i="156"/>
  <c r="I19" i="156"/>
  <c r="D19" i="156"/>
  <c r="I20" i="156"/>
  <c r="D20" i="156"/>
  <c r="I21" i="156"/>
  <c r="D21" i="156"/>
  <c r="I22" i="156"/>
  <c r="D22" i="156"/>
  <c r="I23" i="156"/>
  <c r="D23" i="156"/>
  <c r="I24" i="156"/>
  <c r="D24" i="156"/>
  <c r="I25" i="156"/>
  <c r="D25" i="156"/>
  <c r="I26" i="156"/>
  <c r="D26" i="156"/>
  <c r="I27" i="156"/>
  <c r="D27" i="156"/>
  <c r="I28" i="156"/>
  <c r="D28" i="156"/>
  <c r="I29" i="156"/>
  <c r="D29" i="156"/>
  <c r="I30" i="156"/>
  <c r="D30" i="156"/>
  <c r="I31" i="156"/>
  <c r="D31" i="156"/>
  <c r="I32" i="156"/>
  <c r="D32" i="156"/>
  <c r="I33" i="156"/>
  <c r="D33" i="156"/>
  <c r="I34" i="156"/>
  <c r="D34" i="156"/>
  <c r="I35" i="156"/>
  <c r="D35" i="156"/>
  <c r="I36" i="156"/>
  <c r="D36" i="156"/>
  <c r="I37" i="156"/>
  <c r="D37" i="156"/>
  <c r="I38" i="156"/>
  <c r="D38" i="156"/>
  <c r="I39" i="156"/>
  <c r="D39" i="156"/>
  <c r="I40" i="156"/>
  <c r="D40" i="156"/>
  <c r="I41" i="156"/>
  <c r="D41" i="156"/>
  <c r="I42" i="156"/>
  <c r="D42" i="156"/>
  <c r="I43" i="156"/>
  <c r="D43" i="156"/>
  <c r="I44" i="156"/>
  <c r="D44" i="156"/>
  <c r="I45" i="156"/>
  <c r="D45" i="156"/>
  <c r="I46" i="156"/>
  <c r="D46" i="156"/>
  <c r="I47" i="156"/>
  <c r="D47" i="156"/>
  <c r="I48" i="156"/>
  <c r="D48" i="156"/>
  <c r="I49" i="156"/>
  <c r="D49" i="156"/>
  <c r="I50" i="156"/>
  <c r="D50" i="156"/>
  <c r="I51" i="156"/>
  <c r="D51" i="156"/>
  <c r="I52" i="156"/>
  <c r="D52" i="156"/>
  <c r="I53" i="156"/>
  <c r="D53" i="156"/>
  <c r="I54" i="156"/>
  <c r="D54" i="156"/>
  <c r="I55" i="156"/>
  <c r="D55" i="156"/>
  <c r="I56" i="156"/>
  <c r="D56" i="156"/>
  <c r="I57" i="156"/>
  <c r="D57" i="156"/>
  <c r="I58" i="156"/>
  <c r="D58" i="156"/>
  <c r="I59" i="156"/>
  <c r="D59" i="156"/>
  <c r="I60" i="156"/>
  <c r="D60" i="156"/>
  <c r="I61" i="156"/>
  <c r="D61" i="156"/>
  <c r="I62" i="156"/>
  <c r="D62" i="156"/>
  <c r="I63" i="156"/>
  <c r="D63" i="156"/>
  <c r="I64" i="156"/>
  <c r="D64" i="156"/>
  <c r="I65" i="156"/>
  <c r="D65" i="156"/>
  <c r="I66" i="156"/>
  <c r="D66" i="156"/>
  <c r="I67" i="156"/>
  <c r="D67" i="156"/>
  <c r="I68" i="156"/>
  <c r="D68" i="156"/>
  <c r="I69" i="156"/>
  <c r="D69" i="156"/>
  <c r="I70" i="156"/>
  <c r="D70" i="156"/>
  <c r="I71" i="156"/>
  <c r="D71" i="156"/>
  <c r="I72" i="156"/>
  <c r="D72" i="156"/>
  <c r="I73" i="156"/>
  <c r="D73" i="156"/>
  <c r="I74" i="156"/>
  <c r="D74" i="156"/>
  <c r="I75" i="156"/>
  <c r="D75" i="156"/>
  <c r="I76" i="156"/>
  <c r="D76" i="156"/>
  <c r="I77" i="156"/>
  <c r="D77" i="156"/>
  <c r="I78" i="156"/>
  <c r="D78" i="156"/>
  <c r="I79" i="156"/>
  <c r="D79" i="156"/>
  <c r="I80" i="156"/>
  <c r="D80" i="156"/>
  <c r="I81" i="156"/>
  <c r="D81" i="156"/>
  <c r="I82" i="156"/>
  <c r="D82" i="156"/>
  <c r="I83" i="156"/>
  <c r="D83" i="156"/>
  <c r="I84" i="156"/>
  <c r="D84" i="156"/>
  <c r="I85" i="156"/>
  <c r="D85" i="156"/>
  <c r="I86" i="156"/>
  <c r="D86" i="156"/>
  <c r="I87" i="156"/>
  <c r="D87" i="156"/>
  <c r="I88" i="156"/>
  <c r="D88" i="156"/>
  <c r="I89" i="156"/>
  <c r="D89" i="156"/>
  <c r="I90" i="156"/>
  <c r="D90" i="156"/>
  <c r="I91" i="156"/>
  <c r="D91" i="156"/>
  <c r="I92" i="156"/>
  <c r="D92" i="156"/>
  <c r="I93" i="156"/>
  <c r="D93" i="156"/>
  <c r="I94" i="156"/>
  <c r="D94" i="156"/>
  <c r="I95" i="156"/>
  <c r="D95" i="156"/>
  <c r="I96" i="156"/>
  <c r="D96" i="156"/>
  <c r="I97" i="156"/>
  <c r="D97" i="156"/>
  <c r="O2" i="156"/>
  <c r="O3" i="156"/>
  <c r="O4" i="156"/>
  <c r="O25" i="156"/>
  <c r="O34" i="156"/>
  <c r="O35" i="156"/>
  <c r="O36" i="156"/>
  <c r="O37" i="156"/>
  <c r="O39" i="156"/>
  <c r="O40" i="156"/>
  <c r="O42" i="156"/>
  <c r="O45" i="156"/>
  <c r="O47" i="156"/>
  <c r="O49" i="156"/>
  <c r="O50" i="156"/>
  <c r="O53" i="156"/>
  <c r="O55" i="156"/>
  <c r="O56" i="156"/>
  <c r="O58" i="156"/>
  <c r="O60" i="156"/>
  <c r="O62" i="156"/>
  <c r="O63" i="156"/>
  <c r="O65" i="156"/>
  <c r="O66" i="156"/>
  <c r="O69" i="156"/>
  <c r="O72" i="156"/>
  <c r="O74" i="156"/>
  <c r="O75" i="156"/>
  <c r="O80" i="156"/>
  <c r="O81" i="156"/>
  <c r="O84" i="156"/>
  <c r="O85" i="156"/>
  <c r="O86" i="156"/>
  <c r="O87" i="156"/>
  <c r="O90" i="156"/>
  <c r="O91" i="156"/>
  <c r="O96" i="156"/>
  <c r="O97" i="156"/>
  <c r="O5" i="156"/>
  <c r="O6" i="156"/>
  <c r="O7" i="156"/>
  <c r="O8" i="156"/>
  <c r="O9" i="156"/>
  <c r="O10" i="156"/>
  <c r="O11" i="156"/>
  <c r="O12" i="156"/>
  <c r="O13" i="156"/>
  <c r="O14" i="156"/>
  <c r="O15" i="156"/>
  <c r="O16" i="156"/>
  <c r="O17" i="156"/>
  <c r="O18" i="156"/>
  <c r="O19" i="156"/>
  <c r="O20" i="156"/>
  <c r="O21" i="156"/>
  <c r="O22" i="156"/>
  <c r="O23" i="156"/>
  <c r="O24" i="156"/>
  <c r="O26" i="156"/>
  <c r="O27" i="156"/>
  <c r="O28" i="156"/>
  <c r="O29" i="156"/>
  <c r="O30" i="156"/>
  <c r="O31" i="156"/>
  <c r="O32" i="156"/>
  <c r="O33" i="156"/>
  <c r="O38" i="156"/>
  <c r="O41" i="156"/>
  <c r="O43" i="156"/>
  <c r="O44" i="156"/>
  <c r="O46" i="156"/>
  <c r="O48" i="156"/>
  <c r="O51" i="156"/>
  <c r="O52" i="156"/>
  <c r="O54" i="156"/>
  <c r="O57" i="156"/>
  <c r="O59" i="156"/>
  <c r="O61" i="156"/>
  <c r="O64" i="156"/>
  <c r="O67" i="156"/>
  <c r="O68" i="156"/>
  <c r="O70" i="156"/>
  <c r="O71" i="156"/>
  <c r="O73" i="156"/>
  <c r="O76" i="156"/>
  <c r="O77" i="156"/>
  <c r="O78" i="156"/>
  <c r="O79" i="156"/>
  <c r="O82" i="156"/>
  <c r="O83" i="156"/>
  <c r="O88" i="156"/>
  <c r="O89" i="156"/>
  <c r="O92" i="156"/>
  <c r="O93" i="156"/>
  <c r="O94" i="156"/>
  <c r="O95" i="156"/>
  <c r="P98" i="156"/>
  <c r="A2" i="153"/>
  <c r="A284" i="154"/>
  <c r="I284" i="154"/>
  <c r="D284" i="154"/>
  <c r="J284" i="154"/>
  <c r="E284" i="154"/>
  <c r="F284" i="154"/>
  <c r="C284" i="154"/>
  <c r="H284" i="154"/>
  <c r="K284" i="154"/>
  <c r="L284" i="154"/>
  <c r="M284" i="154"/>
  <c r="N284" i="154"/>
  <c r="I2" i="154"/>
  <c r="D2" i="154"/>
  <c r="J2" i="154"/>
  <c r="E2" i="154"/>
  <c r="F2" i="154"/>
  <c r="C2" i="154"/>
  <c r="I3" i="154"/>
  <c r="D3" i="154"/>
  <c r="J3" i="154"/>
  <c r="E3" i="154"/>
  <c r="F3" i="154"/>
  <c r="C3" i="154"/>
  <c r="I4" i="154"/>
  <c r="D4" i="154"/>
  <c r="J4" i="154"/>
  <c r="E4" i="154"/>
  <c r="F4" i="154"/>
  <c r="C4" i="154"/>
  <c r="I5" i="154"/>
  <c r="D5" i="154"/>
  <c r="J5" i="154"/>
  <c r="E5" i="154"/>
  <c r="F5" i="154"/>
  <c r="C5" i="154"/>
  <c r="I6" i="154"/>
  <c r="D6" i="154"/>
  <c r="J6" i="154"/>
  <c r="E6" i="154"/>
  <c r="F6" i="154"/>
  <c r="C6" i="154"/>
  <c r="I7" i="154"/>
  <c r="D7" i="154"/>
  <c r="J7" i="154"/>
  <c r="E7" i="154"/>
  <c r="F7" i="154"/>
  <c r="C7" i="154"/>
  <c r="I8" i="154"/>
  <c r="D8" i="154"/>
  <c r="J8" i="154"/>
  <c r="E8" i="154"/>
  <c r="F8" i="154"/>
  <c r="C8" i="154"/>
  <c r="I9" i="154"/>
  <c r="D9" i="154"/>
  <c r="J9" i="154"/>
  <c r="E9" i="154"/>
  <c r="F9" i="154"/>
  <c r="C9" i="154"/>
  <c r="I10" i="154"/>
  <c r="D10" i="154"/>
  <c r="J10" i="154"/>
  <c r="E10" i="154"/>
  <c r="F10" i="154"/>
  <c r="C10" i="154"/>
  <c r="I11" i="154"/>
  <c r="D11" i="154"/>
  <c r="J11" i="154"/>
  <c r="E11" i="154"/>
  <c r="F11" i="154"/>
  <c r="C11" i="154"/>
  <c r="I12" i="154"/>
  <c r="D12" i="154"/>
  <c r="J12" i="154"/>
  <c r="E12" i="154"/>
  <c r="F12" i="154"/>
  <c r="C12" i="154"/>
  <c r="I13" i="154"/>
  <c r="D13" i="154"/>
  <c r="J13" i="154"/>
  <c r="E13" i="154"/>
  <c r="F13" i="154"/>
  <c r="C13" i="154"/>
  <c r="I14" i="154"/>
  <c r="D14" i="154"/>
  <c r="J14" i="154"/>
  <c r="E14" i="154"/>
  <c r="F14" i="154"/>
  <c r="C14" i="154"/>
  <c r="I15" i="154"/>
  <c r="D15" i="154"/>
  <c r="J15" i="154"/>
  <c r="E15" i="154"/>
  <c r="F15" i="154"/>
  <c r="C15" i="154"/>
  <c r="I16" i="154"/>
  <c r="D16" i="154"/>
  <c r="J16" i="154"/>
  <c r="E16" i="154"/>
  <c r="F16" i="154"/>
  <c r="C16" i="154"/>
  <c r="I17" i="154"/>
  <c r="D17" i="154"/>
  <c r="J17" i="154"/>
  <c r="E17" i="154"/>
  <c r="F17" i="154"/>
  <c r="C17" i="154"/>
  <c r="I18" i="154"/>
  <c r="D18" i="154"/>
  <c r="J18" i="154"/>
  <c r="E18" i="154"/>
  <c r="F18" i="154"/>
  <c r="C18" i="154"/>
  <c r="I19" i="154"/>
  <c r="D19" i="154"/>
  <c r="J19" i="154"/>
  <c r="E19" i="154"/>
  <c r="F19" i="154"/>
  <c r="C19" i="154"/>
  <c r="I20" i="154"/>
  <c r="D20" i="154"/>
  <c r="J20" i="154"/>
  <c r="E20" i="154"/>
  <c r="F20" i="154"/>
  <c r="C20" i="154"/>
  <c r="I21" i="154"/>
  <c r="D21" i="154"/>
  <c r="J21" i="154"/>
  <c r="E21" i="154"/>
  <c r="F21" i="154"/>
  <c r="C21" i="154"/>
  <c r="I22" i="154"/>
  <c r="D22" i="154"/>
  <c r="J22" i="154"/>
  <c r="E22" i="154"/>
  <c r="F22" i="154"/>
  <c r="C22" i="154"/>
  <c r="I23" i="154"/>
  <c r="D23" i="154"/>
  <c r="J23" i="154"/>
  <c r="E23" i="154"/>
  <c r="F23" i="154"/>
  <c r="C23" i="154"/>
  <c r="I24" i="154"/>
  <c r="D24" i="154"/>
  <c r="J24" i="154"/>
  <c r="E24" i="154"/>
  <c r="F24" i="154"/>
  <c r="C24" i="154"/>
  <c r="I25" i="154"/>
  <c r="D25" i="154"/>
  <c r="J25" i="154"/>
  <c r="E25" i="154"/>
  <c r="F25" i="154"/>
  <c r="C25" i="154"/>
  <c r="I26" i="154"/>
  <c r="D26" i="154"/>
  <c r="J26" i="154"/>
  <c r="E26" i="154"/>
  <c r="F26" i="154"/>
  <c r="C26" i="154"/>
  <c r="I27" i="154"/>
  <c r="D27" i="154"/>
  <c r="J27" i="154"/>
  <c r="E27" i="154"/>
  <c r="F27" i="154"/>
  <c r="C27" i="154"/>
  <c r="I28" i="154"/>
  <c r="D28" i="154"/>
  <c r="J28" i="154"/>
  <c r="E28" i="154"/>
  <c r="F28" i="154"/>
  <c r="C28" i="154"/>
  <c r="I29" i="154"/>
  <c r="D29" i="154"/>
  <c r="J29" i="154"/>
  <c r="E29" i="154"/>
  <c r="F29" i="154"/>
  <c r="C29" i="154"/>
  <c r="I30" i="154"/>
  <c r="D30" i="154"/>
  <c r="J30" i="154"/>
  <c r="E30" i="154"/>
  <c r="F30" i="154"/>
  <c r="C30" i="154"/>
  <c r="I31" i="154"/>
  <c r="D31" i="154"/>
  <c r="J31" i="154"/>
  <c r="E31" i="154"/>
  <c r="F31" i="154"/>
  <c r="C31" i="154"/>
  <c r="I32" i="154"/>
  <c r="D32" i="154"/>
  <c r="J32" i="154"/>
  <c r="E32" i="154"/>
  <c r="F32" i="154"/>
  <c r="C32" i="154"/>
  <c r="I33" i="154"/>
  <c r="D33" i="154"/>
  <c r="J33" i="154"/>
  <c r="E33" i="154"/>
  <c r="F33" i="154"/>
  <c r="C33" i="154"/>
  <c r="I34" i="154"/>
  <c r="D34" i="154"/>
  <c r="J34" i="154"/>
  <c r="E34" i="154"/>
  <c r="F34" i="154"/>
  <c r="C34" i="154"/>
  <c r="I35" i="154"/>
  <c r="D35" i="154"/>
  <c r="J35" i="154"/>
  <c r="E35" i="154"/>
  <c r="F35" i="154"/>
  <c r="C35" i="154"/>
  <c r="I36" i="154"/>
  <c r="D36" i="154"/>
  <c r="J36" i="154"/>
  <c r="E36" i="154"/>
  <c r="F36" i="154"/>
  <c r="C36" i="154"/>
  <c r="I37" i="154"/>
  <c r="D37" i="154"/>
  <c r="J37" i="154"/>
  <c r="E37" i="154"/>
  <c r="F37" i="154"/>
  <c r="C37" i="154"/>
  <c r="I38" i="154"/>
  <c r="D38" i="154"/>
  <c r="J38" i="154"/>
  <c r="E38" i="154"/>
  <c r="F38" i="154"/>
  <c r="C38" i="154"/>
  <c r="I39" i="154"/>
  <c r="D39" i="154"/>
  <c r="J39" i="154"/>
  <c r="E39" i="154"/>
  <c r="F39" i="154"/>
  <c r="C39" i="154"/>
  <c r="I40" i="154"/>
  <c r="D40" i="154"/>
  <c r="J40" i="154"/>
  <c r="E40" i="154"/>
  <c r="F40" i="154"/>
  <c r="C40" i="154"/>
  <c r="I41" i="154"/>
  <c r="D41" i="154"/>
  <c r="J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D215" i="154"/>
  <c r="J215" i="154"/>
  <c r="E215" i="154"/>
  <c r="F215" i="154"/>
  <c r="C215" i="154"/>
  <c r="I216" i="154"/>
  <c r="D216" i="154"/>
  <c r="J216" i="154"/>
  <c r="E216" i="154"/>
  <c r="F216" i="154"/>
  <c r="C216" i="154"/>
  <c r="I217" i="154"/>
  <c r="D217" i="154"/>
  <c r="J217" i="154"/>
  <c r="E217" i="154"/>
  <c r="F217" i="154"/>
  <c r="C217" i="154"/>
  <c r="I218" i="154"/>
  <c r="D218" i="154"/>
  <c r="J218" i="154"/>
  <c r="E218" i="154"/>
  <c r="F218" i="154"/>
  <c r="C218" i="154"/>
  <c r="I219" i="154"/>
  <c r="D219" i="154"/>
  <c r="J219" i="154"/>
  <c r="E219" i="154"/>
  <c r="F219" i="154"/>
  <c r="C219" i="154"/>
  <c r="I220" i="154"/>
  <c r="D220" i="154"/>
  <c r="J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F5" i="153"/>
  <c r="F6" i="153"/>
  <c r="A36" i="153"/>
  <c r="G31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31" i="153"/>
  <c r="H31" i="153"/>
  <c r="O284" i="154"/>
  <c r="E6" i="153"/>
  <c r="E19" i="153"/>
  <c r="B19" i="153"/>
  <c r="E5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1" i="153"/>
  <c r="B21" i="153"/>
  <c r="G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E28" i="153"/>
  <c r="B28" i="153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E22" i="153"/>
  <c r="E29" i="153"/>
  <c r="B29" i="153"/>
  <c r="B23" i="153"/>
  <c r="B22" i="153"/>
  <c r="G22" i="153"/>
  <c r="H22" i="153"/>
  <c r="O256" i="154"/>
  <c r="G23" i="153"/>
  <c r="E23" i="153"/>
  <c r="H23" i="153"/>
  <c r="O257" i="154"/>
  <c r="O258" i="154"/>
  <c r="O259" i="154"/>
  <c r="G29" i="153"/>
  <c r="H29" i="153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G30" i="153"/>
  <c r="E30" i="153"/>
  <c r="H30" i="153"/>
  <c r="P284" i="154"/>
  <c r="A2" i="151"/>
  <c r="A284" i="152"/>
  <c r="I284" i="152"/>
  <c r="D284" i="152"/>
  <c r="J284" i="152"/>
  <c r="E284" i="152"/>
  <c r="F284" i="152"/>
  <c r="C284" i="152"/>
  <c r="H284" i="152"/>
  <c r="K284" i="152"/>
  <c r="L284" i="152"/>
  <c r="M284" i="152"/>
  <c r="N284" i="152"/>
  <c r="I2" i="152"/>
  <c r="D2" i="152"/>
  <c r="J2" i="152"/>
  <c r="E2" i="152"/>
  <c r="F2" i="152"/>
  <c r="C2" i="152"/>
  <c r="I3" i="152"/>
  <c r="D3" i="152"/>
  <c r="J3" i="152"/>
  <c r="E3" i="152"/>
  <c r="F3" i="152"/>
  <c r="C3" i="152"/>
  <c r="I4" i="152"/>
  <c r="D4" i="152"/>
  <c r="J4" i="152"/>
  <c r="E4" i="152"/>
  <c r="F4" i="152"/>
  <c r="C4" i="152"/>
  <c r="I5" i="152"/>
  <c r="D5" i="152"/>
  <c r="J5" i="152"/>
  <c r="E5" i="152"/>
  <c r="F5" i="152"/>
  <c r="C5" i="152"/>
  <c r="I6" i="152"/>
  <c r="D6" i="152"/>
  <c r="J6" i="152"/>
  <c r="E6" i="152"/>
  <c r="F6" i="152"/>
  <c r="C6" i="152"/>
  <c r="I7" i="152"/>
  <c r="D7" i="152"/>
  <c r="J7" i="152"/>
  <c r="E7" i="152"/>
  <c r="F7" i="152"/>
  <c r="C7" i="152"/>
  <c r="I8" i="152"/>
  <c r="D8" i="152"/>
  <c r="J8" i="152"/>
  <c r="E8" i="152"/>
  <c r="F8" i="152"/>
  <c r="C8" i="152"/>
  <c r="I9" i="152"/>
  <c r="D9" i="152"/>
  <c r="J9" i="152"/>
  <c r="E9" i="152"/>
  <c r="F9" i="152"/>
  <c r="C9" i="152"/>
  <c r="I10" i="152"/>
  <c r="D10" i="152"/>
  <c r="J10" i="152"/>
  <c r="E10" i="152"/>
  <c r="F10" i="152"/>
  <c r="C10" i="152"/>
  <c r="I11" i="152"/>
  <c r="D11" i="152"/>
  <c r="J11" i="152"/>
  <c r="E11" i="152"/>
  <c r="F11" i="152"/>
  <c r="C11" i="152"/>
  <c r="I12" i="152"/>
  <c r="D12" i="152"/>
  <c r="J12" i="152"/>
  <c r="E12" i="152"/>
  <c r="F12" i="152"/>
  <c r="C12" i="152"/>
  <c r="I13" i="152"/>
  <c r="D13" i="152"/>
  <c r="J13" i="152"/>
  <c r="E13" i="152"/>
  <c r="F13" i="152"/>
  <c r="C13" i="152"/>
  <c r="I14" i="152"/>
  <c r="D14" i="152"/>
  <c r="J14" i="152"/>
  <c r="E14" i="152"/>
  <c r="F14" i="152"/>
  <c r="C14" i="152"/>
  <c r="I15" i="152"/>
  <c r="D15" i="152"/>
  <c r="J15" i="152"/>
  <c r="E15" i="152"/>
  <c r="F15" i="152"/>
  <c r="C15" i="152"/>
  <c r="I16" i="152"/>
  <c r="D16" i="152"/>
  <c r="J16" i="152"/>
  <c r="E16" i="152"/>
  <c r="F16" i="152"/>
  <c r="C16" i="152"/>
  <c r="I17" i="152"/>
  <c r="D17" i="152"/>
  <c r="J17" i="152"/>
  <c r="E17" i="152"/>
  <c r="F17" i="152"/>
  <c r="C17" i="152"/>
  <c r="I18" i="152"/>
  <c r="D18" i="152"/>
  <c r="J18" i="152"/>
  <c r="E18" i="152"/>
  <c r="F18" i="152"/>
  <c r="C18" i="152"/>
  <c r="I19" i="152"/>
  <c r="D19" i="152"/>
  <c r="J19" i="152"/>
  <c r="E19" i="152"/>
  <c r="F19" i="152"/>
  <c r="C19" i="152"/>
  <c r="I20" i="152"/>
  <c r="D20" i="152"/>
  <c r="J20" i="152"/>
  <c r="E20" i="152"/>
  <c r="F20" i="152"/>
  <c r="C20" i="152"/>
  <c r="I21" i="152"/>
  <c r="D21" i="152"/>
  <c r="J21" i="152"/>
  <c r="E21" i="152"/>
  <c r="F21" i="152"/>
  <c r="C21" i="152"/>
  <c r="I22" i="152"/>
  <c r="D22" i="152"/>
  <c r="J22" i="152"/>
  <c r="E22" i="152"/>
  <c r="F22" i="152"/>
  <c r="C22" i="152"/>
  <c r="I23" i="152"/>
  <c r="D23" i="152"/>
  <c r="J23" i="152"/>
  <c r="E23" i="152"/>
  <c r="F23" i="152"/>
  <c r="C23" i="152"/>
  <c r="I24" i="152"/>
  <c r="D24" i="152"/>
  <c r="J24" i="152"/>
  <c r="E24" i="152"/>
  <c r="F24" i="152"/>
  <c r="C24" i="152"/>
  <c r="I25" i="152"/>
  <c r="D25" i="152"/>
  <c r="J25" i="152"/>
  <c r="E25" i="152"/>
  <c r="F25" i="152"/>
  <c r="C25" i="152"/>
  <c r="I26" i="152"/>
  <c r="D26" i="152"/>
  <c r="J26" i="152"/>
  <c r="E26" i="152"/>
  <c r="F26" i="152"/>
  <c r="C26" i="152"/>
  <c r="I27" i="152"/>
  <c r="D27" i="152"/>
  <c r="J27" i="152"/>
  <c r="E27" i="152"/>
  <c r="F27" i="152"/>
  <c r="C27" i="152"/>
  <c r="I28" i="152"/>
  <c r="D28" i="152"/>
  <c r="J28" i="152"/>
  <c r="E28" i="152"/>
  <c r="F28" i="152"/>
  <c r="C28" i="152"/>
  <c r="I29" i="152"/>
  <c r="D29" i="152"/>
  <c r="J29" i="152"/>
  <c r="E29" i="152"/>
  <c r="F29" i="152"/>
  <c r="C29" i="152"/>
  <c r="I30" i="152"/>
  <c r="D30" i="152"/>
  <c r="J30" i="152"/>
  <c r="E30" i="152"/>
  <c r="F30" i="152"/>
  <c r="C30" i="152"/>
  <c r="I31" i="152"/>
  <c r="D31" i="152"/>
  <c r="J31" i="152"/>
  <c r="E31" i="152"/>
  <c r="F31" i="152"/>
  <c r="C31" i="152"/>
  <c r="I32" i="152"/>
  <c r="D32" i="152"/>
  <c r="J32" i="152"/>
  <c r="E32" i="152"/>
  <c r="F32" i="152"/>
  <c r="C32" i="152"/>
  <c r="I33" i="152"/>
  <c r="D33" i="152"/>
  <c r="J33" i="152"/>
  <c r="E33" i="152"/>
  <c r="F33" i="152"/>
  <c r="C33" i="152"/>
  <c r="I34" i="152"/>
  <c r="D34" i="152"/>
  <c r="J34" i="152"/>
  <c r="E34" i="152"/>
  <c r="F34" i="152"/>
  <c r="C34" i="152"/>
  <c r="I35" i="152"/>
  <c r="D35" i="152"/>
  <c r="J35" i="152"/>
  <c r="E35" i="152"/>
  <c r="F35" i="152"/>
  <c r="C35" i="152"/>
  <c r="I36" i="152"/>
  <c r="D36" i="152"/>
  <c r="J36" i="152"/>
  <c r="E36" i="152"/>
  <c r="F36" i="152"/>
  <c r="C36" i="152"/>
  <c r="I37" i="152"/>
  <c r="D37" i="152"/>
  <c r="J37" i="152"/>
  <c r="E37" i="152"/>
  <c r="F37" i="152"/>
  <c r="C37" i="152"/>
  <c r="I38" i="152"/>
  <c r="D38" i="152"/>
  <c r="J38" i="152"/>
  <c r="E38" i="152"/>
  <c r="F38" i="152"/>
  <c r="C38" i="152"/>
  <c r="I39" i="152"/>
  <c r="D39" i="152"/>
  <c r="J39" i="152"/>
  <c r="E39" i="152"/>
  <c r="F39" i="152"/>
  <c r="C39" i="152"/>
  <c r="I40" i="152"/>
  <c r="D40" i="152"/>
  <c r="J40" i="152"/>
  <c r="E40" i="152"/>
  <c r="F40" i="152"/>
  <c r="C40" i="152"/>
  <c r="I41" i="152"/>
  <c r="D41" i="152"/>
  <c r="J41" i="152"/>
  <c r="E41" i="152"/>
  <c r="F41" i="152"/>
  <c r="C41" i="152"/>
  <c r="I42" i="152"/>
  <c r="D42" i="152"/>
  <c r="J42" i="152"/>
  <c r="E42" i="152"/>
  <c r="F42" i="152"/>
  <c r="C42" i="152"/>
  <c r="I43" i="152"/>
  <c r="D43" i="152"/>
  <c r="J43" i="152"/>
  <c r="E43" i="152"/>
  <c r="F43" i="152"/>
  <c r="C43" i="152"/>
  <c r="I44" i="152"/>
  <c r="D44" i="152"/>
  <c r="J44" i="152"/>
  <c r="E44" i="152"/>
  <c r="F44" i="152"/>
  <c r="C44" i="152"/>
  <c r="I45" i="152"/>
  <c r="D45" i="152"/>
  <c r="J45" i="152"/>
  <c r="E45" i="152"/>
  <c r="F45" i="152"/>
  <c r="C45" i="152"/>
  <c r="I46" i="152"/>
  <c r="D46" i="152"/>
  <c r="J46" i="152"/>
  <c r="E46" i="152"/>
  <c r="F46" i="152"/>
  <c r="C46" i="152"/>
  <c r="I47" i="152"/>
  <c r="D47" i="152"/>
  <c r="J47" i="152"/>
  <c r="E47" i="152"/>
  <c r="F47" i="152"/>
  <c r="C47" i="152"/>
  <c r="I48" i="152"/>
  <c r="D48" i="152"/>
  <c r="J48" i="152"/>
  <c r="E48" i="152"/>
  <c r="F48" i="152"/>
  <c r="C48" i="152"/>
  <c r="I49" i="152"/>
  <c r="D49" i="152"/>
  <c r="J49" i="152"/>
  <c r="E49" i="152"/>
  <c r="F49" i="152"/>
  <c r="C49" i="152"/>
  <c r="I50" i="152"/>
  <c r="D50" i="152"/>
  <c r="J50" i="152"/>
  <c r="E50" i="152"/>
  <c r="F50" i="152"/>
  <c r="C50" i="152"/>
  <c r="I51" i="152"/>
  <c r="D51" i="152"/>
  <c r="J51" i="152"/>
  <c r="E51" i="152"/>
  <c r="F51" i="152"/>
  <c r="C51" i="152"/>
  <c r="I52" i="152"/>
  <c r="D52" i="152"/>
  <c r="J52" i="152"/>
  <c r="E52" i="152"/>
  <c r="F52" i="152"/>
  <c r="C52" i="152"/>
  <c r="I53" i="152"/>
  <c r="D53" i="152"/>
  <c r="J53" i="152"/>
  <c r="E53" i="152"/>
  <c r="F53" i="152"/>
  <c r="C53" i="152"/>
  <c r="I54" i="152"/>
  <c r="D54" i="152"/>
  <c r="J54" i="152"/>
  <c r="E54" i="152"/>
  <c r="F54" i="152"/>
  <c r="C54" i="152"/>
  <c r="I55" i="152"/>
  <c r="D55" i="152"/>
  <c r="J55" i="152"/>
  <c r="E55" i="152"/>
  <c r="F55" i="152"/>
  <c r="C55" i="152"/>
  <c r="I56" i="152"/>
  <c r="D56" i="152"/>
  <c r="J56" i="152"/>
  <c r="E56" i="152"/>
  <c r="F56" i="152"/>
  <c r="C56" i="152"/>
  <c r="I57" i="152"/>
  <c r="D57" i="152"/>
  <c r="J57" i="152"/>
  <c r="E57" i="152"/>
  <c r="F57" i="152"/>
  <c r="C57" i="152"/>
  <c r="I58" i="152"/>
  <c r="D58" i="152"/>
  <c r="J58" i="152"/>
  <c r="E58" i="152"/>
  <c r="F58" i="152"/>
  <c r="C58" i="152"/>
  <c r="I59" i="152"/>
  <c r="D59" i="152"/>
  <c r="J59" i="152"/>
  <c r="E59" i="152"/>
  <c r="F59" i="152"/>
  <c r="C59" i="152"/>
  <c r="I60" i="152"/>
  <c r="D60" i="152"/>
  <c r="J60" i="152"/>
  <c r="E60" i="152"/>
  <c r="F60" i="152"/>
  <c r="C60" i="152"/>
  <c r="I61" i="152"/>
  <c r="D61" i="152"/>
  <c r="J61" i="152"/>
  <c r="E61" i="152"/>
  <c r="F61" i="152"/>
  <c r="C61" i="152"/>
  <c r="I62" i="152"/>
  <c r="D62" i="152"/>
  <c r="J62" i="152"/>
  <c r="E62" i="152"/>
  <c r="F62" i="152"/>
  <c r="C62" i="152"/>
  <c r="I63" i="152"/>
  <c r="D63" i="152"/>
  <c r="J63" i="152"/>
  <c r="E63" i="152"/>
  <c r="F63" i="152"/>
  <c r="C63" i="152"/>
  <c r="I64" i="152"/>
  <c r="D64" i="152"/>
  <c r="J64" i="152"/>
  <c r="E64" i="152"/>
  <c r="F64" i="152"/>
  <c r="C64" i="152"/>
  <c r="I65" i="152"/>
  <c r="D65" i="152"/>
  <c r="J65" i="152"/>
  <c r="E65" i="152"/>
  <c r="F65" i="152"/>
  <c r="C65" i="152"/>
  <c r="I66" i="152"/>
  <c r="D66" i="152"/>
  <c r="J66" i="152"/>
  <c r="E66" i="152"/>
  <c r="F66" i="152"/>
  <c r="C66" i="152"/>
  <c r="I67" i="152"/>
  <c r="D67" i="152"/>
  <c r="J67" i="152"/>
  <c r="E67" i="152"/>
  <c r="F67" i="152"/>
  <c r="C67" i="152"/>
  <c r="I68" i="152"/>
  <c r="D68" i="152"/>
  <c r="J68" i="152"/>
  <c r="E68" i="152"/>
  <c r="F68" i="152"/>
  <c r="C68" i="152"/>
  <c r="I69" i="152"/>
  <c r="D69" i="152"/>
  <c r="J69" i="152"/>
  <c r="E69" i="152"/>
  <c r="F69" i="152"/>
  <c r="C69" i="152"/>
  <c r="I70" i="152"/>
  <c r="D70" i="152"/>
  <c r="J70" i="152"/>
  <c r="E70" i="152"/>
  <c r="F70" i="152"/>
  <c r="C70" i="152"/>
  <c r="I71" i="152"/>
  <c r="D71" i="152"/>
  <c r="J71" i="152"/>
  <c r="E71" i="152"/>
  <c r="F71" i="152"/>
  <c r="C71" i="152"/>
  <c r="I72" i="152"/>
  <c r="D72" i="152"/>
  <c r="J72" i="152"/>
  <c r="E72" i="152"/>
  <c r="F72" i="152"/>
  <c r="C72" i="152"/>
  <c r="I73" i="152"/>
  <c r="D73" i="152"/>
  <c r="J73" i="152"/>
  <c r="E73" i="152"/>
  <c r="F73" i="152"/>
  <c r="C73" i="152"/>
  <c r="I74" i="152"/>
  <c r="D74" i="152"/>
  <c r="J74" i="152"/>
  <c r="E74" i="152"/>
  <c r="F74" i="152"/>
  <c r="C74" i="152"/>
  <c r="I75" i="152"/>
  <c r="D75" i="152"/>
  <c r="J75" i="152"/>
  <c r="E75" i="152"/>
  <c r="F75" i="152"/>
  <c r="C75" i="152"/>
  <c r="I76" i="152"/>
  <c r="D76" i="152"/>
  <c r="J76" i="152"/>
  <c r="E76" i="152"/>
  <c r="F76" i="152"/>
  <c r="C76" i="152"/>
  <c r="I77" i="152"/>
  <c r="D77" i="152"/>
  <c r="J77" i="152"/>
  <c r="E77" i="152"/>
  <c r="F77" i="152"/>
  <c r="C77" i="152"/>
  <c r="I78" i="152"/>
  <c r="D78" i="152"/>
  <c r="J78" i="152"/>
  <c r="E78" i="152"/>
  <c r="F78" i="152"/>
  <c r="C78" i="152"/>
  <c r="I79" i="152"/>
  <c r="D79" i="152"/>
  <c r="J79" i="152"/>
  <c r="E79" i="152"/>
  <c r="F79" i="152"/>
  <c r="C79" i="152"/>
  <c r="I80" i="152"/>
  <c r="D80" i="152"/>
  <c r="J80" i="152"/>
  <c r="E80" i="152"/>
  <c r="F80" i="152"/>
  <c r="C80" i="152"/>
  <c r="I81" i="152"/>
  <c r="D81" i="152"/>
  <c r="J81" i="152"/>
  <c r="E81" i="152"/>
  <c r="F81" i="152"/>
  <c r="C81" i="152"/>
  <c r="I82" i="152"/>
  <c r="D82" i="152"/>
  <c r="J82" i="152"/>
  <c r="E82" i="152"/>
  <c r="F82" i="152"/>
  <c r="C82" i="152"/>
  <c r="I83" i="152"/>
  <c r="D83" i="152"/>
  <c r="J83" i="152"/>
  <c r="E83" i="152"/>
  <c r="F83" i="152"/>
  <c r="C83" i="152"/>
  <c r="I84" i="152"/>
  <c r="D84" i="152"/>
  <c r="J84" i="152"/>
  <c r="E84" i="152"/>
  <c r="F84" i="152"/>
  <c r="C84" i="152"/>
  <c r="I85" i="152"/>
  <c r="D85" i="152"/>
  <c r="J85" i="152"/>
  <c r="E85" i="152"/>
  <c r="F85" i="152"/>
  <c r="C85" i="152"/>
  <c r="I86" i="152"/>
  <c r="D86" i="152"/>
  <c r="J86" i="152"/>
  <c r="E86" i="152"/>
  <c r="F86" i="152"/>
  <c r="C86" i="152"/>
  <c r="I87" i="152"/>
  <c r="D87" i="152"/>
  <c r="J87" i="152"/>
  <c r="E87" i="152"/>
  <c r="F87" i="152"/>
  <c r="C87" i="152"/>
  <c r="I88" i="152"/>
  <c r="D88" i="152"/>
  <c r="J88" i="152"/>
  <c r="E88" i="152"/>
  <c r="F88" i="152"/>
  <c r="C88" i="152"/>
  <c r="I89" i="152"/>
  <c r="D89" i="152"/>
  <c r="J89" i="152"/>
  <c r="E89" i="152"/>
  <c r="F89" i="152"/>
  <c r="C89" i="152"/>
  <c r="I90" i="152"/>
  <c r="D90" i="152"/>
  <c r="J90" i="152"/>
  <c r="E90" i="152"/>
  <c r="F90" i="152"/>
  <c r="C90" i="152"/>
  <c r="I91" i="152"/>
  <c r="D91" i="152"/>
  <c r="J91" i="152"/>
  <c r="E91" i="152"/>
  <c r="F91" i="152"/>
  <c r="C91" i="152"/>
  <c r="I92" i="152"/>
  <c r="D92" i="152"/>
  <c r="J92" i="152"/>
  <c r="E92" i="152"/>
  <c r="F92" i="152"/>
  <c r="C92" i="152"/>
  <c r="I93" i="152"/>
  <c r="D93" i="152"/>
  <c r="J93" i="152"/>
  <c r="E93" i="152"/>
  <c r="F93" i="152"/>
  <c r="C93" i="152"/>
  <c r="I94" i="152"/>
  <c r="D94" i="152"/>
  <c r="J94" i="152"/>
  <c r="E94" i="152"/>
  <c r="F94" i="152"/>
  <c r="C94" i="152"/>
  <c r="I95" i="152"/>
  <c r="D95" i="152"/>
  <c r="J95" i="152"/>
  <c r="E95" i="152"/>
  <c r="F95" i="152"/>
  <c r="C95" i="152"/>
  <c r="I96" i="152"/>
  <c r="D96" i="152"/>
  <c r="J96" i="152"/>
  <c r="E96" i="152"/>
  <c r="F96" i="152"/>
  <c r="C96" i="152"/>
  <c r="I97" i="152"/>
  <c r="D97" i="152"/>
  <c r="J97" i="152"/>
  <c r="E97" i="152"/>
  <c r="F97" i="152"/>
  <c r="C97" i="152"/>
  <c r="I98" i="152"/>
  <c r="D98" i="152"/>
  <c r="J98" i="152"/>
  <c r="E98" i="152"/>
  <c r="F98" i="152"/>
  <c r="C98" i="152"/>
  <c r="I99" i="152"/>
  <c r="D99" i="152"/>
  <c r="J99" i="152"/>
  <c r="E99" i="152"/>
  <c r="F99" i="152"/>
  <c r="C99" i="152"/>
  <c r="I100" i="152"/>
  <c r="D100" i="152"/>
  <c r="J100" i="152"/>
  <c r="E100" i="152"/>
  <c r="F100" i="152"/>
  <c r="C100" i="152"/>
  <c r="I101" i="152"/>
  <c r="D101" i="152"/>
  <c r="J101" i="152"/>
  <c r="E101" i="152"/>
  <c r="F101" i="152"/>
  <c r="C101" i="152"/>
  <c r="I102" i="152"/>
  <c r="D102" i="152"/>
  <c r="J102" i="152"/>
  <c r="E102" i="152"/>
  <c r="F102" i="152"/>
  <c r="C102" i="152"/>
  <c r="I103" i="152"/>
  <c r="D103" i="152"/>
  <c r="J103" i="152"/>
  <c r="E103" i="152"/>
  <c r="F103" i="152"/>
  <c r="C103" i="152"/>
  <c r="I104" i="152"/>
  <c r="D104" i="152"/>
  <c r="J104" i="152"/>
  <c r="E104" i="152"/>
  <c r="F104" i="152"/>
  <c r="C104" i="152"/>
  <c r="I105" i="152"/>
  <c r="D105" i="152"/>
  <c r="J105" i="152"/>
  <c r="E105" i="152"/>
  <c r="F105" i="152"/>
  <c r="C105" i="152"/>
  <c r="I106" i="152"/>
  <c r="D106" i="152"/>
  <c r="J106" i="152"/>
  <c r="E106" i="152"/>
  <c r="F106" i="152"/>
  <c r="C106" i="152"/>
  <c r="I107" i="152"/>
  <c r="D107" i="152"/>
  <c r="J107" i="152"/>
  <c r="E107" i="152"/>
  <c r="F107" i="152"/>
  <c r="C107" i="152"/>
  <c r="I108" i="152"/>
  <c r="D108" i="152"/>
  <c r="J108" i="152"/>
  <c r="E108" i="152"/>
  <c r="F108" i="152"/>
  <c r="C108" i="152"/>
  <c r="I109" i="152"/>
  <c r="D109" i="152"/>
  <c r="J109" i="152"/>
  <c r="E109" i="152"/>
  <c r="F109" i="152"/>
  <c r="C109" i="152"/>
  <c r="I110" i="152"/>
  <c r="D110" i="152"/>
  <c r="J110" i="152"/>
  <c r="E110" i="152"/>
  <c r="F110" i="152"/>
  <c r="C110" i="152"/>
  <c r="I111" i="152"/>
  <c r="D111" i="152"/>
  <c r="J111" i="152"/>
  <c r="E111" i="152"/>
  <c r="F111" i="152"/>
  <c r="C111" i="152"/>
  <c r="I112" i="152"/>
  <c r="D112" i="152"/>
  <c r="J112" i="152"/>
  <c r="E112" i="152"/>
  <c r="F112" i="152"/>
  <c r="C112" i="152"/>
  <c r="I113" i="152"/>
  <c r="D113" i="152"/>
  <c r="J113" i="152"/>
  <c r="E113" i="152"/>
  <c r="F113" i="152"/>
  <c r="C113" i="152"/>
  <c r="I114" i="152"/>
  <c r="D114" i="152"/>
  <c r="J114" i="152"/>
  <c r="E114" i="152"/>
  <c r="F114" i="152"/>
  <c r="C114" i="152"/>
  <c r="I115" i="152"/>
  <c r="D115" i="152"/>
  <c r="J115" i="152"/>
  <c r="E115" i="152"/>
  <c r="F115" i="152"/>
  <c r="C115" i="152"/>
  <c r="I116" i="152"/>
  <c r="D116" i="152"/>
  <c r="J116" i="152"/>
  <c r="E116" i="152"/>
  <c r="F116" i="152"/>
  <c r="C116" i="152"/>
  <c r="I117" i="152"/>
  <c r="D117" i="152"/>
  <c r="J117" i="152"/>
  <c r="E117" i="152"/>
  <c r="F117" i="152"/>
  <c r="C117" i="152"/>
  <c r="I118" i="152"/>
  <c r="D118" i="152"/>
  <c r="J118" i="152"/>
  <c r="E118" i="152"/>
  <c r="F118" i="152"/>
  <c r="C118" i="152"/>
  <c r="I119" i="152"/>
  <c r="D119" i="152"/>
  <c r="J119" i="152"/>
  <c r="E119" i="152"/>
  <c r="F119" i="152"/>
  <c r="C119" i="152"/>
  <c r="I120" i="152"/>
  <c r="D120" i="152"/>
  <c r="J120" i="152"/>
  <c r="E120" i="152"/>
  <c r="F120" i="152"/>
  <c r="C120" i="152"/>
  <c r="I121" i="152"/>
  <c r="D121" i="152"/>
  <c r="J121" i="152"/>
  <c r="E121" i="152"/>
  <c r="F121" i="152"/>
  <c r="C121" i="152"/>
  <c r="I122" i="152"/>
  <c r="D122" i="152"/>
  <c r="J122" i="152"/>
  <c r="E122" i="152"/>
  <c r="F122" i="152"/>
  <c r="C122" i="152"/>
  <c r="I123" i="152"/>
  <c r="D123" i="152"/>
  <c r="J123" i="152"/>
  <c r="E123" i="152"/>
  <c r="F123" i="152"/>
  <c r="C123" i="152"/>
  <c r="I124" i="152"/>
  <c r="D124" i="152"/>
  <c r="J124" i="152"/>
  <c r="E124" i="152"/>
  <c r="F124" i="152"/>
  <c r="C124" i="152"/>
  <c r="I125" i="152"/>
  <c r="D125" i="152"/>
  <c r="J125" i="152"/>
  <c r="E125" i="152"/>
  <c r="F125" i="152"/>
  <c r="C125" i="152"/>
  <c r="I126" i="152"/>
  <c r="D126" i="152"/>
  <c r="J126" i="152"/>
  <c r="E126" i="152"/>
  <c r="F126" i="152"/>
  <c r="C126" i="152"/>
  <c r="I127" i="152"/>
  <c r="D127" i="152"/>
  <c r="J127" i="152"/>
  <c r="E127" i="152"/>
  <c r="F127" i="152"/>
  <c r="C127" i="152"/>
  <c r="I128" i="152"/>
  <c r="D128" i="152"/>
  <c r="J128" i="152"/>
  <c r="E128" i="152"/>
  <c r="F128" i="152"/>
  <c r="C128" i="152"/>
  <c r="I129" i="152"/>
  <c r="D129" i="152"/>
  <c r="J129" i="152"/>
  <c r="E129" i="152"/>
  <c r="F129" i="152"/>
  <c r="C129" i="152"/>
  <c r="I130" i="152"/>
  <c r="D130" i="152"/>
  <c r="J130" i="152"/>
  <c r="E130" i="152"/>
  <c r="F130" i="152"/>
  <c r="C130" i="152"/>
  <c r="I131" i="152"/>
  <c r="D131" i="152"/>
  <c r="J131" i="152"/>
  <c r="E131" i="152"/>
  <c r="F131" i="152"/>
  <c r="C131" i="152"/>
  <c r="I132" i="152"/>
  <c r="D132" i="152"/>
  <c r="J132" i="152"/>
  <c r="E132" i="152"/>
  <c r="F132" i="152"/>
  <c r="C132" i="152"/>
  <c r="I133" i="152"/>
  <c r="D133" i="152"/>
  <c r="J133" i="152"/>
  <c r="E133" i="152"/>
  <c r="F133" i="152"/>
  <c r="C133" i="152"/>
  <c r="I134" i="152"/>
  <c r="D134" i="152"/>
  <c r="J134" i="152"/>
  <c r="E134" i="152"/>
  <c r="F134" i="152"/>
  <c r="C134" i="152"/>
  <c r="I135" i="152"/>
  <c r="D135" i="152"/>
  <c r="J135" i="152"/>
  <c r="E135" i="152"/>
  <c r="F135" i="152"/>
  <c r="C135" i="152"/>
  <c r="I136" i="152"/>
  <c r="D136" i="152"/>
  <c r="J136" i="152"/>
  <c r="E136" i="152"/>
  <c r="F136" i="152"/>
  <c r="C136" i="152"/>
  <c r="I137" i="152"/>
  <c r="D137" i="152"/>
  <c r="J137" i="152"/>
  <c r="E137" i="152"/>
  <c r="F137" i="152"/>
  <c r="C137" i="152"/>
  <c r="I138" i="152"/>
  <c r="D138" i="152"/>
  <c r="J138" i="152"/>
  <c r="E138" i="152"/>
  <c r="F138" i="152"/>
  <c r="C138" i="152"/>
  <c r="I139" i="152"/>
  <c r="D139" i="152"/>
  <c r="J139" i="152"/>
  <c r="E139" i="152"/>
  <c r="F139" i="152"/>
  <c r="C139" i="152"/>
  <c r="I140" i="152"/>
  <c r="D140" i="152"/>
  <c r="J140" i="152"/>
  <c r="E140" i="152"/>
  <c r="F140" i="152"/>
  <c r="C140" i="152"/>
  <c r="I141" i="152"/>
  <c r="D141" i="152"/>
  <c r="J141" i="152"/>
  <c r="E141" i="152"/>
  <c r="F141" i="152"/>
  <c r="C141" i="152"/>
  <c r="I142" i="152"/>
  <c r="D142" i="152"/>
  <c r="J142" i="152"/>
  <c r="E142" i="152"/>
  <c r="F142" i="152"/>
  <c r="C142" i="152"/>
  <c r="I143" i="152"/>
  <c r="D143" i="152"/>
  <c r="J143" i="152"/>
  <c r="E143" i="152"/>
  <c r="F143" i="152"/>
  <c r="C143" i="152"/>
  <c r="I144" i="152"/>
  <c r="D144" i="152"/>
  <c r="J144" i="152"/>
  <c r="E144" i="152"/>
  <c r="F144" i="152"/>
  <c r="C144" i="152"/>
  <c r="I145" i="152"/>
  <c r="D145" i="152"/>
  <c r="J145" i="152"/>
  <c r="E145" i="152"/>
  <c r="F145" i="152"/>
  <c r="C145" i="152"/>
  <c r="I146" i="152"/>
  <c r="D146" i="152"/>
  <c r="J146" i="152"/>
  <c r="E146" i="152"/>
  <c r="F146" i="152"/>
  <c r="C146" i="152"/>
  <c r="I147" i="152"/>
  <c r="D147" i="152"/>
  <c r="J147" i="152"/>
  <c r="E147" i="152"/>
  <c r="F147" i="152"/>
  <c r="C147" i="152"/>
  <c r="I148" i="152"/>
  <c r="D148" i="152"/>
  <c r="J148" i="152"/>
  <c r="E148" i="152"/>
  <c r="F148" i="152"/>
  <c r="C148" i="152"/>
  <c r="I149" i="152"/>
  <c r="D149" i="152"/>
  <c r="J149" i="152"/>
  <c r="E149" i="152"/>
  <c r="F149" i="152"/>
  <c r="C149" i="152"/>
  <c r="I150" i="152"/>
  <c r="D150" i="152"/>
  <c r="J150" i="152"/>
  <c r="E150" i="152"/>
  <c r="F150" i="152"/>
  <c r="C150" i="152"/>
  <c r="I151" i="152"/>
  <c r="D151" i="152"/>
  <c r="J151" i="152"/>
  <c r="E151" i="152"/>
  <c r="F151" i="152"/>
  <c r="C151" i="152"/>
  <c r="I152" i="152"/>
  <c r="D152" i="152"/>
  <c r="J152" i="152"/>
  <c r="E152" i="152"/>
  <c r="F152" i="152"/>
  <c r="C152" i="152"/>
  <c r="I153" i="152"/>
  <c r="D153" i="152"/>
  <c r="J153" i="152"/>
  <c r="E153" i="152"/>
  <c r="F153" i="152"/>
  <c r="C153" i="152"/>
  <c r="I154" i="152"/>
  <c r="D154" i="152"/>
  <c r="J154" i="152"/>
  <c r="E154" i="152"/>
  <c r="F154" i="152"/>
  <c r="C154" i="152"/>
  <c r="I155" i="152"/>
  <c r="D155" i="152"/>
  <c r="J155" i="152"/>
  <c r="E155" i="152"/>
  <c r="F155" i="152"/>
  <c r="C155" i="152"/>
  <c r="I156" i="152"/>
  <c r="D156" i="152"/>
  <c r="J156" i="152"/>
  <c r="E156" i="152"/>
  <c r="F156" i="152"/>
  <c r="C156" i="152"/>
  <c r="I157" i="152"/>
  <c r="D157" i="152"/>
  <c r="J157" i="152"/>
  <c r="E157" i="152"/>
  <c r="F157" i="152"/>
  <c r="C157" i="152"/>
  <c r="I158" i="152"/>
  <c r="D158" i="152"/>
  <c r="J158" i="152"/>
  <c r="E158" i="152"/>
  <c r="F158" i="152"/>
  <c r="C158" i="152"/>
  <c r="I159" i="152"/>
  <c r="D159" i="152"/>
  <c r="J159" i="152"/>
  <c r="E159" i="152"/>
  <c r="F159" i="152"/>
  <c r="C159" i="152"/>
  <c r="I160" i="152"/>
  <c r="D160" i="152"/>
  <c r="J160" i="152"/>
  <c r="E160" i="152"/>
  <c r="F160" i="152"/>
  <c r="C160" i="152"/>
  <c r="I161" i="152"/>
  <c r="D161" i="152"/>
  <c r="J161" i="152"/>
  <c r="E161" i="152"/>
  <c r="F161" i="152"/>
  <c r="C161" i="152"/>
  <c r="I162" i="152"/>
  <c r="D162" i="152"/>
  <c r="J162" i="152"/>
  <c r="E162" i="152"/>
  <c r="F162" i="152"/>
  <c r="C162" i="152"/>
  <c r="I163" i="152"/>
  <c r="D163" i="152"/>
  <c r="J163" i="152"/>
  <c r="E163" i="152"/>
  <c r="F163" i="152"/>
  <c r="C163" i="152"/>
  <c r="I164" i="152"/>
  <c r="D164" i="152"/>
  <c r="J164" i="152"/>
  <c r="E164" i="152"/>
  <c r="F164" i="152"/>
  <c r="C164" i="152"/>
  <c r="I165" i="152"/>
  <c r="D165" i="152"/>
  <c r="J165" i="152"/>
  <c r="E165" i="152"/>
  <c r="F165" i="152"/>
  <c r="C165" i="152"/>
  <c r="I166" i="152"/>
  <c r="D166" i="152"/>
  <c r="J166" i="152"/>
  <c r="E166" i="152"/>
  <c r="F166" i="152"/>
  <c r="C166" i="152"/>
  <c r="I167" i="152"/>
  <c r="D167" i="152"/>
  <c r="J167" i="152"/>
  <c r="E167" i="152"/>
  <c r="F167" i="152"/>
  <c r="C167" i="152"/>
  <c r="I168" i="152"/>
  <c r="D168" i="152"/>
  <c r="J168" i="152"/>
  <c r="E168" i="152"/>
  <c r="F168" i="152"/>
  <c r="C168" i="152"/>
  <c r="I169" i="152"/>
  <c r="D169" i="152"/>
  <c r="J169" i="152"/>
  <c r="E169" i="152"/>
  <c r="F169" i="152"/>
  <c r="C169" i="152"/>
  <c r="I170" i="152"/>
  <c r="D170" i="152"/>
  <c r="J170" i="152"/>
  <c r="E170" i="152"/>
  <c r="F170" i="152"/>
  <c r="C170" i="152"/>
  <c r="I171" i="152"/>
  <c r="D171" i="152"/>
  <c r="J171" i="152"/>
  <c r="E171" i="152"/>
  <c r="F171" i="152"/>
  <c r="C171" i="152"/>
  <c r="I172" i="152"/>
  <c r="D172" i="152"/>
  <c r="J172" i="152"/>
  <c r="E172" i="152"/>
  <c r="F172" i="152"/>
  <c r="C172" i="152"/>
  <c r="I173" i="152"/>
  <c r="D173" i="152"/>
  <c r="J173" i="152"/>
  <c r="E173" i="152"/>
  <c r="F173" i="152"/>
  <c r="C173" i="152"/>
  <c r="I174" i="152"/>
  <c r="D174" i="152"/>
  <c r="J174" i="152"/>
  <c r="E174" i="152"/>
  <c r="F174" i="152"/>
  <c r="C174" i="152"/>
  <c r="I175" i="152"/>
  <c r="D175" i="152"/>
  <c r="J175" i="152"/>
  <c r="E175" i="152"/>
  <c r="F175" i="152"/>
  <c r="C175" i="152"/>
  <c r="I176" i="152"/>
  <c r="D176" i="152"/>
  <c r="J176" i="152"/>
  <c r="E176" i="152"/>
  <c r="F176" i="152"/>
  <c r="C176" i="152"/>
  <c r="I177" i="152"/>
  <c r="D177" i="152"/>
  <c r="J177" i="152"/>
  <c r="E177" i="152"/>
  <c r="F177" i="152"/>
  <c r="C177" i="152"/>
  <c r="I178" i="152"/>
  <c r="D178" i="152"/>
  <c r="J178" i="152"/>
  <c r="E178" i="152"/>
  <c r="F178" i="152"/>
  <c r="C178" i="152"/>
  <c r="I179" i="152"/>
  <c r="D179" i="152"/>
  <c r="J179" i="152"/>
  <c r="E179" i="152"/>
  <c r="F179" i="152"/>
  <c r="C179" i="152"/>
  <c r="I180" i="152"/>
  <c r="D180" i="152"/>
  <c r="J180" i="152"/>
  <c r="E180" i="152"/>
  <c r="F180" i="152"/>
  <c r="C180" i="152"/>
  <c r="I181" i="152"/>
  <c r="D181" i="152"/>
  <c r="J181" i="152"/>
  <c r="E181" i="152"/>
  <c r="F181" i="152"/>
  <c r="C181" i="152"/>
  <c r="I182" i="152"/>
  <c r="D182" i="152"/>
  <c r="J182" i="152"/>
  <c r="E182" i="152"/>
  <c r="F182" i="152"/>
  <c r="C182" i="152"/>
  <c r="I183" i="152"/>
  <c r="D183" i="152"/>
  <c r="J183" i="152"/>
  <c r="E183" i="152"/>
  <c r="F183" i="152"/>
  <c r="C183" i="152"/>
  <c r="I184" i="152"/>
  <c r="D184" i="152"/>
  <c r="J184" i="152"/>
  <c r="E184" i="152"/>
  <c r="F184" i="152"/>
  <c r="C184" i="152"/>
  <c r="I185" i="152"/>
  <c r="D185" i="152"/>
  <c r="J185" i="152"/>
  <c r="E185" i="152"/>
  <c r="F185" i="152"/>
  <c r="C185" i="152"/>
  <c r="I186" i="152"/>
  <c r="D186" i="152"/>
  <c r="J186" i="152"/>
  <c r="E186" i="152"/>
  <c r="F186" i="152"/>
  <c r="C186" i="152"/>
  <c r="I187" i="152"/>
  <c r="D187" i="152"/>
  <c r="J187" i="152"/>
  <c r="E187" i="152"/>
  <c r="F187" i="152"/>
  <c r="C187" i="152"/>
  <c r="I188" i="152"/>
  <c r="D188" i="152"/>
  <c r="J188" i="152"/>
  <c r="E188" i="152"/>
  <c r="F188" i="152"/>
  <c r="C188" i="152"/>
  <c r="I189" i="152"/>
  <c r="D189" i="152"/>
  <c r="J189" i="152"/>
  <c r="E189" i="152"/>
  <c r="F189" i="152"/>
  <c r="C189" i="152"/>
  <c r="I190" i="152"/>
  <c r="D190" i="152"/>
  <c r="J190" i="152"/>
  <c r="E190" i="152"/>
  <c r="F190" i="152"/>
  <c r="C190" i="152"/>
  <c r="I191" i="152"/>
  <c r="D191" i="152"/>
  <c r="J191" i="152"/>
  <c r="E191" i="152"/>
  <c r="F191" i="152"/>
  <c r="C191" i="152"/>
  <c r="I192" i="152"/>
  <c r="D192" i="152"/>
  <c r="J192" i="152"/>
  <c r="E192" i="152"/>
  <c r="F192" i="152"/>
  <c r="C192" i="152"/>
  <c r="I193" i="152"/>
  <c r="D193" i="152"/>
  <c r="J193" i="152"/>
  <c r="E193" i="152"/>
  <c r="F193" i="152"/>
  <c r="C193" i="152"/>
  <c r="I194" i="152"/>
  <c r="D194" i="152"/>
  <c r="J194" i="152"/>
  <c r="E194" i="152"/>
  <c r="F194" i="152"/>
  <c r="C194" i="152"/>
  <c r="I195" i="152"/>
  <c r="D195" i="152"/>
  <c r="J195" i="152"/>
  <c r="E195" i="152"/>
  <c r="F195" i="152"/>
  <c r="C195" i="152"/>
  <c r="I196" i="152"/>
  <c r="D196" i="152"/>
  <c r="J196" i="152"/>
  <c r="E196" i="152"/>
  <c r="F196" i="152"/>
  <c r="C196" i="152"/>
  <c r="I197" i="152"/>
  <c r="D197" i="152"/>
  <c r="J197" i="152"/>
  <c r="E197" i="152"/>
  <c r="F197" i="152"/>
  <c r="C197" i="152"/>
  <c r="I198" i="152"/>
  <c r="D198" i="152"/>
  <c r="J198" i="152"/>
  <c r="E198" i="152"/>
  <c r="F198" i="152"/>
  <c r="C198" i="152"/>
  <c r="I199" i="152"/>
  <c r="D199" i="152"/>
  <c r="J199" i="152"/>
  <c r="E199" i="152"/>
  <c r="F199" i="152"/>
  <c r="C199" i="152"/>
  <c r="I200" i="152"/>
  <c r="D200" i="152"/>
  <c r="J200" i="152"/>
  <c r="E200" i="152"/>
  <c r="F200" i="152"/>
  <c r="C200" i="152"/>
  <c r="I201" i="152"/>
  <c r="D201" i="152"/>
  <c r="J201" i="152"/>
  <c r="E201" i="152"/>
  <c r="F201" i="152"/>
  <c r="C201" i="152"/>
  <c r="I202" i="152"/>
  <c r="D202" i="152"/>
  <c r="J202" i="152"/>
  <c r="E202" i="152"/>
  <c r="F202" i="152"/>
  <c r="C202" i="152"/>
  <c r="I203" i="152"/>
  <c r="D203" i="152"/>
  <c r="J203" i="152"/>
  <c r="E203" i="152"/>
  <c r="F203" i="152"/>
  <c r="C203" i="152"/>
  <c r="I204" i="152"/>
  <c r="D204" i="152"/>
  <c r="J204" i="152"/>
  <c r="E204" i="152"/>
  <c r="F204" i="152"/>
  <c r="C204" i="152"/>
  <c r="I205" i="152"/>
  <c r="D205" i="152"/>
  <c r="J205" i="152"/>
  <c r="E205" i="152"/>
  <c r="F205" i="152"/>
  <c r="C205" i="152"/>
  <c r="I206" i="152"/>
  <c r="D206" i="152"/>
  <c r="J206" i="152"/>
  <c r="E206" i="152"/>
  <c r="F206" i="152"/>
  <c r="C206" i="152"/>
  <c r="I207" i="152"/>
  <c r="D207" i="152"/>
  <c r="J207" i="152"/>
  <c r="E207" i="152"/>
  <c r="F207" i="152"/>
  <c r="C207" i="152"/>
  <c r="I208" i="152"/>
  <c r="D208" i="152"/>
  <c r="J208" i="152"/>
  <c r="E208" i="152"/>
  <c r="F208" i="152"/>
  <c r="C208" i="152"/>
  <c r="I209" i="152"/>
  <c r="D209" i="152"/>
  <c r="J209" i="152"/>
  <c r="E209" i="152"/>
  <c r="F209" i="152"/>
  <c r="C209" i="152"/>
  <c r="I210" i="152"/>
  <c r="D210" i="152"/>
  <c r="J210" i="152"/>
  <c r="E210" i="152"/>
  <c r="F210" i="152"/>
  <c r="C210" i="152"/>
  <c r="I211" i="152"/>
  <c r="D211" i="152"/>
  <c r="J211" i="152"/>
  <c r="E211" i="152"/>
  <c r="F211" i="152"/>
  <c r="C211" i="152"/>
  <c r="I212" i="152"/>
  <c r="D212" i="152"/>
  <c r="J212" i="152"/>
  <c r="E212" i="152"/>
  <c r="F212" i="152"/>
  <c r="C212" i="152"/>
  <c r="I213" i="152"/>
  <c r="D213" i="152"/>
  <c r="J213" i="152"/>
  <c r="E213" i="152"/>
  <c r="F213" i="152"/>
  <c r="C213" i="152"/>
  <c r="I214" i="152"/>
  <c r="D214" i="152"/>
  <c r="J214" i="152"/>
  <c r="E214" i="152"/>
  <c r="F214" i="152"/>
  <c r="C214" i="152"/>
  <c r="I215" i="152"/>
  <c r="D215" i="152"/>
  <c r="J215" i="152"/>
  <c r="E215" i="152"/>
  <c r="F215" i="152"/>
  <c r="C215" i="152"/>
  <c r="I216" i="152"/>
  <c r="D216" i="152"/>
  <c r="J216" i="152"/>
  <c r="E216" i="152"/>
  <c r="F216" i="152"/>
  <c r="C216" i="152"/>
  <c r="I217" i="152"/>
  <c r="D217" i="152"/>
  <c r="J217" i="152"/>
  <c r="E217" i="152"/>
  <c r="F217" i="152"/>
  <c r="C217" i="152"/>
  <c r="I218" i="152"/>
  <c r="D218" i="152"/>
  <c r="J218" i="152"/>
  <c r="E218" i="152"/>
  <c r="F218" i="152"/>
  <c r="C218" i="152"/>
  <c r="I219" i="152"/>
  <c r="D219" i="152"/>
  <c r="J219" i="152"/>
  <c r="E219" i="152"/>
  <c r="F219" i="152"/>
  <c r="C219" i="152"/>
  <c r="I220" i="152"/>
  <c r="D220" i="152"/>
  <c r="J220" i="152"/>
  <c r="E220" i="152"/>
  <c r="F220" i="152"/>
  <c r="C220" i="152"/>
  <c r="I221" i="152"/>
  <c r="D221" i="152"/>
  <c r="J221" i="152"/>
  <c r="E221" i="152"/>
  <c r="F221" i="152"/>
  <c r="C221" i="152"/>
  <c r="I222" i="152"/>
  <c r="D222" i="152"/>
  <c r="J222" i="152"/>
  <c r="E222" i="152"/>
  <c r="F222" i="152"/>
  <c r="C222" i="152"/>
  <c r="I223" i="152"/>
  <c r="D223" i="152"/>
  <c r="J223" i="152"/>
  <c r="E223" i="152"/>
  <c r="F223" i="152"/>
  <c r="C223" i="152"/>
  <c r="I224" i="152"/>
  <c r="D224" i="152"/>
  <c r="J224" i="152"/>
  <c r="E224" i="152"/>
  <c r="F224" i="152"/>
  <c r="C224" i="152"/>
  <c r="I225" i="152"/>
  <c r="D225" i="152"/>
  <c r="J225" i="152"/>
  <c r="E225" i="152"/>
  <c r="F225" i="152"/>
  <c r="C225" i="152"/>
  <c r="I226" i="152"/>
  <c r="D226" i="152"/>
  <c r="J226" i="152"/>
  <c r="E226" i="152"/>
  <c r="F226" i="152"/>
  <c r="C226" i="152"/>
  <c r="I227" i="152"/>
  <c r="D227" i="152"/>
  <c r="J227" i="152"/>
  <c r="E227" i="152"/>
  <c r="F227" i="152"/>
  <c r="C227" i="152"/>
  <c r="I228" i="152"/>
  <c r="D228" i="152"/>
  <c r="J228" i="152"/>
  <c r="E228" i="152"/>
  <c r="F228" i="152"/>
  <c r="C228" i="152"/>
  <c r="I229" i="152"/>
  <c r="D229" i="152"/>
  <c r="J229" i="152"/>
  <c r="E229" i="152"/>
  <c r="F229" i="152"/>
  <c r="C229" i="152"/>
  <c r="I230" i="152"/>
  <c r="D230" i="152"/>
  <c r="J230" i="152"/>
  <c r="E230" i="152"/>
  <c r="F230" i="152"/>
  <c r="C230" i="152"/>
  <c r="I231" i="152"/>
  <c r="D231" i="152"/>
  <c r="J231" i="152"/>
  <c r="E231" i="152"/>
  <c r="F231" i="152"/>
  <c r="C231" i="152"/>
  <c r="I232" i="152"/>
  <c r="D232" i="152"/>
  <c r="J232" i="152"/>
  <c r="E232" i="152"/>
  <c r="F232" i="152"/>
  <c r="C232" i="152"/>
  <c r="I233" i="152"/>
  <c r="D233" i="152"/>
  <c r="J233" i="152"/>
  <c r="E233" i="152"/>
  <c r="F233" i="152"/>
  <c r="C233" i="152"/>
  <c r="I234" i="152"/>
  <c r="D234" i="152"/>
  <c r="J234" i="152"/>
  <c r="E234" i="152"/>
  <c r="F234" i="152"/>
  <c r="C234" i="152"/>
  <c r="I235" i="152"/>
  <c r="D235" i="152"/>
  <c r="J235" i="152"/>
  <c r="E235" i="152"/>
  <c r="F235" i="152"/>
  <c r="C235" i="152"/>
  <c r="I236" i="152"/>
  <c r="D236" i="152"/>
  <c r="J236" i="152"/>
  <c r="E236" i="152"/>
  <c r="F236" i="152"/>
  <c r="C236" i="152"/>
  <c r="I237" i="152"/>
  <c r="D237" i="152"/>
  <c r="J237" i="152"/>
  <c r="E237" i="152"/>
  <c r="F237" i="152"/>
  <c r="C237" i="152"/>
  <c r="I238" i="152"/>
  <c r="D238" i="152"/>
  <c r="J238" i="152"/>
  <c r="E238" i="152"/>
  <c r="F238" i="152"/>
  <c r="C238" i="152"/>
  <c r="I239" i="152"/>
  <c r="D239" i="152"/>
  <c r="J239" i="152"/>
  <c r="E239" i="152"/>
  <c r="F239" i="152"/>
  <c r="C239" i="152"/>
  <c r="I240" i="152"/>
  <c r="D240" i="152"/>
  <c r="J240" i="152"/>
  <c r="E240" i="152"/>
  <c r="F240" i="152"/>
  <c r="C240" i="152"/>
  <c r="I241" i="152"/>
  <c r="D241" i="152"/>
  <c r="J241" i="152"/>
  <c r="E241" i="152"/>
  <c r="F241" i="152"/>
  <c r="C241" i="152"/>
  <c r="I242" i="152"/>
  <c r="D242" i="152"/>
  <c r="J242" i="152"/>
  <c r="E242" i="152"/>
  <c r="F242" i="152"/>
  <c r="C242" i="152"/>
  <c r="I243" i="152"/>
  <c r="D243" i="152"/>
  <c r="J243" i="152"/>
  <c r="E243" i="152"/>
  <c r="F243" i="152"/>
  <c r="C243" i="152"/>
  <c r="I244" i="152"/>
  <c r="D244" i="152"/>
  <c r="J244" i="152"/>
  <c r="E244" i="152"/>
  <c r="F244" i="152"/>
  <c r="C244" i="152"/>
  <c r="I245" i="152"/>
  <c r="D245" i="152"/>
  <c r="J245" i="152"/>
  <c r="E245" i="152"/>
  <c r="F245" i="152"/>
  <c r="C245" i="152"/>
  <c r="I246" i="152"/>
  <c r="D246" i="152"/>
  <c r="J246" i="152"/>
  <c r="E246" i="152"/>
  <c r="F246" i="152"/>
  <c r="C246" i="152"/>
  <c r="I247" i="152"/>
  <c r="D247" i="152"/>
  <c r="J247" i="152"/>
  <c r="E247" i="152"/>
  <c r="F247" i="152"/>
  <c r="C247" i="152"/>
  <c r="I248" i="152"/>
  <c r="D248" i="152"/>
  <c r="J248" i="152"/>
  <c r="E248" i="152"/>
  <c r="F248" i="152"/>
  <c r="C248" i="152"/>
  <c r="I249" i="152"/>
  <c r="D249" i="152"/>
  <c r="J249" i="152"/>
  <c r="E249" i="152"/>
  <c r="F249" i="152"/>
  <c r="C249" i="152"/>
  <c r="I250" i="152"/>
  <c r="D250" i="152"/>
  <c r="J250" i="152"/>
  <c r="E250" i="152"/>
  <c r="F250" i="152"/>
  <c r="C250" i="152"/>
  <c r="I251" i="152"/>
  <c r="D251" i="152"/>
  <c r="J251" i="152"/>
  <c r="E251" i="152"/>
  <c r="F251" i="152"/>
  <c r="C251" i="152"/>
  <c r="I252" i="152"/>
  <c r="D252" i="152"/>
  <c r="J252" i="152"/>
  <c r="E252" i="152"/>
  <c r="F252" i="152"/>
  <c r="C252" i="152"/>
  <c r="I253" i="152"/>
  <c r="D253" i="152"/>
  <c r="J253" i="152"/>
  <c r="E253" i="152"/>
  <c r="F253" i="152"/>
  <c r="C253" i="152"/>
  <c r="I254" i="152"/>
  <c r="D254" i="152"/>
  <c r="J254" i="152"/>
  <c r="E254" i="152"/>
  <c r="F254" i="152"/>
  <c r="C254" i="152"/>
  <c r="I255" i="152"/>
  <c r="D255" i="152"/>
  <c r="J255" i="152"/>
  <c r="E255" i="152"/>
  <c r="F255" i="152"/>
  <c r="C255" i="152"/>
  <c r="I256" i="152"/>
  <c r="D256" i="152"/>
  <c r="J256" i="152"/>
  <c r="E256" i="152"/>
  <c r="F256" i="152"/>
  <c r="C256" i="152"/>
  <c r="I257" i="152"/>
  <c r="D257" i="152"/>
  <c r="J257" i="152"/>
  <c r="E257" i="152"/>
  <c r="F257" i="152"/>
  <c r="C257" i="152"/>
  <c r="I258" i="152"/>
  <c r="D258" i="152"/>
  <c r="J258" i="152"/>
  <c r="E258" i="152"/>
  <c r="F258" i="152"/>
  <c r="C258" i="152"/>
  <c r="I259" i="152"/>
  <c r="D259" i="152"/>
  <c r="J259" i="152"/>
  <c r="E259" i="152"/>
  <c r="F259" i="152"/>
  <c r="C259" i="152"/>
  <c r="I260" i="152"/>
  <c r="D260" i="152"/>
  <c r="J260" i="152"/>
  <c r="E260" i="152"/>
  <c r="F260" i="152"/>
  <c r="C260" i="152"/>
  <c r="I261" i="152"/>
  <c r="D261" i="152"/>
  <c r="J261" i="152"/>
  <c r="E261" i="152"/>
  <c r="F261" i="152"/>
  <c r="C261" i="152"/>
  <c r="I262" i="152"/>
  <c r="D262" i="152"/>
  <c r="J262" i="152"/>
  <c r="E262" i="152"/>
  <c r="F262" i="152"/>
  <c r="C262" i="152"/>
  <c r="I263" i="152"/>
  <c r="D263" i="152"/>
  <c r="J263" i="152"/>
  <c r="E263" i="152"/>
  <c r="F263" i="152"/>
  <c r="C263" i="152"/>
  <c r="I264" i="152"/>
  <c r="D264" i="152"/>
  <c r="J264" i="152"/>
  <c r="E264" i="152"/>
  <c r="F264" i="152"/>
  <c r="C264" i="152"/>
  <c r="I265" i="152"/>
  <c r="D265" i="152"/>
  <c r="J265" i="152"/>
  <c r="E265" i="152"/>
  <c r="F265" i="152"/>
  <c r="C265" i="152"/>
  <c r="I266" i="152"/>
  <c r="D266" i="152"/>
  <c r="J266" i="152"/>
  <c r="E266" i="152"/>
  <c r="F266" i="152"/>
  <c r="C266" i="152"/>
  <c r="I267" i="152"/>
  <c r="D267" i="152"/>
  <c r="J267" i="152"/>
  <c r="E267" i="152"/>
  <c r="F267" i="152"/>
  <c r="C267" i="152"/>
  <c r="I268" i="152"/>
  <c r="D268" i="152"/>
  <c r="J268" i="152"/>
  <c r="E268" i="152"/>
  <c r="F268" i="152"/>
  <c r="C268" i="152"/>
  <c r="I269" i="152"/>
  <c r="D269" i="152"/>
  <c r="J269" i="152"/>
  <c r="E269" i="152"/>
  <c r="F269" i="152"/>
  <c r="C269" i="152"/>
  <c r="I270" i="152"/>
  <c r="D270" i="152"/>
  <c r="J270" i="152"/>
  <c r="E270" i="152"/>
  <c r="F270" i="152"/>
  <c r="C270" i="152"/>
  <c r="I271" i="152"/>
  <c r="D271" i="152"/>
  <c r="J271" i="152"/>
  <c r="E271" i="152"/>
  <c r="F271" i="152"/>
  <c r="C271" i="152"/>
  <c r="I272" i="152"/>
  <c r="D272" i="152"/>
  <c r="J272" i="152"/>
  <c r="E272" i="152"/>
  <c r="F272" i="152"/>
  <c r="C272" i="152"/>
  <c r="I273" i="152"/>
  <c r="D273" i="152"/>
  <c r="J273" i="152"/>
  <c r="E273" i="152"/>
  <c r="F273" i="152"/>
  <c r="C273" i="152"/>
  <c r="I274" i="152"/>
  <c r="D274" i="152"/>
  <c r="J274" i="152"/>
  <c r="E274" i="152"/>
  <c r="F274" i="152"/>
  <c r="C274" i="152"/>
  <c r="I275" i="152"/>
  <c r="D275" i="152"/>
  <c r="J275" i="152"/>
  <c r="E275" i="152"/>
  <c r="F275" i="152"/>
  <c r="C275" i="152"/>
  <c r="I276" i="152"/>
  <c r="D276" i="152"/>
  <c r="J276" i="152"/>
  <c r="E276" i="152"/>
  <c r="F276" i="152"/>
  <c r="C276" i="152"/>
  <c r="I277" i="152"/>
  <c r="D277" i="152"/>
  <c r="J277" i="152"/>
  <c r="E277" i="152"/>
  <c r="F277" i="152"/>
  <c r="C277" i="152"/>
  <c r="I278" i="152"/>
  <c r="D278" i="152"/>
  <c r="J278" i="152"/>
  <c r="E278" i="152"/>
  <c r="F278" i="152"/>
  <c r="C278" i="152"/>
  <c r="I279" i="152"/>
  <c r="D279" i="152"/>
  <c r="J279" i="152"/>
  <c r="E279" i="152"/>
  <c r="F279" i="152"/>
  <c r="C279" i="152"/>
  <c r="I280" i="152"/>
  <c r="D280" i="152"/>
  <c r="J280" i="152"/>
  <c r="E280" i="152"/>
  <c r="F280" i="152"/>
  <c r="C280" i="152"/>
  <c r="I281" i="152"/>
  <c r="D281" i="152"/>
  <c r="J281" i="152"/>
  <c r="E281" i="152"/>
  <c r="F281" i="152"/>
  <c r="C281" i="152"/>
  <c r="I282" i="152"/>
  <c r="D282" i="152"/>
  <c r="J282" i="152"/>
  <c r="E282" i="152"/>
  <c r="F282" i="152"/>
  <c r="C282" i="152"/>
  <c r="I283" i="152"/>
  <c r="D283" i="152"/>
  <c r="J283" i="152"/>
  <c r="E283" i="152"/>
  <c r="F283" i="152"/>
  <c r="C283" i="152"/>
  <c r="F5" i="151"/>
  <c r="F6" i="151"/>
  <c r="A36" i="151"/>
  <c r="G31" i="151"/>
  <c r="Q3" i="151"/>
  <c r="Q4" i="151"/>
  <c r="Q5" i="151"/>
  <c r="Q6" i="151"/>
  <c r="Q7" i="151"/>
  <c r="Q8" i="151"/>
  <c r="Q9" i="151"/>
  <c r="Q10" i="151"/>
  <c r="Q11" i="151"/>
  <c r="Q12" i="151"/>
  <c r="Q13" i="151"/>
  <c r="Q14" i="151"/>
  <c r="Q15" i="151"/>
  <c r="Q16" i="151"/>
  <c r="Q17" i="151"/>
  <c r="Q18" i="151"/>
  <c r="Q19" i="151"/>
  <c r="Q20" i="151"/>
  <c r="E31" i="151"/>
  <c r="H31" i="151"/>
  <c r="O284" i="152"/>
  <c r="E6" i="151"/>
  <c r="E19" i="151"/>
  <c r="B19" i="151"/>
  <c r="E5" i="151"/>
  <c r="E24" i="151"/>
  <c r="B24" i="151"/>
  <c r="B17" i="151"/>
  <c r="G17" i="151"/>
  <c r="E17" i="151"/>
  <c r="H17" i="151"/>
  <c r="O2" i="152"/>
  <c r="E18" i="151"/>
  <c r="B18" i="151"/>
  <c r="G18" i="151"/>
  <c r="H18" i="151"/>
  <c r="O3" i="152"/>
  <c r="O4" i="152"/>
  <c r="O5" i="152"/>
  <c r="O6" i="152"/>
  <c r="O7" i="152"/>
  <c r="O8" i="152"/>
  <c r="O9" i="152"/>
  <c r="O10" i="152"/>
  <c r="O11" i="152"/>
  <c r="O12" i="152"/>
  <c r="O13" i="152"/>
  <c r="O14" i="152"/>
  <c r="O15" i="152"/>
  <c r="O16" i="152"/>
  <c r="O17" i="152"/>
  <c r="O18" i="152"/>
  <c r="O19" i="152"/>
  <c r="O20" i="152"/>
  <c r="O21" i="152"/>
  <c r="O22" i="152"/>
  <c r="O23" i="152"/>
  <c r="O24" i="152"/>
  <c r="O25" i="152"/>
  <c r="O26" i="152"/>
  <c r="O27" i="152"/>
  <c r="O28" i="152"/>
  <c r="O29" i="152"/>
  <c r="O30" i="152"/>
  <c r="O31" i="152"/>
  <c r="O32" i="152"/>
  <c r="O33" i="152"/>
  <c r="O34" i="152"/>
  <c r="O35" i="152"/>
  <c r="O36" i="152"/>
  <c r="O37" i="152"/>
  <c r="O38" i="152"/>
  <c r="O39" i="152"/>
  <c r="O40" i="152"/>
  <c r="O41" i="152"/>
  <c r="G24" i="151"/>
  <c r="H24" i="151"/>
  <c r="O42" i="152"/>
  <c r="E25" i="151"/>
  <c r="B25" i="151"/>
  <c r="G25" i="151"/>
  <c r="H25" i="151"/>
  <c r="O43" i="152"/>
  <c r="E26" i="151"/>
  <c r="B26" i="151"/>
  <c r="G26" i="151"/>
  <c r="H26" i="151"/>
  <c r="O44" i="152"/>
  <c r="O45" i="152"/>
  <c r="O46" i="152"/>
  <c r="O47" i="152"/>
  <c r="O48" i="152"/>
  <c r="O49" i="152"/>
  <c r="O50" i="152"/>
  <c r="G19" i="151"/>
  <c r="H19" i="151"/>
  <c r="O51" i="152"/>
  <c r="E20" i="151"/>
  <c r="B20" i="151"/>
  <c r="G20" i="151"/>
  <c r="H20" i="151"/>
  <c r="O52" i="152"/>
  <c r="E21" i="151"/>
  <c r="B21" i="151"/>
  <c r="G21" i="151"/>
  <c r="H21" i="151"/>
  <c r="O53" i="152"/>
  <c r="O54" i="152"/>
  <c r="O55" i="152"/>
  <c r="O56" i="152"/>
  <c r="O57" i="152"/>
  <c r="O58" i="152"/>
  <c r="O59" i="152"/>
  <c r="O60" i="152"/>
  <c r="O61" i="152"/>
  <c r="O62" i="152"/>
  <c r="O63" i="152"/>
  <c r="O64" i="152"/>
  <c r="O65" i="152"/>
  <c r="O66" i="152"/>
  <c r="O67" i="152"/>
  <c r="O68" i="152"/>
  <c r="O69" i="152"/>
  <c r="O70" i="152"/>
  <c r="O71" i="152"/>
  <c r="O72" i="152"/>
  <c r="O73" i="152"/>
  <c r="O74" i="152"/>
  <c r="O75" i="152"/>
  <c r="O76" i="152"/>
  <c r="O77" i="152"/>
  <c r="O78" i="152"/>
  <c r="O79" i="152"/>
  <c r="O80" i="152"/>
  <c r="O81" i="152"/>
  <c r="O82" i="152"/>
  <c r="O83" i="152"/>
  <c r="O84" i="152"/>
  <c r="O85" i="152"/>
  <c r="O86" i="152"/>
  <c r="O87" i="152"/>
  <c r="O88" i="152"/>
  <c r="O89" i="152"/>
  <c r="O90" i="152"/>
  <c r="O91" i="152"/>
  <c r="O92" i="152"/>
  <c r="O93" i="152"/>
  <c r="O94" i="152"/>
  <c r="O95" i="152"/>
  <c r="O96" i="152"/>
  <c r="O97" i="152"/>
  <c r="O98" i="152"/>
  <c r="O99" i="152"/>
  <c r="O100" i="152"/>
  <c r="O101" i="152"/>
  <c r="O102" i="152"/>
  <c r="O103" i="152"/>
  <c r="O104" i="152"/>
  <c r="O105" i="152"/>
  <c r="O106" i="152"/>
  <c r="O107" i="152"/>
  <c r="O108" i="152"/>
  <c r="O109" i="152"/>
  <c r="O110" i="152"/>
  <c r="O111" i="152"/>
  <c r="O112" i="152"/>
  <c r="O113" i="152"/>
  <c r="O114" i="152"/>
  <c r="O115" i="152"/>
  <c r="O116" i="152"/>
  <c r="O117" i="152"/>
  <c r="O118" i="152"/>
  <c r="O119" i="152"/>
  <c r="O120" i="152"/>
  <c r="O121" i="152"/>
  <c r="O122" i="152"/>
  <c r="O123" i="152"/>
  <c r="O124" i="152"/>
  <c r="O125" i="152"/>
  <c r="O126" i="152"/>
  <c r="O127" i="152"/>
  <c r="O128" i="152"/>
  <c r="O129" i="152"/>
  <c r="O130" i="152"/>
  <c r="O131" i="152"/>
  <c r="O132" i="152"/>
  <c r="O133" i="152"/>
  <c r="O134" i="152"/>
  <c r="O135" i="152"/>
  <c r="O136" i="152"/>
  <c r="O137" i="152"/>
  <c r="E27" i="151"/>
  <c r="B27" i="151"/>
  <c r="G27" i="151"/>
  <c r="H27" i="151"/>
  <c r="O138" i="152"/>
  <c r="E28" i="151"/>
  <c r="B28" i="151"/>
  <c r="G28" i="151"/>
  <c r="H28" i="151"/>
  <c r="O139" i="152"/>
  <c r="O140" i="152"/>
  <c r="O141" i="152"/>
  <c r="O142" i="152"/>
  <c r="O143" i="152"/>
  <c r="O144" i="152"/>
  <c r="O145" i="152"/>
  <c r="O146" i="152"/>
  <c r="O147" i="152"/>
  <c r="O148" i="152"/>
  <c r="O149" i="152"/>
  <c r="O150" i="152"/>
  <c r="O151" i="152"/>
  <c r="O152" i="152"/>
  <c r="O153" i="152"/>
  <c r="O154" i="152"/>
  <c r="O155" i="152"/>
  <c r="O156" i="152"/>
  <c r="O157" i="152"/>
  <c r="O158" i="152"/>
  <c r="O159" i="152"/>
  <c r="O160" i="152"/>
  <c r="O161" i="152"/>
  <c r="O162" i="152"/>
  <c r="O163" i="152"/>
  <c r="O164" i="152"/>
  <c r="O165" i="152"/>
  <c r="O166" i="152"/>
  <c r="O167" i="152"/>
  <c r="O168" i="152"/>
  <c r="O169" i="152"/>
  <c r="O170" i="152"/>
  <c r="O171" i="152"/>
  <c r="O172" i="152"/>
  <c r="O173" i="152"/>
  <c r="O174" i="152"/>
  <c r="O175" i="152"/>
  <c r="O176" i="152"/>
  <c r="O177" i="152"/>
  <c r="O178" i="152"/>
  <c r="O179" i="152"/>
  <c r="O180" i="152"/>
  <c r="O181" i="152"/>
  <c r="O182" i="152"/>
  <c r="O183" i="152"/>
  <c r="O184" i="152"/>
  <c r="O185" i="152"/>
  <c r="O186" i="152"/>
  <c r="O187" i="152"/>
  <c r="O188" i="152"/>
  <c r="O189" i="152"/>
  <c r="O190" i="152"/>
  <c r="O191" i="152"/>
  <c r="O192" i="152"/>
  <c r="O193" i="152"/>
  <c r="O194" i="152"/>
  <c r="O195" i="152"/>
  <c r="O196" i="152"/>
  <c r="O197" i="152"/>
  <c r="O198" i="152"/>
  <c r="O199" i="152"/>
  <c r="O200" i="152"/>
  <c r="O201" i="152"/>
  <c r="O202" i="152"/>
  <c r="O203" i="152"/>
  <c r="O204" i="152"/>
  <c r="O205" i="152"/>
  <c r="O206" i="152"/>
  <c r="O207" i="152"/>
  <c r="O208" i="152"/>
  <c r="O209" i="152"/>
  <c r="O210" i="152"/>
  <c r="O211" i="152"/>
  <c r="O212" i="152"/>
  <c r="O213" i="152"/>
  <c r="O214" i="152"/>
  <c r="O215" i="152"/>
  <c r="O216" i="152"/>
  <c r="O217" i="152"/>
  <c r="O218" i="152"/>
  <c r="O219" i="152"/>
  <c r="O220" i="152"/>
  <c r="O221" i="152"/>
  <c r="O222" i="152"/>
  <c r="O223" i="152"/>
  <c r="O224" i="152"/>
  <c r="O225" i="152"/>
  <c r="O226" i="152"/>
  <c r="O227" i="152"/>
  <c r="O228" i="152"/>
  <c r="O229" i="152"/>
  <c r="O230" i="152"/>
  <c r="O231" i="152"/>
  <c r="O232" i="152"/>
  <c r="O233" i="152"/>
  <c r="O234" i="152"/>
  <c r="O235" i="152"/>
  <c r="O236" i="152"/>
  <c r="O237" i="152"/>
  <c r="O238" i="152"/>
  <c r="O239" i="152"/>
  <c r="O240" i="152"/>
  <c r="O241" i="152"/>
  <c r="O242" i="152"/>
  <c r="O243" i="152"/>
  <c r="O244" i="152"/>
  <c r="O245" i="152"/>
  <c r="O246" i="152"/>
  <c r="O247" i="152"/>
  <c r="O248" i="152"/>
  <c r="O249" i="152"/>
  <c r="O250" i="152"/>
  <c r="O251" i="152"/>
  <c r="O252" i="152"/>
  <c r="O253" i="152"/>
  <c r="O254" i="152"/>
  <c r="O255" i="152"/>
  <c r="E22" i="151"/>
  <c r="E29" i="151"/>
  <c r="B29" i="151"/>
  <c r="B23" i="151"/>
  <c r="B22" i="151"/>
  <c r="G22" i="151"/>
  <c r="H22" i="151"/>
  <c r="O256" i="152"/>
  <c r="G23" i="151"/>
  <c r="E23" i="151"/>
  <c r="H23" i="151"/>
  <c r="O257" i="152"/>
  <c r="O258" i="152"/>
  <c r="O259" i="152"/>
  <c r="G29" i="151"/>
  <c r="H29" i="151"/>
  <c r="O260" i="152"/>
  <c r="O261" i="152"/>
  <c r="O262" i="152"/>
  <c r="O263" i="152"/>
  <c r="O264" i="152"/>
  <c r="O265" i="152"/>
  <c r="O266" i="152"/>
  <c r="O267" i="152"/>
  <c r="O268" i="152"/>
  <c r="O269" i="152"/>
  <c r="O270" i="152"/>
  <c r="O271" i="152"/>
  <c r="O272" i="152"/>
  <c r="O273" i="152"/>
  <c r="O274" i="152"/>
  <c r="O275" i="152"/>
  <c r="O276" i="152"/>
  <c r="O277" i="152"/>
  <c r="O278" i="152"/>
  <c r="O279" i="152"/>
  <c r="O280" i="152"/>
  <c r="O281" i="152"/>
  <c r="O282" i="152"/>
  <c r="O283" i="152"/>
  <c r="G30" i="151"/>
  <c r="E30" i="151"/>
  <c r="H30" i="151"/>
  <c r="P284" i="152"/>
  <c r="A2" i="149"/>
  <c r="A284" i="150"/>
  <c r="I284" i="150"/>
  <c r="D284" i="150"/>
  <c r="J284" i="150"/>
  <c r="E284" i="150"/>
  <c r="F284" i="150"/>
  <c r="C284" i="150"/>
  <c r="H284" i="150"/>
  <c r="K284" i="150"/>
  <c r="L284" i="150"/>
  <c r="M284" i="150"/>
  <c r="N284" i="150"/>
  <c r="I2" i="150"/>
  <c r="D2" i="150"/>
  <c r="J2" i="150"/>
  <c r="E2" i="150"/>
  <c r="F2" i="150"/>
  <c r="C2" i="150"/>
  <c r="I3" i="150"/>
  <c r="D3" i="150"/>
  <c r="J3" i="150"/>
  <c r="E3" i="150"/>
  <c r="F3" i="150"/>
  <c r="C3" i="150"/>
  <c r="I4" i="150"/>
  <c r="D4" i="150"/>
  <c r="J4" i="150"/>
  <c r="E4" i="150"/>
  <c r="F4" i="150"/>
  <c r="C4" i="150"/>
  <c r="I5" i="150"/>
  <c r="D5" i="150"/>
  <c r="J5" i="150"/>
  <c r="E5" i="150"/>
  <c r="F5" i="150"/>
  <c r="C5" i="150"/>
  <c r="I6" i="150"/>
  <c r="D6" i="150"/>
  <c r="J6" i="150"/>
  <c r="E6" i="150"/>
  <c r="F6" i="150"/>
  <c r="C6" i="150"/>
  <c r="I7" i="150"/>
  <c r="D7" i="150"/>
  <c r="J7" i="150"/>
  <c r="E7" i="150"/>
  <c r="F7" i="150"/>
  <c r="C7" i="150"/>
  <c r="I8" i="150"/>
  <c r="D8" i="150"/>
  <c r="J8" i="150"/>
  <c r="E8" i="150"/>
  <c r="F8" i="150"/>
  <c r="C8" i="150"/>
  <c r="I9" i="150"/>
  <c r="D9" i="150"/>
  <c r="J9" i="150"/>
  <c r="E9" i="150"/>
  <c r="F9" i="150"/>
  <c r="C9" i="150"/>
  <c r="I10" i="150"/>
  <c r="D10" i="150"/>
  <c r="J10" i="150"/>
  <c r="E10" i="150"/>
  <c r="F10" i="150"/>
  <c r="C10" i="150"/>
  <c r="I11" i="150"/>
  <c r="D11" i="150"/>
  <c r="J11" i="150"/>
  <c r="E11" i="150"/>
  <c r="F11" i="150"/>
  <c r="C11" i="150"/>
  <c r="I12" i="150"/>
  <c r="D12" i="150"/>
  <c r="J12" i="150"/>
  <c r="E12" i="150"/>
  <c r="F12" i="150"/>
  <c r="C12" i="150"/>
  <c r="I13" i="150"/>
  <c r="D13" i="150"/>
  <c r="J13" i="150"/>
  <c r="E13" i="150"/>
  <c r="F13" i="150"/>
  <c r="C13" i="150"/>
  <c r="I14" i="150"/>
  <c r="D14" i="150"/>
  <c r="J14" i="150"/>
  <c r="E14" i="150"/>
  <c r="F14" i="150"/>
  <c r="C14" i="150"/>
  <c r="I15" i="150"/>
  <c r="D15" i="150"/>
  <c r="J15" i="150"/>
  <c r="E15" i="150"/>
  <c r="F15" i="150"/>
  <c r="C15" i="150"/>
  <c r="I16" i="150"/>
  <c r="D16" i="150"/>
  <c r="J16" i="150"/>
  <c r="E16" i="150"/>
  <c r="F16" i="150"/>
  <c r="C16" i="150"/>
  <c r="I17" i="150"/>
  <c r="D17" i="150"/>
  <c r="J17" i="150"/>
  <c r="E17" i="150"/>
  <c r="F17" i="150"/>
  <c r="C17" i="150"/>
  <c r="I18" i="150"/>
  <c r="D18" i="150"/>
  <c r="J18" i="150"/>
  <c r="E18" i="150"/>
  <c r="F18" i="150"/>
  <c r="C18" i="150"/>
  <c r="I19" i="150"/>
  <c r="D19" i="150"/>
  <c r="J19" i="150"/>
  <c r="E19" i="150"/>
  <c r="F19" i="150"/>
  <c r="C19" i="150"/>
  <c r="I20" i="150"/>
  <c r="D20" i="150"/>
  <c r="J20" i="150"/>
  <c r="E20" i="150"/>
  <c r="F20" i="150"/>
  <c r="C20" i="150"/>
  <c r="I21" i="150"/>
  <c r="D21" i="150"/>
  <c r="J21" i="150"/>
  <c r="E21" i="150"/>
  <c r="F21" i="150"/>
  <c r="C21" i="150"/>
  <c r="I22" i="150"/>
  <c r="D22" i="150"/>
  <c r="J22" i="150"/>
  <c r="E22" i="150"/>
  <c r="F22" i="150"/>
  <c r="C22" i="150"/>
  <c r="I23" i="150"/>
  <c r="D23" i="150"/>
  <c r="J23" i="150"/>
  <c r="E23" i="150"/>
  <c r="F23" i="150"/>
  <c r="C23" i="150"/>
  <c r="I24" i="150"/>
  <c r="D24" i="150"/>
  <c r="J24" i="150"/>
  <c r="E24" i="150"/>
  <c r="F24" i="150"/>
  <c r="C24" i="150"/>
  <c r="I25" i="150"/>
  <c r="D25" i="150"/>
  <c r="J25" i="150"/>
  <c r="E25" i="150"/>
  <c r="F25" i="150"/>
  <c r="C25" i="150"/>
  <c r="I26" i="150"/>
  <c r="D26" i="150"/>
  <c r="J26" i="150"/>
  <c r="E26" i="150"/>
  <c r="F26" i="150"/>
  <c r="C26" i="150"/>
  <c r="I27" i="150"/>
  <c r="D27" i="150"/>
  <c r="J27" i="150"/>
  <c r="E27" i="150"/>
  <c r="F27" i="150"/>
  <c r="C27" i="150"/>
  <c r="I28" i="150"/>
  <c r="D28" i="150"/>
  <c r="J28" i="150"/>
  <c r="E28" i="150"/>
  <c r="F28" i="150"/>
  <c r="C28" i="150"/>
  <c r="I29" i="150"/>
  <c r="D29" i="150"/>
  <c r="J29" i="150"/>
  <c r="E29" i="150"/>
  <c r="F29" i="150"/>
  <c r="C29" i="150"/>
  <c r="I30" i="150"/>
  <c r="D30" i="150"/>
  <c r="J30" i="150"/>
  <c r="E30" i="150"/>
  <c r="F30" i="150"/>
  <c r="C30" i="150"/>
  <c r="I31" i="150"/>
  <c r="D31" i="150"/>
  <c r="J31" i="150"/>
  <c r="E31" i="150"/>
  <c r="F31" i="150"/>
  <c r="C31" i="150"/>
  <c r="I32" i="150"/>
  <c r="D32" i="150"/>
  <c r="J32" i="150"/>
  <c r="E32" i="150"/>
  <c r="F32" i="150"/>
  <c r="C32" i="150"/>
  <c r="I33" i="150"/>
  <c r="D33" i="150"/>
  <c r="J33" i="150"/>
  <c r="E33" i="150"/>
  <c r="F33" i="150"/>
  <c r="C33" i="150"/>
  <c r="I34" i="150"/>
  <c r="D34" i="150"/>
  <c r="J34" i="150"/>
  <c r="E34" i="150"/>
  <c r="F34" i="150"/>
  <c r="C34" i="150"/>
  <c r="I35" i="150"/>
  <c r="D35" i="150"/>
  <c r="J35" i="150"/>
  <c r="E35" i="150"/>
  <c r="F35" i="150"/>
  <c r="C35" i="150"/>
  <c r="I36" i="150"/>
  <c r="D36" i="150"/>
  <c r="J36" i="150"/>
  <c r="E36" i="150"/>
  <c r="F36" i="150"/>
  <c r="C36" i="150"/>
  <c r="I37" i="150"/>
  <c r="D37" i="150"/>
  <c r="J37" i="150"/>
  <c r="E37" i="150"/>
  <c r="F37" i="150"/>
  <c r="C37" i="150"/>
  <c r="I38" i="150"/>
  <c r="D38" i="150"/>
  <c r="J38" i="150"/>
  <c r="E38" i="150"/>
  <c r="F38" i="150"/>
  <c r="C38" i="150"/>
  <c r="I39" i="150"/>
  <c r="D39" i="150"/>
  <c r="J39" i="150"/>
  <c r="E39" i="150"/>
  <c r="F39" i="150"/>
  <c r="C39" i="150"/>
  <c r="I40" i="150"/>
  <c r="D40" i="150"/>
  <c r="J40" i="150"/>
  <c r="E40" i="150"/>
  <c r="F40" i="150"/>
  <c r="C40" i="150"/>
  <c r="I41" i="150"/>
  <c r="D41" i="150"/>
  <c r="J41" i="150"/>
  <c r="E41" i="150"/>
  <c r="F41" i="150"/>
  <c r="C41" i="150"/>
  <c r="I42" i="150"/>
  <c r="D42" i="150"/>
  <c r="J42" i="150"/>
  <c r="E42" i="150"/>
  <c r="F42" i="150"/>
  <c r="C42" i="150"/>
  <c r="I43" i="150"/>
  <c r="D43" i="150"/>
  <c r="J43" i="150"/>
  <c r="E43" i="150"/>
  <c r="F43" i="150"/>
  <c r="C43" i="150"/>
  <c r="I44" i="150"/>
  <c r="D44" i="150"/>
  <c r="J44" i="150"/>
  <c r="E44" i="150"/>
  <c r="F44" i="150"/>
  <c r="C44" i="150"/>
  <c r="I45" i="150"/>
  <c r="D45" i="150"/>
  <c r="J45" i="150"/>
  <c r="E45" i="150"/>
  <c r="F45" i="150"/>
  <c r="C45" i="150"/>
  <c r="I46" i="150"/>
  <c r="D46" i="150"/>
  <c r="J46" i="150"/>
  <c r="E46" i="150"/>
  <c r="F46" i="150"/>
  <c r="C46" i="150"/>
  <c r="I47" i="150"/>
  <c r="D47" i="150"/>
  <c r="J47" i="150"/>
  <c r="E47" i="150"/>
  <c r="F47" i="150"/>
  <c r="C47" i="150"/>
  <c r="I48" i="150"/>
  <c r="D48" i="150"/>
  <c r="J48" i="150"/>
  <c r="E48" i="150"/>
  <c r="F48" i="150"/>
  <c r="C48" i="150"/>
  <c r="I49" i="150"/>
  <c r="D49" i="150"/>
  <c r="J49" i="150"/>
  <c r="E49" i="150"/>
  <c r="F49" i="150"/>
  <c r="C49" i="150"/>
  <c r="I50" i="150"/>
  <c r="D50" i="150"/>
  <c r="J50" i="150"/>
  <c r="E50" i="150"/>
  <c r="F50" i="150"/>
  <c r="C50" i="150"/>
  <c r="I51" i="150"/>
  <c r="D51" i="150"/>
  <c r="J51" i="150"/>
  <c r="E51" i="150"/>
  <c r="F51" i="150"/>
  <c r="C51" i="150"/>
  <c r="I52" i="150"/>
  <c r="D52" i="150"/>
  <c r="J52" i="150"/>
  <c r="E52" i="150"/>
  <c r="F52" i="150"/>
  <c r="C52" i="150"/>
  <c r="I53" i="150"/>
  <c r="D53" i="150"/>
  <c r="J53" i="150"/>
  <c r="E53" i="150"/>
  <c r="F53" i="150"/>
  <c r="C53" i="150"/>
  <c r="I54" i="150"/>
  <c r="D54" i="150"/>
  <c r="J54" i="150"/>
  <c r="E54" i="150"/>
  <c r="F54" i="150"/>
  <c r="C54" i="150"/>
  <c r="I55" i="150"/>
  <c r="D55" i="150"/>
  <c r="J55" i="150"/>
  <c r="E55" i="150"/>
  <c r="F55" i="150"/>
  <c r="C55" i="150"/>
  <c r="I56" i="150"/>
  <c r="D56" i="150"/>
  <c r="J56" i="150"/>
  <c r="E56" i="150"/>
  <c r="F56" i="150"/>
  <c r="C56" i="150"/>
  <c r="I57" i="150"/>
  <c r="D57" i="150"/>
  <c r="J57" i="150"/>
  <c r="E57" i="150"/>
  <c r="F57" i="150"/>
  <c r="C57" i="150"/>
  <c r="I58" i="150"/>
  <c r="D58" i="150"/>
  <c r="J58" i="150"/>
  <c r="E58" i="150"/>
  <c r="F58" i="150"/>
  <c r="C58" i="150"/>
  <c r="I59" i="150"/>
  <c r="D59" i="150"/>
  <c r="J59" i="150"/>
  <c r="E59" i="150"/>
  <c r="F59" i="150"/>
  <c r="C59" i="150"/>
  <c r="I60" i="150"/>
  <c r="D60" i="150"/>
  <c r="J60" i="150"/>
  <c r="E60" i="150"/>
  <c r="F60" i="150"/>
  <c r="C60" i="150"/>
  <c r="I61" i="150"/>
  <c r="D61" i="150"/>
  <c r="J61" i="150"/>
  <c r="E61" i="150"/>
  <c r="F61" i="150"/>
  <c r="C61" i="150"/>
  <c r="I62" i="150"/>
  <c r="D62" i="150"/>
  <c r="J62" i="150"/>
  <c r="E62" i="150"/>
  <c r="F62" i="150"/>
  <c r="C62" i="150"/>
  <c r="I63" i="150"/>
  <c r="D63" i="150"/>
  <c r="J63" i="150"/>
  <c r="E63" i="150"/>
  <c r="F63" i="150"/>
  <c r="C63" i="150"/>
  <c r="I64" i="150"/>
  <c r="D64" i="150"/>
  <c r="J64" i="150"/>
  <c r="E64" i="150"/>
  <c r="F64" i="150"/>
  <c r="C64" i="150"/>
  <c r="I65" i="150"/>
  <c r="D65" i="150"/>
  <c r="J65" i="150"/>
  <c r="E65" i="150"/>
  <c r="F65" i="150"/>
  <c r="C65" i="150"/>
  <c r="I66" i="150"/>
  <c r="D66" i="150"/>
  <c r="J66" i="150"/>
  <c r="E66" i="150"/>
  <c r="F66" i="150"/>
  <c r="C66" i="150"/>
  <c r="I67" i="150"/>
  <c r="D67" i="150"/>
  <c r="J67" i="150"/>
  <c r="E67" i="150"/>
  <c r="F67" i="150"/>
  <c r="C67" i="150"/>
  <c r="I68" i="150"/>
  <c r="D68" i="150"/>
  <c r="J68" i="150"/>
  <c r="E68" i="150"/>
  <c r="F68" i="150"/>
  <c r="C68" i="150"/>
  <c r="I69" i="150"/>
  <c r="D69" i="150"/>
  <c r="J69" i="150"/>
  <c r="E69" i="150"/>
  <c r="F69" i="150"/>
  <c r="C69" i="150"/>
  <c r="I70" i="150"/>
  <c r="D70" i="150"/>
  <c r="J70" i="150"/>
  <c r="E70" i="150"/>
  <c r="F70" i="150"/>
  <c r="C70" i="150"/>
  <c r="I71" i="150"/>
  <c r="D71" i="150"/>
  <c r="J71" i="150"/>
  <c r="E71" i="150"/>
  <c r="F71" i="150"/>
  <c r="C71" i="150"/>
  <c r="I72" i="150"/>
  <c r="D72" i="150"/>
  <c r="J72" i="150"/>
  <c r="E72" i="150"/>
  <c r="F72" i="150"/>
  <c r="C72" i="150"/>
  <c r="I73" i="150"/>
  <c r="D73" i="150"/>
  <c r="J73" i="150"/>
  <c r="E73" i="150"/>
  <c r="F73" i="150"/>
  <c r="C73" i="150"/>
  <c r="I74" i="150"/>
  <c r="D74" i="150"/>
  <c r="J74" i="150"/>
  <c r="E74" i="150"/>
  <c r="F74" i="150"/>
  <c r="C74" i="150"/>
  <c r="I75" i="150"/>
  <c r="D75" i="150"/>
  <c r="J75" i="150"/>
  <c r="E75" i="150"/>
  <c r="F75" i="150"/>
  <c r="C75" i="150"/>
  <c r="I76" i="150"/>
  <c r="D76" i="150"/>
  <c r="J76" i="150"/>
  <c r="E76" i="150"/>
  <c r="F76" i="150"/>
  <c r="C76" i="150"/>
  <c r="I77" i="150"/>
  <c r="D77" i="150"/>
  <c r="J77" i="150"/>
  <c r="E77" i="150"/>
  <c r="F77" i="150"/>
  <c r="C77" i="150"/>
  <c r="I78" i="150"/>
  <c r="D78" i="150"/>
  <c r="J78" i="150"/>
  <c r="E78" i="150"/>
  <c r="F78" i="150"/>
  <c r="C78" i="150"/>
  <c r="I79" i="150"/>
  <c r="D79" i="150"/>
  <c r="J79" i="150"/>
  <c r="E79" i="150"/>
  <c r="F79" i="150"/>
  <c r="C79" i="150"/>
  <c r="I80" i="150"/>
  <c r="D80" i="150"/>
  <c r="J80" i="150"/>
  <c r="E80" i="150"/>
  <c r="F80" i="150"/>
  <c r="C80" i="150"/>
  <c r="I81" i="150"/>
  <c r="D81" i="150"/>
  <c r="J81" i="150"/>
  <c r="E81" i="150"/>
  <c r="F81" i="150"/>
  <c r="C81" i="150"/>
  <c r="I82" i="150"/>
  <c r="D82" i="150"/>
  <c r="J82" i="150"/>
  <c r="E82" i="150"/>
  <c r="F82" i="150"/>
  <c r="C82" i="150"/>
  <c r="I83" i="150"/>
  <c r="D83" i="150"/>
  <c r="J83" i="150"/>
  <c r="E83" i="150"/>
  <c r="F83" i="150"/>
  <c r="C83" i="150"/>
  <c r="I84" i="150"/>
  <c r="D84" i="150"/>
  <c r="J84" i="150"/>
  <c r="E84" i="150"/>
  <c r="F84" i="150"/>
  <c r="C84" i="150"/>
  <c r="I85" i="150"/>
  <c r="D85" i="150"/>
  <c r="J85" i="150"/>
  <c r="E85" i="150"/>
  <c r="F85" i="150"/>
  <c r="C85" i="150"/>
  <c r="I86" i="150"/>
  <c r="D86" i="150"/>
  <c r="J86" i="150"/>
  <c r="E86" i="150"/>
  <c r="F86" i="150"/>
  <c r="C86" i="150"/>
  <c r="I87" i="150"/>
  <c r="D87" i="150"/>
  <c r="J87" i="150"/>
  <c r="E87" i="150"/>
  <c r="F87" i="150"/>
  <c r="C87" i="150"/>
  <c r="I88" i="150"/>
  <c r="D88" i="150"/>
  <c r="J88" i="150"/>
  <c r="E88" i="150"/>
  <c r="F88" i="150"/>
  <c r="C88" i="150"/>
  <c r="I89" i="150"/>
  <c r="D89" i="150"/>
  <c r="J89" i="150"/>
  <c r="E89" i="150"/>
  <c r="F89" i="150"/>
  <c r="C89" i="150"/>
  <c r="I90" i="150"/>
  <c r="D90" i="150"/>
  <c r="J90" i="150"/>
  <c r="E90" i="150"/>
  <c r="F90" i="150"/>
  <c r="C90" i="150"/>
  <c r="I91" i="150"/>
  <c r="D91" i="150"/>
  <c r="J91" i="150"/>
  <c r="E91" i="150"/>
  <c r="F91" i="150"/>
  <c r="C91" i="150"/>
  <c r="I92" i="150"/>
  <c r="D92" i="150"/>
  <c r="J92" i="150"/>
  <c r="E92" i="150"/>
  <c r="F92" i="150"/>
  <c r="C92" i="150"/>
  <c r="I93" i="150"/>
  <c r="D93" i="150"/>
  <c r="J93" i="150"/>
  <c r="E93" i="150"/>
  <c r="F93" i="150"/>
  <c r="C93" i="150"/>
  <c r="I94" i="150"/>
  <c r="D94" i="150"/>
  <c r="J94" i="150"/>
  <c r="E94" i="150"/>
  <c r="F94" i="150"/>
  <c r="C94" i="150"/>
  <c r="I95" i="150"/>
  <c r="D95" i="150"/>
  <c r="J95" i="150"/>
  <c r="E95" i="150"/>
  <c r="F95" i="150"/>
  <c r="C95" i="150"/>
  <c r="I96" i="150"/>
  <c r="D96" i="150"/>
  <c r="J96" i="150"/>
  <c r="E96" i="150"/>
  <c r="F96" i="150"/>
  <c r="C96" i="150"/>
  <c r="I97" i="150"/>
  <c r="D97" i="150"/>
  <c r="J97" i="150"/>
  <c r="E97" i="150"/>
  <c r="F97" i="150"/>
  <c r="C97" i="150"/>
  <c r="I98" i="150"/>
  <c r="D98" i="150"/>
  <c r="J98" i="150"/>
  <c r="E98" i="150"/>
  <c r="F98" i="150"/>
  <c r="C98" i="150"/>
  <c r="I99" i="150"/>
  <c r="D99" i="150"/>
  <c r="J99" i="150"/>
  <c r="E99" i="150"/>
  <c r="F99" i="150"/>
  <c r="C99" i="150"/>
  <c r="I100" i="150"/>
  <c r="D100" i="150"/>
  <c r="J100" i="150"/>
  <c r="E100" i="150"/>
  <c r="F100" i="150"/>
  <c r="C100" i="150"/>
  <c r="I101" i="150"/>
  <c r="D101" i="150"/>
  <c r="J101" i="150"/>
  <c r="E101" i="150"/>
  <c r="F101" i="150"/>
  <c r="C101" i="150"/>
  <c r="I102" i="150"/>
  <c r="D102" i="150"/>
  <c r="J102" i="150"/>
  <c r="E102" i="150"/>
  <c r="F102" i="150"/>
  <c r="C102" i="150"/>
  <c r="I103" i="150"/>
  <c r="D103" i="150"/>
  <c r="J103" i="150"/>
  <c r="E103" i="150"/>
  <c r="F103" i="150"/>
  <c r="C103" i="150"/>
  <c r="I104" i="150"/>
  <c r="D104" i="150"/>
  <c r="J104" i="150"/>
  <c r="E104" i="150"/>
  <c r="F104" i="150"/>
  <c r="C104" i="150"/>
  <c r="I105" i="150"/>
  <c r="D105" i="150"/>
  <c r="J105" i="150"/>
  <c r="E105" i="150"/>
  <c r="F105" i="150"/>
  <c r="C105" i="150"/>
  <c r="I106" i="150"/>
  <c r="D106" i="150"/>
  <c r="J106" i="150"/>
  <c r="E106" i="150"/>
  <c r="F106" i="150"/>
  <c r="C106" i="150"/>
  <c r="I107" i="150"/>
  <c r="D107" i="150"/>
  <c r="J107" i="150"/>
  <c r="E107" i="150"/>
  <c r="F107" i="150"/>
  <c r="C107" i="150"/>
  <c r="I108" i="150"/>
  <c r="D108" i="150"/>
  <c r="J108" i="150"/>
  <c r="E108" i="150"/>
  <c r="F108" i="150"/>
  <c r="C108" i="150"/>
  <c r="I109" i="150"/>
  <c r="D109" i="150"/>
  <c r="J109" i="150"/>
  <c r="E109" i="150"/>
  <c r="F109" i="150"/>
  <c r="C109" i="150"/>
  <c r="I110" i="150"/>
  <c r="D110" i="150"/>
  <c r="J110" i="150"/>
  <c r="E110" i="150"/>
  <c r="F110" i="150"/>
  <c r="C110" i="150"/>
  <c r="I111" i="150"/>
  <c r="D111" i="150"/>
  <c r="J111" i="150"/>
  <c r="E111" i="150"/>
  <c r="F111" i="150"/>
  <c r="C111" i="150"/>
  <c r="I112" i="150"/>
  <c r="D112" i="150"/>
  <c r="J112" i="150"/>
  <c r="E112" i="150"/>
  <c r="F112" i="150"/>
  <c r="C112" i="150"/>
  <c r="I113" i="150"/>
  <c r="D113" i="150"/>
  <c r="J113" i="150"/>
  <c r="E113" i="150"/>
  <c r="F113" i="150"/>
  <c r="C113" i="150"/>
  <c r="I114" i="150"/>
  <c r="D114" i="150"/>
  <c r="J114" i="150"/>
  <c r="E114" i="150"/>
  <c r="F114" i="150"/>
  <c r="C114" i="150"/>
  <c r="I115" i="150"/>
  <c r="D115" i="150"/>
  <c r="J115" i="150"/>
  <c r="E115" i="150"/>
  <c r="F115" i="150"/>
  <c r="C115" i="150"/>
  <c r="I116" i="150"/>
  <c r="D116" i="150"/>
  <c r="J116" i="150"/>
  <c r="E116" i="150"/>
  <c r="F116" i="150"/>
  <c r="C116" i="150"/>
  <c r="I117" i="150"/>
  <c r="D117" i="150"/>
  <c r="J117" i="150"/>
  <c r="E117" i="150"/>
  <c r="F117" i="150"/>
  <c r="C117" i="150"/>
  <c r="I118" i="150"/>
  <c r="D118" i="150"/>
  <c r="J118" i="150"/>
  <c r="E118" i="150"/>
  <c r="F118" i="150"/>
  <c r="C118" i="150"/>
  <c r="I119" i="150"/>
  <c r="D119" i="150"/>
  <c r="J119" i="150"/>
  <c r="E119" i="150"/>
  <c r="F119" i="150"/>
  <c r="C119" i="150"/>
  <c r="I120" i="150"/>
  <c r="D120" i="150"/>
  <c r="J120" i="150"/>
  <c r="E120" i="150"/>
  <c r="F120" i="150"/>
  <c r="C120" i="150"/>
  <c r="I121" i="150"/>
  <c r="D121" i="150"/>
  <c r="J121" i="150"/>
  <c r="E121" i="150"/>
  <c r="F121" i="150"/>
  <c r="C121" i="150"/>
  <c r="I122" i="150"/>
  <c r="D122" i="150"/>
  <c r="J122" i="150"/>
  <c r="E122" i="150"/>
  <c r="F122" i="150"/>
  <c r="C122" i="150"/>
  <c r="I123" i="150"/>
  <c r="D123" i="150"/>
  <c r="J123" i="150"/>
  <c r="E123" i="150"/>
  <c r="F123" i="150"/>
  <c r="C123" i="150"/>
  <c r="I124" i="150"/>
  <c r="D124" i="150"/>
  <c r="J124" i="150"/>
  <c r="E124" i="150"/>
  <c r="F124" i="150"/>
  <c r="C124" i="150"/>
  <c r="I125" i="150"/>
  <c r="D125" i="150"/>
  <c r="J125" i="150"/>
  <c r="E125" i="150"/>
  <c r="F125" i="150"/>
  <c r="C125" i="150"/>
  <c r="I126" i="150"/>
  <c r="D126" i="150"/>
  <c r="J126" i="150"/>
  <c r="E126" i="150"/>
  <c r="F126" i="150"/>
  <c r="C126" i="150"/>
  <c r="I127" i="150"/>
  <c r="D127" i="150"/>
  <c r="J127" i="150"/>
  <c r="E127" i="150"/>
  <c r="F127" i="150"/>
  <c r="C127" i="150"/>
  <c r="I128" i="150"/>
  <c r="D128" i="150"/>
  <c r="J128" i="150"/>
  <c r="E128" i="150"/>
  <c r="F128" i="150"/>
  <c r="C128" i="150"/>
  <c r="I129" i="150"/>
  <c r="D129" i="150"/>
  <c r="J129" i="150"/>
  <c r="E129" i="150"/>
  <c r="F129" i="150"/>
  <c r="C129" i="150"/>
  <c r="I130" i="150"/>
  <c r="D130" i="150"/>
  <c r="J130" i="150"/>
  <c r="E130" i="150"/>
  <c r="F130" i="150"/>
  <c r="C130" i="150"/>
  <c r="I131" i="150"/>
  <c r="D131" i="150"/>
  <c r="J131" i="150"/>
  <c r="E131" i="150"/>
  <c r="F131" i="150"/>
  <c r="C131" i="150"/>
  <c r="I132" i="150"/>
  <c r="D132" i="150"/>
  <c r="J132" i="150"/>
  <c r="E132" i="150"/>
  <c r="F132" i="150"/>
  <c r="C132" i="150"/>
  <c r="I133" i="150"/>
  <c r="D133" i="150"/>
  <c r="J133" i="150"/>
  <c r="E133" i="150"/>
  <c r="F133" i="150"/>
  <c r="C133" i="150"/>
  <c r="I134" i="150"/>
  <c r="D134" i="150"/>
  <c r="J134" i="150"/>
  <c r="E134" i="150"/>
  <c r="F134" i="150"/>
  <c r="C134" i="150"/>
  <c r="I135" i="150"/>
  <c r="D135" i="150"/>
  <c r="J135" i="150"/>
  <c r="E135" i="150"/>
  <c r="F135" i="150"/>
  <c r="C135" i="150"/>
  <c r="I136" i="150"/>
  <c r="D136" i="150"/>
  <c r="J136" i="150"/>
  <c r="E136" i="150"/>
  <c r="F136" i="150"/>
  <c r="C136" i="150"/>
  <c r="I137" i="150"/>
  <c r="D137" i="150"/>
  <c r="J137" i="150"/>
  <c r="E137" i="150"/>
  <c r="F137" i="150"/>
  <c r="C137" i="150"/>
  <c r="I138" i="150"/>
  <c r="D138" i="150"/>
  <c r="J138" i="150"/>
  <c r="E138" i="150"/>
  <c r="F138" i="150"/>
  <c r="C138" i="150"/>
  <c r="I139" i="150"/>
  <c r="D139" i="150"/>
  <c r="J139" i="150"/>
  <c r="E139" i="150"/>
  <c r="F139" i="150"/>
  <c r="C139" i="150"/>
  <c r="I140" i="150"/>
  <c r="D140" i="150"/>
  <c r="J140" i="150"/>
  <c r="E140" i="150"/>
  <c r="F140" i="150"/>
  <c r="C140" i="150"/>
  <c r="I141" i="150"/>
  <c r="D141" i="150"/>
  <c r="J141" i="150"/>
  <c r="E141" i="150"/>
  <c r="F141" i="150"/>
  <c r="C141" i="150"/>
  <c r="I142" i="150"/>
  <c r="D142" i="150"/>
  <c r="J142" i="150"/>
  <c r="E142" i="150"/>
  <c r="F142" i="150"/>
  <c r="C142" i="150"/>
  <c r="I143" i="150"/>
  <c r="D143" i="150"/>
  <c r="J143" i="150"/>
  <c r="E143" i="150"/>
  <c r="F143" i="150"/>
  <c r="C143" i="150"/>
  <c r="I144" i="150"/>
  <c r="D144" i="150"/>
  <c r="J144" i="150"/>
  <c r="E144" i="150"/>
  <c r="F144" i="150"/>
  <c r="C144" i="150"/>
  <c r="I145" i="150"/>
  <c r="D145" i="150"/>
  <c r="J145" i="150"/>
  <c r="E145" i="150"/>
  <c r="F145" i="150"/>
  <c r="C145" i="150"/>
  <c r="I146" i="150"/>
  <c r="D146" i="150"/>
  <c r="J146" i="150"/>
  <c r="E146" i="150"/>
  <c r="F146" i="150"/>
  <c r="C146" i="150"/>
  <c r="I147" i="150"/>
  <c r="D147" i="150"/>
  <c r="J147" i="150"/>
  <c r="E147" i="150"/>
  <c r="F147" i="150"/>
  <c r="C147" i="150"/>
  <c r="I148" i="150"/>
  <c r="D148" i="150"/>
  <c r="J148" i="150"/>
  <c r="E148" i="150"/>
  <c r="F148" i="150"/>
  <c r="C148" i="150"/>
  <c r="I149" i="150"/>
  <c r="D149" i="150"/>
  <c r="J149" i="150"/>
  <c r="E149" i="150"/>
  <c r="F149" i="150"/>
  <c r="C149" i="150"/>
  <c r="I150" i="150"/>
  <c r="D150" i="150"/>
  <c r="J150" i="150"/>
  <c r="E150" i="150"/>
  <c r="F150" i="150"/>
  <c r="C150" i="150"/>
  <c r="I151" i="150"/>
  <c r="D151" i="150"/>
  <c r="J151" i="150"/>
  <c r="E151" i="150"/>
  <c r="F151" i="150"/>
  <c r="C151" i="150"/>
  <c r="I152" i="150"/>
  <c r="D152" i="150"/>
  <c r="J152" i="150"/>
  <c r="E152" i="150"/>
  <c r="F152" i="150"/>
  <c r="C152" i="150"/>
  <c r="I153" i="150"/>
  <c r="D153" i="150"/>
  <c r="J153" i="150"/>
  <c r="E153" i="150"/>
  <c r="F153" i="150"/>
  <c r="C153" i="150"/>
  <c r="I154" i="150"/>
  <c r="D154" i="150"/>
  <c r="J154" i="150"/>
  <c r="E154" i="150"/>
  <c r="F154" i="150"/>
  <c r="C154" i="150"/>
  <c r="I155" i="150"/>
  <c r="D155" i="150"/>
  <c r="J155" i="150"/>
  <c r="E155" i="150"/>
  <c r="F155" i="150"/>
  <c r="C155" i="150"/>
  <c r="I156" i="150"/>
  <c r="D156" i="150"/>
  <c r="J156" i="150"/>
  <c r="E156" i="150"/>
  <c r="F156" i="150"/>
  <c r="C156" i="150"/>
  <c r="I157" i="150"/>
  <c r="D157" i="150"/>
  <c r="J157" i="150"/>
  <c r="E157" i="150"/>
  <c r="F157" i="150"/>
  <c r="C157" i="150"/>
  <c r="I158" i="150"/>
  <c r="D158" i="150"/>
  <c r="J158" i="150"/>
  <c r="E158" i="150"/>
  <c r="F158" i="150"/>
  <c r="C158" i="150"/>
  <c r="I159" i="150"/>
  <c r="D159" i="150"/>
  <c r="J159" i="150"/>
  <c r="E159" i="150"/>
  <c r="F159" i="150"/>
  <c r="C159" i="150"/>
  <c r="I160" i="150"/>
  <c r="D160" i="150"/>
  <c r="J160" i="150"/>
  <c r="E160" i="150"/>
  <c r="F160" i="150"/>
  <c r="C160" i="150"/>
  <c r="I161" i="150"/>
  <c r="D161" i="150"/>
  <c r="J161" i="150"/>
  <c r="E161" i="150"/>
  <c r="F161" i="150"/>
  <c r="C161" i="150"/>
  <c r="I162" i="150"/>
  <c r="D162" i="150"/>
  <c r="J162" i="150"/>
  <c r="E162" i="150"/>
  <c r="F162" i="150"/>
  <c r="C162" i="150"/>
  <c r="I163" i="150"/>
  <c r="D163" i="150"/>
  <c r="J163" i="150"/>
  <c r="E163" i="150"/>
  <c r="F163" i="150"/>
  <c r="C163" i="150"/>
  <c r="I164" i="150"/>
  <c r="D164" i="150"/>
  <c r="J164" i="150"/>
  <c r="E164" i="150"/>
  <c r="F164" i="150"/>
  <c r="C164" i="150"/>
  <c r="I165" i="150"/>
  <c r="D165" i="150"/>
  <c r="J165" i="150"/>
  <c r="E165" i="150"/>
  <c r="F165" i="150"/>
  <c r="C165" i="150"/>
  <c r="I166" i="150"/>
  <c r="D166" i="150"/>
  <c r="J166" i="150"/>
  <c r="E166" i="150"/>
  <c r="F166" i="150"/>
  <c r="C166" i="150"/>
  <c r="I167" i="150"/>
  <c r="D167" i="150"/>
  <c r="J167" i="150"/>
  <c r="E167" i="150"/>
  <c r="F167" i="150"/>
  <c r="C167" i="150"/>
  <c r="I168" i="150"/>
  <c r="D168" i="150"/>
  <c r="J168" i="150"/>
  <c r="E168" i="150"/>
  <c r="F168" i="150"/>
  <c r="C168" i="150"/>
  <c r="I169" i="150"/>
  <c r="D169" i="150"/>
  <c r="J169" i="150"/>
  <c r="E169" i="150"/>
  <c r="F169" i="150"/>
  <c r="C169" i="150"/>
  <c r="I170" i="150"/>
  <c r="D170" i="150"/>
  <c r="J170" i="150"/>
  <c r="E170" i="150"/>
  <c r="F170" i="150"/>
  <c r="C170" i="150"/>
  <c r="I171" i="150"/>
  <c r="D171" i="150"/>
  <c r="J171" i="150"/>
  <c r="E171" i="150"/>
  <c r="F171" i="150"/>
  <c r="C171" i="150"/>
  <c r="I172" i="150"/>
  <c r="D172" i="150"/>
  <c r="J172" i="150"/>
  <c r="E172" i="150"/>
  <c r="F172" i="150"/>
  <c r="C172" i="150"/>
  <c r="I173" i="150"/>
  <c r="D173" i="150"/>
  <c r="J173" i="150"/>
  <c r="E173" i="150"/>
  <c r="F173" i="150"/>
  <c r="C173" i="150"/>
  <c r="I174" i="150"/>
  <c r="D174" i="150"/>
  <c r="J174" i="150"/>
  <c r="E174" i="150"/>
  <c r="F174" i="150"/>
  <c r="C174" i="150"/>
  <c r="I175" i="150"/>
  <c r="D175" i="150"/>
  <c r="J175" i="150"/>
  <c r="E175" i="150"/>
  <c r="F175" i="150"/>
  <c r="C175" i="150"/>
  <c r="I176" i="150"/>
  <c r="D176" i="150"/>
  <c r="J176" i="150"/>
  <c r="E176" i="150"/>
  <c r="F176" i="150"/>
  <c r="C176" i="150"/>
  <c r="I177" i="150"/>
  <c r="D177" i="150"/>
  <c r="J177" i="150"/>
  <c r="E177" i="150"/>
  <c r="F177" i="150"/>
  <c r="C177" i="150"/>
  <c r="I178" i="150"/>
  <c r="D178" i="150"/>
  <c r="J178" i="150"/>
  <c r="E178" i="150"/>
  <c r="F178" i="150"/>
  <c r="C178" i="150"/>
  <c r="I179" i="150"/>
  <c r="D179" i="150"/>
  <c r="J179" i="150"/>
  <c r="E179" i="150"/>
  <c r="F179" i="150"/>
  <c r="C179" i="150"/>
  <c r="I180" i="150"/>
  <c r="D180" i="150"/>
  <c r="J180" i="150"/>
  <c r="E180" i="150"/>
  <c r="F180" i="150"/>
  <c r="C180" i="150"/>
  <c r="I181" i="150"/>
  <c r="D181" i="150"/>
  <c r="J181" i="150"/>
  <c r="E181" i="150"/>
  <c r="F181" i="150"/>
  <c r="C181" i="150"/>
  <c r="I182" i="150"/>
  <c r="D182" i="150"/>
  <c r="J182" i="150"/>
  <c r="E182" i="150"/>
  <c r="F182" i="150"/>
  <c r="C182" i="150"/>
  <c r="I183" i="150"/>
  <c r="D183" i="150"/>
  <c r="J183" i="150"/>
  <c r="E183" i="150"/>
  <c r="F183" i="150"/>
  <c r="C183" i="150"/>
  <c r="I184" i="150"/>
  <c r="D184" i="150"/>
  <c r="J184" i="150"/>
  <c r="E184" i="150"/>
  <c r="F184" i="150"/>
  <c r="C184" i="150"/>
  <c r="I185" i="150"/>
  <c r="D185" i="150"/>
  <c r="J185" i="150"/>
  <c r="E185" i="150"/>
  <c r="F185" i="150"/>
  <c r="C185" i="150"/>
  <c r="I186" i="150"/>
  <c r="D186" i="150"/>
  <c r="J186" i="150"/>
  <c r="E186" i="150"/>
  <c r="F186" i="150"/>
  <c r="C186" i="150"/>
  <c r="I187" i="150"/>
  <c r="D187" i="150"/>
  <c r="J187" i="150"/>
  <c r="E187" i="150"/>
  <c r="F187" i="150"/>
  <c r="C187" i="150"/>
  <c r="I188" i="150"/>
  <c r="D188" i="150"/>
  <c r="J188" i="150"/>
  <c r="E188" i="150"/>
  <c r="F188" i="150"/>
  <c r="C188" i="150"/>
  <c r="I189" i="150"/>
  <c r="D189" i="150"/>
  <c r="J189" i="150"/>
  <c r="E189" i="150"/>
  <c r="F189" i="150"/>
  <c r="C189" i="150"/>
  <c r="I190" i="150"/>
  <c r="D190" i="150"/>
  <c r="J190" i="150"/>
  <c r="E190" i="150"/>
  <c r="F190" i="150"/>
  <c r="C190" i="150"/>
  <c r="I191" i="150"/>
  <c r="D191" i="150"/>
  <c r="J191" i="150"/>
  <c r="E191" i="150"/>
  <c r="F191" i="150"/>
  <c r="C191" i="150"/>
  <c r="I192" i="150"/>
  <c r="D192" i="150"/>
  <c r="J192" i="150"/>
  <c r="E192" i="150"/>
  <c r="F192" i="150"/>
  <c r="C192" i="150"/>
  <c r="I193" i="150"/>
  <c r="D193" i="150"/>
  <c r="J193" i="150"/>
  <c r="E193" i="150"/>
  <c r="F193" i="150"/>
  <c r="C193" i="150"/>
  <c r="I194" i="150"/>
  <c r="D194" i="150"/>
  <c r="J194" i="150"/>
  <c r="E194" i="150"/>
  <c r="F194" i="150"/>
  <c r="C194" i="150"/>
  <c r="I195" i="150"/>
  <c r="D195" i="150"/>
  <c r="J195" i="150"/>
  <c r="E195" i="150"/>
  <c r="F195" i="150"/>
  <c r="C195" i="150"/>
  <c r="I196" i="150"/>
  <c r="D196" i="150"/>
  <c r="J196" i="150"/>
  <c r="E196" i="150"/>
  <c r="F196" i="150"/>
  <c r="C196" i="150"/>
  <c r="I197" i="150"/>
  <c r="D197" i="150"/>
  <c r="J197" i="150"/>
  <c r="E197" i="150"/>
  <c r="F197" i="150"/>
  <c r="C197" i="150"/>
  <c r="I198" i="150"/>
  <c r="D198" i="150"/>
  <c r="J198" i="150"/>
  <c r="E198" i="150"/>
  <c r="F198" i="150"/>
  <c r="C198" i="150"/>
  <c r="I199" i="150"/>
  <c r="D199" i="150"/>
  <c r="J199" i="150"/>
  <c r="E199" i="150"/>
  <c r="F199" i="150"/>
  <c r="C199" i="150"/>
  <c r="I200" i="150"/>
  <c r="D200" i="150"/>
  <c r="J200" i="150"/>
  <c r="E200" i="150"/>
  <c r="F200" i="150"/>
  <c r="C200" i="150"/>
  <c r="I201" i="150"/>
  <c r="D201" i="150"/>
  <c r="J201" i="150"/>
  <c r="E201" i="150"/>
  <c r="F201" i="150"/>
  <c r="C201" i="150"/>
  <c r="I202" i="150"/>
  <c r="D202" i="150"/>
  <c r="J202" i="150"/>
  <c r="E202" i="150"/>
  <c r="F202" i="150"/>
  <c r="C202" i="150"/>
  <c r="I203" i="150"/>
  <c r="D203" i="150"/>
  <c r="J203" i="150"/>
  <c r="E203" i="150"/>
  <c r="F203" i="150"/>
  <c r="C203" i="150"/>
  <c r="I204" i="150"/>
  <c r="D204" i="150"/>
  <c r="J204" i="150"/>
  <c r="E204" i="150"/>
  <c r="F204" i="150"/>
  <c r="C204" i="150"/>
  <c r="I205" i="150"/>
  <c r="D205" i="150"/>
  <c r="J205" i="150"/>
  <c r="E205" i="150"/>
  <c r="F205" i="150"/>
  <c r="C205" i="150"/>
  <c r="I206" i="150"/>
  <c r="D206" i="150"/>
  <c r="J206" i="150"/>
  <c r="E206" i="150"/>
  <c r="F206" i="150"/>
  <c r="C206" i="150"/>
  <c r="I207" i="150"/>
  <c r="D207" i="150"/>
  <c r="J207" i="150"/>
  <c r="E207" i="150"/>
  <c r="F207" i="150"/>
  <c r="C207" i="150"/>
  <c r="I208" i="150"/>
  <c r="D208" i="150"/>
  <c r="J208" i="150"/>
  <c r="E208" i="150"/>
  <c r="F208" i="150"/>
  <c r="C208" i="150"/>
  <c r="I209" i="150"/>
  <c r="D209" i="150"/>
  <c r="J209" i="150"/>
  <c r="E209" i="150"/>
  <c r="F209" i="150"/>
  <c r="C209" i="150"/>
  <c r="I210" i="150"/>
  <c r="D210" i="150"/>
  <c r="J210" i="150"/>
  <c r="E210" i="150"/>
  <c r="F210" i="150"/>
  <c r="C210" i="150"/>
  <c r="I211" i="150"/>
  <c r="D211" i="150"/>
  <c r="J211" i="150"/>
  <c r="E211" i="150"/>
  <c r="F211" i="150"/>
  <c r="C211" i="150"/>
  <c r="I212" i="150"/>
  <c r="D212" i="150"/>
  <c r="J212" i="150"/>
  <c r="E212" i="150"/>
  <c r="F212" i="150"/>
  <c r="C212" i="150"/>
  <c r="I213" i="150"/>
  <c r="D213" i="150"/>
  <c r="J213" i="150"/>
  <c r="E213" i="150"/>
  <c r="F213" i="150"/>
  <c r="C213" i="150"/>
  <c r="I214" i="150"/>
  <c r="D214" i="150"/>
  <c r="J214" i="150"/>
  <c r="E214" i="150"/>
  <c r="F214" i="150"/>
  <c r="C214" i="150"/>
  <c r="I215" i="150"/>
  <c r="D215" i="150"/>
  <c r="J215" i="150"/>
  <c r="E215" i="150"/>
  <c r="F215" i="150"/>
  <c r="C215" i="150"/>
  <c r="I216" i="150"/>
  <c r="D216" i="150"/>
  <c r="J216" i="150"/>
  <c r="E216" i="150"/>
  <c r="F216" i="150"/>
  <c r="C216" i="150"/>
  <c r="I217" i="150"/>
  <c r="D217" i="150"/>
  <c r="J217" i="150"/>
  <c r="E217" i="150"/>
  <c r="F217" i="150"/>
  <c r="C217" i="150"/>
  <c r="I218" i="150"/>
  <c r="D218" i="150"/>
  <c r="J218" i="150"/>
  <c r="E218" i="150"/>
  <c r="F218" i="150"/>
  <c r="C218" i="150"/>
  <c r="I219" i="150"/>
  <c r="D219" i="150"/>
  <c r="J219" i="150"/>
  <c r="E219" i="150"/>
  <c r="F219" i="150"/>
  <c r="C219" i="150"/>
  <c r="I220" i="150"/>
  <c r="D220" i="150"/>
  <c r="J220" i="150"/>
  <c r="E220" i="150"/>
  <c r="F220" i="150"/>
  <c r="C220" i="150"/>
  <c r="I221" i="150"/>
  <c r="D221" i="150"/>
  <c r="J221" i="150"/>
  <c r="E221" i="150"/>
  <c r="F221" i="150"/>
  <c r="C221" i="150"/>
  <c r="I222" i="150"/>
  <c r="D222" i="150"/>
  <c r="J222" i="150"/>
  <c r="E222" i="150"/>
  <c r="F222" i="150"/>
  <c r="C222" i="150"/>
  <c r="I223" i="150"/>
  <c r="D223" i="150"/>
  <c r="J223" i="150"/>
  <c r="E223" i="150"/>
  <c r="F223" i="150"/>
  <c r="C223" i="150"/>
  <c r="I224" i="150"/>
  <c r="D224" i="150"/>
  <c r="J224" i="150"/>
  <c r="E224" i="150"/>
  <c r="F224" i="150"/>
  <c r="C224" i="150"/>
  <c r="I225" i="150"/>
  <c r="D225" i="150"/>
  <c r="J225" i="150"/>
  <c r="E225" i="150"/>
  <c r="F225" i="150"/>
  <c r="C225" i="150"/>
  <c r="I226" i="150"/>
  <c r="D226" i="150"/>
  <c r="J226" i="150"/>
  <c r="E226" i="150"/>
  <c r="F226" i="150"/>
  <c r="C226" i="150"/>
  <c r="I227" i="150"/>
  <c r="D227" i="150"/>
  <c r="J227" i="150"/>
  <c r="E227" i="150"/>
  <c r="F227" i="150"/>
  <c r="C227" i="150"/>
  <c r="I228" i="150"/>
  <c r="D228" i="150"/>
  <c r="J228" i="150"/>
  <c r="E228" i="150"/>
  <c r="F228" i="150"/>
  <c r="C228" i="150"/>
  <c r="I229" i="150"/>
  <c r="D229" i="150"/>
  <c r="J229" i="150"/>
  <c r="E229" i="150"/>
  <c r="F229" i="150"/>
  <c r="C229" i="150"/>
  <c r="I230" i="150"/>
  <c r="D230" i="150"/>
  <c r="J230" i="150"/>
  <c r="E230" i="150"/>
  <c r="F230" i="150"/>
  <c r="C230" i="150"/>
  <c r="I231" i="150"/>
  <c r="D231" i="150"/>
  <c r="J231" i="150"/>
  <c r="E231" i="150"/>
  <c r="F231" i="150"/>
  <c r="C231" i="150"/>
  <c r="I232" i="150"/>
  <c r="D232" i="150"/>
  <c r="J232" i="150"/>
  <c r="E232" i="150"/>
  <c r="F232" i="150"/>
  <c r="C232" i="150"/>
  <c r="I233" i="150"/>
  <c r="D233" i="150"/>
  <c r="J233" i="150"/>
  <c r="E233" i="150"/>
  <c r="F233" i="150"/>
  <c r="C233" i="150"/>
  <c r="I234" i="150"/>
  <c r="D234" i="150"/>
  <c r="J234" i="150"/>
  <c r="E234" i="150"/>
  <c r="F234" i="150"/>
  <c r="C234" i="150"/>
  <c r="I235" i="150"/>
  <c r="D235" i="150"/>
  <c r="J235" i="150"/>
  <c r="E235" i="150"/>
  <c r="F235" i="150"/>
  <c r="C235" i="150"/>
  <c r="I236" i="150"/>
  <c r="D236" i="150"/>
  <c r="J236" i="150"/>
  <c r="E236" i="150"/>
  <c r="F236" i="150"/>
  <c r="C236" i="150"/>
  <c r="I237" i="150"/>
  <c r="D237" i="150"/>
  <c r="J237" i="150"/>
  <c r="E237" i="150"/>
  <c r="F237" i="150"/>
  <c r="C237" i="150"/>
  <c r="I238" i="150"/>
  <c r="D238" i="150"/>
  <c r="J238" i="150"/>
  <c r="E238" i="150"/>
  <c r="F238" i="150"/>
  <c r="C238" i="150"/>
  <c r="I239" i="150"/>
  <c r="D239" i="150"/>
  <c r="J239" i="150"/>
  <c r="E239" i="150"/>
  <c r="F239" i="150"/>
  <c r="C239" i="150"/>
  <c r="I240" i="150"/>
  <c r="D240" i="150"/>
  <c r="J240" i="150"/>
  <c r="E240" i="150"/>
  <c r="F240" i="150"/>
  <c r="C240" i="150"/>
  <c r="I241" i="150"/>
  <c r="D241" i="150"/>
  <c r="J241" i="150"/>
  <c r="E241" i="150"/>
  <c r="F241" i="150"/>
  <c r="C241" i="150"/>
  <c r="I242" i="150"/>
  <c r="D242" i="150"/>
  <c r="J242" i="150"/>
  <c r="E242" i="150"/>
  <c r="F242" i="150"/>
  <c r="C242" i="150"/>
  <c r="I243" i="150"/>
  <c r="D243" i="150"/>
  <c r="J243" i="150"/>
  <c r="E243" i="150"/>
  <c r="F243" i="150"/>
  <c r="C243" i="150"/>
  <c r="I244" i="150"/>
  <c r="D244" i="150"/>
  <c r="J244" i="150"/>
  <c r="E244" i="150"/>
  <c r="F244" i="150"/>
  <c r="C244" i="150"/>
  <c r="I245" i="150"/>
  <c r="D245" i="150"/>
  <c r="J245" i="150"/>
  <c r="E245" i="150"/>
  <c r="F245" i="150"/>
  <c r="C245" i="150"/>
  <c r="I246" i="150"/>
  <c r="D246" i="150"/>
  <c r="J246" i="150"/>
  <c r="E246" i="150"/>
  <c r="F246" i="150"/>
  <c r="C246" i="150"/>
  <c r="I247" i="150"/>
  <c r="D247" i="150"/>
  <c r="J247" i="150"/>
  <c r="E247" i="150"/>
  <c r="F247" i="150"/>
  <c r="C247" i="150"/>
  <c r="I248" i="150"/>
  <c r="D248" i="150"/>
  <c r="J248" i="150"/>
  <c r="E248" i="150"/>
  <c r="F248" i="150"/>
  <c r="C248" i="150"/>
  <c r="I249" i="150"/>
  <c r="D249" i="150"/>
  <c r="J249" i="150"/>
  <c r="E249" i="150"/>
  <c r="F249" i="150"/>
  <c r="C249" i="150"/>
  <c r="I250" i="150"/>
  <c r="D250" i="150"/>
  <c r="J250" i="150"/>
  <c r="E250" i="150"/>
  <c r="F250" i="150"/>
  <c r="C250" i="150"/>
  <c r="I251" i="150"/>
  <c r="D251" i="150"/>
  <c r="J251" i="150"/>
  <c r="E251" i="150"/>
  <c r="F251" i="150"/>
  <c r="C251" i="150"/>
  <c r="I252" i="150"/>
  <c r="D252" i="150"/>
  <c r="J252" i="150"/>
  <c r="E252" i="150"/>
  <c r="F252" i="150"/>
  <c r="C252" i="150"/>
  <c r="I253" i="150"/>
  <c r="D253" i="150"/>
  <c r="J253" i="150"/>
  <c r="E253" i="150"/>
  <c r="F253" i="150"/>
  <c r="C253" i="150"/>
  <c r="I254" i="150"/>
  <c r="D254" i="150"/>
  <c r="J254" i="150"/>
  <c r="E254" i="150"/>
  <c r="F254" i="150"/>
  <c r="C254" i="150"/>
  <c r="I255" i="150"/>
  <c r="D255" i="150"/>
  <c r="J255" i="150"/>
  <c r="E255" i="150"/>
  <c r="F255" i="150"/>
  <c r="C255" i="150"/>
  <c r="I256" i="150"/>
  <c r="D256" i="150"/>
  <c r="J256" i="150"/>
  <c r="E256" i="150"/>
  <c r="F256" i="150"/>
  <c r="C256" i="150"/>
  <c r="I257" i="150"/>
  <c r="D257" i="150"/>
  <c r="J257" i="150"/>
  <c r="E257" i="150"/>
  <c r="F257" i="150"/>
  <c r="C257" i="150"/>
  <c r="I258" i="150"/>
  <c r="D258" i="150"/>
  <c r="J258" i="150"/>
  <c r="E258" i="150"/>
  <c r="F258" i="150"/>
  <c r="C258" i="150"/>
  <c r="I259" i="150"/>
  <c r="D259" i="150"/>
  <c r="J259" i="150"/>
  <c r="E259" i="150"/>
  <c r="F259" i="150"/>
  <c r="C259" i="150"/>
  <c r="I260" i="150"/>
  <c r="D260" i="150"/>
  <c r="J260" i="150"/>
  <c r="E260" i="150"/>
  <c r="F260" i="150"/>
  <c r="C260" i="150"/>
  <c r="I261" i="150"/>
  <c r="D261" i="150"/>
  <c r="J261" i="150"/>
  <c r="E261" i="150"/>
  <c r="F261" i="150"/>
  <c r="C261" i="150"/>
  <c r="I262" i="150"/>
  <c r="D262" i="150"/>
  <c r="J262" i="150"/>
  <c r="E262" i="150"/>
  <c r="F262" i="150"/>
  <c r="C262" i="150"/>
  <c r="I263" i="150"/>
  <c r="D263" i="150"/>
  <c r="J263" i="150"/>
  <c r="E263" i="150"/>
  <c r="F263" i="150"/>
  <c r="C263" i="150"/>
  <c r="I264" i="150"/>
  <c r="D264" i="150"/>
  <c r="J264" i="150"/>
  <c r="E264" i="150"/>
  <c r="F264" i="150"/>
  <c r="C264" i="150"/>
  <c r="I265" i="150"/>
  <c r="D265" i="150"/>
  <c r="J265" i="150"/>
  <c r="E265" i="150"/>
  <c r="F265" i="150"/>
  <c r="C265" i="150"/>
  <c r="I266" i="150"/>
  <c r="D266" i="150"/>
  <c r="J266" i="150"/>
  <c r="E266" i="150"/>
  <c r="F266" i="150"/>
  <c r="C266" i="150"/>
  <c r="I267" i="150"/>
  <c r="D267" i="150"/>
  <c r="J267" i="150"/>
  <c r="E267" i="150"/>
  <c r="F267" i="150"/>
  <c r="C267" i="150"/>
  <c r="I268" i="150"/>
  <c r="D268" i="150"/>
  <c r="J268" i="150"/>
  <c r="E268" i="150"/>
  <c r="F268" i="150"/>
  <c r="C268" i="150"/>
  <c r="I269" i="150"/>
  <c r="D269" i="150"/>
  <c r="J269" i="150"/>
  <c r="E269" i="150"/>
  <c r="F269" i="150"/>
  <c r="C269" i="150"/>
  <c r="I270" i="150"/>
  <c r="D270" i="150"/>
  <c r="J270" i="150"/>
  <c r="E270" i="150"/>
  <c r="F270" i="150"/>
  <c r="C270" i="150"/>
  <c r="I271" i="150"/>
  <c r="D271" i="150"/>
  <c r="J271" i="150"/>
  <c r="E271" i="150"/>
  <c r="F271" i="150"/>
  <c r="C271" i="150"/>
  <c r="I272" i="150"/>
  <c r="D272" i="150"/>
  <c r="J272" i="150"/>
  <c r="E272" i="150"/>
  <c r="F272" i="150"/>
  <c r="C272" i="150"/>
  <c r="I273" i="150"/>
  <c r="D273" i="150"/>
  <c r="J273" i="150"/>
  <c r="E273" i="150"/>
  <c r="F273" i="150"/>
  <c r="C273" i="150"/>
  <c r="I274" i="150"/>
  <c r="D274" i="150"/>
  <c r="J274" i="150"/>
  <c r="E274" i="150"/>
  <c r="F274" i="150"/>
  <c r="C274" i="150"/>
  <c r="I275" i="150"/>
  <c r="D275" i="150"/>
  <c r="J275" i="150"/>
  <c r="E275" i="150"/>
  <c r="F275" i="150"/>
  <c r="C275" i="150"/>
  <c r="I276" i="150"/>
  <c r="D276" i="150"/>
  <c r="J276" i="150"/>
  <c r="E276" i="150"/>
  <c r="F276" i="150"/>
  <c r="C276" i="150"/>
  <c r="I277" i="150"/>
  <c r="D277" i="150"/>
  <c r="J277" i="150"/>
  <c r="E277" i="150"/>
  <c r="F277" i="150"/>
  <c r="C277" i="150"/>
  <c r="I278" i="150"/>
  <c r="D278" i="150"/>
  <c r="J278" i="150"/>
  <c r="E278" i="150"/>
  <c r="F278" i="150"/>
  <c r="C278" i="150"/>
  <c r="I279" i="150"/>
  <c r="D279" i="150"/>
  <c r="J279" i="150"/>
  <c r="E279" i="150"/>
  <c r="F279" i="150"/>
  <c r="C279" i="150"/>
  <c r="I280" i="150"/>
  <c r="D280" i="150"/>
  <c r="J280" i="150"/>
  <c r="E280" i="150"/>
  <c r="F280" i="150"/>
  <c r="C280" i="150"/>
  <c r="I281" i="150"/>
  <c r="D281" i="150"/>
  <c r="J281" i="150"/>
  <c r="E281" i="150"/>
  <c r="F281" i="150"/>
  <c r="C281" i="150"/>
  <c r="I282" i="150"/>
  <c r="D282" i="150"/>
  <c r="J282" i="150"/>
  <c r="E282" i="150"/>
  <c r="F282" i="150"/>
  <c r="C282" i="150"/>
  <c r="I283" i="150"/>
  <c r="D283" i="150"/>
  <c r="J283" i="150"/>
  <c r="E283" i="150"/>
  <c r="F283" i="150"/>
  <c r="C283" i="150"/>
  <c r="F5" i="149"/>
  <c r="F6" i="149"/>
  <c r="A36" i="149"/>
  <c r="G31" i="149"/>
  <c r="Q3" i="149"/>
  <c r="Q4" i="149"/>
  <c r="Q5" i="149"/>
  <c r="Q6" i="149"/>
  <c r="Q7" i="149"/>
  <c r="Q8" i="149"/>
  <c r="Q9" i="149"/>
  <c r="Q10" i="149"/>
  <c r="Q11" i="149"/>
  <c r="Q12" i="149"/>
  <c r="Q13" i="149"/>
  <c r="Q14" i="149"/>
  <c r="Q15" i="149"/>
  <c r="Q16" i="149"/>
  <c r="Q17" i="149"/>
  <c r="Q18" i="149"/>
  <c r="Q19" i="149"/>
  <c r="Q20" i="149"/>
  <c r="E31" i="149"/>
  <c r="H31" i="149"/>
  <c r="O284" i="150"/>
  <c r="E6" i="149"/>
  <c r="E19" i="149"/>
  <c r="B19" i="149"/>
  <c r="E5" i="149"/>
  <c r="E24" i="149"/>
  <c r="B24" i="149"/>
  <c r="B17" i="149"/>
  <c r="G17" i="149"/>
  <c r="E17" i="149"/>
  <c r="H17" i="149"/>
  <c r="O2" i="150"/>
  <c r="E18" i="149"/>
  <c r="B18" i="149"/>
  <c r="G18" i="149"/>
  <c r="H18" i="149"/>
  <c r="O3" i="150"/>
  <c r="O4" i="150"/>
  <c r="O5" i="150"/>
  <c r="O6" i="150"/>
  <c r="O7" i="150"/>
  <c r="O8" i="150"/>
  <c r="O9" i="150"/>
  <c r="O10" i="150"/>
  <c r="O11" i="150"/>
  <c r="O12" i="150"/>
  <c r="O13" i="150"/>
  <c r="O14" i="150"/>
  <c r="O15" i="150"/>
  <c r="O16" i="150"/>
  <c r="O17" i="150"/>
  <c r="O18" i="150"/>
  <c r="O19" i="150"/>
  <c r="O20" i="150"/>
  <c r="O21" i="150"/>
  <c r="O22" i="150"/>
  <c r="O23" i="150"/>
  <c r="O24" i="150"/>
  <c r="O25" i="150"/>
  <c r="O26" i="150"/>
  <c r="O27" i="150"/>
  <c r="O28" i="150"/>
  <c r="O29" i="150"/>
  <c r="O30" i="150"/>
  <c r="O31" i="150"/>
  <c r="O32" i="150"/>
  <c r="O33" i="150"/>
  <c r="O34" i="150"/>
  <c r="O35" i="150"/>
  <c r="O36" i="150"/>
  <c r="O37" i="150"/>
  <c r="O38" i="150"/>
  <c r="O39" i="150"/>
  <c r="O40" i="150"/>
  <c r="O41" i="150"/>
  <c r="G24" i="149"/>
  <c r="H24" i="149"/>
  <c r="O42" i="150"/>
  <c r="E25" i="149"/>
  <c r="B25" i="149"/>
  <c r="G25" i="149"/>
  <c r="H25" i="149"/>
  <c r="O43" i="150"/>
  <c r="E26" i="149"/>
  <c r="B26" i="149"/>
  <c r="G26" i="149"/>
  <c r="H26" i="149"/>
  <c r="O44" i="150"/>
  <c r="O45" i="150"/>
  <c r="O46" i="150"/>
  <c r="O47" i="150"/>
  <c r="O48" i="150"/>
  <c r="O49" i="150"/>
  <c r="O50" i="150"/>
  <c r="G19" i="149"/>
  <c r="H19" i="149"/>
  <c r="O51" i="150"/>
  <c r="E20" i="149"/>
  <c r="B20" i="149"/>
  <c r="G20" i="149"/>
  <c r="H20" i="149"/>
  <c r="O52" i="150"/>
  <c r="E21" i="149"/>
  <c r="B21" i="149"/>
  <c r="G21" i="149"/>
  <c r="H21" i="149"/>
  <c r="O53" i="150"/>
  <c r="O54" i="150"/>
  <c r="O55" i="150"/>
  <c r="O56" i="150"/>
  <c r="O57" i="150"/>
  <c r="O58" i="150"/>
  <c r="O59" i="150"/>
  <c r="O60" i="150"/>
  <c r="O61" i="150"/>
  <c r="O62" i="150"/>
  <c r="O63" i="150"/>
  <c r="O64" i="150"/>
  <c r="O65" i="150"/>
  <c r="O66" i="150"/>
  <c r="O67" i="150"/>
  <c r="O68" i="150"/>
  <c r="O69" i="150"/>
  <c r="O70" i="150"/>
  <c r="O71" i="150"/>
  <c r="O72" i="150"/>
  <c r="O73" i="150"/>
  <c r="O74" i="150"/>
  <c r="O75" i="150"/>
  <c r="O76" i="150"/>
  <c r="O77" i="150"/>
  <c r="O78" i="150"/>
  <c r="O79" i="150"/>
  <c r="O80" i="150"/>
  <c r="O81" i="150"/>
  <c r="O82" i="150"/>
  <c r="O83" i="150"/>
  <c r="O84" i="150"/>
  <c r="O85" i="150"/>
  <c r="O86" i="150"/>
  <c r="O87" i="150"/>
  <c r="O88" i="150"/>
  <c r="O89" i="150"/>
  <c r="O90" i="150"/>
  <c r="O91" i="150"/>
  <c r="O92" i="150"/>
  <c r="O93" i="150"/>
  <c r="O94" i="150"/>
  <c r="O95" i="150"/>
  <c r="O96" i="150"/>
  <c r="O97" i="150"/>
  <c r="O98" i="150"/>
  <c r="O99" i="150"/>
  <c r="O100" i="150"/>
  <c r="O101" i="150"/>
  <c r="O102" i="150"/>
  <c r="O103" i="150"/>
  <c r="O104" i="150"/>
  <c r="O105" i="150"/>
  <c r="O106" i="150"/>
  <c r="O107" i="150"/>
  <c r="O108" i="150"/>
  <c r="O109" i="150"/>
  <c r="O110" i="150"/>
  <c r="O111" i="150"/>
  <c r="O112" i="150"/>
  <c r="O113" i="150"/>
  <c r="O114" i="150"/>
  <c r="O115" i="150"/>
  <c r="O116" i="150"/>
  <c r="O117" i="150"/>
  <c r="O118" i="150"/>
  <c r="O119" i="150"/>
  <c r="O120" i="150"/>
  <c r="O121" i="150"/>
  <c r="O122" i="150"/>
  <c r="O123" i="150"/>
  <c r="O124" i="150"/>
  <c r="O125" i="150"/>
  <c r="O126" i="150"/>
  <c r="O127" i="150"/>
  <c r="O128" i="150"/>
  <c r="O129" i="150"/>
  <c r="O130" i="150"/>
  <c r="O131" i="150"/>
  <c r="O132" i="150"/>
  <c r="O133" i="150"/>
  <c r="O134" i="150"/>
  <c r="O135" i="150"/>
  <c r="O136" i="150"/>
  <c r="O137" i="150"/>
  <c r="E27" i="149"/>
  <c r="B27" i="149"/>
  <c r="G27" i="149"/>
  <c r="H27" i="149"/>
  <c r="O138" i="150"/>
  <c r="E28" i="149"/>
  <c r="B28" i="149"/>
  <c r="G28" i="149"/>
  <c r="H28" i="149"/>
  <c r="O139" i="150"/>
  <c r="O140" i="150"/>
  <c r="O141" i="150"/>
  <c r="O142" i="150"/>
  <c r="O143" i="150"/>
  <c r="O144" i="150"/>
  <c r="O145" i="150"/>
  <c r="O146" i="150"/>
  <c r="O147" i="150"/>
  <c r="O148" i="150"/>
  <c r="O149" i="150"/>
  <c r="O150" i="150"/>
  <c r="O151" i="150"/>
  <c r="O152" i="150"/>
  <c r="O153" i="150"/>
  <c r="O154" i="150"/>
  <c r="O155" i="150"/>
  <c r="O156" i="150"/>
  <c r="O157" i="150"/>
  <c r="O158" i="150"/>
  <c r="O159" i="150"/>
  <c r="O160" i="150"/>
  <c r="O161" i="150"/>
  <c r="O162" i="150"/>
  <c r="O163" i="150"/>
  <c r="O164" i="150"/>
  <c r="O165" i="150"/>
  <c r="O166" i="150"/>
  <c r="O167" i="150"/>
  <c r="O168" i="150"/>
  <c r="O169" i="150"/>
  <c r="O170" i="150"/>
  <c r="O171" i="150"/>
  <c r="O172" i="150"/>
  <c r="O173" i="150"/>
  <c r="O174" i="150"/>
  <c r="O175" i="150"/>
  <c r="O176" i="150"/>
  <c r="O177" i="150"/>
  <c r="O178" i="150"/>
  <c r="O179" i="150"/>
  <c r="O180" i="150"/>
  <c r="O181" i="150"/>
  <c r="O182" i="150"/>
  <c r="O183" i="150"/>
  <c r="O184" i="150"/>
  <c r="O185" i="150"/>
  <c r="O186" i="150"/>
  <c r="O187" i="150"/>
  <c r="O188" i="150"/>
  <c r="O189" i="150"/>
  <c r="O190" i="150"/>
  <c r="O191" i="150"/>
  <c r="O192" i="150"/>
  <c r="O193" i="150"/>
  <c r="O194" i="150"/>
  <c r="O195" i="150"/>
  <c r="O196" i="150"/>
  <c r="O197" i="150"/>
  <c r="O198" i="150"/>
  <c r="O199" i="150"/>
  <c r="O200" i="150"/>
  <c r="O201" i="150"/>
  <c r="O202" i="150"/>
  <c r="O203" i="150"/>
  <c r="O204" i="150"/>
  <c r="O205" i="150"/>
  <c r="O206" i="150"/>
  <c r="O207" i="150"/>
  <c r="O208" i="150"/>
  <c r="O209" i="150"/>
  <c r="O210" i="150"/>
  <c r="O211" i="150"/>
  <c r="O212" i="150"/>
  <c r="O213" i="150"/>
  <c r="O214" i="150"/>
  <c r="O215" i="150"/>
  <c r="O216" i="150"/>
  <c r="O217" i="150"/>
  <c r="O218" i="150"/>
  <c r="O219" i="150"/>
  <c r="O220" i="150"/>
  <c r="O221" i="150"/>
  <c r="O222" i="150"/>
  <c r="O223" i="150"/>
  <c r="O224" i="150"/>
  <c r="O225" i="150"/>
  <c r="O226" i="150"/>
  <c r="O227" i="150"/>
  <c r="O228" i="150"/>
  <c r="O229" i="150"/>
  <c r="O230" i="150"/>
  <c r="O231" i="150"/>
  <c r="O232" i="150"/>
  <c r="O233" i="150"/>
  <c r="O234" i="150"/>
  <c r="O235" i="150"/>
  <c r="O236" i="150"/>
  <c r="O237" i="150"/>
  <c r="O238" i="150"/>
  <c r="O239" i="150"/>
  <c r="O240" i="150"/>
  <c r="O241" i="150"/>
  <c r="O242" i="150"/>
  <c r="O243" i="150"/>
  <c r="O244" i="150"/>
  <c r="O245" i="150"/>
  <c r="O246" i="150"/>
  <c r="O247" i="150"/>
  <c r="O248" i="150"/>
  <c r="O249" i="150"/>
  <c r="O250" i="150"/>
  <c r="O251" i="150"/>
  <c r="O252" i="150"/>
  <c r="O253" i="150"/>
  <c r="O254" i="150"/>
  <c r="O255" i="150"/>
  <c r="E22" i="149"/>
  <c r="E29" i="149"/>
  <c r="B29" i="149"/>
  <c r="B23" i="149"/>
  <c r="B22" i="149"/>
  <c r="G22" i="149"/>
  <c r="H22" i="149"/>
  <c r="O256" i="150"/>
  <c r="G23" i="149"/>
  <c r="E23" i="149"/>
  <c r="H23" i="149"/>
  <c r="O257" i="150"/>
  <c r="O258" i="150"/>
  <c r="O259" i="150"/>
  <c r="G29" i="149"/>
  <c r="H29" i="149"/>
  <c r="O260" i="150"/>
  <c r="O261" i="150"/>
  <c r="O262" i="150"/>
  <c r="O263" i="150"/>
  <c r="O264" i="150"/>
  <c r="O265" i="150"/>
  <c r="O266" i="150"/>
  <c r="O267" i="150"/>
  <c r="O268" i="150"/>
  <c r="O269" i="150"/>
  <c r="O270" i="150"/>
  <c r="O271" i="150"/>
  <c r="O272" i="150"/>
  <c r="O273" i="150"/>
  <c r="O274" i="150"/>
  <c r="O275" i="150"/>
  <c r="O276" i="150"/>
  <c r="O277" i="150"/>
  <c r="O278" i="150"/>
  <c r="O279" i="150"/>
  <c r="O280" i="150"/>
  <c r="O281" i="150"/>
  <c r="O282" i="150"/>
  <c r="O283" i="150"/>
  <c r="G30" i="149"/>
  <c r="E30" i="149"/>
  <c r="H30" i="149"/>
  <c r="P284" i="150"/>
  <c r="A2" i="147"/>
  <c r="A284" i="148"/>
  <c r="I284" i="148"/>
  <c r="D284" i="148"/>
  <c r="J284" i="148"/>
  <c r="E284" i="148"/>
  <c r="F284" i="148"/>
  <c r="C284" i="148"/>
  <c r="H284" i="148"/>
  <c r="K284" i="148"/>
  <c r="L284" i="148"/>
  <c r="M284" i="148"/>
  <c r="N284" i="148"/>
  <c r="I2" i="148"/>
  <c r="D2" i="148"/>
  <c r="J2" i="148"/>
  <c r="E2" i="148"/>
  <c r="F2" i="148"/>
  <c r="C2" i="148"/>
  <c r="I3" i="148"/>
  <c r="D3" i="148"/>
  <c r="J3" i="148"/>
  <c r="E3" i="148"/>
  <c r="F3" i="148"/>
  <c r="C3" i="148"/>
  <c r="I4" i="148"/>
  <c r="D4" i="148"/>
  <c r="J4" i="148"/>
  <c r="E4" i="148"/>
  <c r="F4" i="148"/>
  <c r="C4" i="148"/>
  <c r="I5" i="148"/>
  <c r="D5" i="148"/>
  <c r="J5" i="148"/>
  <c r="E5" i="148"/>
  <c r="F5" i="148"/>
  <c r="C5" i="148"/>
  <c r="I6" i="148"/>
  <c r="D6" i="148"/>
  <c r="J6" i="148"/>
  <c r="E6" i="148"/>
  <c r="F6" i="148"/>
  <c r="C6" i="148"/>
  <c r="I7" i="148"/>
  <c r="D7" i="148"/>
  <c r="J7" i="148"/>
  <c r="E7" i="148"/>
  <c r="F7" i="148"/>
  <c r="C7" i="148"/>
  <c r="I8" i="148"/>
  <c r="D8" i="148"/>
  <c r="J8" i="148"/>
  <c r="E8" i="148"/>
  <c r="F8" i="148"/>
  <c r="C8" i="148"/>
  <c r="I9" i="148"/>
  <c r="D9" i="148"/>
  <c r="J9" i="148"/>
  <c r="E9" i="148"/>
  <c r="F9" i="148"/>
  <c r="C9" i="148"/>
  <c r="I10" i="148"/>
  <c r="D10" i="148"/>
  <c r="J10" i="148"/>
  <c r="E10" i="148"/>
  <c r="F10" i="148"/>
  <c r="C10" i="148"/>
  <c r="I11" i="148"/>
  <c r="D11" i="148"/>
  <c r="J11" i="148"/>
  <c r="E11" i="148"/>
  <c r="F11" i="148"/>
  <c r="C11" i="148"/>
  <c r="I12" i="148"/>
  <c r="D12" i="148"/>
  <c r="J12" i="148"/>
  <c r="E12" i="148"/>
  <c r="F12" i="148"/>
  <c r="C12" i="148"/>
  <c r="I13" i="148"/>
  <c r="D13" i="148"/>
  <c r="J13" i="148"/>
  <c r="E13" i="148"/>
  <c r="F13" i="148"/>
  <c r="C13" i="148"/>
  <c r="I14" i="148"/>
  <c r="D14" i="148"/>
  <c r="J14" i="148"/>
  <c r="E14" i="148"/>
  <c r="F14" i="148"/>
  <c r="C14" i="148"/>
  <c r="I15" i="148"/>
  <c r="D15" i="148"/>
  <c r="J15" i="148"/>
  <c r="E15" i="148"/>
  <c r="F15" i="148"/>
  <c r="C15" i="148"/>
  <c r="I16" i="148"/>
  <c r="D16" i="148"/>
  <c r="J16" i="148"/>
  <c r="E16" i="148"/>
  <c r="F16" i="148"/>
  <c r="C16" i="148"/>
  <c r="I17" i="148"/>
  <c r="D17" i="148"/>
  <c r="J17" i="148"/>
  <c r="E17" i="148"/>
  <c r="F17" i="148"/>
  <c r="C17" i="148"/>
  <c r="I18" i="148"/>
  <c r="D18" i="148"/>
  <c r="J18" i="148"/>
  <c r="E18" i="148"/>
  <c r="F18" i="148"/>
  <c r="C18" i="148"/>
  <c r="I19" i="148"/>
  <c r="D19" i="148"/>
  <c r="J19" i="148"/>
  <c r="E19" i="148"/>
  <c r="F19" i="148"/>
  <c r="C19" i="148"/>
  <c r="I20" i="148"/>
  <c r="D20" i="148"/>
  <c r="J20" i="148"/>
  <c r="E20" i="148"/>
  <c r="F20" i="148"/>
  <c r="C20" i="148"/>
  <c r="I21" i="148"/>
  <c r="D21" i="148"/>
  <c r="J21" i="148"/>
  <c r="E21" i="148"/>
  <c r="F21" i="148"/>
  <c r="C21" i="148"/>
  <c r="I22" i="148"/>
  <c r="D22" i="148"/>
  <c r="J22" i="148"/>
  <c r="E22" i="148"/>
  <c r="F22" i="148"/>
  <c r="C22" i="148"/>
  <c r="I23" i="148"/>
  <c r="D23" i="148"/>
  <c r="J23" i="148"/>
  <c r="E23" i="148"/>
  <c r="F23" i="148"/>
  <c r="C23" i="148"/>
  <c r="I24" i="148"/>
  <c r="D24" i="148"/>
  <c r="J24" i="148"/>
  <c r="E24" i="148"/>
  <c r="F24" i="148"/>
  <c r="C24" i="148"/>
  <c r="I25" i="148"/>
  <c r="D25" i="148"/>
  <c r="J25" i="148"/>
  <c r="E25" i="148"/>
  <c r="F25" i="148"/>
  <c r="C25" i="148"/>
  <c r="I26" i="148"/>
  <c r="D26" i="148"/>
  <c r="J26" i="148"/>
  <c r="E26" i="148"/>
  <c r="F26" i="148"/>
  <c r="C26" i="148"/>
  <c r="I27" i="148"/>
  <c r="D27" i="148"/>
  <c r="J27" i="148"/>
  <c r="E27" i="148"/>
  <c r="F27" i="148"/>
  <c r="C27" i="148"/>
  <c r="I28" i="148"/>
  <c r="D28" i="148"/>
  <c r="J28" i="148"/>
  <c r="E28" i="148"/>
  <c r="F28" i="148"/>
  <c r="C28" i="148"/>
  <c r="I29" i="148"/>
  <c r="D29" i="148"/>
  <c r="J29" i="148"/>
  <c r="E29" i="148"/>
  <c r="F29" i="148"/>
  <c r="C29" i="148"/>
  <c r="I30" i="148"/>
  <c r="D30" i="148"/>
  <c r="J30" i="148"/>
  <c r="E30" i="148"/>
  <c r="F30" i="148"/>
  <c r="C30" i="148"/>
  <c r="I31" i="148"/>
  <c r="D31" i="148"/>
  <c r="J31" i="148"/>
  <c r="E31" i="148"/>
  <c r="F31" i="148"/>
  <c r="C31" i="148"/>
  <c r="I32" i="148"/>
  <c r="D32" i="148"/>
  <c r="J32" i="148"/>
  <c r="E32" i="148"/>
  <c r="F32" i="148"/>
  <c r="C32" i="148"/>
  <c r="I33" i="148"/>
  <c r="D33" i="148"/>
  <c r="J33" i="148"/>
  <c r="E33" i="148"/>
  <c r="F33" i="148"/>
  <c r="C33" i="148"/>
  <c r="I34" i="148"/>
  <c r="D34" i="148"/>
  <c r="J34" i="148"/>
  <c r="E34" i="148"/>
  <c r="F34" i="148"/>
  <c r="C34" i="148"/>
  <c r="I35" i="148"/>
  <c r="D35" i="148"/>
  <c r="J35" i="148"/>
  <c r="E35" i="148"/>
  <c r="F35" i="148"/>
  <c r="C35" i="148"/>
  <c r="I36" i="148"/>
  <c r="D36" i="148"/>
  <c r="J36" i="148"/>
  <c r="E36" i="148"/>
  <c r="F36" i="148"/>
  <c r="C36" i="148"/>
  <c r="I37" i="148"/>
  <c r="D37" i="148"/>
  <c r="J37" i="148"/>
  <c r="E37" i="148"/>
  <c r="F37" i="148"/>
  <c r="C37" i="148"/>
  <c r="I38" i="148"/>
  <c r="D38" i="148"/>
  <c r="J38" i="148"/>
  <c r="E38" i="148"/>
  <c r="F38" i="148"/>
  <c r="C38" i="148"/>
  <c r="I39" i="148"/>
  <c r="D39" i="148"/>
  <c r="J39" i="148"/>
  <c r="E39" i="148"/>
  <c r="F39" i="148"/>
  <c r="C39" i="148"/>
  <c r="I40" i="148"/>
  <c r="D40" i="148"/>
  <c r="J40" i="148"/>
  <c r="E40" i="148"/>
  <c r="F40" i="148"/>
  <c r="C40" i="148"/>
  <c r="I41" i="148"/>
  <c r="D41" i="148"/>
  <c r="J41" i="148"/>
  <c r="E41" i="148"/>
  <c r="F41" i="148"/>
  <c r="C41" i="148"/>
  <c r="I42" i="148"/>
  <c r="D42" i="148"/>
  <c r="J42" i="148"/>
  <c r="E42" i="148"/>
  <c r="F42" i="148"/>
  <c r="C42" i="148"/>
  <c r="I43" i="148"/>
  <c r="D43" i="148"/>
  <c r="J43" i="148"/>
  <c r="E43" i="148"/>
  <c r="F43" i="148"/>
  <c r="C43" i="148"/>
  <c r="I44" i="148"/>
  <c r="D44" i="148"/>
  <c r="J44" i="148"/>
  <c r="E44" i="148"/>
  <c r="F44" i="148"/>
  <c r="C44" i="148"/>
  <c r="I45" i="148"/>
  <c r="D45" i="148"/>
  <c r="J45" i="148"/>
  <c r="E45" i="148"/>
  <c r="F45" i="148"/>
  <c r="C45" i="148"/>
  <c r="I46" i="148"/>
  <c r="D46" i="148"/>
  <c r="J46" i="148"/>
  <c r="E46" i="148"/>
  <c r="F46" i="148"/>
  <c r="C46" i="148"/>
  <c r="I47" i="148"/>
  <c r="D47" i="148"/>
  <c r="J47" i="148"/>
  <c r="E47" i="148"/>
  <c r="F47" i="148"/>
  <c r="C47" i="148"/>
  <c r="I48" i="148"/>
  <c r="D48" i="148"/>
  <c r="J48" i="148"/>
  <c r="E48" i="148"/>
  <c r="F48" i="148"/>
  <c r="C48" i="148"/>
  <c r="I49" i="148"/>
  <c r="D49" i="148"/>
  <c r="J49" i="148"/>
  <c r="E49" i="148"/>
  <c r="F49" i="148"/>
  <c r="C49" i="148"/>
  <c r="I50" i="148"/>
  <c r="D50" i="148"/>
  <c r="J50" i="148"/>
  <c r="E50" i="148"/>
  <c r="F50" i="148"/>
  <c r="C50" i="148"/>
  <c r="I51" i="148"/>
  <c r="D51" i="148"/>
  <c r="J51" i="148"/>
  <c r="E51" i="148"/>
  <c r="F51" i="148"/>
  <c r="C51" i="148"/>
  <c r="I52" i="148"/>
  <c r="D52" i="148"/>
  <c r="J52" i="148"/>
  <c r="E52" i="148"/>
  <c r="F52" i="148"/>
  <c r="C52" i="148"/>
  <c r="I53" i="148"/>
  <c r="D53" i="148"/>
  <c r="J53" i="148"/>
  <c r="E53" i="148"/>
  <c r="F53" i="148"/>
  <c r="C53" i="148"/>
  <c r="I54" i="148"/>
  <c r="D54" i="148"/>
  <c r="J54" i="148"/>
  <c r="E54" i="148"/>
  <c r="F54" i="148"/>
  <c r="C54" i="148"/>
  <c r="I55" i="148"/>
  <c r="D55" i="148"/>
  <c r="J55" i="148"/>
  <c r="E55" i="148"/>
  <c r="F55" i="148"/>
  <c r="C55" i="148"/>
  <c r="I56" i="148"/>
  <c r="D56" i="148"/>
  <c r="J56" i="148"/>
  <c r="E56" i="148"/>
  <c r="F56" i="148"/>
  <c r="C56" i="148"/>
  <c r="I57" i="148"/>
  <c r="D57" i="148"/>
  <c r="J57" i="148"/>
  <c r="E57" i="148"/>
  <c r="F57" i="148"/>
  <c r="C57" i="148"/>
  <c r="I58" i="148"/>
  <c r="D58" i="148"/>
  <c r="J58" i="148"/>
  <c r="E58" i="148"/>
  <c r="F58" i="148"/>
  <c r="C58" i="148"/>
  <c r="I59" i="148"/>
  <c r="D59" i="148"/>
  <c r="J59" i="148"/>
  <c r="E59" i="148"/>
  <c r="F59" i="148"/>
  <c r="C59" i="148"/>
  <c r="I60" i="148"/>
  <c r="D60" i="148"/>
  <c r="J60" i="148"/>
  <c r="E60" i="148"/>
  <c r="F60" i="148"/>
  <c r="C60" i="148"/>
  <c r="I61" i="148"/>
  <c r="D61" i="148"/>
  <c r="J61" i="148"/>
  <c r="E61" i="148"/>
  <c r="F61" i="148"/>
  <c r="C61" i="148"/>
  <c r="I62" i="148"/>
  <c r="D62" i="148"/>
  <c r="J62" i="148"/>
  <c r="E62" i="148"/>
  <c r="F62" i="148"/>
  <c r="C62" i="148"/>
  <c r="I63" i="148"/>
  <c r="D63" i="148"/>
  <c r="J63" i="148"/>
  <c r="E63" i="148"/>
  <c r="F63" i="148"/>
  <c r="C63" i="148"/>
  <c r="I64" i="148"/>
  <c r="D64" i="148"/>
  <c r="J64" i="148"/>
  <c r="E64" i="148"/>
  <c r="F64" i="148"/>
  <c r="C64" i="148"/>
  <c r="I65" i="148"/>
  <c r="D65" i="148"/>
  <c r="J65" i="148"/>
  <c r="E65" i="148"/>
  <c r="F65" i="148"/>
  <c r="C65" i="148"/>
  <c r="I66" i="148"/>
  <c r="D66" i="148"/>
  <c r="J66" i="148"/>
  <c r="E66" i="148"/>
  <c r="F66" i="148"/>
  <c r="C66" i="148"/>
  <c r="I67" i="148"/>
  <c r="D67" i="148"/>
  <c r="J67" i="148"/>
  <c r="E67" i="148"/>
  <c r="F67" i="148"/>
  <c r="C67" i="148"/>
  <c r="I68" i="148"/>
  <c r="D68" i="148"/>
  <c r="J68" i="148"/>
  <c r="E68" i="148"/>
  <c r="F68" i="148"/>
  <c r="C68" i="148"/>
  <c r="I69" i="148"/>
  <c r="D69" i="148"/>
  <c r="J69" i="148"/>
  <c r="E69" i="148"/>
  <c r="F69" i="148"/>
  <c r="C69" i="148"/>
  <c r="I70" i="148"/>
  <c r="D70" i="148"/>
  <c r="J70" i="148"/>
  <c r="E70" i="148"/>
  <c r="F70" i="148"/>
  <c r="C70" i="148"/>
  <c r="I71" i="148"/>
  <c r="D71" i="148"/>
  <c r="J71" i="148"/>
  <c r="E71" i="148"/>
  <c r="F71" i="148"/>
  <c r="C71" i="148"/>
  <c r="I72" i="148"/>
  <c r="D72" i="148"/>
  <c r="J72" i="148"/>
  <c r="E72" i="148"/>
  <c r="F72" i="148"/>
  <c r="C72" i="148"/>
  <c r="I73" i="148"/>
  <c r="D73" i="148"/>
  <c r="J73" i="148"/>
  <c r="E73" i="148"/>
  <c r="F73" i="148"/>
  <c r="C73" i="148"/>
  <c r="I74" i="148"/>
  <c r="D74" i="148"/>
  <c r="J74" i="148"/>
  <c r="E74" i="148"/>
  <c r="F74" i="148"/>
  <c r="C74" i="148"/>
  <c r="I75" i="148"/>
  <c r="D75" i="148"/>
  <c r="J75" i="148"/>
  <c r="E75" i="148"/>
  <c r="F75" i="148"/>
  <c r="C75" i="148"/>
  <c r="I76" i="148"/>
  <c r="D76" i="148"/>
  <c r="J76" i="148"/>
  <c r="E76" i="148"/>
  <c r="F76" i="148"/>
  <c r="C76" i="148"/>
  <c r="I77" i="148"/>
  <c r="D77" i="148"/>
  <c r="J77" i="148"/>
  <c r="E77" i="148"/>
  <c r="F77" i="148"/>
  <c r="C77" i="148"/>
  <c r="I78" i="148"/>
  <c r="D78" i="148"/>
  <c r="J78" i="148"/>
  <c r="E78" i="148"/>
  <c r="F78" i="148"/>
  <c r="C78" i="148"/>
  <c r="I79" i="148"/>
  <c r="D79" i="148"/>
  <c r="J79" i="148"/>
  <c r="E79" i="148"/>
  <c r="F79" i="148"/>
  <c r="C79" i="148"/>
  <c r="I80" i="148"/>
  <c r="D80" i="148"/>
  <c r="J80" i="148"/>
  <c r="E80" i="148"/>
  <c r="F80" i="148"/>
  <c r="C80" i="148"/>
  <c r="I81" i="148"/>
  <c r="D81" i="148"/>
  <c r="J81" i="148"/>
  <c r="E81" i="148"/>
  <c r="F81" i="148"/>
  <c r="C81" i="148"/>
  <c r="I82" i="148"/>
  <c r="D82" i="148"/>
  <c r="J82" i="148"/>
  <c r="E82" i="148"/>
  <c r="F82" i="148"/>
  <c r="C82" i="148"/>
  <c r="I83" i="148"/>
  <c r="D83" i="148"/>
  <c r="J83" i="148"/>
  <c r="E83" i="148"/>
  <c r="F83" i="148"/>
  <c r="C83" i="148"/>
  <c r="I84" i="148"/>
  <c r="D84" i="148"/>
  <c r="J84" i="148"/>
  <c r="E84" i="148"/>
  <c r="F84" i="148"/>
  <c r="C84" i="148"/>
  <c r="I85" i="148"/>
  <c r="D85" i="148"/>
  <c r="J85" i="148"/>
  <c r="E85" i="148"/>
  <c r="F85" i="148"/>
  <c r="C85" i="148"/>
  <c r="I86" i="148"/>
  <c r="D86" i="148"/>
  <c r="J86" i="148"/>
  <c r="E86" i="148"/>
  <c r="F86" i="148"/>
  <c r="C86" i="148"/>
  <c r="I87" i="148"/>
  <c r="D87" i="148"/>
  <c r="J87" i="148"/>
  <c r="E87" i="148"/>
  <c r="F87" i="148"/>
  <c r="C87" i="148"/>
  <c r="I88" i="148"/>
  <c r="D88" i="148"/>
  <c r="J88" i="148"/>
  <c r="E88" i="148"/>
  <c r="F88" i="148"/>
  <c r="C88" i="148"/>
  <c r="I89" i="148"/>
  <c r="D89" i="148"/>
  <c r="J89" i="148"/>
  <c r="E89" i="148"/>
  <c r="F89" i="148"/>
  <c r="C89" i="148"/>
  <c r="I90" i="148"/>
  <c r="D90" i="148"/>
  <c r="J90" i="148"/>
  <c r="E90" i="148"/>
  <c r="F90" i="148"/>
  <c r="C90" i="148"/>
  <c r="I91" i="148"/>
  <c r="D91" i="148"/>
  <c r="J91" i="148"/>
  <c r="E91" i="148"/>
  <c r="F91" i="148"/>
  <c r="C91" i="148"/>
  <c r="I92" i="148"/>
  <c r="D92" i="148"/>
  <c r="J92" i="148"/>
  <c r="E92" i="148"/>
  <c r="F92" i="148"/>
  <c r="C92" i="148"/>
  <c r="I93" i="148"/>
  <c r="D93" i="148"/>
  <c r="J93" i="148"/>
  <c r="E93" i="148"/>
  <c r="F93" i="148"/>
  <c r="C93" i="148"/>
  <c r="I94" i="148"/>
  <c r="D94" i="148"/>
  <c r="J94" i="148"/>
  <c r="E94" i="148"/>
  <c r="F94" i="148"/>
  <c r="C94" i="148"/>
  <c r="I95" i="148"/>
  <c r="D95" i="148"/>
  <c r="J95" i="148"/>
  <c r="E95" i="148"/>
  <c r="F95" i="148"/>
  <c r="C95" i="148"/>
  <c r="I96" i="148"/>
  <c r="D96" i="148"/>
  <c r="J96" i="148"/>
  <c r="E96" i="148"/>
  <c r="F96" i="148"/>
  <c r="C96" i="148"/>
  <c r="I97" i="148"/>
  <c r="D97" i="148"/>
  <c r="J97" i="148"/>
  <c r="E97" i="148"/>
  <c r="F97" i="148"/>
  <c r="C97" i="148"/>
  <c r="I98" i="148"/>
  <c r="D98" i="148"/>
  <c r="J98" i="148"/>
  <c r="E98" i="148"/>
  <c r="F98" i="148"/>
  <c r="C98" i="148"/>
  <c r="I99" i="148"/>
  <c r="D99" i="148"/>
  <c r="J99" i="148"/>
  <c r="E99" i="148"/>
  <c r="F99" i="148"/>
  <c r="C99" i="148"/>
  <c r="I100" i="148"/>
  <c r="D100" i="148"/>
  <c r="J100" i="148"/>
  <c r="E100" i="148"/>
  <c r="F100" i="148"/>
  <c r="C100" i="148"/>
  <c r="I101" i="148"/>
  <c r="D101" i="148"/>
  <c r="J101" i="148"/>
  <c r="E101" i="148"/>
  <c r="F101" i="148"/>
  <c r="C101" i="148"/>
  <c r="I102" i="148"/>
  <c r="D102" i="148"/>
  <c r="J102" i="148"/>
  <c r="E102" i="148"/>
  <c r="F102" i="148"/>
  <c r="C102" i="148"/>
  <c r="I103" i="148"/>
  <c r="D103" i="148"/>
  <c r="J103" i="148"/>
  <c r="E103" i="148"/>
  <c r="F103" i="148"/>
  <c r="C103" i="148"/>
  <c r="I104" i="148"/>
  <c r="D104" i="148"/>
  <c r="J104" i="148"/>
  <c r="E104" i="148"/>
  <c r="F104" i="148"/>
  <c r="C104" i="148"/>
  <c r="I105" i="148"/>
  <c r="D105" i="148"/>
  <c r="J105" i="148"/>
  <c r="E105" i="148"/>
  <c r="F105" i="148"/>
  <c r="C105" i="148"/>
  <c r="I106" i="148"/>
  <c r="D106" i="148"/>
  <c r="J106" i="148"/>
  <c r="E106" i="148"/>
  <c r="F106" i="148"/>
  <c r="C106" i="148"/>
  <c r="I107" i="148"/>
  <c r="D107" i="148"/>
  <c r="J107" i="148"/>
  <c r="E107" i="148"/>
  <c r="F107" i="148"/>
  <c r="C107" i="148"/>
  <c r="I108" i="148"/>
  <c r="D108" i="148"/>
  <c r="J108" i="148"/>
  <c r="E108" i="148"/>
  <c r="F108" i="148"/>
  <c r="C108" i="148"/>
  <c r="I109" i="148"/>
  <c r="D109" i="148"/>
  <c r="J109" i="148"/>
  <c r="E109" i="148"/>
  <c r="F109" i="148"/>
  <c r="C109" i="148"/>
  <c r="I110" i="148"/>
  <c r="D110" i="148"/>
  <c r="J110" i="148"/>
  <c r="E110" i="148"/>
  <c r="F110" i="148"/>
  <c r="C110" i="148"/>
  <c r="I111" i="148"/>
  <c r="D111" i="148"/>
  <c r="J111" i="148"/>
  <c r="E111" i="148"/>
  <c r="F111" i="148"/>
  <c r="C111" i="148"/>
  <c r="I112" i="148"/>
  <c r="D112" i="148"/>
  <c r="J112" i="148"/>
  <c r="E112" i="148"/>
  <c r="F112" i="148"/>
  <c r="C112" i="148"/>
  <c r="I113" i="148"/>
  <c r="D113" i="148"/>
  <c r="J113" i="148"/>
  <c r="E113" i="148"/>
  <c r="F113" i="148"/>
  <c r="C113" i="148"/>
  <c r="I114" i="148"/>
  <c r="D114" i="148"/>
  <c r="J114" i="148"/>
  <c r="E114" i="148"/>
  <c r="F114" i="148"/>
  <c r="C114" i="148"/>
  <c r="I115" i="148"/>
  <c r="D115" i="148"/>
  <c r="J115" i="148"/>
  <c r="E115" i="148"/>
  <c r="F115" i="148"/>
  <c r="C115" i="148"/>
  <c r="I116" i="148"/>
  <c r="D116" i="148"/>
  <c r="J116" i="148"/>
  <c r="E116" i="148"/>
  <c r="F116" i="148"/>
  <c r="C116" i="148"/>
  <c r="I117" i="148"/>
  <c r="D117" i="148"/>
  <c r="J117" i="148"/>
  <c r="E117" i="148"/>
  <c r="F117" i="148"/>
  <c r="C117" i="148"/>
  <c r="I118" i="148"/>
  <c r="D118" i="148"/>
  <c r="J118" i="148"/>
  <c r="E118" i="148"/>
  <c r="F118" i="148"/>
  <c r="C118" i="148"/>
  <c r="I119" i="148"/>
  <c r="D119" i="148"/>
  <c r="J119" i="148"/>
  <c r="E119" i="148"/>
  <c r="F119" i="148"/>
  <c r="C119" i="148"/>
  <c r="I120" i="148"/>
  <c r="D120" i="148"/>
  <c r="J120" i="148"/>
  <c r="E120" i="148"/>
  <c r="F120" i="148"/>
  <c r="C120" i="148"/>
  <c r="I121" i="148"/>
  <c r="D121" i="148"/>
  <c r="J121" i="148"/>
  <c r="E121" i="148"/>
  <c r="F121" i="148"/>
  <c r="C121" i="148"/>
  <c r="I122" i="148"/>
  <c r="D122" i="148"/>
  <c r="J122" i="148"/>
  <c r="E122" i="148"/>
  <c r="F122" i="148"/>
  <c r="C122" i="148"/>
  <c r="I123" i="148"/>
  <c r="D123" i="148"/>
  <c r="J123" i="148"/>
  <c r="E123" i="148"/>
  <c r="F123" i="148"/>
  <c r="C123" i="148"/>
  <c r="I124" i="148"/>
  <c r="D124" i="148"/>
  <c r="J124" i="148"/>
  <c r="E124" i="148"/>
  <c r="F124" i="148"/>
  <c r="C124" i="148"/>
  <c r="I125" i="148"/>
  <c r="D125" i="148"/>
  <c r="J125" i="148"/>
  <c r="E125" i="148"/>
  <c r="F125" i="148"/>
  <c r="C125" i="148"/>
  <c r="I126" i="148"/>
  <c r="D126" i="148"/>
  <c r="J126" i="148"/>
  <c r="E126" i="148"/>
  <c r="F126" i="148"/>
  <c r="C126" i="148"/>
  <c r="I127" i="148"/>
  <c r="D127" i="148"/>
  <c r="J127" i="148"/>
  <c r="E127" i="148"/>
  <c r="F127" i="148"/>
  <c r="C127" i="148"/>
  <c r="I128" i="148"/>
  <c r="D128" i="148"/>
  <c r="J128" i="148"/>
  <c r="E128" i="148"/>
  <c r="F128" i="148"/>
  <c r="C128" i="148"/>
  <c r="I129" i="148"/>
  <c r="D129" i="148"/>
  <c r="J129" i="148"/>
  <c r="E129" i="148"/>
  <c r="F129" i="148"/>
  <c r="C129" i="148"/>
  <c r="I130" i="148"/>
  <c r="D130" i="148"/>
  <c r="J130" i="148"/>
  <c r="E130" i="148"/>
  <c r="F130" i="148"/>
  <c r="C130" i="148"/>
  <c r="I131" i="148"/>
  <c r="D131" i="148"/>
  <c r="J131" i="148"/>
  <c r="E131" i="148"/>
  <c r="F131" i="148"/>
  <c r="C131" i="148"/>
  <c r="I132" i="148"/>
  <c r="D132" i="148"/>
  <c r="J132" i="148"/>
  <c r="E132" i="148"/>
  <c r="F132" i="148"/>
  <c r="C132" i="148"/>
  <c r="I133" i="148"/>
  <c r="D133" i="148"/>
  <c r="J133" i="148"/>
  <c r="E133" i="148"/>
  <c r="F133" i="148"/>
  <c r="C133" i="148"/>
  <c r="I134" i="148"/>
  <c r="D134" i="148"/>
  <c r="J134" i="148"/>
  <c r="E134" i="148"/>
  <c r="F134" i="148"/>
  <c r="C134" i="148"/>
  <c r="I135" i="148"/>
  <c r="D135" i="148"/>
  <c r="J135" i="148"/>
  <c r="E135" i="148"/>
  <c r="F135" i="148"/>
  <c r="C135" i="148"/>
  <c r="I136" i="148"/>
  <c r="D136" i="148"/>
  <c r="J136" i="148"/>
  <c r="E136" i="148"/>
  <c r="F136" i="148"/>
  <c r="C136" i="148"/>
  <c r="I137" i="148"/>
  <c r="D137" i="148"/>
  <c r="J137" i="148"/>
  <c r="E137" i="148"/>
  <c r="F137" i="148"/>
  <c r="C137" i="148"/>
  <c r="I138" i="148"/>
  <c r="D138" i="148"/>
  <c r="J138" i="148"/>
  <c r="E138" i="148"/>
  <c r="F138" i="148"/>
  <c r="C138" i="148"/>
  <c r="I139" i="148"/>
  <c r="D139" i="148"/>
  <c r="J139" i="148"/>
  <c r="E139" i="148"/>
  <c r="F139" i="148"/>
  <c r="C139" i="148"/>
  <c r="I140" i="148"/>
  <c r="D140" i="148"/>
  <c r="J140" i="148"/>
  <c r="E140" i="148"/>
  <c r="F140" i="148"/>
  <c r="C140" i="148"/>
  <c r="I141" i="148"/>
  <c r="D141" i="148"/>
  <c r="J141" i="148"/>
  <c r="E141" i="148"/>
  <c r="F141" i="148"/>
  <c r="C141" i="148"/>
  <c r="I142" i="148"/>
  <c r="D142" i="148"/>
  <c r="J142" i="148"/>
  <c r="E142" i="148"/>
  <c r="F142" i="148"/>
  <c r="C142" i="148"/>
  <c r="I143" i="148"/>
  <c r="D143" i="148"/>
  <c r="J143" i="148"/>
  <c r="E143" i="148"/>
  <c r="F143" i="148"/>
  <c r="C143" i="148"/>
  <c r="I144" i="148"/>
  <c r="D144" i="148"/>
  <c r="J144" i="148"/>
  <c r="E144" i="148"/>
  <c r="F144" i="148"/>
  <c r="C144" i="148"/>
  <c r="I145" i="148"/>
  <c r="D145" i="148"/>
  <c r="J145" i="148"/>
  <c r="E145" i="148"/>
  <c r="F145" i="148"/>
  <c r="C145" i="148"/>
  <c r="I146" i="148"/>
  <c r="D146" i="148"/>
  <c r="J146" i="148"/>
  <c r="E146" i="148"/>
  <c r="F146" i="148"/>
  <c r="C146" i="148"/>
  <c r="I147" i="148"/>
  <c r="D147" i="148"/>
  <c r="J147" i="148"/>
  <c r="E147" i="148"/>
  <c r="F147" i="148"/>
  <c r="C147" i="148"/>
  <c r="I148" i="148"/>
  <c r="D148" i="148"/>
  <c r="J148" i="148"/>
  <c r="E148" i="148"/>
  <c r="F148" i="148"/>
  <c r="C148" i="148"/>
  <c r="I149" i="148"/>
  <c r="D149" i="148"/>
  <c r="J149" i="148"/>
  <c r="E149" i="148"/>
  <c r="F149" i="148"/>
  <c r="C149" i="148"/>
  <c r="I150" i="148"/>
  <c r="D150" i="148"/>
  <c r="J150" i="148"/>
  <c r="E150" i="148"/>
  <c r="F150" i="148"/>
  <c r="C150" i="148"/>
  <c r="I151" i="148"/>
  <c r="D151" i="148"/>
  <c r="J151" i="148"/>
  <c r="E151" i="148"/>
  <c r="F151" i="148"/>
  <c r="C151" i="148"/>
  <c r="I152" i="148"/>
  <c r="D152" i="148"/>
  <c r="J152" i="148"/>
  <c r="E152" i="148"/>
  <c r="F152" i="148"/>
  <c r="C152" i="148"/>
  <c r="I153" i="148"/>
  <c r="D153" i="148"/>
  <c r="J153" i="148"/>
  <c r="E153" i="148"/>
  <c r="F153" i="148"/>
  <c r="C153" i="148"/>
  <c r="I154" i="148"/>
  <c r="D154" i="148"/>
  <c r="J154" i="148"/>
  <c r="E154" i="148"/>
  <c r="F154" i="148"/>
  <c r="C154" i="148"/>
  <c r="I155" i="148"/>
  <c r="D155" i="148"/>
  <c r="J155" i="148"/>
  <c r="E155" i="148"/>
  <c r="F155" i="148"/>
  <c r="C155" i="148"/>
  <c r="I156" i="148"/>
  <c r="D156" i="148"/>
  <c r="J156" i="148"/>
  <c r="E156" i="148"/>
  <c r="F156" i="148"/>
  <c r="C156" i="148"/>
  <c r="I157" i="148"/>
  <c r="D157" i="148"/>
  <c r="J157" i="148"/>
  <c r="E157" i="148"/>
  <c r="F157" i="148"/>
  <c r="C157" i="148"/>
  <c r="I158" i="148"/>
  <c r="D158" i="148"/>
  <c r="J158" i="148"/>
  <c r="E158" i="148"/>
  <c r="F158" i="148"/>
  <c r="C158" i="148"/>
  <c r="I159" i="148"/>
  <c r="D159" i="148"/>
  <c r="J159" i="148"/>
  <c r="E159" i="148"/>
  <c r="F159" i="148"/>
  <c r="C159" i="148"/>
  <c r="I160" i="148"/>
  <c r="D160" i="148"/>
  <c r="J160" i="148"/>
  <c r="E160" i="148"/>
  <c r="F160" i="148"/>
  <c r="C160" i="148"/>
  <c r="I161" i="148"/>
  <c r="D161" i="148"/>
  <c r="J161" i="148"/>
  <c r="E161" i="148"/>
  <c r="F161" i="148"/>
  <c r="C161" i="148"/>
  <c r="I162" i="148"/>
  <c r="D162" i="148"/>
  <c r="J162" i="148"/>
  <c r="E162" i="148"/>
  <c r="F162" i="148"/>
  <c r="C162" i="148"/>
  <c r="I163" i="148"/>
  <c r="D163" i="148"/>
  <c r="J163" i="148"/>
  <c r="E163" i="148"/>
  <c r="F163" i="148"/>
  <c r="C163" i="148"/>
  <c r="I164" i="148"/>
  <c r="D164" i="148"/>
  <c r="J164" i="148"/>
  <c r="E164" i="148"/>
  <c r="F164" i="148"/>
  <c r="C164" i="148"/>
  <c r="I165" i="148"/>
  <c r="D165" i="148"/>
  <c r="J165" i="148"/>
  <c r="E165" i="148"/>
  <c r="F165" i="148"/>
  <c r="C165" i="148"/>
  <c r="I166" i="148"/>
  <c r="D166" i="148"/>
  <c r="J166" i="148"/>
  <c r="E166" i="148"/>
  <c r="F166" i="148"/>
  <c r="C166" i="148"/>
  <c r="I167" i="148"/>
  <c r="D167" i="148"/>
  <c r="J167" i="148"/>
  <c r="E167" i="148"/>
  <c r="F167" i="148"/>
  <c r="C167" i="148"/>
  <c r="I168" i="148"/>
  <c r="D168" i="148"/>
  <c r="J168" i="148"/>
  <c r="E168" i="148"/>
  <c r="F168" i="148"/>
  <c r="C168" i="148"/>
  <c r="I169" i="148"/>
  <c r="D169" i="148"/>
  <c r="J169" i="148"/>
  <c r="E169" i="148"/>
  <c r="F169" i="148"/>
  <c r="C169" i="148"/>
  <c r="I170" i="148"/>
  <c r="D170" i="148"/>
  <c r="J170" i="148"/>
  <c r="E170" i="148"/>
  <c r="F170" i="148"/>
  <c r="C170" i="148"/>
  <c r="I171" i="148"/>
  <c r="D171" i="148"/>
  <c r="J171" i="148"/>
  <c r="E171" i="148"/>
  <c r="F171" i="148"/>
  <c r="C171" i="148"/>
  <c r="I172" i="148"/>
  <c r="D172" i="148"/>
  <c r="J172" i="148"/>
  <c r="E172" i="148"/>
  <c r="F172" i="148"/>
  <c r="C172" i="148"/>
  <c r="I173" i="148"/>
  <c r="D173" i="148"/>
  <c r="J173" i="148"/>
  <c r="E173" i="148"/>
  <c r="F173" i="148"/>
  <c r="C173" i="148"/>
  <c r="I174" i="148"/>
  <c r="D174" i="148"/>
  <c r="J174" i="148"/>
  <c r="E174" i="148"/>
  <c r="F174" i="148"/>
  <c r="C174" i="148"/>
  <c r="I175" i="148"/>
  <c r="D175" i="148"/>
  <c r="J175" i="148"/>
  <c r="E175" i="148"/>
  <c r="F175" i="148"/>
  <c r="C175" i="148"/>
  <c r="I176" i="148"/>
  <c r="D176" i="148"/>
  <c r="J176" i="148"/>
  <c r="E176" i="148"/>
  <c r="F176" i="148"/>
  <c r="C176" i="148"/>
  <c r="I177" i="148"/>
  <c r="D177" i="148"/>
  <c r="J177" i="148"/>
  <c r="E177" i="148"/>
  <c r="F177" i="148"/>
  <c r="C177" i="148"/>
  <c r="I178" i="148"/>
  <c r="D178" i="148"/>
  <c r="J178" i="148"/>
  <c r="E178" i="148"/>
  <c r="F178" i="148"/>
  <c r="C178" i="148"/>
  <c r="I179" i="148"/>
  <c r="D179" i="148"/>
  <c r="J179" i="148"/>
  <c r="E179" i="148"/>
  <c r="F179" i="148"/>
  <c r="C179" i="148"/>
  <c r="I180" i="148"/>
  <c r="D180" i="148"/>
  <c r="J180" i="148"/>
  <c r="E180" i="148"/>
  <c r="F180" i="148"/>
  <c r="C180" i="148"/>
  <c r="I181" i="148"/>
  <c r="D181" i="148"/>
  <c r="J181" i="148"/>
  <c r="E181" i="148"/>
  <c r="F181" i="148"/>
  <c r="C181" i="148"/>
  <c r="I182" i="148"/>
  <c r="D182" i="148"/>
  <c r="J182" i="148"/>
  <c r="E182" i="148"/>
  <c r="F182" i="148"/>
  <c r="C182" i="148"/>
  <c r="I183" i="148"/>
  <c r="D183" i="148"/>
  <c r="J183" i="148"/>
  <c r="E183" i="148"/>
  <c r="F183" i="148"/>
  <c r="C183" i="148"/>
  <c r="I184" i="148"/>
  <c r="D184" i="148"/>
  <c r="J184" i="148"/>
  <c r="E184" i="148"/>
  <c r="F184" i="148"/>
  <c r="C184" i="148"/>
  <c r="I185" i="148"/>
  <c r="D185" i="148"/>
  <c r="J185" i="148"/>
  <c r="E185" i="148"/>
  <c r="F185" i="148"/>
  <c r="C185" i="148"/>
  <c r="I186" i="148"/>
  <c r="D186" i="148"/>
  <c r="J186" i="148"/>
  <c r="E186" i="148"/>
  <c r="F186" i="148"/>
  <c r="C186" i="148"/>
  <c r="I187" i="148"/>
  <c r="D187" i="148"/>
  <c r="J187" i="148"/>
  <c r="E187" i="148"/>
  <c r="F187" i="148"/>
  <c r="C187" i="148"/>
  <c r="I188" i="148"/>
  <c r="D188" i="148"/>
  <c r="J188" i="148"/>
  <c r="E188" i="148"/>
  <c r="F188" i="148"/>
  <c r="C188" i="148"/>
  <c r="I189" i="148"/>
  <c r="D189" i="148"/>
  <c r="J189" i="148"/>
  <c r="E189" i="148"/>
  <c r="F189" i="148"/>
  <c r="C189" i="148"/>
  <c r="I190" i="148"/>
  <c r="D190" i="148"/>
  <c r="J190" i="148"/>
  <c r="E190" i="148"/>
  <c r="F190" i="148"/>
  <c r="C190" i="148"/>
  <c r="I191" i="148"/>
  <c r="D191" i="148"/>
  <c r="J191" i="148"/>
  <c r="E191" i="148"/>
  <c r="F191" i="148"/>
  <c r="C191" i="148"/>
  <c r="I192" i="148"/>
  <c r="D192" i="148"/>
  <c r="J192" i="148"/>
  <c r="E192" i="148"/>
  <c r="F192" i="148"/>
  <c r="C192" i="148"/>
  <c r="I193" i="148"/>
  <c r="D193" i="148"/>
  <c r="J193" i="148"/>
  <c r="E193" i="148"/>
  <c r="F193" i="148"/>
  <c r="C193" i="148"/>
  <c r="I194" i="148"/>
  <c r="D194" i="148"/>
  <c r="J194" i="148"/>
  <c r="E194" i="148"/>
  <c r="F194" i="148"/>
  <c r="C194" i="148"/>
  <c r="I195" i="148"/>
  <c r="D195" i="148"/>
  <c r="J195" i="148"/>
  <c r="E195" i="148"/>
  <c r="F195" i="148"/>
  <c r="C195" i="148"/>
  <c r="I196" i="148"/>
  <c r="D196" i="148"/>
  <c r="J196" i="148"/>
  <c r="E196" i="148"/>
  <c r="F196" i="148"/>
  <c r="C196" i="148"/>
  <c r="I197" i="148"/>
  <c r="D197" i="148"/>
  <c r="J197" i="148"/>
  <c r="E197" i="148"/>
  <c r="F197" i="148"/>
  <c r="C197" i="148"/>
  <c r="I198" i="148"/>
  <c r="D198" i="148"/>
  <c r="J198" i="148"/>
  <c r="E198" i="148"/>
  <c r="F198" i="148"/>
  <c r="C198" i="148"/>
  <c r="I199" i="148"/>
  <c r="D199" i="148"/>
  <c r="J199" i="148"/>
  <c r="E199" i="148"/>
  <c r="F199" i="148"/>
  <c r="C199" i="148"/>
  <c r="I200" i="148"/>
  <c r="D200" i="148"/>
  <c r="J200" i="148"/>
  <c r="E200" i="148"/>
  <c r="F200" i="148"/>
  <c r="C200" i="148"/>
  <c r="I201" i="148"/>
  <c r="D201" i="148"/>
  <c r="J201" i="148"/>
  <c r="E201" i="148"/>
  <c r="F201" i="148"/>
  <c r="C201" i="148"/>
  <c r="I202" i="148"/>
  <c r="D202" i="148"/>
  <c r="J202" i="148"/>
  <c r="E202" i="148"/>
  <c r="F202" i="148"/>
  <c r="C202" i="148"/>
  <c r="I203" i="148"/>
  <c r="D203" i="148"/>
  <c r="J203" i="148"/>
  <c r="E203" i="148"/>
  <c r="F203" i="148"/>
  <c r="C203" i="148"/>
  <c r="I204" i="148"/>
  <c r="D204" i="148"/>
  <c r="J204" i="148"/>
  <c r="E204" i="148"/>
  <c r="F204" i="148"/>
  <c r="C204" i="148"/>
  <c r="I205" i="148"/>
  <c r="D205" i="148"/>
  <c r="J205" i="148"/>
  <c r="E205" i="148"/>
  <c r="F205" i="148"/>
  <c r="C205" i="148"/>
  <c r="I206" i="148"/>
  <c r="D206" i="148"/>
  <c r="J206" i="148"/>
  <c r="E206" i="148"/>
  <c r="F206" i="148"/>
  <c r="C206" i="148"/>
  <c r="I207" i="148"/>
  <c r="D207" i="148"/>
  <c r="J207" i="148"/>
  <c r="E207" i="148"/>
  <c r="F207" i="148"/>
  <c r="C207" i="148"/>
  <c r="I208" i="148"/>
  <c r="D208" i="148"/>
  <c r="J208" i="148"/>
  <c r="E208" i="148"/>
  <c r="F208" i="148"/>
  <c r="C208" i="148"/>
  <c r="I209" i="148"/>
  <c r="D209" i="148"/>
  <c r="J209" i="148"/>
  <c r="E209" i="148"/>
  <c r="F209" i="148"/>
  <c r="C209" i="148"/>
  <c r="I210" i="148"/>
  <c r="D210" i="148"/>
  <c r="J210" i="148"/>
  <c r="E210" i="148"/>
  <c r="F210" i="148"/>
  <c r="C210" i="148"/>
  <c r="I211" i="148"/>
  <c r="D211" i="148"/>
  <c r="J211" i="148"/>
  <c r="E211" i="148"/>
  <c r="F211" i="148"/>
  <c r="C211" i="148"/>
  <c r="I212" i="148"/>
  <c r="D212" i="148"/>
  <c r="J212" i="148"/>
  <c r="E212" i="148"/>
  <c r="F212" i="148"/>
  <c r="C212" i="148"/>
  <c r="I213" i="148"/>
  <c r="D213" i="148"/>
  <c r="J213" i="148"/>
  <c r="E213" i="148"/>
  <c r="F213" i="148"/>
  <c r="C213" i="148"/>
  <c r="I214" i="148"/>
  <c r="D214" i="148"/>
  <c r="J214" i="148"/>
  <c r="E214" i="148"/>
  <c r="F214" i="148"/>
  <c r="C214" i="148"/>
  <c r="I215" i="148"/>
  <c r="D215" i="148"/>
  <c r="J215" i="148"/>
  <c r="E215" i="148"/>
  <c r="F215" i="148"/>
  <c r="C215" i="148"/>
  <c r="I216" i="148"/>
  <c r="D216" i="148"/>
  <c r="J216" i="148"/>
  <c r="E216" i="148"/>
  <c r="F216" i="148"/>
  <c r="C216" i="148"/>
  <c r="I217" i="148"/>
  <c r="D217" i="148"/>
  <c r="J217" i="148"/>
  <c r="E217" i="148"/>
  <c r="F217" i="148"/>
  <c r="C217" i="148"/>
  <c r="I218" i="148"/>
  <c r="D218" i="148"/>
  <c r="J218" i="148"/>
  <c r="E218" i="148"/>
  <c r="F218" i="148"/>
  <c r="C218" i="148"/>
  <c r="I219" i="148"/>
  <c r="D219" i="148"/>
  <c r="J219" i="148"/>
  <c r="E219" i="148"/>
  <c r="F219" i="148"/>
  <c r="C219" i="148"/>
  <c r="I220" i="148"/>
  <c r="D220" i="148"/>
  <c r="J220" i="148"/>
  <c r="E220" i="148"/>
  <c r="F220" i="148"/>
  <c r="C220" i="148"/>
  <c r="I221" i="148"/>
  <c r="D221" i="148"/>
  <c r="J221" i="148"/>
  <c r="E221" i="148"/>
  <c r="F221" i="148"/>
  <c r="C221" i="148"/>
  <c r="I222" i="148"/>
  <c r="D222" i="148"/>
  <c r="J222" i="148"/>
  <c r="E222" i="148"/>
  <c r="F222" i="148"/>
  <c r="C222" i="148"/>
  <c r="I223" i="148"/>
  <c r="D223" i="148"/>
  <c r="J223" i="148"/>
  <c r="E223" i="148"/>
  <c r="F223" i="148"/>
  <c r="C223" i="148"/>
  <c r="I224" i="148"/>
  <c r="D224" i="148"/>
  <c r="J224" i="148"/>
  <c r="E224" i="148"/>
  <c r="F224" i="148"/>
  <c r="C224" i="148"/>
  <c r="I225" i="148"/>
  <c r="D225" i="148"/>
  <c r="J225" i="148"/>
  <c r="E225" i="148"/>
  <c r="F225" i="148"/>
  <c r="C225" i="148"/>
  <c r="I226" i="148"/>
  <c r="D226" i="148"/>
  <c r="J226" i="148"/>
  <c r="E226" i="148"/>
  <c r="F226" i="148"/>
  <c r="C226" i="148"/>
  <c r="I227" i="148"/>
  <c r="D227" i="148"/>
  <c r="J227" i="148"/>
  <c r="E227" i="148"/>
  <c r="F227" i="148"/>
  <c r="C227" i="148"/>
  <c r="I228" i="148"/>
  <c r="D228" i="148"/>
  <c r="J228" i="148"/>
  <c r="E228" i="148"/>
  <c r="F228" i="148"/>
  <c r="C228" i="148"/>
  <c r="I229" i="148"/>
  <c r="D229" i="148"/>
  <c r="J229" i="148"/>
  <c r="E229" i="148"/>
  <c r="F229" i="148"/>
  <c r="C229" i="148"/>
  <c r="I230" i="148"/>
  <c r="D230" i="148"/>
  <c r="J230" i="148"/>
  <c r="E230" i="148"/>
  <c r="F230" i="148"/>
  <c r="C230" i="148"/>
  <c r="I231" i="148"/>
  <c r="D231" i="148"/>
  <c r="J231" i="148"/>
  <c r="E231" i="148"/>
  <c r="F231" i="148"/>
  <c r="C231" i="148"/>
  <c r="I232" i="148"/>
  <c r="D232" i="148"/>
  <c r="J232" i="148"/>
  <c r="E232" i="148"/>
  <c r="F232" i="148"/>
  <c r="C232" i="148"/>
  <c r="I233" i="148"/>
  <c r="D233" i="148"/>
  <c r="J233" i="148"/>
  <c r="E233" i="148"/>
  <c r="F233" i="148"/>
  <c r="C233" i="148"/>
  <c r="I234" i="148"/>
  <c r="D234" i="148"/>
  <c r="J234" i="148"/>
  <c r="E234" i="148"/>
  <c r="F234" i="148"/>
  <c r="C234" i="148"/>
  <c r="I235" i="148"/>
  <c r="D235" i="148"/>
  <c r="J235" i="148"/>
  <c r="E235" i="148"/>
  <c r="F235" i="148"/>
  <c r="C235" i="148"/>
  <c r="I236" i="148"/>
  <c r="D236" i="148"/>
  <c r="J236" i="148"/>
  <c r="E236" i="148"/>
  <c r="F236" i="148"/>
  <c r="C236" i="148"/>
  <c r="I237" i="148"/>
  <c r="D237" i="148"/>
  <c r="J237" i="148"/>
  <c r="E237" i="148"/>
  <c r="F237" i="148"/>
  <c r="C237" i="148"/>
  <c r="I238" i="148"/>
  <c r="D238" i="148"/>
  <c r="J238" i="148"/>
  <c r="E238" i="148"/>
  <c r="F238" i="148"/>
  <c r="C238" i="148"/>
  <c r="I239" i="148"/>
  <c r="D239" i="148"/>
  <c r="J239" i="148"/>
  <c r="E239" i="148"/>
  <c r="F239" i="148"/>
  <c r="C239" i="148"/>
  <c r="I240" i="148"/>
  <c r="D240" i="148"/>
  <c r="J240" i="148"/>
  <c r="E240" i="148"/>
  <c r="F240" i="148"/>
  <c r="C240" i="148"/>
  <c r="I241" i="148"/>
  <c r="D241" i="148"/>
  <c r="J241" i="148"/>
  <c r="E241" i="148"/>
  <c r="F241" i="148"/>
  <c r="C241" i="148"/>
  <c r="I242" i="148"/>
  <c r="D242" i="148"/>
  <c r="J242" i="148"/>
  <c r="E242" i="148"/>
  <c r="F242" i="148"/>
  <c r="C242" i="148"/>
  <c r="I243" i="148"/>
  <c r="D243" i="148"/>
  <c r="J243" i="148"/>
  <c r="E243" i="148"/>
  <c r="F243" i="148"/>
  <c r="C243" i="148"/>
  <c r="I244" i="148"/>
  <c r="D244" i="148"/>
  <c r="J244" i="148"/>
  <c r="E244" i="148"/>
  <c r="F244" i="148"/>
  <c r="C244" i="148"/>
  <c r="I245" i="148"/>
  <c r="D245" i="148"/>
  <c r="J245" i="148"/>
  <c r="E245" i="148"/>
  <c r="F245" i="148"/>
  <c r="C245" i="148"/>
  <c r="I246" i="148"/>
  <c r="D246" i="148"/>
  <c r="J246" i="148"/>
  <c r="E246" i="148"/>
  <c r="F246" i="148"/>
  <c r="C246" i="148"/>
  <c r="I247" i="148"/>
  <c r="D247" i="148"/>
  <c r="J247" i="148"/>
  <c r="E247" i="148"/>
  <c r="F247" i="148"/>
  <c r="C247" i="148"/>
  <c r="I248" i="148"/>
  <c r="D248" i="148"/>
  <c r="J248" i="148"/>
  <c r="E248" i="148"/>
  <c r="F248" i="148"/>
  <c r="C248" i="148"/>
  <c r="I249" i="148"/>
  <c r="D249" i="148"/>
  <c r="J249" i="148"/>
  <c r="E249" i="148"/>
  <c r="F249" i="148"/>
  <c r="C249" i="148"/>
  <c r="I250" i="148"/>
  <c r="D250" i="148"/>
  <c r="J250" i="148"/>
  <c r="E250" i="148"/>
  <c r="F250" i="148"/>
  <c r="C250" i="148"/>
  <c r="I251" i="148"/>
  <c r="D251" i="148"/>
  <c r="J251" i="148"/>
  <c r="E251" i="148"/>
  <c r="F251" i="148"/>
  <c r="C251" i="148"/>
  <c r="I252" i="148"/>
  <c r="D252" i="148"/>
  <c r="J252" i="148"/>
  <c r="E252" i="148"/>
  <c r="F252" i="148"/>
  <c r="C252" i="148"/>
  <c r="I253" i="148"/>
  <c r="D253" i="148"/>
  <c r="J253" i="148"/>
  <c r="E253" i="148"/>
  <c r="F253" i="148"/>
  <c r="C253" i="148"/>
  <c r="I254" i="148"/>
  <c r="D254" i="148"/>
  <c r="J254" i="148"/>
  <c r="E254" i="148"/>
  <c r="F254" i="148"/>
  <c r="C254" i="148"/>
  <c r="I255" i="148"/>
  <c r="D255" i="148"/>
  <c r="J255" i="148"/>
  <c r="E255" i="148"/>
  <c r="F255" i="148"/>
  <c r="C255" i="148"/>
  <c r="I256" i="148"/>
  <c r="D256" i="148"/>
  <c r="J256" i="148"/>
  <c r="E256" i="148"/>
  <c r="F256" i="148"/>
  <c r="C256" i="148"/>
  <c r="I257" i="148"/>
  <c r="D257" i="148"/>
  <c r="J257" i="148"/>
  <c r="E257" i="148"/>
  <c r="F257" i="148"/>
  <c r="C257" i="148"/>
  <c r="I258" i="148"/>
  <c r="D258" i="148"/>
  <c r="J258" i="148"/>
  <c r="E258" i="148"/>
  <c r="F258" i="148"/>
  <c r="C258" i="148"/>
  <c r="I259" i="148"/>
  <c r="D259" i="148"/>
  <c r="J259" i="148"/>
  <c r="E259" i="148"/>
  <c r="F259" i="148"/>
  <c r="C259" i="148"/>
  <c r="I260" i="148"/>
  <c r="D260" i="148"/>
  <c r="J260" i="148"/>
  <c r="E260" i="148"/>
  <c r="F260" i="148"/>
  <c r="C260" i="148"/>
  <c r="I261" i="148"/>
  <c r="D261" i="148"/>
  <c r="J261" i="148"/>
  <c r="E261" i="148"/>
  <c r="F261" i="148"/>
  <c r="C261" i="148"/>
  <c r="I262" i="148"/>
  <c r="D262" i="148"/>
  <c r="J262" i="148"/>
  <c r="E262" i="148"/>
  <c r="F262" i="148"/>
  <c r="C262" i="148"/>
  <c r="I263" i="148"/>
  <c r="D263" i="148"/>
  <c r="J263" i="148"/>
  <c r="E263" i="148"/>
  <c r="F263" i="148"/>
  <c r="C263" i="148"/>
  <c r="I264" i="148"/>
  <c r="D264" i="148"/>
  <c r="J264" i="148"/>
  <c r="E264" i="148"/>
  <c r="F264" i="148"/>
  <c r="C264" i="148"/>
  <c r="I265" i="148"/>
  <c r="D265" i="148"/>
  <c r="J265" i="148"/>
  <c r="E265" i="148"/>
  <c r="F265" i="148"/>
  <c r="C265" i="148"/>
  <c r="I266" i="148"/>
  <c r="D266" i="148"/>
  <c r="J266" i="148"/>
  <c r="E266" i="148"/>
  <c r="F266" i="148"/>
  <c r="C266" i="148"/>
  <c r="I267" i="148"/>
  <c r="D267" i="148"/>
  <c r="J267" i="148"/>
  <c r="E267" i="148"/>
  <c r="F267" i="148"/>
  <c r="C267" i="148"/>
  <c r="I268" i="148"/>
  <c r="D268" i="148"/>
  <c r="J268" i="148"/>
  <c r="E268" i="148"/>
  <c r="F268" i="148"/>
  <c r="C268" i="148"/>
  <c r="I269" i="148"/>
  <c r="D269" i="148"/>
  <c r="J269" i="148"/>
  <c r="E269" i="148"/>
  <c r="F269" i="148"/>
  <c r="C269" i="148"/>
  <c r="I270" i="148"/>
  <c r="D270" i="148"/>
  <c r="J270" i="148"/>
  <c r="E270" i="148"/>
  <c r="F270" i="148"/>
  <c r="C270" i="148"/>
  <c r="I271" i="148"/>
  <c r="D271" i="148"/>
  <c r="J271" i="148"/>
  <c r="E271" i="148"/>
  <c r="F271" i="148"/>
  <c r="C271" i="148"/>
  <c r="I272" i="148"/>
  <c r="D272" i="148"/>
  <c r="J272" i="148"/>
  <c r="E272" i="148"/>
  <c r="F272" i="148"/>
  <c r="C272" i="148"/>
  <c r="I273" i="148"/>
  <c r="D273" i="148"/>
  <c r="J273" i="148"/>
  <c r="E273" i="148"/>
  <c r="F273" i="148"/>
  <c r="C273" i="148"/>
  <c r="I274" i="148"/>
  <c r="D274" i="148"/>
  <c r="J274" i="148"/>
  <c r="E274" i="148"/>
  <c r="F274" i="148"/>
  <c r="C274" i="148"/>
  <c r="I275" i="148"/>
  <c r="D275" i="148"/>
  <c r="J275" i="148"/>
  <c r="E275" i="148"/>
  <c r="F275" i="148"/>
  <c r="C275" i="148"/>
  <c r="I276" i="148"/>
  <c r="D276" i="148"/>
  <c r="J276" i="148"/>
  <c r="E276" i="148"/>
  <c r="F276" i="148"/>
  <c r="C276" i="148"/>
  <c r="I277" i="148"/>
  <c r="D277" i="148"/>
  <c r="J277" i="148"/>
  <c r="E277" i="148"/>
  <c r="F277" i="148"/>
  <c r="C277" i="148"/>
  <c r="I278" i="148"/>
  <c r="D278" i="148"/>
  <c r="J278" i="148"/>
  <c r="E278" i="148"/>
  <c r="F278" i="148"/>
  <c r="C278" i="148"/>
  <c r="I279" i="148"/>
  <c r="D279" i="148"/>
  <c r="J279" i="148"/>
  <c r="E279" i="148"/>
  <c r="F279" i="148"/>
  <c r="C279" i="148"/>
  <c r="I280" i="148"/>
  <c r="D280" i="148"/>
  <c r="J280" i="148"/>
  <c r="E280" i="148"/>
  <c r="F280" i="148"/>
  <c r="C280" i="148"/>
  <c r="I281" i="148"/>
  <c r="D281" i="148"/>
  <c r="J281" i="148"/>
  <c r="E281" i="148"/>
  <c r="F281" i="148"/>
  <c r="C281" i="148"/>
  <c r="I282" i="148"/>
  <c r="D282" i="148"/>
  <c r="J282" i="148"/>
  <c r="E282" i="148"/>
  <c r="F282" i="148"/>
  <c r="C282" i="148"/>
  <c r="I283" i="148"/>
  <c r="D283" i="148"/>
  <c r="J283" i="148"/>
  <c r="E283" i="148"/>
  <c r="F283" i="148"/>
  <c r="C283" i="148"/>
  <c r="F5" i="147"/>
  <c r="F6" i="147"/>
  <c r="A36" i="147"/>
  <c r="G31" i="147"/>
  <c r="Q3" i="147"/>
  <c r="Q4" i="147"/>
  <c r="Q5" i="147"/>
  <c r="Q6" i="147"/>
  <c r="Q7" i="147"/>
  <c r="Q8" i="147"/>
  <c r="Q9" i="147"/>
  <c r="Q10" i="147"/>
  <c r="Q11" i="147"/>
  <c r="Q12" i="147"/>
  <c r="Q13" i="147"/>
  <c r="Q14" i="147"/>
  <c r="Q15" i="147"/>
  <c r="Q16" i="147"/>
  <c r="Q17" i="147"/>
  <c r="Q18" i="147"/>
  <c r="Q19" i="147"/>
  <c r="Q20" i="147"/>
  <c r="E31" i="147"/>
  <c r="H31" i="147"/>
  <c r="O284" i="148"/>
  <c r="E6" i="147"/>
  <c r="E19" i="147"/>
  <c r="B19" i="147"/>
  <c r="E5" i="147"/>
  <c r="E24" i="147"/>
  <c r="B24" i="147"/>
  <c r="B17" i="147"/>
  <c r="G17" i="147"/>
  <c r="E17" i="147"/>
  <c r="H17" i="147"/>
  <c r="O2" i="148"/>
  <c r="E18" i="147"/>
  <c r="B18" i="147"/>
  <c r="G18" i="147"/>
  <c r="H18" i="147"/>
  <c r="O3" i="148"/>
  <c r="O4" i="148"/>
  <c r="O5" i="148"/>
  <c r="O6" i="148"/>
  <c r="O7" i="148"/>
  <c r="O8" i="148"/>
  <c r="O9" i="148"/>
  <c r="O10" i="148"/>
  <c r="O11" i="148"/>
  <c r="O12" i="148"/>
  <c r="O13" i="148"/>
  <c r="O14" i="148"/>
  <c r="O15" i="148"/>
  <c r="O16" i="148"/>
  <c r="O17" i="148"/>
  <c r="O18" i="148"/>
  <c r="O19" i="148"/>
  <c r="O20" i="148"/>
  <c r="O21" i="148"/>
  <c r="O22" i="148"/>
  <c r="O23" i="148"/>
  <c r="O24" i="148"/>
  <c r="O25" i="148"/>
  <c r="O26" i="148"/>
  <c r="O27" i="148"/>
  <c r="O28" i="148"/>
  <c r="O29" i="148"/>
  <c r="O30" i="148"/>
  <c r="O31" i="148"/>
  <c r="O32" i="148"/>
  <c r="O33" i="148"/>
  <c r="O34" i="148"/>
  <c r="O35" i="148"/>
  <c r="O36" i="148"/>
  <c r="O37" i="148"/>
  <c r="O38" i="148"/>
  <c r="O39" i="148"/>
  <c r="O40" i="148"/>
  <c r="O41" i="148"/>
  <c r="G24" i="147"/>
  <c r="H24" i="147"/>
  <c r="O42" i="148"/>
  <c r="E25" i="147"/>
  <c r="B25" i="147"/>
  <c r="G25" i="147"/>
  <c r="H25" i="147"/>
  <c r="O43" i="148"/>
  <c r="E26" i="147"/>
  <c r="B26" i="147"/>
  <c r="G26" i="147"/>
  <c r="H26" i="147"/>
  <c r="O44" i="148"/>
  <c r="O45" i="148"/>
  <c r="O46" i="148"/>
  <c r="O47" i="148"/>
  <c r="O48" i="148"/>
  <c r="O49" i="148"/>
  <c r="O50" i="148"/>
  <c r="G19" i="147"/>
  <c r="H19" i="147"/>
  <c r="O51" i="148"/>
  <c r="E20" i="147"/>
  <c r="B20" i="147"/>
  <c r="G20" i="147"/>
  <c r="H20" i="147"/>
  <c r="O52" i="148"/>
  <c r="E21" i="147"/>
  <c r="B21" i="147"/>
  <c r="G21" i="147"/>
  <c r="H21" i="147"/>
  <c r="O53" i="148"/>
  <c r="O54" i="148"/>
  <c r="O55" i="148"/>
  <c r="O56" i="148"/>
  <c r="O57" i="148"/>
  <c r="O58" i="148"/>
  <c r="O59" i="148"/>
  <c r="O60" i="148"/>
  <c r="O61" i="148"/>
  <c r="O62" i="148"/>
  <c r="O63" i="148"/>
  <c r="O64" i="148"/>
  <c r="O65" i="148"/>
  <c r="O66" i="148"/>
  <c r="O67" i="148"/>
  <c r="O68" i="148"/>
  <c r="O69" i="148"/>
  <c r="O70" i="148"/>
  <c r="O71" i="148"/>
  <c r="O72" i="148"/>
  <c r="O73" i="148"/>
  <c r="O74" i="148"/>
  <c r="O75" i="148"/>
  <c r="O76" i="148"/>
  <c r="O77" i="148"/>
  <c r="O78" i="148"/>
  <c r="O79" i="148"/>
  <c r="O80" i="148"/>
  <c r="O81" i="148"/>
  <c r="O82" i="148"/>
  <c r="O83" i="148"/>
  <c r="O84" i="148"/>
  <c r="O85" i="148"/>
  <c r="O86" i="148"/>
  <c r="O87" i="148"/>
  <c r="O88" i="148"/>
  <c r="O89" i="148"/>
  <c r="O90" i="148"/>
  <c r="O91" i="148"/>
  <c r="O92" i="148"/>
  <c r="O93" i="148"/>
  <c r="O94" i="148"/>
  <c r="O95" i="148"/>
  <c r="O96" i="148"/>
  <c r="O97" i="148"/>
  <c r="O98" i="148"/>
  <c r="O99" i="148"/>
  <c r="O100" i="148"/>
  <c r="O101" i="148"/>
  <c r="O102" i="148"/>
  <c r="O103" i="148"/>
  <c r="O104" i="148"/>
  <c r="O105" i="148"/>
  <c r="O106" i="148"/>
  <c r="O107" i="148"/>
  <c r="O108" i="148"/>
  <c r="O109" i="148"/>
  <c r="O110" i="148"/>
  <c r="O111" i="148"/>
  <c r="O112" i="148"/>
  <c r="O113" i="148"/>
  <c r="O114" i="148"/>
  <c r="O115" i="148"/>
  <c r="O116" i="148"/>
  <c r="O117" i="148"/>
  <c r="O118" i="148"/>
  <c r="O119" i="148"/>
  <c r="O120" i="148"/>
  <c r="O121" i="148"/>
  <c r="O122" i="148"/>
  <c r="O123" i="148"/>
  <c r="O124" i="148"/>
  <c r="O125" i="148"/>
  <c r="O126" i="148"/>
  <c r="O127" i="148"/>
  <c r="O128" i="148"/>
  <c r="O129" i="148"/>
  <c r="O130" i="148"/>
  <c r="O131" i="148"/>
  <c r="O132" i="148"/>
  <c r="O133" i="148"/>
  <c r="O134" i="148"/>
  <c r="O135" i="148"/>
  <c r="O136" i="148"/>
  <c r="O137" i="148"/>
  <c r="E27" i="147"/>
  <c r="B27" i="147"/>
  <c r="G27" i="147"/>
  <c r="H27" i="147"/>
  <c r="O138" i="148"/>
  <c r="E28" i="147"/>
  <c r="B28" i="147"/>
  <c r="G28" i="147"/>
  <c r="H28" i="147"/>
  <c r="O139" i="148"/>
  <c r="O140" i="148"/>
  <c r="O141" i="148"/>
  <c r="O142" i="148"/>
  <c r="O143" i="148"/>
  <c r="O144" i="148"/>
  <c r="O145" i="148"/>
  <c r="O146" i="148"/>
  <c r="O147" i="148"/>
  <c r="O148" i="148"/>
  <c r="O149" i="148"/>
  <c r="O150" i="148"/>
  <c r="O151" i="148"/>
  <c r="O152" i="148"/>
  <c r="O153" i="148"/>
  <c r="O154" i="148"/>
  <c r="O155" i="148"/>
  <c r="O156" i="148"/>
  <c r="O157" i="148"/>
  <c r="O158" i="148"/>
  <c r="O159" i="148"/>
  <c r="O160" i="148"/>
  <c r="O161" i="148"/>
  <c r="O162" i="148"/>
  <c r="O163" i="148"/>
  <c r="O164" i="148"/>
  <c r="O165" i="148"/>
  <c r="O166" i="148"/>
  <c r="O167" i="148"/>
  <c r="O168" i="148"/>
  <c r="O169" i="148"/>
  <c r="O170" i="148"/>
  <c r="O171" i="148"/>
  <c r="O172" i="148"/>
  <c r="O173" i="148"/>
  <c r="O174" i="148"/>
  <c r="O175" i="148"/>
  <c r="O176" i="148"/>
  <c r="O177" i="148"/>
  <c r="O178" i="148"/>
  <c r="O179" i="148"/>
  <c r="O180" i="148"/>
  <c r="O181" i="148"/>
  <c r="O182" i="148"/>
  <c r="O183" i="148"/>
  <c r="O184" i="148"/>
  <c r="O185" i="148"/>
  <c r="O186" i="148"/>
  <c r="O187" i="148"/>
  <c r="O188" i="148"/>
  <c r="O189" i="148"/>
  <c r="O190" i="148"/>
  <c r="O191" i="148"/>
  <c r="O192" i="148"/>
  <c r="O193" i="148"/>
  <c r="O194" i="148"/>
  <c r="O195" i="148"/>
  <c r="O196" i="148"/>
  <c r="O197" i="148"/>
  <c r="O198" i="148"/>
  <c r="O199" i="148"/>
  <c r="O200" i="148"/>
  <c r="O201" i="148"/>
  <c r="O202" i="148"/>
  <c r="O203" i="148"/>
  <c r="O204" i="148"/>
  <c r="O205" i="148"/>
  <c r="O206" i="148"/>
  <c r="O207" i="148"/>
  <c r="O208" i="148"/>
  <c r="O209" i="148"/>
  <c r="O210" i="148"/>
  <c r="O211" i="148"/>
  <c r="O212" i="148"/>
  <c r="O213" i="148"/>
  <c r="O214" i="148"/>
  <c r="O215" i="148"/>
  <c r="O216" i="148"/>
  <c r="O217" i="148"/>
  <c r="O218" i="148"/>
  <c r="O219" i="148"/>
  <c r="O220" i="148"/>
  <c r="O221" i="148"/>
  <c r="O222" i="148"/>
  <c r="O223" i="148"/>
  <c r="O224" i="148"/>
  <c r="O225" i="148"/>
  <c r="O226" i="148"/>
  <c r="O227" i="148"/>
  <c r="O228" i="148"/>
  <c r="O229" i="148"/>
  <c r="O230" i="148"/>
  <c r="O231" i="148"/>
  <c r="O232" i="148"/>
  <c r="O233" i="148"/>
  <c r="O234" i="148"/>
  <c r="O235" i="148"/>
  <c r="O236" i="148"/>
  <c r="O237" i="148"/>
  <c r="O238" i="148"/>
  <c r="O239" i="148"/>
  <c r="O240" i="148"/>
  <c r="O241" i="148"/>
  <c r="O242" i="148"/>
  <c r="O243" i="148"/>
  <c r="O244" i="148"/>
  <c r="O245" i="148"/>
  <c r="O246" i="148"/>
  <c r="O247" i="148"/>
  <c r="O248" i="148"/>
  <c r="O249" i="148"/>
  <c r="O250" i="148"/>
  <c r="O251" i="148"/>
  <c r="O252" i="148"/>
  <c r="O253" i="148"/>
  <c r="O254" i="148"/>
  <c r="O255" i="148"/>
  <c r="E22" i="147"/>
  <c r="E29" i="147"/>
  <c r="B29" i="147"/>
  <c r="B23" i="147"/>
  <c r="B22" i="147"/>
  <c r="G22" i="147"/>
  <c r="H22" i="147"/>
  <c r="O256" i="148"/>
  <c r="G23" i="147"/>
  <c r="E23" i="147"/>
  <c r="H23" i="147"/>
  <c r="O257" i="148"/>
  <c r="O258" i="148"/>
  <c r="O259" i="148"/>
  <c r="G29" i="147"/>
  <c r="H29" i="147"/>
  <c r="O260" i="148"/>
  <c r="O261" i="148"/>
  <c r="O262" i="148"/>
  <c r="O263" i="148"/>
  <c r="O264" i="148"/>
  <c r="O265" i="148"/>
  <c r="O266" i="148"/>
  <c r="O267" i="148"/>
  <c r="O268" i="148"/>
  <c r="O269" i="148"/>
  <c r="O270" i="148"/>
  <c r="O271" i="148"/>
  <c r="O272" i="148"/>
  <c r="O273" i="148"/>
  <c r="O274" i="148"/>
  <c r="O275" i="148"/>
  <c r="O276" i="148"/>
  <c r="O277" i="148"/>
  <c r="O278" i="148"/>
  <c r="O279" i="148"/>
  <c r="O280" i="148"/>
  <c r="O281" i="148"/>
  <c r="O282" i="148"/>
  <c r="O283" i="148"/>
  <c r="G30" i="147"/>
  <c r="E30" i="147"/>
  <c r="H30" i="147"/>
  <c r="P284" i="148"/>
  <c r="A2" i="106"/>
  <c r="A284" i="82"/>
  <c r="I284" i="82"/>
  <c r="D284" i="82"/>
  <c r="J284" i="82"/>
  <c r="E284" i="82"/>
  <c r="F284" i="82"/>
  <c r="C284" i="82"/>
  <c r="H284" i="82"/>
  <c r="K284" i="82"/>
  <c r="L284" i="82"/>
  <c r="M284" i="82"/>
  <c r="N284" i="82"/>
  <c r="I2" i="82"/>
  <c r="D2" i="82"/>
  <c r="J2" i="82"/>
  <c r="E2" i="82"/>
  <c r="F2" i="82"/>
  <c r="C2" i="82"/>
  <c r="I3" i="82"/>
  <c r="D3" i="82"/>
  <c r="J3" i="82"/>
  <c r="E3" i="82"/>
  <c r="F3" i="82"/>
  <c r="C3" i="82"/>
  <c r="I4" i="82"/>
  <c r="D4" i="82"/>
  <c r="J4" i="82"/>
  <c r="E4" i="82"/>
  <c r="F4" i="82"/>
  <c r="C4" i="82"/>
  <c r="I5" i="82"/>
  <c r="D5" i="82"/>
  <c r="J5" i="82"/>
  <c r="E5" i="82"/>
  <c r="F5" i="82"/>
  <c r="C5" i="82"/>
  <c r="I6" i="82"/>
  <c r="D6" i="82"/>
  <c r="J6" i="82"/>
  <c r="E6" i="82"/>
  <c r="F6" i="82"/>
  <c r="C6" i="82"/>
  <c r="I7" i="82"/>
  <c r="D7" i="82"/>
  <c r="J7" i="82"/>
  <c r="E7" i="82"/>
  <c r="F7" i="82"/>
  <c r="C7" i="82"/>
  <c r="I8" i="82"/>
  <c r="D8" i="82"/>
  <c r="J8" i="82"/>
  <c r="E8" i="82"/>
  <c r="F8" i="82"/>
  <c r="C8" i="82"/>
  <c r="I9" i="82"/>
  <c r="D9" i="82"/>
  <c r="J9" i="82"/>
  <c r="E9" i="82"/>
  <c r="F9" i="82"/>
  <c r="C9" i="82"/>
  <c r="I10" i="82"/>
  <c r="D10" i="82"/>
  <c r="J10" i="82"/>
  <c r="E10" i="82"/>
  <c r="F10" i="82"/>
  <c r="C10" i="82"/>
  <c r="I11" i="82"/>
  <c r="D11" i="82"/>
  <c r="J11" i="82"/>
  <c r="E11" i="82"/>
  <c r="F11" i="82"/>
  <c r="C11" i="82"/>
  <c r="I12" i="82"/>
  <c r="D12" i="82"/>
  <c r="J12" i="82"/>
  <c r="E12" i="82"/>
  <c r="F12" i="82"/>
  <c r="C12" i="82"/>
  <c r="I13" i="82"/>
  <c r="D13" i="82"/>
  <c r="J13" i="82"/>
  <c r="E13" i="82"/>
  <c r="F13" i="82"/>
  <c r="C13" i="82"/>
  <c r="I14" i="82"/>
  <c r="D14" i="82"/>
  <c r="J14" i="82"/>
  <c r="E14" i="82"/>
  <c r="F14" i="82"/>
  <c r="C14" i="82"/>
  <c r="I15" i="82"/>
  <c r="D15" i="82"/>
  <c r="J15" i="82"/>
  <c r="E15" i="82"/>
  <c r="F15" i="82"/>
  <c r="C15" i="82"/>
  <c r="I16" i="82"/>
  <c r="D16" i="82"/>
  <c r="J16" i="82"/>
  <c r="E16" i="82"/>
  <c r="F16" i="82"/>
  <c r="C16" i="82"/>
  <c r="I17" i="82"/>
  <c r="D17" i="82"/>
  <c r="J17" i="82"/>
  <c r="E17" i="82"/>
  <c r="F17" i="82"/>
  <c r="C17" i="82"/>
  <c r="I18" i="82"/>
  <c r="D18" i="82"/>
  <c r="J18" i="82"/>
  <c r="E18" i="82"/>
  <c r="F18" i="82"/>
  <c r="C18" i="82"/>
  <c r="I19" i="82"/>
  <c r="D19" i="82"/>
  <c r="J19" i="82"/>
  <c r="E19" i="82"/>
  <c r="F19" i="82"/>
  <c r="C19" i="82"/>
  <c r="I20" i="82"/>
  <c r="D20" i="82"/>
  <c r="J20" i="82"/>
  <c r="E20" i="82"/>
  <c r="F20" i="82"/>
  <c r="C20" i="82"/>
  <c r="I21" i="82"/>
  <c r="D21" i="82"/>
  <c r="J21" i="82"/>
  <c r="E21" i="82"/>
  <c r="F21" i="82"/>
  <c r="C21" i="82"/>
  <c r="I22" i="82"/>
  <c r="D22" i="82"/>
  <c r="J22" i="82"/>
  <c r="E22" i="82"/>
  <c r="F22" i="82"/>
  <c r="C22" i="82"/>
  <c r="I23" i="82"/>
  <c r="D23" i="82"/>
  <c r="J23" i="82"/>
  <c r="E23" i="82"/>
  <c r="F23" i="82"/>
  <c r="C23" i="82"/>
  <c r="I24" i="82"/>
  <c r="D24" i="82"/>
  <c r="J24" i="82"/>
  <c r="E24" i="82"/>
  <c r="F24" i="82"/>
  <c r="C24" i="82"/>
  <c r="I25" i="82"/>
  <c r="D25" i="82"/>
  <c r="J25" i="82"/>
  <c r="E25" i="82"/>
  <c r="F25" i="82"/>
  <c r="C25" i="82"/>
  <c r="I26" i="82"/>
  <c r="D26" i="82"/>
  <c r="J26" i="82"/>
  <c r="E26" i="82"/>
  <c r="F26" i="82"/>
  <c r="C26" i="82"/>
  <c r="I27" i="82"/>
  <c r="D27" i="82"/>
  <c r="J27" i="82"/>
  <c r="E27" i="82"/>
  <c r="F27" i="82"/>
  <c r="C27" i="82"/>
  <c r="I28" i="82"/>
  <c r="D28" i="82"/>
  <c r="J28" i="82"/>
  <c r="E28" i="82"/>
  <c r="F28" i="82"/>
  <c r="C28" i="82"/>
  <c r="I29" i="82"/>
  <c r="D29" i="82"/>
  <c r="J29" i="82"/>
  <c r="E29" i="82"/>
  <c r="F29" i="82"/>
  <c r="C29" i="82"/>
  <c r="I30" i="82"/>
  <c r="D30" i="82"/>
  <c r="J30" i="82"/>
  <c r="E30" i="82"/>
  <c r="F30" i="82"/>
  <c r="C30" i="82"/>
  <c r="I31" i="82"/>
  <c r="D31" i="82"/>
  <c r="J31" i="82"/>
  <c r="E31" i="82"/>
  <c r="F31" i="82"/>
  <c r="C31" i="82"/>
  <c r="I32" i="82"/>
  <c r="D32" i="82"/>
  <c r="J32" i="82"/>
  <c r="E32" i="82"/>
  <c r="F32" i="82"/>
  <c r="C32" i="82"/>
  <c r="I33" i="82"/>
  <c r="D33" i="82"/>
  <c r="J33" i="82"/>
  <c r="E33" i="82"/>
  <c r="F33" i="82"/>
  <c r="C33" i="82"/>
  <c r="I34" i="82"/>
  <c r="D34" i="82"/>
  <c r="J34" i="82"/>
  <c r="E34" i="82"/>
  <c r="F34" i="82"/>
  <c r="C34" i="82"/>
  <c r="I35" i="82"/>
  <c r="D35" i="82"/>
  <c r="J35" i="82"/>
  <c r="E35" i="82"/>
  <c r="F35" i="82"/>
  <c r="C35" i="82"/>
  <c r="I36" i="82"/>
  <c r="D36" i="82"/>
  <c r="J36" i="82"/>
  <c r="E36" i="82"/>
  <c r="F36" i="82"/>
  <c r="C36" i="82"/>
  <c r="I37" i="82"/>
  <c r="D37" i="82"/>
  <c r="J37" i="82"/>
  <c r="E37" i="82"/>
  <c r="F37" i="82"/>
  <c r="C37" i="82"/>
  <c r="I38" i="82"/>
  <c r="D38" i="82"/>
  <c r="J38" i="82"/>
  <c r="E38" i="82"/>
  <c r="F38" i="82"/>
  <c r="C38" i="82"/>
  <c r="I39" i="82"/>
  <c r="D39" i="82"/>
  <c r="J39" i="82"/>
  <c r="E39" i="82"/>
  <c r="F39" i="82"/>
  <c r="C39" i="82"/>
  <c r="I40" i="82"/>
  <c r="D40" i="82"/>
  <c r="J40" i="82"/>
  <c r="E40" i="82"/>
  <c r="F40" i="82"/>
  <c r="C40" i="82"/>
  <c r="I41" i="82"/>
  <c r="D41" i="82"/>
  <c r="J41" i="82"/>
  <c r="E41" i="82"/>
  <c r="F41" i="82"/>
  <c r="C41" i="82"/>
  <c r="I42" i="82"/>
  <c r="D42" i="82"/>
  <c r="J42" i="82"/>
  <c r="E42" i="82"/>
  <c r="F42" i="82"/>
  <c r="C42" i="82"/>
  <c r="I43" i="82"/>
  <c r="D43" i="82"/>
  <c r="J43" i="82"/>
  <c r="E43" i="82"/>
  <c r="F43" i="82"/>
  <c r="C43" i="82"/>
  <c r="I44" i="82"/>
  <c r="D44" i="82"/>
  <c r="J44" i="82"/>
  <c r="E44" i="82"/>
  <c r="F44" i="82"/>
  <c r="C44" i="82"/>
  <c r="I45" i="82"/>
  <c r="D45" i="82"/>
  <c r="J45" i="82"/>
  <c r="E45" i="82"/>
  <c r="F45" i="82"/>
  <c r="C45" i="82"/>
  <c r="I46" i="82"/>
  <c r="D46" i="82"/>
  <c r="J46" i="82"/>
  <c r="E46" i="82"/>
  <c r="F46" i="82"/>
  <c r="C46" i="82"/>
  <c r="I47" i="82"/>
  <c r="D47" i="82"/>
  <c r="J47" i="82"/>
  <c r="E47" i="82"/>
  <c r="F47" i="82"/>
  <c r="C47" i="82"/>
  <c r="I48" i="82"/>
  <c r="D48" i="82"/>
  <c r="J48" i="82"/>
  <c r="E48" i="82"/>
  <c r="F48" i="82"/>
  <c r="C48" i="82"/>
  <c r="I49" i="82"/>
  <c r="D49" i="82"/>
  <c r="J49" i="82"/>
  <c r="E49" i="82"/>
  <c r="F49" i="82"/>
  <c r="C49" i="82"/>
  <c r="I50" i="82"/>
  <c r="D50" i="82"/>
  <c r="J50" i="82"/>
  <c r="E50" i="82"/>
  <c r="F50" i="82"/>
  <c r="C50" i="82"/>
  <c r="I51" i="82"/>
  <c r="D51" i="82"/>
  <c r="J51" i="82"/>
  <c r="E51" i="82"/>
  <c r="F51" i="82"/>
  <c r="C51" i="82"/>
  <c r="I52" i="82"/>
  <c r="D52" i="82"/>
  <c r="J52" i="82"/>
  <c r="E52" i="82"/>
  <c r="F52" i="82"/>
  <c r="C52" i="82"/>
  <c r="I53" i="82"/>
  <c r="D53" i="82"/>
  <c r="J53" i="82"/>
  <c r="E53" i="82"/>
  <c r="F53" i="82"/>
  <c r="C53" i="82"/>
  <c r="I54" i="82"/>
  <c r="D54" i="82"/>
  <c r="J54" i="82"/>
  <c r="E54" i="82"/>
  <c r="F54" i="82"/>
  <c r="C54" i="82"/>
  <c r="I55" i="82"/>
  <c r="D55" i="82"/>
  <c r="J55" i="82"/>
  <c r="E55" i="82"/>
  <c r="F55" i="82"/>
  <c r="C55" i="82"/>
  <c r="I56" i="82"/>
  <c r="D56" i="82"/>
  <c r="J56" i="82"/>
  <c r="E56" i="82"/>
  <c r="F56" i="82"/>
  <c r="C56" i="82"/>
  <c r="I57" i="82"/>
  <c r="D57" i="82"/>
  <c r="J57" i="82"/>
  <c r="E57" i="82"/>
  <c r="F57" i="82"/>
  <c r="C57" i="82"/>
  <c r="I58" i="82"/>
  <c r="D58" i="82"/>
  <c r="J58" i="82"/>
  <c r="E58" i="82"/>
  <c r="F58" i="82"/>
  <c r="C58" i="82"/>
  <c r="I59" i="82"/>
  <c r="D59" i="82"/>
  <c r="J59" i="82"/>
  <c r="E59" i="82"/>
  <c r="F59" i="82"/>
  <c r="C59" i="82"/>
  <c r="I60" i="82"/>
  <c r="D60" i="82"/>
  <c r="J60" i="82"/>
  <c r="E60" i="82"/>
  <c r="F60" i="82"/>
  <c r="C60" i="82"/>
  <c r="I61" i="82"/>
  <c r="D61" i="82"/>
  <c r="J61" i="82"/>
  <c r="E61" i="82"/>
  <c r="F61" i="82"/>
  <c r="C61" i="82"/>
  <c r="I62" i="82"/>
  <c r="D62" i="82"/>
  <c r="J62" i="82"/>
  <c r="E62" i="82"/>
  <c r="F62" i="82"/>
  <c r="C62" i="82"/>
  <c r="I63" i="82"/>
  <c r="D63" i="82"/>
  <c r="J63" i="82"/>
  <c r="E63" i="82"/>
  <c r="F63" i="82"/>
  <c r="C63" i="82"/>
  <c r="I64" i="82"/>
  <c r="D64" i="82"/>
  <c r="J64" i="82"/>
  <c r="E64" i="82"/>
  <c r="F64" i="82"/>
  <c r="C64" i="82"/>
  <c r="I65" i="82"/>
  <c r="D65" i="82"/>
  <c r="J65" i="82"/>
  <c r="E65" i="82"/>
  <c r="F65" i="82"/>
  <c r="C65" i="82"/>
  <c r="I66" i="82"/>
  <c r="D66" i="82"/>
  <c r="J66" i="82"/>
  <c r="E66" i="82"/>
  <c r="F66" i="82"/>
  <c r="C66" i="82"/>
  <c r="I67" i="82"/>
  <c r="D67" i="82"/>
  <c r="J67" i="82"/>
  <c r="E67" i="82"/>
  <c r="F67" i="82"/>
  <c r="C67" i="82"/>
  <c r="I68" i="82"/>
  <c r="D68" i="82"/>
  <c r="J68" i="82"/>
  <c r="E68" i="82"/>
  <c r="F68" i="82"/>
  <c r="C68" i="82"/>
  <c r="I69" i="82"/>
  <c r="D69" i="82"/>
  <c r="J69" i="82"/>
  <c r="E69" i="82"/>
  <c r="F69" i="82"/>
  <c r="C69" i="82"/>
  <c r="I70" i="82"/>
  <c r="D70" i="82"/>
  <c r="J70" i="82"/>
  <c r="E70" i="82"/>
  <c r="F70" i="82"/>
  <c r="C70" i="82"/>
  <c r="I71" i="82"/>
  <c r="D71" i="82"/>
  <c r="J71" i="82"/>
  <c r="E71" i="82"/>
  <c r="F71" i="82"/>
  <c r="C71" i="82"/>
  <c r="I72" i="82"/>
  <c r="D72" i="82"/>
  <c r="J72" i="82"/>
  <c r="E72" i="82"/>
  <c r="F72" i="82"/>
  <c r="C72" i="82"/>
  <c r="I73" i="82"/>
  <c r="D73" i="82"/>
  <c r="J73" i="82"/>
  <c r="E73" i="82"/>
  <c r="F73" i="82"/>
  <c r="C73" i="82"/>
  <c r="I74" i="82"/>
  <c r="D74" i="82"/>
  <c r="J74" i="82"/>
  <c r="E74" i="82"/>
  <c r="F74" i="82"/>
  <c r="C74" i="82"/>
  <c r="I75" i="82"/>
  <c r="D75" i="82"/>
  <c r="J75" i="82"/>
  <c r="E75" i="82"/>
  <c r="F75" i="82"/>
  <c r="C75" i="82"/>
  <c r="I76" i="82"/>
  <c r="D76" i="82"/>
  <c r="J76" i="82"/>
  <c r="E76" i="82"/>
  <c r="F76" i="82"/>
  <c r="C76" i="82"/>
  <c r="I77" i="82"/>
  <c r="D77" i="82"/>
  <c r="J77" i="82"/>
  <c r="E77" i="82"/>
  <c r="F77" i="82"/>
  <c r="C77" i="82"/>
  <c r="I78" i="82"/>
  <c r="D78" i="82"/>
  <c r="J78" i="82"/>
  <c r="E78" i="82"/>
  <c r="F78" i="82"/>
  <c r="C78" i="82"/>
  <c r="I79" i="82"/>
  <c r="D79" i="82"/>
  <c r="J79" i="82"/>
  <c r="E79" i="82"/>
  <c r="F79" i="82"/>
  <c r="C79" i="82"/>
  <c r="I80" i="82"/>
  <c r="D80" i="82"/>
  <c r="J80" i="82"/>
  <c r="E80" i="82"/>
  <c r="F80" i="82"/>
  <c r="C80" i="82"/>
  <c r="I81" i="82"/>
  <c r="D81" i="82"/>
  <c r="J81" i="82"/>
  <c r="E81" i="82"/>
  <c r="F81" i="82"/>
  <c r="C81" i="82"/>
  <c r="I82" i="82"/>
  <c r="D82" i="82"/>
  <c r="J82" i="82"/>
  <c r="E82" i="82"/>
  <c r="F82" i="82"/>
  <c r="C82" i="82"/>
  <c r="I83" i="82"/>
  <c r="D83" i="82"/>
  <c r="J83" i="82"/>
  <c r="E83" i="82"/>
  <c r="F83" i="82"/>
  <c r="C83" i="82"/>
  <c r="I84" i="82"/>
  <c r="D84" i="82"/>
  <c r="J84" i="82"/>
  <c r="E84" i="82"/>
  <c r="F84" i="82"/>
  <c r="C84" i="82"/>
  <c r="I85" i="82"/>
  <c r="D85" i="82"/>
  <c r="J85" i="82"/>
  <c r="E85" i="82"/>
  <c r="F85" i="82"/>
  <c r="C85" i="82"/>
  <c r="I86" i="82"/>
  <c r="D86" i="82"/>
  <c r="J86" i="82"/>
  <c r="E86" i="82"/>
  <c r="F86" i="82"/>
  <c r="C86" i="82"/>
  <c r="I87" i="82"/>
  <c r="D87" i="82"/>
  <c r="J87" i="82"/>
  <c r="E87" i="82"/>
  <c r="F87" i="82"/>
  <c r="C87" i="82"/>
  <c r="I88" i="82"/>
  <c r="D88" i="82"/>
  <c r="J88" i="82"/>
  <c r="E88" i="82"/>
  <c r="F88" i="82"/>
  <c r="C88" i="82"/>
  <c r="I89" i="82"/>
  <c r="D89" i="82"/>
  <c r="J89" i="82"/>
  <c r="E89" i="82"/>
  <c r="F89" i="82"/>
  <c r="C89" i="82"/>
  <c r="I90" i="82"/>
  <c r="D90" i="82"/>
  <c r="J90" i="82"/>
  <c r="E90" i="82"/>
  <c r="F90" i="82"/>
  <c r="C90" i="82"/>
  <c r="I91" i="82"/>
  <c r="D91" i="82"/>
  <c r="J91" i="82"/>
  <c r="E91" i="82"/>
  <c r="F91" i="82"/>
  <c r="C91" i="82"/>
  <c r="I92" i="82"/>
  <c r="D92" i="82"/>
  <c r="J92" i="82"/>
  <c r="E92" i="82"/>
  <c r="F92" i="82"/>
  <c r="C92" i="82"/>
  <c r="I93" i="82"/>
  <c r="D93" i="82"/>
  <c r="J93" i="82"/>
  <c r="E93" i="82"/>
  <c r="F93" i="82"/>
  <c r="C93" i="82"/>
  <c r="I94" i="82"/>
  <c r="D94" i="82"/>
  <c r="J94" i="82"/>
  <c r="E94" i="82"/>
  <c r="F94" i="82"/>
  <c r="C94" i="82"/>
  <c r="I95" i="82"/>
  <c r="D95" i="82"/>
  <c r="J95" i="82"/>
  <c r="E95" i="82"/>
  <c r="F95" i="82"/>
  <c r="C95" i="82"/>
  <c r="I96" i="82"/>
  <c r="D96" i="82"/>
  <c r="J96" i="82"/>
  <c r="E96" i="82"/>
  <c r="F96" i="82"/>
  <c r="C96" i="82"/>
  <c r="I97" i="82"/>
  <c r="D97" i="82"/>
  <c r="J97" i="82"/>
  <c r="E97" i="82"/>
  <c r="F97" i="82"/>
  <c r="C97" i="82"/>
  <c r="I98" i="82"/>
  <c r="D98" i="82"/>
  <c r="J98" i="82"/>
  <c r="E98" i="82"/>
  <c r="F98" i="82"/>
  <c r="C98" i="82"/>
  <c r="I99" i="82"/>
  <c r="D99" i="82"/>
  <c r="J99" i="82"/>
  <c r="E99" i="82"/>
  <c r="F99" i="82"/>
  <c r="C99" i="82"/>
  <c r="I100" i="82"/>
  <c r="D100" i="82"/>
  <c r="J100" i="82"/>
  <c r="E100" i="82"/>
  <c r="F100" i="82"/>
  <c r="C100" i="82"/>
  <c r="I101" i="82"/>
  <c r="D101" i="82"/>
  <c r="J101" i="82"/>
  <c r="E101" i="82"/>
  <c r="F101" i="82"/>
  <c r="C101" i="82"/>
  <c r="I102" i="82"/>
  <c r="D102" i="82"/>
  <c r="J102" i="82"/>
  <c r="E102" i="82"/>
  <c r="F102" i="82"/>
  <c r="C102" i="82"/>
  <c r="I103" i="82"/>
  <c r="D103" i="82"/>
  <c r="J103" i="82"/>
  <c r="E103" i="82"/>
  <c r="F103" i="82"/>
  <c r="C103" i="82"/>
  <c r="I104" i="82"/>
  <c r="D104" i="82"/>
  <c r="J104" i="82"/>
  <c r="E104" i="82"/>
  <c r="F104" i="82"/>
  <c r="C104" i="82"/>
  <c r="I105" i="82"/>
  <c r="D105" i="82"/>
  <c r="J105" i="82"/>
  <c r="E105" i="82"/>
  <c r="F105" i="82"/>
  <c r="C105" i="82"/>
  <c r="I106" i="82"/>
  <c r="D106" i="82"/>
  <c r="J106" i="82"/>
  <c r="E106" i="82"/>
  <c r="F106" i="82"/>
  <c r="C106" i="82"/>
  <c r="I107" i="82"/>
  <c r="D107" i="82"/>
  <c r="J107" i="82"/>
  <c r="E107" i="82"/>
  <c r="F107" i="82"/>
  <c r="C107" i="82"/>
  <c r="I108" i="82"/>
  <c r="D108" i="82"/>
  <c r="J108" i="82"/>
  <c r="E108" i="82"/>
  <c r="F108" i="82"/>
  <c r="C108" i="82"/>
  <c r="I109" i="82"/>
  <c r="D109" i="82"/>
  <c r="J109" i="82"/>
  <c r="E109" i="82"/>
  <c r="F109" i="82"/>
  <c r="C109" i="82"/>
  <c r="I110" i="82"/>
  <c r="D110" i="82"/>
  <c r="J110" i="82"/>
  <c r="E110" i="82"/>
  <c r="F110" i="82"/>
  <c r="C110" i="82"/>
  <c r="I111" i="82"/>
  <c r="D111" i="82"/>
  <c r="J111" i="82"/>
  <c r="E111" i="82"/>
  <c r="F111" i="82"/>
  <c r="C111" i="82"/>
  <c r="I112" i="82"/>
  <c r="D112" i="82"/>
  <c r="J112" i="82"/>
  <c r="E112" i="82"/>
  <c r="F112" i="82"/>
  <c r="C112" i="82"/>
  <c r="I113" i="82"/>
  <c r="D113" i="82"/>
  <c r="J113" i="82"/>
  <c r="E113" i="82"/>
  <c r="F113" i="82"/>
  <c r="C113" i="82"/>
  <c r="I114" i="82"/>
  <c r="D114" i="82"/>
  <c r="J114" i="82"/>
  <c r="E114" i="82"/>
  <c r="F114" i="82"/>
  <c r="C114" i="82"/>
  <c r="I115" i="82"/>
  <c r="D115" i="82"/>
  <c r="J115" i="82"/>
  <c r="E115" i="82"/>
  <c r="F115" i="82"/>
  <c r="C115" i="82"/>
  <c r="I116" i="82"/>
  <c r="D116" i="82"/>
  <c r="J116" i="82"/>
  <c r="E116" i="82"/>
  <c r="F116" i="82"/>
  <c r="C116" i="82"/>
  <c r="I117" i="82"/>
  <c r="D117" i="82"/>
  <c r="J117" i="82"/>
  <c r="E117" i="82"/>
  <c r="F117" i="82"/>
  <c r="C117" i="82"/>
  <c r="I118" i="82"/>
  <c r="D118" i="82"/>
  <c r="J118" i="82"/>
  <c r="E118" i="82"/>
  <c r="F118" i="82"/>
  <c r="C118" i="82"/>
  <c r="I119" i="82"/>
  <c r="D119" i="82"/>
  <c r="J119" i="82"/>
  <c r="E119" i="82"/>
  <c r="F119" i="82"/>
  <c r="C119" i="82"/>
  <c r="I120" i="82"/>
  <c r="D120" i="82"/>
  <c r="J120" i="82"/>
  <c r="E120" i="82"/>
  <c r="F120" i="82"/>
  <c r="C120" i="82"/>
  <c r="I121" i="82"/>
  <c r="D121" i="82"/>
  <c r="J121" i="82"/>
  <c r="E121" i="82"/>
  <c r="F121" i="82"/>
  <c r="C121" i="82"/>
  <c r="I122" i="82"/>
  <c r="D122" i="82"/>
  <c r="J122" i="82"/>
  <c r="E122" i="82"/>
  <c r="F122" i="82"/>
  <c r="C122" i="82"/>
  <c r="I123" i="82"/>
  <c r="D123" i="82"/>
  <c r="J123" i="82"/>
  <c r="E123" i="82"/>
  <c r="F123" i="82"/>
  <c r="C123" i="82"/>
  <c r="I124" i="82"/>
  <c r="D124" i="82"/>
  <c r="J124" i="82"/>
  <c r="E124" i="82"/>
  <c r="F124" i="82"/>
  <c r="C124" i="82"/>
  <c r="I125" i="82"/>
  <c r="D125" i="82"/>
  <c r="J125" i="82"/>
  <c r="E125" i="82"/>
  <c r="F125" i="82"/>
  <c r="C125" i="82"/>
  <c r="I126" i="82"/>
  <c r="D126" i="82"/>
  <c r="J126" i="82"/>
  <c r="E126" i="82"/>
  <c r="F126" i="82"/>
  <c r="C126" i="82"/>
  <c r="I127" i="82"/>
  <c r="D127" i="82"/>
  <c r="J127" i="82"/>
  <c r="E127" i="82"/>
  <c r="F127" i="82"/>
  <c r="C127" i="82"/>
  <c r="I128" i="82"/>
  <c r="D128" i="82"/>
  <c r="J128" i="82"/>
  <c r="E128" i="82"/>
  <c r="F128" i="82"/>
  <c r="C128" i="82"/>
  <c r="I129" i="82"/>
  <c r="D129" i="82"/>
  <c r="J129" i="82"/>
  <c r="E129" i="82"/>
  <c r="F129" i="82"/>
  <c r="C129" i="82"/>
  <c r="I130" i="82"/>
  <c r="D130" i="82"/>
  <c r="J130" i="82"/>
  <c r="E130" i="82"/>
  <c r="F130" i="82"/>
  <c r="C130" i="82"/>
  <c r="I131" i="82"/>
  <c r="D131" i="82"/>
  <c r="J131" i="82"/>
  <c r="E131" i="82"/>
  <c r="F131" i="82"/>
  <c r="C131" i="82"/>
  <c r="I132" i="82"/>
  <c r="D132" i="82"/>
  <c r="J132" i="82"/>
  <c r="E132" i="82"/>
  <c r="F132" i="82"/>
  <c r="C132" i="82"/>
  <c r="I133" i="82"/>
  <c r="D133" i="82"/>
  <c r="J133" i="82"/>
  <c r="E133" i="82"/>
  <c r="F133" i="82"/>
  <c r="C133" i="82"/>
  <c r="I134" i="82"/>
  <c r="D134" i="82"/>
  <c r="J134" i="82"/>
  <c r="E134" i="82"/>
  <c r="F134" i="82"/>
  <c r="C134" i="82"/>
  <c r="I135" i="82"/>
  <c r="D135" i="82"/>
  <c r="J135" i="82"/>
  <c r="E135" i="82"/>
  <c r="F135" i="82"/>
  <c r="C135" i="82"/>
  <c r="I136" i="82"/>
  <c r="D136" i="82"/>
  <c r="J136" i="82"/>
  <c r="E136" i="82"/>
  <c r="F136" i="82"/>
  <c r="C136" i="82"/>
  <c r="I137" i="82"/>
  <c r="D137" i="82"/>
  <c r="J137" i="82"/>
  <c r="E137" i="82"/>
  <c r="F137" i="82"/>
  <c r="C137" i="82"/>
  <c r="I138" i="82"/>
  <c r="D138" i="82"/>
  <c r="J138" i="82"/>
  <c r="E138" i="82"/>
  <c r="F138" i="82"/>
  <c r="C138" i="82"/>
  <c r="I139" i="82"/>
  <c r="D139" i="82"/>
  <c r="J139" i="82"/>
  <c r="E139" i="82"/>
  <c r="F139" i="82"/>
  <c r="C139" i="82"/>
  <c r="I140" i="82"/>
  <c r="D140" i="82"/>
  <c r="J140" i="82"/>
  <c r="E140" i="82"/>
  <c r="F140" i="82"/>
  <c r="C140" i="82"/>
  <c r="I141" i="82"/>
  <c r="D141" i="82"/>
  <c r="J141" i="82"/>
  <c r="E141" i="82"/>
  <c r="F141" i="82"/>
  <c r="C141" i="82"/>
  <c r="I142" i="82"/>
  <c r="D142" i="82"/>
  <c r="J142" i="82"/>
  <c r="E142" i="82"/>
  <c r="F142" i="82"/>
  <c r="C142" i="82"/>
  <c r="I143" i="82"/>
  <c r="D143" i="82"/>
  <c r="J143" i="82"/>
  <c r="E143" i="82"/>
  <c r="F143" i="82"/>
  <c r="C143" i="82"/>
  <c r="I144" i="82"/>
  <c r="D144" i="82"/>
  <c r="J144" i="82"/>
  <c r="E144" i="82"/>
  <c r="F144" i="82"/>
  <c r="C144" i="82"/>
  <c r="I145" i="82"/>
  <c r="D145" i="82"/>
  <c r="J145" i="82"/>
  <c r="E145" i="82"/>
  <c r="F145" i="82"/>
  <c r="C145" i="82"/>
  <c r="I146" i="82"/>
  <c r="D146" i="82"/>
  <c r="J146" i="82"/>
  <c r="E146" i="82"/>
  <c r="F146" i="82"/>
  <c r="C146" i="82"/>
  <c r="I147" i="82"/>
  <c r="D147" i="82"/>
  <c r="J147" i="82"/>
  <c r="E147" i="82"/>
  <c r="F147" i="82"/>
  <c r="C147" i="82"/>
  <c r="I148" i="82"/>
  <c r="D148" i="82"/>
  <c r="J148" i="82"/>
  <c r="E148" i="82"/>
  <c r="F148" i="82"/>
  <c r="C148" i="82"/>
  <c r="I149" i="82"/>
  <c r="D149" i="82"/>
  <c r="J149" i="82"/>
  <c r="E149" i="82"/>
  <c r="F149" i="82"/>
  <c r="C149" i="82"/>
  <c r="I150" i="82"/>
  <c r="D150" i="82"/>
  <c r="J150" i="82"/>
  <c r="E150" i="82"/>
  <c r="F150" i="82"/>
  <c r="C150" i="82"/>
  <c r="I151" i="82"/>
  <c r="D151" i="82"/>
  <c r="J151" i="82"/>
  <c r="E151" i="82"/>
  <c r="F151" i="82"/>
  <c r="C151" i="82"/>
  <c r="I152" i="82"/>
  <c r="D152" i="82"/>
  <c r="J152" i="82"/>
  <c r="E152" i="82"/>
  <c r="F152" i="82"/>
  <c r="C152" i="82"/>
  <c r="I153" i="82"/>
  <c r="D153" i="82"/>
  <c r="J153" i="82"/>
  <c r="E153" i="82"/>
  <c r="F153" i="82"/>
  <c r="C153" i="82"/>
  <c r="I154" i="82"/>
  <c r="D154" i="82"/>
  <c r="J154" i="82"/>
  <c r="E154" i="82"/>
  <c r="F154" i="82"/>
  <c r="C154" i="82"/>
  <c r="I155" i="82"/>
  <c r="D155" i="82"/>
  <c r="J155" i="82"/>
  <c r="E155" i="82"/>
  <c r="F155" i="82"/>
  <c r="C155" i="82"/>
  <c r="I156" i="82"/>
  <c r="D156" i="82"/>
  <c r="J156" i="82"/>
  <c r="E156" i="82"/>
  <c r="F156" i="82"/>
  <c r="C156" i="82"/>
  <c r="I157" i="82"/>
  <c r="D157" i="82"/>
  <c r="J157" i="82"/>
  <c r="E157" i="82"/>
  <c r="F157" i="82"/>
  <c r="C157" i="82"/>
  <c r="I158" i="82"/>
  <c r="D158" i="82"/>
  <c r="J158" i="82"/>
  <c r="E158" i="82"/>
  <c r="F158" i="82"/>
  <c r="C158" i="82"/>
  <c r="I159" i="82"/>
  <c r="D159" i="82"/>
  <c r="J159" i="82"/>
  <c r="E159" i="82"/>
  <c r="F159" i="82"/>
  <c r="C159" i="82"/>
  <c r="I160" i="82"/>
  <c r="D160" i="82"/>
  <c r="J160" i="82"/>
  <c r="E160" i="82"/>
  <c r="F160" i="82"/>
  <c r="C160" i="82"/>
  <c r="I161" i="82"/>
  <c r="D161" i="82"/>
  <c r="J161" i="82"/>
  <c r="E161" i="82"/>
  <c r="F161" i="82"/>
  <c r="C161" i="82"/>
  <c r="I162" i="82"/>
  <c r="D162" i="82"/>
  <c r="J162" i="82"/>
  <c r="E162" i="82"/>
  <c r="F162" i="82"/>
  <c r="C162" i="82"/>
  <c r="I163" i="82"/>
  <c r="D163" i="82"/>
  <c r="J163" i="82"/>
  <c r="E163" i="82"/>
  <c r="F163" i="82"/>
  <c r="C163" i="82"/>
  <c r="I164" i="82"/>
  <c r="D164" i="82"/>
  <c r="J164" i="82"/>
  <c r="E164" i="82"/>
  <c r="F164" i="82"/>
  <c r="C164" i="82"/>
  <c r="I165" i="82"/>
  <c r="D165" i="82"/>
  <c r="J165" i="82"/>
  <c r="E165" i="82"/>
  <c r="F165" i="82"/>
  <c r="C165" i="82"/>
  <c r="I166" i="82"/>
  <c r="D166" i="82"/>
  <c r="J166" i="82"/>
  <c r="E166" i="82"/>
  <c r="F166" i="82"/>
  <c r="C166" i="82"/>
  <c r="I167" i="82"/>
  <c r="D167" i="82"/>
  <c r="J167" i="82"/>
  <c r="E167" i="82"/>
  <c r="F167" i="82"/>
  <c r="C167" i="82"/>
  <c r="I168" i="82"/>
  <c r="D168" i="82"/>
  <c r="J168" i="82"/>
  <c r="E168" i="82"/>
  <c r="F168" i="82"/>
  <c r="C168" i="82"/>
  <c r="I169" i="82"/>
  <c r="D169" i="82"/>
  <c r="J169" i="82"/>
  <c r="E169" i="82"/>
  <c r="F169" i="82"/>
  <c r="C169" i="82"/>
  <c r="I170" i="82"/>
  <c r="D170" i="82"/>
  <c r="J170" i="82"/>
  <c r="E170" i="82"/>
  <c r="F170" i="82"/>
  <c r="C170" i="82"/>
  <c r="I171" i="82"/>
  <c r="D171" i="82"/>
  <c r="J171" i="82"/>
  <c r="E171" i="82"/>
  <c r="F171" i="82"/>
  <c r="C171" i="82"/>
  <c r="I172" i="82"/>
  <c r="D172" i="82"/>
  <c r="J172" i="82"/>
  <c r="E172" i="82"/>
  <c r="F172" i="82"/>
  <c r="C172" i="82"/>
  <c r="I173" i="82"/>
  <c r="D173" i="82"/>
  <c r="J173" i="82"/>
  <c r="E173" i="82"/>
  <c r="F173" i="82"/>
  <c r="C173" i="82"/>
  <c r="I174" i="82"/>
  <c r="D174" i="82"/>
  <c r="J174" i="82"/>
  <c r="E174" i="82"/>
  <c r="F174" i="82"/>
  <c r="C174" i="82"/>
  <c r="I175" i="82"/>
  <c r="D175" i="82"/>
  <c r="J175" i="82"/>
  <c r="E175" i="82"/>
  <c r="F175" i="82"/>
  <c r="C175" i="82"/>
  <c r="I176" i="82"/>
  <c r="D176" i="82"/>
  <c r="J176" i="82"/>
  <c r="E176" i="82"/>
  <c r="F176" i="82"/>
  <c r="C176" i="82"/>
  <c r="I177" i="82"/>
  <c r="D177" i="82"/>
  <c r="J177" i="82"/>
  <c r="E177" i="82"/>
  <c r="F177" i="82"/>
  <c r="C177" i="82"/>
  <c r="I178" i="82"/>
  <c r="D178" i="82"/>
  <c r="J178" i="82"/>
  <c r="E178" i="82"/>
  <c r="F178" i="82"/>
  <c r="C178" i="82"/>
  <c r="I179" i="82"/>
  <c r="D179" i="82"/>
  <c r="J179" i="82"/>
  <c r="E179" i="82"/>
  <c r="F179" i="82"/>
  <c r="C179" i="82"/>
  <c r="I180" i="82"/>
  <c r="D180" i="82"/>
  <c r="J180" i="82"/>
  <c r="E180" i="82"/>
  <c r="F180" i="82"/>
  <c r="C180" i="82"/>
  <c r="I181" i="82"/>
  <c r="D181" i="82"/>
  <c r="J181" i="82"/>
  <c r="E181" i="82"/>
  <c r="F181" i="82"/>
  <c r="C181" i="82"/>
  <c r="I182" i="82"/>
  <c r="D182" i="82"/>
  <c r="J182" i="82"/>
  <c r="E182" i="82"/>
  <c r="F182" i="82"/>
  <c r="C182" i="82"/>
  <c r="I183" i="82"/>
  <c r="D183" i="82"/>
  <c r="J183" i="82"/>
  <c r="E183" i="82"/>
  <c r="F183" i="82"/>
  <c r="C183" i="82"/>
  <c r="I184" i="82"/>
  <c r="D184" i="82"/>
  <c r="J184" i="82"/>
  <c r="E184" i="82"/>
  <c r="F184" i="82"/>
  <c r="C184" i="82"/>
  <c r="I185" i="82"/>
  <c r="D185" i="82"/>
  <c r="J185" i="82"/>
  <c r="E185" i="82"/>
  <c r="F185" i="82"/>
  <c r="C185" i="82"/>
  <c r="I186" i="82"/>
  <c r="D186" i="82"/>
  <c r="J186" i="82"/>
  <c r="E186" i="82"/>
  <c r="F186" i="82"/>
  <c r="C186" i="82"/>
  <c r="I187" i="82"/>
  <c r="D187" i="82"/>
  <c r="J187" i="82"/>
  <c r="E187" i="82"/>
  <c r="F187" i="82"/>
  <c r="C187" i="82"/>
  <c r="I188" i="82"/>
  <c r="D188" i="82"/>
  <c r="J188" i="82"/>
  <c r="E188" i="82"/>
  <c r="F188" i="82"/>
  <c r="C188" i="82"/>
  <c r="I189" i="82"/>
  <c r="D189" i="82"/>
  <c r="J189" i="82"/>
  <c r="E189" i="82"/>
  <c r="F189" i="82"/>
  <c r="C189" i="82"/>
  <c r="I190" i="82"/>
  <c r="D190" i="82"/>
  <c r="J190" i="82"/>
  <c r="E190" i="82"/>
  <c r="F190" i="82"/>
  <c r="C190" i="82"/>
  <c r="I191" i="82"/>
  <c r="D191" i="82"/>
  <c r="J191" i="82"/>
  <c r="E191" i="82"/>
  <c r="F191" i="82"/>
  <c r="C191" i="82"/>
  <c r="I192" i="82"/>
  <c r="D192" i="82"/>
  <c r="J192" i="82"/>
  <c r="E192" i="82"/>
  <c r="F192" i="82"/>
  <c r="C192" i="82"/>
  <c r="I193" i="82"/>
  <c r="D193" i="82"/>
  <c r="J193" i="82"/>
  <c r="E193" i="82"/>
  <c r="F193" i="82"/>
  <c r="C193" i="82"/>
  <c r="I194" i="82"/>
  <c r="D194" i="82"/>
  <c r="J194" i="82"/>
  <c r="E194" i="82"/>
  <c r="F194" i="82"/>
  <c r="C194" i="82"/>
  <c r="I195" i="82"/>
  <c r="D195" i="82"/>
  <c r="J195" i="82"/>
  <c r="E195" i="82"/>
  <c r="F195" i="82"/>
  <c r="C195" i="82"/>
  <c r="I196" i="82"/>
  <c r="D196" i="82"/>
  <c r="J196" i="82"/>
  <c r="E196" i="82"/>
  <c r="F196" i="82"/>
  <c r="C196" i="82"/>
  <c r="I197" i="82"/>
  <c r="D197" i="82"/>
  <c r="J197" i="82"/>
  <c r="E197" i="82"/>
  <c r="F197" i="82"/>
  <c r="C197" i="82"/>
  <c r="I198" i="82"/>
  <c r="D198" i="82"/>
  <c r="J198" i="82"/>
  <c r="E198" i="82"/>
  <c r="F198" i="82"/>
  <c r="C198" i="82"/>
  <c r="I199" i="82"/>
  <c r="D199" i="82"/>
  <c r="J199" i="82"/>
  <c r="E199" i="82"/>
  <c r="F199" i="82"/>
  <c r="C199" i="82"/>
  <c r="I200" i="82"/>
  <c r="D200" i="82"/>
  <c r="J200" i="82"/>
  <c r="E200" i="82"/>
  <c r="F200" i="82"/>
  <c r="C200" i="82"/>
  <c r="I201" i="82"/>
  <c r="D201" i="82"/>
  <c r="J201" i="82"/>
  <c r="E201" i="82"/>
  <c r="F201" i="82"/>
  <c r="C201" i="82"/>
  <c r="I202" i="82"/>
  <c r="D202" i="82"/>
  <c r="J202" i="82"/>
  <c r="E202" i="82"/>
  <c r="F202" i="82"/>
  <c r="C202" i="82"/>
  <c r="I203" i="82"/>
  <c r="D203" i="82"/>
  <c r="J203" i="82"/>
  <c r="E203" i="82"/>
  <c r="F203" i="82"/>
  <c r="C203" i="82"/>
  <c r="I204" i="82"/>
  <c r="D204" i="82"/>
  <c r="J204" i="82"/>
  <c r="E204" i="82"/>
  <c r="F204" i="82"/>
  <c r="C204" i="82"/>
  <c r="I205" i="82"/>
  <c r="D205" i="82"/>
  <c r="J205" i="82"/>
  <c r="E205" i="82"/>
  <c r="F205" i="82"/>
  <c r="C205" i="82"/>
  <c r="I206" i="82"/>
  <c r="D206" i="82"/>
  <c r="J206" i="82"/>
  <c r="E206" i="82"/>
  <c r="F206" i="82"/>
  <c r="C206" i="82"/>
  <c r="I207" i="82"/>
  <c r="D207" i="82"/>
  <c r="J207" i="82"/>
  <c r="E207" i="82"/>
  <c r="F207" i="82"/>
  <c r="C207" i="82"/>
  <c r="I208" i="82"/>
  <c r="D208" i="82"/>
  <c r="J208" i="82"/>
  <c r="E208" i="82"/>
  <c r="F208" i="82"/>
  <c r="C208" i="82"/>
  <c r="I209" i="82"/>
  <c r="D209" i="82"/>
  <c r="J209" i="82"/>
  <c r="E209" i="82"/>
  <c r="F209" i="82"/>
  <c r="C209" i="82"/>
  <c r="I210" i="82"/>
  <c r="D210" i="82"/>
  <c r="J210" i="82"/>
  <c r="E210" i="82"/>
  <c r="F210" i="82"/>
  <c r="C210" i="82"/>
  <c r="I211" i="82"/>
  <c r="D211" i="82"/>
  <c r="J211" i="82"/>
  <c r="E211" i="82"/>
  <c r="F211" i="82"/>
  <c r="C211" i="82"/>
  <c r="I212" i="82"/>
  <c r="D212" i="82"/>
  <c r="J212" i="82"/>
  <c r="E212" i="82"/>
  <c r="F212" i="82"/>
  <c r="C212" i="82"/>
  <c r="I213" i="82"/>
  <c r="D213" i="82"/>
  <c r="J213" i="82"/>
  <c r="E213" i="82"/>
  <c r="F213" i="82"/>
  <c r="C213" i="82"/>
  <c r="I214" i="82"/>
  <c r="D214" i="82"/>
  <c r="J214" i="82"/>
  <c r="E214" i="82"/>
  <c r="F214" i="82"/>
  <c r="C214" i="82"/>
  <c r="I215" i="82"/>
  <c r="D215" i="82"/>
  <c r="J215" i="82"/>
  <c r="E215" i="82"/>
  <c r="F215" i="82"/>
  <c r="C215" i="82"/>
  <c r="I216" i="82"/>
  <c r="D216" i="82"/>
  <c r="J216" i="82"/>
  <c r="E216" i="82"/>
  <c r="F216" i="82"/>
  <c r="C216" i="82"/>
  <c r="I217" i="82"/>
  <c r="D217" i="82"/>
  <c r="J217" i="82"/>
  <c r="E217" i="82"/>
  <c r="F217" i="82"/>
  <c r="C217" i="82"/>
  <c r="I218" i="82"/>
  <c r="D218" i="82"/>
  <c r="J218" i="82"/>
  <c r="E218" i="82"/>
  <c r="F218" i="82"/>
  <c r="C218" i="82"/>
  <c r="I219" i="82"/>
  <c r="D219" i="82"/>
  <c r="J219" i="82"/>
  <c r="E219" i="82"/>
  <c r="F219" i="82"/>
  <c r="C219" i="82"/>
  <c r="I220" i="82"/>
  <c r="D220" i="82"/>
  <c r="J220" i="82"/>
  <c r="E220" i="82"/>
  <c r="F220" i="82"/>
  <c r="C220" i="82"/>
  <c r="I221" i="82"/>
  <c r="D221" i="82"/>
  <c r="J221" i="82"/>
  <c r="E221" i="82"/>
  <c r="F221" i="82"/>
  <c r="C221" i="82"/>
  <c r="I222" i="82"/>
  <c r="D222" i="82"/>
  <c r="J222" i="82"/>
  <c r="E222" i="82"/>
  <c r="F222" i="82"/>
  <c r="C222" i="82"/>
  <c r="I223" i="82"/>
  <c r="D223" i="82"/>
  <c r="J223" i="82"/>
  <c r="E223" i="82"/>
  <c r="F223" i="82"/>
  <c r="C223" i="82"/>
  <c r="I224" i="82"/>
  <c r="D224" i="82"/>
  <c r="J224" i="82"/>
  <c r="E224" i="82"/>
  <c r="F224" i="82"/>
  <c r="C224" i="82"/>
  <c r="I225" i="82"/>
  <c r="D225" i="82"/>
  <c r="J225" i="82"/>
  <c r="E225" i="82"/>
  <c r="F225" i="82"/>
  <c r="C225" i="82"/>
  <c r="I226" i="82"/>
  <c r="D226" i="82"/>
  <c r="J226" i="82"/>
  <c r="E226" i="82"/>
  <c r="F226" i="82"/>
  <c r="C226" i="82"/>
  <c r="I227" i="82"/>
  <c r="D227" i="82"/>
  <c r="J227" i="82"/>
  <c r="E227" i="82"/>
  <c r="F227" i="82"/>
  <c r="C227" i="82"/>
  <c r="I228" i="82"/>
  <c r="D228" i="82"/>
  <c r="J228" i="82"/>
  <c r="E228" i="82"/>
  <c r="F228" i="82"/>
  <c r="C228" i="82"/>
  <c r="I229" i="82"/>
  <c r="D229" i="82"/>
  <c r="J229" i="82"/>
  <c r="E229" i="82"/>
  <c r="F229" i="82"/>
  <c r="C229" i="82"/>
  <c r="I230" i="82"/>
  <c r="D230" i="82"/>
  <c r="J230" i="82"/>
  <c r="E230" i="82"/>
  <c r="F230" i="82"/>
  <c r="C230" i="82"/>
  <c r="I231" i="82"/>
  <c r="D231" i="82"/>
  <c r="J231" i="82"/>
  <c r="E231" i="82"/>
  <c r="F231" i="82"/>
  <c r="C231" i="82"/>
  <c r="I232" i="82"/>
  <c r="D232" i="82"/>
  <c r="J232" i="82"/>
  <c r="E232" i="82"/>
  <c r="F232" i="82"/>
  <c r="C232" i="82"/>
  <c r="I233" i="82"/>
  <c r="D233" i="82"/>
  <c r="J233" i="82"/>
  <c r="E233" i="82"/>
  <c r="F233" i="82"/>
  <c r="C233" i="82"/>
  <c r="I234" i="82"/>
  <c r="D234" i="82"/>
  <c r="J234" i="82"/>
  <c r="E234" i="82"/>
  <c r="F234" i="82"/>
  <c r="C234" i="82"/>
  <c r="I235" i="82"/>
  <c r="D235" i="82"/>
  <c r="J235" i="82"/>
  <c r="E235" i="82"/>
  <c r="F235" i="82"/>
  <c r="C235" i="82"/>
  <c r="I236" i="82"/>
  <c r="D236" i="82"/>
  <c r="J236" i="82"/>
  <c r="E236" i="82"/>
  <c r="F236" i="82"/>
  <c r="C236" i="82"/>
  <c r="I237" i="82"/>
  <c r="D237" i="82"/>
  <c r="J237" i="82"/>
  <c r="E237" i="82"/>
  <c r="F237" i="82"/>
  <c r="C237" i="82"/>
  <c r="I238" i="82"/>
  <c r="D238" i="82"/>
  <c r="J238" i="82"/>
  <c r="E238" i="82"/>
  <c r="F238" i="82"/>
  <c r="C238" i="82"/>
  <c r="I239" i="82"/>
  <c r="D239" i="82"/>
  <c r="J239" i="82"/>
  <c r="E239" i="82"/>
  <c r="F239" i="82"/>
  <c r="C239" i="82"/>
  <c r="I240" i="82"/>
  <c r="D240" i="82"/>
  <c r="J240" i="82"/>
  <c r="E240" i="82"/>
  <c r="F240" i="82"/>
  <c r="C240" i="82"/>
  <c r="I241" i="82"/>
  <c r="D241" i="82"/>
  <c r="J241" i="82"/>
  <c r="E241" i="82"/>
  <c r="F241" i="82"/>
  <c r="C241" i="82"/>
  <c r="I242" i="82"/>
  <c r="D242" i="82"/>
  <c r="J242" i="82"/>
  <c r="E242" i="82"/>
  <c r="F242" i="82"/>
  <c r="C242" i="82"/>
  <c r="I243" i="82"/>
  <c r="D243" i="82"/>
  <c r="J243" i="82"/>
  <c r="E243" i="82"/>
  <c r="F243" i="82"/>
  <c r="C243" i="82"/>
  <c r="I244" i="82"/>
  <c r="D244" i="82"/>
  <c r="J244" i="82"/>
  <c r="E244" i="82"/>
  <c r="F244" i="82"/>
  <c r="C244" i="82"/>
  <c r="I245" i="82"/>
  <c r="D245" i="82"/>
  <c r="J245" i="82"/>
  <c r="E245" i="82"/>
  <c r="F245" i="82"/>
  <c r="C245" i="82"/>
  <c r="I246" i="82"/>
  <c r="D246" i="82"/>
  <c r="J246" i="82"/>
  <c r="E246" i="82"/>
  <c r="F246" i="82"/>
  <c r="C246" i="82"/>
  <c r="I247" i="82"/>
  <c r="D247" i="82"/>
  <c r="J247" i="82"/>
  <c r="E247" i="82"/>
  <c r="F247" i="82"/>
  <c r="C247" i="82"/>
  <c r="I248" i="82"/>
  <c r="D248" i="82"/>
  <c r="J248" i="82"/>
  <c r="E248" i="82"/>
  <c r="F248" i="82"/>
  <c r="C248" i="82"/>
  <c r="I249" i="82"/>
  <c r="D249" i="82"/>
  <c r="J249" i="82"/>
  <c r="E249" i="82"/>
  <c r="F249" i="82"/>
  <c r="C249" i="82"/>
  <c r="I250" i="82"/>
  <c r="D250" i="82"/>
  <c r="J250" i="82"/>
  <c r="E250" i="82"/>
  <c r="F250" i="82"/>
  <c r="C250" i="82"/>
  <c r="I251" i="82"/>
  <c r="D251" i="82"/>
  <c r="J251" i="82"/>
  <c r="E251" i="82"/>
  <c r="F251" i="82"/>
  <c r="C251" i="82"/>
  <c r="I252" i="82"/>
  <c r="D252" i="82"/>
  <c r="J252" i="82"/>
  <c r="E252" i="82"/>
  <c r="F252" i="82"/>
  <c r="C252" i="82"/>
  <c r="I253" i="82"/>
  <c r="D253" i="82"/>
  <c r="J253" i="82"/>
  <c r="E253" i="82"/>
  <c r="F253" i="82"/>
  <c r="C253" i="82"/>
  <c r="I254" i="82"/>
  <c r="D254" i="82"/>
  <c r="J254" i="82"/>
  <c r="E254" i="82"/>
  <c r="F254" i="82"/>
  <c r="C254" i="82"/>
  <c r="I255" i="82"/>
  <c r="D255" i="82"/>
  <c r="J255" i="82"/>
  <c r="E255" i="82"/>
  <c r="F255" i="82"/>
  <c r="C255" i="82"/>
  <c r="I256" i="82"/>
  <c r="D256" i="82"/>
  <c r="J256" i="82"/>
  <c r="E256" i="82"/>
  <c r="F256" i="82"/>
  <c r="C256" i="82"/>
  <c r="I257" i="82"/>
  <c r="D257" i="82"/>
  <c r="J257" i="82"/>
  <c r="E257" i="82"/>
  <c r="F257" i="82"/>
  <c r="C257" i="82"/>
  <c r="I258" i="82"/>
  <c r="D258" i="82"/>
  <c r="J258" i="82"/>
  <c r="E258" i="82"/>
  <c r="F258" i="82"/>
  <c r="C258" i="82"/>
  <c r="I259" i="82"/>
  <c r="D259" i="82"/>
  <c r="J259" i="82"/>
  <c r="E259" i="82"/>
  <c r="F259" i="82"/>
  <c r="C259" i="82"/>
  <c r="I260" i="82"/>
  <c r="D260" i="82"/>
  <c r="J260" i="82"/>
  <c r="E260" i="82"/>
  <c r="F260" i="82"/>
  <c r="C260" i="82"/>
  <c r="I261" i="82"/>
  <c r="D261" i="82"/>
  <c r="J261" i="82"/>
  <c r="E261" i="82"/>
  <c r="F261" i="82"/>
  <c r="C261" i="82"/>
  <c r="I262" i="82"/>
  <c r="D262" i="82"/>
  <c r="J262" i="82"/>
  <c r="E262" i="82"/>
  <c r="F262" i="82"/>
  <c r="C262" i="82"/>
  <c r="I263" i="82"/>
  <c r="D263" i="82"/>
  <c r="J263" i="82"/>
  <c r="E263" i="82"/>
  <c r="F263" i="82"/>
  <c r="C263" i="82"/>
  <c r="I264" i="82"/>
  <c r="D264" i="82"/>
  <c r="J264" i="82"/>
  <c r="E264" i="82"/>
  <c r="F264" i="82"/>
  <c r="C264" i="82"/>
  <c r="I265" i="82"/>
  <c r="D265" i="82"/>
  <c r="J265" i="82"/>
  <c r="E265" i="82"/>
  <c r="F265" i="82"/>
  <c r="C265" i="82"/>
  <c r="I266" i="82"/>
  <c r="D266" i="82"/>
  <c r="J266" i="82"/>
  <c r="E266" i="82"/>
  <c r="F266" i="82"/>
  <c r="C266" i="82"/>
  <c r="I267" i="82"/>
  <c r="D267" i="82"/>
  <c r="J267" i="82"/>
  <c r="E267" i="82"/>
  <c r="F267" i="82"/>
  <c r="C267" i="82"/>
  <c r="I268" i="82"/>
  <c r="D268" i="82"/>
  <c r="J268" i="82"/>
  <c r="E268" i="82"/>
  <c r="F268" i="82"/>
  <c r="C268" i="82"/>
  <c r="I269" i="82"/>
  <c r="D269" i="82"/>
  <c r="J269" i="82"/>
  <c r="E269" i="82"/>
  <c r="F269" i="82"/>
  <c r="C269" i="82"/>
  <c r="I270" i="82"/>
  <c r="D270" i="82"/>
  <c r="J270" i="82"/>
  <c r="E270" i="82"/>
  <c r="F270" i="82"/>
  <c r="C270" i="82"/>
  <c r="I271" i="82"/>
  <c r="D271" i="82"/>
  <c r="J271" i="82"/>
  <c r="E271" i="82"/>
  <c r="F271" i="82"/>
  <c r="C271" i="82"/>
  <c r="I272" i="82"/>
  <c r="D272" i="82"/>
  <c r="J272" i="82"/>
  <c r="E272" i="82"/>
  <c r="F272" i="82"/>
  <c r="C272" i="82"/>
  <c r="I273" i="82"/>
  <c r="D273" i="82"/>
  <c r="J273" i="82"/>
  <c r="E273" i="82"/>
  <c r="F273" i="82"/>
  <c r="C273" i="82"/>
  <c r="I274" i="82"/>
  <c r="D274" i="82"/>
  <c r="J274" i="82"/>
  <c r="E274" i="82"/>
  <c r="F274" i="82"/>
  <c r="C274" i="82"/>
  <c r="I275" i="82"/>
  <c r="D275" i="82"/>
  <c r="J275" i="82"/>
  <c r="E275" i="82"/>
  <c r="F275" i="82"/>
  <c r="C275" i="82"/>
  <c r="I276" i="82"/>
  <c r="D276" i="82"/>
  <c r="J276" i="82"/>
  <c r="E276" i="82"/>
  <c r="F276" i="82"/>
  <c r="C276" i="82"/>
  <c r="I277" i="82"/>
  <c r="D277" i="82"/>
  <c r="J277" i="82"/>
  <c r="E277" i="82"/>
  <c r="F277" i="82"/>
  <c r="C277" i="82"/>
  <c r="I278" i="82"/>
  <c r="D278" i="82"/>
  <c r="J278" i="82"/>
  <c r="E278" i="82"/>
  <c r="F278" i="82"/>
  <c r="C278" i="82"/>
  <c r="I279" i="82"/>
  <c r="D279" i="82"/>
  <c r="J279" i="82"/>
  <c r="E279" i="82"/>
  <c r="F279" i="82"/>
  <c r="C279" i="82"/>
  <c r="I280" i="82"/>
  <c r="D280" i="82"/>
  <c r="J280" i="82"/>
  <c r="E280" i="82"/>
  <c r="F280" i="82"/>
  <c r="C280" i="82"/>
  <c r="I281" i="82"/>
  <c r="D281" i="82"/>
  <c r="J281" i="82"/>
  <c r="E281" i="82"/>
  <c r="F281" i="82"/>
  <c r="C281" i="82"/>
  <c r="I282" i="82"/>
  <c r="D282" i="82"/>
  <c r="J282" i="82"/>
  <c r="E282" i="82"/>
  <c r="F282" i="82"/>
  <c r="C282" i="82"/>
  <c r="I283" i="82"/>
  <c r="D283" i="82"/>
  <c r="J283" i="82"/>
  <c r="E283" i="82"/>
  <c r="F283" i="82"/>
  <c r="C283" i="82"/>
  <c r="F5" i="106"/>
  <c r="F6" i="106"/>
  <c r="A36" i="106"/>
  <c r="G31" i="106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31" i="106"/>
  <c r="H31" i="106"/>
  <c r="O284" i="82"/>
  <c r="E6" i="106"/>
  <c r="E19" i="106"/>
  <c r="B19" i="106"/>
  <c r="E5" i="106"/>
  <c r="E24" i="106"/>
  <c r="B24" i="106"/>
  <c r="B17" i="106"/>
  <c r="G17" i="106"/>
  <c r="E17" i="106"/>
  <c r="H17" i="106"/>
  <c r="O2" i="82"/>
  <c r="E18" i="106"/>
  <c r="B18" i="106"/>
  <c r="G18" i="106"/>
  <c r="H18" i="106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E25" i="106"/>
  <c r="B25" i="106"/>
  <c r="G25" i="106"/>
  <c r="H25" i="106"/>
  <c r="O43" i="82"/>
  <c r="E26" i="106"/>
  <c r="B26" i="106"/>
  <c r="G26" i="106"/>
  <c r="H26" i="106"/>
  <c r="O44" i="82"/>
  <c r="O45" i="82"/>
  <c r="O46" i="82"/>
  <c r="O47" i="82"/>
  <c r="O48" i="82"/>
  <c r="O49" i="82"/>
  <c r="O50" i="82"/>
  <c r="G19" i="106"/>
  <c r="H19" i="106"/>
  <c r="O51" i="82"/>
  <c r="E20" i="106"/>
  <c r="B20" i="106"/>
  <c r="G20" i="106"/>
  <c r="H20" i="106"/>
  <c r="O52" i="82"/>
  <c r="E21" i="106"/>
  <c r="B21" i="106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27" i="106"/>
  <c r="B27" i="106"/>
  <c r="G27" i="106"/>
  <c r="H27" i="106"/>
  <c r="O138" i="82"/>
  <c r="E28" i="106"/>
  <c r="B28" i="106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E22" i="106"/>
  <c r="E29" i="106"/>
  <c r="B29" i="106"/>
  <c r="B23" i="106"/>
  <c r="B22" i="106"/>
  <c r="G22" i="106"/>
  <c r="H22" i="106"/>
  <c r="O256" i="82"/>
  <c r="G23" i="106"/>
  <c r="E23" i="106"/>
  <c r="H23" i="106"/>
  <c r="O257" i="82"/>
  <c r="O258" i="82"/>
  <c r="O259" i="82"/>
  <c r="G29" i="106"/>
  <c r="H29" i="106"/>
  <c r="O260" i="82"/>
  <c r="O261" i="82"/>
  <c r="O262" i="82"/>
  <c r="O263" i="82"/>
  <c r="O264" i="82"/>
  <c r="O265" i="82"/>
  <c r="O266" i="82"/>
  <c r="O267" i="82"/>
  <c r="O268" i="82"/>
  <c r="O269" i="82"/>
  <c r="O270" i="82"/>
  <c r="O271" i="82"/>
  <c r="O272" i="82"/>
  <c r="O273" i="82"/>
  <c r="O274" i="82"/>
  <c r="O275" i="82"/>
  <c r="O276" i="82"/>
  <c r="O277" i="82"/>
  <c r="O278" i="82"/>
  <c r="O279" i="82"/>
  <c r="O280" i="82"/>
  <c r="O281" i="82"/>
  <c r="O282" i="82"/>
  <c r="O283" i="82"/>
  <c r="G30" i="106"/>
  <c r="E30" i="106"/>
  <c r="H30" i="106"/>
  <c r="P284" i="82"/>
  <c r="J27" i="156"/>
  <c r="E27" i="156"/>
  <c r="C27" i="156"/>
  <c r="H27" i="156"/>
  <c r="K27" i="156"/>
  <c r="L27" i="156"/>
  <c r="M27" i="156"/>
  <c r="N27" i="156"/>
  <c r="P27" i="156"/>
  <c r="J28" i="156"/>
  <c r="E28" i="156"/>
  <c r="C28" i="156"/>
  <c r="H28" i="156"/>
  <c r="K28" i="156"/>
  <c r="L28" i="156"/>
  <c r="M28" i="156"/>
  <c r="N28" i="156"/>
  <c r="P28" i="156"/>
  <c r="J29" i="156"/>
  <c r="E29" i="156"/>
  <c r="C29" i="156"/>
  <c r="H29" i="156"/>
  <c r="K29" i="156"/>
  <c r="L29" i="156"/>
  <c r="M29" i="156"/>
  <c r="N29" i="156"/>
  <c r="P29" i="156"/>
  <c r="J30" i="156"/>
  <c r="E30" i="156"/>
  <c r="C30" i="156"/>
  <c r="H30" i="156"/>
  <c r="K30" i="156"/>
  <c r="L30" i="156"/>
  <c r="M30" i="156"/>
  <c r="N30" i="156"/>
  <c r="P30" i="156"/>
  <c r="J31" i="156"/>
  <c r="E31" i="156"/>
  <c r="C31" i="156"/>
  <c r="H31" i="156"/>
  <c r="K31" i="156"/>
  <c r="L31" i="156"/>
  <c r="M31" i="156"/>
  <c r="N31" i="156"/>
  <c r="P31" i="156"/>
  <c r="J32" i="156"/>
  <c r="E32" i="156"/>
  <c r="C32" i="156"/>
  <c r="H32" i="156"/>
  <c r="K32" i="156"/>
  <c r="L32" i="156"/>
  <c r="M32" i="156"/>
  <c r="N32" i="156"/>
  <c r="P32" i="156"/>
  <c r="J33" i="156"/>
  <c r="E33" i="156"/>
  <c r="C33" i="156"/>
  <c r="H33" i="156"/>
  <c r="K33" i="156"/>
  <c r="L33" i="156"/>
  <c r="M33" i="156"/>
  <c r="N33" i="156"/>
  <c r="P33" i="156"/>
  <c r="J34" i="156"/>
  <c r="E34" i="156"/>
  <c r="C34" i="156"/>
  <c r="H34" i="156"/>
  <c r="K34" i="156"/>
  <c r="L34" i="156"/>
  <c r="M34" i="156"/>
  <c r="N34" i="156"/>
  <c r="P34" i="156"/>
  <c r="J35" i="156"/>
  <c r="E35" i="156"/>
  <c r="C35" i="156"/>
  <c r="H35" i="156"/>
  <c r="K35" i="156"/>
  <c r="L35" i="156"/>
  <c r="M35" i="156"/>
  <c r="N35" i="156"/>
  <c r="P35" i="156"/>
  <c r="J36" i="156"/>
  <c r="E36" i="156"/>
  <c r="C36" i="156"/>
  <c r="H36" i="156"/>
  <c r="K36" i="156"/>
  <c r="L36" i="156"/>
  <c r="M36" i="156"/>
  <c r="N36" i="156"/>
  <c r="P36" i="156"/>
  <c r="J37" i="156"/>
  <c r="E37" i="156"/>
  <c r="C37" i="156"/>
  <c r="H37" i="156"/>
  <c r="K37" i="156"/>
  <c r="L37" i="156"/>
  <c r="M37" i="156"/>
  <c r="N37" i="156"/>
  <c r="P37" i="156"/>
  <c r="J38" i="156"/>
  <c r="E38" i="156"/>
  <c r="C38" i="156"/>
  <c r="H38" i="156"/>
  <c r="K38" i="156"/>
  <c r="L38" i="156"/>
  <c r="M38" i="156"/>
  <c r="N38" i="156"/>
  <c r="P38" i="156"/>
  <c r="J39" i="156"/>
  <c r="E39" i="156"/>
  <c r="C39" i="156"/>
  <c r="H39" i="156"/>
  <c r="K39" i="156"/>
  <c r="L39" i="156"/>
  <c r="M39" i="156"/>
  <c r="N39" i="156"/>
  <c r="P39" i="156"/>
  <c r="J40" i="156"/>
  <c r="E40" i="156"/>
  <c r="C40" i="156"/>
  <c r="H40" i="156"/>
  <c r="K40" i="156"/>
  <c r="L40" i="156"/>
  <c r="M40" i="156"/>
  <c r="N40" i="156"/>
  <c r="P40" i="156"/>
  <c r="J41" i="156"/>
  <c r="E41" i="156"/>
  <c r="C41" i="156"/>
  <c r="H41" i="156"/>
  <c r="K41" i="156"/>
  <c r="L41" i="156"/>
  <c r="M41" i="156"/>
  <c r="N41" i="156"/>
  <c r="P41" i="156"/>
  <c r="J42" i="156"/>
  <c r="E42" i="156"/>
  <c r="C42" i="156"/>
  <c r="H42" i="156"/>
  <c r="K42" i="156"/>
  <c r="L42" i="156"/>
  <c r="M42" i="156"/>
  <c r="N42" i="156"/>
  <c r="P42" i="156"/>
  <c r="J43" i="156"/>
  <c r="E43" i="156"/>
  <c r="C43" i="156"/>
  <c r="H43" i="156"/>
  <c r="K43" i="156"/>
  <c r="L43" i="156"/>
  <c r="M43" i="156"/>
  <c r="N43" i="156"/>
  <c r="P43" i="156"/>
  <c r="J44" i="156"/>
  <c r="E44" i="156"/>
  <c r="C44" i="156"/>
  <c r="H44" i="156"/>
  <c r="K44" i="156"/>
  <c r="L44" i="156"/>
  <c r="M44" i="156"/>
  <c r="N44" i="156"/>
  <c r="P44" i="156"/>
  <c r="J45" i="156"/>
  <c r="E45" i="156"/>
  <c r="C45" i="156"/>
  <c r="H45" i="156"/>
  <c r="K45" i="156"/>
  <c r="L45" i="156"/>
  <c r="M45" i="156"/>
  <c r="N45" i="156"/>
  <c r="P45" i="156"/>
  <c r="J46" i="156"/>
  <c r="E46" i="156"/>
  <c r="C46" i="156"/>
  <c r="H46" i="156"/>
  <c r="K46" i="156"/>
  <c r="L46" i="156"/>
  <c r="M46" i="156"/>
  <c r="N46" i="156"/>
  <c r="P46" i="156"/>
  <c r="J47" i="156"/>
  <c r="E47" i="156"/>
  <c r="C47" i="156"/>
  <c r="H47" i="156"/>
  <c r="K47" i="156"/>
  <c r="L47" i="156"/>
  <c r="M47" i="156"/>
  <c r="N47" i="156"/>
  <c r="P47" i="156"/>
  <c r="J48" i="156"/>
  <c r="E48" i="156"/>
  <c r="C48" i="156"/>
  <c r="H48" i="156"/>
  <c r="K48" i="156"/>
  <c r="L48" i="156"/>
  <c r="M48" i="156"/>
  <c r="N48" i="156"/>
  <c r="P48" i="156"/>
  <c r="J49" i="156"/>
  <c r="E49" i="156"/>
  <c r="C49" i="156"/>
  <c r="H49" i="156"/>
  <c r="K49" i="156"/>
  <c r="L49" i="156"/>
  <c r="M49" i="156"/>
  <c r="N49" i="156"/>
  <c r="P49" i="156"/>
  <c r="J50" i="156"/>
  <c r="E50" i="156"/>
  <c r="C50" i="156"/>
  <c r="H50" i="156"/>
  <c r="K50" i="156"/>
  <c r="L50" i="156"/>
  <c r="M50" i="156"/>
  <c r="N50" i="156"/>
  <c r="P50" i="156"/>
  <c r="J51" i="156"/>
  <c r="E51" i="156"/>
  <c r="C51" i="156"/>
  <c r="H51" i="156"/>
  <c r="K51" i="156"/>
  <c r="L51" i="156"/>
  <c r="M51" i="156"/>
  <c r="N51" i="156"/>
  <c r="P51" i="156"/>
  <c r="J52" i="156"/>
  <c r="E52" i="156"/>
  <c r="C52" i="156"/>
  <c r="H52" i="156"/>
  <c r="K52" i="156"/>
  <c r="L52" i="156"/>
  <c r="M52" i="156"/>
  <c r="N52" i="156"/>
  <c r="P52" i="156"/>
  <c r="J53" i="156"/>
  <c r="E53" i="156"/>
  <c r="C53" i="156"/>
  <c r="H53" i="156"/>
  <c r="K53" i="156"/>
  <c r="L53" i="156"/>
  <c r="M53" i="156"/>
  <c r="N53" i="156"/>
  <c r="P53" i="156"/>
  <c r="J54" i="156"/>
  <c r="E54" i="156"/>
  <c r="C54" i="156"/>
  <c r="H54" i="156"/>
  <c r="K54" i="156"/>
  <c r="L54" i="156"/>
  <c r="M54" i="156"/>
  <c r="N54" i="156"/>
  <c r="P54" i="156"/>
  <c r="J55" i="156"/>
  <c r="E55" i="156"/>
  <c r="C55" i="156"/>
  <c r="H55" i="156"/>
  <c r="K55" i="156"/>
  <c r="L55" i="156"/>
  <c r="M55" i="156"/>
  <c r="N55" i="156"/>
  <c r="P55" i="156"/>
  <c r="J56" i="156"/>
  <c r="E56" i="156"/>
  <c r="C56" i="156"/>
  <c r="H56" i="156"/>
  <c r="K56" i="156"/>
  <c r="L56" i="156"/>
  <c r="M56" i="156"/>
  <c r="N56" i="156"/>
  <c r="P56" i="156"/>
  <c r="J57" i="156"/>
  <c r="E57" i="156"/>
  <c r="C57" i="156"/>
  <c r="H57" i="156"/>
  <c r="K57" i="156"/>
  <c r="L57" i="156"/>
  <c r="M57" i="156"/>
  <c r="N57" i="156"/>
  <c r="P57" i="156"/>
  <c r="J58" i="156"/>
  <c r="E58" i="156"/>
  <c r="C58" i="156"/>
  <c r="H58" i="156"/>
  <c r="K58" i="156"/>
  <c r="L58" i="156"/>
  <c r="M58" i="156"/>
  <c r="N58" i="156"/>
  <c r="P58" i="156"/>
  <c r="J59" i="156"/>
  <c r="E59" i="156"/>
  <c r="C59" i="156"/>
  <c r="H59" i="156"/>
  <c r="K59" i="156"/>
  <c r="L59" i="156"/>
  <c r="M59" i="156"/>
  <c r="N59" i="156"/>
  <c r="P59" i="156"/>
  <c r="J60" i="156"/>
  <c r="E60" i="156"/>
  <c r="C60" i="156"/>
  <c r="H60" i="156"/>
  <c r="K60" i="156"/>
  <c r="L60" i="156"/>
  <c r="M60" i="156"/>
  <c r="N60" i="156"/>
  <c r="P60" i="156"/>
  <c r="J61" i="156"/>
  <c r="E61" i="156"/>
  <c r="C61" i="156"/>
  <c r="H61" i="156"/>
  <c r="K61" i="156"/>
  <c r="L61" i="156"/>
  <c r="M61" i="156"/>
  <c r="N61" i="156"/>
  <c r="P61" i="156"/>
  <c r="J62" i="156"/>
  <c r="E62" i="156"/>
  <c r="C62" i="156"/>
  <c r="H62" i="156"/>
  <c r="K62" i="156"/>
  <c r="L62" i="156"/>
  <c r="M62" i="156"/>
  <c r="N62" i="156"/>
  <c r="P62" i="156"/>
  <c r="J63" i="156"/>
  <c r="E63" i="156"/>
  <c r="C63" i="156"/>
  <c r="H63" i="156"/>
  <c r="K63" i="156"/>
  <c r="L63" i="156"/>
  <c r="M63" i="156"/>
  <c r="N63" i="156"/>
  <c r="P63" i="156"/>
  <c r="J64" i="156"/>
  <c r="E64" i="156"/>
  <c r="C64" i="156"/>
  <c r="H64" i="156"/>
  <c r="K64" i="156"/>
  <c r="L64" i="156"/>
  <c r="M64" i="156"/>
  <c r="N64" i="156"/>
  <c r="P64" i="156"/>
  <c r="J65" i="156"/>
  <c r="E65" i="156"/>
  <c r="C65" i="156"/>
  <c r="H65" i="156"/>
  <c r="K65" i="156"/>
  <c r="L65" i="156"/>
  <c r="M65" i="156"/>
  <c r="N65" i="156"/>
  <c r="P65" i="156"/>
  <c r="J66" i="156"/>
  <c r="E66" i="156"/>
  <c r="C66" i="156"/>
  <c r="H66" i="156"/>
  <c r="K66" i="156"/>
  <c r="L66" i="156"/>
  <c r="M66" i="156"/>
  <c r="N66" i="156"/>
  <c r="P66" i="156"/>
  <c r="J67" i="156"/>
  <c r="E67" i="156"/>
  <c r="C67" i="156"/>
  <c r="H67" i="156"/>
  <c r="K67" i="156"/>
  <c r="L67" i="156"/>
  <c r="M67" i="156"/>
  <c r="N67" i="156"/>
  <c r="P67" i="156"/>
  <c r="J68" i="156"/>
  <c r="E68" i="156"/>
  <c r="C68" i="156"/>
  <c r="H68" i="156"/>
  <c r="K68" i="156"/>
  <c r="L68" i="156"/>
  <c r="M68" i="156"/>
  <c r="N68" i="156"/>
  <c r="P68" i="156"/>
  <c r="J69" i="156"/>
  <c r="E69" i="156"/>
  <c r="C69" i="156"/>
  <c r="H69" i="156"/>
  <c r="K69" i="156"/>
  <c r="L69" i="156"/>
  <c r="M69" i="156"/>
  <c r="N69" i="156"/>
  <c r="P69" i="156"/>
  <c r="J70" i="156"/>
  <c r="E70" i="156"/>
  <c r="C70" i="156"/>
  <c r="H70" i="156"/>
  <c r="K70" i="156"/>
  <c r="L70" i="156"/>
  <c r="M70" i="156"/>
  <c r="N70" i="156"/>
  <c r="P70" i="156"/>
  <c r="J71" i="156"/>
  <c r="E71" i="156"/>
  <c r="C71" i="156"/>
  <c r="H71" i="156"/>
  <c r="K71" i="156"/>
  <c r="L71" i="156"/>
  <c r="M71" i="156"/>
  <c r="N71" i="156"/>
  <c r="P71" i="156"/>
  <c r="J72" i="156"/>
  <c r="E72" i="156"/>
  <c r="C72" i="156"/>
  <c r="H72" i="156"/>
  <c r="K72" i="156"/>
  <c r="L72" i="156"/>
  <c r="M72" i="156"/>
  <c r="N72" i="156"/>
  <c r="P72" i="156"/>
  <c r="J73" i="156"/>
  <c r="E73" i="156"/>
  <c r="C73" i="156"/>
  <c r="H73" i="156"/>
  <c r="K73" i="156"/>
  <c r="L73" i="156"/>
  <c r="M73" i="156"/>
  <c r="N73" i="156"/>
  <c r="P73" i="156"/>
  <c r="J74" i="156"/>
  <c r="E74" i="156"/>
  <c r="C74" i="156"/>
  <c r="H74" i="156"/>
  <c r="K74" i="156"/>
  <c r="L74" i="156"/>
  <c r="M74" i="156"/>
  <c r="N74" i="156"/>
  <c r="P74" i="156"/>
  <c r="J75" i="156"/>
  <c r="E75" i="156"/>
  <c r="C75" i="156"/>
  <c r="H75" i="156"/>
  <c r="K75" i="156"/>
  <c r="L75" i="156"/>
  <c r="M75" i="156"/>
  <c r="N75" i="156"/>
  <c r="P75" i="156"/>
  <c r="J76" i="156"/>
  <c r="E76" i="156"/>
  <c r="C76" i="156"/>
  <c r="H76" i="156"/>
  <c r="K76" i="156"/>
  <c r="L76" i="156"/>
  <c r="M76" i="156"/>
  <c r="N76" i="156"/>
  <c r="P76" i="156"/>
  <c r="J77" i="156"/>
  <c r="E77" i="156"/>
  <c r="C77" i="156"/>
  <c r="H77" i="156"/>
  <c r="K77" i="156"/>
  <c r="L77" i="156"/>
  <c r="M77" i="156"/>
  <c r="N77" i="156"/>
  <c r="P77" i="156"/>
  <c r="J78" i="156"/>
  <c r="E78" i="156"/>
  <c r="C78" i="156"/>
  <c r="H78" i="156"/>
  <c r="K78" i="156"/>
  <c r="L78" i="156"/>
  <c r="M78" i="156"/>
  <c r="N78" i="156"/>
  <c r="P78" i="156"/>
  <c r="J79" i="156"/>
  <c r="E79" i="156"/>
  <c r="C79" i="156"/>
  <c r="H79" i="156"/>
  <c r="K79" i="156"/>
  <c r="L79" i="156"/>
  <c r="M79" i="156"/>
  <c r="N79" i="156"/>
  <c r="P79" i="156"/>
  <c r="J80" i="156"/>
  <c r="E80" i="156"/>
  <c r="C80" i="156"/>
  <c r="H80" i="156"/>
  <c r="K80" i="156"/>
  <c r="L80" i="156"/>
  <c r="M80" i="156"/>
  <c r="N80" i="156"/>
  <c r="P80" i="156"/>
  <c r="J81" i="156"/>
  <c r="E81" i="156"/>
  <c r="C81" i="156"/>
  <c r="H81" i="156"/>
  <c r="K81" i="156"/>
  <c r="L81" i="156"/>
  <c r="M81" i="156"/>
  <c r="N81" i="156"/>
  <c r="P81" i="156"/>
  <c r="J82" i="156"/>
  <c r="E82" i="156"/>
  <c r="C82" i="156"/>
  <c r="H82" i="156"/>
  <c r="K82" i="156"/>
  <c r="L82" i="156"/>
  <c r="M82" i="156"/>
  <c r="N82" i="156"/>
  <c r="P82" i="156"/>
  <c r="J83" i="156"/>
  <c r="E83" i="156"/>
  <c r="C83" i="156"/>
  <c r="H83" i="156"/>
  <c r="K83" i="156"/>
  <c r="L83" i="156"/>
  <c r="M83" i="156"/>
  <c r="N83" i="156"/>
  <c r="P83" i="156"/>
  <c r="J84" i="156"/>
  <c r="E84" i="156"/>
  <c r="C84" i="156"/>
  <c r="H84" i="156"/>
  <c r="K84" i="156"/>
  <c r="L84" i="156"/>
  <c r="M84" i="156"/>
  <c r="N84" i="156"/>
  <c r="P84" i="156"/>
  <c r="J85" i="156"/>
  <c r="E85" i="156"/>
  <c r="C85" i="156"/>
  <c r="H85" i="156"/>
  <c r="K85" i="156"/>
  <c r="L85" i="156"/>
  <c r="M85" i="156"/>
  <c r="N85" i="156"/>
  <c r="P85" i="156"/>
  <c r="J86" i="156"/>
  <c r="E86" i="156"/>
  <c r="C86" i="156"/>
  <c r="H86" i="156"/>
  <c r="K86" i="156"/>
  <c r="L86" i="156"/>
  <c r="M86" i="156"/>
  <c r="N86" i="156"/>
  <c r="P86" i="156"/>
  <c r="J87" i="156"/>
  <c r="E87" i="156"/>
  <c r="C87" i="156"/>
  <c r="H87" i="156"/>
  <c r="K87" i="156"/>
  <c r="L87" i="156"/>
  <c r="M87" i="156"/>
  <c r="N87" i="156"/>
  <c r="P87" i="156"/>
  <c r="J88" i="156"/>
  <c r="E88" i="156"/>
  <c r="C88" i="156"/>
  <c r="H88" i="156"/>
  <c r="K88" i="156"/>
  <c r="L88" i="156"/>
  <c r="M88" i="156"/>
  <c r="N88" i="156"/>
  <c r="P88" i="156"/>
  <c r="J89" i="156"/>
  <c r="E89" i="156"/>
  <c r="C89" i="156"/>
  <c r="H89" i="156"/>
  <c r="K89" i="156"/>
  <c r="L89" i="156"/>
  <c r="M89" i="156"/>
  <c r="N89" i="156"/>
  <c r="P89" i="156"/>
  <c r="J90" i="156"/>
  <c r="E90" i="156"/>
  <c r="C90" i="156"/>
  <c r="H90" i="156"/>
  <c r="K90" i="156"/>
  <c r="L90" i="156"/>
  <c r="M90" i="156"/>
  <c r="N90" i="156"/>
  <c r="P90" i="156"/>
  <c r="J91" i="156"/>
  <c r="E91" i="156"/>
  <c r="C91" i="156"/>
  <c r="H91" i="156"/>
  <c r="K91" i="156"/>
  <c r="L91" i="156"/>
  <c r="M91" i="156"/>
  <c r="N91" i="156"/>
  <c r="P91" i="156"/>
  <c r="J92" i="156"/>
  <c r="E92" i="156"/>
  <c r="C92" i="156"/>
  <c r="H92" i="156"/>
  <c r="K92" i="156"/>
  <c r="L92" i="156"/>
  <c r="M92" i="156"/>
  <c r="N92" i="156"/>
  <c r="P92" i="156"/>
  <c r="J93" i="156"/>
  <c r="E93" i="156"/>
  <c r="C93" i="156"/>
  <c r="H93" i="156"/>
  <c r="K93" i="156"/>
  <c r="L93" i="156"/>
  <c r="M93" i="156"/>
  <c r="N93" i="156"/>
  <c r="P93" i="156"/>
  <c r="J94" i="156"/>
  <c r="E94" i="156"/>
  <c r="C94" i="156"/>
  <c r="H94" i="156"/>
  <c r="K94" i="156"/>
  <c r="L94" i="156"/>
  <c r="M94" i="156"/>
  <c r="N94" i="156"/>
  <c r="P94" i="156"/>
  <c r="J95" i="156"/>
  <c r="E95" i="156"/>
  <c r="C95" i="156"/>
  <c r="H95" i="156"/>
  <c r="K95" i="156"/>
  <c r="L95" i="156"/>
  <c r="M95" i="156"/>
  <c r="N95" i="156"/>
  <c r="P95" i="156"/>
  <c r="J96" i="156"/>
  <c r="E96" i="156"/>
  <c r="C96" i="156"/>
  <c r="H96" i="156"/>
  <c r="K96" i="156"/>
  <c r="L96" i="156"/>
  <c r="M96" i="156"/>
  <c r="N96" i="156"/>
  <c r="P96" i="156"/>
  <c r="J97" i="156"/>
  <c r="E97" i="156"/>
  <c r="C97" i="156"/>
  <c r="H97" i="156"/>
  <c r="K97" i="156"/>
  <c r="L97" i="156"/>
  <c r="M97" i="156"/>
  <c r="N97" i="156"/>
  <c r="P97" i="156"/>
  <c r="B10" i="153"/>
  <c r="B10" i="151"/>
  <c r="B10" i="149"/>
  <c r="B10" i="147"/>
  <c r="C5" i="103"/>
  <c r="E5" i="103"/>
  <c r="C6" i="103"/>
  <c r="E6" i="103"/>
  <c r="C2" i="103"/>
  <c r="E2" i="103"/>
  <c r="J26" i="156"/>
  <c r="E26" i="156"/>
  <c r="C26" i="156"/>
  <c r="J2" i="156"/>
  <c r="E2" i="156"/>
  <c r="C2" i="156"/>
  <c r="J3" i="156"/>
  <c r="E3" i="156"/>
  <c r="C3" i="156"/>
  <c r="J4" i="156"/>
  <c r="E4" i="156"/>
  <c r="C4" i="156"/>
  <c r="J5" i="156"/>
  <c r="E5" i="156"/>
  <c r="C5" i="156"/>
  <c r="J6" i="156"/>
  <c r="E6" i="156"/>
  <c r="C6" i="156"/>
  <c r="J7" i="156"/>
  <c r="E7" i="156"/>
  <c r="C7" i="156"/>
  <c r="J8" i="156"/>
  <c r="E8" i="156"/>
  <c r="C8" i="156"/>
  <c r="J9" i="156"/>
  <c r="E9" i="156"/>
  <c r="C9" i="156"/>
  <c r="J10" i="156"/>
  <c r="E10" i="156"/>
  <c r="C10" i="156"/>
  <c r="J11" i="156"/>
  <c r="E11" i="156"/>
  <c r="C11" i="156"/>
  <c r="J12" i="156"/>
  <c r="E12" i="156"/>
  <c r="C12" i="156"/>
  <c r="J13" i="156"/>
  <c r="E13" i="156"/>
  <c r="C13" i="156"/>
  <c r="J14" i="156"/>
  <c r="E14" i="156"/>
  <c r="C14" i="156"/>
  <c r="J15" i="156"/>
  <c r="E15" i="156"/>
  <c r="C15" i="156"/>
  <c r="J16" i="156"/>
  <c r="E16" i="156"/>
  <c r="C16" i="156"/>
  <c r="J17" i="156"/>
  <c r="E17" i="156"/>
  <c r="C17" i="156"/>
  <c r="J18" i="156"/>
  <c r="E18" i="156"/>
  <c r="C18" i="156"/>
  <c r="J19" i="156"/>
  <c r="E19" i="156"/>
  <c r="C19" i="156"/>
  <c r="J20" i="156"/>
  <c r="E20" i="156"/>
  <c r="C20" i="156"/>
  <c r="J21" i="156"/>
  <c r="E21" i="156"/>
  <c r="C21" i="156"/>
  <c r="J22" i="156"/>
  <c r="E22" i="156"/>
  <c r="C22" i="156"/>
  <c r="J23" i="156"/>
  <c r="E23" i="156"/>
  <c r="C23" i="156"/>
  <c r="J24" i="156"/>
  <c r="E24" i="156"/>
  <c r="C24" i="156"/>
  <c r="J25" i="156"/>
  <c r="E25" i="156"/>
  <c r="C25" i="156"/>
  <c r="P26" i="156"/>
  <c r="N26" i="156"/>
  <c r="M26" i="156"/>
  <c r="L26" i="156"/>
  <c r="K26" i="156"/>
  <c r="H26" i="156"/>
  <c r="P25" i="156"/>
  <c r="N25" i="156"/>
  <c r="M25" i="156"/>
  <c r="L25" i="156"/>
  <c r="K25" i="156"/>
  <c r="H25" i="156"/>
  <c r="P24" i="156"/>
  <c r="N24" i="156"/>
  <c r="M24" i="156"/>
  <c r="L24" i="156"/>
  <c r="K24" i="156"/>
  <c r="H24" i="156"/>
  <c r="P23" i="156"/>
  <c r="N23" i="156"/>
  <c r="M23" i="156"/>
  <c r="L23" i="156"/>
  <c r="K23" i="156"/>
  <c r="H23" i="156"/>
  <c r="P22" i="156"/>
  <c r="N22" i="156"/>
  <c r="M22" i="156"/>
  <c r="L22" i="156"/>
  <c r="K22" i="156"/>
  <c r="H22" i="156"/>
  <c r="P21" i="156"/>
  <c r="N21" i="156"/>
  <c r="M21" i="156"/>
  <c r="L21" i="156"/>
  <c r="K21" i="156"/>
  <c r="H21" i="156"/>
  <c r="P20" i="156"/>
  <c r="N20" i="156"/>
  <c r="M20" i="156"/>
  <c r="L20" i="156"/>
  <c r="K20" i="156"/>
  <c r="H20" i="156"/>
  <c r="P19" i="156"/>
  <c r="N19" i="156"/>
  <c r="M19" i="156"/>
  <c r="L19" i="156"/>
  <c r="K19" i="156"/>
  <c r="H19" i="156"/>
  <c r="P18" i="156"/>
  <c r="N18" i="156"/>
  <c r="M18" i="156"/>
  <c r="L18" i="156"/>
  <c r="K18" i="156"/>
  <c r="H18" i="156"/>
  <c r="P17" i="156"/>
  <c r="N17" i="156"/>
  <c r="M17" i="156"/>
  <c r="L17" i="156"/>
  <c r="K17" i="156"/>
  <c r="H17" i="156"/>
  <c r="P16" i="156"/>
  <c r="N16" i="156"/>
  <c r="M16" i="156"/>
  <c r="L16" i="156"/>
  <c r="K16" i="156"/>
  <c r="H16" i="156"/>
  <c r="P15" i="156"/>
  <c r="N15" i="156"/>
  <c r="M15" i="156"/>
  <c r="L15" i="156"/>
  <c r="K15" i="156"/>
  <c r="H15" i="156"/>
  <c r="P14" i="156"/>
  <c r="N14" i="156"/>
  <c r="M14" i="156"/>
  <c r="L14" i="156"/>
  <c r="K14" i="156"/>
  <c r="H14" i="156"/>
  <c r="P13" i="156"/>
  <c r="N13" i="156"/>
  <c r="M13" i="156"/>
  <c r="L13" i="156"/>
  <c r="K13" i="156"/>
  <c r="H13" i="156"/>
  <c r="P12" i="156"/>
  <c r="N12" i="156"/>
  <c r="M12" i="156"/>
  <c r="L12" i="156"/>
  <c r="K12" i="156"/>
  <c r="H12" i="156"/>
  <c r="P11" i="156"/>
  <c r="N11" i="156"/>
  <c r="M11" i="156"/>
  <c r="L11" i="156"/>
  <c r="K11" i="156"/>
  <c r="H11" i="156"/>
  <c r="P10" i="156"/>
  <c r="N10" i="156"/>
  <c r="M10" i="156"/>
  <c r="L10" i="156"/>
  <c r="K10" i="156"/>
  <c r="H10" i="156"/>
  <c r="P9" i="156"/>
  <c r="N9" i="156"/>
  <c r="M9" i="156"/>
  <c r="L9" i="156"/>
  <c r="K9" i="156"/>
  <c r="H9" i="156"/>
  <c r="P8" i="156"/>
  <c r="N8" i="156"/>
  <c r="M8" i="156"/>
  <c r="L8" i="156"/>
  <c r="K8" i="156"/>
  <c r="H8" i="156"/>
  <c r="P7" i="156"/>
  <c r="N7" i="156"/>
  <c r="M7" i="156"/>
  <c r="L7" i="156"/>
  <c r="K7" i="156"/>
  <c r="H7" i="156"/>
  <c r="P6" i="156"/>
  <c r="N6" i="156"/>
  <c r="M6" i="156"/>
  <c r="L6" i="156"/>
  <c r="K6" i="156"/>
  <c r="H6" i="156"/>
  <c r="P5" i="156"/>
  <c r="N5" i="156"/>
  <c r="M5" i="156"/>
  <c r="L5" i="156"/>
  <c r="K5" i="156"/>
  <c r="H5" i="156"/>
  <c r="P4" i="156"/>
  <c r="N4" i="156"/>
  <c r="M4" i="156"/>
  <c r="L4" i="156"/>
  <c r="K4" i="156"/>
  <c r="H4" i="156"/>
  <c r="P3" i="156"/>
  <c r="N3" i="156"/>
  <c r="M3" i="156"/>
  <c r="L3" i="156"/>
  <c r="K3" i="156"/>
  <c r="H3" i="156"/>
  <c r="P2" i="156"/>
  <c r="N2" i="156"/>
  <c r="M2" i="156"/>
  <c r="L2" i="156"/>
  <c r="K2" i="156"/>
  <c r="H2" i="156"/>
  <c r="P283" i="154"/>
  <c r="N283" i="154"/>
  <c r="M283" i="154"/>
  <c r="L283" i="154"/>
  <c r="K283" i="154"/>
  <c r="H283" i="154"/>
  <c r="A283" i="154"/>
  <c r="P282" i="154"/>
  <c r="N282" i="154"/>
  <c r="M282" i="154"/>
  <c r="L282" i="154"/>
  <c r="K282" i="154"/>
  <c r="H282" i="154"/>
  <c r="A282" i="154"/>
  <c r="P281" i="154"/>
  <c r="N281" i="154"/>
  <c r="M281" i="154"/>
  <c r="L281" i="154"/>
  <c r="K281" i="154"/>
  <c r="H281" i="154"/>
  <c r="A281" i="154"/>
  <c r="P280" i="154"/>
  <c r="N280" i="154"/>
  <c r="M280" i="154"/>
  <c r="L280" i="154"/>
  <c r="K280" i="154"/>
  <c r="H280" i="154"/>
  <c r="A280" i="154"/>
  <c r="P279" i="154"/>
  <c r="N279" i="154"/>
  <c r="M279" i="154"/>
  <c r="L279" i="154"/>
  <c r="K279" i="154"/>
  <c r="H279" i="154"/>
  <c r="A279" i="154"/>
  <c r="P278" i="154"/>
  <c r="N278" i="154"/>
  <c r="M278" i="154"/>
  <c r="L278" i="154"/>
  <c r="K278" i="154"/>
  <c r="H278" i="154"/>
  <c r="A278" i="154"/>
  <c r="P277" i="154"/>
  <c r="N277" i="154"/>
  <c r="M277" i="154"/>
  <c r="L277" i="154"/>
  <c r="K277" i="154"/>
  <c r="H277" i="154"/>
  <c r="A277" i="154"/>
  <c r="P276" i="154"/>
  <c r="N276" i="154"/>
  <c r="M276" i="154"/>
  <c r="L276" i="154"/>
  <c r="K276" i="154"/>
  <c r="H276" i="154"/>
  <c r="A276" i="154"/>
  <c r="P275" i="154"/>
  <c r="N275" i="154"/>
  <c r="M275" i="154"/>
  <c r="L275" i="154"/>
  <c r="K275" i="154"/>
  <c r="H275" i="154"/>
  <c r="A275" i="154"/>
  <c r="P274" i="154"/>
  <c r="N274" i="154"/>
  <c r="M274" i="154"/>
  <c r="L274" i="154"/>
  <c r="K274" i="154"/>
  <c r="H274" i="154"/>
  <c r="A274" i="154"/>
  <c r="P273" i="154"/>
  <c r="N273" i="154"/>
  <c r="M273" i="154"/>
  <c r="L273" i="154"/>
  <c r="K273" i="154"/>
  <c r="H273" i="154"/>
  <c r="A273" i="154"/>
  <c r="P272" i="154"/>
  <c r="N272" i="154"/>
  <c r="M272" i="154"/>
  <c r="L272" i="154"/>
  <c r="K272" i="154"/>
  <c r="H272" i="154"/>
  <c r="A272" i="154"/>
  <c r="P271" i="154"/>
  <c r="N271" i="154"/>
  <c r="M271" i="154"/>
  <c r="L271" i="154"/>
  <c r="K271" i="154"/>
  <c r="H271" i="154"/>
  <c r="A271" i="154"/>
  <c r="P270" i="154"/>
  <c r="N270" i="154"/>
  <c r="M270" i="154"/>
  <c r="L270" i="154"/>
  <c r="K270" i="154"/>
  <c r="H270" i="154"/>
  <c r="A270" i="154"/>
  <c r="P269" i="154"/>
  <c r="N269" i="154"/>
  <c r="M269" i="154"/>
  <c r="L269" i="154"/>
  <c r="K269" i="154"/>
  <c r="H269" i="154"/>
  <c r="A269" i="154"/>
  <c r="P268" i="154"/>
  <c r="N268" i="154"/>
  <c r="M268" i="154"/>
  <c r="L268" i="154"/>
  <c r="K268" i="154"/>
  <c r="H268" i="154"/>
  <c r="A268" i="154"/>
  <c r="P267" i="154"/>
  <c r="N267" i="154"/>
  <c r="M267" i="154"/>
  <c r="L267" i="154"/>
  <c r="K267" i="154"/>
  <c r="H267" i="154"/>
  <c r="A267" i="154"/>
  <c r="P266" i="154"/>
  <c r="N266" i="154"/>
  <c r="M266" i="154"/>
  <c r="L266" i="154"/>
  <c r="K266" i="154"/>
  <c r="H266" i="154"/>
  <c r="A266" i="154"/>
  <c r="P265" i="154"/>
  <c r="N265" i="154"/>
  <c r="M265" i="154"/>
  <c r="L265" i="154"/>
  <c r="K265" i="154"/>
  <c r="H265" i="154"/>
  <c r="A265" i="154"/>
  <c r="P264" i="154"/>
  <c r="N264" i="154"/>
  <c r="M264" i="154"/>
  <c r="L264" i="154"/>
  <c r="K264" i="154"/>
  <c r="H264" i="154"/>
  <c r="A264" i="154"/>
  <c r="P263" i="154"/>
  <c r="N263" i="154"/>
  <c r="M263" i="154"/>
  <c r="L263" i="154"/>
  <c r="K263" i="154"/>
  <c r="H263" i="154"/>
  <c r="A263" i="154"/>
  <c r="P262" i="154"/>
  <c r="N262" i="154"/>
  <c r="M262" i="154"/>
  <c r="L262" i="154"/>
  <c r="K262" i="154"/>
  <c r="H262" i="154"/>
  <c r="A262" i="154"/>
  <c r="P261" i="154"/>
  <c r="N261" i="154"/>
  <c r="M261" i="154"/>
  <c r="L261" i="154"/>
  <c r="K261" i="154"/>
  <c r="H261" i="154"/>
  <c r="A261" i="154"/>
  <c r="P260" i="154"/>
  <c r="N260" i="154"/>
  <c r="M260" i="154"/>
  <c r="L260" i="154"/>
  <c r="K260" i="154"/>
  <c r="H260" i="154"/>
  <c r="A260" i="154"/>
  <c r="P259" i="154"/>
  <c r="N259" i="154"/>
  <c r="M259" i="154"/>
  <c r="L259" i="154"/>
  <c r="K259" i="154"/>
  <c r="H259" i="154"/>
  <c r="A259" i="154"/>
  <c r="P258" i="154"/>
  <c r="N258" i="154"/>
  <c r="M258" i="154"/>
  <c r="L258" i="154"/>
  <c r="K258" i="154"/>
  <c r="H258" i="154"/>
  <c r="A258" i="154"/>
  <c r="P257" i="154"/>
  <c r="N257" i="154"/>
  <c r="M257" i="154"/>
  <c r="L257" i="154"/>
  <c r="K257" i="154"/>
  <c r="H257" i="154"/>
  <c r="A257" i="154"/>
  <c r="P256" i="154"/>
  <c r="N256" i="154"/>
  <c r="M256" i="154"/>
  <c r="L256" i="154"/>
  <c r="K256" i="154"/>
  <c r="H256" i="154"/>
  <c r="A256" i="154"/>
  <c r="P255" i="154"/>
  <c r="N255" i="154"/>
  <c r="M255" i="154"/>
  <c r="L255" i="154"/>
  <c r="K255" i="154"/>
  <c r="H255" i="154"/>
  <c r="A255" i="154"/>
  <c r="P254" i="154"/>
  <c r="N254" i="154"/>
  <c r="M254" i="154"/>
  <c r="L254" i="154"/>
  <c r="K254" i="154"/>
  <c r="H254" i="154"/>
  <c r="A254" i="154"/>
  <c r="P253" i="154"/>
  <c r="N253" i="154"/>
  <c r="M253" i="154"/>
  <c r="L253" i="154"/>
  <c r="K253" i="154"/>
  <c r="H253" i="154"/>
  <c r="A253" i="154"/>
  <c r="P252" i="154"/>
  <c r="N252" i="154"/>
  <c r="M252" i="154"/>
  <c r="L252" i="154"/>
  <c r="K252" i="154"/>
  <c r="H252" i="154"/>
  <c r="A252" i="154"/>
  <c r="P251" i="154"/>
  <c r="N251" i="154"/>
  <c r="M251" i="154"/>
  <c r="L251" i="154"/>
  <c r="K251" i="154"/>
  <c r="H251" i="154"/>
  <c r="A251" i="154"/>
  <c r="P250" i="154"/>
  <c r="N250" i="154"/>
  <c r="M250" i="154"/>
  <c r="L250" i="154"/>
  <c r="K250" i="154"/>
  <c r="H250" i="154"/>
  <c r="A250" i="154"/>
  <c r="P249" i="154"/>
  <c r="N249" i="154"/>
  <c r="M249" i="154"/>
  <c r="L249" i="154"/>
  <c r="K249" i="154"/>
  <c r="H249" i="154"/>
  <c r="A249" i="154"/>
  <c r="P248" i="154"/>
  <c r="N248" i="154"/>
  <c r="M248" i="154"/>
  <c r="L248" i="154"/>
  <c r="K248" i="154"/>
  <c r="H248" i="154"/>
  <c r="A248" i="154"/>
  <c r="P247" i="154"/>
  <c r="N247" i="154"/>
  <c r="M247" i="154"/>
  <c r="L247" i="154"/>
  <c r="K247" i="154"/>
  <c r="H247" i="154"/>
  <c r="A247" i="154"/>
  <c r="P246" i="154"/>
  <c r="N246" i="154"/>
  <c r="M246" i="154"/>
  <c r="L246" i="154"/>
  <c r="K246" i="154"/>
  <c r="H246" i="154"/>
  <c r="A246" i="154"/>
  <c r="P245" i="154"/>
  <c r="N245" i="154"/>
  <c r="M245" i="154"/>
  <c r="L245" i="154"/>
  <c r="K245" i="154"/>
  <c r="H245" i="154"/>
  <c r="A245" i="154"/>
  <c r="P244" i="154"/>
  <c r="N244" i="154"/>
  <c r="M244" i="154"/>
  <c r="L244" i="154"/>
  <c r="K244" i="154"/>
  <c r="H244" i="154"/>
  <c r="A244" i="154"/>
  <c r="P243" i="154"/>
  <c r="N243" i="154"/>
  <c r="M243" i="154"/>
  <c r="L243" i="154"/>
  <c r="K243" i="154"/>
  <c r="H243" i="154"/>
  <c r="A243" i="154"/>
  <c r="P242" i="154"/>
  <c r="N242" i="154"/>
  <c r="M242" i="154"/>
  <c r="L242" i="154"/>
  <c r="K242" i="154"/>
  <c r="H242" i="154"/>
  <c r="A242" i="154"/>
  <c r="P241" i="154"/>
  <c r="N241" i="154"/>
  <c r="M241" i="154"/>
  <c r="L241" i="154"/>
  <c r="K241" i="154"/>
  <c r="H241" i="154"/>
  <c r="A241" i="154"/>
  <c r="P240" i="154"/>
  <c r="N240" i="154"/>
  <c r="M240" i="154"/>
  <c r="L240" i="154"/>
  <c r="K240" i="154"/>
  <c r="H240" i="154"/>
  <c r="A240" i="154"/>
  <c r="P239" i="154"/>
  <c r="N239" i="154"/>
  <c r="M239" i="154"/>
  <c r="L239" i="154"/>
  <c r="K239" i="154"/>
  <c r="H239" i="154"/>
  <c r="A239" i="154"/>
  <c r="P238" i="154"/>
  <c r="N238" i="154"/>
  <c r="M238" i="154"/>
  <c r="L238" i="154"/>
  <c r="K238" i="154"/>
  <c r="H238" i="154"/>
  <c r="A238" i="154"/>
  <c r="P237" i="154"/>
  <c r="N237" i="154"/>
  <c r="M237" i="154"/>
  <c r="L237" i="154"/>
  <c r="K237" i="154"/>
  <c r="H237" i="154"/>
  <c r="A237" i="154"/>
  <c r="P236" i="154"/>
  <c r="N236" i="154"/>
  <c r="M236" i="154"/>
  <c r="L236" i="154"/>
  <c r="K236" i="154"/>
  <c r="H236" i="154"/>
  <c r="A236" i="154"/>
  <c r="P235" i="154"/>
  <c r="N235" i="154"/>
  <c r="M235" i="154"/>
  <c r="L235" i="154"/>
  <c r="K235" i="154"/>
  <c r="H235" i="154"/>
  <c r="A235" i="154"/>
  <c r="P234" i="154"/>
  <c r="N234" i="154"/>
  <c r="M234" i="154"/>
  <c r="L234" i="154"/>
  <c r="K234" i="154"/>
  <c r="H234" i="154"/>
  <c r="A234" i="154"/>
  <c r="P233" i="154"/>
  <c r="N233" i="154"/>
  <c r="M233" i="154"/>
  <c r="L233" i="154"/>
  <c r="K233" i="154"/>
  <c r="H233" i="154"/>
  <c r="A233" i="154"/>
  <c r="P232" i="154"/>
  <c r="N232" i="154"/>
  <c r="M232" i="154"/>
  <c r="L232" i="154"/>
  <c r="K232" i="154"/>
  <c r="H232" i="154"/>
  <c r="A232" i="154"/>
  <c r="P231" i="154"/>
  <c r="N231" i="154"/>
  <c r="M231" i="154"/>
  <c r="L231" i="154"/>
  <c r="K231" i="154"/>
  <c r="H231" i="154"/>
  <c r="A231" i="154"/>
  <c r="P230" i="154"/>
  <c r="N230" i="154"/>
  <c r="M230" i="154"/>
  <c r="L230" i="154"/>
  <c r="K230" i="154"/>
  <c r="H230" i="154"/>
  <c r="A230" i="154"/>
  <c r="P229" i="154"/>
  <c r="N229" i="154"/>
  <c r="M229" i="154"/>
  <c r="L229" i="154"/>
  <c r="K229" i="154"/>
  <c r="H229" i="154"/>
  <c r="A229" i="154"/>
  <c r="P228" i="154"/>
  <c r="N228" i="154"/>
  <c r="M228" i="154"/>
  <c r="L228" i="154"/>
  <c r="K228" i="154"/>
  <c r="H228" i="154"/>
  <c r="A228" i="154"/>
  <c r="P227" i="154"/>
  <c r="N227" i="154"/>
  <c r="M227" i="154"/>
  <c r="L227" i="154"/>
  <c r="K227" i="154"/>
  <c r="H227" i="154"/>
  <c r="A227" i="154"/>
  <c r="P226" i="154"/>
  <c r="N226" i="154"/>
  <c r="M226" i="154"/>
  <c r="L226" i="154"/>
  <c r="K226" i="154"/>
  <c r="H226" i="154"/>
  <c r="A226" i="154"/>
  <c r="P225" i="154"/>
  <c r="N225" i="154"/>
  <c r="M225" i="154"/>
  <c r="L225" i="154"/>
  <c r="K225" i="154"/>
  <c r="H225" i="154"/>
  <c r="A225" i="154"/>
  <c r="P224" i="154"/>
  <c r="N224" i="154"/>
  <c r="M224" i="154"/>
  <c r="L224" i="154"/>
  <c r="K224" i="154"/>
  <c r="H224" i="154"/>
  <c r="A224" i="154"/>
  <c r="P223" i="154"/>
  <c r="N223" i="154"/>
  <c r="M223" i="154"/>
  <c r="L223" i="154"/>
  <c r="K223" i="154"/>
  <c r="H223" i="154"/>
  <c r="A223" i="154"/>
  <c r="P222" i="154"/>
  <c r="N222" i="154"/>
  <c r="M222" i="154"/>
  <c r="L222" i="154"/>
  <c r="K222" i="154"/>
  <c r="H222" i="154"/>
  <c r="A222" i="154"/>
  <c r="P221" i="154"/>
  <c r="N221" i="154"/>
  <c r="M221" i="154"/>
  <c r="L221" i="154"/>
  <c r="K221" i="154"/>
  <c r="H221" i="154"/>
  <c r="A221" i="154"/>
  <c r="P220" i="154"/>
  <c r="N220" i="154"/>
  <c r="M220" i="154"/>
  <c r="L220" i="154"/>
  <c r="K220" i="154"/>
  <c r="H220" i="154"/>
  <c r="A220" i="154"/>
  <c r="P219" i="154"/>
  <c r="N219" i="154"/>
  <c r="M219" i="154"/>
  <c r="L219" i="154"/>
  <c r="K219" i="154"/>
  <c r="H219" i="154"/>
  <c r="A219" i="154"/>
  <c r="P218" i="154"/>
  <c r="N218" i="154"/>
  <c r="M218" i="154"/>
  <c r="L218" i="154"/>
  <c r="K218" i="154"/>
  <c r="H218" i="154"/>
  <c r="A218" i="154"/>
  <c r="P217" i="154"/>
  <c r="N217" i="154"/>
  <c r="M217" i="154"/>
  <c r="L217" i="154"/>
  <c r="K217" i="154"/>
  <c r="H217" i="154"/>
  <c r="A217" i="154"/>
  <c r="P216" i="154"/>
  <c r="N216" i="154"/>
  <c r="M216" i="154"/>
  <c r="L216" i="154"/>
  <c r="K216" i="154"/>
  <c r="H216" i="154"/>
  <c r="A216" i="154"/>
  <c r="P215" i="154"/>
  <c r="N215" i="154"/>
  <c r="M215" i="154"/>
  <c r="L215" i="154"/>
  <c r="K215" i="154"/>
  <c r="H215" i="154"/>
  <c r="A215" i="154"/>
  <c r="P214" i="154"/>
  <c r="N214" i="154"/>
  <c r="M214" i="154"/>
  <c r="L214" i="154"/>
  <c r="K214" i="154"/>
  <c r="H214" i="154"/>
  <c r="A214" i="154"/>
  <c r="P213" i="154"/>
  <c r="N213" i="154"/>
  <c r="M213" i="154"/>
  <c r="L213" i="154"/>
  <c r="K213" i="154"/>
  <c r="H213" i="154"/>
  <c r="A213" i="154"/>
  <c r="P212" i="154"/>
  <c r="N212" i="154"/>
  <c r="M212" i="154"/>
  <c r="L212" i="154"/>
  <c r="K212" i="154"/>
  <c r="H212" i="154"/>
  <c r="A212" i="154"/>
  <c r="P211" i="154"/>
  <c r="N211" i="154"/>
  <c r="M211" i="154"/>
  <c r="L211" i="154"/>
  <c r="K211" i="154"/>
  <c r="H211" i="154"/>
  <c r="A211" i="154"/>
  <c r="P210" i="154"/>
  <c r="N210" i="154"/>
  <c r="M210" i="154"/>
  <c r="L210" i="154"/>
  <c r="K210" i="154"/>
  <c r="H210" i="154"/>
  <c r="A210" i="154"/>
  <c r="P209" i="154"/>
  <c r="N209" i="154"/>
  <c r="M209" i="154"/>
  <c r="L209" i="154"/>
  <c r="K209" i="154"/>
  <c r="H209" i="154"/>
  <c r="A209" i="154"/>
  <c r="P208" i="154"/>
  <c r="N208" i="154"/>
  <c r="M208" i="154"/>
  <c r="L208" i="154"/>
  <c r="K208" i="154"/>
  <c r="H208" i="154"/>
  <c r="A208" i="154"/>
  <c r="P207" i="154"/>
  <c r="N207" i="154"/>
  <c r="M207" i="154"/>
  <c r="L207" i="154"/>
  <c r="K207" i="154"/>
  <c r="H207" i="154"/>
  <c r="A207" i="154"/>
  <c r="P206" i="154"/>
  <c r="N206" i="154"/>
  <c r="M206" i="154"/>
  <c r="L206" i="154"/>
  <c r="K206" i="154"/>
  <c r="H206" i="154"/>
  <c r="A206" i="154"/>
  <c r="P205" i="154"/>
  <c r="N205" i="154"/>
  <c r="M205" i="154"/>
  <c r="L205" i="154"/>
  <c r="K205" i="154"/>
  <c r="H205" i="154"/>
  <c r="A205" i="154"/>
  <c r="P204" i="154"/>
  <c r="N204" i="154"/>
  <c r="M204" i="154"/>
  <c r="L204" i="154"/>
  <c r="K204" i="154"/>
  <c r="H204" i="154"/>
  <c r="A204" i="154"/>
  <c r="P203" i="154"/>
  <c r="N203" i="154"/>
  <c r="M203" i="154"/>
  <c r="L203" i="154"/>
  <c r="K203" i="154"/>
  <c r="H203" i="154"/>
  <c r="A203" i="154"/>
  <c r="P202" i="154"/>
  <c r="N202" i="154"/>
  <c r="M202" i="154"/>
  <c r="L202" i="154"/>
  <c r="K202" i="154"/>
  <c r="H202" i="154"/>
  <c r="A202" i="154"/>
  <c r="P201" i="154"/>
  <c r="N201" i="154"/>
  <c r="M201" i="154"/>
  <c r="L201" i="154"/>
  <c r="K201" i="154"/>
  <c r="H201" i="154"/>
  <c r="A201" i="154"/>
  <c r="P200" i="154"/>
  <c r="N200" i="154"/>
  <c r="M200" i="154"/>
  <c r="L200" i="154"/>
  <c r="K200" i="154"/>
  <c r="H200" i="154"/>
  <c r="A200" i="154"/>
  <c r="P199" i="154"/>
  <c r="N199" i="154"/>
  <c r="M199" i="154"/>
  <c r="L199" i="154"/>
  <c r="K199" i="154"/>
  <c r="H199" i="154"/>
  <c r="A199" i="154"/>
  <c r="P198" i="154"/>
  <c r="N198" i="154"/>
  <c r="M198" i="154"/>
  <c r="L198" i="154"/>
  <c r="K198" i="154"/>
  <c r="H198" i="154"/>
  <c r="A198" i="154"/>
  <c r="P197" i="154"/>
  <c r="N197" i="154"/>
  <c r="M197" i="154"/>
  <c r="L197" i="154"/>
  <c r="K197" i="154"/>
  <c r="H197" i="154"/>
  <c r="A197" i="154"/>
  <c r="P196" i="154"/>
  <c r="N196" i="154"/>
  <c r="M196" i="154"/>
  <c r="L196" i="154"/>
  <c r="K196" i="154"/>
  <c r="H196" i="154"/>
  <c r="A196" i="154"/>
  <c r="P195" i="154"/>
  <c r="N195" i="154"/>
  <c r="M195" i="154"/>
  <c r="L195" i="154"/>
  <c r="K195" i="154"/>
  <c r="H195" i="154"/>
  <c r="A195" i="154"/>
  <c r="P194" i="154"/>
  <c r="N194" i="154"/>
  <c r="M194" i="154"/>
  <c r="L194" i="154"/>
  <c r="K194" i="154"/>
  <c r="H194" i="154"/>
  <c r="A194" i="154"/>
  <c r="P193" i="154"/>
  <c r="N193" i="154"/>
  <c r="M193" i="154"/>
  <c r="L193" i="154"/>
  <c r="K193" i="154"/>
  <c r="H193" i="154"/>
  <c r="A193" i="154"/>
  <c r="P192" i="154"/>
  <c r="N192" i="154"/>
  <c r="M192" i="154"/>
  <c r="L192" i="154"/>
  <c r="K192" i="154"/>
  <c r="H192" i="154"/>
  <c r="A192" i="154"/>
  <c r="P191" i="154"/>
  <c r="N191" i="154"/>
  <c r="M191" i="154"/>
  <c r="L191" i="154"/>
  <c r="K191" i="154"/>
  <c r="H191" i="154"/>
  <c r="A191" i="154"/>
  <c r="P190" i="154"/>
  <c r="N190" i="154"/>
  <c r="M190" i="154"/>
  <c r="L190" i="154"/>
  <c r="K190" i="154"/>
  <c r="H190" i="154"/>
  <c r="A190" i="154"/>
  <c r="P189" i="154"/>
  <c r="N189" i="154"/>
  <c r="M189" i="154"/>
  <c r="L189" i="154"/>
  <c r="K189" i="154"/>
  <c r="H189" i="154"/>
  <c r="A189" i="154"/>
  <c r="P188" i="154"/>
  <c r="N188" i="154"/>
  <c r="M188" i="154"/>
  <c r="L188" i="154"/>
  <c r="K188" i="154"/>
  <c r="H188" i="154"/>
  <c r="A188" i="154"/>
  <c r="P187" i="154"/>
  <c r="N187" i="154"/>
  <c r="M187" i="154"/>
  <c r="L187" i="154"/>
  <c r="K187" i="154"/>
  <c r="H187" i="154"/>
  <c r="A187" i="154"/>
  <c r="P186" i="154"/>
  <c r="N186" i="154"/>
  <c r="M186" i="154"/>
  <c r="L186" i="154"/>
  <c r="K186" i="154"/>
  <c r="H186" i="154"/>
  <c r="A186" i="154"/>
  <c r="P185" i="154"/>
  <c r="N185" i="154"/>
  <c r="M185" i="154"/>
  <c r="L185" i="154"/>
  <c r="K185" i="154"/>
  <c r="H185" i="154"/>
  <c r="A185" i="154"/>
  <c r="P184" i="154"/>
  <c r="N184" i="154"/>
  <c r="M184" i="154"/>
  <c r="L184" i="154"/>
  <c r="K184" i="154"/>
  <c r="H184" i="154"/>
  <c r="A184" i="154"/>
  <c r="P183" i="154"/>
  <c r="N183" i="154"/>
  <c r="M183" i="154"/>
  <c r="L183" i="154"/>
  <c r="K183" i="154"/>
  <c r="H183" i="154"/>
  <c r="A183" i="154"/>
  <c r="P182" i="154"/>
  <c r="N182" i="154"/>
  <c r="M182" i="154"/>
  <c r="L182" i="154"/>
  <c r="K182" i="154"/>
  <c r="H182" i="154"/>
  <c r="A182" i="154"/>
  <c r="P181" i="154"/>
  <c r="N181" i="154"/>
  <c r="M181" i="154"/>
  <c r="L181" i="154"/>
  <c r="K181" i="154"/>
  <c r="H181" i="154"/>
  <c r="A181" i="154"/>
  <c r="P180" i="154"/>
  <c r="N180" i="154"/>
  <c r="M180" i="154"/>
  <c r="L180" i="154"/>
  <c r="K180" i="154"/>
  <c r="H180" i="154"/>
  <c r="A180" i="154"/>
  <c r="P179" i="154"/>
  <c r="N179" i="154"/>
  <c r="M179" i="154"/>
  <c r="L179" i="154"/>
  <c r="K179" i="154"/>
  <c r="H179" i="154"/>
  <c r="A179" i="154"/>
  <c r="P178" i="154"/>
  <c r="N178" i="154"/>
  <c r="M178" i="154"/>
  <c r="L178" i="154"/>
  <c r="K178" i="154"/>
  <c r="H178" i="154"/>
  <c r="A178" i="154"/>
  <c r="P177" i="154"/>
  <c r="N177" i="154"/>
  <c r="M177" i="154"/>
  <c r="L177" i="154"/>
  <c r="K177" i="154"/>
  <c r="H177" i="154"/>
  <c r="A177" i="154"/>
  <c r="P176" i="154"/>
  <c r="N176" i="154"/>
  <c r="M176" i="154"/>
  <c r="L176" i="154"/>
  <c r="K176" i="154"/>
  <c r="H176" i="154"/>
  <c r="A176" i="154"/>
  <c r="P175" i="154"/>
  <c r="N175" i="154"/>
  <c r="M175" i="154"/>
  <c r="L175" i="154"/>
  <c r="K175" i="154"/>
  <c r="H175" i="154"/>
  <c r="A175" i="154"/>
  <c r="P174" i="154"/>
  <c r="N174" i="154"/>
  <c r="M174" i="154"/>
  <c r="L174" i="154"/>
  <c r="K174" i="154"/>
  <c r="H174" i="154"/>
  <c r="A174" i="154"/>
  <c r="P173" i="154"/>
  <c r="N173" i="154"/>
  <c r="M173" i="154"/>
  <c r="L173" i="154"/>
  <c r="K173" i="154"/>
  <c r="H173" i="154"/>
  <c r="A173" i="154"/>
  <c r="P172" i="154"/>
  <c r="N172" i="154"/>
  <c r="M172" i="154"/>
  <c r="L172" i="154"/>
  <c r="K172" i="154"/>
  <c r="H172" i="154"/>
  <c r="A172" i="154"/>
  <c r="P171" i="154"/>
  <c r="N171" i="154"/>
  <c r="M171" i="154"/>
  <c r="L171" i="154"/>
  <c r="K171" i="154"/>
  <c r="H171" i="154"/>
  <c r="A171" i="154"/>
  <c r="P170" i="154"/>
  <c r="N170" i="154"/>
  <c r="M170" i="154"/>
  <c r="L170" i="154"/>
  <c r="K170" i="154"/>
  <c r="H170" i="154"/>
  <c r="A170" i="154"/>
  <c r="P169" i="154"/>
  <c r="N169" i="154"/>
  <c r="M169" i="154"/>
  <c r="L169" i="154"/>
  <c r="K169" i="154"/>
  <c r="H169" i="154"/>
  <c r="A169" i="154"/>
  <c r="P168" i="154"/>
  <c r="N168" i="154"/>
  <c r="M168" i="154"/>
  <c r="L168" i="154"/>
  <c r="K168" i="154"/>
  <c r="H168" i="154"/>
  <c r="A168" i="154"/>
  <c r="P167" i="154"/>
  <c r="N167" i="154"/>
  <c r="M167" i="154"/>
  <c r="L167" i="154"/>
  <c r="K167" i="154"/>
  <c r="H167" i="154"/>
  <c r="A167" i="154"/>
  <c r="P166" i="154"/>
  <c r="N166" i="154"/>
  <c r="M166" i="154"/>
  <c r="L166" i="154"/>
  <c r="K166" i="154"/>
  <c r="H166" i="154"/>
  <c r="A166" i="154"/>
  <c r="P165" i="154"/>
  <c r="N165" i="154"/>
  <c r="M165" i="154"/>
  <c r="L165" i="154"/>
  <c r="K165" i="154"/>
  <c r="H165" i="154"/>
  <c r="A165" i="154"/>
  <c r="P164" i="154"/>
  <c r="N164" i="154"/>
  <c r="M164" i="154"/>
  <c r="L164" i="154"/>
  <c r="K164" i="154"/>
  <c r="H164" i="154"/>
  <c r="A164" i="154"/>
  <c r="P163" i="154"/>
  <c r="N163" i="154"/>
  <c r="M163" i="154"/>
  <c r="L163" i="154"/>
  <c r="K163" i="154"/>
  <c r="H163" i="154"/>
  <c r="A163" i="154"/>
  <c r="P162" i="154"/>
  <c r="N162" i="154"/>
  <c r="M162" i="154"/>
  <c r="L162" i="154"/>
  <c r="K162" i="154"/>
  <c r="H162" i="154"/>
  <c r="A162" i="154"/>
  <c r="P161" i="154"/>
  <c r="N161" i="154"/>
  <c r="M161" i="154"/>
  <c r="L161" i="154"/>
  <c r="K161" i="154"/>
  <c r="H161" i="154"/>
  <c r="A161" i="154"/>
  <c r="P160" i="154"/>
  <c r="N160" i="154"/>
  <c r="M160" i="154"/>
  <c r="L160" i="154"/>
  <c r="K160" i="154"/>
  <c r="H160" i="154"/>
  <c r="A160" i="154"/>
  <c r="P159" i="154"/>
  <c r="N159" i="154"/>
  <c r="M159" i="154"/>
  <c r="L159" i="154"/>
  <c r="K159" i="154"/>
  <c r="H159" i="154"/>
  <c r="A159" i="154"/>
  <c r="P158" i="154"/>
  <c r="N158" i="154"/>
  <c r="M158" i="154"/>
  <c r="L158" i="154"/>
  <c r="K158" i="154"/>
  <c r="H158" i="154"/>
  <c r="A158" i="154"/>
  <c r="P157" i="154"/>
  <c r="N157" i="154"/>
  <c r="M157" i="154"/>
  <c r="L157" i="154"/>
  <c r="K157" i="154"/>
  <c r="H157" i="154"/>
  <c r="A157" i="154"/>
  <c r="P156" i="154"/>
  <c r="N156" i="154"/>
  <c r="M156" i="154"/>
  <c r="L156" i="154"/>
  <c r="K156" i="154"/>
  <c r="H156" i="154"/>
  <c r="A156" i="154"/>
  <c r="P155" i="154"/>
  <c r="N155" i="154"/>
  <c r="M155" i="154"/>
  <c r="L155" i="154"/>
  <c r="K155" i="154"/>
  <c r="H155" i="154"/>
  <c r="A155" i="154"/>
  <c r="P154" i="154"/>
  <c r="N154" i="154"/>
  <c r="M154" i="154"/>
  <c r="L154" i="154"/>
  <c r="K154" i="154"/>
  <c r="H154" i="154"/>
  <c r="A154" i="154"/>
  <c r="P153" i="154"/>
  <c r="N153" i="154"/>
  <c r="M153" i="154"/>
  <c r="L153" i="154"/>
  <c r="K153" i="154"/>
  <c r="H153" i="154"/>
  <c r="A153" i="154"/>
  <c r="P152" i="154"/>
  <c r="N152" i="154"/>
  <c r="M152" i="154"/>
  <c r="L152" i="154"/>
  <c r="K152" i="154"/>
  <c r="H152" i="154"/>
  <c r="A152" i="154"/>
  <c r="P151" i="154"/>
  <c r="N151" i="154"/>
  <c r="M151" i="154"/>
  <c r="L151" i="154"/>
  <c r="K151" i="154"/>
  <c r="H151" i="154"/>
  <c r="A151" i="154"/>
  <c r="P150" i="154"/>
  <c r="N150" i="154"/>
  <c r="M150" i="154"/>
  <c r="L150" i="154"/>
  <c r="K150" i="154"/>
  <c r="H150" i="154"/>
  <c r="A150" i="154"/>
  <c r="P149" i="154"/>
  <c r="N149" i="154"/>
  <c r="M149" i="154"/>
  <c r="L149" i="154"/>
  <c r="K149" i="154"/>
  <c r="H149" i="154"/>
  <c r="A149" i="154"/>
  <c r="P148" i="154"/>
  <c r="N148" i="154"/>
  <c r="M148" i="154"/>
  <c r="L148" i="154"/>
  <c r="K148" i="154"/>
  <c r="H148" i="154"/>
  <c r="A148" i="154"/>
  <c r="P147" i="154"/>
  <c r="N147" i="154"/>
  <c r="M147" i="154"/>
  <c r="L147" i="154"/>
  <c r="K147" i="154"/>
  <c r="H147" i="154"/>
  <c r="A147" i="154"/>
  <c r="P146" i="154"/>
  <c r="N146" i="154"/>
  <c r="M146" i="154"/>
  <c r="L146" i="154"/>
  <c r="K146" i="154"/>
  <c r="H146" i="154"/>
  <c r="A146" i="154"/>
  <c r="P145" i="154"/>
  <c r="N145" i="154"/>
  <c r="M145" i="154"/>
  <c r="L145" i="154"/>
  <c r="K145" i="154"/>
  <c r="H145" i="154"/>
  <c r="A145" i="154"/>
  <c r="P144" i="154"/>
  <c r="N144" i="154"/>
  <c r="M144" i="154"/>
  <c r="L144" i="154"/>
  <c r="K144" i="154"/>
  <c r="H144" i="154"/>
  <c r="A144" i="154"/>
  <c r="P143" i="154"/>
  <c r="N143" i="154"/>
  <c r="M143" i="154"/>
  <c r="L143" i="154"/>
  <c r="K143" i="154"/>
  <c r="H143" i="154"/>
  <c r="A143" i="154"/>
  <c r="P142" i="154"/>
  <c r="N142" i="154"/>
  <c r="M142" i="154"/>
  <c r="L142" i="154"/>
  <c r="K142" i="154"/>
  <c r="H142" i="154"/>
  <c r="A142" i="154"/>
  <c r="P141" i="154"/>
  <c r="N141" i="154"/>
  <c r="M141" i="154"/>
  <c r="L141" i="154"/>
  <c r="K141" i="154"/>
  <c r="H141" i="154"/>
  <c r="A141" i="154"/>
  <c r="P140" i="154"/>
  <c r="N140" i="154"/>
  <c r="M140" i="154"/>
  <c r="L140" i="154"/>
  <c r="K140" i="154"/>
  <c r="H140" i="154"/>
  <c r="A140" i="154"/>
  <c r="P139" i="154"/>
  <c r="N139" i="154"/>
  <c r="M139" i="154"/>
  <c r="L139" i="154"/>
  <c r="K139" i="154"/>
  <c r="H139" i="154"/>
  <c r="A139" i="154"/>
  <c r="P138" i="154"/>
  <c r="N138" i="154"/>
  <c r="M138" i="154"/>
  <c r="L138" i="154"/>
  <c r="K138" i="154"/>
  <c r="H138" i="154"/>
  <c r="A138" i="154"/>
  <c r="P137" i="154"/>
  <c r="N137" i="154"/>
  <c r="M137" i="154"/>
  <c r="L137" i="154"/>
  <c r="K137" i="154"/>
  <c r="H137" i="154"/>
  <c r="A137" i="154"/>
  <c r="P136" i="154"/>
  <c r="N136" i="154"/>
  <c r="M136" i="154"/>
  <c r="L136" i="154"/>
  <c r="K136" i="154"/>
  <c r="H136" i="154"/>
  <c r="A136" i="154"/>
  <c r="P135" i="154"/>
  <c r="N135" i="154"/>
  <c r="M135" i="154"/>
  <c r="L135" i="154"/>
  <c r="K135" i="154"/>
  <c r="H135" i="154"/>
  <c r="A135" i="154"/>
  <c r="P134" i="154"/>
  <c r="N134" i="154"/>
  <c r="M134" i="154"/>
  <c r="L134" i="154"/>
  <c r="K134" i="154"/>
  <c r="H134" i="154"/>
  <c r="A134" i="154"/>
  <c r="P133" i="154"/>
  <c r="N133" i="154"/>
  <c r="M133" i="154"/>
  <c r="L133" i="154"/>
  <c r="K133" i="154"/>
  <c r="H133" i="154"/>
  <c r="A133" i="154"/>
  <c r="P132" i="154"/>
  <c r="N132" i="154"/>
  <c r="M132" i="154"/>
  <c r="L132" i="154"/>
  <c r="K132" i="154"/>
  <c r="H132" i="154"/>
  <c r="A132" i="154"/>
  <c r="P131" i="154"/>
  <c r="N131" i="154"/>
  <c r="M131" i="154"/>
  <c r="L131" i="154"/>
  <c r="K131" i="154"/>
  <c r="H131" i="154"/>
  <c r="A131" i="154"/>
  <c r="P130" i="154"/>
  <c r="N130" i="154"/>
  <c r="M130" i="154"/>
  <c r="L130" i="154"/>
  <c r="K130" i="154"/>
  <c r="H130" i="154"/>
  <c r="A130" i="154"/>
  <c r="P129" i="154"/>
  <c r="N129" i="154"/>
  <c r="M129" i="154"/>
  <c r="L129" i="154"/>
  <c r="K129" i="154"/>
  <c r="H129" i="154"/>
  <c r="A129" i="154"/>
  <c r="P128" i="154"/>
  <c r="N128" i="154"/>
  <c r="M128" i="154"/>
  <c r="L128" i="154"/>
  <c r="K128" i="154"/>
  <c r="H128" i="154"/>
  <c r="A128" i="154"/>
  <c r="P127" i="154"/>
  <c r="N127" i="154"/>
  <c r="M127" i="154"/>
  <c r="L127" i="154"/>
  <c r="K127" i="154"/>
  <c r="H127" i="154"/>
  <c r="A127" i="154"/>
  <c r="P126" i="154"/>
  <c r="N126" i="154"/>
  <c r="M126" i="154"/>
  <c r="L126" i="154"/>
  <c r="K126" i="154"/>
  <c r="H126" i="154"/>
  <c r="A126" i="154"/>
  <c r="P125" i="154"/>
  <c r="N125" i="154"/>
  <c r="M125" i="154"/>
  <c r="L125" i="154"/>
  <c r="K125" i="154"/>
  <c r="H125" i="154"/>
  <c r="A125" i="154"/>
  <c r="P124" i="154"/>
  <c r="N124" i="154"/>
  <c r="M124" i="154"/>
  <c r="L124" i="154"/>
  <c r="K124" i="154"/>
  <c r="H124" i="154"/>
  <c r="A124" i="154"/>
  <c r="P123" i="154"/>
  <c r="N123" i="154"/>
  <c r="M123" i="154"/>
  <c r="L123" i="154"/>
  <c r="K123" i="154"/>
  <c r="H123" i="154"/>
  <c r="A123" i="154"/>
  <c r="P122" i="154"/>
  <c r="N122" i="154"/>
  <c r="M122" i="154"/>
  <c r="L122" i="154"/>
  <c r="K122" i="154"/>
  <c r="H122" i="154"/>
  <c r="A122" i="154"/>
  <c r="P121" i="154"/>
  <c r="N121" i="154"/>
  <c r="M121" i="154"/>
  <c r="L121" i="154"/>
  <c r="K121" i="154"/>
  <c r="H121" i="154"/>
  <c r="A121" i="154"/>
  <c r="P120" i="154"/>
  <c r="N120" i="154"/>
  <c r="M120" i="154"/>
  <c r="L120" i="154"/>
  <c r="K120" i="154"/>
  <c r="H120" i="154"/>
  <c r="A120" i="154"/>
  <c r="P119" i="154"/>
  <c r="N119" i="154"/>
  <c r="M119" i="154"/>
  <c r="L119" i="154"/>
  <c r="K119" i="154"/>
  <c r="H119" i="154"/>
  <c r="A119" i="154"/>
  <c r="P118" i="154"/>
  <c r="N118" i="154"/>
  <c r="M118" i="154"/>
  <c r="L118" i="154"/>
  <c r="K118" i="154"/>
  <c r="H118" i="154"/>
  <c r="A118" i="154"/>
  <c r="P117" i="154"/>
  <c r="N117" i="154"/>
  <c r="M117" i="154"/>
  <c r="L117" i="154"/>
  <c r="K117" i="154"/>
  <c r="H117" i="154"/>
  <c r="A117" i="154"/>
  <c r="P116" i="154"/>
  <c r="N116" i="154"/>
  <c r="M116" i="154"/>
  <c r="L116" i="154"/>
  <c r="K116" i="154"/>
  <c r="H116" i="154"/>
  <c r="A116" i="154"/>
  <c r="P115" i="154"/>
  <c r="N115" i="154"/>
  <c r="M115" i="154"/>
  <c r="L115" i="154"/>
  <c r="K115" i="154"/>
  <c r="H115" i="154"/>
  <c r="A115" i="154"/>
  <c r="P114" i="154"/>
  <c r="N114" i="154"/>
  <c r="M114" i="154"/>
  <c r="L114" i="154"/>
  <c r="K114" i="154"/>
  <c r="H114" i="154"/>
  <c r="A114" i="154"/>
  <c r="P113" i="154"/>
  <c r="N113" i="154"/>
  <c r="M113" i="154"/>
  <c r="L113" i="154"/>
  <c r="K113" i="154"/>
  <c r="H113" i="154"/>
  <c r="A113" i="154"/>
  <c r="P112" i="154"/>
  <c r="N112" i="154"/>
  <c r="M112" i="154"/>
  <c r="L112" i="154"/>
  <c r="K112" i="154"/>
  <c r="H112" i="154"/>
  <c r="A112" i="154"/>
  <c r="P111" i="154"/>
  <c r="N111" i="154"/>
  <c r="M111" i="154"/>
  <c r="L111" i="154"/>
  <c r="K111" i="154"/>
  <c r="H111" i="154"/>
  <c r="A111" i="154"/>
  <c r="P110" i="154"/>
  <c r="N110" i="154"/>
  <c r="M110" i="154"/>
  <c r="L110" i="154"/>
  <c r="K110" i="154"/>
  <c r="H110" i="154"/>
  <c r="A110" i="154"/>
  <c r="P109" i="154"/>
  <c r="N109" i="154"/>
  <c r="M109" i="154"/>
  <c r="L109" i="154"/>
  <c r="K109" i="154"/>
  <c r="H109" i="154"/>
  <c r="A109" i="154"/>
  <c r="P108" i="154"/>
  <c r="N108" i="154"/>
  <c r="M108" i="154"/>
  <c r="L108" i="154"/>
  <c r="K108" i="154"/>
  <c r="H108" i="154"/>
  <c r="A108" i="154"/>
  <c r="P107" i="154"/>
  <c r="N107" i="154"/>
  <c r="M107" i="154"/>
  <c r="L107" i="154"/>
  <c r="K107" i="154"/>
  <c r="H107" i="154"/>
  <c r="A107" i="154"/>
  <c r="P106" i="154"/>
  <c r="N106" i="154"/>
  <c r="M106" i="154"/>
  <c r="L106" i="154"/>
  <c r="K106" i="154"/>
  <c r="H106" i="154"/>
  <c r="A106" i="154"/>
  <c r="P105" i="154"/>
  <c r="N105" i="154"/>
  <c r="M105" i="154"/>
  <c r="L105" i="154"/>
  <c r="K105" i="154"/>
  <c r="H105" i="154"/>
  <c r="A105" i="154"/>
  <c r="P104" i="154"/>
  <c r="N104" i="154"/>
  <c r="M104" i="154"/>
  <c r="L104" i="154"/>
  <c r="K104" i="154"/>
  <c r="H104" i="154"/>
  <c r="A104" i="154"/>
  <c r="P103" i="154"/>
  <c r="N103" i="154"/>
  <c r="M103" i="154"/>
  <c r="L103" i="154"/>
  <c r="K103" i="154"/>
  <c r="H103" i="154"/>
  <c r="A103" i="154"/>
  <c r="P102" i="154"/>
  <c r="N102" i="154"/>
  <c r="M102" i="154"/>
  <c r="L102" i="154"/>
  <c r="K102" i="154"/>
  <c r="H102" i="154"/>
  <c r="A102" i="154"/>
  <c r="P101" i="154"/>
  <c r="N101" i="154"/>
  <c r="M101" i="154"/>
  <c r="L101" i="154"/>
  <c r="K101" i="154"/>
  <c r="H101" i="154"/>
  <c r="A101" i="154"/>
  <c r="P100" i="154"/>
  <c r="N100" i="154"/>
  <c r="M100" i="154"/>
  <c r="L100" i="154"/>
  <c r="K100" i="154"/>
  <c r="H100" i="154"/>
  <c r="A100" i="154"/>
  <c r="P99" i="154"/>
  <c r="N99" i="154"/>
  <c r="M99" i="154"/>
  <c r="L99" i="154"/>
  <c r="K99" i="154"/>
  <c r="H99" i="154"/>
  <c r="A99" i="154"/>
  <c r="P98" i="154"/>
  <c r="N98" i="154"/>
  <c r="M98" i="154"/>
  <c r="L98" i="154"/>
  <c r="K98" i="154"/>
  <c r="H98" i="154"/>
  <c r="A98" i="154"/>
  <c r="P97" i="154"/>
  <c r="N97" i="154"/>
  <c r="M97" i="154"/>
  <c r="L97" i="154"/>
  <c r="K97" i="154"/>
  <c r="H97" i="154"/>
  <c r="A97" i="154"/>
  <c r="P96" i="154"/>
  <c r="N96" i="154"/>
  <c r="M96" i="154"/>
  <c r="L96" i="154"/>
  <c r="K96" i="154"/>
  <c r="H96" i="154"/>
  <c r="A96" i="154"/>
  <c r="P95" i="154"/>
  <c r="N95" i="154"/>
  <c r="M95" i="154"/>
  <c r="L95" i="154"/>
  <c r="K95" i="154"/>
  <c r="H95" i="154"/>
  <c r="A95" i="154"/>
  <c r="P94" i="154"/>
  <c r="N94" i="154"/>
  <c r="M94" i="154"/>
  <c r="L94" i="154"/>
  <c r="K94" i="154"/>
  <c r="H94" i="154"/>
  <c r="A94" i="154"/>
  <c r="P93" i="154"/>
  <c r="N93" i="154"/>
  <c r="M93" i="154"/>
  <c r="L93" i="154"/>
  <c r="K93" i="154"/>
  <c r="H93" i="154"/>
  <c r="A93" i="154"/>
  <c r="P92" i="154"/>
  <c r="N92" i="154"/>
  <c r="M92" i="154"/>
  <c r="L92" i="154"/>
  <c r="K92" i="154"/>
  <c r="H92" i="154"/>
  <c r="A92" i="154"/>
  <c r="P91" i="154"/>
  <c r="N91" i="154"/>
  <c r="M91" i="154"/>
  <c r="L91" i="154"/>
  <c r="K91" i="154"/>
  <c r="H91" i="154"/>
  <c r="A91" i="154"/>
  <c r="P90" i="154"/>
  <c r="N90" i="154"/>
  <c r="M90" i="154"/>
  <c r="L90" i="154"/>
  <c r="K90" i="154"/>
  <c r="H90" i="154"/>
  <c r="A90" i="154"/>
  <c r="P89" i="154"/>
  <c r="N89" i="154"/>
  <c r="M89" i="154"/>
  <c r="L89" i="154"/>
  <c r="K89" i="154"/>
  <c r="H89" i="154"/>
  <c r="A89" i="154"/>
  <c r="P88" i="154"/>
  <c r="N88" i="154"/>
  <c r="M88" i="154"/>
  <c r="L88" i="154"/>
  <c r="K88" i="154"/>
  <c r="H88" i="154"/>
  <c r="A88" i="154"/>
  <c r="P87" i="154"/>
  <c r="N87" i="154"/>
  <c r="M87" i="154"/>
  <c r="L87" i="154"/>
  <c r="K87" i="154"/>
  <c r="H87" i="154"/>
  <c r="A87" i="154"/>
  <c r="P86" i="154"/>
  <c r="N86" i="154"/>
  <c r="M86" i="154"/>
  <c r="L86" i="154"/>
  <c r="K86" i="154"/>
  <c r="H86" i="154"/>
  <c r="A86" i="154"/>
  <c r="P85" i="154"/>
  <c r="N85" i="154"/>
  <c r="M85" i="154"/>
  <c r="L85" i="154"/>
  <c r="K85" i="154"/>
  <c r="H85" i="154"/>
  <c r="A85" i="154"/>
  <c r="P84" i="154"/>
  <c r="N84" i="154"/>
  <c r="M84" i="154"/>
  <c r="L84" i="154"/>
  <c r="K84" i="154"/>
  <c r="H84" i="154"/>
  <c r="A84" i="154"/>
  <c r="P83" i="154"/>
  <c r="N83" i="154"/>
  <c r="M83" i="154"/>
  <c r="L83" i="154"/>
  <c r="K83" i="154"/>
  <c r="H83" i="154"/>
  <c r="A83" i="154"/>
  <c r="P82" i="154"/>
  <c r="N82" i="154"/>
  <c r="M82" i="154"/>
  <c r="L82" i="154"/>
  <c r="K82" i="154"/>
  <c r="H82" i="154"/>
  <c r="A82" i="154"/>
  <c r="P81" i="154"/>
  <c r="N81" i="154"/>
  <c r="M81" i="154"/>
  <c r="L81" i="154"/>
  <c r="K81" i="154"/>
  <c r="H81" i="154"/>
  <c r="A81" i="154"/>
  <c r="P80" i="154"/>
  <c r="N80" i="154"/>
  <c r="M80" i="154"/>
  <c r="L80" i="154"/>
  <c r="K80" i="154"/>
  <c r="H80" i="154"/>
  <c r="A80" i="154"/>
  <c r="P79" i="154"/>
  <c r="N79" i="154"/>
  <c r="M79" i="154"/>
  <c r="L79" i="154"/>
  <c r="K79" i="154"/>
  <c r="H79" i="154"/>
  <c r="A79" i="154"/>
  <c r="P78" i="154"/>
  <c r="N78" i="154"/>
  <c r="M78" i="154"/>
  <c r="L78" i="154"/>
  <c r="K78" i="154"/>
  <c r="H78" i="154"/>
  <c r="A78" i="154"/>
  <c r="P77" i="154"/>
  <c r="N77" i="154"/>
  <c r="M77" i="154"/>
  <c r="L77" i="154"/>
  <c r="K77" i="154"/>
  <c r="H77" i="154"/>
  <c r="A77" i="154"/>
  <c r="P76" i="154"/>
  <c r="N76" i="154"/>
  <c r="M76" i="154"/>
  <c r="L76" i="154"/>
  <c r="K76" i="154"/>
  <c r="H76" i="154"/>
  <c r="A76" i="154"/>
  <c r="P75" i="154"/>
  <c r="N75" i="154"/>
  <c r="M75" i="154"/>
  <c r="L75" i="154"/>
  <c r="K75" i="154"/>
  <c r="H75" i="154"/>
  <c r="A75" i="154"/>
  <c r="P74" i="154"/>
  <c r="N74" i="154"/>
  <c r="M74" i="154"/>
  <c r="L74" i="154"/>
  <c r="K74" i="154"/>
  <c r="H74" i="154"/>
  <c r="A74" i="154"/>
  <c r="P73" i="154"/>
  <c r="N73" i="154"/>
  <c r="M73" i="154"/>
  <c r="L73" i="154"/>
  <c r="K73" i="154"/>
  <c r="H73" i="154"/>
  <c r="A73" i="154"/>
  <c r="P72" i="154"/>
  <c r="N72" i="154"/>
  <c r="M72" i="154"/>
  <c r="L72" i="154"/>
  <c r="K72" i="154"/>
  <c r="H72" i="154"/>
  <c r="A72" i="154"/>
  <c r="P71" i="154"/>
  <c r="N71" i="154"/>
  <c r="M71" i="154"/>
  <c r="L71" i="154"/>
  <c r="K71" i="154"/>
  <c r="H71" i="154"/>
  <c r="A71" i="154"/>
  <c r="P70" i="154"/>
  <c r="N70" i="154"/>
  <c r="M70" i="154"/>
  <c r="L70" i="154"/>
  <c r="K70" i="154"/>
  <c r="H70" i="154"/>
  <c r="A70" i="154"/>
  <c r="P69" i="154"/>
  <c r="N69" i="154"/>
  <c r="M69" i="154"/>
  <c r="L69" i="154"/>
  <c r="K69" i="154"/>
  <c r="H69" i="154"/>
  <c r="A69" i="154"/>
  <c r="P68" i="154"/>
  <c r="N68" i="154"/>
  <c r="M68" i="154"/>
  <c r="L68" i="154"/>
  <c r="K68" i="154"/>
  <c r="H68" i="154"/>
  <c r="A68" i="154"/>
  <c r="P67" i="154"/>
  <c r="N67" i="154"/>
  <c r="M67" i="154"/>
  <c r="L67" i="154"/>
  <c r="K67" i="154"/>
  <c r="H67" i="154"/>
  <c r="A67" i="154"/>
  <c r="P66" i="154"/>
  <c r="N66" i="154"/>
  <c r="M66" i="154"/>
  <c r="L66" i="154"/>
  <c r="K66" i="154"/>
  <c r="H66" i="154"/>
  <c r="A66" i="154"/>
  <c r="P65" i="154"/>
  <c r="N65" i="154"/>
  <c r="M65" i="154"/>
  <c r="L65" i="154"/>
  <c r="K65" i="154"/>
  <c r="H65" i="154"/>
  <c r="A65" i="154"/>
  <c r="P64" i="154"/>
  <c r="N64" i="154"/>
  <c r="M64" i="154"/>
  <c r="L64" i="154"/>
  <c r="K64" i="154"/>
  <c r="H64" i="154"/>
  <c r="A64" i="154"/>
  <c r="P63" i="154"/>
  <c r="N63" i="154"/>
  <c r="M63" i="154"/>
  <c r="L63" i="154"/>
  <c r="K63" i="154"/>
  <c r="H63" i="154"/>
  <c r="A63" i="154"/>
  <c r="P62" i="154"/>
  <c r="N62" i="154"/>
  <c r="M62" i="154"/>
  <c r="L62" i="154"/>
  <c r="K62" i="154"/>
  <c r="H62" i="154"/>
  <c r="A62" i="154"/>
  <c r="P61" i="154"/>
  <c r="N61" i="154"/>
  <c r="M61" i="154"/>
  <c r="L61" i="154"/>
  <c r="K61" i="154"/>
  <c r="H61" i="154"/>
  <c r="A61" i="154"/>
  <c r="P60" i="154"/>
  <c r="N60" i="154"/>
  <c r="M60" i="154"/>
  <c r="L60" i="154"/>
  <c r="K60" i="154"/>
  <c r="H60" i="154"/>
  <c r="A60" i="154"/>
  <c r="P59" i="154"/>
  <c r="N59" i="154"/>
  <c r="M59" i="154"/>
  <c r="L59" i="154"/>
  <c r="K59" i="154"/>
  <c r="H59" i="154"/>
  <c r="A59" i="154"/>
  <c r="P58" i="154"/>
  <c r="N58" i="154"/>
  <c r="M58" i="154"/>
  <c r="L58" i="154"/>
  <c r="K58" i="154"/>
  <c r="H58" i="154"/>
  <c r="A58" i="154"/>
  <c r="P57" i="154"/>
  <c r="N57" i="154"/>
  <c r="M57" i="154"/>
  <c r="L57" i="154"/>
  <c r="K57" i="154"/>
  <c r="H57" i="154"/>
  <c r="A57" i="154"/>
  <c r="P56" i="154"/>
  <c r="N56" i="154"/>
  <c r="M56" i="154"/>
  <c r="L56" i="154"/>
  <c r="K56" i="154"/>
  <c r="H56" i="154"/>
  <c r="A56" i="154"/>
  <c r="P55" i="154"/>
  <c r="N55" i="154"/>
  <c r="M55" i="154"/>
  <c r="L55" i="154"/>
  <c r="K55" i="154"/>
  <c r="H55" i="154"/>
  <c r="A55" i="154"/>
  <c r="P54" i="154"/>
  <c r="N54" i="154"/>
  <c r="M54" i="154"/>
  <c r="L54" i="154"/>
  <c r="K54" i="154"/>
  <c r="H54" i="154"/>
  <c r="A54" i="154"/>
  <c r="P53" i="154"/>
  <c r="N53" i="154"/>
  <c r="M53" i="154"/>
  <c r="L53" i="154"/>
  <c r="K53" i="154"/>
  <c r="H53" i="154"/>
  <c r="A53" i="154"/>
  <c r="P52" i="154"/>
  <c r="N52" i="154"/>
  <c r="M52" i="154"/>
  <c r="L52" i="154"/>
  <c r="K52" i="154"/>
  <c r="H52" i="154"/>
  <c r="A52" i="154"/>
  <c r="P51" i="154"/>
  <c r="N51" i="154"/>
  <c r="M51" i="154"/>
  <c r="L51" i="154"/>
  <c r="K51" i="154"/>
  <c r="H51" i="154"/>
  <c r="A51" i="154"/>
  <c r="P50" i="154"/>
  <c r="N50" i="154"/>
  <c r="M50" i="154"/>
  <c r="L50" i="154"/>
  <c r="K50" i="154"/>
  <c r="H50" i="154"/>
  <c r="A50" i="154"/>
  <c r="P49" i="154"/>
  <c r="N49" i="154"/>
  <c r="M49" i="154"/>
  <c r="L49" i="154"/>
  <c r="K49" i="154"/>
  <c r="H49" i="154"/>
  <c r="A49" i="154"/>
  <c r="P48" i="154"/>
  <c r="N48" i="154"/>
  <c r="M48" i="154"/>
  <c r="L48" i="154"/>
  <c r="K48" i="154"/>
  <c r="H48" i="154"/>
  <c r="A48" i="154"/>
  <c r="P47" i="154"/>
  <c r="N47" i="154"/>
  <c r="M47" i="154"/>
  <c r="L47" i="154"/>
  <c r="K47" i="154"/>
  <c r="H47" i="154"/>
  <c r="A47" i="154"/>
  <c r="P46" i="154"/>
  <c r="N46" i="154"/>
  <c r="M46" i="154"/>
  <c r="L46" i="154"/>
  <c r="K46" i="154"/>
  <c r="H46" i="154"/>
  <c r="A46" i="154"/>
  <c r="P45" i="154"/>
  <c r="N45" i="154"/>
  <c r="M45" i="154"/>
  <c r="L45" i="154"/>
  <c r="K45" i="154"/>
  <c r="H45" i="154"/>
  <c r="A45" i="154"/>
  <c r="P44" i="154"/>
  <c r="N44" i="154"/>
  <c r="M44" i="154"/>
  <c r="L44" i="154"/>
  <c r="K44" i="154"/>
  <c r="H44" i="154"/>
  <c r="A44" i="154"/>
  <c r="P43" i="154"/>
  <c r="N43" i="154"/>
  <c r="M43" i="154"/>
  <c r="L43" i="154"/>
  <c r="K43" i="154"/>
  <c r="H43" i="154"/>
  <c r="A43" i="154"/>
  <c r="P42" i="154"/>
  <c r="N42" i="154"/>
  <c r="M42" i="154"/>
  <c r="L42" i="154"/>
  <c r="K42" i="154"/>
  <c r="H42" i="154"/>
  <c r="A42" i="154"/>
  <c r="P41" i="154"/>
  <c r="N41" i="154"/>
  <c r="M41" i="154"/>
  <c r="L41" i="154"/>
  <c r="K41" i="154"/>
  <c r="H41" i="154"/>
  <c r="A41" i="154"/>
  <c r="P40" i="154"/>
  <c r="N40" i="154"/>
  <c r="M40" i="154"/>
  <c r="L40" i="154"/>
  <c r="K40" i="154"/>
  <c r="H40" i="154"/>
  <c r="A40" i="154"/>
  <c r="P39" i="154"/>
  <c r="N39" i="154"/>
  <c r="M39" i="154"/>
  <c r="L39" i="154"/>
  <c r="K39" i="154"/>
  <c r="H39" i="154"/>
  <c r="A39" i="154"/>
  <c r="P38" i="154"/>
  <c r="N38" i="154"/>
  <c r="M38" i="154"/>
  <c r="L38" i="154"/>
  <c r="K38" i="154"/>
  <c r="H38" i="154"/>
  <c r="A38" i="154"/>
  <c r="P37" i="154"/>
  <c r="N37" i="154"/>
  <c r="M37" i="154"/>
  <c r="L37" i="154"/>
  <c r="K37" i="154"/>
  <c r="H37" i="154"/>
  <c r="A37" i="154"/>
  <c r="P36" i="154"/>
  <c r="N36" i="154"/>
  <c r="M36" i="154"/>
  <c r="L36" i="154"/>
  <c r="K36" i="154"/>
  <c r="H36" i="154"/>
  <c r="A36" i="154"/>
  <c r="P35" i="154"/>
  <c r="N35" i="154"/>
  <c r="M35" i="154"/>
  <c r="L35" i="154"/>
  <c r="K35" i="154"/>
  <c r="H35" i="154"/>
  <c r="A35" i="154"/>
  <c r="P34" i="154"/>
  <c r="N34" i="154"/>
  <c r="M34" i="154"/>
  <c r="L34" i="154"/>
  <c r="K34" i="154"/>
  <c r="H34" i="154"/>
  <c r="A34" i="154"/>
  <c r="P33" i="154"/>
  <c r="N33" i="154"/>
  <c r="M33" i="154"/>
  <c r="L33" i="154"/>
  <c r="K33" i="154"/>
  <c r="H33" i="154"/>
  <c r="A33" i="154"/>
  <c r="P32" i="154"/>
  <c r="N32" i="154"/>
  <c r="M32" i="154"/>
  <c r="L32" i="154"/>
  <c r="K32" i="154"/>
  <c r="H32" i="154"/>
  <c r="A32" i="154"/>
  <c r="P31" i="154"/>
  <c r="N31" i="154"/>
  <c r="M31" i="154"/>
  <c r="L31" i="154"/>
  <c r="K31" i="154"/>
  <c r="H31" i="154"/>
  <c r="A31" i="154"/>
  <c r="P30" i="154"/>
  <c r="N30" i="154"/>
  <c r="M30" i="154"/>
  <c r="L30" i="154"/>
  <c r="K30" i="154"/>
  <c r="H30" i="154"/>
  <c r="A30" i="154"/>
  <c r="P29" i="154"/>
  <c r="N29" i="154"/>
  <c r="M29" i="154"/>
  <c r="L29" i="154"/>
  <c r="K29" i="154"/>
  <c r="H29" i="154"/>
  <c r="A29" i="154"/>
  <c r="P28" i="154"/>
  <c r="N28" i="154"/>
  <c r="M28" i="154"/>
  <c r="L28" i="154"/>
  <c r="K28" i="154"/>
  <c r="H28" i="154"/>
  <c r="A28" i="154"/>
  <c r="P27" i="154"/>
  <c r="N27" i="154"/>
  <c r="M27" i="154"/>
  <c r="L27" i="154"/>
  <c r="K27" i="154"/>
  <c r="H27" i="154"/>
  <c r="A27" i="154"/>
  <c r="P26" i="154"/>
  <c r="N26" i="154"/>
  <c r="M26" i="154"/>
  <c r="L26" i="154"/>
  <c r="K26" i="154"/>
  <c r="H26" i="154"/>
  <c r="A26" i="154"/>
  <c r="P25" i="154"/>
  <c r="N25" i="154"/>
  <c r="M25" i="154"/>
  <c r="L25" i="154"/>
  <c r="K25" i="154"/>
  <c r="H25" i="154"/>
  <c r="A25" i="154"/>
  <c r="P24" i="154"/>
  <c r="N24" i="154"/>
  <c r="M24" i="154"/>
  <c r="L24" i="154"/>
  <c r="K24" i="154"/>
  <c r="H24" i="154"/>
  <c r="A24" i="154"/>
  <c r="P23" i="154"/>
  <c r="N23" i="154"/>
  <c r="M23" i="154"/>
  <c r="L23" i="154"/>
  <c r="K23" i="154"/>
  <c r="H23" i="154"/>
  <c r="A23" i="154"/>
  <c r="P22" i="154"/>
  <c r="N22" i="154"/>
  <c r="M22" i="154"/>
  <c r="L22" i="154"/>
  <c r="K22" i="154"/>
  <c r="H22" i="154"/>
  <c r="A22" i="154"/>
  <c r="P21" i="154"/>
  <c r="N21" i="154"/>
  <c r="M21" i="154"/>
  <c r="L21" i="154"/>
  <c r="K21" i="154"/>
  <c r="H21" i="154"/>
  <c r="A21" i="154"/>
  <c r="P20" i="154"/>
  <c r="N20" i="154"/>
  <c r="M20" i="154"/>
  <c r="L20" i="154"/>
  <c r="K20" i="154"/>
  <c r="H20" i="154"/>
  <c r="A20" i="154"/>
  <c r="P19" i="154"/>
  <c r="N19" i="154"/>
  <c r="M19" i="154"/>
  <c r="L19" i="154"/>
  <c r="K19" i="154"/>
  <c r="H19" i="154"/>
  <c r="A19" i="154"/>
  <c r="P18" i="154"/>
  <c r="N18" i="154"/>
  <c r="M18" i="154"/>
  <c r="L18" i="154"/>
  <c r="K18" i="154"/>
  <c r="H18" i="154"/>
  <c r="A18" i="154"/>
  <c r="P17" i="154"/>
  <c r="N17" i="154"/>
  <c r="M17" i="154"/>
  <c r="L17" i="154"/>
  <c r="K17" i="154"/>
  <c r="H17" i="154"/>
  <c r="A17" i="154"/>
  <c r="P16" i="154"/>
  <c r="N16" i="154"/>
  <c r="M16" i="154"/>
  <c r="L16" i="154"/>
  <c r="K16" i="154"/>
  <c r="H16" i="154"/>
  <c r="A16" i="154"/>
  <c r="P15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F48" i="153"/>
  <c r="F47" i="153"/>
  <c r="B40" i="153"/>
  <c r="B41" i="153"/>
  <c r="B42" i="153"/>
  <c r="B43" i="153"/>
  <c r="B44" i="153"/>
  <c r="B45" i="153"/>
  <c r="B46" i="153"/>
  <c r="B47" i="153"/>
  <c r="C40" i="153"/>
  <c r="C41" i="153"/>
  <c r="C42" i="153"/>
  <c r="C43" i="153"/>
  <c r="C44" i="153"/>
  <c r="C45" i="153"/>
  <c r="C46" i="153"/>
  <c r="C47" i="153"/>
  <c r="F46" i="153"/>
  <c r="F45" i="153"/>
  <c r="F42" i="153"/>
  <c r="G42" i="153"/>
  <c r="F41" i="153"/>
  <c r="G41" i="153"/>
  <c r="F40" i="153"/>
  <c r="G40" i="153"/>
  <c r="B32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D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R10" i="153"/>
  <c r="P10" i="153"/>
  <c r="O10" i="153"/>
  <c r="M10" i="153"/>
  <c r="V9" i="153"/>
  <c r="R9" i="153"/>
  <c r="P9" i="153"/>
  <c r="O9" i="153"/>
  <c r="M9" i="153"/>
  <c r="V8" i="153"/>
  <c r="R8" i="153"/>
  <c r="P8" i="153"/>
  <c r="O8" i="153"/>
  <c r="M8" i="153"/>
  <c r="V7" i="153"/>
  <c r="R7" i="153"/>
  <c r="P7" i="153"/>
  <c r="O7" i="153"/>
  <c r="M7" i="153"/>
  <c r="V6" i="153"/>
  <c r="R6" i="153"/>
  <c r="P6" i="153"/>
  <c r="O6" i="153"/>
  <c r="M6" i="153"/>
  <c r="V5" i="153"/>
  <c r="R5" i="153"/>
  <c r="P5" i="153"/>
  <c r="O5" i="153"/>
  <c r="M5" i="153"/>
  <c r="V4" i="153"/>
  <c r="R4" i="153"/>
  <c r="P4" i="153"/>
  <c r="O4" i="153"/>
  <c r="M4" i="153"/>
  <c r="V3" i="153"/>
  <c r="R3" i="153"/>
  <c r="P3" i="153"/>
  <c r="O3" i="153"/>
  <c r="M3" i="153"/>
  <c r="V2" i="153"/>
  <c r="P283" i="152"/>
  <c r="N283" i="152"/>
  <c r="M283" i="152"/>
  <c r="L283" i="152"/>
  <c r="K283" i="152"/>
  <c r="H283" i="152"/>
  <c r="A283" i="152"/>
  <c r="P282" i="152"/>
  <c r="N282" i="152"/>
  <c r="M282" i="152"/>
  <c r="L282" i="152"/>
  <c r="K282" i="152"/>
  <c r="H282" i="152"/>
  <c r="A282" i="152"/>
  <c r="P281" i="152"/>
  <c r="N281" i="152"/>
  <c r="M281" i="152"/>
  <c r="L281" i="152"/>
  <c r="K281" i="152"/>
  <c r="H281" i="152"/>
  <c r="A281" i="152"/>
  <c r="P280" i="152"/>
  <c r="N280" i="152"/>
  <c r="M280" i="152"/>
  <c r="L280" i="152"/>
  <c r="K280" i="152"/>
  <c r="H280" i="152"/>
  <c r="A280" i="152"/>
  <c r="P279" i="152"/>
  <c r="N279" i="152"/>
  <c r="M279" i="152"/>
  <c r="L279" i="152"/>
  <c r="K279" i="152"/>
  <c r="H279" i="152"/>
  <c r="A279" i="152"/>
  <c r="P278" i="152"/>
  <c r="N278" i="152"/>
  <c r="M278" i="152"/>
  <c r="L278" i="152"/>
  <c r="K278" i="152"/>
  <c r="H278" i="152"/>
  <c r="A278" i="152"/>
  <c r="P277" i="152"/>
  <c r="N277" i="152"/>
  <c r="M277" i="152"/>
  <c r="L277" i="152"/>
  <c r="K277" i="152"/>
  <c r="H277" i="152"/>
  <c r="A277" i="152"/>
  <c r="P276" i="152"/>
  <c r="N276" i="152"/>
  <c r="M276" i="152"/>
  <c r="L276" i="152"/>
  <c r="K276" i="152"/>
  <c r="H276" i="152"/>
  <c r="A276" i="152"/>
  <c r="P275" i="152"/>
  <c r="N275" i="152"/>
  <c r="M275" i="152"/>
  <c r="L275" i="152"/>
  <c r="K275" i="152"/>
  <c r="H275" i="152"/>
  <c r="A275" i="152"/>
  <c r="P274" i="152"/>
  <c r="N274" i="152"/>
  <c r="M274" i="152"/>
  <c r="L274" i="152"/>
  <c r="K274" i="152"/>
  <c r="H274" i="152"/>
  <c r="A274" i="152"/>
  <c r="P273" i="152"/>
  <c r="N273" i="152"/>
  <c r="M273" i="152"/>
  <c r="L273" i="152"/>
  <c r="K273" i="152"/>
  <c r="H273" i="152"/>
  <c r="A273" i="152"/>
  <c r="P272" i="152"/>
  <c r="N272" i="152"/>
  <c r="M272" i="152"/>
  <c r="L272" i="152"/>
  <c r="K272" i="152"/>
  <c r="H272" i="152"/>
  <c r="A272" i="152"/>
  <c r="P271" i="152"/>
  <c r="N271" i="152"/>
  <c r="M271" i="152"/>
  <c r="L271" i="152"/>
  <c r="K271" i="152"/>
  <c r="H271" i="152"/>
  <c r="A271" i="152"/>
  <c r="P270" i="152"/>
  <c r="N270" i="152"/>
  <c r="M270" i="152"/>
  <c r="L270" i="152"/>
  <c r="K270" i="152"/>
  <c r="H270" i="152"/>
  <c r="A270" i="152"/>
  <c r="P269" i="152"/>
  <c r="N269" i="152"/>
  <c r="M269" i="152"/>
  <c r="L269" i="152"/>
  <c r="K269" i="152"/>
  <c r="H269" i="152"/>
  <c r="A269" i="152"/>
  <c r="P268" i="152"/>
  <c r="N268" i="152"/>
  <c r="M268" i="152"/>
  <c r="L268" i="152"/>
  <c r="K268" i="152"/>
  <c r="H268" i="152"/>
  <c r="A268" i="152"/>
  <c r="P267" i="152"/>
  <c r="N267" i="152"/>
  <c r="M267" i="152"/>
  <c r="L267" i="152"/>
  <c r="K267" i="152"/>
  <c r="H267" i="152"/>
  <c r="A267" i="152"/>
  <c r="P266" i="152"/>
  <c r="N266" i="152"/>
  <c r="M266" i="152"/>
  <c r="L266" i="152"/>
  <c r="K266" i="152"/>
  <c r="H266" i="152"/>
  <c r="A266" i="152"/>
  <c r="P265" i="152"/>
  <c r="N265" i="152"/>
  <c r="M265" i="152"/>
  <c r="L265" i="152"/>
  <c r="K265" i="152"/>
  <c r="H265" i="152"/>
  <c r="A265" i="152"/>
  <c r="P264" i="152"/>
  <c r="N264" i="152"/>
  <c r="M264" i="152"/>
  <c r="L264" i="152"/>
  <c r="K264" i="152"/>
  <c r="H264" i="152"/>
  <c r="A264" i="152"/>
  <c r="P263" i="152"/>
  <c r="N263" i="152"/>
  <c r="M263" i="152"/>
  <c r="L263" i="152"/>
  <c r="K263" i="152"/>
  <c r="H263" i="152"/>
  <c r="A263" i="152"/>
  <c r="P262" i="152"/>
  <c r="N262" i="152"/>
  <c r="M262" i="152"/>
  <c r="L262" i="152"/>
  <c r="K262" i="152"/>
  <c r="H262" i="152"/>
  <c r="A262" i="152"/>
  <c r="P261" i="152"/>
  <c r="N261" i="152"/>
  <c r="M261" i="152"/>
  <c r="L261" i="152"/>
  <c r="K261" i="152"/>
  <c r="H261" i="152"/>
  <c r="A261" i="152"/>
  <c r="P260" i="152"/>
  <c r="N260" i="152"/>
  <c r="M260" i="152"/>
  <c r="L260" i="152"/>
  <c r="K260" i="152"/>
  <c r="H260" i="152"/>
  <c r="A260" i="152"/>
  <c r="P259" i="152"/>
  <c r="N259" i="152"/>
  <c r="M259" i="152"/>
  <c r="L259" i="152"/>
  <c r="K259" i="152"/>
  <c r="H259" i="152"/>
  <c r="A259" i="152"/>
  <c r="P258" i="152"/>
  <c r="N258" i="152"/>
  <c r="M258" i="152"/>
  <c r="L258" i="152"/>
  <c r="K258" i="152"/>
  <c r="H258" i="152"/>
  <c r="A258" i="152"/>
  <c r="P257" i="152"/>
  <c r="N257" i="152"/>
  <c r="M257" i="152"/>
  <c r="L257" i="152"/>
  <c r="K257" i="152"/>
  <c r="H257" i="152"/>
  <c r="A257" i="152"/>
  <c r="P256" i="152"/>
  <c r="N256" i="152"/>
  <c r="M256" i="152"/>
  <c r="L256" i="152"/>
  <c r="K256" i="152"/>
  <c r="H256" i="152"/>
  <c r="A256" i="152"/>
  <c r="P255" i="152"/>
  <c r="N255" i="152"/>
  <c r="M255" i="152"/>
  <c r="L255" i="152"/>
  <c r="K255" i="152"/>
  <c r="H255" i="152"/>
  <c r="A255" i="152"/>
  <c r="P254" i="152"/>
  <c r="N254" i="152"/>
  <c r="M254" i="152"/>
  <c r="L254" i="152"/>
  <c r="K254" i="152"/>
  <c r="H254" i="152"/>
  <c r="A254" i="152"/>
  <c r="P253" i="152"/>
  <c r="N253" i="152"/>
  <c r="M253" i="152"/>
  <c r="L253" i="152"/>
  <c r="K253" i="152"/>
  <c r="H253" i="152"/>
  <c r="A253" i="152"/>
  <c r="P252" i="152"/>
  <c r="N252" i="152"/>
  <c r="M252" i="152"/>
  <c r="L252" i="152"/>
  <c r="K252" i="152"/>
  <c r="H252" i="152"/>
  <c r="A252" i="152"/>
  <c r="P251" i="152"/>
  <c r="N251" i="152"/>
  <c r="M251" i="152"/>
  <c r="L251" i="152"/>
  <c r="K251" i="152"/>
  <c r="H251" i="152"/>
  <c r="A251" i="152"/>
  <c r="P250" i="152"/>
  <c r="N250" i="152"/>
  <c r="M250" i="152"/>
  <c r="L250" i="152"/>
  <c r="K250" i="152"/>
  <c r="H250" i="152"/>
  <c r="A250" i="152"/>
  <c r="P249" i="152"/>
  <c r="N249" i="152"/>
  <c r="M249" i="152"/>
  <c r="L249" i="152"/>
  <c r="K249" i="152"/>
  <c r="H249" i="152"/>
  <c r="A249" i="152"/>
  <c r="P248" i="152"/>
  <c r="N248" i="152"/>
  <c r="M248" i="152"/>
  <c r="L248" i="152"/>
  <c r="K248" i="152"/>
  <c r="H248" i="152"/>
  <c r="A248" i="152"/>
  <c r="P247" i="152"/>
  <c r="N247" i="152"/>
  <c r="M247" i="152"/>
  <c r="L247" i="152"/>
  <c r="K247" i="152"/>
  <c r="H247" i="152"/>
  <c r="A247" i="152"/>
  <c r="P246" i="152"/>
  <c r="N246" i="152"/>
  <c r="M246" i="152"/>
  <c r="L246" i="152"/>
  <c r="K246" i="152"/>
  <c r="H246" i="152"/>
  <c r="A246" i="152"/>
  <c r="P245" i="152"/>
  <c r="N245" i="152"/>
  <c r="M245" i="152"/>
  <c r="L245" i="152"/>
  <c r="K245" i="152"/>
  <c r="H245" i="152"/>
  <c r="A245" i="152"/>
  <c r="P244" i="152"/>
  <c r="N244" i="152"/>
  <c r="M244" i="152"/>
  <c r="L244" i="152"/>
  <c r="K244" i="152"/>
  <c r="H244" i="152"/>
  <c r="A244" i="152"/>
  <c r="P243" i="152"/>
  <c r="N243" i="152"/>
  <c r="M243" i="152"/>
  <c r="L243" i="152"/>
  <c r="K243" i="152"/>
  <c r="H243" i="152"/>
  <c r="A243" i="152"/>
  <c r="P242" i="152"/>
  <c r="N242" i="152"/>
  <c r="M242" i="152"/>
  <c r="L242" i="152"/>
  <c r="K242" i="152"/>
  <c r="H242" i="152"/>
  <c r="A242" i="152"/>
  <c r="P241" i="152"/>
  <c r="N241" i="152"/>
  <c r="M241" i="152"/>
  <c r="L241" i="152"/>
  <c r="K241" i="152"/>
  <c r="H241" i="152"/>
  <c r="A241" i="152"/>
  <c r="P240" i="152"/>
  <c r="N240" i="152"/>
  <c r="M240" i="152"/>
  <c r="L240" i="152"/>
  <c r="K240" i="152"/>
  <c r="H240" i="152"/>
  <c r="A240" i="152"/>
  <c r="P239" i="152"/>
  <c r="N239" i="152"/>
  <c r="M239" i="152"/>
  <c r="L239" i="152"/>
  <c r="K239" i="152"/>
  <c r="H239" i="152"/>
  <c r="A239" i="152"/>
  <c r="P238" i="152"/>
  <c r="N238" i="152"/>
  <c r="M238" i="152"/>
  <c r="L238" i="152"/>
  <c r="K238" i="152"/>
  <c r="H238" i="152"/>
  <c r="A238" i="152"/>
  <c r="P237" i="152"/>
  <c r="N237" i="152"/>
  <c r="M237" i="152"/>
  <c r="L237" i="152"/>
  <c r="K237" i="152"/>
  <c r="H237" i="152"/>
  <c r="A237" i="152"/>
  <c r="P236" i="152"/>
  <c r="N236" i="152"/>
  <c r="M236" i="152"/>
  <c r="L236" i="152"/>
  <c r="K236" i="152"/>
  <c r="H236" i="152"/>
  <c r="A236" i="152"/>
  <c r="P235" i="152"/>
  <c r="N235" i="152"/>
  <c r="M235" i="152"/>
  <c r="L235" i="152"/>
  <c r="K235" i="152"/>
  <c r="H235" i="152"/>
  <c r="A235" i="152"/>
  <c r="P234" i="152"/>
  <c r="N234" i="152"/>
  <c r="M234" i="152"/>
  <c r="L234" i="152"/>
  <c r="K234" i="152"/>
  <c r="H234" i="152"/>
  <c r="A234" i="152"/>
  <c r="P233" i="152"/>
  <c r="N233" i="152"/>
  <c r="M233" i="152"/>
  <c r="L233" i="152"/>
  <c r="K233" i="152"/>
  <c r="H233" i="152"/>
  <c r="A233" i="152"/>
  <c r="P232" i="152"/>
  <c r="N232" i="152"/>
  <c r="M232" i="152"/>
  <c r="L232" i="152"/>
  <c r="K232" i="152"/>
  <c r="H232" i="152"/>
  <c r="A232" i="152"/>
  <c r="P231" i="152"/>
  <c r="N231" i="152"/>
  <c r="M231" i="152"/>
  <c r="L231" i="152"/>
  <c r="K231" i="152"/>
  <c r="H231" i="152"/>
  <c r="A231" i="152"/>
  <c r="P230" i="152"/>
  <c r="N230" i="152"/>
  <c r="M230" i="152"/>
  <c r="L230" i="152"/>
  <c r="K230" i="152"/>
  <c r="H230" i="152"/>
  <c r="A230" i="152"/>
  <c r="P229" i="152"/>
  <c r="N229" i="152"/>
  <c r="M229" i="152"/>
  <c r="L229" i="152"/>
  <c r="K229" i="152"/>
  <c r="H229" i="152"/>
  <c r="A229" i="152"/>
  <c r="P228" i="152"/>
  <c r="N228" i="152"/>
  <c r="M228" i="152"/>
  <c r="L228" i="152"/>
  <c r="K228" i="152"/>
  <c r="H228" i="152"/>
  <c r="A228" i="152"/>
  <c r="P227" i="152"/>
  <c r="N227" i="152"/>
  <c r="M227" i="152"/>
  <c r="L227" i="152"/>
  <c r="K227" i="152"/>
  <c r="H227" i="152"/>
  <c r="A227" i="152"/>
  <c r="P226" i="152"/>
  <c r="N226" i="152"/>
  <c r="M226" i="152"/>
  <c r="L226" i="152"/>
  <c r="K226" i="152"/>
  <c r="H226" i="152"/>
  <c r="A226" i="152"/>
  <c r="P225" i="152"/>
  <c r="N225" i="152"/>
  <c r="M225" i="152"/>
  <c r="L225" i="152"/>
  <c r="K225" i="152"/>
  <c r="H225" i="152"/>
  <c r="A225" i="152"/>
  <c r="P224" i="152"/>
  <c r="N224" i="152"/>
  <c r="M224" i="152"/>
  <c r="L224" i="152"/>
  <c r="K224" i="152"/>
  <c r="H224" i="152"/>
  <c r="A224" i="152"/>
  <c r="P223" i="152"/>
  <c r="N223" i="152"/>
  <c r="M223" i="152"/>
  <c r="L223" i="152"/>
  <c r="K223" i="152"/>
  <c r="H223" i="152"/>
  <c r="A223" i="152"/>
  <c r="P222" i="152"/>
  <c r="N222" i="152"/>
  <c r="M222" i="152"/>
  <c r="L222" i="152"/>
  <c r="K222" i="152"/>
  <c r="H222" i="152"/>
  <c r="A222" i="152"/>
  <c r="P221" i="152"/>
  <c r="N221" i="152"/>
  <c r="M221" i="152"/>
  <c r="L221" i="152"/>
  <c r="K221" i="152"/>
  <c r="H221" i="152"/>
  <c r="A221" i="152"/>
  <c r="P220" i="152"/>
  <c r="N220" i="152"/>
  <c r="M220" i="152"/>
  <c r="L220" i="152"/>
  <c r="K220" i="152"/>
  <c r="H220" i="152"/>
  <c r="A220" i="152"/>
  <c r="P219" i="152"/>
  <c r="N219" i="152"/>
  <c r="M219" i="152"/>
  <c r="L219" i="152"/>
  <c r="K219" i="152"/>
  <c r="H219" i="152"/>
  <c r="A219" i="152"/>
  <c r="P218" i="152"/>
  <c r="N218" i="152"/>
  <c r="M218" i="152"/>
  <c r="L218" i="152"/>
  <c r="K218" i="152"/>
  <c r="H218" i="152"/>
  <c r="A218" i="152"/>
  <c r="P217" i="152"/>
  <c r="N217" i="152"/>
  <c r="M217" i="152"/>
  <c r="L217" i="152"/>
  <c r="K217" i="152"/>
  <c r="H217" i="152"/>
  <c r="A217" i="152"/>
  <c r="P216" i="152"/>
  <c r="N216" i="152"/>
  <c r="M216" i="152"/>
  <c r="L216" i="152"/>
  <c r="K216" i="152"/>
  <c r="H216" i="152"/>
  <c r="A216" i="152"/>
  <c r="P215" i="152"/>
  <c r="N215" i="152"/>
  <c r="M215" i="152"/>
  <c r="L215" i="152"/>
  <c r="K215" i="152"/>
  <c r="H215" i="152"/>
  <c r="A215" i="152"/>
  <c r="P214" i="152"/>
  <c r="N214" i="152"/>
  <c r="M214" i="152"/>
  <c r="L214" i="152"/>
  <c r="K214" i="152"/>
  <c r="H214" i="152"/>
  <c r="A214" i="152"/>
  <c r="P213" i="152"/>
  <c r="N213" i="152"/>
  <c r="M213" i="152"/>
  <c r="L213" i="152"/>
  <c r="K213" i="152"/>
  <c r="H213" i="152"/>
  <c r="A213" i="152"/>
  <c r="P212" i="152"/>
  <c r="N212" i="152"/>
  <c r="M212" i="152"/>
  <c r="L212" i="152"/>
  <c r="K212" i="152"/>
  <c r="H212" i="152"/>
  <c r="A212" i="152"/>
  <c r="P211" i="152"/>
  <c r="N211" i="152"/>
  <c r="M211" i="152"/>
  <c r="L211" i="152"/>
  <c r="K211" i="152"/>
  <c r="H211" i="152"/>
  <c r="A211" i="152"/>
  <c r="P210" i="152"/>
  <c r="N210" i="152"/>
  <c r="M210" i="152"/>
  <c r="L210" i="152"/>
  <c r="K210" i="152"/>
  <c r="H210" i="152"/>
  <c r="A210" i="152"/>
  <c r="P209" i="152"/>
  <c r="N209" i="152"/>
  <c r="M209" i="152"/>
  <c r="L209" i="152"/>
  <c r="K209" i="152"/>
  <c r="H209" i="152"/>
  <c r="A209" i="152"/>
  <c r="P208" i="152"/>
  <c r="N208" i="152"/>
  <c r="M208" i="152"/>
  <c r="L208" i="152"/>
  <c r="K208" i="152"/>
  <c r="H208" i="152"/>
  <c r="A208" i="152"/>
  <c r="P207" i="152"/>
  <c r="N207" i="152"/>
  <c r="M207" i="152"/>
  <c r="L207" i="152"/>
  <c r="K207" i="152"/>
  <c r="H207" i="152"/>
  <c r="A207" i="152"/>
  <c r="P206" i="152"/>
  <c r="N206" i="152"/>
  <c r="M206" i="152"/>
  <c r="L206" i="152"/>
  <c r="K206" i="152"/>
  <c r="H206" i="152"/>
  <c r="A206" i="152"/>
  <c r="P205" i="152"/>
  <c r="N205" i="152"/>
  <c r="M205" i="152"/>
  <c r="L205" i="152"/>
  <c r="K205" i="152"/>
  <c r="H205" i="152"/>
  <c r="A205" i="152"/>
  <c r="P204" i="152"/>
  <c r="N204" i="152"/>
  <c r="M204" i="152"/>
  <c r="L204" i="152"/>
  <c r="K204" i="152"/>
  <c r="H204" i="152"/>
  <c r="A204" i="152"/>
  <c r="P203" i="152"/>
  <c r="N203" i="152"/>
  <c r="M203" i="152"/>
  <c r="L203" i="152"/>
  <c r="K203" i="152"/>
  <c r="H203" i="152"/>
  <c r="A203" i="152"/>
  <c r="P202" i="152"/>
  <c r="N202" i="152"/>
  <c r="M202" i="152"/>
  <c r="L202" i="152"/>
  <c r="K202" i="152"/>
  <c r="H202" i="152"/>
  <c r="A202" i="152"/>
  <c r="P201" i="152"/>
  <c r="N201" i="152"/>
  <c r="M201" i="152"/>
  <c r="L201" i="152"/>
  <c r="K201" i="152"/>
  <c r="H201" i="152"/>
  <c r="A201" i="152"/>
  <c r="P200" i="152"/>
  <c r="N200" i="152"/>
  <c r="M200" i="152"/>
  <c r="L200" i="152"/>
  <c r="K200" i="152"/>
  <c r="H200" i="152"/>
  <c r="A200" i="152"/>
  <c r="P199" i="152"/>
  <c r="N199" i="152"/>
  <c r="M199" i="152"/>
  <c r="L199" i="152"/>
  <c r="K199" i="152"/>
  <c r="H199" i="152"/>
  <c r="A199" i="152"/>
  <c r="P198" i="152"/>
  <c r="N198" i="152"/>
  <c r="M198" i="152"/>
  <c r="L198" i="152"/>
  <c r="K198" i="152"/>
  <c r="H198" i="152"/>
  <c r="A198" i="152"/>
  <c r="P197" i="152"/>
  <c r="N197" i="152"/>
  <c r="M197" i="152"/>
  <c r="L197" i="152"/>
  <c r="K197" i="152"/>
  <c r="H197" i="152"/>
  <c r="A197" i="152"/>
  <c r="P196" i="152"/>
  <c r="N196" i="152"/>
  <c r="M196" i="152"/>
  <c r="L196" i="152"/>
  <c r="K196" i="152"/>
  <c r="H196" i="152"/>
  <c r="A196" i="152"/>
  <c r="P195" i="152"/>
  <c r="N195" i="152"/>
  <c r="M195" i="152"/>
  <c r="L195" i="152"/>
  <c r="K195" i="152"/>
  <c r="H195" i="152"/>
  <c r="A195" i="152"/>
  <c r="P194" i="152"/>
  <c r="N194" i="152"/>
  <c r="M194" i="152"/>
  <c r="L194" i="152"/>
  <c r="K194" i="152"/>
  <c r="H194" i="152"/>
  <c r="A194" i="152"/>
  <c r="P193" i="152"/>
  <c r="N193" i="152"/>
  <c r="M193" i="152"/>
  <c r="L193" i="152"/>
  <c r="K193" i="152"/>
  <c r="H193" i="152"/>
  <c r="A193" i="152"/>
  <c r="P192" i="152"/>
  <c r="N192" i="152"/>
  <c r="M192" i="152"/>
  <c r="L192" i="152"/>
  <c r="K192" i="152"/>
  <c r="H192" i="152"/>
  <c r="A192" i="152"/>
  <c r="P191" i="152"/>
  <c r="N191" i="152"/>
  <c r="M191" i="152"/>
  <c r="L191" i="152"/>
  <c r="K191" i="152"/>
  <c r="H191" i="152"/>
  <c r="A191" i="152"/>
  <c r="P190" i="152"/>
  <c r="N190" i="152"/>
  <c r="M190" i="152"/>
  <c r="L190" i="152"/>
  <c r="K190" i="152"/>
  <c r="H190" i="152"/>
  <c r="A190" i="152"/>
  <c r="P189" i="152"/>
  <c r="N189" i="152"/>
  <c r="M189" i="152"/>
  <c r="L189" i="152"/>
  <c r="K189" i="152"/>
  <c r="H189" i="152"/>
  <c r="A189" i="152"/>
  <c r="P188" i="152"/>
  <c r="N188" i="152"/>
  <c r="M188" i="152"/>
  <c r="L188" i="152"/>
  <c r="K188" i="152"/>
  <c r="H188" i="152"/>
  <c r="A188" i="152"/>
  <c r="P187" i="152"/>
  <c r="N187" i="152"/>
  <c r="M187" i="152"/>
  <c r="L187" i="152"/>
  <c r="K187" i="152"/>
  <c r="H187" i="152"/>
  <c r="A187" i="152"/>
  <c r="P186" i="152"/>
  <c r="N186" i="152"/>
  <c r="M186" i="152"/>
  <c r="L186" i="152"/>
  <c r="K186" i="152"/>
  <c r="H186" i="152"/>
  <c r="A186" i="152"/>
  <c r="P185" i="152"/>
  <c r="N185" i="152"/>
  <c r="M185" i="152"/>
  <c r="L185" i="152"/>
  <c r="K185" i="152"/>
  <c r="H185" i="152"/>
  <c r="A185" i="152"/>
  <c r="P184" i="152"/>
  <c r="N184" i="152"/>
  <c r="M184" i="152"/>
  <c r="L184" i="152"/>
  <c r="K184" i="152"/>
  <c r="H184" i="152"/>
  <c r="A184" i="152"/>
  <c r="P183" i="152"/>
  <c r="N183" i="152"/>
  <c r="M183" i="152"/>
  <c r="L183" i="152"/>
  <c r="K183" i="152"/>
  <c r="H183" i="152"/>
  <c r="A183" i="152"/>
  <c r="P182" i="152"/>
  <c r="N182" i="152"/>
  <c r="M182" i="152"/>
  <c r="L182" i="152"/>
  <c r="K182" i="152"/>
  <c r="H182" i="152"/>
  <c r="A182" i="152"/>
  <c r="P181" i="152"/>
  <c r="N181" i="152"/>
  <c r="M181" i="152"/>
  <c r="L181" i="152"/>
  <c r="K181" i="152"/>
  <c r="H181" i="152"/>
  <c r="A181" i="152"/>
  <c r="P180" i="152"/>
  <c r="N180" i="152"/>
  <c r="M180" i="152"/>
  <c r="L180" i="152"/>
  <c r="K180" i="152"/>
  <c r="H180" i="152"/>
  <c r="A180" i="152"/>
  <c r="P179" i="152"/>
  <c r="N179" i="152"/>
  <c r="M179" i="152"/>
  <c r="L179" i="152"/>
  <c r="K179" i="152"/>
  <c r="H179" i="152"/>
  <c r="A179" i="152"/>
  <c r="P178" i="152"/>
  <c r="N178" i="152"/>
  <c r="M178" i="152"/>
  <c r="L178" i="152"/>
  <c r="K178" i="152"/>
  <c r="H178" i="152"/>
  <c r="A178" i="152"/>
  <c r="P177" i="152"/>
  <c r="N177" i="152"/>
  <c r="M177" i="152"/>
  <c r="L177" i="152"/>
  <c r="K177" i="152"/>
  <c r="H177" i="152"/>
  <c r="A177" i="152"/>
  <c r="P176" i="152"/>
  <c r="N176" i="152"/>
  <c r="M176" i="152"/>
  <c r="L176" i="152"/>
  <c r="K176" i="152"/>
  <c r="H176" i="152"/>
  <c r="A176" i="152"/>
  <c r="P175" i="152"/>
  <c r="N175" i="152"/>
  <c r="M175" i="152"/>
  <c r="L175" i="152"/>
  <c r="K175" i="152"/>
  <c r="H175" i="152"/>
  <c r="A175" i="152"/>
  <c r="P174" i="152"/>
  <c r="N174" i="152"/>
  <c r="M174" i="152"/>
  <c r="L174" i="152"/>
  <c r="K174" i="152"/>
  <c r="H174" i="152"/>
  <c r="A174" i="152"/>
  <c r="P173" i="152"/>
  <c r="N173" i="152"/>
  <c r="M173" i="152"/>
  <c r="L173" i="152"/>
  <c r="K173" i="152"/>
  <c r="H173" i="152"/>
  <c r="A173" i="152"/>
  <c r="P172" i="152"/>
  <c r="N172" i="152"/>
  <c r="M172" i="152"/>
  <c r="L172" i="152"/>
  <c r="K172" i="152"/>
  <c r="H172" i="152"/>
  <c r="A172" i="152"/>
  <c r="P171" i="152"/>
  <c r="N171" i="152"/>
  <c r="M171" i="152"/>
  <c r="L171" i="152"/>
  <c r="K171" i="152"/>
  <c r="H171" i="152"/>
  <c r="A171" i="152"/>
  <c r="P170" i="152"/>
  <c r="N170" i="152"/>
  <c r="M170" i="152"/>
  <c r="L170" i="152"/>
  <c r="K170" i="152"/>
  <c r="H170" i="152"/>
  <c r="A170" i="152"/>
  <c r="P169" i="152"/>
  <c r="N169" i="152"/>
  <c r="M169" i="152"/>
  <c r="L169" i="152"/>
  <c r="K169" i="152"/>
  <c r="H169" i="152"/>
  <c r="A169" i="152"/>
  <c r="P168" i="152"/>
  <c r="N168" i="152"/>
  <c r="M168" i="152"/>
  <c r="L168" i="152"/>
  <c r="K168" i="152"/>
  <c r="H168" i="152"/>
  <c r="A168" i="152"/>
  <c r="P167" i="152"/>
  <c r="N167" i="152"/>
  <c r="M167" i="152"/>
  <c r="L167" i="152"/>
  <c r="K167" i="152"/>
  <c r="H167" i="152"/>
  <c r="A167" i="152"/>
  <c r="P166" i="152"/>
  <c r="N166" i="152"/>
  <c r="M166" i="152"/>
  <c r="L166" i="152"/>
  <c r="K166" i="152"/>
  <c r="H166" i="152"/>
  <c r="A166" i="152"/>
  <c r="P165" i="152"/>
  <c r="N165" i="152"/>
  <c r="M165" i="152"/>
  <c r="L165" i="152"/>
  <c r="K165" i="152"/>
  <c r="H165" i="152"/>
  <c r="A165" i="152"/>
  <c r="P164" i="152"/>
  <c r="N164" i="152"/>
  <c r="M164" i="152"/>
  <c r="L164" i="152"/>
  <c r="K164" i="152"/>
  <c r="H164" i="152"/>
  <c r="A164" i="152"/>
  <c r="P163" i="152"/>
  <c r="N163" i="152"/>
  <c r="M163" i="152"/>
  <c r="L163" i="152"/>
  <c r="K163" i="152"/>
  <c r="H163" i="152"/>
  <c r="A163" i="152"/>
  <c r="P162" i="152"/>
  <c r="N162" i="152"/>
  <c r="M162" i="152"/>
  <c r="L162" i="152"/>
  <c r="K162" i="152"/>
  <c r="H162" i="152"/>
  <c r="A162" i="152"/>
  <c r="P161" i="152"/>
  <c r="N161" i="152"/>
  <c r="M161" i="152"/>
  <c r="L161" i="152"/>
  <c r="K161" i="152"/>
  <c r="H161" i="152"/>
  <c r="A161" i="152"/>
  <c r="P160" i="152"/>
  <c r="N160" i="152"/>
  <c r="M160" i="152"/>
  <c r="L160" i="152"/>
  <c r="K160" i="152"/>
  <c r="H160" i="152"/>
  <c r="A160" i="152"/>
  <c r="P159" i="152"/>
  <c r="N159" i="152"/>
  <c r="M159" i="152"/>
  <c r="L159" i="152"/>
  <c r="K159" i="152"/>
  <c r="H159" i="152"/>
  <c r="A159" i="152"/>
  <c r="P158" i="152"/>
  <c r="N158" i="152"/>
  <c r="M158" i="152"/>
  <c r="L158" i="152"/>
  <c r="K158" i="152"/>
  <c r="H158" i="152"/>
  <c r="A158" i="152"/>
  <c r="P157" i="152"/>
  <c r="N157" i="152"/>
  <c r="M157" i="152"/>
  <c r="L157" i="152"/>
  <c r="K157" i="152"/>
  <c r="H157" i="152"/>
  <c r="A157" i="152"/>
  <c r="P156" i="152"/>
  <c r="N156" i="152"/>
  <c r="M156" i="152"/>
  <c r="L156" i="152"/>
  <c r="K156" i="152"/>
  <c r="H156" i="152"/>
  <c r="A156" i="152"/>
  <c r="P155" i="152"/>
  <c r="N155" i="152"/>
  <c r="M155" i="152"/>
  <c r="L155" i="152"/>
  <c r="K155" i="152"/>
  <c r="H155" i="152"/>
  <c r="A155" i="152"/>
  <c r="P154" i="152"/>
  <c r="N154" i="152"/>
  <c r="M154" i="152"/>
  <c r="L154" i="152"/>
  <c r="K154" i="152"/>
  <c r="H154" i="152"/>
  <c r="A154" i="152"/>
  <c r="P153" i="152"/>
  <c r="N153" i="152"/>
  <c r="M153" i="152"/>
  <c r="L153" i="152"/>
  <c r="K153" i="152"/>
  <c r="H153" i="152"/>
  <c r="A153" i="152"/>
  <c r="P152" i="152"/>
  <c r="N152" i="152"/>
  <c r="M152" i="152"/>
  <c r="L152" i="152"/>
  <c r="K152" i="152"/>
  <c r="H152" i="152"/>
  <c r="A152" i="152"/>
  <c r="P151" i="152"/>
  <c r="N151" i="152"/>
  <c r="M151" i="152"/>
  <c r="L151" i="152"/>
  <c r="K151" i="152"/>
  <c r="H151" i="152"/>
  <c r="A151" i="152"/>
  <c r="P150" i="152"/>
  <c r="N150" i="152"/>
  <c r="M150" i="152"/>
  <c r="L150" i="152"/>
  <c r="K150" i="152"/>
  <c r="H150" i="152"/>
  <c r="A150" i="152"/>
  <c r="P149" i="152"/>
  <c r="N149" i="152"/>
  <c r="M149" i="152"/>
  <c r="L149" i="152"/>
  <c r="K149" i="152"/>
  <c r="H149" i="152"/>
  <c r="A149" i="152"/>
  <c r="P148" i="152"/>
  <c r="N148" i="152"/>
  <c r="M148" i="152"/>
  <c r="L148" i="152"/>
  <c r="K148" i="152"/>
  <c r="H148" i="152"/>
  <c r="A148" i="152"/>
  <c r="P147" i="152"/>
  <c r="N147" i="152"/>
  <c r="M147" i="152"/>
  <c r="L147" i="152"/>
  <c r="K147" i="152"/>
  <c r="H147" i="152"/>
  <c r="A147" i="152"/>
  <c r="P146" i="152"/>
  <c r="N146" i="152"/>
  <c r="M146" i="152"/>
  <c r="L146" i="152"/>
  <c r="K146" i="152"/>
  <c r="H146" i="152"/>
  <c r="A146" i="152"/>
  <c r="P145" i="152"/>
  <c r="N145" i="152"/>
  <c r="M145" i="152"/>
  <c r="L145" i="152"/>
  <c r="K145" i="152"/>
  <c r="H145" i="152"/>
  <c r="A145" i="152"/>
  <c r="P144" i="152"/>
  <c r="N144" i="152"/>
  <c r="M144" i="152"/>
  <c r="L144" i="152"/>
  <c r="K144" i="152"/>
  <c r="H144" i="152"/>
  <c r="A144" i="152"/>
  <c r="P143" i="152"/>
  <c r="N143" i="152"/>
  <c r="M143" i="152"/>
  <c r="L143" i="152"/>
  <c r="K143" i="152"/>
  <c r="H143" i="152"/>
  <c r="A143" i="152"/>
  <c r="P142" i="152"/>
  <c r="N142" i="152"/>
  <c r="M142" i="152"/>
  <c r="L142" i="152"/>
  <c r="K142" i="152"/>
  <c r="H142" i="152"/>
  <c r="A142" i="152"/>
  <c r="P141" i="152"/>
  <c r="N141" i="152"/>
  <c r="M141" i="152"/>
  <c r="L141" i="152"/>
  <c r="K141" i="152"/>
  <c r="H141" i="152"/>
  <c r="A141" i="152"/>
  <c r="P140" i="152"/>
  <c r="N140" i="152"/>
  <c r="M140" i="152"/>
  <c r="L140" i="152"/>
  <c r="K140" i="152"/>
  <c r="H140" i="152"/>
  <c r="A140" i="152"/>
  <c r="P139" i="152"/>
  <c r="N139" i="152"/>
  <c r="M139" i="152"/>
  <c r="L139" i="152"/>
  <c r="K139" i="152"/>
  <c r="H139" i="152"/>
  <c r="A139" i="152"/>
  <c r="P138" i="152"/>
  <c r="N138" i="152"/>
  <c r="M138" i="152"/>
  <c r="L138" i="152"/>
  <c r="K138" i="152"/>
  <c r="H138" i="152"/>
  <c r="A138" i="152"/>
  <c r="P137" i="152"/>
  <c r="N137" i="152"/>
  <c r="M137" i="152"/>
  <c r="L137" i="152"/>
  <c r="K137" i="152"/>
  <c r="H137" i="152"/>
  <c r="A137" i="152"/>
  <c r="P136" i="152"/>
  <c r="N136" i="152"/>
  <c r="M136" i="152"/>
  <c r="L136" i="152"/>
  <c r="K136" i="152"/>
  <c r="H136" i="152"/>
  <c r="A136" i="152"/>
  <c r="P135" i="152"/>
  <c r="N135" i="152"/>
  <c r="M135" i="152"/>
  <c r="L135" i="152"/>
  <c r="K135" i="152"/>
  <c r="H135" i="152"/>
  <c r="A135" i="152"/>
  <c r="P134" i="152"/>
  <c r="N134" i="152"/>
  <c r="M134" i="152"/>
  <c r="L134" i="152"/>
  <c r="K134" i="152"/>
  <c r="H134" i="152"/>
  <c r="A134" i="152"/>
  <c r="P133" i="152"/>
  <c r="N133" i="152"/>
  <c r="M133" i="152"/>
  <c r="L133" i="152"/>
  <c r="K133" i="152"/>
  <c r="H133" i="152"/>
  <c r="A133" i="152"/>
  <c r="P132" i="152"/>
  <c r="N132" i="152"/>
  <c r="M132" i="152"/>
  <c r="L132" i="152"/>
  <c r="K132" i="152"/>
  <c r="H132" i="152"/>
  <c r="A132" i="152"/>
  <c r="P131" i="152"/>
  <c r="N131" i="152"/>
  <c r="M131" i="152"/>
  <c r="L131" i="152"/>
  <c r="K131" i="152"/>
  <c r="H131" i="152"/>
  <c r="A131" i="152"/>
  <c r="P130" i="152"/>
  <c r="N130" i="152"/>
  <c r="M130" i="152"/>
  <c r="L130" i="152"/>
  <c r="K130" i="152"/>
  <c r="H130" i="152"/>
  <c r="A130" i="152"/>
  <c r="P129" i="152"/>
  <c r="N129" i="152"/>
  <c r="M129" i="152"/>
  <c r="L129" i="152"/>
  <c r="K129" i="152"/>
  <c r="H129" i="152"/>
  <c r="A129" i="152"/>
  <c r="P128" i="152"/>
  <c r="N128" i="152"/>
  <c r="M128" i="152"/>
  <c r="L128" i="152"/>
  <c r="K128" i="152"/>
  <c r="H128" i="152"/>
  <c r="A128" i="152"/>
  <c r="P127" i="152"/>
  <c r="N127" i="152"/>
  <c r="M127" i="152"/>
  <c r="L127" i="152"/>
  <c r="K127" i="152"/>
  <c r="H127" i="152"/>
  <c r="A127" i="152"/>
  <c r="P126" i="152"/>
  <c r="N126" i="152"/>
  <c r="M126" i="152"/>
  <c r="L126" i="152"/>
  <c r="K126" i="152"/>
  <c r="H126" i="152"/>
  <c r="A126" i="152"/>
  <c r="P125" i="152"/>
  <c r="N125" i="152"/>
  <c r="M125" i="152"/>
  <c r="L125" i="152"/>
  <c r="K125" i="152"/>
  <c r="H125" i="152"/>
  <c r="A125" i="152"/>
  <c r="P124" i="152"/>
  <c r="N124" i="152"/>
  <c r="M124" i="152"/>
  <c r="L124" i="152"/>
  <c r="K124" i="152"/>
  <c r="H124" i="152"/>
  <c r="A124" i="152"/>
  <c r="P123" i="152"/>
  <c r="N123" i="152"/>
  <c r="M123" i="152"/>
  <c r="L123" i="152"/>
  <c r="K123" i="152"/>
  <c r="H123" i="152"/>
  <c r="A123" i="152"/>
  <c r="P122" i="152"/>
  <c r="N122" i="152"/>
  <c r="M122" i="152"/>
  <c r="L122" i="152"/>
  <c r="K122" i="152"/>
  <c r="H122" i="152"/>
  <c r="A122" i="152"/>
  <c r="P121" i="152"/>
  <c r="N121" i="152"/>
  <c r="M121" i="152"/>
  <c r="L121" i="152"/>
  <c r="K121" i="152"/>
  <c r="H121" i="152"/>
  <c r="A121" i="152"/>
  <c r="P120" i="152"/>
  <c r="N120" i="152"/>
  <c r="M120" i="152"/>
  <c r="L120" i="152"/>
  <c r="K120" i="152"/>
  <c r="H120" i="152"/>
  <c r="A120" i="152"/>
  <c r="P119" i="152"/>
  <c r="N119" i="152"/>
  <c r="M119" i="152"/>
  <c r="L119" i="152"/>
  <c r="K119" i="152"/>
  <c r="H119" i="152"/>
  <c r="A119" i="152"/>
  <c r="P118" i="152"/>
  <c r="N118" i="152"/>
  <c r="M118" i="152"/>
  <c r="L118" i="152"/>
  <c r="K118" i="152"/>
  <c r="H118" i="152"/>
  <c r="A118" i="152"/>
  <c r="P117" i="152"/>
  <c r="N117" i="152"/>
  <c r="M117" i="152"/>
  <c r="L117" i="152"/>
  <c r="K117" i="152"/>
  <c r="H117" i="152"/>
  <c r="A117" i="152"/>
  <c r="P116" i="152"/>
  <c r="N116" i="152"/>
  <c r="M116" i="152"/>
  <c r="L116" i="152"/>
  <c r="K116" i="152"/>
  <c r="H116" i="152"/>
  <c r="A116" i="152"/>
  <c r="P115" i="152"/>
  <c r="N115" i="152"/>
  <c r="M115" i="152"/>
  <c r="L115" i="152"/>
  <c r="K115" i="152"/>
  <c r="H115" i="152"/>
  <c r="A115" i="152"/>
  <c r="P114" i="152"/>
  <c r="N114" i="152"/>
  <c r="M114" i="152"/>
  <c r="L114" i="152"/>
  <c r="K114" i="152"/>
  <c r="H114" i="152"/>
  <c r="A114" i="152"/>
  <c r="P113" i="152"/>
  <c r="N113" i="152"/>
  <c r="M113" i="152"/>
  <c r="L113" i="152"/>
  <c r="K113" i="152"/>
  <c r="H113" i="152"/>
  <c r="A113" i="152"/>
  <c r="P112" i="152"/>
  <c r="N112" i="152"/>
  <c r="M112" i="152"/>
  <c r="L112" i="152"/>
  <c r="K112" i="152"/>
  <c r="H112" i="152"/>
  <c r="A112" i="152"/>
  <c r="P111" i="152"/>
  <c r="N111" i="152"/>
  <c r="M111" i="152"/>
  <c r="L111" i="152"/>
  <c r="K111" i="152"/>
  <c r="H111" i="152"/>
  <c r="A111" i="152"/>
  <c r="P110" i="152"/>
  <c r="N110" i="152"/>
  <c r="M110" i="152"/>
  <c r="L110" i="152"/>
  <c r="K110" i="152"/>
  <c r="H110" i="152"/>
  <c r="A110" i="152"/>
  <c r="P109" i="152"/>
  <c r="N109" i="152"/>
  <c r="M109" i="152"/>
  <c r="L109" i="152"/>
  <c r="K109" i="152"/>
  <c r="H109" i="152"/>
  <c r="A109" i="152"/>
  <c r="P108" i="152"/>
  <c r="N108" i="152"/>
  <c r="M108" i="152"/>
  <c r="L108" i="152"/>
  <c r="K108" i="152"/>
  <c r="H108" i="152"/>
  <c r="A108" i="152"/>
  <c r="P107" i="152"/>
  <c r="N107" i="152"/>
  <c r="M107" i="152"/>
  <c r="L107" i="152"/>
  <c r="K107" i="152"/>
  <c r="H107" i="152"/>
  <c r="A107" i="152"/>
  <c r="P106" i="152"/>
  <c r="N106" i="152"/>
  <c r="M106" i="152"/>
  <c r="L106" i="152"/>
  <c r="K106" i="152"/>
  <c r="H106" i="152"/>
  <c r="A106" i="152"/>
  <c r="P105" i="152"/>
  <c r="N105" i="152"/>
  <c r="M105" i="152"/>
  <c r="L105" i="152"/>
  <c r="K105" i="152"/>
  <c r="H105" i="152"/>
  <c r="A105" i="152"/>
  <c r="P104" i="152"/>
  <c r="N104" i="152"/>
  <c r="M104" i="152"/>
  <c r="L104" i="152"/>
  <c r="K104" i="152"/>
  <c r="H104" i="152"/>
  <c r="A104" i="152"/>
  <c r="P103" i="152"/>
  <c r="N103" i="152"/>
  <c r="M103" i="152"/>
  <c r="L103" i="152"/>
  <c r="K103" i="152"/>
  <c r="H103" i="152"/>
  <c r="A103" i="152"/>
  <c r="P102" i="152"/>
  <c r="N102" i="152"/>
  <c r="M102" i="152"/>
  <c r="L102" i="152"/>
  <c r="K102" i="152"/>
  <c r="H102" i="152"/>
  <c r="A102" i="152"/>
  <c r="P101" i="152"/>
  <c r="N101" i="152"/>
  <c r="M101" i="152"/>
  <c r="L101" i="152"/>
  <c r="K101" i="152"/>
  <c r="H101" i="152"/>
  <c r="A101" i="152"/>
  <c r="P100" i="152"/>
  <c r="N100" i="152"/>
  <c r="M100" i="152"/>
  <c r="L100" i="152"/>
  <c r="K100" i="152"/>
  <c r="H100" i="152"/>
  <c r="A100" i="152"/>
  <c r="P99" i="152"/>
  <c r="N99" i="152"/>
  <c r="M99" i="152"/>
  <c r="L99" i="152"/>
  <c r="K99" i="152"/>
  <c r="H99" i="152"/>
  <c r="A99" i="152"/>
  <c r="P98" i="152"/>
  <c r="N98" i="152"/>
  <c r="M98" i="152"/>
  <c r="L98" i="152"/>
  <c r="K98" i="152"/>
  <c r="H98" i="152"/>
  <c r="A98" i="152"/>
  <c r="P97" i="152"/>
  <c r="N97" i="152"/>
  <c r="M97" i="152"/>
  <c r="L97" i="152"/>
  <c r="K97" i="152"/>
  <c r="H97" i="152"/>
  <c r="A97" i="152"/>
  <c r="P96" i="152"/>
  <c r="N96" i="152"/>
  <c r="M96" i="152"/>
  <c r="L96" i="152"/>
  <c r="K96" i="152"/>
  <c r="H96" i="152"/>
  <c r="A96" i="152"/>
  <c r="P95" i="152"/>
  <c r="N95" i="152"/>
  <c r="M95" i="152"/>
  <c r="L95" i="152"/>
  <c r="K95" i="152"/>
  <c r="H95" i="152"/>
  <c r="A95" i="152"/>
  <c r="P94" i="152"/>
  <c r="N94" i="152"/>
  <c r="M94" i="152"/>
  <c r="L94" i="152"/>
  <c r="K94" i="152"/>
  <c r="H94" i="152"/>
  <c r="A94" i="152"/>
  <c r="P93" i="152"/>
  <c r="N93" i="152"/>
  <c r="M93" i="152"/>
  <c r="L93" i="152"/>
  <c r="K93" i="152"/>
  <c r="H93" i="152"/>
  <c r="A93" i="152"/>
  <c r="P92" i="152"/>
  <c r="N92" i="152"/>
  <c r="M92" i="152"/>
  <c r="L92" i="152"/>
  <c r="K92" i="152"/>
  <c r="H92" i="152"/>
  <c r="A92" i="152"/>
  <c r="P91" i="152"/>
  <c r="N91" i="152"/>
  <c r="M91" i="152"/>
  <c r="L91" i="152"/>
  <c r="K91" i="152"/>
  <c r="H91" i="152"/>
  <c r="A91" i="152"/>
  <c r="P90" i="152"/>
  <c r="N90" i="152"/>
  <c r="M90" i="152"/>
  <c r="L90" i="152"/>
  <c r="K90" i="152"/>
  <c r="H90" i="152"/>
  <c r="A90" i="152"/>
  <c r="P89" i="152"/>
  <c r="N89" i="152"/>
  <c r="M89" i="152"/>
  <c r="L89" i="152"/>
  <c r="K89" i="152"/>
  <c r="H89" i="152"/>
  <c r="A89" i="152"/>
  <c r="P88" i="152"/>
  <c r="N88" i="152"/>
  <c r="M88" i="152"/>
  <c r="L88" i="152"/>
  <c r="K88" i="152"/>
  <c r="H88" i="152"/>
  <c r="A88" i="152"/>
  <c r="P87" i="152"/>
  <c r="N87" i="152"/>
  <c r="M87" i="152"/>
  <c r="L87" i="152"/>
  <c r="K87" i="152"/>
  <c r="H87" i="152"/>
  <c r="A87" i="152"/>
  <c r="P86" i="152"/>
  <c r="N86" i="152"/>
  <c r="M86" i="152"/>
  <c r="L86" i="152"/>
  <c r="K86" i="152"/>
  <c r="H86" i="152"/>
  <c r="A86" i="152"/>
  <c r="P85" i="152"/>
  <c r="N85" i="152"/>
  <c r="M85" i="152"/>
  <c r="L85" i="152"/>
  <c r="K85" i="152"/>
  <c r="H85" i="152"/>
  <c r="A85" i="152"/>
  <c r="P84" i="152"/>
  <c r="N84" i="152"/>
  <c r="M84" i="152"/>
  <c r="L84" i="152"/>
  <c r="K84" i="152"/>
  <c r="H84" i="152"/>
  <c r="A84" i="152"/>
  <c r="P83" i="152"/>
  <c r="N83" i="152"/>
  <c r="M83" i="152"/>
  <c r="L83" i="152"/>
  <c r="K83" i="152"/>
  <c r="H83" i="152"/>
  <c r="A83" i="152"/>
  <c r="P82" i="152"/>
  <c r="N82" i="152"/>
  <c r="M82" i="152"/>
  <c r="L82" i="152"/>
  <c r="K82" i="152"/>
  <c r="H82" i="152"/>
  <c r="A82" i="152"/>
  <c r="P81" i="152"/>
  <c r="N81" i="152"/>
  <c r="M81" i="152"/>
  <c r="L81" i="152"/>
  <c r="K81" i="152"/>
  <c r="H81" i="152"/>
  <c r="A81" i="152"/>
  <c r="P80" i="152"/>
  <c r="N80" i="152"/>
  <c r="M80" i="152"/>
  <c r="L80" i="152"/>
  <c r="K80" i="152"/>
  <c r="H80" i="152"/>
  <c r="A80" i="152"/>
  <c r="P79" i="152"/>
  <c r="N79" i="152"/>
  <c r="M79" i="152"/>
  <c r="L79" i="152"/>
  <c r="K79" i="152"/>
  <c r="H79" i="152"/>
  <c r="A79" i="152"/>
  <c r="P78" i="152"/>
  <c r="N78" i="152"/>
  <c r="M78" i="152"/>
  <c r="L78" i="152"/>
  <c r="K78" i="152"/>
  <c r="H78" i="152"/>
  <c r="A78" i="152"/>
  <c r="P77" i="152"/>
  <c r="N77" i="152"/>
  <c r="M77" i="152"/>
  <c r="L77" i="152"/>
  <c r="K77" i="152"/>
  <c r="H77" i="152"/>
  <c r="A77" i="152"/>
  <c r="P76" i="152"/>
  <c r="N76" i="152"/>
  <c r="M76" i="152"/>
  <c r="L76" i="152"/>
  <c r="K76" i="152"/>
  <c r="H76" i="152"/>
  <c r="A76" i="152"/>
  <c r="P75" i="152"/>
  <c r="N75" i="152"/>
  <c r="M75" i="152"/>
  <c r="L75" i="152"/>
  <c r="K75" i="152"/>
  <c r="H75" i="152"/>
  <c r="A75" i="152"/>
  <c r="P74" i="152"/>
  <c r="N74" i="152"/>
  <c r="M74" i="152"/>
  <c r="L74" i="152"/>
  <c r="K74" i="152"/>
  <c r="H74" i="152"/>
  <c r="A74" i="152"/>
  <c r="P73" i="152"/>
  <c r="N73" i="152"/>
  <c r="M73" i="152"/>
  <c r="L73" i="152"/>
  <c r="K73" i="152"/>
  <c r="H73" i="152"/>
  <c r="A73" i="152"/>
  <c r="P72" i="152"/>
  <c r="N72" i="152"/>
  <c r="M72" i="152"/>
  <c r="L72" i="152"/>
  <c r="K72" i="152"/>
  <c r="H72" i="152"/>
  <c r="A72" i="152"/>
  <c r="P71" i="152"/>
  <c r="N71" i="152"/>
  <c r="M71" i="152"/>
  <c r="L71" i="152"/>
  <c r="K71" i="152"/>
  <c r="H71" i="152"/>
  <c r="A71" i="152"/>
  <c r="P70" i="152"/>
  <c r="N70" i="152"/>
  <c r="M70" i="152"/>
  <c r="L70" i="152"/>
  <c r="K70" i="152"/>
  <c r="H70" i="152"/>
  <c r="A70" i="152"/>
  <c r="P69" i="152"/>
  <c r="N69" i="152"/>
  <c r="M69" i="152"/>
  <c r="L69" i="152"/>
  <c r="K69" i="152"/>
  <c r="H69" i="152"/>
  <c r="A69" i="152"/>
  <c r="P68" i="152"/>
  <c r="N68" i="152"/>
  <c r="M68" i="152"/>
  <c r="L68" i="152"/>
  <c r="K68" i="152"/>
  <c r="H68" i="152"/>
  <c r="A68" i="152"/>
  <c r="P67" i="152"/>
  <c r="N67" i="152"/>
  <c r="M67" i="152"/>
  <c r="L67" i="152"/>
  <c r="K67" i="152"/>
  <c r="H67" i="152"/>
  <c r="A67" i="152"/>
  <c r="P66" i="152"/>
  <c r="N66" i="152"/>
  <c r="M66" i="152"/>
  <c r="L66" i="152"/>
  <c r="K66" i="152"/>
  <c r="H66" i="152"/>
  <c r="A66" i="152"/>
  <c r="P65" i="152"/>
  <c r="N65" i="152"/>
  <c r="M65" i="152"/>
  <c r="L65" i="152"/>
  <c r="K65" i="152"/>
  <c r="H65" i="152"/>
  <c r="A65" i="152"/>
  <c r="P64" i="152"/>
  <c r="N64" i="152"/>
  <c r="M64" i="152"/>
  <c r="L64" i="152"/>
  <c r="K64" i="152"/>
  <c r="H64" i="152"/>
  <c r="A64" i="152"/>
  <c r="P63" i="152"/>
  <c r="N63" i="152"/>
  <c r="M63" i="152"/>
  <c r="L63" i="152"/>
  <c r="K63" i="152"/>
  <c r="H63" i="152"/>
  <c r="A63" i="152"/>
  <c r="P62" i="152"/>
  <c r="N62" i="152"/>
  <c r="M62" i="152"/>
  <c r="L62" i="152"/>
  <c r="K62" i="152"/>
  <c r="H62" i="152"/>
  <c r="A62" i="152"/>
  <c r="P61" i="152"/>
  <c r="N61" i="152"/>
  <c r="M61" i="152"/>
  <c r="L61" i="152"/>
  <c r="K61" i="152"/>
  <c r="H61" i="152"/>
  <c r="A61" i="152"/>
  <c r="P60" i="152"/>
  <c r="N60" i="152"/>
  <c r="M60" i="152"/>
  <c r="L60" i="152"/>
  <c r="K60" i="152"/>
  <c r="H60" i="152"/>
  <c r="A60" i="152"/>
  <c r="P59" i="152"/>
  <c r="N59" i="152"/>
  <c r="M59" i="152"/>
  <c r="L59" i="152"/>
  <c r="K59" i="152"/>
  <c r="H59" i="152"/>
  <c r="A59" i="152"/>
  <c r="P58" i="152"/>
  <c r="N58" i="152"/>
  <c r="M58" i="152"/>
  <c r="L58" i="152"/>
  <c r="K58" i="152"/>
  <c r="H58" i="152"/>
  <c r="A58" i="152"/>
  <c r="P57" i="152"/>
  <c r="N57" i="152"/>
  <c r="M57" i="152"/>
  <c r="L57" i="152"/>
  <c r="K57" i="152"/>
  <c r="H57" i="152"/>
  <c r="A57" i="152"/>
  <c r="P56" i="152"/>
  <c r="N56" i="152"/>
  <c r="M56" i="152"/>
  <c r="L56" i="152"/>
  <c r="K56" i="152"/>
  <c r="H56" i="152"/>
  <c r="A56" i="152"/>
  <c r="P55" i="152"/>
  <c r="N55" i="152"/>
  <c r="M55" i="152"/>
  <c r="L55" i="152"/>
  <c r="K55" i="152"/>
  <c r="H55" i="152"/>
  <c r="A55" i="152"/>
  <c r="P54" i="152"/>
  <c r="N54" i="152"/>
  <c r="M54" i="152"/>
  <c r="L54" i="152"/>
  <c r="K54" i="152"/>
  <c r="H54" i="152"/>
  <c r="A54" i="152"/>
  <c r="P53" i="152"/>
  <c r="N53" i="152"/>
  <c r="M53" i="152"/>
  <c r="L53" i="152"/>
  <c r="K53" i="152"/>
  <c r="H53" i="152"/>
  <c r="A53" i="152"/>
  <c r="P52" i="152"/>
  <c r="N52" i="152"/>
  <c r="M52" i="152"/>
  <c r="L52" i="152"/>
  <c r="K52" i="152"/>
  <c r="H52" i="152"/>
  <c r="A52" i="152"/>
  <c r="P51" i="152"/>
  <c r="N51" i="152"/>
  <c r="M51" i="152"/>
  <c r="L51" i="152"/>
  <c r="K51" i="152"/>
  <c r="H51" i="152"/>
  <c r="A51" i="152"/>
  <c r="P50" i="152"/>
  <c r="N50" i="152"/>
  <c r="M50" i="152"/>
  <c r="L50" i="152"/>
  <c r="K50" i="152"/>
  <c r="H50" i="152"/>
  <c r="A50" i="152"/>
  <c r="P49" i="152"/>
  <c r="N49" i="152"/>
  <c r="M49" i="152"/>
  <c r="L49" i="152"/>
  <c r="K49" i="152"/>
  <c r="H49" i="152"/>
  <c r="A49" i="152"/>
  <c r="P48" i="152"/>
  <c r="N48" i="152"/>
  <c r="M48" i="152"/>
  <c r="L48" i="152"/>
  <c r="K48" i="152"/>
  <c r="H48" i="152"/>
  <c r="A48" i="152"/>
  <c r="P47" i="152"/>
  <c r="N47" i="152"/>
  <c r="M47" i="152"/>
  <c r="L47" i="152"/>
  <c r="K47" i="152"/>
  <c r="H47" i="152"/>
  <c r="A47" i="152"/>
  <c r="P46" i="152"/>
  <c r="N46" i="152"/>
  <c r="M46" i="152"/>
  <c r="L46" i="152"/>
  <c r="K46" i="152"/>
  <c r="H46" i="152"/>
  <c r="A46" i="152"/>
  <c r="P45" i="152"/>
  <c r="N45" i="152"/>
  <c r="M45" i="152"/>
  <c r="L45" i="152"/>
  <c r="K45" i="152"/>
  <c r="H45" i="152"/>
  <c r="A45" i="152"/>
  <c r="P44" i="152"/>
  <c r="N44" i="152"/>
  <c r="M44" i="152"/>
  <c r="L44" i="152"/>
  <c r="K44" i="152"/>
  <c r="H44" i="152"/>
  <c r="A44" i="152"/>
  <c r="P43" i="152"/>
  <c r="N43" i="152"/>
  <c r="M43" i="152"/>
  <c r="L43" i="152"/>
  <c r="K43" i="152"/>
  <c r="H43" i="152"/>
  <c r="A43" i="152"/>
  <c r="P42" i="152"/>
  <c r="N42" i="152"/>
  <c r="M42" i="152"/>
  <c r="L42" i="152"/>
  <c r="K42" i="152"/>
  <c r="H42" i="152"/>
  <c r="A42" i="152"/>
  <c r="P41" i="152"/>
  <c r="N41" i="152"/>
  <c r="M41" i="152"/>
  <c r="L41" i="152"/>
  <c r="K41" i="152"/>
  <c r="H41" i="152"/>
  <c r="A41" i="152"/>
  <c r="P40" i="152"/>
  <c r="N40" i="152"/>
  <c r="M40" i="152"/>
  <c r="L40" i="152"/>
  <c r="K40" i="152"/>
  <c r="H40" i="152"/>
  <c r="A40" i="152"/>
  <c r="P39" i="152"/>
  <c r="N39" i="152"/>
  <c r="M39" i="152"/>
  <c r="L39" i="152"/>
  <c r="K39" i="152"/>
  <c r="H39" i="152"/>
  <c r="A39" i="152"/>
  <c r="P38" i="152"/>
  <c r="N38" i="152"/>
  <c r="M38" i="152"/>
  <c r="L38" i="152"/>
  <c r="K38" i="152"/>
  <c r="H38" i="152"/>
  <c r="A38" i="152"/>
  <c r="P37" i="152"/>
  <c r="N37" i="152"/>
  <c r="M37" i="152"/>
  <c r="L37" i="152"/>
  <c r="K37" i="152"/>
  <c r="H37" i="152"/>
  <c r="A37" i="152"/>
  <c r="P36" i="152"/>
  <c r="N36" i="152"/>
  <c r="M36" i="152"/>
  <c r="L36" i="152"/>
  <c r="K36" i="152"/>
  <c r="H36" i="152"/>
  <c r="A36" i="152"/>
  <c r="P35" i="152"/>
  <c r="N35" i="152"/>
  <c r="M35" i="152"/>
  <c r="L35" i="152"/>
  <c r="K35" i="152"/>
  <c r="H35" i="152"/>
  <c r="A35" i="152"/>
  <c r="P34" i="152"/>
  <c r="N34" i="152"/>
  <c r="M34" i="152"/>
  <c r="L34" i="152"/>
  <c r="K34" i="152"/>
  <c r="H34" i="152"/>
  <c r="A34" i="152"/>
  <c r="P33" i="152"/>
  <c r="N33" i="152"/>
  <c r="M33" i="152"/>
  <c r="L33" i="152"/>
  <c r="K33" i="152"/>
  <c r="H33" i="152"/>
  <c r="A33" i="152"/>
  <c r="P32" i="152"/>
  <c r="N32" i="152"/>
  <c r="M32" i="152"/>
  <c r="L32" i="152"/>
  <c r="K32" i="152"/>
  <c r="H32" i="152"/>
  <c r="A32" i="152"/>
  <c r="P31" i="152"/>
  <c r="N31" i="152"/>
  <c r="M31" i="152"/>
  <c r="L31" i="152"/>
  <c r="K31" i="152"/>
  <c r="H31" i="152"/>
  <c r="A31" i="152"/>
  <c r="P30" i="152"/>
  <c r="N30" i="152"/>
  <c r="M30" i="152"/>
  <c r="L30" i="152"/>
  <c r="K30" i="152"/>
  <c r="H30" i="152"/>
  <c r="A30" i="152"/>
  <c r="P29" i="152"/>
  <c r="N29" i="152"/>
  <c r="M29" i="152"/>
  <c r="L29" i="152"/>
  <c r="K29" i="152"/>
  <c r="H29" i="152"/>
  <c r="A29" i="152"/>
  <c r="P28" i="152"/>
  <c r="N28" i="152"/>
  <c r="M28" i="152"/>
  <c r="L28" i="152"/>
  <c r="K28" i="152"/>
  <c r="H28" i="152"/>
  <c r="A28" i="152"/>
  <c r="P27" i="152"/>
  <c r="N27" i="152"/>
  <c r="M27" i="152"/>
  <c r="L27" i="152"/>
  <c r="K27" i="152"/>
  <c r="H27" i="152"/>
  <c r="A27" i="152"/>
  <c r="P26" i="152"/>
  <c r="N26" i="152"/>
  <c r="M26" i="152"/>
  <c r="L26" i="152"/>
  <c r="K26" i="152"/>
  <c r="H26" i="152"/>
  <c r="A26" i="152"/>
  <c r="P25" i="152"/>
  <c r="N25" i="152"/>
  <c r="M25" i="152"/>
  <c r="L25" i="152"/>
  <c r="K25" i="152"/>
  <c r="H25" i="152"/>
  <c r="A25" i="152"/>
  <c r="P24" i="152"/>
  <c r="N24" i="152"/>
  <c r="M24" i="152"/>
  <c r="L24" i="152"/>
  <c r="K24" i="152"/>
  <c r="H24" i="152"/>
  <c r="A24" i="152"/>
  <c r="P23" i="152"/>
  <c r="N23" i="152"/>
  <c r="M23" i="152"/>
  <c r="L23" i="152"/>
  <c r="K23" i="152"/>
  <c r="H23" i="152"/>
  <c r="A23" i="152"/>
  <c r="P22" i="152"/>
  <c r="N22" i="152"/>
  <c r="M22" i="152"/>
  <c r="L22" i="152"/>
  <c r="K22" i="152"/>
  <c r="H22" i="152"/>
  <c r="A22" i="152"/>
  <c r="P21" i="152"/>
  <c r="N21" i="152"/>
  <c r="M21" i="152"/>
  <c r="L21" i="152"/>
  <c r="K21" i="152"/>
  <c r="H21" i="152"/>
  <c r="A21" i="152"/>
  <c r="P20" i="152"/>
  <c r="N20" i="152"/>
  <c r="M20" i="152"/>
  <c r="L20" i="152"/>
  <c r="K20" i="152"/>
  <c r="H20" i="152"/>
  <c r="A20" i="152"/>
  <c r="P19" i="152"/>
  <c r="N19" i="152"/>
  <c r="M19" i="152"/>
  <c r="L19" i="152"/>
  <c r="K19" i="152"/>
  <c r="H19" i="152"/>
  <c r="A19" i="152"/>
  <c r="P18" i="152"/>
  <c r="N18" i="152"/>
  <c r="M18" i="152"/>
  <c r="L18" i="152"/>
  <c r="K18" i="152"/>
  <c r="H18" i="152"/>
  <c r="A18" i="152"/>
  <c r="P17" i="152"/>
  <c r="N17" i="152"/>
  <c r="M17" i="152"/>
  <c r="L17" i="152"/>
  <c r="K17" i="152"/>
  <c r="H17" i="152"/>
  <c r="A17" i="152"/>
  <c r="P16" i="152"/>
  <c r="N16" i="152"/>
  <c r="M16" i="152"/>
  <c r="L16" i="152"/>
  <c r="K16" i="152"/>
  <c r="H16" i="152"/>
  <c r="A16" i="152"/>
  <c r="P15" i="152"/>
  <c r="N15" i="152"/>
  <c r="M15" i="152"/>
  <c r="L15" i="152"/>
  <c r="K15" i="152"/>
  <c r="H15" i="152"/>
  <c r="A15" i="152"/>
  <c r="N14" i="152"/>
  <c r="M14" i="152"/>
  <c r="L14" i="152"/>
  <c r="K14" i="152"/>
  <c r="H14" i="152"/>
  <c r="A14" i="152"/>
  <c r="N13" i="152"/>
  <c r="M13" i="152"/>
  <c r="L13" i="152"/>
  <c r="K13" i="152"/>
  <c r="H13" i="152"/>
  <c r="A13" i="152"/>
  <c r="N12" i="152"/>
  <c r="M12" i="152"/>
  <c r="L12" i="152"/>
  <c r="K12" i="152"/>
  <c r="H12" i="152"/>
  <c r="A12" i="152"/>
  <c r="N11" i="152"/>
  <c r="M11" i="152"/>
  <c r="L11" i="152"/>
  <c r="K11" i="152"/>
  <c r="H11" i="152"/>
  <c r="A11" i="152"/>
  <c r="N10" i="152"/>
  <c r="M10" i="152"/>
  <c r="L10" i="152"/>
  <c r="K10" i="152"/>
  <c r="H10" i="152"/>
  <c r="A10" i="152"/>
  <c r="N9" i="152"/>
  <c r="M9" i="152"/>
  <c r="L9" i="152"/>
  <c r="K9" i="152"/>
  <c r="H9" i="152"/>
  <c r="A9" i="152"/>
  <c r="N8" i="152"/>
  <c r="M8" i="152"/>
  <c r="L8" i="152"/>
  <c r="K8" i="152"/>
  <c r="H8" i="152"/>
  <c r="A8" i="152"/>
  <c r="N7" i="152"/>
  <c r="M7" i="152"/>
  <c r="L7" i="152"/>
  <c r="K7" i="152"/>
  <c r="H7" i="152"/>
  <c r="A7" i="152"/>
  <c r="N6" i="152"/>
  <c r="M6" i="152"/>
  <c r="L6" i="152"/>
  <c r="K6" i="152"/>
  <c r="H6" i="152"/>
  <c r="A6" i="152"/>
  <c r="N5" i="152"/>
  <c r="M5" i="152"/>
  <c r="L5" i="152"/>
  <c r="K5" i="152"/>
  <c r="H5" i="152"/>
  <c r="A5" i="152"/>
  <c r="N4" i="152"/>
  <c r="M4" i="152"/>
  <c r="L4" i="152"/>
  <c r="K4" i="152"/>
  <c r="H4" i="152"/>
  <c r="A4" i="152"/>
  <c r="N3" i="152"/>
  <c r="M3" i="152"/>
  <c r="L3" i="152"/>
  <c r="K3" i="152"/>
  <c r="H3" i="152"/>
  <c r="A3" i="152"/>
  <c r="N2" i="152"/>
  <c r="M2" i="152"/>
  <c r="L2" i="152"/>
  <c r="K2" i="152"/>
  <c r="H2" i="152"/>
  <c r="A2" i="152"/>
  <c r="F48" i="151"/>
  <c r="F47" i="151"/>
  <c r="B40" i="151"/>
  <c r="B41" i="151"/>
  <c r="B42" i="151"/>
  <c r="B43" i="151"/>
  <c r="B44" i="151"/>
  <c r="B45" i="151"/>
  <c r="B46" i="151"/>
  <c r="B47" i="151"/>
  <c r="C40" i="151"/>
  <c r="C41" i="151"/>
  <c r="C42" i="151"/>
  <c r="C43" i="151"/>
  <c r="C44" i="151"/>
  <c r="C45" i="151"/>
  <c r="C46" i="151"/>
  <c r="C47" i="151"/>
  <c r="F46" i="151"/>
  <c r="F45" i="151"/>
  <c r="F42" i="151"/>
  <c r="G42" i="151"/>
  <c r="F41" i="151"/>
  <c r="G41" i="151"/>
  <c r="F40" i="151"/>
  <c r="G40" i="151"/>
  <c r="B32" i="151"/>
  <c r="C19" i="151"/>
  <c r="C20" i="151"/>
  <c r="C21" i="151"/>
  <c r="C22" i="151"/>
  <c r="C23" i="151"/>
  <c r="C24" i="151"/>
  <c r="C25" i="151"/>
  <c r="C26" i="151"/>
  <c r="C27" i="151"/>
  <c r="C28" i="151"/>
  <c r="C29" i="151"/>
  <c r="C30" i="151"/>
  <c r="C31" i="151"/>
  <c r="C32" i="151"/>
  <c r="D32" i="151"/>
  <c r="I31" i="151"/>
  <c r="J31" i="151"/>
  <c r="F31" i="151"/>
  <c r="D31" i="151"/>
  <c r="I30" i="151"/>
  <c r="J30" i="151"/>
  <c r="F30" i="151"/>
  <c r="D30" i="151"/>
  <c r="I29" i="151"/>
  <c r="J29" i="151"/>
  <c r="F29" i="151"/>
  <c r="D29" i="151"/>
  <c r="I28" i="151"/>
  <c r="J28" i="151"/>
  <c r="F28" i="151"/>
  <c r="D28" i="151"/>
  <c r="I27" i="151"/>
  <c r="J27" i="151"/>
  <c r="F27" i="151"/>
  <c r="D27" i="151"/>
  <c r="I26" i="151"/>
  <c r="J26" i="151"/>
  <c r="F26" i="151"/>
  <c r="D26" i="151"/>
  <c r="I25" i="151"/>
  <c r="J25" i="151"/>
  <c r="F25" i="151"/>
  <c r="D25" i="151"/>
  <c r="I24" i="151"/>
  <c r="J24" i="151"/>
  <c r="F24" i="151"/>
  <c r="D24" i="151"/>
  <c r="I23" i="151"/>
  <c r="J23" i="151"/>
  <c r="F23" i="151"/>
  <c r="D23" i="151"/>
  <c r="I22" i="151"/>
  <c r="J22" i="151"/>
  <c r="F22" i="151"/>
  <c r="D22" i="151"/>
  <c r="I21" i="151"/>
  <c r="J21" i="151"/>
  <c r="F21" i="151"/>
  <c r="D21" i="151"/>
  <c r="R20" i="151"/>
  <c r="P20" i="151"/>
  <c r="O20" i="151"/>
  <c r="M20" i="151"/>
  <c r="I20" i="151"/>
  <c r="J20" i="151"/>
  <c r="F20" i="151"/>
  <c r="D20" i="151"/>
  <c r="R19" i="151"/>
  <c r="P19" i="151"/>
  <c r="O19" i="151"/>
  <c r="M19" i="151"/>
  <c r="I19" i="151"/>
  <c r="J19" i="151"/>
  <c r="F19" i="151"/>
  <c r="D19" i="151"/>
  <c r="R18" i="151"/>
  <c r="P18" i="151"/>
  <c r="O18" i="151"/>
  <c r="M18" i="151"/>
  <c r="I18" i="151"/>
  <c r="J18" i="151"/>
  <c r="F18" i="151"/>
  <c r="C18" i="151"/>
  <c r="D18" i="151"/>
  <c r="R17" i="151"/>
  <c r="P17" i="151"/>
  <c r="O17" i="151"/>
  <c r="M17" i="151"/>
  <c r="I17" i="151"/>
  <c r="J17" i="151"/>
  <c r="F17" i="151"/>
  <c r="C17" i="151"/>
  <c r="D17" i="151"/>
  <c r="V16" i="151"/>
  <c r="R16" i="151"/>
  <c r="P16" i="151"/>
  <c r="O16" i="151"/>
  <c r="M16" i="151"/>
  <c r="V15" i="151"/>
  <c r="R15" i="151"/>
  <c r="P15" i="151"/>
  <c r="O15" i="151"/>
  <c r="M15" i="151"/>
  <c r="V14" i="151"/>
  <c r="R14" i="151"/>
  <c r="P14" i="151"/>
  <c r="O14" i="151"/>
  <c r="M14" i="151"/>
  <c r="V13" i="151"/>
  <c r="R13" i="151"/>
  <c r="P13" i="151"/>
  <c r="O13" i="151"/>
  <c r="M13" i="151"/>
  <c r="V12" i="151"/>
  <c r="R12" i="151"/>
  <c r="P12" i="151"/>
  <c r="O12" i="151"/>
  <c r="M12" i="151"/>
  <c r="V11" i="151"/>
  <c r="R11" i="151"/>
  <c r="P11" i="151"/>
  <c r="O11" i="151"/>
  <c r="M11" i="151"/>
  <c r="V10" i="151"/>
  <c r="R10" i="151"/>
  <c r="P10" i="151"/>
  <c r="O10" i="151"/>
  <c r="M10" i="151"/>
  <c r="V9" i="151"/>
  <c r="R9" i="151"/>
  <c r="P9" i="151"/>
  <c r="O9" i="151"/>
  <c r="M9" i="151"/>
  <c r="V8" i="151"/>
  <c r="R8" i="151"/>
  <c r="P8" i="151"/>
  <c r="O8" i="151"/>
  <c r="M8" i="151"/>
  <c r="V7" i="151"/>
  <c r="R7" i="151"/>
  <c r="P7" i="151"/>
  <c r="O7" i="151"/>
  <c r="M7" i="151"/>
  <c r="V6" i="151"/>
  <c r="R6" i="151"/>
  <c r="P6" i="151"/>
  <c r="O6" i="151"/>
  <c r="M6" i="151"/>
  <c r="V5" i="151"/>
  <c r="R5" i="151"/>
  <c r="P5" i="151"/>
  <c r="O5" i="151"/>
  <c r="M5" i="151"/>
  <c r="V4" i="151"/>
  <c r="R4" i="151"/>
  <c r="P4" i="151"/>
  <c r="O4" i="151"/>
  <c r="M4" i="151"/>
  <c r="V3" i="151"/>
  <c r="R3" i="151"/>
  <c r="P3" i="151"/>
  <c r="O3" i="151"/>
  <c r="M3" i="151"/>
  <c r="V2" i="151"/>
  <c r="P283" i="150"/>
  <c r="N283" i="150"/>
  <c r="M283" i="150"/>
  <c r="L283" i="150"/>
  <c r="K283" i="150"/>
  <c r="H283" i="150"/>
  <c r="A283" i="150"/>
  <c r="P282" i="150"/>
  <c r="N282" i="150"/>
  <c r="M282" i="150"/>
  <c r="L282" i="150"/>
  <c r="K282" i="150"/>
  <c r="H282" i="150"/>
  <c r="A282" i="150"/>
  <c r="P281" i="150"/>
  <c r="N281" i="150"/>
  <c r="M281" i="150"/>
  <c r="L281" i="150"/>
  <c r="K281" i="150"/>
  <c r="H281" i="150"/>
  <c r="A281" i="150"/>
  <c r="P280" i="150"/>
  <c r="N280" i="150"/>
  <c r="M280" i="150"/>
  <c r="L280" i="150"/>
  <c r="K280" i="150"/>
  <c r="H280" i="150"/>
  <c r="A280" i="150"/>
  <c r="P279" i="150"/>
  <c r="N279" i="150"/>
  <c r="M279" i="150"/>
  <c r="L279" i="150"/>
  <c r="K279" i="150"/>
  <c r="H279" i="150"/>
  <c r="A279" i="150"/>
  <c r="P278" i="150"/>
  <c r="N278" i="150"/>
  <c r="M278" i="150"/>
  <c r="L278" i="150"/>
  <c r="K278" i="150"/>
  <c r="H278" i="150"/>
  <c r="A278" i="150"/>
  <c r="P277" i="150"/>
  <c r="N277" i="150"/>
  <c r="M277" i="150"/>
  <c r="L277" i="150"/>
  <c r="K277" i="150"/>
  <c r="H277" i="150"/>
  <c r="A277" i="150"/>
  <c r="P276" i="150"/>
  <c r="N276" i="150"/>
  <c r="M276" i="150"/>
  <c r="L276" i="150"/>
  <c r="K276" i="150"/>
  <c r="H276" i="150"/>
  <c r="A276" i="150"/>
  <c r="P275" i="150"/>
  <c r="N275" i="150"/>
  <c r="M275" i="150"/>
  <c r="L275" i="150"/>
  <c r="K275" i="150"/>
  <c r="H275" i="150"/>
  <c r="A275" i="150"/>
  <c r="P274" i="150"/>
  <c r="N274" i="150"/>
  <c r="M274" i="150"/>
  <c r="L274" i="150"/>
  <c r="K274" i="150"/>
  <c r="H274" i="150"/>
  <c r="A274" i="150"/>
  <c r="P273" i="150"/>
  <c r="N273" i="150"/>
  <c r="M273" i="150"/>
  <c r="L273" i="150"/>
  <c r="K273" i="150"/>
  <c r="H273" i="150"/>
  <c r="A273" i="150"/>
  <c r="P272" i="150"/>
  <c r="N272" i="150"/>
  <c r="M272" i="150"/>
  <c r="L272" i="150"/>
  <c r="K272" i="150"/>
  <c r="H272" i="150"/>
  <c r="A272" i="150"/>
  <c r="P271" i="150"/>
  <c r="N271" i="150"/>
  <c r="M271" i="150"/>
  <c r="L271" i="150"/>
  <c r="K271" i="150"/>
  <c r="H271" i="150"/>
  <c r="A271" i="150"/>
  <c r="P270" i="150"/>
  <c r="N270" i="150"/>
  <c r="M270" i="150"/>
  <c r="L270" i="150"/>
  <c r="K270" i="150"/>
  <c r="H270" i="150"/>
  <c r="A270" i="150"/>
  <c r="P269" i="150"/>
  <c r="N269" i="150"/>
  <c r="M269" i="150"/>
  <c r="L269" i="150"/>
  <c r="K269" i="150"/>
  <c r="H269" i="150"/>
  <c r="A269" i="150"/>
  <c r="P268" i="150"/>
  <c r="N268" i="150"/>
  <c r="M268" i="150"/>
  <c r="L268" i="150"/>
  <c r="K268" i="150"/>
  <c r="H268" i="150"/>
  <c r="A268" i="150"/>
  <c r="P267" i="150"/>
  <c r="N267" i="150"/>
  <c r="M267" i="150"/>
  <c r="L267" i="150"/>
  <c r="K267" i="150"/>
  <c r="H267" i="150"/>
  <c r="A267" i="150"/>
  <c r="P266" i="150"/>
  <c r="N266" i="150"/>
  <c r="M266" i="150"/>
  <c r="L266" i="150"/>
  <c r="K266" i="150"/>
  <c r="H266" i="150"/>
  <c r="A266" i="150"/>
  <c r="P265" i="150"/>
  <c r="N265" i="150"/>
  <c r="M265" i="150"/>
  <c r="L265" i="150"/>
  <c r="K265" i="150"/>
  <c r="H265" i="150"/>
  <c r="A265" i="150"/>
  <c r="P264" i="150"/>
  <c r="N264" i="150"/>
  <c r="M264" i="150"/>
  <c r="L264" i="150"/>
  <c r="K264" i="150"/>
  <c r="H264" i="150"/>
  <c r="A264" i="150"/>
  <c r="P263" i="150"/>
  <c r="N263" i="150"/>
  <c r="M263" i="150"/>
  <c r="L263" i="150"/>
  <c r="K263" i="150"/>
  <c r="H263" i="150"/>
  <c r="A263" i="150"/>
  <c r="P262" i="150"/>
  <c r="N262" i="150"/>
  <c r="M262" i="150"/>
  <c r="L262" i="150"/>
  <c r="K262" i="150"/>
  <c r="H262" i="150"/>
  <c r="A262" i="150"/>
  <c r="P261" i="150"/>
  <c r="N261" i="150"/>
  <c r="M261" i="150"/>
  <c r="L261" i="150"/>
  <c r="K261" i="150"/>
  <c r="H261" i="150"/>
  <c r="A261" i="150"/>
  <c r="P260" i="150"/>
  <c r="N260" i="150"/>
  <c r="M260" i="150"/>
  <c r="L260" i="150"/>
  <c r="K260" i="150"/>
  <c r="H260" i="150"/>
  <c r="A260" i="150"/>
  <c r="P259" i="150"/>
  <c r="N259" i="150"/>
  <c r="M259" i="150"/>
  <c r="L259" i="150"/>
  <c r="K259" i="150"/>
  <c r="H259" i="150"/>
  <c r="A259" i="150"/>
  <c r="P258" i="150"/>
  <c r="N258" i="150"/>
  <c r="M258" i="150"/>
  <c r="L258" i="150"/>
  <c r="K258" i="150"/>
  <c r="H258" i="150"/>
  <c r="A258" i="150"/>
  <c r="P257" i="150"/>
  <c r="N257" i="150"/>
  <c r="M257" i="150"/>
  <c r="L257" i="150"/>
  <c r="K257" i="150"/>
  <c r="H257" i="150"/>
  <c r="A257" i="150"/>
  <c r="P256" i="150"/>
  <c r="N256" i="150"/>
  <c r="M256" i="150"/>
  <c r="L256" i="150"/>
  <c r="K256" i="150"/>
  <c r="H256" i="150"/>
  <c r="A256" i="150"/>
  <c r="P255" i="150"/>
  <c r="N255" i="150"/>
  <c r="M255" i="150"/>
  <c r="L255" i="150"/>
  <c r="K255" i="150"/>
  <c r="H255" i="150"/>
  <c r="A255" i="150"/>
  <c r="P254" i="150"/>
  <c r="N254" i="150"/>
  <c r="M254" i="150"/>
  <c r="L254" i="150"/>
  <c r="K254" i="150"/>
  <c r="H254" i="150"/>
  <c r="A254" i="150"/>
  <c r="P253" i="150"/>
  <c r="N253" i="150"/>
  <c r="M253" i="150"/>
  <c r="L253" i="150"/>
  <c r="K253" i="150"/>
  <c r="H253" i="150"/>
  <c r="A253" i="150"/>
  <c r="P252" i="150"/>
  <c r="N252" i="150"/>
  <c r="M252" i="150"/>
  <c r="L252" i="150"/>
  <c r="K252" i="150"/>
  <c r="H252" i="150"/>
  <c r="A252" i="150"/>
  <c r="P251" i="150"/>
  <c r="N251" i="150"/>
  <c r="M251" i="150"/>
  <c r="L251" i="150"/>
  <c r="K251" i="150"/>
  <c r="H251" i="150"/>
  <c r="A251" i="150"/>
  <c r="P250" i="150"/>
  <c r="N250" i="150"/>
  <c r="M250" i="150"/>
  <c r="L250" i="150"/>
  <c r="K250" i="150"/>
  <c r="H250" i="150"/>
  <c r="A250" i="150"/>
  <c r="P249" i="150"/>
  <c r="N249" i="150"/>
  <c r="M249" i="150"/>
  <c r="L249" i="150"/>
  <c r="K249" i="150"/>
  <c r="H249" i="150"/>
  <c r="A249" i="150"/>
  <c r="P248" i="150"/>
  <c r="N248" i="150"/>
  <c r="M248" i="150"/>
  <c r="L248" i="150"/>
  <c r="K248" i="150"/>
  <c r="H248" i="150"/>
  <c r="A248" i="150"/>
  <c r="P247" i="150"/>
  <c r="N247" i="150"/>
  <c r="M247" i="150"/>
  <c r="L247" i="150"/>
  <c r="K247" i="150"/>
  <c r="H247" i="150"/>
  <c r="A247" i="150"/>
  <c r="P246" i="150"/>
  <c r="N246" i="150"/>
  <c r="M246" i="150"/>
  <c r="L246" i="150"/>
  <c r="K246" i="150"/>
  <c r="H246" i="150"/>
  <c r="A246" i="150"/>
  <c r="P245" i="150"/>
  <c r="N245" i="150"/>
  <c r="M245" i="150"/>
  <c r="L245" i="150"/>
  <c r="K245" i="150"/>
  <c r="H245" i="150"/>
  <c r="A245" i="150"/>
  <c r="P244" i="150"/>
  <c r="N244" i="150"/>
  <c r="M244" i="150"/>
  <c r="L244" i="150"/>
  <c r="K244" i="150"/>
  <c r="H244" i="150"/>
  <c r="A244" i="150"/>
  <c r="P243" i="150"/>
  <c r="N243" i="150"/>
  <c r="M243" i="150"/>
  <c r="L243" i="150"/>
  <c r="K243" i="150"/>
  <c r="H243" i="150"/>
  <c r="A243" i="150"/>
  <c r="P242" i="150"/>
  <c r="N242" i="150"/>
  <c r="M242" i="150"/>
  <c r="L242" i="150"/>
  <c r="K242" i="150"/>
  <c r="H242" i="150"/>
  <c r="A242" i="150"/>
  <c r="P241" i="150"/>
  <c r="N241" i="150"/>
  <c r="M241" i="150"/>
  <c r="L241" i="150"/>
  <c r="K241" i="150"/>
  <c r="H241" i="150"/>
  <c r="A241" i="150"/>
  <c r="P240" i="150"/>
  <c r="N240" i="150"/>
  <c r="M240" i="150"/>
  <c r="L240" i="150"/>
  <c r="K240" i="150"/>
  <c r="H240" i="150"/>
  <c r="A240" i="150"/>
  <c r="P239" i="150"/>
  <c r="N239" i="150"/>
  <c r="M239" i="150"/>
  <c r="L239" i="150"/>
  <c r="K239" i="150"/>
  <c r="H239" i="150"/>
  <c r="A239" i="150"/>
  <c r="P238" i="150"/>
  <c r="N238" i="150"/>
  <c r="M238" i="150"/>
  <c r="L238" i="150"/>
  <c r="K238" i="150"/>
  <c r="H238" i="150"/>
  <c r="A238" i="150"/>
  <c r="P237" i="150"/>
  <c r="N237" i="150"/>
  <c r="M237" i="150"/>
  <c r="L237" i="150"/>
  <c r="K237" i="150"/>
  <c r="H237" i="150"/>
  <c r="A237" i="150"/>
  <c r="P236" i="150"/>
  <c r="N236" i="150"/>
  <c r="M236" i="150"/>
  <c r="L236" i="150"/>
  <c r="K236" i="150"/>
  <c r="H236" i="150"/>
  <c r="A236" i="150"/>
  <c r="P235" i="150"/>
  <c r="N235" i="150"/>
  <c r="M235" i="150"/>
  <c r="L235" i="150"/>
  <c r="K235" i="150"/>
  <c r="H235" i="150"/>
  <c r="A235" i="150"/>
  <c r="P234" i="150"/>
  <c r="N234" i="150"/>
  <c r="M234" i="150"/>
  <c r="L234" i="150"/>
  <c r="K234" i="150"/>
  <c r="H234" i="150"/>
  <c r="A234" i="150"/>
  <c r="P233" i="150"/>
  <c r="N233" i="150"/>
  <c r="M233" i="150"/>
  <c r="L233" i="150"/>
  <c r="K233" i="150"/>
  <c r="H233" i="150"/>
  <c r="A233" i="150"/>
  <c r="P232" i="150"/>
  <c r="N232" i="150"/>
  <c r="M232" i="150"/>
  <c r="L232" i="150"/>
  <c r="K232" i="150"/>
  <c r="H232" i="150"/>
  <c r="A232" i="150"/>
  <c r="P231" i="150"/>
  <c r="N231" i="150"/>
  <c r="M231" i="150"/>
  <c r="L231" i="150"/>
  <c r="K231" i="150"/>
  <c r="H231" i="150"/>
  <c r="A231" i="150"/>
  <c r="P230" i="150"/>
  <c r="N230" i="150"/>
  <c r="M230" i="150"/>
  <c r="L230" i="150"/>
  <c r="K230" i="150"/>
  <c r="H230" i="150"/>
  <c r="A230" i="150"/>
  <c r="P229" i="150"/>
  <c r="N229" i="150"/>
  <c r="M229" i="150"/>
  <c r="L229" i="150"/>
  <c r="K229" i="150"/>
  <c r="H229" i="150"/>
  <c r="A229" i="150"/>
  <c r="P228" i="150"/>
  <c r="N228" i="150"/>
  <c r="M228" i="150"/>
  <c r="L228" i="150"/>
  <c r="K228" i="150"/>
  <c r="H228" i="150"/>
  <c r="A228" i="150"/>
  <c r="P227" i="150"/>
  <c r="N227" i="150"/>
  <c r="M227" i="150"/>
  <c r="L227" i="150"/>
  <c r="K227" i="150"/>
  <c r="H227" i="150"/>
  <c r="A227" i="150"/>
  <c r="P226" i="150"/>
  <c r="N226" i="150"/>
  <c r="M226" i="150"/>
  <c r="L226" i="150"/>
  <c r="K226" i="150"/>
  <c r="H226" i="150"/>
  <c r="A226" i="150"/>
  <c r="P225" i="150"/>
  <c r="N225" i="150"/>
  <c r="M225" i="150"/>
  <c r="L225" i="150"/>
  <c r="K225" i="150"/>
  <c r="H225" i="150"/>
  <c r="A225" i="150"/>
  <c r="P224" i="150"/>
  <c r="N224" i="150"/>
  <c r="M224" i="150"/>
  <c r="L224" i="150"/>
  <c r="K224" i="150"/>
  <c r="H224" i="150"/>
  <c r="A224" i="150"/>
  <c r="P223" i="150"/>
  <c r="N223" i="150"/>
  <c r="M223" i="150"/>
  <c r="L223" i="150"/>
  <c r="K223" i="150"/>
  <c r="H223" i="150"/>
  <c r="A223" i="150"/>
  <c r="P222" i="150"/>
  <c r="N222" i="150"/>
  <c r="M222" i="150"/>
  <c r="L222" i="150"/>
  <c r="K222" i="150"/>
  <c r="H222" i="150"/>
  <c r="A222" i="150"/>
  <c r="P221" i="150"/>
  <c r="N221" i="150"/>
  <c r="M221" i="150"/>
  <c r="L221" i="150"/>
  <c r="K221" i="150"/>
  <c r="H221" i="150"/>
  <c r="A221" i="150"/>
  <c r="P220" i="150"/>
  <c r="N220" i="150"/>
  <c r="M220" i="150"/>
  <c r="L220" i="150"/>
  <c r="K220" i="150"/>
  <c r="H220" i="150"/>
  <c r="A220" i="150"/>
  <c r="P219" i="150"/>
  <c r="N219" i="150"/>
  <c r="M219" i="150"/>
  <c r="L219" i="150"/>
  <c r="K219" i="150"/>
  <c r="H219" i="150"/>
  <c r="A219" i="150"/>
  <c r="P218" i="150"/>
  <c r="N218" i="150"/>
  <c r="M218" i="150"/>
  <c r="L218" i="150"/>
  <c r="K218" i="150"/>
  <c r="H218" i="150"/>
  <c r="A218" i="150"/>
  <c r="P217" i="150"/>
  <c r="N217" i="150"/>
  <c r="M217" i="150"/>
  <c r="L217" i="150"/>
  <c r="K217" i="150"/>
  <c r="H217" i="150"/>
  <c r="A217" i="150"/>
  <c r="P216" i="150"/>
  <c r="N216" i="150"/>
  <c r="M216" i="150"/>
  <c r="L216" i="150"/>
  <c r="K216" i="150"/>
  <c r="H216" i="150"/>
  <c r="A216" i="150"/>
  <c r="P215" i="150"/>
  <c r="N215" i="150"/>
  <c r="M215" i="150"/>
  <c r="L215" i="150"/>
  <c r="K215" i="150"/>
  <c r="H215" i="150"/>
  <c r="A215" i="150"/>
  <c r="P214" i="150"/>
  <c r="N214" i="150"/>
  <c r="M214" i="150"/>
  <c r="L214" i="150"/>
  <c r="K214" i="150"/>
  <c r="H214" i="150"/>
  <c r="A214" i="150"/>
  <c r="P213" i="150"/>
  <c r="N213" i="150"/>
  <c r="M213" i="150"/>
  <c r="L213" i="150"/>
  <c r="K213" i="150"/>
  <c r="H213" i="150"/>
  <c r="A213" i="150"/>
  <c r="P212" i="150"/>
  <c r="N212" i="150"/>
  <c r="M212" i="150"/>
  <c r="L212" i="150"/>
  <c r="K212" i="150"/>
  <c r="H212" i="150"/>
  <c r="A212" i="150"/>
  <c r="P211" i="150"/>
  <c r="N211" i="150"/>
  <c r="M211" i="150"/>
  <c r="L211" i="150"/>
  <c r="K211" i="150"/>
  <c r="H211" i="150"/>
  <c r="A211" i="150"/>
  <c r="P210" i="150"/>
  <c r="N210" i="150"/>
  <c r="M210" i="150"/>
  <c r="L210" i="150"/>
  <c r="K210" i="150"/>
  <c r="H210" i="150"/>
  <c r="A210" i="150"/>
  <c r="P209" i="150"/>
  <c r="N209" i="150"/>
  <c r="M209" i="150"/>
  <c r="L209" i="150"/>
  <c r="K209" i="150"/>
  <c r="H209" i="150"/>
  <c r="A209" i="150"/>
  <c r="P208" i="150"/>
  <c r="N208" i="150"/>
  <c r="M208" i="150"/>
  <c r="L208" i="150"/>
  <c r="K208" i="150"/>
  <c r="H208" i="150"/>
  <c r="A208" i="150"/>
  <c r="P207" i="150"/>
  <c r="N207" i="150"/>
  <c r="M207" i="150"/>
  <c r="L207" i="150"/>
  <c r="K207" i="150"/>
  <c r="H207" i="150"/>
  <c r="A207" i="150"/>
  <c r="P206" i="150"/>
  <c r="N206" i="150"/>
  <c r="M206" i="150"/>
  <c r="L206" i="150"/>
  <c r="K206" i="150"/>
  <c r="H206" i="150"/>
  <c r="A206" i="150"/>
  <c r="P205" i="150"/>
  <c r="N205" i="150"/>
  <c r="M205" i="150"/>
  <c r="L205" i="150"/>
  <c r="K205" i="150"/>
  <c r="H205" i="150"/>
  <c r="A205" i="150"/>
  <c r="P204" i="150"/>
  <c r="N204" i="150"/>
  <c r="M204" i="150"/>
  <c r="L204" i="150"/>
  <c r="K204" i="150"/>
  <c r="H204" i="150"/>
  <c r="A204" i="150"/>
  <c r="P203" i="150"/>
  <c r="N203" i="150"/>
  <c r="M203" i="150"/>
  <c r="L203" i="150"/>
  <c r="K203" i="150"/>
  <c r="H203" i="150"/>
  <c r="A203" i="150"/>
  <c r="P202" i="150"/>
  <c r="N202" i="150"/>
  <c r="M202" i="150"/>
  <c r="L202" i="150"/>
  <c r="K202" i="150"/>
  <c r="H202" i="150"/>
  <c r="A202" i="150"/>
  <c r="P201" i="150"/>
  <c r="N201" i="150"/>
  <c r="M201" i="150"/>
  <c r="L201" i="150"/>
  <c r="K201" i="150"/>
  <c r="H201" i="150"/>
  <c r="A201" i="150"/>
  <c r="P200" i="150"/>
  <c r="N200" i="150"/>
  <c r="M200" i="150"/>
  <c r="L200" i="150"/>
  <c r="K200" i="150"/>
  <c r="H200" i="150"/>
  <c r="A200" i="150"/>
  <c r="P199" i="150"/>
  <c r="N199" i="150"/>
  <c r="M199" i="150"/>
  <c r="L199" i="150"/>
  <c r="K199" i="150"/>
  <c r="H199" i="150"/>
  <c r="A199" i="150"/>
  <c r="P198" i="150"/>
  <c r="N198" i="150"/>
  <c r="M198" i="150"/>
  <c r="L198" i="150"/>
  <c r="K198" i="150"/>
  <c r="H198" i="150"/>
  <c r="A198" i="150"/>
  <c r="P197" i="150"/>
  <c r="N197" i="150"/>
  <c r="M197" i="150"/>
  <c r="L197" i="150"/>
  <c r="K197" i="150"/>
  <c r="H197" i="150"/>
  <c r="A197" i="150"/>
  <c r="P196" i="150"/>
  <c r="N196" i="150"/>
  <c r="M196" i="150"/>
  <c r="L196" i="150"/>
  <c r="K196" i="150"/>
  <c r="H196" i="150"/>
  <c r="A196" i="150"/>
  <c r="P195" i="150"/>
  <c r="N195" i="150"/>
  <c r="M195" i="150"/>
  <c r="L195" i="150"/>
  <c r="K195" i="150"/>
  <c r="H195" i="150"/>
  <c r="A195" i="150"/>
  <c r="P194" i="150"/>
  <c r="N194" i="150"/>
  <c r="M194" i="150"/>
  <c r="L194" i="150"/>
  <c r="K194" i="150"/>
  <c r="H194" i="150"/>
  <c r="A194" i="150"/>
  <c r="P193" i="150"/>
  <c r="N193" i="150"/>
  <c r="M193" i="150"/>
  <c r="L193" i="150"/>
  <c r="K193" i="150"/>
  <c r="H193" i="150"/>
  <c r="A193" i="150"/>
  <c r="P192" i="150"/>
  <c r="N192" i="150"/>
  <c r="M192" i="150"/>
  <c r="L192" i="150"/>
  <c r="K192" i="150"/>
  <c r="H192" i="150"/>
  <c r="A192" i="150"/>
  <c r="P191" i="150"/>
  <c r="N191" i="150"/>
  <c r="M191" i="150"/>
  <c r="L191" i="150"/>
  <c r="K191" i="150"/>
  <c r="H191" i="150"/>
  <c r="A191" i="150"/>
  <c r="P190" i="150"/>
  <c r="N190" i="150"/>
  <c r="M190" i="150"/>
  <c r="L190" i="150"/>
  <c r="K190" i="150"/>
  <c r="H190" i="150"/>
  <c r="A190" i="150"/>
  <c r="P189" i="150"/>
  <c r="N189" i="150"/>
  <c r="M189" i="150"/>
  <c r="L189" i="150"/>
  <c r="K189" i="150"/>
  <c r="H189" i="150"/>
  <c r="A189" i="150"/>
  <c r="P188" i="150"/>
  <c r="N188" i="150"/>
  <c r="M188" i="150"/>
  <c r="L188" i="150"/>
  <c r="K188" i="150"/>
  <c r="H188" i="150"/>
  <c r="A188" i="150"/>
  <c r="P187" i="150"/>
  <c r="N187" i="150"/>
  <c r="M187" i="150"/>
  <c r="L187" i="150"/>
  <c r="K187" i="150"/>
  <c r="H187" i="150"/>
  <c r="A187" i="150"/>
  <c r="P186" i="150"/>
  <c r="N186" i="150"/>
  <c r="M186" i="150"/>
  <c r="L186" i="150"/>
  <c r="K186" i="150"/>
  <c r="H186" i="150"/>
  <c r="A186" i="150"/>
  <c r="P185" i="150"/>
  <c r="N185" i="150"/>
  <c r="M185" i="150"/>
  <c r="L185" i="150"/>
  <c r="K185" i="150"/>
  <c r="H185" i="150"/>
  <c r="A185" i="150"/>
  <c r="P184" i="150"/>
  <c r="N184" i="150"/>
  <c r="M184" i="150"/>
  <c r="L184" i="150"/>
  <c r="K184" i="150"/>
  <c r="H184" i="150"/>
  <c r="A184" i="150"/>
  <c r="P183" i="150"/>
  <c r="N183" i="150"/>
  <c r="M183" i="150"/>
  <c r="L183" i="150"/>
  <c r="K183" i="150"/>
  <c r="H183" i="150"/>
  <c r="A183" i="150"/>
  <c r="P182" i="150"/>
  <c r="N182" i="150"/>
  <c r="M182" i="150"/>
  <c r="L182" i="150"/>
  <c r="K182" i="150"/>
  <c r="H182" i="150"/>
  <c r="A182" i="150"/>
  <c r="P181" i="150"/>
  <c r="N181" i="150"/>
  <c r="M181" i="150"/>
  <c r="L181" i="150"/>
  <c r="K181" i="150"/>
  <c r="H181" i="150"/>
  <c r="A181" i="150"/>
  <c r="P180" i="150"/>
  <c r="N180" i="150"/>
  <c r="M180" i="150"/>
  <c r="L180" i="150"/>
  <c r="K180" i="150"/>
  <c r="H180" i="150"/>
  <c r="A180" i="150"/>
  <c r="P179" i="150"/>
  <c r="N179" i="150"/>
  <c r="M179" i="150"/>
  <c r="L179" i="150"/>
  <c r="K179" i="150"/>
  <c r="H179" i="150"/>
  <c r="A179" i="150"/>
  <c r="P178" i="150"/>
  <c r="N178" i="150"/>
  <c r="M178" i="150"/>
  <c r="L178" i="150"/>
  <c r="K178" i="150"/>
  <c r="H178" i="150"/>
  <c r="A178" i="150"/>
  <c r="P177" i="150"/>
  <c r="N177" i="150"/>
  <c r="M177" i="150"/>
  <c r="L177" i="150"/>
  <c r="K177" i="150"/>
  <c r="H177" i="150"/>
  <c r="A177" i="150"/>
  <c r="P176" i="150"/>
  <c r="N176" i="150"/>
  <c r="M176" i="150"/>
  <c r="L176" i="150"/>
  <c r="K176" i="150"/>
  <c r="H176" i="150"/>
  <c r="A176" i="150"/>
  <c r="P175" i="150"/>
  <c r="N175" i="150"/>
  <c r="M175" i="150"/>
  <c r="L175" i="150"/>
  <c r="K175" i="150"/>
  <c r="H175" i="150"/>
  <c r="A175" i="150"/>
  <c r="P174" i="150"/>
  <c r="N174" i="150"/>
  <c r="M174" i="150"/>
  <c r="L174" i="150"/>
  <c r="K174" i="150"/>
  <c r="H174" i="150"/>
  <c r="A174" i="150"/>
  <c r="P173" i="150"/>
  <c r="N173" i="150"/>
  <c r="M173" i="150"/>
  <c r="L173" i="150"/>
  <c r="K173" i="150"/>
  <c r="H173" i="150"/>
  <c r="A173" i="150"/>
  <c r="P172" i="150"/>
  <c r="N172" i="150"/>
  <c r="M172" i="150"/>
  <c r="L172" i="150"/>
  <c r="K172" i="150"/>
  <c r="H172" i="150"/>
  <c r="A172" i="150"/>
  <c r="P171" i="150"/>
  <c r="N171" i="150"/>
  <c r="M171" i="150"/>
  <c r="L171" i="150"/>
  <c r="K171" i="150"/>
  <c r="H171" i="150"/>
  <c r="A171" i="150"/>
  <c r="P170" i="150"/>
  <c r="N170" i="150"/>
  <c r="M170" i="150"/>
  <c r="L170" i="150"/>
  <c r="K170" i="150"/>
  <c r="H170" i="150"/>
  <c r="A170" i="150"/>
  <c r="P169" i="150"/>
  <c r="N169" i="150"/>
  <c r="M169" i="150"/>
  <c r="L169" i="150"/>
  <c r="K169" i="150"/>
  <c r="H169" i="150"/>
  <c r="A169" i="150"/>
  <c r="P168" i="150"/>
  <c r="N168" i="150"/>
  <c r="M168" i="150"/>
  <c r="L168" i="150"/>
  <c r="K168" i="150"/>
  <c r="H168" i="150"/>
  <c r="A168" i="150"/>
  <c r="P167" i="150"/>
  <c r="N167" i="150"/>
  <c r="M167" i="150"/>
  <c r="L167" i="150"/>
  <c r="K167" i="150"/>
  <c r="H167" i="150"/>
  <c r="A167" i="150"/>
  <c r="P166" i="150"/>
  <c r="N166" i="150"/>
  <c r="M166" i="150"/>
  <c r="L166" i="150"/>
  <c r="K166" i="150"/>
  <c r="H166" i="150"/>
  <c r="A166" i="150"/>
  <c r="P165" i="150"/>
  <c r="N165" i="150"/>
  <c r="M165" i="150"/>
  <c r="L165" i="150"/>
  <c r="K165" i="150"/>
  <c r="H165" i="150"/>
  <c r="A165" i="150"/>
  <c r="P164" i="150"/>
  <c r="N164" i="150"/>
  <c r="M164" i="150"/>
  <c r="L164" i="150"/>
  <c r="K164" i="150"/>
  <c r="H164" i="150"/>
  <c r="A164" i="150"/>
  <c r="P163" i="150"/>
  <c r="N163" i="150"/>
  <c r="M163" i="150"/>
  <c r="L163" i="150"/>
  <c r="K163" i="150"/>
  <c r="H163" i="150"/>
  <c r="A163" i="150"/>
  <c r="P162" i="150"/>
  <c r="N162" i="150"/>
  <c r="M162" i="150"/>
  <c r="L162" i="150"/>
  <c r="K162" i="150"/>
  <c r="H162" i="150"/>
  <c r="A162" i="150"/>
  <c r="P161" i="150"/>
  <c r="N161" i="150"/>
  <c r="M161" i="150"/>
  <c r="L161" i="150"/>
  <c r="K161" i="150"/>
  <c r="H161" i="150"/>
  <c r="A161" i="150"/>
  <c r="P160" i="150"/>
  <c r="N160" i="150"/>
  <c r="M160" i="150"/>
  <c r="L160" i="150"/>
  <c r="K160" i="150"/>
  <c r="H160" i="150"/>
  <c r="A160" i="150"/>
  <c r="P159" i="150"/>
  <c r="N159" i="150"/>
  <c r="M159" i="150"/>
  <c r="L159" i="150"/>
  <c r="K159" i="150"/>
  <c r="H159" i="150"/>
  <c r="A159" i="150"/>
  <c r="P158" i="150"/>
  <c r="N158" i="150"/>
  <c r="M158" i="150"/>
  <c r="L158" i="150"/>
  <c r="K158" i="150"/>
  <c r="H158" i="150"/>
  <c r="A158" i="150"/>
  <c r="P157" i="150"/>
  <c r="N157" i="150"/>
  <c r="M157" i="150"/>
  <c r="L157" i="150"/>
  <c r="K157" i="150"/>
  <c r="H157" i="150"/>
  <c r="A157" i="150"/>
  <c r="P156" i="150"/>
  <c r="N156" i="150"/>
  <c r="M156" i="150"/>
  <c r="L156" i="150"/>
  <c r="K156" i="150"/>
  <c r="H156" i="150"/>
  <c r="A156" i="150"/>
  <c r="P155" i="150"/>
  <c r="N155" i="150"/>
  <c r="M155" i="150"/>
  <c r="L155" i="150"/>
  <c r="K155" i="150"/>
  <c r="H155" i="150"/>
  <c r="A155" i="150"/>
  <c r="P154" i="150"/>
  <c r="N154" i="150"/>
  <c r="M154" i="150"/>
  <c r="L154" i="150"/>
  <c r="K154" i="150"/>
  <c r="H154" i="150"/>
  <c r="A154" i="150"/>
  <c r="P153" i="150"/>
  <c r="N153" i="150"/>
  <c r="M153" i="150"/>
  <c r="L153" i="150"/>
  <c r="K153" i="150"/>
  <c r="H153" i="150"/>
  <c r="A153" i="150"/>
  <c r="P152" i="150"/>
  <c r="N152" i="150"/>
  <c r="M152" i="150"/>
  <c r="L152" i="150"/>
  <c r="K152" i="150"/>
  <c r="H152" i="150"/>
  <c r="A152" i="150"/>
  <c r="P151" i="150"/>
  <c r="N151" i="150"/>
  <c r="M151" i="150"/>
  <c r="L151" i="150"/>
  <c r="K151" i="150"/>
  <c r="H151" i="150"/>
  <c r="A151" i="150"/>
  <c r="P150" i="150"/>
  <c r="N150" i="150"/>
  <c r="M150" i="150"/>
  <c r="L150" i="150"/>
  <c r="K150" i="150"/>
  <c r="H150" i="150"/>
  <c r="A150" i="150"/>
  <c r="P149" i="150"/>
  <c r="N149" i="150"/>
  <c r="M149" i="150"/>
  <c r="L149" i="150"/>
  <c r="K149" i="150"/>
  <c r="H149" i="150"/>
  <c r="A149" i="150"/>
  <c r="P148" i="150"/>
  <c r="N148" i="150"/>
  <c r="M148" i="150"/>
  <c r="L148" i="150"/>
  <c r="K148" i="150"/>
  <c r="H148" i="150"/>
  <c r="A148" i="150"/>
  <c r="P147" i="150"/>
  <c r="N147" i="150"/>
  <c r="M147" i="150"/>
  <c r="L147" i="150"/>
  <c r="K147" i="150"/>
  <c r="H147" i="150"/>
  <c r="A147" i="150"/>
  <c r="P146" i="150"/>
  <c r="N146" i="150"/>
  <c r="M146" i="150"/>
  <c r="L146" i="150"/>
  <c r="K146" i="150"/>
  <c r="H146" i="150"/>
  <c r="A146" i="150"/>
  <c r="P145" i="150"/>
  <c r="N145" i="150"/>
  <c r="M145" i="150"/>
  <c r="L145" i="150"/>
  <c r="K145" i="150"/>
  <c r="H145" i="150"/>
  <c r="A145" i="150"/>
  <c r="P144" i="150"/>
  <c r="N144" i="150"/>
  <c r="M144" i="150"/>
  <c r="L144" i="150"/>
  <c r="K144" i="150"/>
  <c r="H144" i="150"/>
  <c r="A144" i="150"/>
  <c r="P143" i="150"/>
  <c r="N143" i="150"/>
  <c r="M143" i="150"/>
  <c r="L143" i="150"/>
  <c r="K143" i="150"/>
  <c r="H143" i="150"/>
  <c r="A143" i="150"/>
  <c r="P142" i="150"/>
  <c r="N142" i="150"/>
  <c r="M142" i="150"/>
  <c r="L142" i="150"/>
  <c r="K142" i="150"/>
  <c r="H142" i="150"/>
  <c r="A142" i="150"/>
  <c r="P141" i="150"/>
  <c r="N141" i="150"/>
  <c r="M141" i="150"/>
  <c r="L141" i="150"/>
  <c r="K141" i="150"/>
  <c r="H141" i="150"/>
  <c r="A141" i="150"/>
  <c r="P140" i="150"/>
  <c r="N140" i="150"/>
  <c r="M140" i="150"/>
  <c r="L140" i="150"/>
  <c r="K140" i="150"/>
  <c r="H140" i="150"/>
  <c r="A140" i="150"/>
  <c r="P139" i="150"/>
  <c r="N139" i="150"/>
  <c r="M139" i="150"/>
  <c r="L139" i="150"/>
  <c r="K139" i="150"/>
  <c r="H139" i="150"/>
  <c r="A139" i="150"/>
  <c r="P138" i="150"/>
  <c r="N138" i="150"/>
  <c r="M138" i="150"/>
  <c r="L138" i="150"/>
  <c r="K138" i="150"/>
  <c r="H138" i="150"/>
  <c r="A138" i="150"/>
  <c r="P137" i="150"/>
  <c r="N137" i="150"/>
  <c r="M137" i="150"/>
  <c r="L137" i="150"/>
  <c r="K137" i="150"/>
  <c r="H137" i="150"/>
  <c r="A137" i="150"/>
  <c r="P136" i="150"/>
  <c r="N136" i="150"/>
  <c r="M136" i="150"/>
  <c r="L136" i="150"/>
  <c r="K136" i="150"/>
  <c r="H136" i="150"/>
  <c r="A136" i="150"/>
  <c r="P135" i="150"/>
  <c r="N135" i="150"/>
  <c r="M135" i="150"/>
  <c r="L135" i="150"/>
  <c r="K135" i="150"/>
  <c r="H135" i="150"/>
  <c r="A135" i="150"/>
  <c r="P134" i="150"/>
  <c r="N134" i="150"/>
  <c r="M134" i="150"/>
  <c r="L134" i="150"/>
  <c r="K134" i="150"/>
  <c r="H134" i="150"/>
  <c r="A134" i="150"/>
  <c r="P133" i="150"/>
  <c r="N133" i="150"/>
  <c r="M133" i="150"/>
  <c r="L133" i="150"/>
  <c r="K133" i="150"/>
  <c r="H133" i="150"/>
  <c r="A133" i="150"/>
  <c r="P132" i="150"/>
  <c r="N132" i="150"/>
  <c r="M132" i="150"/>
  <c r="L132" i="150"/>
  <c r="K132" i="150"/>
  <c r="H132" i="150"/>
  <c r="A132" i="150"/>
  <c r="P131" i="150"/>
  <c r="N131" i="150"/>
  <c r="M131" i="150"/>
  <c r="L131" i="150"/>
  <c r="K131" i="150"/>
  <c r="H131" i="150"/>
  <c r="A131" i="150"/>
  <c r="P130" i="150"/>
  <c r="N130" i="150"/>
  <c r="M130" i="150"/>
  <c r="L130" i="150"/>
  <c r="K130" i="150"/>
  <c r="H130" i="150"/>
  <c r="A130" i="150"/>
  <c r="P129" i="150"/>
  <c r="N129" i="150"/>
  <c r="M129" i="150"/>
  <c r="L129" i="150"/>
  <c r="K129" i="150"/>
  <c r="H129" i="150"/>
  <c r="A129" i="150"/>
  <c r="P128" i="150"/>
  <c r="N128" i="150"/>
  <c r="M128" i="150"/>
  <c r="L128" i="150"/>
  <c r="K128" i="150"/>
  <c r="H128" i="150"/>
  <c r="A128" i="150"/>
  <c r="P127" i="150"/>
  <c r="N127" i="150"/>
  <c r="M127" i="150"/>
  <c r="L127" i="150"/>
  <c r="K127" i="150"/>
  <c r="H127" i="150"/>
  <c r="A127" i="150"/>
  <c r="P126" i="150"/>
  <c r="N126" i="150"/>
  <c r="M126" i="150"/>
  <c r="L126" i="150"/>
  <c r="K126" i="150"/>
  <c r="H126" i="150"/>
  <c r="A126" i="150"/>
  <c r="P125" i="150"/>
  <c r="N125" i="150"/>
  <c r="M125" i="150"/>
  <c r="L125" i="150"/>
  <c r="K125" i="150"/>
  <c r="H125" i="150"/>
  <c r="A125" i="150"/>
  <c r="P124" i="150"/>
  <c r="N124" i="150"/>
  <c r="M124" i="150"/>
  <c r="L124" i="150"/>
  <c r="K124" i="150"/>
  <c r="H124" i="150"/>
  <c r="A124" i="150"/>
  <c r="P123" i="150"/>
  <c r="N123" i="150"/>
  <c r="M123" i="150"/>
  <c r="L123" i="150"/>
  <c r="K123" i="150"/>
  <c r="H123" i="150"/>
  <c r="A123" i="150"/>
  <c r="P122" i="150"/>
  <c r="N122" i="150"/>
  <c r="M122" i="150"/>
  <c r="L122" i="150"/>
  <c r="K122" i="150"/>
  <c r="H122" i="150"/>
  <c r="A122" i="150"/>
  <c r="P121" i="150"/>
  <c r="N121" i="150"/>
  <c r="M121" i="150"/>
  <c r="L121" i="150"/>
  <c r="K121" i="150"/>
  <c r="H121" i="150"/>
  <c r="A121" i="150"/>
  <c r="P120" i="150"/>
  <c r="N120" i="150"/>
  <c r="M120" i="150"/>
  <c r="L120" i="150"/>
  <c r="K120" i="150"/>
  <c r="H120" i="150"/>
  <c r="A120" i="150"/>
  <c r="P119" i="150"/>
  <c r="N119" i="150"/>
  <c r="M119" i="150"/>
  <c r="L119" i="150"/>
  <c r="K119" i="150"/>
  <c r="H119" i="150"/>
  <c r="A119" i="150"/>
  <c r="P118" i="150"/>
  <c r="N118" i="150"/>
  <c r="M118" i="150"/>
  <c r="L118" i="150"/>
  <c r="K118" i="150"/>
  <c r="H118" i="150"/>
  <c r="A118" i="150"/>
  <c r="P117" i="150"/>
  <c r="N117" i="150"/>
  <c r="M117" i="150"/>
  <c r="L117" i="150"/>
  <c r="K117" i="150"/>
  <c r="H117" i="150"/>
  <c r="A117" i="150"/>
  <c r="P116" i="150"/>
  <c r="N116" i="150"/>
  <c r="M116" i="150"/>
  <c r="L116" i="150"/>
  <c r="K116" i="150"/>
  <c r="H116" i="150"/>
  <c r="A116" i="150"/>
  <c r="P115" i="150"/>
  <c r="N115" i="150"/>
  <c r="M115" i="150"/>
  <c r="L115" i="150"/>
  <c r="K115" i="150"/>
  <c r="H115" i="150"/>
  <c r="A115" i="150"/>
  <c r="P114" i="150"/>
  <c r="N114" i="150"/>
  <c r="M114" i="150"/>
  <c r="L114" i="150"/>
  <c r="K114" i="150"/>
  <c r="H114" i="150"/>
  <c r="A114" i="150"/>
  <c r="P113" i="150"/>
  <c r="N113" i="150"/>
  <c r="M113" i="150"/>
  <c r="L113" i="150"/>
  <c r="K113" i="150"/>
  <c r="H113" i="150"/>
  <c r="A113" i="150"/>
  <c r="P112" i="150"/>
  <c r="N112" i="150"/>
  <c r="M112" i="150"/>
  <c r="L112" i="150"/>
  <c r="K112" i="150"/>
  <c r="H112" i="150"/>
  <c r="A112" i="150"/>
  <c r="P111" i="150"/>
  <c r="N111" i="150"/>
  <c r="M111" i="150"/>
  <c r="L111" i="150"/>
  <c r="K111" i="150"/>
  <c r="H111" i="150"/>
  <c r="A111" i="150"/>
  <c r="P110" i="150"/>
  <c r="N110" i="150"/>
  <c r="M110" i="150"/>
  <c r="L110" i="150"/>
  <c r="K110" i="150"/>
  <c r="H110" i="150"/>
  <c r="A110" i="150"/>
  <c r="P109" i="150"/>
  <c r="N109" i="150"/>
  <c r="M109" i="150"/>
  <c r="L109" i="150"/>
  <c r="K109" i="150"/>
  <c r="H109" i="150"/>
  <c r="A109" i="150"/>
  <c r="P108" i="150"/>
  <c r="N108" i="150"/>
  <c r="M108" i="150"/>
  <c r="L108" i="150"/>
  <c r="K108" i="150"/>
  <c r="H108" i="150"/>
  <c r="A108" i="150"/>
  <c r="P107" i="150"/>
  <c r="N107" i="150"/>
  <c r="M107" i="150"/>
  <c r="L107" i="150"/>
  <c r="K107" i="150"/>
  <c r="H107" i="150"/>
  <c r="A107" i="150"/>
  <c r="P106" i="150"/>
  <c r="N106" i="150"/>
  <c r="M106" i="150"/>
  <c r="L106" i="150"/>
  <c r="K106" i="150"/>
  <c r="H106" i="150"/>
  <c r="A106" i="150"/>
  <c r="P105" i="150"/>
  <c r="N105" i="150"/>
  <c r="M105" i="150"/>
  <c r="L105" i="150"/>
  <c r="K105" i="150"/>
  <c r="H105" i="150"/>
  <c r="A105" i="150"/>
  <c r="P104" i="150"/>
  <c r="N104" i="150"/>
  <c r="M104" i="150"/>
  <c r="L104" i="150"/>
  <c r="K104" i="150"/>
  <c r="H104" i="150"/>
  <c r="A104" i="150"/>
  <c r="P103" i="150"/>
  <c r="N103" i="150"/>
  <c r="M103" i="150"/>
  <c r="L103" i="150"/>
  <c r="K103" i="150"/>
  <c r="H103" i="150"/>
  <c r="A103" i="150"/>
  <c r="P102" i="150"/>
  <c r="N102" i="150"/>
  <c r="M102" i="150"/>
  <c r="L102" i="150"/>
  <c r="K102" i="150"/>
  <c r="H102" i="150"/>
  <c r="A102" i="150"/>
  <c r="P101" i="150"/>
  <c r="N101" i="150"/>
  <c r="M101" i="150"/>
  <c r="L101" i="150"/>
  <c r="K101" i="150"/>
  <c r="H101" i="150"/>
  <c r="A101" i="150"/>
  <c r="P100" i="150"/>
  <c r="N100" i="150"/>
  <c r="M100" i="150"/>
  <c r="L100" i="150"/>
  <c r="K100" i="150"/>
  <c r="H100" i="150"/>
  <c r="A100" i="150"/>
  <c r="P99" i="150"/>
  <c r="N99" i="150"/>
  <c r="M99" i="150"/>
  <c r="L99" i="150"/>
  <c r="K99" i="150"/>
  <c r="H99" i="150"/>
  <c r="A99" i="150"/>
  <c r="P98" i="150"/>
  <c r="N98" i="150"/>
  <c r="M98" i="150"/>
  <c r="L98" i="150"/>
  <c r="K98" i="150"/>
  <c r="H98" i="150"/>
  <c r="A98" i="150"/>
  <c r="P97" i="150"/>
  <c r="N97" i="150"/>
  <c r="M97" i="150"/>
  <c r="L97" i="150"/>
  <c r="K97" i="150"/>
  <c r="H97" i="150"/>
  <c r="A97" i="150"/>
  <c r="P96" i="150"/>
  <c r="N96" i="150"/>
  <c r="M96" i="150"/>
  <c r="L96" i="150"/>
  <c r="K96" i="150"/>
  <c r="H96" i="150"/>
  <c r="A96" i="150"/>
  <c r="P95" i="150"/>
  <c r="N95" i="150"/>
  <c r="M95" i="150"/>
  <c r="L95" i="150"/>
  <c r="K95" i="150"/>
  <c r="H95" i="150"/>
  <c r="A95" i="150"/>
  <c r="P94" i="150"/>
  <c r="N94" i="150"/>
  <c r="M94" i="150"/>
  <c r="L94" i="150"/>
  <c r="K94" i="150"/>
  <c r="H94" i="150"/>
  <c r="A94" i="150"/>
  <c r="P93" i="150"/>
  <c r="N93" i="150"/>
  <c r="M93" i="150"/>
  <c r="L93" i="150"/>
  <c r="K93" i="150"/>
  <c r="H93" i="150"/>
  <c r="A93" i="150"/>
  <c r="P92" i="150"/>
  <c r="N92" i="150"/>
  <c r="M92" i="150"/>
  <c r="L92" i="150"/>
  <c r="K92" i="150"/>
  <c r="H92" i="150"/>
  <c r="A92" i="150"/>
  <c r="P91" i="150"/>
  <c r="N91" i="150"/>
  <c r="M91" i="150"/>
  <c r="L91" i="150"/>
  <c r="K91" i="150"/>
  <c r="H91" i="150"/>
  <c r="A91" i="150"/>
  <c r="P90" i="150"/>
  <c r="N90" i="150"/>
  <c r="M90" i="150"/>
  <c r="L90" i="150"/>
  <c r="K90" i="150"/>
  <c r="H90" i="150"/>
  <c r="A90" i="150"/>
  <c r="P89" i="150"/>
  <c r="N89" i="150"/>
  <c r="M89" i="150"/>
  <c r="L89" i="150"/>
  <c r="K89" i="150"/>
  <c r="H89" i="150"/>
  <c r="A89" i="150"/>
  <c r="P88" i="150"/>
  <c r="N88" i="150"/>
  <c r="M88" i="150"/>
  <c r="L88" i="150"/>
  <c r="K88" i="150"/>
  <c r="H88" i="150"/>
  <c r="A88" i="150"/>
  <c r="P87" i="150"/>
  <c r="N87" i="150"/>
  <c r="M87" i="150"/>
  <c r="L87" i="150"/>
  <c r="K87" i="150"/>
  <c r="H87" i="150"/>
  <c r="A87" i="150"/>
  <c r="P86" i="150"/>
  <c r="N86" i="150"/>
  <c r="M86" i="150"/>
  <c r="L86" i="150"/>
  <c r="K86" i="150"/>
  <c r="H86" i="150"/>
  <c r="A86" i="150"/>
  <c r="P85" i="150"/>
  <c r="N85" i="150"/>
  <c r="M85" i="150"/>
  <c r="L85" i="150"/>
  <c r="K85" i="150"/>
  <c r="H85" i="150"/>
  <c r="A85" i="150"/>
  <c r="P84" i="150"/>
  <c r="N84" i="150"/>
  <c r="M84" i="150"/>
  <c r="L84" i="150"/>
  <c r="K84" i="150"/>
  <c r="H84" i="150"/>
  <c r="A84" i="150"/>
  <c r="P83" i="150"/>
  <c r="N83" i="150"/>
  <c r="M83" i="150"/>
  <c r="L83" i="150"/>
  <c r="K83" i="150"/>
  <c r="H83" i="150"/>
  <c r="A83" i="150"/>
  <c r="P82" i="150"/>
  <c r="N82" i="150"/>
  <c r="M82" i="150"/>
  <c r="L82" i="150"/>
  <c r="K82" i="150"/>
  <c r="H82" i="150"/>
  <c r="A82" i="150"/>
  <c r="P81" i="150"/>
  <c r="N81" i="150"/>
  <c r="M81" i="150"/>
  <c r="L81" i="150"/>
  <c r="K81" i="150"/>
  <c r="H81" i="150"/>
  <c r="A81" i="150"/>
  <c r="P80" i="150"/>
  <c r="N80" i="150"/>
  <c r="M80" i="150"/>
  <c r="L80" i="150"/>
  <c r="K80" i="150"/>
  <c r="H80" i="150"/>
  <c r="A80" i="150"/>
  <c r="P79" i="150"/>
  <c r="N79" i="150"/>
  <c r="M79" i="150"/>
  <c r="L79" i="150"/>
  <c r="K79" i="150"/>
  <c r="H79" i="150"/>
  <c r="A79" i="150"/>
  <c r="P78" i="150"/>
  <c r="N78" i="150"/>
  <c r="M78" i="150"/>
  <c r="L78" i="150"/>
  <c r="K78" i="150"/>
  <c r="H78" i="150"/>
  <c r="A78" i="150"/>
  <c r="P77" i="150"/>
  <c r="N77" i="150"/>
  <c r="M77" i="150"/>
  <c r="L77" i="150"/>
  <c r="K77" i="150"/>
  <c r="H77" i="150"/>
  <c r="A77" i="150"/>
  <c r="P76" i="150"/>
  <c r="N76" i="150"/>
  <c r="M76" i="150"/>
  <c r="L76" i="150"/>
  <c r="K76" i="150"/>
  <c r="H76" i="150"/>
  <c r="A76" i="150"/>
  <c r="P75" i="150"/>
  <c r="N75" i="150"/>
  <c r="M75" i="150"/>
  <c r="L75" i="150"/>
  <c r="K75" i="150"/>
  <c r="H75" i="150"/>
  <c r="A75" i="150"/>
  <c r="P74" i="150"/>
  <c r="N74" i="150"/>
  <c r="M74" i="150"/>
  <c r="L74" i="150"/>
  <c r="K74" i="150"/>
  <c r="H74" i="150"/>
  <c r="A74" i="150"/>
  <c r="P73" i="150"/>
  <c r="N73" i="150"/>
  <c r="M73" i="150"/>
  <c r="L73" i="150"/>
  <c r="K73" i="150"/>
  <c r="H73" i="150"/>
  <c r="A73" i="150"/>
  <c r="P72" i="150"/>
  <c r="N72" i="150"/>
  <c r="M72" i="150"/>
  <c r="L72" i="150"/>
  <c r="K72" i="150"/>
  <c r="H72" i="150"/>
  <c r="A72" i="150"/>
  <c r="P71" i="150"/>
  <c r="N71" i="150"/>
  <c r="M71" i="150"/>
  <c r="L71" i="150"/>
  <c r="K71" i="150"/>
  <c r="H71" i="150"/>
  <c r="A71" i="150"/>
  <c r="P70" i="150"/>
  <c r="N70" i="150"/>
  <c r="M70" i="150"/>
  <c r="L70" i="150"/>
  <c r="K70" i="150"/>
  <c r="H70" i="150"/>
  <c r="A70" i="150"/>
  <c r="P69" i="150"/>
  <c r="N69" i="150"/>
  <c r="M69" i="150"/>
  <c r="L69" i="150"/>
  <c r="K69" i="150"/>
  <c r="H69" i="150"/>
  <c r="A69" i="150"/>
  <c r="P68" i="150"/>
  <c r="N68" i="150"/>
  <c r="M68" i="150"/>
  <c r="L68" i="150"/>
  <c r="K68" i="150"/>
  <c r="H68" i="150"/>
  <c r="A68" i="150"/>
  <c r="P67" i="150"/>
  <c r="N67" i="150"/>
  <c r="M67" i="150"/>
  <c r="L67" i="150"/>
  <c r="K67" i="150"/>
  <c r="H67" i="150"/>
  <c r="A67" i="150"/>
  <c r="P66" i="150"/>
  <c r="N66" i="150"/>
  <c r="M66" i="150"/>
  <c r="L66" i="150"/>
  <c r="K66" i="150"/>
  <c r="H66" i="150"/>
  <c r="A66" i="150"/>
  <c r="P65" i="150"/>
  <c r="N65" i="150"/>
  <c r="M65" i="150"/>
  <c r="L65" i="150"/>
  <c r="K65" i="150"/>
  <c r="H65" i="150"/>
  <c r="A65" i="150"/>
  <c r="P64" i="150"/>
  <c r="N64" i="150"/>
  <c r="M64" i="150"/>
  <c r="L64" i="150"/>
  <c r="K64" i="150"/>
  <c r="H64" i="150"/>
  <c r="A64" i="150"/>
  <c r="P63" i="150"/>
  <c r="N63" i="150"/>
  <c r="M63" i="150"/>
  <c r="L63" i="150"/>
  <c r="K63" i="150"/>
  <c r="H63" i="150"/>
  <c r="A63" i="150"/>
  <c r="P62" i="150"/>
  <c r="N62" i="150"/>
  <c r="M62" i="150"/>
  <c r="L62" i="150"/>
  <c r="K62" i="150"/>
  <c r="H62" i="150"/>
  <c r="A62" i="150"/>
  <c r="P61" i="150"/>
  <c r="N61" i="150"/>
  <c r="M61" i="150"/>
  <c r="L61" i="150"/>
  <c r="K61" i="150"/>
  <c r="H61" i="150"/>
  <c r="A61" i="150"/>
  <c r="P60" i="150"/>
  <c r="N60" i="150"/>
  <c r="M60" i="150"/>
  <c r="L60" i="150"/>
  <c r="K60" i="150"/>
  <c r="H60" i="150"/>
  <c r="A60" i="150"/>
  <c r="P59" i="150"/>
  <c r="N59" i="150"/>
  <c r="M59" i="150"/>
  <c r="L59" i="150"/>
  <c r="K59" i="150"/>
  <c r="H59" i="150"/>
  <c r="A59" i="150"/>
  <c r="P58" i="150"/>
  <c r="N58" i="150"/>
  <c r="M58" i="150"/>
  <c r="L58" i="150"/>
  <c r="K58" i="150"/>
  <c r="H58" i="150"/>
  <c r="A58" i="150"/>
  <c r="P57" i="150"/>
  <c r="N57" i="150"/>
  <c r="M57" i="150"/>
  <c r="L57" i="150"/>
  <c r="K57" i="150"/>
  <c r="H57" i="150"/>
  <c r="A57" i="150"/>
  <c r="P56" i="150"/>
  <c r="N56" i="150"/>
  <c r="M56" i="150"/>
  <c r="L56" i="150"/>
  <c r="K56" i="150"/>
  <c r="H56" i="150"/>
  <c r="A56" i="150"/>
  <c r="P55" i="150"/>
  <c r="N55" i="150"/>
  <c r="M55" i="150"/>
  <c r="L55" i="150"/>
  <c r="K55" i="150"/>
  <c r="H55" i="150"/>
  <c r="A55" i="150"/>
  <c r="P54" i="150"/>
  <c r="N54" i="150"/>
  <c r="M54" i="150"/>
  <c r="L54" i="150"/>
  <c r="K54" i="150"/>
  <c r="H54" i="150"/>
  <c r="A54" i="150"/>
  <c r="P53" i="150"/>
  <c r="N53" i="150"/>
  <c r="M53" i="150"/>
  <c r="L53" i="150"/>
  <c r="K53" i="150"/>
  <c r="H53" i="150"/>
  <c r="A53" i="150"/>
  <c r="P52" i="150"/>
  <c r="N52" i="150"/>
  <c r="M52" i="150"/>
  <c r="L52" i="150"/>
  <c r="K52" i="150"/>
  <c r="H52" i="150"/>
  <c r="A52" i="150"/>
  <c r="P51" i="150"/>
  <c r="N51" i="150"/>
  <c r="M51" i="150"/>
  <c r="L51" i="150"/>
  <c r="K51" i="150"/>
  <c r="H51" i="150"/>
  <c r="A51" i="150"/>
  <c r="P50" i="150"/>
  <c r="N50" i="150"/>
  <c r="M50" i="150"/>
  <c r="L50" i="150"/>
  <c r="K50" i="150"/>
  <c r="H50" i="150"/>
  <c r="A50" i="150"/>
  <c r="P49" i="150"/>
  <c r="N49" i="150"/>
  <c r="M49" i="150"/>
  <c r="L49" i="150"/>
  <c r="K49" i="150"/>
  <c r="H49" i="150"/>
  <c r="A49" i="150"/>
  <c r="P48" i="150"/>
  <c r="N48" i="150"/>
  <c r="M48" i="150"/>
  <c r="L48" i="150"/>
  <c r="K48" i="150"/>
  <c r="H48" i="150"/>
  <c r="A48" i="150"/>
  <c r="P47" i="150"/>
  <c r="N47" i="150"/>
  <c r="M47" i="150"/>
  <c r="L47" i="150"/>
  <c r="K47" i="150"/>
  <c r="H47" i="150"/>
  <c r="A47" i="150"/>
  <c r="P46" i="150"/>
  <c r="N46" i="150"/>
  <c r="M46" i="150"/>
  <c r="L46" i="150"/>
  <c r="K46" i="150"/>
  <c r="H46" i="150"/>
  <c r="A46" i="150"/>
  <c r="P45" i="150"/>
  <c r="N45" i="150"/>
  <c r="M45" i="150"/>
  <c r="L45" i="150"/>
  <c r="K45" i="150"/>
  <c r="H45" i="150"/>
  <c r="A45" i="150"/>
  <c r="P44" i="150"/>
  <c r="N44" i="150"/>
  <c r="M44" i="150"/>
  <c r="L44" i="150"/>
  <c r="K44" i="150"/>
  <c r="H44" i="150"/>
  <c r="A44" i="150"/>
  <c r="P43" i="150"/>
  <c r="N43" i="150"/>
  <c r="M43" i="150"/>
  <c r="L43" i="150"/>
  <c r="K43" i="150"/>
  <c r="H43" i="150"/>
  <c r="A43" i="150"/>
  <c r="P42" i="150"/>
  <c r="N42" i="150"/>
  <c r="M42" i="150"/>
  <c r="L42" i="150"/>
  <c r="K42" i="150"/>
  <c r="H42" i="150"/>
  <c r="A42" i="150"/>
  <c r="P41" i="150"/>
  <c r="N41" i="150"/>
  <c r="M41" i="150"/>
  <c r="L41" i="150"/>
  <c r="K41" i="150"/>
  <c r="H41" i="150"/>
  <c r="A41" i="150"/>
  <c r="P40" i="150"/>
  <c r="N40" i="150"/>
  <c r="M40" i="150"/>
  <c r="L40" i="150"/>
  <c r="K40" i="150"/>
  <c r="H40" i="150"/>
  <c r="A40" i="150"/>
  <c r="P39" i="150"/>
  <c r="N39" i="150"/>
  <c r="M39" i="150"/>
  <c r="L39" i="150"/>
  <c r="K39" i="150"/>
  <c r="H39" i="150"/>
  <c r="A39" i="150"/>
  <c r="P38" i="150"/>
  <c r="N38" i="150"/>
  <c r="M38" i="150"/>
  <c r="L38" i="150"/>
  <c r="K38" i="150"/>
  <c r="H38" i="150"/>
  <c r="A38" i="150"/>
  <c r="P37" i="150"/>
  <c r="N37" i="150"/>
  <c r="M37" i="150"/>
  <c r="L37" i="150"/>
  <c r="K37" i="150"/>
  <c r="H37" i="150"/>
  <c r="A37" i="150"/>
  <c r="P36" i="150"/>
  <c r="N36" i="150"/>
  <c r="M36" i="150"/>
  <c r="L36" i="150"/>
  <c r="K36" i="150"/>
  <c r="H36" i="150"/>
  <c r="A36" i="150"/>
  <c r="P35" i="150"/>
  <c r="N35" i="150"/>
  <c r="M35" i="150"/>
  <c r="L35" i="150"/>
  <c r="K35" i="150"/>
  <c r="H35" i="150"/>
  <c r="A35" i="150"/>
  <c r="P34" i="150"/>
  <c r="N34" i="150"/>
  <c r="M34" i="150"/>
  <c r="L34" i="150"/>
  <c r="K34" i="150"/>
  <c r="H34" i="150"/>
  <c r="A34" i="150"/>
  <c r="P33" i="150"/>
  <c r="N33" i="150"/>
  <c r="M33" i="150"/>
  <c r="L33" i="150"/>
  <c r="K33" i="150"/>
  <c r="H33" i="150"/>
  <c r="A33" i="150"/>
  <c r="P32" i="150"/>
  <c r="N32" i="150"/>
  <c r="M32" i="150"/>
  <c r="L32" i="150"/>
  <c r="K32" i="150"/>
  <c r="H32" i="150"/>
  <c r="A32" i="150"/>
  <c r="P31" i="150"/>
  <c r="N31" i="150"/>
  <c r="M31" i="150"/>
  <c r="L31" i="150"/>
  <c r="K31" i="150"/>
  <c r="H31" i="150"/>
  <c r="A31" i="150"/>
  <c r="P30" i="150"/>
  <c r="N30" i="150"/>
  <c r="M30" i="150"/>
  <c r="L30" i="150"/>
  <c r="K30" i="150"/>
  <c r="H30" i="150"/>
  <c r="A30" i="150"/>
  <c r="P29" i="150"/>
  <c r="N29" i="150"/>
  <c r="M29" i="150"/>
  <c r="L29" i="150"/>
  <c r="K29" i="150"/>
  <c r="H29" i="150"/>
  <c r="A29" i="150"/>
  <c r="P28" i="150"/>
  <c r="N28" i="150"/>
  <c r="M28" i="150"/>
  <c r="L28" i="150"/>
  <c r="K28" i="150"/>
  <c r="H28" i="150"/>
  <c r="A28" i="150"/>
  <c r="P27" i="150"/>
  <c r="N27" i="150"/>
  <c r="M27" i="150"/>
  <c r="L27" i="150"/>
  <c r="K27" i="150"/>
  <c r="H27" i="150"/>
  <c r="A27" i="150"/>
  <c r="P26" i="150"/>
  <c r="N26" i="150"/>
  <c r="M26" i="150"/>
  <c r="L26" i="150"/>
  <c r="K26" i="150"/>
  <c r="H26" i="150"/>
  <c r="A26" i="150"/>
  <c r="P25" i="150"/>
  <c r="N25" i="150"/>
  <c r="M25" i="150"/>
  <c r="L25" i="150"/>
  <c r="K25" i="150"/>
  <c r="H25" i="150"/>
  <c r="A25" i="150"/>
  <c r="P24" i="150"/>
  <c r="N24" i="150"/>
  <c r="M24" i="150"/>
  <c r="L24" i="150"/>
  <c r="K24" i="150"/>
  <c r="H24" i="150"/>
  <c r="A24" i="150"/>
  <c r="P23" i="150"/>
  <c r="N23" i="150"/>
  <c r="M23" i="150"/>
  <c r="L23" i="150"/>
  <c r="K23" i="150"/>
  <c r="H23" i="150"/>
  <c r="A23" i="150"/>
  <c r="P22" i="150"/>
  <c r="N22" i="150"/>
  <c r="M22" i="150"/>
  <c r="L22" i="150"/>
  <c r="K22" i="150"/>
  <c r="H22" i="150"/>
  <c r="A22" i="150"/>
  <c r="P21" i="150"/>
  <c r="N21" i="150"/>
  <c r="M21" i="150"/>
  <c r="L21" i="150"/>
  <c r="K21" i="150"/>
  <c r="H21" i="150"/>
  <c r="A21" i="150"/>
  <c r="P20" i="150"/>
  <c r="N20" i="150"/>
  <c r="M20" i="150"/>
  <c r="L20" i="150"/>
  <c r="K20" i="150"/>
  <c r="H20" i="150"/>
  <c r="A20" i="150"/>
  <c r="P19" i="150"/>
  <c r="N19" i="150"/>
  <c r="M19" i="150"/>
  <c r="L19" i="150"/>
  <c r="K19" i="150"/>
  <c r="H19" i="150"/>
  <c r="A19" i="150"/>
  <c r="P18" i="150"/>
  <c r="N18" i="150"/>
  <c r="M18" i="150"/>
  <c r="L18" i="150"/>
  <c r="K18" i="150"/>
  <c r="H18" i="150"/>
  <c r="A18" i="150"/>
  <c r="P17" i="150"/>
  <c r="N17" i="150"/>
  <c r="M17" i="150"/>
  <c r="L17" i="150"/>
  <c r="K17" i="150"/>
  <c r="H17" i="150"/>
  <c r="A17" i="150"/>
  <c r="P16" i="150"/>
  <c r="N16" i="150"/>
  <c r="M16" i="150"/>
  <c r="L16" i="150"/>
  <c r="K16" i="150"/>
  <c r="H16" i="150"/>
  <c r="A16" i="150"/>
  <c r="P15" i="150"/>
  <c r="N15" i="150"/>
  <c r="M15" i="150"/>
  <c r="L15" i="150"/>
  <c r="K15" i="150"/>
  <c r="H15" i="150"/>
  <c r="A15" i="150"/>
  <c r="N14" i="150"/>
  <c r="M14" i="150"/>
  <c r="L14" i="150"/>
  <c r="K14" i="150"/>
  <c r="H14" i="150"/>
  <c r="A14" i="150"/>
  <c r="N13" i="150"/>
  <c r="M13" i="150"/>
  <c r="L13" i="150"/>
  <c r="K13" i="150"/>
  <c r="H13" i="150"/>
  <c r="A13" i="150"/>
  <c r="N12" i="150"/>
  <c r="M12" i="150"/>
  <c r="L12" i="150"/>
  <c r="K12" i="150"/>
  <c r="H12" i="150"/>
  <c r="A12" i="150"/>
  <c r="N11" i="150"/>
  <c r="M11" i="150"/>
  <c r="L11" i="150"/>
  <c r="K11" i="150"/>
  <c r="H11" i="150"/>
  <c r="A11" i="150"/>
  <c r="N10" i="150"/>
  <c r="M10" i="150"/>
  <c r="L10" i="150"/>
  <c r="K10" i="150"/>
  <c r="H10" i="150"/>
  <c r="A10" i="150"/>
  <c r="N9" i="150"/>
  <c r="M9" i="150"/>
  <c r="L9" i="150"/>
  <c r="K9" i="150"/>
  <c r="H9" i="150"/>
  <c r="A9" i="150"/>
  <c r="N8" i="150"/>
  <c r="M8" i="150"/>
  <c r="L8" i="150"/>
  <c r="K8" i="150"/>
  <c r="H8" i="150"/>
  <c r="A8" i="150"/>
  <c r="N7" i="150"/>
  <c r="M7" i="150"/>
  <c r="L7" i="150"/>
  <c r="K7" i="150"/>
  <c r="H7" i="150"/>
  <c r="A7" i="150"/>
  <c r="N6" i="150"/>
  <c r="M6" i="150"/>
  <c r="L6" i="150"/>
  <c r="K6" i="150"/>
  <c r="H6" i="150"/>
  <c r="A6" i="150"/>
  <c r="N5" i="150"/>
  <c r="M5" i="150"/>
  <c r="L5" i="150"/>
  <c r="K5" i="150"/>
  <c r="H5" i="150"/>
  <c r="A5" i="150"/>
  <c r="N4" i="150"/>
  <c r="M4" i="150"/>
  <c r="L4" i="150"/>
  <c r="K4" i="150"/>
  <c r="H4" i="150"/>
  <c r="A4" i="150"/>
  <c r="N3" i="150"/>
  <c r="M3" i="150"/>
  <c r="L3" i="150"/>
  <c r="K3" i="150"/>
  <c r="H3" i="150"/>
  <c r="A3" i="150"/>
  <c r="N2" i="150"/>
  <c r="M2" i="150"/>
  <c r="L2" i="150"/>
  <c r="K2" i="150"/>
  <c r="H2" i="150"/>
  <c r="A2" i="150"/>
  <c r="F48" i="149"/>
  <c r="F47" i="149"/>
  <c r="B40" i="149"/>
  <c r="B41" i="149"/>
  <c r="B42" i="149"/>
  <c r="B43" i="149"/>
  <c r="B44" i="149"/>
  <c r="B45" i="149"/>
  <c r="B46" i="149"/>
  <c r="B47" i="149"/>
  <c r="C40" i="149"/>
  <c r="C41" i="149"/>
  <c r="C42" i="149"/>
  <c r="C43" i="149"/>
  <c r="C44" i="149"/>
  <c r="C45" i="149"/>
  <c r="C46" i="149"/>
  <c r="C47" i="149"/>
  <c r="F46" i="149"/>
  <c r="F45" i="149"/>
  <c r="F42" i="149"/>
  <c r="G42" i="149"/>
  <c r="F41" i="149"/>
  <c r="G41" i="149"/>
  <c r="F40" i="149"/>
  <c r="G40" i="149"/>
  <c r="B32" i="149"/>
  <c r="C19" i="149"/>
  <c r="C20" i="149"/>
  <c r="C21" i="149"/>
  <c r="C22" i="149"/>
  <c r="C23" i="149"/>
  <c r="C24" i="149"/>
  <c r="C25" i="149"/>
  <c r="C26" i="149"/>
  <c r="C27" i="149"/>
  <c r="C28" i="149"/>
  <c r="C29" i="149"/>
  <c r="C30" i="149"/>
  <c r="C31" i="149"/>
  <c r="C32" i="149"/>
  <c r="D32" i="149"/>
  <c r="I31" i="149"/>
  <c r="J31" i="149"/>
  <c r="F31" i="149"/>
  <c r="D31" i="149"/>
  <c r="I30" i="149"/>
  <c r="J30" i="149"/>
  <c r="F30" i="149"/>
  <c r="D30" i="149"/>
  <c r="I29" i="149"/>
  <c r="J29" i="149"/>
  <c r="F29" i="149"/>
  <c r="D29" i="149"/>
  <c r="I28" i="149"/>
  <c r="J28" i="149"/>
  <c r="F28" i="149"/>
  <c r="D28" i="149"/>
  <c r="I27" i="149"/>
  <c r="J27" i="149"/>
  <c r="F27" i="149"/>
  <c r="D27" i="149"/>
  <c r="I26" i="149"/>
  <c r="J26" i="149"/>
  <c r="F26" i="149"/>
  <c r="D26" i="149"/>
  <c r="I25" i="149"/>
  <c r="J25" i="149"/>
  <c r="F25" i="149"/>
  <c r="D25" i="149"/>
  <c r="I24" i="149"/>
  <c r="J24" i="149"/>
  <c r="F24" i="149"/>
  <c r="D24" i="149"/>
  <c r="I23" i="149"/>
  <c r="J23" i="149"/>
  <c r="F23" i="149"/>
  <c r="D23" i="149"/>
  <c r="I22" i="149"/>
  <c r="J22" i="149"/>
  <c r="F22" i="149"/>
  <c r="D22" i="149"/>
  <c r="I21" i="149"/>
  <c r="J21" i="149"/>
  <c r="F21" i="149"/>
  <c r="D21" i="149"/>
  <c r="R20" i="149"/>
  <c r="P20" i="149"/>
  <c r="O20" i="149"/>
  <c r="M20" i="149"/>
  <c r="I20" i="149"/>
  <c r="J20" i="149"/>
  <c r="F20" i="149"/>
  <c r="D20" i="149"/>
  <c r="R19" i="149"/>
  <c r="P19" i="149"/>
  <c r="O19" i="149"/>
  <c r="M19" i="149"/>
  <c r="I19" i="149"/>
  <c r="J19" i="149"/>
  <c r="F19" i="149"/>
  <c r="D19" i="149"/>
  <c r="R18" i="149"/>
  <c r="P18" i="149"/>
  <c r="O18" i="149"/>
  <c r="M18" i="149"/>
  <c r="I18" i="149"/>
  <c r="J18" i="149"/>
  <c r="F18" i="149"/>
  <c r="C18" i="149"/>
  <c r="D18" i="149"/>
  <c r="R17" i="149"/>
  <c r="P17" i="149"/>
  <c r="O17" i="149"/>
  <c r="M17" i="149"/>
  <c r="I17" i="149"/>
  <c r="J17" i="149"/>
  <c r="F17" i="149"/>
  <c r="C17" i="149"/>
  <c r="D17" i="149"/>
  <c r="V16" i="149"/>
  <c r="R16" i="149"/>
  <c r="P16" i="149"/>
  <c r="O16" i="149"/>
  <c r="M16" i="149"/>
  <c r="V15" i="149"/>
  <c r="R15" i="149"/>
  <c r="P15" i="149"/>
  <c r="O15" i="149"/>
  <c r="M15" i="149"/>
  <c r="V14" i="149"/>
  <c r="R14" i="149"/>
  <c r="P14" i="149"/>
  <c r="O14" i="149"/>
  <c r="M14" i="149"/>
  <c r="V13" i="149"/>
  <c r="R13" i="149"/>
  <c r="P13" i="149"/>
  <c r="O13" i="149"/>
  <c r="M13" i="149"/>
  <c r="V12" i="149"/>
  <c r="R12" i="149"/>
  <c r="P12" i="149"/>
  <c r="O12" i="149"/>
  <c r="M12" i="149"/>
  <c r="V11" i="149"/>
  <c r="R11" i="149"/>
  <c r="P11" i="149"/>
  <c r="O11" i="149"/>
  <c r="M11" i="149"/>
  <c r="V10" i="149"/>
  <c r="R10" i="149"/>
  <c r="P10" i="149"/>
  <c r="O10" i="149"/>
  <c r="M10" i="149"/>
  <c r="V9" i="149"/>
  <c r="R9" i="149"/>
  <c r="P9" i="149"/>
  <c r="O9" i="149"/>
  <c r="M9" i="149"/>
  <c r="V8" i="149"/>
  <c r="R8" i="149"/>
  <c r="P8" i="149"/>
  <c r="O8" i="149"/>
  <c r="M8" i="149"/>
  <c r="V7" i="149"/>
  <c r="R7" i="149"/>
  <c r="P7" i="149"/>
  <c r="O7" i="149"/>
  <c r="M7" i="149"/>
  <c r="V6" i="149"/>
  <c r="R6" i="149"/>
  <c r="P6" i="149"/>
  <c r="O6" i="149"/>
  <c r="M6" i="149"/>
  <c r="V5" i="149"/>
  <c r="R5" i="149"/>
  <c r="P5" i="149"/>
  <c r="O5" i="149"/>
  <c r="M5" i="149"/>
  <c r="V4" i="149"/>
  <c r="R4" i="149"/>
  <c r="P4" i="149"/>
  <c r="O4" i="149"/>
  <c r="M4" i="149"/>
  <c r="V3" i="149"/>
  <c r="R3" i="149"/>
  <c r="P3" i="149"/>
  <c r="O3" i="149"/>
  <c r="M3" i="149"/>
  <c r="V2" i="149"/>
  <c r="P283" i="148"/>
  <c r="N283" i="148"/>
  <c r="M283" i="148"/>
  <c r="L283" i="148"/>
  <c r="K283" i="148"/>
  <c r="H283" i="148"/>
  <c r="A283" i="148"/>
  <c r="P282" i="148"/>
  <c r="N282" i="148"/>
  <c r="M282" i="148"/>
  <c r="L282" i="148"/>
  <c r="K282" i="148"/>
  <c r="H282" i="148"/>
  <c r="A282" i="148"/>
  <c r="P281" i="148"/>
  <c r="N281" i="148"/>
  <c r="M281" i="148"/>
  <c r="L281" i="148"/>
  <c r="K281" i="148"/>
  <c r="H281" i="148"/>
  <c r="A281" i="148"/>
  <c r="P280" i="148"/>
  <c r="N280" i="148"/>
  <c r="M280" i="148"/>
  <c r="L280" i="148"/>
  <c r="K280" i="148"/>
  <c r="H280" i="148"/>
  <c r="A280" i="148"/>
  <c r="P279" i="148"/>
  <c r="N279" i="148"/>
  <c r="M279" i="148"/>
  <c r="L279" i="148"/>
  <c r="K279" i="148"/>
  <c r="H279" i="148"/>
  <c r="A279" i="148"/>
  <c r="P278" i="148"/>
  <c r="N278" i="148"/>
  <c r="M278" i="148"/>
  <c r="L278" i="148"/>
  <c r="K278" i="148"/>
  <c r="H278" i="148"/>
  <c r="A278" i="148"/>
  <c r="P277" i="148"/>
  <c r="N277" i="148"/>
  <c r="M277" i="148"/>
  <c r="L277" i="148"/>
  <c r="K277" i="148"/>
  <c r="H277" i="148"/>
  <c r="A277" i="148"/>
  <c r="P276" i="148"/>
  <c r="N276" i="148"/>
  <c r="M276" i="148"/>
  <c r="L276" i="148"/>
  <c r="K276" i="148"/>
  <c r="H276" i="148"/>
  <c r="A276" i="148"/>
  <c r="P275" i="148"/>
  <c r="N275" i="148"/>
  <c r="M275" i="148"/>
  <c r="L275" i="148"/>
  <c r="K275" i="148"/>
  <c r="H275" i="148"/>
  <c r="A275" i="148"/>
  <c r="P274" i="148"/>
  <c r="N274" i="148"/>
  <c r="M274" i="148"/>
  <c r="L274" i="148"/>
  <c r="K274" i="148"/>
  <c r="H274" i="148"/>
  <c r="A274" i="148"/>
  <c r="P273" i="148"/>
  <c r="N273" i="148"/>
  <c r="M273" i="148"/>
  <c r="L273" i="148"/>
  <c r="K273" i="148"/>
  <c r="H273" i="148"/>
  <c r="A273" i="148"/>
  <c r="P272" i="148"/>
  <c r="N272" i="148"/>
  <c r="M272" i="148"/>
  <c r="L272" i="148"/>
  <c r="K272" i="148"/>
  <c r="H272" i="148"/>
  <c r="A272" i="148"/>
  <c r="P271" i="148"/>
  <c r="N271" i="148"/>
  <c r="M271" i="148"/>
  <c r="L271" i="148"/>
  <c r="K271" i="148"/>
  <c r="H271" i="148"/>
  <c r="A271" i="148"/>
  <c r="P270" i="148"/>
  <c r="N270" i="148"/>
  <c r="M270" i="148"/>
  <c r="L270" i="148"/>
  <c r="K270" i="148"/>
  <c r="H270" i="148"/>
  <c r="A270" i="148"/>
  <c r="P269" i="148"/>
  <c r="N269" i="148"/>
  <c r="M269" i="148"/>
  <c r="L269" i="148"/>
  <c r="K269" i="148"/>
  <c r="H269" i="148"/>
  <c r="A269" i="148"/>
  <c r="P268" i="148"/>
  <c r="N268" i="148"/>
  <c r="M268" i="148"/>
  <c r="L268" i="148"/>
  <c r="K268" i="148"/>
  <c r="H268" i="148"/>
  <c r="A268" i="148"/>
  <c r="P267" i="148"/>
  <c r="N267" i="148"/>
  <c r="M267" i="148"/>
  <c r="L267" i="148"/>
  <c r="K267" i="148"/>
  <c r="H267" i="148"/>
  <c r="A267" i="148"/>
  <c r="P266" i="148"/>
  <c r="N266" i="148"/>
  <c r="M266" i="148"/>
  <c r="L266" i="148"/>
  <c r="K266" i="148"/>
  <c r="H266" i="148"/>
  <c r="A266" i="148"/>
  <c r="P265" i="148"/>
  <c r="N265" i="148"/>
  <c r="M265" i="148"/>
  <c r="L265" i="148"/>
  <c r="K265" i="148"/>
  <c r="H265" i="148"/>
  <c r="A265" i="148"/>
  <c r="P264" i="148"/>
  <c r="N264" i="148"/>
  <c r="M264" i="148"/>
  <c r="L264" i="148"/>
  <c r="K264" i="148"/>
  <c r="H264" i="148"/>
  <c r="A264" i="148"/>
  <c r="P263" i="148"/>
  <c r="N263" i="148"/>
  <c r="M263" i="148"/>
  <c r="L263" i="148"/>
  <c r="K263" i="148"/>
  <c r="H263" i="148"/>
  <c r="A263" i="148"/>
  <c r="P262" i="148"/>
  <c r="N262" i="148"/>
  <c r="M262" i="148"/>
  <c r="L262" i="148"/>
  <c r="K262" i="148"/>
  <c r="H262" i="148"/>
  <c r="A262" i="148"/>
  <c r="P261" i="148"/>
  <c r="N261" i="148"/>
  <c r="M261" i="148"/>
  <c r="L261" i="148"/>
  <c r="K261" i="148"/>
  <c r="H261" i="148"/>
  <c r="A261" i="148"/>
  <c r="P260" i="148"/>
  <c r="N260" i="148"/>
  <c r="M260" i="148"/>
  <c r="L260" i="148"/>
  <c r="K260" i="148"/>
  <c r="H260" i="148"/>
  <c r="A260" i="148"/>
  <c r="P259" i="148"/>
  <c r="N259" i="148"/>
  <c r="M259" i="148"/>
  <c r="L259" i="148"/>
  <c r="K259" i="148"/>
  <c r="H259" i="148"/>
  <c r="A259" i="148"/>
  <c r="P258" i="148"/>
  <c r="N258" i="148"/>
  <c r="M258" i="148"/>
  <c r="L258" i="148"/>
  <c r="K258" i="148"/>
  <c r="H258" i="148"/>
  <c r="A258" i="148"/>
  <c r="P257" i="148"/>
  <c r="N257" i="148"/>
  <c r="M257" i="148"/>
  <c r="L257" i="148"/>
  <c r="K257" i="148"/>
  <c r="H257" i="148"/>
  <c r="A257" i="148"/>
  <c r="P256" i="148"/>
  <c r="N256" i="148"/>
  <c r="M256" i="148"/>
  <c r="L256" i="148"/>
  <c r="K256" i="148"/>
  <c r="H256" i="148"/>
  <c r="A256" i="148"/>
  <c r="P255" i="148"/>
  <c r="N255" i="148"/>
  <c r="M255" i="148"/>
  <c r="L255" i="148"/>
  <c r="K255" i="148"/>
  <c r="H255" i="148"/>
  <c r="A255" i="148"/>
  <c r="P254" i="148"/>
  <c r="N254" i="148"/>
  <c r="M254" i="148"/>
  <c r="L254" i="148"/>
  <c r="K254" i="148"/>
  <c r="H254" i="148"/>
  <c r="A254" i="148"/>
  <c r="P253" i="148"/>
  <c r="N253" i="148"/>
  <c r="M253" i="148"/>
  <c r="L253" i="148"/>
  <c r="K253" i="148"/>
  <c r="H253" i="148"/>
  <c r="A253" i="148"/>
  <c r="P252" i="148"/>
  <c r="N252" i="148"/>
  <c r="M252" i="148"/>
  <c r="L252" i="148"/>
  <c r="K252" i="148"/>
  <c r="H252" i="148"/>
  <c r="A252" i="148"/>
  <c r="P251" i="148"/>
  <c r="N251" i="148"/>
  <c r="M251" i="148"/>
  <c r="L251" i="148"/>
  <c r="K251" i="148"/>
  <c r="H251" i="148"/>
  <c r="A251" i="148"/>
  <c r="P250" i="148"/>
  <c r="N250" i="148"/>
  <c r="M250" i="148"/>
  <c r="L250" i="148"/>
  <c r="K250" i="148"/>
  <c r="H250" i="148"/>
  <c r="A250" i="148"/>
  <c r="P249" i="148"/>
  <c r="N249" i="148"/>
  <c r="M249" i="148"/>
  <c r="L249" i="148"/>
  <c r="K249" i="148"/>
  <c r="H249" i="148"/>
  <c r="A249" i="148"/>
  <c r="P248" i="148"/>
  <c r="N248" i="148"/>
  <c r="M248" i="148"/>
  <c r="L248" i="148"/>
  <c r="K248" i="148"/>
  <c r="H248" i="148"/>
  <c r="A248" i="148"/>
  <c r="P247" i="148"/>
  <c r="N247" i="148"/>
  <c r="M247" i="148"/>
  <c r="L247" i="148"/>
  <c r="K247" i="148"/>
  <c r="H247" i="148"/>
  <c r="A247" i="148"/>
  <c r="P246" i="148"/>
  <c r="N246" i="148"/>
  <c r="M246" i="148"/>
  <c r="L246" i="148"/>
  <c r="K246" i="148"/>
  <c r="H246" i="148"/>
  <c r="A246" i="148"/>
  <c r="P245" i="148"/>
  <c r="N245" i="148"/>
  <c r="M245" i="148"/>
  <c r="L245" i="148"/>
  <c r="K245" i="148"/>
  <c r="H245" i="148"/>
  <c r="A245" i="148"/>
  <c r="P244" i="148"/>
  <c r="N244" i="148"/>
  <c r="M244" i="148"/>
  <c r="L244" i="148"/>
  <c r="K244" i="148"/>
  <c r="H244" i="148"/>
  <c r="A244" i="148"/>
  <c r="P243" i="148"/>
  <c r="N243" i="148"/>
  <c r="M243" i="148"/>
  <c r="L243" i="148"/>
  <c r="K243" i="148"/>
  <c r="H243" i="148"/>
  <c r="A243" i="148"/>
  <c r="P242" i="148"/>
  <c r="N242" i="148"/>
  <c r="M242" i="148"/>
  <c r="L242" i="148"/>
  <c r="K242" i="148"/>
  <c r="H242" i="148"/>
  <c r="A242" i="148"/>
  <c r="P241" i="148"/>
  <c r="N241" i="148"/>
  <c r="M241" i="148"/>
  <c r="L241" i="148"/>
  <c r="K241" i="148"/>
  <c r="H241" i="148"/>
  <c r="A241" i="148"/>
  <c r="P240" i="148"/>
  <c r="N240" i="148"/>
  <c r="M240" i="148"/>
  <c r="L240" i="148"/>
  <c r="K240" i="148"/>
  <c r="H240" i="148"/>
  <c r="A240" i="148"/>
  <c r="P239" i="148"/>
  <c r="N239" i="148"/>
  <c r="M239" i="148"/>
  <c r="L239" i="148"/>
  <c r="K239" i="148"/>
  <c r="H239" i="148"/>
  <c r="A239" i="148"/>
  <c r="P238" i="148"/>
  <c r="N238" i="148"/>
  <c r="M238" i="148"/>
  <c r="L238" i="148"/>
  <c r="K238" i="148"/>
  <c r="H238" i="148"/>
  <c r="A238" i="148"/>
  <c r="P237" i="148"/>
  <c r="N237" i="148"/>
  <c r="M237" i="148"/>
  <c r="L237" i="148"/>
  <c r="K237" i="148"/>
  <c r="H237" i="148"/>
  <c r="A237" i="148"/>
  <c r="P236" i="148"/>
  <c r="N236" i="148"/>
  <c r="M236" i="148"/>
  <c r="L236" i="148"/>
  <c r="K236" i="148"/>
  <c r="H236" i="148"/>
  <c r="A236" i="148"/>
  <c r="P235" i="148"/>
  <c r="N235" i="148"/>
  <c r="M235" i="148"/>
  <c r="L235" i="148"/>
  <c r="K235" i="148"/>
  <c r="H235" i="148"/>
  <c r="A235" i="148"/>
  <c r="P234" i="148"/>
  <c r="N234" i="148"/>
  <c r="M234" i="148"/>
  <c r="L234" i="148"/>
  <c r="K234" i="148"/>
  <c r="H234" i="148"/>
  <c r="A234" i="148"/>
  <c r="P233" i="148"/>
  <c r="N233" i="148"/>
  <c r="M233" i="148"/>
  <c r="L233" i="148"/>
  <c r="K233" i="148"/>
  <c r="H233" i="148"/>
  <c r="A233" i="148"/>
  <c r="P232" i="148"/>
  <c r="N232" i="148"/>
  <c r="M232" i="148"/>
  <c r="L232" i="148"/>
  <c r="K232" i="148"/>
  <c r="H232" i="148"/>
  <c r="A232" i="148"/>
  <c r="P231" i="148"/>
  <c r="N231" i="148"/>
  <c r="M231" i="148"/>
  <c r="L231" i="148"/>
  <c r="K231" i="148"/>
  <c r="H231" i="148"/>
  <c r="A231" i="148"/>
  <c r="P230" i="148"/>
  <c r="N230" i="148"/>
  <c r="M230" i="148"/>
  <c r="L230" i="148"/>
  <c r="K230" i="148"/>
  <c r="H230" i="148"/>
  <c r="A230" i="148"/>
  <c r="P229" i="148"/>
  <c r="N229" i="148"/>
  <c r="M229" i="148"/>
  <c r="L229" i="148"/>
  <c r="K229" i="148"/>
  <c r="H229" i="148"/>
  <c r="A229" i="148"/>
  <c r="P228" i="148"/>
  <c r="N228" i="148"/>
  <c r="M228" i="148"/>
  <c r="L228" i="148"/>
  <c r="K228" i="148"/>
  <c r="H228" i="148"/>
  <c r="A228" i="148"/>
  <c r="P227" i="148"/>
  <c r="N227" i="148"/>
  <c r="M227" i="148"/>
  <c r="L227" i="148"/>
  <c r="K227" i="148"/>
  <c r="H227" i="148"/>
  <c r="A227" i="148"/>
  <c r="P226" i="148"/>
  <c r="N226" i="148"/>
  <c r="M226" i="148"/>
  <c r="L226" i="148"/>
  <c r="K226" i="148"/>
  <c r="H226" i="148"/>
  <c r="A226" i="148"/>
  <c r="P225" i="148"/>
  <c r="N225" i="148"/>
  <c r="M225" i="148"/>
  <c r="L225" i="148"/>
  <c r="K225" i="148"/>
  <c r="H225" i="148"/>
  <c r="A225" i="148"/>
  <c r="P224" i="148"/>
  <c r="N224" i="148"/>
  <c r="M224" i="148"/>
  <c r="L224" i="148"/>
  <c r="K224" i="148"/>
  <c r="H224" i="148"/>
  <c r="A224" i="148"/>
  <c r="P223" i="148"/>
  <c r="N223" i="148"/>
  <c r="M223" i="148"/>
  <c r="L223" i="148"/>
  <c r="K223" i="148"/>
  <c r="H223" i="148"/>
  <c r="A223" i="148"/>
  <c r="P222" i="148"/>
  <c r="N222" i="148"/>
  <c r="M222" i="148"/>
  <c r="L222" i="148"/>
  <c r="K222" i="148"/>
  <c r="H222" i="148"/>
  <c r="A222" i="148"/>
  <c r="P221" i="148"/>
  <c r="N221" i="148"/>
  <c r="M221" i="148"/>
  <c r="L221" i="148"/>
  <c r="K221" i="148"/>
  <c r="H221" i="148"/>
  <c r="A221" i="148"/>
  <c r="P220" i="148"/>
  <c r="N220" i="148"/>
  <c r="M220" i="148"/>
  <c r="L220" i="148"/>
  <c r="K220" i="148"/>
  <c r="H220" i="148"/>
  <c r="A220" i="148"/>
  <c r="P219" i="148"/>
  <c r="N219" i="148"/>
  <c r="M219" i="148"/>
  <c r="L219" i="148"/>
  <c r="K219" i="148"/>
  <c r="H219" i="148"/>
  <c r="A219" i="148"/>
  <c r="P218" i="148"/>
  <c r="N218" i="148"/>
  <c r="M218" i="148"/>
  <c r="L218" i="148"/>
  <c r="K218" i="148"/>
  <c r="H218" i="148"/>
  <c r="A218" i="148"/>
  <c r="P217" i="148"/>
  <c r="N217" i="148"/>
  <c r="M217" i="148"/>
  <c r="L217" i="148"/>
  <c r="K217" i="148"/>
  <c r="H217" i="148"/>
  <c r="A217" i="148"/>
  <c r="P216" i="148"/>
  <c r="N216" i="148"/>
  <c r="M216" i="148"/>
  <c r="L216" i="148"/>
  <c r="K216" i="148"/>
  <c r="H216" i="148"/>
  <c r="A216" i="148"/>
  <c r="P215" i="148"/>
  <c r="N215" i="148"/>
  <c r="M215" i="148"/>
  <c r="L215" i="148"/>
  <c r="K215" i="148"/>
  <c r="H215" i="148"/>
  <c r="A215" i="148"/>
  <c r="P214" i="148"/>
  <c r="N214" i="148"/>
  <c r="M214" i="148"/>
  <c r="L214" i="148"/>
  <c r="K214" i="148"/>
  <c r="H214" i="148"/>
  <c r="A214" i="148"/>
  <c r="P213" i="148"/>
  <c r="N213" i="148"/>
  <c r="M213" i="148"/>
  <c r="L213" i="148"/>
  <c r="K213" i="148"/>
  <c r="H213" i="148"/>
  <c r="A213" i="148"/>
  <c r="P212" i="148"/>
  <c r="N212" i="148"/>
  <c r="M212" i="148"/>
  <c r="L212" i="148"/>
  <c r="K212" i="148"/>
  <c r="H212" i="148"/>
  <c r="A212" i="148"/>
  <c r="P211" i="148"/>
  <c r="N211" i="148"/>
  <c r="M211" i="148"/>
  <c r="L211" i="148"/>
  <c r="K211" i="148"/>
  <c r="H211" i="148"/>
  <c r="A211" i="148"/>
  <c r="P210" i="148"/>
  <c r="N210" i="148"/>
  <c r="M210" i="148"/>
  <c r="L210" i="148"/>
  <c r="K210" i="148"/>
  <c r="H210" i="148"/>
  <c r="A210" i="148"/>
  <c r="P209" i="148"/>
  <c r="N209" i="148"/>
  <c r="M209" i="148"/>
  <c r="L209" i="148"/>
  <c r="K209" i="148"/>
  <c r="H209" i="148"/>
  <c r="A209" i="148"/>
  <c r="P208" i="148"/>
  <c r="N208" i="148"/>
  <c r="M208" i="148"/>
  <c r="L208" i="148"/>
  <c r="K208" i="148"/>
  <c r="H208" i="148"/>
  <c r="A208" i="148"/>
  <c r="P207" i="148"/>
  <c r="N207" i="148"/>
  <c r="M207" i="148"/>
  <c r="L207" i="148"/>
  <c r="K207" i="148"/>
  <c r="H207" i="148"/>
  <c r="A207" i="148"/>
  <c r="P206" i="148"/>
  <c r="N206" i="148"/>
  <c r="M206" i="148"/>
  <c r="L206" i="148"/>
  <c r="K206" i="148"/>
  <c r="H206" i="148"/>
  <c r="A206" i="148"/>
  <c r="P205" i="148"/>
  <c r="N205" i="148"/>
  <c r="M205" i="148"/>
  <c r="L205" i="148"/>
  <c r="K205" i="148"/>
  <c r="H205" i="148"/>
  <c r="A205" i="148"/>
  <c r="P204" i="148"/>
  <c r="N204" i="148"/>
  <c r="M204" i="148"/>
  <c r="L204" i="148"/>
  <c r="K204" i="148"/>
  <c r="H204" i="148"/>
  <c r="A204" i="148"/>
  <c r="P203" i="148"/>
  <c r="N203" i="148"/>
  <c r="M203" i="148"/>
  <c r="L203" i="148"/>
  <c r="K203" i="148"/>
  <c r="H203" i="148"/>
  <c r="A203" i="148"/>
  <c r="P202" i="148"/>
  <c r="N202" i="148"/>
  <c r="M202" i="148"/>
  <c r="L202" i="148"/>
  <c r="K202" i="148"/>
  <c r="H202" i="148"/>
  <c r="A202" i="148"/>
  <c r="P201" i="148"/>
  <c r="N201" i="148"/>
  <c r="M201" i="148"/>
  <c r="L201" i="148"/>
  <c r="K201" i="148"/>
  <c r="H201" i="148"/>
  <c r="A201" i="148"/>
  <c r="P200" i="148"/>
  <c r="N200" i="148"/>
  <c r="M200" i="148"/>
  <c r="L200" i="148"/>
  <c r="K200" i="148"/>
  <c r="H200" i="148"/>
  <c r="A200" i="148"/>
  <c r="P199" i="148"/>
  <c r="N199" i="148"/>
  <c r="M199" i="148"/>
  <c r="L199" i="148"/>
  <c r="K199" i="148"/>
  <c r="H199" i="148"/>
  <c r="A199" i="148"/>
  <c r="P198" i="148"/>
  <c r="N198" i="148"/>
  <c r="M198" i="148"/>
  <c r="L198" i="148"/>
  <c r="K198" i="148"/>
  <c r="H198" i="148"/>
  <c r="A198" i="148"/>
  <c r="P197" i="148"/>
  <c r="N197" i="148"/>
  <c r="M197" i="148"/>
  <c r="L197" i="148"/>
  <c r="K197" i="148"/>
  <c r="H197" i="148"/>
  <c r="A197" i="148"/>
  <c r="P196" i="148"/>
  <c r="N196" i="148"/>
  <c r="M196" i="148"/>
  <c r="L196" i="148"/>
  <c r="K196" i="148"/>
  <c r="H196" i="148"/>
  <c r="A196" i="148"/>
  <c r="P195" i="148"/>
  <c r="N195" i="148"/>
  <c r="M195" i="148"/>
  <c r="L195" i="148"/>
  <c r="K195" i="148"/>
  <c r="H195" i="148"/>
  <c r="A195" i="148"/>
  <c r="P194" i="148"/>
  <c r="N194" i="148"/>
  <c r="M194" i="148"/>
  <c r="L194" i="148"/>
  <c r="K194" i="148"/>
  <c r="H194" i="148"/>
  <c r="A194" i="148"/>
  <c r="P193" i="148"/>
  <c r="N193" i="148"/>
  <c r="M193" i="148"/>
  <c r="L193" i="148"/>
  <c r="K193" i="148"/>
  <c r="H193" i="148"/>
  <c r="A193" i="148"/>
  <c r="P192" i="148"/>
  <c r="N192" i="148"/>
  <c r="M192" i="148"/>
  <c r="L192" i="148"/>
  <c r="K192" i="148"/>
  <c r="H192" i="148"/>
  <c r="A192" i="148"/>
  <c r="P191" i="148"/>
  <c r="N191" i="148"/>
  <c r="M191" i="148"/>
  <c r="L191" i="148"/>
  <c r="K191" i="148"/>
  <c r="H191" i="148"/>
  <c r="A191" i="148"/>
  <c r="P190" i="148"/>
  <c r="N190" i="148"/>
  <c r="M190" i="148"/>
  <c r="L190" i="148"/>
  <c r="K190" i="148"/>
  <c r="H190" i="148"/>
  <c r="A190" i="148"/>
  <c r="P189" i="148"/>
  <c r="N189" i="148"/>
  <c r="M189" i="148"/>
  <c r="L189" i="148"/>
  <c r="K189" i="148"/>
  <c r="H189" i="148"/>
  <c r="A189" i="148"/>
  <c r="P188" i="148"/>
  <c r="N188" i="148"/>
  <c r="M188" i="148"/>
  <c r="L188" i="148"/>
  <c r="K188" i="148"/>
  <c r="H188" i="148"/>
  <c r="A188" i="148"/>
  <c r="P187" i="148"/>
  <c r="N187" i="148"/>
  <c r="M187" i="148"/>
  <c r="L187" i="148"/>
  <c r="K187" i="148"/>
  <c r="H187" i="148"/>
  <c r="A187" i="148"/>
  <c r="P186" i="148"/>
  <c r="N186" i="148"/>
  <c r="M186" i="148"/>
  <c r="L186" i="148"/>
  <c r="K186" i="148"/>
  <c r="H186" i="148"/>
  <c r="A186" i="148"/>
  <c r="P185" i="148"/>
  <c r="N185" i="148"/>
  <c r="M185" i="148"/>
  <c r="L185" i="148"/>
  <c r="K185" i="148"/>
  <c r="H185" i="148"/>
  <c r="A185" i="148"/>
  <c r="P184" i="148"/>
  <c r="N184" i="148"/>
  <c r="M184" i="148"/>
  <c r="L184" i="148"/>
  <c r="K184" i="148"/>
  <c r="H184" i="148"/>
  <c r="A184" i="148"/>
  <c r="P183" i="148"/>
  <c r="N183" i="148"/>
  <c r="M183" i="148"/>
  <c r="L183" i="148"/>
  <c r="K183" i="148"/>
  <c r="H183" i="148"/>
  <c r="A183" i="148"/>
  <c r="P182" i="148"/>
  <c r="N182" i="148"/>
  <c r="M182" i="148"/>
  <c r="L182" i="148"/>
  <c r="K182" i="148"/>
  <c r="H182" i="148"/>
  <c r="A182" i="148"/>
  <c r="P181" i="148"/>
  <c r="N181" i="148"/>
  <c r="M181" i="148"/>
  <c r="L181" i="148"/>
  <c r="K181" i="148"/>
  <c r="H181" i="148"/>
  <c r="A181" i="148"/>
  <c r="P180" i="148"/>
  <c r="N180" i="148"/>
  <c r="M180" i="148"/>
  <c r="L180" i="148"/>
  <c r="K180" i="148"/>
  <c r="H180" i="148"/>
  <c r="A180" i="148"/>
  <c r="P179" i="148"/>
  <c r="N179" i="148"/>
  <c r="M179" i="148"/>
  <c r="L179" i="148"/>
  <c r="K179" i="148"/>
  <c r="H179" i="148"/>
  <c r="A179" i="148"/>
  <c r="P178" i="148"/>
  <c r="N178" i="148"/>
  <c r="M178" i="148"/>
  <c r="L178" i="148"/>
  <c r="K178" i="148"/>
  <c r="H178" i="148"/>
  <c r="A178" i="148"/>
  <c r="P177" i="148"/>
  <c r="N177" i="148"/>
  <c r="M177" i="148"/>
  <c r="L177" i="148"/>
  <c r="K177" i="148"/>
  <c r="H177" i="148"/>
  <c r="A177" i="148"/>
  <c r="P176" i="148"/>
  <c r="N176" i="148"/>
  <c r="M176" i="148"/>
  <c r="L176" i="148"/>
  <c r="K176" i="148"/>
  <c r="H176" i="148"/>
  <c r="A176" i="148"/>
  <c r="P175" i="148"/>
  <c r="N175" i="148"/>
  <c r="M175" i="148"/>
  <c r="L175" i="148"/>
  <c r="K175" i="148"/>
  <c r="H175" i="148"/>
  <c r="A175" i="148"/>
  <c r="P174" i="148"/>
  <c r="N174" i="148"/>
  <c r="M174" i="148"/>
  <c r="L174" i="148"/>
  <c r="K174" i="148"/>
  <c r="H174" i="148"/>
  <c r="A174" i="148"/>
  <c r="P173" i="148"/>
  <c r="N173" i="148"/>
  <c r="M173" i="148"/>
  <c r="L173" i="148"/>
  <c r="K173" i="148"/>
  <c r="H173" i="148"/>
  <c r="A173" i="148"/>
  <c r="P172" i="148"/>
  <c r="N172" i="148"/>
  <c r="M172" i="148"/>
  <c r="L172" i="148"/>
  <c r="K172" i="148"/>
  <c r="H172" i="148"/>
  <c r="A172" i="148"/>
  <c r="P171" i="148"/>
  <c r="N171" i="148"/>
  <c r="M171" i="148"/>
  <c r="L171" i="148"/>
  <c r="K171" i="148"/>
  <c r="H171" i="148"/>
  <c r="A171" i="148"/>
  <c r="P170" i="148"/>
  <c r="N170" i="148"/>
  <c r="M170" i="148"/>
  <c r="L170" i="148"/>
  <c r="K170" i="148"/>
  <c r="H170" i="148"/>
  <c r="A170" i="148"/>
  <c r="P169" i="148"/>
  <c r="N169" i="148"/>
  <c r="M169" i="148"/>
  <c r="L169" i="148"/>
  <c r="K169" i="148"/>
  <c r="H169" i="148"/>
  <c r="A169" i="148"/>
  <c r="P168" i="148"/>
  <c r="N168" i="148"/>
  <c r="M168" i="148"/>
  <c r="L168" i="148"/>
  <c r="K168" i="148"/>
  <c r="H168" i="148"/>
  <c r="A168" i="148"/>
  <c r="P167" i="148"/>
  <c r="N167" i="148"/>
  <c r="M167" i="148"/>
  <c r="L167" i="148"/>
  <c r="K167" i="148"/>
  <c r="H167" i="148"/>
  <c r="A167" i="148"/>
  <c r="P166" i="148"/>
  <c r="N166" i="148"/>
  <c r="M166" i="148"/>
  <c r="L166" i="148"/>
  <c r="K166" i="148"/>
  <c r="H166" i="148"/>
  <c r="A166" i="148"/>
  <c r="P165" i="148"/>
  <c r="N165" i="148"/>
  <c r="M165" i="148"/>
  <c r="L165" i="148"/>
  <c r="K165" i="148"/>
  <c r="H165" i="148"/>
  <c r="A165" i="148"/>
  <c r="P164" i="148"/>
  <c r="N164" i="148"/>
  <c r="M164" i="148"/>
  <c r="L164" i="148"/>
  <c r="K164" i="148"/>
  <c r="H164" i="148"/>
  <c r="A164" i="148"/>
  <c r="P163" i="148"/>
  <c r="N163" i="148"/>
  <c r="M163" i="148"/>
  <c r="L163" i="148"/>
  <c r="K163" i="148"/>
  <c r="H163" i="148"/>
  <c r="A163" i="148"/>
  <c r="P162" i="148"/>
  <c r="N162" i="148"/>
  <c r="M162" i="148"/>
  <c r="L162" i="148"/>
  <c r="K162" i="148"/>
  <c r="H162" i="148"/>
  <c r="A162" i="148"/>
  <c r="P161" i="148"/>
  <c r="N161" i="148"/>
  <c r="M161" i="148"/>
  <c r="L161" i="148"/>
  <c r="K161" i="148"/>
  <c r="H161" i="148"/>
  <c r="A161" i="148"/>
  <c r="P160" i="148"/>
  <c r="N160" i="148"/>
  <c r="M160" i="148"/>
  <c r="L160" i="148"/>
  <c r="K160" i="148"/>
  <c r="H160" i="148"/>
  <c r="A160" i="148"/>
  <c r="P159" i="148"/>
  <c r="N159" i="148"/>
  <c r="M159" i="148"/>
  <c r="L159" i="148"/>
  <c r="K159" i="148"/>
  <c r="H159" i="148"/>
  <c r="A159" i="148"/>
  <c r="P158" i="148"/>
  <c r="N158" i="148"/>
  <c r="M158" i="148"/>
  <c r="L158" i="148"/>
  <c r="K158" i="148"/>
  <c r="H158" i="148"/>
  <c r="A158" i="148"/>
  <c r="P157" i="148"/>
  <c r="N157" i="148"/>
  <c r="M157" i="148"/>
  <c r="L157" i="148"/>
  <c r="K157" i="148"/>
  <c r="H157" i="148"/>
  <c r="A157" i="148"/>
  <c r="P156" i="148"/>
  <c r="N156" i="148"/>
  <c r="M156" i="148"/>
  <c r="L156" i="148"/>
  <c r="K156" i="148"/>
  <c r="H156" i="148"/>
  <c r="A156" i="148"/>
  <c r="P155" i="148"/>
  <c r="N155" i="148"/>
  <c r="M155" i="148"/>
  <c r="L155" i="148"/>
  <c r="K155" i="148"/>
  <c r="H155" i="148"/>
  <c r="A155" i="148"/>
  <c r="P154" i="148"/>
  <c r="N154" i="148"/>
  <c r="M154" i="148"/>
  <c r="L154" i="148"/>
  <c r="K154" i="148"/>
  <c r="H154" i="148"/>
  <c r="A154" i="148"/>
  <c r="P153" i="148"/>
  <c r="N153" i="148"/>
  <c r="M153" i="148"/>
  <c r="L153" i="148"/>
  <c r="K153" i="148"/>
  <c r="H153" i="148"/>
  <c r="A153" i="148"/>
  <c r="P152" i="148"/>
  <c r="N152" i="148"/>
  <c r="M152" i="148"/>
  <c r="L152" i="148"/>
  <c r="K152" i="148"/>
  <c r="H152" i="148"/>
  <c r="A152" i="148"/>
  <c r="P151" i="148"/>
  <c r="N151" i="148"/>
  <c r="M151" i="148"/>
  <c r="L151" i="148"/>
  <c r="K151" i="148"/>
  <c r="H151" i="148"/>
  <c r="A151" i="148"/>
  <c r="P150" i="148"/>
  <c r="N150" i="148"/>
  <c r="M150" i="148"/>
  <c r="L150" i="148"/>
  <c r="K150" i="148"/>
  <c r="H150" i="148"/>
  <c r="A150" i="148"/>
  <c r="P149" i="148"/>
  <c r="N149" i="148"/>
  <c r="M149" i="148"/>
  <c r="L149" i="148"/>
  <c r="K149" i="148"/>
  <c r="H149" i="148"/>
  <c r="A149" i="148"/>
  <c r="P148" i="148"/>
  <c r="N148" i="148"/>
  <c r="M148" i="148"/>
  <c r="L148" i="148"/>
  <c r="K148" i="148"/>
  <c r="H148" i="148"/>
  <c r="A148" i="148"/>
  <c r="P147" i="148"/>
  <c r="N147" i="148"/>
  <c r="M147" i="148"/>
  <c r="L147" i="148"/>
  <c r="K147" i="148"/>
  <c r="H147" i="148"/>
  <c r="A147" i="148"/>
  <c r="P146" i="148"/>
  <c r="N146" i="148"/>
  <c r="M146" i="148"/>
  <c r="L146" i="148"/>
  <c r="K146" i="148"/>
  <c r="H146" i="148"/>
  <c r="A146" i="148"/>
  <c r="P145" i="148"/>
  <c r="N145" i="148"/>
  <c r="M145" i="148"/>
  <c r="L145" i="148"/>
  <c r="K145" i="148"/>
  <c r="H145" i="148"/>
  <c r="A145" i="148"/>
  <c r="P144" i="148"/>
  <c r="N144" i="148"/>
  <c r="M144" i="148"/>
  <c r="L144" i="148"/>
  <c r="K144" i="148"/>
  <c r="H144" i="148"/>
  <c r="A144" i="148"/>
  <c r="P143" i="148"/>
  <c r="N143" i="148"/>
  <c r="M143" i="148"/>
  <c r="L143" i="148"/>
  <c r="K143" i="148"/>
  <c r="H143" i="148"/>
  <c r="A143" i="148"/>
  <c r="P142" i="148"/>
  <c r="N142" i="148"/>
  <c r="M142" i="148"/>
  <c r="L142" i="148"/>
  <c r="K142" i="148"/>
  <c r="H142" i="148"/>
  <c r="A142" i="148"/>
  <c r="P141" i="148"/>
  <c r="N141" i="148"/>
  <c r="M141" i="148"/>
  <c r="L141" i="148"/>
  <c r="K141" i="148"/>
  <c r="H141" i="148"/>
  <c r="A141" i="148"/>
  <c r="P140" i="148"/>
  <c r="N140" i="148"/>
  <c r="M140" i="148"/>
  <c r="L140" i="148"/>
  <c r="K140" i="148"/>
  <c r="H140" i="148"/>
  <c r="A140" i="148"/>
  <c r="P139" i="148"/>
  <c r="N139" i="148"/>
  <c r="M139" i="148"/>
  <c r="L139" i="148"/>
  <c r="K139" i="148"/>
  <c r="H139" i="148"/>
  <c r="A139" i="148"/>
  <c r="P138" i="148"/>
  <c r="N138" i="148"/>
  <c r="M138" i="148"/>
  <c r="L138" i="148"/>
  <c r="K138" i="148"/>
  <c r="H138" i="148"/>
  <c r="A138" i="148"/>
  <c r="P137" i="148"/>
  <c r="N137" i="148"/>
  <c r="M137" i="148"/>
  <c r="L137" i="148"/>
  <c r="K137" i="148"/>
  <c r="H137" i="148"/>
  <c r="A137" i="148"/>
  <c r="P136" i="148"/>
  <c r="N136" i="148"/>
  <c r="M136" i="148"/>
  <c r="L136" i="148"/>
  <c r="K136" i="148"/>
  <c r="H136" i="148"/>
  <c r="A136" i="148"/>
  <c r="P135" i="148"/>
  <c r="N135" i="148"/>
  <c r="M135" i="148"/>
  <c r="L135" i="148"/>
  <c r="K135" i="148"/>
  <c r="H135" i="148"/>
  <c r="A135" i="148"/>
  <c r="P134" i="148"/>
  <c r="N134" i="148"/>
  <c r="M134" i="148"/>
  <c r="L134" i="148"/>
  <c r="K134" i="148"/>
  <c r="H134" i="148"/>
  <c r="A134" i="148"/>
  <c r="P133" i="148"/>
  <c r="N133" i="148"/>
  <c r="M133" i="148"/>
  <c r="L133" i="148"/>
  <c r="K133" i="148"/>
  <c r="H133" i="148"/>
  <c r="A133" i="148"/>
  <c r="P132" i="148"/>
  <c r="N132" i="148"/>
  <c r="M132" i="148"/>
  <c r="L132" i="148"/>
  <c r="K132" i="148"/>
  <c r="H132" i="148"/>
  <c r="A132" i="148"/>
  <c r="P131" i="148"/>
  <c r="N131" i="148"/>
  <c r="M131" i="148"/>
  <c r="L131" i="148"/>
  <c r="K131" i="148"/>
  <c r="H131" i="148"/>
  <c r="A131" i="148"/>
  <c r="P130" i="148"/>
  <c r="N130" i="148"/>
  <c r="M130" i="148"/>
  <c r="L130" i="148"/>
  <c r="K130" i="148"/>
  <c r="H130" i="148"/>
  <c r="A130" i="148"/>
  <c r="P129" i="148"/>
  <c r="N129" i="148"/>
  <c r="M129" i="148"/>
  <c r="L129" i="148"/>
  <c r="K129" i="148"/>
  <c r="H129" i="148"/>
  <c r="A129" i="148"/>
  <c r="P128" i="148"/>
  <c r="N128" i="148"/>
  <c r="M128" i="148"/>
  <c r="L128" i="148"/>
  <c r="K128" i="148"/>
  <c r="H128" i="148"/>
  <c r="A128" i="148"/>
  <c r="P127" i="148"/>
  <c r="N127" i="148"/>
  <c r="M127" i="148"/>
  <c r="L127" i="148"/>
  <c r="K127" i="148"/>
  <c r="H127" i="148"/>
  <c r="A127" i="148"/>
  <c r="P126" i="148"/>
  <c r="N126" i="148"/>
  <c r="M126" i="148"/>
  <c r="L126" i="148"/>
  <c r="K126" i="148"/>
  <c r="H126" i="148"/>
  <c r="A126" i="148"/>
  <c r="P125" i="148"/>
  <c r="N125" i="148"/>
  <c r="M125" i="148"/>
  <c r="L125" i="148"/>
  <c r="K125" i="148"/>
  <c r="H125" i="148"/>
  <c r="A125" i="148"/>
  <c r="P124" i="148"/>
  <c r="N124" i="148"/>
  <c r="M124" i="148"/>
  <c r="L124" i="148"/>
  <c r="K124" i="148"/>
  <c r="H124" i="148"/>
  <c r="A124" i="148"/>
  <c r="P123" i="148"/>
  <c r="N123" i="148"/>
  <c r="M123" i="148"/>
  <c r="L123" i="148"/>
  <c r="K123" i="148"/>
  <c r="H123" i="148"/>
  <c r="A123" i="148"/>
  <c r="P122" i="148"/>
  <c r="N122" i="148"/>
  <c r="M122" i="148"/>
  <c r="L122" i="148"/>
  <c r="K122" i="148"/>
  <c r="H122" i="148"/>
  <c r="A122" i="148"/>
  <c r="P121" i="148"/>
  <c r="N121" i="148"/>
  <c r="M121" i="148"/>
  <c r="L121" i="148"/>
  <c r="K121" i="148"/>
  <c r="H121" i="148"/>
  <c r="A121" i="148"/>
  <c r="P120" i="148"/>
  <c r="N120" i="148"/>
  <c r="M120" i="148"/>
  <c r="L120" i="148"/>
  <c r="K120" i="148"/>
  <c r="H120" i="148"/>
  <c r="A120" i="148"/>
  <c r="P119" i="148"/>
  <c r="N119" i="148"/>
  <c r="M119" i="148"/>
  <c r="L119" i="148"/>
  <c r="K119" i="148"/>
  <c r="H119" i="148"/>
  <c r="A119" i="148"/>
  <c r="P118" i="148"/>
  <c r="N118" i="148"/>
  <c r="M118" i="148"/>
  <c r="L118" i="148"/>
  <c r="K118" i="148"/>
  <c r="H118" i="148"/>
  <c r="A118" i="148"/>
  <c r="P117" i="148"/>
  <c r="N117" i="148"/>
  <c r="M117" i="148"/>
  <c r="L117" i="148"/>
  <c r="K117" i="148"/>
  <c r="H117" i="148"/>
  <c r="A117" i="148"/>
  <c r="P116" i="148"/>
  <c r="N116" i="148"/>
  <c r="M116" i="148"/>
  <c r="L116" i="148"/>
  <c r="K116" i="148"/>
  <c r="H116" i="148"/>
  <c r="A116" i="148"/>
  <c r="P115" i="148"/>
  <c r="N115" i="148"/>
  <c r="M115" i="148"/>
  <c r="L115" i="148"/>
  <c r="K115" i="148"/>
  <c r="H115" i="148"/>
  <c r="A115" i="148"/>
  <c r="P114" i="148"/>
  <c r="N114" i="148"/>
  <c r="M114" i="148"/>
  <c r="L114" i="148"/>
  <c r="K114" i="148"/>
  <c r="H114" i="148"/>
  <c r="A114" i="148"/>
  <c r="P113" i="148"/>
  <c r="N113" i="148"/>
  <c r="M113" i="148"/>
  <c r="L113" i="148"/>
  <c r="K113" i="148"/>
  <c r="H113" i="148"/>
  <c r="A113" i="148"/>
  <c r="P112" i="148"/>
  <c r="N112" i="148"/>
  <c r="M112" i="148"/>
  <c r="L112" i="148"/>
  <c r="K112" i="148"/>
  <c r="H112" i="148"/>
  <c r="A112" i="148"/>
  <c r="P111" i="148"/>
  <c r="N111" i="148"/>
  <c r="M111" i="148"/>
  <c r="L111" i="148"/>
  <c r="K111" i="148"/>
  <c r="H111" i="148"/>
  <c r="A111" i="148"/>
  <c r="P110" i="148"/>
  <c r="N110" i="148"/>
  <c r="M110" i="148"/>
  <c r="L110" i="148"/>
  <c r="K110" i="148"/>
  <c r="H110" i="148"/>
  <c r="A110" i="148"/>
  <c r="P109" i="148"/>
  <c r="N109" i="148"/>
  <c r="M109" i="148"/>
  <c r="L109" i="148"/>
  <c r="K109" i="148"/>
  <c r="H109" i="148"/>
  <c r="A109" i="148"/>
  <c r="P108" i="148"/>
  <c r="N108" i="148"/>
  <c r="M108" i="148"/>
  <c r="L108" i="148"/>
  <c r="K108" i="148"/>
  <c r="H108" i="148"/>
  <c r="A108" i="148"/>
  <c r="P107" i="148"/>
  <c r="N107" i="148"/>
  <c r="M107" i="148"/>
  <c r="L107" i="148"/>
  <c r="K107" i="148"/>
  <c r="H107" i="148"/>
  <c r="A107" i="148"/>
  <c r="P106" i="148"/>
  <c r="N106" i="148"/>
  <c r="M106" i="148"/>
  <c r="L106" i="148"/>
  <c r="K106" i="148"/>
  <c r="H106" i="148"/>
  <c r="A106" i="148"/>
  <c r="P105" i="148"/>
  <c r="N105" i="148"/>
  <c r="M105" i="148"/>
  <c r="L105" i="148"/>
  <c r="K105" i="148"/>
  <c r="H105" i="148"/>
  <c r="A105" i="148"/>
  <c r="P104" i="148"/>
  <c r="N104" i="148"/>
  <c r="M104" i="148"/>
  <c r="L104" i="148"/>
  <c r="K104" i="148"/>
  <c r="H104" i="148"/>
  <c r="A104" i="148"/>
  <c r="P103" i="148"/>
  <c r="N103" i="148"/>
  <c r="M103" i="148"/>
  <c r="L103" i="148"/>
  <c r="K103" i="148"/>
  <c r="H103" i="148"/>
  <c r="A103" i="148"/>
  <c r="P102" i="148"/>
  <c r="N102" i="148"/>
  <c r="M102" i="148"/>
  <c r="L102" i="148"/>
  <c r="K102" i="148"/>
  <c r="H102" i="148"/>
  <c r="A102" i="148"/>
  <c r="P101" i="148"/>
  <c r="N101" i="148"/>
  <c r="M101" i="148"/>
  <c r="L101" i="148"/>
  <c r="K101" i="148"/>
  <c r="H101" i="148"/>
  <c r="A101" i="148"/>
  <c r="P100" i="148"/>
  <c r="N100" i="148"/>
  <c r="M100" i="148"/>
  <c r="L100" i="148"/>
  <c r="K100" i="148"/>
  <c r="H100" i="148"/>
  <c r="A100" i="148"/>
  <c r="P99" i="148"/>
  <c r="N99" i="148"/>
  <c r="M99" i="148"/>
  <c r="L99" i="148"/>
  <c r="K99" i="148"/>
  <c r="H99" i="148"/>
  <c r="A99" i="148"/>
  <c r="P98" i="148"/>
  <c r="N98" i="148"/>
  <c r="M98" i="148"/>
  <c r="L98" i="148"/>
  <c r="K98" i="148"/>
  <c r="H98" i="148"/>
  <c r="A98" i="148"/>
  <c r="P97" i="148"/>
  <c r="N97" i="148"/>
  <c r="M97" i="148"/>
  <c r="L97" i="148"/>
  <c r="K97" i="148"/>
  <c r="H97" i="148"/>
  <c r="A97" i="148"/>
  <c r="P96" i="148"/>
  <c r="N96" i="148"/>
  <c r="M96" i="148"/>
  <c r="L96" i="148"/>
  <c r="K96" i="148"/>
  <c r="H96" i="148"/>
  <c r="A96" i="148"/>
  <c r="P95" i="148"/>
  <c r="N95" i="148"/>
  <c r="M95" i="148"/>
  <c r="L95" i="148"/>
  <c r="K95" i="148"/>
  <c r="H95" i="148"/>
  <c r="A95" i="148"/>
  <c r="P94" i="148"/>
  <c r="N94" i="148"/>
  <c r="M94" i="148"/>
  <c r="L94" i="148"/>
  <c r="K94" i="148"/>
  <c r="H94" i="148"/>
  <c r="A94" i="148"/>
  <c r="P93" i="148"/>
  <c r="N93" i="148"/>
  <c r="M93" i="148"/>
  <c r="L93" i="148"/>
  <c r="K93" i="148"/>
  <c r="H93" i="148"/>
  <c r="A93" i="148"/>
  <c r="P92" i="148"/>
  <c r="N92" i="148"/>
  <c r="M92" i="148"/>
  <c r="L92" i="148"/>
  <c r="K92" i="148"/>
  <c r="H92" i="148"/>
  <c r="A92" i="148"/>
  <c r="P91" i="148"/>
  <c r="N91" i="148"/>
  <c r="M91" i="148"/>
  <c r="L91" i="148"/>
  <c r="K91" i="148"/>
  <c r="H91" i="148"/>
  <c r="A91" i="148"/>
  <c r="P90" i="148"/>
  <c r="N90" i="148"/>
  <c r="M90" i="148"/>
  <c r="L90" i="148"/>
  <c r="K90" i="148"/>
  <c r="H90" i="148"/>
  <c r="A90" i="148"/>
  <c r="P89" i="148"/>
  <c r="N89" i="148"/>
  <c r="M89" i="148"/>
  <c r="L89" i="148"/>
  <c r="K89" i="148"/>
  <c r="H89" i="148"/>
  <c r="A89" i="148"/>
  <c r="P88" i="148"/>
  <c r="N88" i="148"/>
  <c r="M88" i="148"/>
  <c r="L88" i="148"/>
  <c r="K88" i="148"/>
  <c r="H88" i="148"/>
  <c r="A88" i="148"/>
  <c r="P87" i="148"/>
  <c r="N87" i="148"/>
  <c r="M87" i="148"/>
  <c r="L87" i="148"/>
  <c r="K87" i="148"/>
  <c r="H87" i="148"/>
  <c r="A87" i="148"/>
  <c r="P86" i="148"/>
  <c r="N86" i="148"/>
  <c r="M86" i="148"/>
  <c r="L86" i="148"/>
  <c r="K86" i="148"/>
  <c r="H86" i="148"/>
  <c r="A86" i="148"/>
  <c r="P85" i="148"/>
  <c r="N85" i="148"/>
  <c r="M85" i="148"/>
  <c r="L85" i="148"/>
  <c r="K85" i="148"/>
  <c r="H85" i="148"/>
  <c r="A85" i="148"/>
  <c r="P84" i="148"/>
  <c r="N84" i="148"/>
  <c r="M84" i="148"/>
  <c r="L84" i="148"/>
  <c r="K84" i="148"/>
  <c r="H84" i="148"/>
  <c r="A84" i="148"/>
  <c r="P83" i="148"/>
  <c r="N83" i="148"/>
  <c r="M83" i="148"/>
  <c r="L83" i="148"/>
  <c r="K83" i="148"/>
  <c r="H83" i="148"/>
  <c r="A83" i="148"/>
  <c r="P82" i="148"/>
  <c r="N82" i="148"/>
  <c r="M82" i="148"/>
  <c r="L82" i="148"/>
  <c r="K82" i="148"/>
  <c r="H82" i="148"/>
  <c r="A82" i="148"/>
  <c r="P81" i="148"/>
  <c r="N81" i="148"/>
  <c r="M81" i="148"/>
  <c r="L81" i="148"/>
  <c r="K81" i="148"/>
  <c r="H81" i="148"/>
  <c r="A81" i="148"/>
  <c r="P80" i="148"/>
  <c r="N80" i="148"/>
  <c r="M80" i="148"/>
  <c r="L80" i="148"/>
  <c r="K80" i="148"/>
  <c r="H80" i="148"/>
  <c r="A80" i="148"/>
  <c r="P79" i="148"/>
  <c r="N79" i="148"/>
  <c r="M79" i="148"/>
  <c r="L79" i="148"/>
  <c r="K79" i="148"/>
  <c r="H79" i="148"/>
  <c r="A79" i="148"/>
  <c r="P78" i="148"/>
  <c r="N78" i="148"/>
  <c r="M78" i="148"/>
  <c r="L78" i="148"/>
  <c r="K78" i="148"/>
  <c r="H78" i="148"/>
  <c r="A78" i="148"/>
  <c r="P77" i="148"/>
  <c r="N77" i="148"/>
  <c r="M77" i="148"/>
  <c r="L77" i="148"/>
  <c r="K77" i="148"/>
  <c r="H77" i="148"/>
  <c r="A77" i="148"/>
  <c r="P76" i="148"/>
  <c r="N76" i="148"/>
  <c r="M76" i="148"/>
  <c r="L76" i="148"/>
  <c r="K76" i="148"/>
  <c r="H76" i="148"/>
  <c r="A76" i="148"/>
  <c r="P75" i="148"/>
  <c r="N75" i="148"/>
  <c r="M75" i="148"/>
  <c r="L75" i="148"/>
  <c r="K75" i="148"/>
  <c r="H75" i="148"/>
  <c r="A75" i="148"/>
  <c r="P74" i="148"/>
  <c r="N74" i="148"/>
  <c r="M74" i="148"/>
  <c r="L74" i="148"/>
  <c r="K74" i="148"/>
  <c r="H74" i="148"/>
  <c r="A74" i="148"/>
  <c r="P73" i="148"/>
  <c r="N73" i="148"/>
  <c r="M73" i="148"/>
  <c r="L73" i="148"/>
  <c r="K73" i="148"/>
  <c r="H73" i="148"/>
  <c r="A73" i="148"/>
  <c r="P72" i="148"/>
  <c r="N72" i="148"/>
  <c r="M72" i="148"/>
  <c r="L72" i="148"/>
  <c r="K72" i="148"/>
  <c r="H72" i="148"/>
  <c r="A72" i="148"/>
  <c r="P71" i="148"/>
  <c r="N71" i="148"/>
  <c r="M71" i="148"/>
  <c r="L71" i="148"/>
  <c r="K71" i="148"/>
  <c r="H71" i="148"/>
  <c r="A71" i="148"/>
  <c r="P70" i="148"/>
  <c r="N70" i="148"/>
  <c r="M70" i="148"/>
  <c r="L70" i="148"/>
  <c r="K70" i="148"/>
  <c r="H70" i="148"/>
  <c r="A70" i="148"/>
  <c r="P69" i="148"/>
  <c r="N69" i="148"/>
  <c r="M69" i="148"/>
  <c r="L69" i="148"/>
  <c r="K69" i="148"/>
  <c r="H69" i="148"/>
  <c r="A69" i="148"/>
  <c r="P68" i="148"/>
  <c r="N68" i="148"/>
  <c r="M68" i="148"/>
  <c r="L68" i="148"/>
  <c r="K68" i="148"/>
  <c r="H68" i="148"/>
  <c r="A68" i="148"/>
  <c r="P67" i="148"/>
  <c r="N67" i="148"/>
  <c r="M67" i="148"/>
  <c r="L67" i="148"/>
  <c r="K67" i="148"/>
  <c r="H67" i="148"/>
  <c r="A67" i="148"/>
  <c r="P66" i="148"/>
  <c r="N66" i="148"/>
  <c r="M66" i="148"/>
  <c r="L66" i="148"/>
  <c r="K66" i="148"/>
  <c r="H66" i="148"/>
  <c r="A66" i="148"/>
  <c r="P65" i="148"/>
  <c r="N65" i="148"/>
  <c r="M65" i="148"/>
  <c r="L65" i="148"/>
  <c r="K65" i="148"/>
  <c r="H65" i="148"/>
  <c r="A65" i="148"/>
  <c r="P64" i="148"/>
  <c r="N64" i="148"/>
  <c r="M64" i="148"/>
  <c r="L64" i="148"/>
  <c r="K64" i="148"/>
  <c r="H64" i="148"/>
  <c r="A64" i="148"/>
  <c r="P63" i="148"/>
  <c r="N63" i="148"/>
  <c r="M63" i="148"/>
  <c r="L63" i="148"/>
  <c r="K63" i="148"/>
  <c r="H63" i="148"/>
  <c r="A63" i="148"/>
  <c r="P62" i="148"/>
  <c r="N62" i="148"/>
  <c r="M62" i="148"/>
  <c r="L62" i="148"/>
  <c r="K62" i="148"/>
  <c r="H62" i="148"/>
  <c r="A62" i="148"/>
  <c r="P61" i="148"/>
  <c r="N61" i="148"/>
  <c r="M61" i="148"/>
  <c r="L61" i="148"/>
  <c r="K61" i="148"/>
  <c r="H61" i="148"/>
  <c r="A61" i="148"/>
  <c r="P60" i="148"/>
  <c r="N60" i="148"/>
  <c r="M60" i="148"/>
  <c r="L60" i="148"/>
  <c r="K60" i="148"/>
  <c r="H60" i="148"/>
  <c r="A60" i="148"/>
  <c r="P59" i="148"/>
  <c r="N59" i="148"/>
  <c r="M59" i="148"/>
  <c r="L59" i="148"/>
  <c r="K59" i="148"/>
  <c r="H59" i="148"/>
  <c r="A59" i="148"/>
  <c r="P58" i="148"/>
  <c r="N58" i="148"/>
  <c r="M58" i="148"/>
  <c r="L58" i="148"/>
  <c r="K58" i="148"/>
  <c r="H58" i="148"/>
  <c r="A58" i="148"/>
  <c r="P57" i="148"/>
  <c r="N57" i="148"/>
  <c r="M57" i="148"/>
  <c r="L57" i="148"/>
  <c r="K57" i="148"/>
  <c r="H57" i="148"/>
  <c r="A57" i="148"/>
  <c r="P56" i="148"/>
  <c r="N56" i="148"/>
  <c r="M56" i="148"/>
  <c r="L56" i="148"/>
  <c r="K56" i="148"/>
  <c r="H56" i="148"/>
  <c r="A56" i="148"/>
  <c r="P55" i="148"/>
  <c r="N55" i="148"/>
  <c r="M55" i="148"/>
  <c r="L55" i="148"/>
  <c r="K55" i="148"/>
  <c r="H55" i="148"/>
  <c r="A55" i="148"/>
  <c r="P54" i="148"/>
  <c r="N54" i="148"/>
  <c r="M54" i="148"/>
  <c r="L54" i="148"/>
  <c r="K54" i="148"/>
  <c r="H54" i="148"/>
  <c r="A54" i="148"/>
  <c r="P53" i="148"/>
  <c r="N53" i="148"/>
  <c r="M53" i="148"/>
  <c r="L53" i="148"/>
  <c r="K53" i="148"/>
  <c r="H53" i="148"/>
  <c r="A53" i="148"/>
  <c r="P52" i="148"/>
  <c r="N52" i="148"/>
  <c r="M52" i="148"/>
  <c r="L52" i="148"/>
  <c r="K52" i="148"/>
  <c r="H52" i="148"/>
  <c r="A52" i="148"/>
  <c r="P51" i="148"/>
  <c r="N51" i="148"/>
  <c r="M51" i="148"/>
  <c r="L51" i="148"/>
  <c r="K51" i="148"/>
  <c r="H51" i="148"/>
  <c r="A51" i="148"/>
  <c r="P50" i="148"/>
  <c r="N50" i="148"/>
  <c r="M50" i="148"/>
  <c r="L50" i="148"/>
  <c r="K50" i="148"/>
  <c r="H50" i="148"/>
  <c r="A50" i="148"/>
  <c r="P49" i="148"/>
  <c r="N49" i="148"/>
  <c r="M49" i="148"/>
  <c r="L49" i="148"/>
  <c r="K49" i="148"/>
  <c r="H49" i="148"/>
  <c r="A49" i="148"/>
  <c r="P48" i="148"/>
  <c r="N48" i="148"/>
  <c r="M48" i="148"/>
  <c r="L48" i="148"/>
  <c r="K48" i="148"/>
  <c r="H48" i="148"/>
  <c r="A48" i="148"/>
  <c r="P47" i="148"/>
  <c r="N47" i="148"/>
  <c r="M47" i="148"/>
  <c r="L47" i="148"/>
  <c r="K47" i="148"/>
  <c r="H47" i="148"/>
  <c r="A47" i="148"/>
  <c r="P46" i="148"/>
  <c r="N46" i="148"/>
  <c r="M46" i="148"/>
  <c r="L46" i="148"/>
  <c r="K46" i="148"/>
  <c r="H46" i="148"/>
  <c r="A46" i="148"/>
  <c r="P45" i="148"/>
  <c r="N45" i="148"/>
  <c r="M45" i="148"/>
  <c r="L45" i="148"/>
  <c r="K45" i="148"/>
  <c r="H45" i="148"/>
  <c r="A45" i="148"/>
  <c r="P44" i="148"/>
  <c r="N44" i="148"/>
  <c r="M44" i="148"/>
  <c r="L44" i="148"/>
  <c r="K44" i="148"/>
  <c r="H44" i="148"/>
  <c r="A44" i="148"/>
  <c r="P43" i="148"/>
  <c r="N43" i="148"/>
  <c r="M43" i="148"/>
  <c r="L43" i="148"/>
  <c r="K43" i="148"/>
  <c r="H43" i="148"/>
  <c r="A43" i="148"/>
  <c r="P42" i="148"/>
  <c r="N42" i="148"/>
  <c r="M42" i="148"/>
  <c r="L42" i="148"/>
  <c r="K42" i="148"/>
  <c r="H42" i="148"/>
  <c r="A42" i="148"/>
  <c r="P41" i="148"/>
  <c r="N41" i="148"/>
  <c r="M41" i="148"/>
  <c r="L41" i="148"/>
  <c r="K41" i="148"/>
  <c r="H41" i="148"/>
  <c r="A41" i="148"/>
  <c r="P40" i="148"/>
  <c r="N40" i="148"/>
  <c r="M40" i="148"/>
  <c r="L40" i="148"/>
  <c r="K40" i="148"/>
  <c r="H40" i="148"/>
  <c r="A40" i="148"/>
  <c r="P39" i="148"/>
  <c r="N39" i="148"/>
  <c r="M39" i="148"/>
  <c r="L39" i="148"/>
  <c r="K39" i="148"/>
  <c r="H39" i="148"/>
  <c r="A39" i="148"/>
  <c r="P38" i="148"/>
  <c r="N38" i="148"/>
  <c r="M38" i="148"/>
  <c r="L38" i="148"/>
  <c r="K38" i="148"/>
  <c r="H38" i="148"/>
  <c r="A38" i="148"/>
  <c r="P37" i="148"/>
  <c r="N37" i="148"/>
  <c r="M37" i="148"/>
  <c r="L37" i="148"/>
  <c r="K37" i="148"/>
  <c r="H37" i="148"/>
  <c r="A37" i="148"/>
  <c r="P36" i="148"/>
  <c r="N36" i="148"/>
  <c r="M36" i="148"/>
  <c r="L36" i="148"/>
  <c r="K36" i="148"/>
  <c r="H36" i="148"/>
  <c r="A36" i="148"/>
  <c r="P35" i="148"/>
  <c r="N35" i="148"/>
  <c r="M35" i="148"/>
  <c r="L35" i="148"/>
  <c r="K35" i="148"/>
  <c r="H35" i="148"/>
  <c r="A35" i="148"/>
  <c r="P34" i="148"/>
  <c r="N34" i="148"/>
  <c r="M34" i="148"/>
  <c r="L34" i="148"/>
  <c r="K34" i="148"/>
  <c r="H34" i="148"/>
  <c r="A34" i="148"/>
  <c r="P33" i="148"/>
  <c r="N33" i="148"/>
  <c r="M33" i="148"/>
  <c r="L33" i="148"/>
  <c r="K33" i="148"/>
  <c r="H33" i="148"/>
  <c r="A33" i="148"/>
  <c r="P32" i="148"/>
  <c r="N32" i="148"/>
  <c r="M32" i="148"/>
  <c r="L32" i="148"/>
  <c r="K32" i="148"/>
  <c r="H32" i="148"/>
  <c r="A32" i="148"/>
  <c r="P31" i="148"/>
  <c r="N31" i="148"/>
  <c r="M31" i="148"/>
  <c r="L31" i="148"/>
  <c r="K31" i="148"/>
  <c r="H31" i="148"/>
  <c r="A31" i="148"/>
  <c r="P30" i="148"/>
  <c r="N30" i="148"/>
  <c r="M30" i="148"/>
  <c r="L30" i="148"/>
  <c r="K30" i="148"/>
  <c r="H30" i="148"/>
  <c r="A30" i="148"/>
  <c r="P29" i="148"/>
  <c r="N29" i="148"/>
  <c r="M29" i="148"/>
  <c r="L29" i="148"/>
  <c r="K29" i="148"/>
  <c r="H29" i="148"/>
  <c r="A29" i="148"/>
  <c r="P28" i="148"/>
  <c r="N28" i="148"/>
  <c r="M28" i="148"/>
  <c r="L28" i="148"/>
  <c r="K28" i="148"/>
  <c r="H28" i="148"/>
  <c r="A28" i="148"/>
  <c r="P27" i="148"/>
  <c r="N27" i="148"/>
  <c r="M27" i="148"/>
  <c r="L27" i="148"/>
  <c r="K27" i="148"/>
  <c r="H27" i="148"/>
  <c r="A27" i="148"/>
  <c r="P26" i="148"/>
  <c r="N26" i="148"/>
  <c r="M26" i="148"/>
  <c r="L26" i="148"/>
  <c r="K26" i="148"/>
  <c r="H26" i="148"/>
  <c r="A26" i="148"/>
  <c r="P25" i="148"/>
  <c r="N25" i="148"/>
  <c r="M25" i="148"/>
  <c r="L25" i="148"/>
  <c r="K25" i="148"/>
  <c r="H25" i="148"/>
  <c r="A25" i="148"/>
  <c r="P24" i="148"/>
  <c r="N24" i="148"/>
  <c r="M24" i="148"/>
  <c r="L24" i="148"/>
  <c r="K24" i="148"/>
  <c r="H24" i="148"/>
  <c r="A24" i="148"/>
  <c r="P23" i="148"/>
  <c r="N23" i="148"/>
  <c r="M23" i="148"/>
  <c r="L23" i="148"/>
  <c r="K23" i="148"/>
  <c r="H23" i="148"/>
  <c r="A23" i="148"/>
  <c r="P22" i="148"/>
  <c r="N22" i="148"/>
  <c r="M22" i="148"/>
  <c r="L22" i="148"/>
  <c r="K22" i="148"/>
  <c r="H22" i="148"/>
  <c r="A22" i="148"/>
  <c r="P21" i="148"/>
  <c r="N21" i="148"/>
  <c r="M21" i="148"/>
  <c r="L21" i="148"/>
  <c r="K21" i="148"/>
  <c r="H21" i="148"/>
  <c r="A21" i="148"/>
  <c r="P20" i="148"/>
  <c r="N20" i="148"/>
  <c r="M20" i="148"/>
  <c r="L20" i="148"/>
  <c r="K20" i="148"/>
  <c r="H20" i="148"/>
  <c r="A20" i="148"/>
  <c r="P19" i="148"/>
  <c r="N19" i="148"/>
  <c r="M19" i="148"/>
  <c r="L19" i="148"/>
  <c r="K19" i="148"/>
  <c r="H19" i="148"/>
  <c r="A19" i="148"/>
  <c r="P18" i="148"/>
  <c r="N18" i="148"/>
  <c r="M18" i="148"/>
  <c r="L18" i="148"/>
  <c r="K18" i="148"/>
  <c r="H18" i="148"/>
  <c r="A18" i="148"/>
  <c r="P17" i="148"/>
  <c r="N17" i="148"/>
  <c r="M17" i="148"/>
  <c r="L17" i="148"/>
  <c r="K17" i="148"/>
  <c r="H17" i="148"/>
  <c r="A17" i="148"/>
  <c r="P16" i="148"/>
  <c r="N16" i="148"/>
  <c r="M16" i="148"/>
  <c r="L16" i="148"/>
  <c r="K16" i="148"/>
  <c r="H16" i="148"/>
  <c r="A16" i="148"/>
  <c r="P15" i="148"/>
  <c r="N15" i="148"/>
  <c r="M15" i="148"/>
  <c r="L15" i="148"/>
  <c r="K15" i="148"/>
  <c r="H15" i="148"/>
  <c r="A15" i="148"/>
  <c r="N14" i="148"/>
  <c r="M14" i="148"/>
  <c r="L14" i="148"/>
  <c r="K14" i="148"/>
  <c r="H14" i="148"/>
  <c r="A14" i="148"/>
  <c r="N13" i="148"/>
  <c r="M13" i="148"/>
  <c r="L13" i="148"/>
  <c r="K13" i="148"/>
  <c r="H13" i="148"/>
  <c r="A13" i="148"/>
  <c r="N12" i="148"/>
  <c r="M12" i="148"/>
  <c r="L12" i="148"/>
  <c r="K12" i="148"/>
  <c r="H12" i="148"/>
  <c r="A12" i="148"/>
  <c r="N11" i="148"/>
  <c r="M11" i="148"/>
  <c r="L11" i="148"/>
  <c r="K11" i="148"/>
  <c r="H11" i="148"/>
  <c r="A11" i="148"/>
  <c r="N10" i="148"/>
  <c r="M10" i="148"/>
  <c r="L10" i="148"/>
  <c r="K10" i="148"/>
  <c r="H10" i="148"/>
  <c r="A10" i="148"/>
  <c r="N9" i="148"/>
  <c r="M9" i="148"/>
  <c r="L9" i="148"/>
  <c r="K9" i="148"/>
  <c r="H9" i="148"/>
  <c r="A9" i="148"/>
  <c r="N8" i="148"/>
  <c r="M8" i="148"/>
  <c r="L8" i="148"/>
  <c r="K8" i="148"/>
  <c r="H8" i="148"/>
  <c r="A8" i="148"/>
  <c r="N7" i="148"/>
  <c r="M7" i="148"/>
  <c r="L7" i="148"/>
  <c r="K7" i="148"/>
  <c r="H7" i="148"/>
  <c r="A7" i="148"/>
  <c r="N6" i="148"/>
  <c r="M6" i="148"/>
  <c r="L6" i="148"/>
  <c r="K6" i="148"/>
  <c r="H6" i="148"/>
  <c r="A6" i="148"/>
  <c r="N5" i="148"/>
  <c r="M5" i="148"/>
  <c r="L5" i="148"/>
  <c r="K5" i="148"/>
  <c r="H5" i="148"/>
  <c r="A5" i="148"/>
  <c r="N4" i="148"/>
  <c r="M4" i="148"/>
  <c r="L4" i="148"/>
  <c r="K4" i="148"/>
  <c r="H4" i="148"/>
  <c r="A4" i="148"/>
  <c r="N3" i="148"/>
  <c r="M3" i="148"/>
  <c r="L3" i="148"/>
  <c r="K3" i="148"/>
  <c r="H3" i="148"/>
  <c r="A3" i="148"/>
  <c r="N2" i="148"/>
  <c r="M2" i="148"/>
  <c r="L2" i="148"/>
  <c r="K2" i="148"/>
  <c r="H2" i="148"/>
  <c r="A2" i="148"/>
  <c r="F48" i="147"/>
  <c r="F47" i="147"/>
  <c r="B40" i="147"/>
  <c r="B41" i="147"/>
  <c r="B42" i="147"/>
  <c r="B43" i="147"/>
  <c r="B44" i="147"/>
  <c r="B45" i="147"/>
  <c r="B46" i="147"/>
  <c r="B47" i="147"/>
  <c r="C40" i="147"/>
  <c r="C41" i="147"/>
  <c r="C42" i="147"/>
  <c r="C43" i="147"/>
  <c r="C44" i="147"/>
  <c r="C45" i="147"/>
  <c r="C46" i="147"/>
  <c r="C47" i="147"/>
  <c r="F46" i="147"/>
  <c r="F45" i="147"/>
  <c r="F42" i="147"/>
  <c r="G42" i="147"/>
  <c r="F41" i="147"/>
  <c r="G41" i="147"/>
  <c r="F40" i="147"/>
  <c r="G40" i="147"/>
  <c r="B32" i="147"/>
  <c r="C19" i="147"/>
  <c r="C20" i="147"/>
  <c r="C21" i="147"/>
  <c r="C22" i="147"/>
  <c r="C23" i="147"/>
  <c r="C24" i="147"/>
  <c r="C25" i="147"/>
  <c r="C26" i="147"/>
  <c r="C27" i="147"/>
  <c r="C28" i="147"/>
  <c r="C29" i="147"/>
  <c r="C30" i="147"/>
  <c r="C31" i="147"/>
  <c r="C32" i="147"/>
  <c r="D32" i="147"/>
  <c r="I31" i="147"/>
  <c r="J31" i="147"/>
  <c r="F31" i="147"/>
  <c r="D31" i="147"/>
  <c r="I30" i="147"/>
  <c r="J30" i="147"/>
  <c r="F30" i="147"/>
  <c r="D30" i="147"/>
  <c r="I29" i="147"/>
  <c r="J29" i="147"/>
  <c r="F29" i="147"/>
  <c r="D29" i="147"/>
  <c r="I28" i="147"/>
  <c r="J28" i="147"/>
  <c r="F28" i="147"/>
  <c r="D28" i="147"/>
  <c r="I27" i="147"/>
  <c r="J27" i="147"/>
  <c r="F27" i="147"/>
  <c r="D27" i="147"/>
  <c r="I26" i="147"/>
  <c r="J26" i="147"/>
  <c r="F26" i="147"/>
  <c r="D26" i="147"/>
  <c r="I25" i="147"/>
  <c r="J25" i="147"/>
  <c r="F25" i="147"/>
  <c r="D25" i="147"/>
  <c r="I24" i="147"/>
  <c r="J24" i="147"/>
  <c r="F24" i="147"/>
  <c r="D24" i="147"/>
  <c r="I23" i="147"/>
  <c r="J23" i="147"/>
  <c r="F23" i="147"/>
  <c r="D23" i="147"/>
  <c r="I22" i="147"/>
  <c r="J22" i="147"/>
  <c r="F22" i="147"/>
  <c r="D22" i="147"/>
  <c r="I21" i="147"/>
  <c r="J21" i="147"/>
  <c r="F21" i="147"/>
  <c r="D21" i="147"/>
  <c r="R20" i="147"/>
  <c r="P20" i="147"/>
  <c r="O20" i="147"/>
  <c r="M20" i="147"/>
  <c r="I20" i="147"/>
  <c r="J20" i="147"/>
  <c r="F20" i="147"/>
  <c r="D20" i="147"/>
  <c r="R19" i="147"/>
  <c r="P19" i="147"/>
  <c r="O19" i="147"/>
  <c r="M19" i="147"/>
  <c r="I19" i="147"/>
  <c r="J19" i="147"/>
  <c r="F19" i="147"/>
  <c r="D19" i="147"/>
  <c r="R18" i="147"/>
  <c r="P18" i="147"/>
  <c r="O18" i="147"/>
  <c r="M18" i="147"/>
  <c r="I18" i="147"/>
  <c r="J18" i="147"/>
  <c r="F18" i="147"/>
  <c r="C18" i="147"/>
  <c r="D18" i="147"/>
  <c r="R17" i="147"/>
  <c r="P17" i="147"/>
  <c r="O17" i="147"/>
  <c r="M17" i="147"/>
  <c r="I17" i="147"/>
  <c r="J17" i="147"/>
  <c r="F17" i="147"/>
  <c r="C17" i="147"/>
  <c r="D17" i="147"/>
  <c r="V16" i="147"/>
  <c r="R16" i="147"/>
  <c r="P16" i="147"/>
  <c r="O16" i="147"/>
  <c r="M16" i="147"/>
  <c r="V15" i="147"/>
  <c r="R15" i="147"/>
  <c r="P15" i="147"/>
  <c r="O15" i="147"/>
  <c r="M15" i="147"/>
  <c r="V14" i="147"/>
  <c r="R14" i="147"/>
  <c r="P14" i="147"/>
  <c r="O14" i="147"/>
  <c r="M14" i="147"/>
  <c r="V13" i="147"/>
  <c r="R13" i="147"/>
  <c r="P13" i="147"/>
  <c r="O13" i="147"/>
  <c r="M13" i="147"/>
  <c r="V12" i="147"/>
  <c r="R12" i="147"/>
  <c r="P12" i="147"/>
  <c r="O12" i="147"/>
  <c r="M12" i="147"/>
  <c r="V11" i="147"/>
  <c r="R11" i="147"/>
  <c r="P11" i="147"/>
  <c r="O11" i="147"/>
  <c r="M11" i="147"/>
  <c r="V10" i="147"/>
  <c r="R10" i="147"/>
  <c r="P10" i="147"/>
  <c r="O10" i="147"/>
  <c r="M10" i="147"/>
  <c r="V9" i="147"/>
  <c r="R9" i="147"/>
  <c r="P9" i="147"/>
  <c r="O9" i="147"/>
  <c r="M9" i="147"/>
  <c r="V8" i="147"/>
  <c r="R8" i="147"/>
  <c r="P8" i="147"/>
  <c r="O8" i="147"/>
  <c r="M8" i="147"/>
  <c r="V7" i="147"/>
  <c r="R7" i="147"/>
  <c r="P7" i="147"/>
  <c r="O7" i="147"/>
  <c r="M7" i="147"/>
  <c r="V6" i="147"/>
  <c r="R6" i="147"/>
  <c r="P6" i="147"/>
  <c r="O6" i="147"/>
  <c r="M6" i="147"/>
  <c r="V5" i="147"/>
  <c r="R5" i="147"/>
  <c r="P5" i="147"/>
  <c r="O5" i="147"/>
  <c r="M5" i="147"/>
  <c r="V4" i="147"/>
  <c r="R4" i="147"/>
  <c r="P4" i="147"/>
  <c r="O4" i="147"/>
  <c r="M4" i="147"/>
  <c r="V3" i="147"/>
  <c r="R3" i="147"/>
  <c r="P3" i="147"/>
  <c r="O3" i="147"/>
  <c r="M3" i="147"/>
  <c r="V2" i="147"/>
  <c r="B10" i="106"/>
  <c r="B5" i="106"/>
  <c r="B32" i="106"/>
  <c r="F18" i="106"/>
  <c r="C31" i="106"/>
  <c r="C30" i="106"/>
  <c r="C29" i="106"/>
  <c r="C19" i="106"/>
  <c r="C20" i="106"/>
  <c r="C21" i="106"/>
  <c r="C22" i="106"/>
  <c r="C23" i="106"/>
  <c r="C24" i="106"/>
  <c r="C25" i="106"/>
  <c r="C26" i="106"/>
  <c r="C27" i="106"/>
  <c r="C28" i="106"/>
  <c r="C32" i="106"/>
  <c r="R3" i="106"/>
  <c r="H272" i="82"/>
  <c r="K272" i="82"/>
  <c r="L272" i="82"/>
  <c r="M272" i="82"/>
  <c r="N272" i="82"/>
  <c r="P272" i="82"/>
  <c r="H273" i="82"/>
  <c r="K273" i="82"/>
  <c r="L273" i="82"/>
  <c r="M273" i="82"/>
  <c r="N273" i="82"/>
  <c r="P273" i="82"/>
  <c r="H274" i="82"/>
  <c r="K274" i="82"/>
  <c r="L274" i="82"/>
  <c r="M274" i="82"/>
  <c r="N274" i="82"/>
  <c r="P274" i="82"/>
  <c r="H275" i="82"/>
  <c r="K275" i="82"/>
  <c r="L275" i="82"/>
  <c r="M275" i="82"/>
  <c r="N275" i="82"/>
  <c r="P275" i="82"/>
  <c r="H276" i="82"/>
  <c r="K276" i="82"/>
  <c r="L276" i="82"/>
  <c r="M276" i="82"/>
  <c r="N276" i="82"/>
  <c r="P276" i="82"/>
  <c r="H277" i="82"/>
  <c r="K277" i="82"/>
  <c r="L277" i="82"/>
  <c r="M277" i="82"/>
  <c r="N277" i="82"/>
  <c r="P277" i="82"/>
  <c r="H278" i="82"/>
  <c r="K278" i="82"/>
  <c r="L278" i="82"/>
  <c r="M278" i="82"/>
  <c r="N278" i="82"/>
  <c r="P278" i="82"/>
  <c r="H279" i="82"/>
  <c r="K279" i="82"/>
  <c r="L279" i="82"/>
  <c r="M279" i="82"/>
  <c r="N279" i="82"/>
  <c r="P279" i="82"/>
  <c r="H280" i="82"/>
  <c r="K280" i="82"/>
  <c r="L280" i="82"/>
  <c r="M280" i="82"/>
  <c r="N280" i="82"/>
  <c r="P280" i="82"/>
  <c r="H281" i="82"/>
  <c r="K281" i="82"/>
  <c r="L281" i="82"/>
  <c r="M281" i="82"/>
  <c r="N281" i="82"/>
  <c r="P281" i="82"/>
  <c r="H282" i="82"/>
  <c r="K282" i="82"/>
  <c r="L282" i="82"/>
  <c r="M282" i="82"/>
  <c r="N282" i="82"/>
  <c r="P282" i="82"/>
  <c r="H283" i="82"/>
  <c r="K283" i="82"/>
  <c r="L283" i="82"/>
  <c r="M283" i="82"/>
  <c r="N283" i="82"/>
  <c r="P283" i="82"/>
  <c r="A272" i="82"/>
  <c r="A273" i="82"/>
  <c r="A274" i="82"/>
  <c r="A275" i="82"/>
  <c r="A276" i="82"/>
  <c r="A277" i="82"/>
  <c r="A278" i="82"/>
  <c r="A279" i="82"/>
  <c r="A280" i="82"/>
  <c r="A281" i="82"/>
  <c r="A282" i="82"/>
  <c r="A283" i="82"/>
  <c r="C7" i="103"/>
  <c r="E7" i="103"/>
  <c r="C4" i="103"/>
  <c r="E4" i="103"/>
  <c r="R5" i="106"/>
  <c r="R4" i="106"/>
  <c r="V6" i="106"/>
  <c r="F40" i="106"/>
  <c r="F42" i="106"/>
  <c r="G42" i="106"/>
  <c r="F27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D21" i="106"/>
  <c r="C17" i="106"/>
  <c r="D17" i="106"/>
  <c r="C18" i="106"/>
  <c r="D18" i="106"/>
  <c r="D24" i="106"/>
  <c r="D25" i="106"/>
  <c r="D26" i="106"/>
  <c r="D19" i="106"/>
  <c r="D20" i="106"/>
  <c r="D27" i="106"/>
  <c r="D28" i="106"/>
  <c r="R18" i="106"/>
  <c r="R19" i="106"/>
  <c r="R9" i="106"/>
  <c r="R10" i="106"/>
  <c r="R15" i="106"/>
  <c r="R16" i="106"/>
  <c r="R17" i="106"/>
  <c r="R12" i="106"/>
  <c r="R13" i="106"/>
  <c r="R14" i="106"/>
  <c r="R6" i="106"/>
  <c r="R7" i="106"/>
  <c r="R8" i="106"/>
  <c r="D22" i="106"/>
  <c r="D23" i="106"/>
  <c r="D29" i="106"/>
  <c r="F19" i="106"/>
  <c r="F20" i="106"/>
  <c r="F21" i="106"/>
  <c r="F22" i="106"/>
  <c r="F23" i="106"/>
  <c r="F24" i="106"/>
  <c r="F25" i="106"/>
  <c r="F26" i="106"/>
  <c r="F28" i="106"/>
  <c r="F29" i="106"/>
  <c r="F30" i="106"/>
  <c r="F31" i="106"/>
  <c r="F17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F41" i="106"/>
  <c r="G41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62" i="82"/>
  <c r="P263" i="82"/>
  <c r="P264" i="82"/>
  <c r="P265" i="82"/>
  <c r="P266" i="82"/>
  <c r="P267" i="82"/>
  <c r="P268" i="82"/>
  <c r="P269" i="82"/>
  <c r="P270" i="82"/>
  <c r="P271" i="82"/>
  <c r="P256" i="82"/>
  <c r="P257" i="82"/>
  <c r="P258" i="82"/>
  <c r="P259" i="82"/>
  <c r="P260" i="82"/>
  <c r="P261" i="82"/>
  <c r="F48" i="106"/>
  <c r="F46" i="106"/>
  <c r="F47" i="106"/>
  <c r="F45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D30" i="106"/>
  <c r="A256" i="82"/>
  <c r="H256" i="82"/>
  <c r="K256" i="82"/>
  <c r="L256" i="82"/>
  <c r="M256" i="82"/>
  <c r="N256" i="82"/>
  <c r="A257" i="82"/>
  <c r="H257" i="82"/>
  <c r="K257" i="82"/>
  <c r="L257" i="82"/>
  <c r="M257" i="82"/>
  <c r="N257" i="82"/>
  <c r="A258" i="82"/>
  <c r="H258" i="82"/>
  <c r="K258" i="82"/>
  <c r="L258" i="82"/>
  <c r="M258" i="82"/>
  <c r="N258" i="82"/>
  <c r="A259" i="82"/>
  <c r="H259" i="82"/>
  <c r="K259" i="82"/>
  <c r="L259" i="82"/>
  <c r="M259" i="82"/>
  <c r="N259" i="82"/>
  <c r="A260" i="82"/>
  <c r="H260" i="82"/>
  <c r="K260" i="82"/>
  <c r="L260" i="82"/>
  <c r="M260" i="82"/>
  <c r="N260" i="82"/>
  <c r="A261" i="82"/>
  <c r="H261" i="82"/>
  <c r="K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H266" i="82"/>
  <c r="K266" i="82"/>
  <c r="L266" i="82"/>
  <c r="M266" i="82"/>
  <c r="N266" i="82"/>
  <c r="H267" i="82"/>
  <c r="K267" i="82"/>
  <c r="L267" i="82"/>
  <c r="M267" i="82"/>
  <c r="N267" i="82"/>
  <c r="H268" i="82"/>
  <c r="K268" i="82"/>
  <c r="L268" i="82"/>
  <c r="M268" i="82"/>
  <c r="N268" i="82"/>
  <c r="H269" i="82"/>
  <c r="K269" i="82"/>
  <c r="L269" i="82"/>
  <c r="M269" i="82"/>
  <c r="N269" i="82"/>
  <c r="H270" i="82"/>
  <c r="K270" i="82"/>
  <c r="L270" i="82"/>
  <c r="M270" i="82"/>
  <c r="N270" i="82"/>
  <c r="H271" i="82"/>
  <c r="K271" i="82"/>
  <c r="L271" i="82"/>
  <c r="M271" i="82"/>
  <c r="N271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D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3" i="103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7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<sst xmlns="http://schemas.openxmlformats.org/spreadsheetml/2006/main" count="983" uniqueCount="270">
  <si>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</si>
  <si>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</si>
  <si>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</si>
  <si>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</si>
  <si>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</si>
  <si>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</si>
  <si>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</si>
  <si>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</si>
  <si>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</si>
  <si>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</si>
  <si>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</si>
  <si>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</si>
  <si>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</si>
  <si>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</si>
  <si>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</si>
  <si>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gift_type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</si>
  <si>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</si>
  <si>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</si>
  <si>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</si>
  <si>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</si>
  <si>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</si>
  <si>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</si>
  <si>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</si>
  <si>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</si>
  <si>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</si>
  <si>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</si>
  <si>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</si>
  <si>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</si>
  <si>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</si>
  <si>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</si>
  <si>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</si>
  <si>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</si>
  <si>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</si>
  <si>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</si>
  <si>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drop_label</t>
    <phoneticPr fontId="19"/>
  </si>
  <si>
    <t>rare</t>
    <phoneticPr fontId="19"/>
  </si>
  <si>
    <t>character_type_id</t>
    <phoneticPr fontId="19"/>
  </si>
  <si>
    <t>character_tribe_id</t>
    <phoneticPr fontId="19"/>
  </si>
  <si>
    <t>unit_level</t>
    <phoneticPr fontId="19"/>
  </si>
  <si>
    <t>weight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</si>
  <si>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</si>
  <si>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</si>
  <si>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</si>
  <si>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</si>
  <si>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</si>
  <si>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</si>
  <si>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</si>
  <si>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</si>
  <si>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</si>
  <si>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</si>
  <si>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</si>
  <si>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</si>
  <si>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</si>
  <si>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color</t>
    <phoneticPr fontId="19"/>
  </si>
  <si>
    <t>レアリティ別確率</t>
    <rPh sb="5" eb="6">
      <t>ベツ</t>
    </rPh>
    <rPh sb="6" eb="8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</si>
  <si>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</si>
  <si>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SSS</t>
    <phoneticPr fontId="19"/>
  </si>
  <si>
    <t>SS</t>
    <phoneticPr fontId="19"/>
  </si>
  <si>
    <t>ラベル*レアリティ標準確率</t>
    <rPh sb="9" eb="11">
      <t>ヒョウジュン</t>
    </rPh>
    <rPh sb="11" eb="13">
      <t>カクリツ</t>
    </rPh>
    <phoneticPr fontId="19"/>
  </si>
  <si>
    <t>性別</t>
    <rPh sb="0" eb="2">
      <t>セイベツ</t>
    </rPh>
    <phoneticPr fontId="19"/>
  </si>
  <si>
    <t>合計</t>
    <rPh sb="0" eb="2">
      <t>ゴウケイ</t>
    </rPh>
    <phoneticPr fontId="19"/>
  </si>
  <si>
    <t>グループ</t>
    <phoneticPr fontId="19"/>
  </si>
  <si>
    <t>ピックアップ確率</t>
    <rPh sb="6" eb="8">
      <t>カクリツ</t>
    </rPh>
    <phoneticPr fontId="19"/>
  </si>
  <si>
    <t>残り確率</t>
    <rPh sb="0" eb="1">
      <t>ノコ</t>
    </rPh>
    <rPh sb="2" eb="4">
      <t>カクリツ</t>
    </rPh>
    <phoneticPr fontId="19"/>
  </si>
  <si>
    <t>確率</t>
    <rPh sb="0" eb="2">
      <t>カクリツ</t>
    </rPh>
    <phoneticPr fontId="19"/>
  </si>
  <si>
    <t>所属グループ</t>
    <rPh sb="0" eb="2">
      <t>ショゾク</t>
    </rPh>
    <phoneticPr fontId="19"/>
  </si>
  <si>
    <t>名前</t>
    <rPh sb="0" eb="2">
      <t>ナマエ</t>
    </rPh>
    <phoneticPr fontId="19"/>
  </si>
  <si>
    <t>レアリティ</t>
    <phoneticPr fontId="19"/>
  </si>
  <si>
    <t>ラベル</t>
    <phoneticPr fontId="19"/>
  </si>
  <si>
    <t>R3</t>
    <phoneticPr fontId="19"/>
  </si>
  <si>
    <t>R4</t>
    <phoneticPr fontId="19"/>
  </si>
  <si>
    <t>R5</t>
    <phoneticPr fontId="19"/>
  </si>
  <si>
    <t>個別確率</t>
    <rPh sb="0" eb="4">
      <t>コベツカクリツ</t>
    </rPh>
    <phoneticPr fontId="19"/>
  </si>
  <si>
    <t>該当数(ピックアップ除く)</t>
    <rPh sb="0" eb="2">
      <t>ガイトウ</t>
    </rPh>
    <rPh sb="2" eb="3">
      <t>スウ</t>
    </rPh>
    <rPh sb="10" eb="11">
      <t>ノゾ</t>
    </rPh>
    <phoneticPr fontId="19"/>
  </si>
  <si>
    <t>個別weight</t>
    <rPh sb="0" eb="2">
      <t>コベツ</t>
    </rPh>
    <phoneticPr fontId="19"/>
  </si>
  <si>
    <t>グループweight</t>
    <phoneticPr fontId="19"/>
  </si>
  <si>
    <t>端数</t>
    <rPh sb="0" eb="2">
      <t>ハスウ</t>
    </rPh>
    <phoneticPr fontId="19"/>
  </si>
  <si>
    <t>確率</t>
    <rPh sb="0" eb="2">
      <t>カクリツ</t>
    </rPh>
    <phoneticPr fontId="19"/>
  </si>
  <si>
    <t>--検算用--</t>
    <rPh sb="3" eb="6">
      <t>ケンザンヨウ</t>
    </rPh>
    <phoneticPr fontId="19"/>
  </si>
  <si>
    <t>端数逆数</t>
    <rPh sb="0" eb="2">
      <t>ハスウ</t>
    </rPh>
    <rPh sb="2" eb="4">
      <t>ギャクスウ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</si>
  <si>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</si>
  <si>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</si>
  <si>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</si>
  <si>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</si>
  <si>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テーブルid</t>
    <phoneticPr fontId="19"/>
  </si>
  <si>
    <t>→ピックアップの確率は右のほうにいます</t>
    <rPh sb="8" eb="10">
      <t>カクリツ</t>
    </rPh>
    <rPh sb="11" eb="12">
      <t>ミギ</t>
    </rPh>
    <phoneticPr fontId="19"/>
  </si>
  <si>
    <t>table_no</t>
    <phoneticPr fontId="19"/>
  </si>
  <si>
    <t>table_no</t>
    <phoneticPr fontId="19"/>
  </si>
  <si>
    <t>skill_level</t>
  </si>
  <si>
    <t>level</t>
  </si>
  <si>
    <t>hp_plus</t>
    <phoneticPr fontId="52"/>
  </si>
  <si>
    <t>attack_plus</t>
    <phoneticPr fontId="52"/>
  </si>
  <si>
    <t>heal_plus</t>
    <phoneticPr fontId="52"/>
  </si>
  <si>
    <t>defense_plus</t>
    <phoneticPr fontId="52"/>
  </si>
  <si>
    <t>level</t>
    <phoneticPr fontId="52"/>
  </si>
  <si>
    <t>skill_level</t>
    <phoneticPr fontId="52"/>
  </si>
  <si>
    <t>bug</t>
    <phoneticPr fontId="52"/>
  </si>
  <si>
    <t>drop_label2</t>
    <phoneticPr fontId="19"/>
  </si>
  <si>
    <t>Premium</t>
    <phoneticPr fontId="19"/>
  </si>
  <si>
    <t>Premium3</t>
    <phoneticPr fontId="19"/>
  </si>
  <si>
    <t>Premium4</t>
    <phoneticPr fontId="19"/>
  </si>
  <si>
    <t>Premium5</t>
    <phoneticPr fontId="19"/>
  </si>
  <si>
    <t>グループ確率</t>
    <rPh sb="4" eb="6">
      <t>カクリツ</t>
    </rPh>
    <phoneticPr fontId="19"/>
  </si>
  <si>
    <t>レア度別確率</t>
    <rPh sb="2" eb="4">
      <t>ドベツ</t>
    </rPh>
    <rPh sb="4" eb="6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</si>
  <si>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</si>
  <si>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color2</t>
    <phoneticPr fontId="19"/>
  </si>
  <si>
    <t>Premium3</t>
  </si>
  <si>
    <t>Premium4</t>
  </si>
  <si>
    <t>Premium5</t>
  </si>
  <si>
    <t>PremiumSS4</t>
    <phoneticPr fontId="19"/>
  </si>
  <si>
    <t>PremiumSS5</t>
    <phoneticPr fontId="19"/>
  </si>
  <si>
    <t>PremiumSSS5</t>
    <phoneticPr fontId="19"/>
  </si>
  <si>
    <t>PremiumSS4</t>
    <phoneticPr fontId="19"/>
  </si>
  <si>
    <t>PremiumSSS4</t>
    <phoneticPr fontId="19"/>
  </si>
  <si>
    <t>PremiumSS5</t>
    <phoneticPr fontId="19"/>
  </si>
  <si>
    <t>PremiumSSS5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</si>
  <si>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</si>
  <si>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</si>
  <si>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</si>
  <si>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</si>
  <si>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</si>
  <si>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</si>
  <si>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</si>
  <si>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</si>
  <si>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</si>
  <si>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</si>
  <si>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</si>
  <si>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</si>
  <si>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</si>
  <si>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</si>
  <si>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</si>
  <si>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</si>
  <si>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</si>
  <si>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</si>
  <si>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</si>
  <si>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</si>
  <si>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</si>
  <si>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</si>
  <si>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</si>
  <si>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</si>
  <si>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</si>
  <si>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</si>
  <si>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</si>
  <si>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</si>
  <si>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</si>
  <si>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</si>
  <si>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</si>
  <si>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</si>
  <si>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</si>
  <si>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</si>
  <si>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</si>
  <si>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</si>
  <si>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</si>
  <si>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</si>
  <si>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</si>
  <si>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</si>
  <si>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</si>
  <si>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</si>
  <si>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</si>
  <si>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</si>
  <si>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</si>
  <si>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</si>
  <si>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</si>
  <si>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</si>
  <si>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</si>
  <si>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</si>
  <si>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</si>
  <si>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</si>
  <si>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</si>
  <si>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</si>
  <si>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</si>
  <si>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</si>
  <si>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</si>
  <si>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</si>
  <si>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</si>
  <si>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</si>
  <si>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</si>
  <si>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</si>
  <si>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</si>
  <si>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</si>
  <si>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</si>
  <si>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</si>
  <si>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</si>
  <si>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</si>
  <si>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</si>
  <si>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</si>
  <si>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</si>
  <si>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</si>
  <si>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</si>
  <si>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</si>
  <si>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</si>
  <si>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</si>
  <si>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</si>
  <si>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</si>
  <si>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</si>
  <si>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</si>
  <si>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PremiumW3</t>
    <phoneticPr fontId="19"/>
  </si>
  <si>
    <t>PremiumW4</t>
    <phoneticPr fontId="19"/>
  </si>
  <si>
    <t>ラベル確率</t>
    <rPh sb="3" eb="5">
      <t>カクリツ</t>
    </rPh>
    <phoneticPr fontId="19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</si>
  <si>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</si>
  <si>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</si>
  <si>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</si>
  <si>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</si>
  <si>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</si>
  <si>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9"/>
  </si>
  <si>
    <t>PremiumSS5R5only</t>
  </si>
  <si>
    <t>計算用中間データ</t>
    <rPh sb="0" eb="3">
      <t>ケイサンヨウ</t>
    </rPh>
    <rPh sb="3" eb="5">
      <t>チュウカン</t>
    </rPh>
    <phoneticPr fontId="19"/>
  </si>
  <si>
    <t>X</t>
    <phoneticPr fontId="19"/>
  </si>
  <si>
    <t>Y</t>
    <phoneticPr fontId="19"/>
  </si>
  <si>
    <t>対象数</t>
    <rPh sb="0" eb="3">
      <t>タイショウスウ</t>
    </rPh>
    <phoneticPr fontId="19"/>
  </si>
  <si>
    <t>PremiumW</t>
    <phoneticPr fontId="19"/>
  </si>
  <si>
    <t>PremiumN</t>
    <phoneticPr fontId="19"/>
  </si>
  <si>
    <t>PremiumS</t>
    <phoneticPr fontId="19"/>
  </si>
  <si>
    <t>PremiumSS</t>
    <phoneticPr fontId="19"/>
  </si>
  <si>
    <t>weight</t>
    <phoneticPr fontId="19"/>
  </si>
  <si>
    <t>←R6分はここから差し引く</t>
    <rPh sb="3" eb="4">
      <t>ブン</t>
    </rPh>
    <rPh sb="9" eb="10">
      <t>サシヒク</t>
    </rPh>
    <phoneticPr fontId="19"/>
  </si>
  <si>
    <t>除外確率</t>
    <rPh sb="0" eb="2">
      <t>ジョガイ</t>
    </rPh>
    <rPh sb="2" eb="4">
      <t>カクリツ</t>
    </rPh>
    <phoneticPr fontId="19"/>
  </si>
  <si>
    <t>除外数</t>
    <rPh sb="0" eb="3">
      <t>ジョガイスウ</t>
    </rPh>
    <phoneticPr fontId="19"/>
  </si>
  <si>
    <t>もうここは手で入れよう…</t>
    <rPh sb="5" eb="6">
      <t>テ</t>
    </rPh>
    <rPh sb="7" eb="8">
      <t>イレヨウ</t>
    </rPh>
    <phoneticPr fontId="19"/>
  </si>
  <si>
    <t>通常weight</t>
    <rPh sb="0" eb="2">
      <t>ツウジョウ</t>
    </rPh>
    <phoneticPr fontId="19"/>
  </si>
  <si>
    <t>gacha_settle_tables_</t>
    <phoneticPr fontId="19"/>
  </si>
  <si>
    <t>ステップアップ確率</t>
    <rPh sb="7" eb="9">
      <t>カクリツ</t>
    </rPh>
    <phoneticPr fontId="19"/>
  </si>
  <si>
    <t>ja</t>
  </si>
  <si>
    <t>A</t>
    <phoneticPr fontId="19"/>
  </si>
  <si>
    <t>B</t>
    <phoneticPr fontId="19"/>
  </si>
  <si>
    <t>PremiumW4</t>
    <phoneticPr fontId="19"/>
  </si>
  <si>
    <t>C</t>
    <phoneticPr fontId="19"/>
  </si>
  <si>
    <t>Premium3</t>
    <phoneticPr fontId="19"/>
  </si>
  <si>
    <t>D</t>
    <phoneticPr fontId="19"/>
  </si>
  <si>
    <t>Premium4</t>
    <phoneticPr fontId="19"/>
  </si>
  <si>
    <t>E</t>
    <phoneticPr fontId="19"/>
  </si>
  <si>
    <t>Premium5</t>
    <phoneticPr fontId="19"/>
  </si>
  <si>
    <t>F</t>
    <phoneticPr fontId="19"/>
  </si>
  <si>
    <t>Premium4R3less</t>
    <phoneticPr fontId="19"/>
  </si>
  <si>
    <t>G</t>
    <phoneticPr fontId="19"/>
  </si>
  <si>
    <t>Premium5R3less</t>
    <phoneticPr fontId="19"/>
  </si>
  <si>
    <t>H</t>
    <phoneticPr fontId="19"/>
  </si>
  <si>
    <t>I</t>
    <phoneticPr fontId="19"/>
  </si>
  <si>
    <t>J</t>
    <phoneticPr fontId="19"/>
  </si>
  <si>
    <t>K</t>
    <phoneticPr fontId="19"/>
  </si>
  <si>
    <t>Premium3R6release</t>
    <phoneticPr fontId="19"/>
  </si>
  <si>
    <t>Premium4R6release</t>
    <phoneticPr fontId="19"/>
  </si>
  <si>
    <t>Premium5R6release</t>
    <phoneticPr fontId="19"/>
  </si>
  <si>
    <t>PremiumSS4</t>
    <phoneticPr fontId="19"/>
  </si>
  <si>
    <t>PremiumSS5</t>
    <phoneticPr fontId="19"/>
  </si>
  <si>
    <t>L</t>
    <phoneticPr fontId="19"/>
  </si>
  <si>
    <t>M</t>
    <phoneticPr fontId="19"/>
  </si>
  <si>
    <t>PremiumSS5R5only</t>
    <phoneticPr fontId="19"/>
  </si>
  <si>
    <t>50% - H - C</t>
    <phoneticPr fontId="19"/>
  </si>
  <si>
    <t>unit</t>
    <phoneticPr fontId="19"/>
  </si>
  <si>
    <t>PremiumSSS4R3less</t>
    <phoneticPr fontId="19"/>
  </si>
  <si>
    <t>PremiumSSS5R3less</t>
    <phoneticPr fontId="19"/>
  </si>
  <si>
    <t>unit</t>
    <phoneticPr fontId="19"/>
  </si>
  <si>
    <t>秘術の果実x3</t>
    <phoneticPr fontId="19"/>
  </si>
  <si>
    <t>秘術の果実</t>
    <phoneticPr fontId="19"/>
  </si>
  <si>
    <t>tables_358101</t>
    <phoneticPr fontId="19"/>
  </si>
  <si>
    <t>tables_358103</t>
    <phoneticPr fontId="19"/>
  </si>
  <si>
    <t>tables_settle_358103</t>
    <phoneticPr fontId="19"/>
  </si>
  <si>
    <t>tables_358104</t>
    <phoneticPr fontId="19"/>
  </si>
  <si>
    <t>tables_358105</t>
    <phoneticPr fontId="19"/>
  </si>
  <si>
    <t>tables_358100</t>
    <phoneticPr fontId="19"/>
  </si>
  <si>
    <t>358103</t>
    <phoneticPr fontId="19"/>
  </si>
  <si>
    <t>400万DL突破記念ガチャ特典</t>
    <rPh sb="13" eb="15">
      <t>トクテン</t>
    </rPh>
    <phoneticPr fontId="19"/>
  </si>
  <si>
    <t>358104</t>
    <phoneticPr fontId="19"/>
  </si>
  <si>
    <t>3581041</t>
    <phoneticPr fontId="19"/>
  </si>
  <si>
    <t>3581051</t>
    <phoneticPr fontId="19"/>
  </si>
  <si>
    <t>STEP4特典として
秘術の果実1体をプレゼント！</t>
    <phoneticPr fontId="19"/>
  </si>
  <si>
    <t>STEP5特典として
秘術の果実3体をプレゼント！</t>
    <phoneticPr fontId="19"/>
  </si>
  <si>
    <t>old</t>
    <phoneticPr fontId="19"/>
  </si>
  <si>
    <t>358105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</si>
</sst>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6" fillId="0" borderId="0"/>
    <xf numFmtId="38" fontId="54" fillId="0" borderId="0" applyFont="0" applyFill="0" applyBorder="0" applyAlignment="0" applyProtection="0"/>
  </cellStyleXfs>
  <cellXfs count="92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4" fillId="0" borderId="13" xfId="2" applyFont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4" xfId="0" applyFont="1" applyFill="1" applyBorder="1" applyAlignment="1">
      <alignment horizontal="right" vertical="center"/>
    </xf>
    <xf numFmtId="0" fontId="24" fillId="0" borderId="15" xfId="2" applyFont="1" applyBorder="1" applyAlignment="1">
      <alignment vertical="center"/>
    </xf>
    <xf numFmtId="0" fontId="24" fillId="2" borderId="1" xfId="2" applyFont="1" applyFill="1" applyBorder="1" applyAlignment="1">
      <alignment horizontal="left" vertical="center"/>
    </xf>
    <xf numFmtId="0" fontId="51" fillId="21" borderId="1" xfId="0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2" borderId="1" xfId="2978" applyFont="1" applyFill="1" applyBorder="1"/>
    <xf numFmtId="0" fontId="12" fillId="22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2" borderId="1" xfId="0" applyFont="1" applyFill="1" applyBorder="1"/>
    <xf numFmtId="0" fontId="51" fillId="23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0" fillId="4" borderId="0" xfId="0" applyFill="1"/>
    <xf numFmtId="0" fontId="9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0" fontId="51" fillId="30" borderId="1" xfId="0" applyFont="1" applyFill="1" applyBorder="1" applyAlignment="1">
      <alignment horizontal="left" vertical="center"/>
    </xf>
    <xf numFmtId="0" fontId="24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3" fillId="25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5" fillId="0" borderId="0" xfId="0" applyFont="1"/>
    <xf numFmtId="9" fontId="0" fillId="4" borderId="0" xfId="0" applyNumberFormat="1" applyFill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5" fillId="0" borderId="1" xfId="2978" applyFont="1" applyBorder="1"/>
    <xf numFmtId="178" fontId="56" fillId="32" borderId="1" xfId="0" applyNumberFormat="1" applyFont="1" applyFill="1" applyBorder="1"/>
    <xf numFmtId="38" fontId="24" fillId="4" borderId="1" xfId="3663" quotePrefix="1" applyFont="1" applyFill="1" applyBorder="1" applyAlignment="1">
      <alignment vertical="center"/>
    </xf>
    <xf numFmtId="0" fontId="51" fillId="0" borderId="1" xfId="0" applyFont="1" applyBorder="1" applyAlignment="1">
      <alignment vertical="center"/>
    </xf>
    <xf numFmtId="0" fontId="51" fillId="0" borderId="1" xfId="0" applyFont="1" applyBorder="1" applyAlignment="1">
      <alignment vertical="center" wrapText="1"/>
    </xf>
    <xf numFmtId="0" fontId="24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4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4" fillId="0" borderId="0" xfId="2" applyFont="1" applyFill="1" applyBorder="1" applyAlignment="1">
      <alignment vertical="center"/>
    </xf>
    <xf numFmtId="0" fontId="24" fillId="0" borderId="1" xfId="2" quotePrefix="1" applyFont="1" applyBorder="1" applyAlignment="1">
      <alignment vertical="center"/>
    </xf>
    <xf numFmtId="0" fontId="3" fillId="4" borderId="1" xfId="2978" applyFont="1" applyFill="1" applyBorder="1"/>
    <xf numFmtId="0" fontId="2" fillId="0" borderId="1" xfId="3036" applyFont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 refreshError="1"/>
      <sheetData sheetId="1" refreshError="1"/>
      <sheetData sheetId="2" refreshError="1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3ターン種族アニマルの攻撃力・防御力・回復力を大UP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未踏の轍跡 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unknown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heal</v>
          </cell>
          <cell r="L837" t="str">
            <v>回復タイプ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DropWizS</v>
          </cell>
          <cell r="K961" t="str">
            <v>technical</v>
          </cell>
          <cell r="L961" t="str">
            <v>テクニカルタイプ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PremiumSS</v>
          </cell>
          <cell r="K962" t="str">
            <v>balance</v>
          </cell>
          <cell r="L962" t="str">
            <v>バランスタイプ</v>
          </cell>
          <cell r="M962" t="str">
            <v>unknown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devil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CO05_EV01_R4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CO05_EV01_R5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CO05_Wiz01_R5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CO05_Wiz01_R6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CO05_EV02_R4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CO05_EV02_R5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CO05_EV03_R4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CO05_EV03_R5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CO05_ GA01_R5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CO05_ GA01_R6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CO05_ GA01_R6B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CO05_ GA02_R5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CO05_ GA02_R6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CO05_ GA03_R3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CO05_ GA03_R4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CO05_ GA04_R4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CO05_ GA04_R5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CO05_ GA05_R4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CO05_ GA05_R5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CO05_ GA06_R5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CO05_ GA06_R6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CO05_ GA07_R3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CO05_ GA07_R4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CO05_ GA08_R3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CO05_ GA08_R4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CO05_ GA09_R3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CO05_ GA09_R4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technical</v>
          </cell>
          <cell r="L1015" t="str">
            <v>テクニカルタイプ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technical</v>
          </cell>
          <cell r="L1016" t="str">
            <v>テクニカルタイプ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ウザリーマン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red</v>
          </cell>
          <cell r="I1046">
            <v>6</v>
          </cell>
          <cell r="J1046" t="str">
            <v>PremiumSSS</v>
          </cell>
          <cell r="K1046" t="str">
            <v>technical</v>
          </cell>
          <cell r="L1046" t="str">
            <v>テクニカルタイプ</v>
          </cell>
          <cell r="M1046" t="str">
            <v>unknown</v>
          </cell>
        </row>
        <row r="1047">
          <cell r="A1047">
            <v>1046</v>
          </cell>
          <cell r="B1047" t="str">
            <v>ja</v>
          </cell>
          <cell r="C1047" t="str">
            <v>ウザリーマン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red</v>
          </cell>
          <cell r="I1047">
            <v>5</v>
          </cell>
          <cell r="J1047" t="str">
            <v>PremiumS</v>
          </cell>
          <cell r="K1047" t="str">
            <v>technical</v>
          </cell>
          <cell r="L1047" t="str">
            <v>テクニカルタイプ</v>
          </cell>
          <cell r="M1047" t="str">
            <v>unknown</v>
          </cell>
        </row>
        <row r="1048">
          <cell r="A1048">
            <v>1047</v>
          </cell>
          <cell r="B1048" t="str">
            <v>ja</v>
          </cell>
          <cell r="C1048" t="str">
            <v>ウザリーマン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green</v>
          </cell>
          <cell r="I1048">
            <v>6</v>
          </cell>
          <cell r="J1048" t="str">
            <v>PremiumSSS</v>
          </cell>
          <cell r="K1048" t="str">
            <v>technical</v>
          </cell>
          <cell r="L1048" t="str">
            <v>テクニカルタイプ</v>
          </cell>
          <cell r="M1048" t="str">
            <v>unknown</v>
          </cell>
        </row>
        <row r="1049">
          <cell r="A1049">
            <v>1048</v>
          </cell>
          <cell r="B1049" t="str">
            <v>ja</v>
          </cell>
          <cell r="C1049" t="str">
            <v>ウザリーマン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green</v>
          </cell>
          <cell r="I1049">
            <v>5</v>
          </cell>
          <cell r="J1049" t="str">
            <v>PremiumS</v>
          </cell>
          <cell r="K1049" t="str">
            <v>technical</v>
          </cell>
          <cell r="L1049" t="str">
            <v>テクニカルタイプ</v>
          </cell>
          <cell r="M1049" t="str">
            <v>unknown</v>
          </cell>
        </row>
        <row r="1050">
          <cell r="A1050">
            <v>1049</v>
          </cell>
          <cell r="B1050" t="str">
            <v>ja</v>
          </cell>
          <cell r="C1050" t="str">
            <v>ウザリーマン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technical</v>
          </cell>
          <cell r="L1050" t="str">
            <v>テクニカルタイプ</v>
          </cell>
          <cell r="M1050" t="str">
            <v>unknown</v>
          </cell>
        </row>
        <row r="1051">
          <cell r="A1051">
            <v>1050</v>
          </cell>
          <cell r="B1051" t="str">
            <v>ja</v>
          </cell>
          <cell r="C1051" t="str">
            <v>ウザリーマン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technical</v>
          </cell>
          <cell r="L1051" t="str">
            <v>テクニカルタイプ</v>
          </cell>
          <cell r="M1051" t="str">
            <v>unknown</v>
          </cell>
        </row>
        <row r="1052">
          <cell r="A1052">
            <v>1051</v>
          </cell>
          <cell r="B1052" t="str">
            <v>ja</v>
          </cell>
          <cell r="C1052" t="str">
            <v>ウザリーマン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yellow</v>
          </cell>
          <cell r="I1052">
            <v>6</v>
          </cell>
          <cell r="J1052" t="str">
            <v>PremiumSSS</v>
          </cell>
          <cell r="K1052" t="str">
            <v>technical</v>
          </cell>
          <cell r="L1052" t="str">
            <v>テクニカルタイプ</v>
          </cell>
          <cell r="M1052" t="str">
            <v>unknown</v>
          </cell>
        </row>
        <row r="1053">
          <cell r="A1053">
            <v>1052</v>
          </cell>
          <cell r="B1053" t="str">
            <v>ja</v>
          </cell>
          <cell r="C1053" t="str">
            <v>ウザリーマン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yellow</v>
          </cell>
          <cell r="I1053">
            <v>5</v>
          </cell>
          <cell r="J1053" t="str">
            <v>PremiumS</v>
          </cell>
          <cell r="K1053" t="str">
            <v>technical</v>
          </cell>
          <cell r="L1053" t="str">
            <v>テクニカルタイプ</v>
          </cell>
          <cell r="M1053" t="str">
            <v>unknown</v>
          </cell>
        </row>
        <row r="1054">
          <cell r="A1054">
            <v>1053</v>
          </cell>
          <cell r="B1054" t="str">
            <v>ja</v>
          </cell>
          <cell r="C1054" t="str">
            <v>ウザリーマン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yellow</v>
          </cell>
          <cell r="I1054">
            <v>5</v>
          </cell>
          <cell r="J1054" t="str">
            <v>DropWizSS</v>
          </cell>
          <cell r="K1054" t="str">
            <v>technical</v>
          </cell>
          <cell r="L1054" t="str">
            <v>テクニカルタイプ</v>
          </cell>
          <cell r="M1054" t="str">
            <v>unknown</v>
          </cell>
        </row>
        <row r="1055">
          <cell r="A1055">
            <v>1054</v>
          </cell>
          <cell r="B1055" t="str">
            <v>ja</v>
          </cell>
          <cell r="C1055" t="str">
            <v>ウザリーマン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yellow</v>
          </cell>
          <cell r="I1055">
            <v>6</v>
          </cell>
          <cell r="J1055" t="str">
            <v>DropWizSS</v>
          </cell>
          <cell r="K1055" t="str">
            <v>technical</v>
          </cell>
          <cell r="L1055" t="str">
            <v>テクニカルタイプ</v>
          </cell>
          <cell r="M1055" t="str">
            <v>unknown</v>
          </cell>
        </row>
        <row r="1056">
          <cell r="A1056">
            <v>1055</v>
          </cell>
          <cell r="B1056" t="str">
            <v>ja</v>
          </cell>
          <cell r="C1056" t="str">
            <v>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god</v>
          </cell>
        </row>
        <row r="1057">
          <cell r="A1057">
            <v>1056</v>
          </cell>
          <cell r="B1057" t="str">
            <v>ja</v>
          </cell>
          <cell r="C1057" t="str">
            <v>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god</v>
          </cell>
        </row>
        <row r="1058">
          <cell r="A1058">
            <v>1057</v>
          </cell>
          <cell r="B1058" t="str">
            <v>ja</v>
          </cell>
          <cell r="C1058" t="str">
            <v>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god</v>
          </cell>
        </row>
        <row r="1059">
          <cell r="A1059">
            <v>1058</v>
          </cell>
          <cell r="B1059" t="str">
            <v>ja</v>
          </cell>
          <cell r="C1059" t="str">
            <v>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6001</v>
          </cell>
          <cell r="B1060" t="str">
            <v>ja</v>
          </cell>
          <cell r="C1060" t="str">
            <v>ジェリー</v>
          </cell>
          <cell r="D1060" t="str">
            <v>ノーマルクエスト</v>
          </cell>
          <cell r="E1060" t="str">
            <v>QoH</v>
          </cell>
          <cell r="F1060" t="str">
            <v>世界観</v>
          </cell>
          <cell r="G1060" t="str">
            <v>不明</v>
          </cell>
          <cell r="H1060" t="str">
            <v>red</v>
          </cell>
          <cell r="I1060">
            <v>1</v>
          </cell>
          <cell r="J1060" t="str">
            <v>Drop1T</v>
          </cell>
          <cell r="K1060" t="str">
            <v>ra</v>
          </cell>
          <cell r="L1060" t="str">
            <v>ラグランジュチャレンジ</v>
          </cell>
          <cell r="M1060" t="str">
            <v>unknown</v>
          </cell>
        </row>
        <row r="1061">
          <cell r="A1061">
            <v>6002</v>
          </cell>
          <cell r="B1061" t="str">
            <v>ja</v>
          </cell>
          <cell r="C1061" t="str">
            <v>ヨシタカ</v>
          </cell>
          <cell r="D1061" t="str">
            <v>ノーマルクエスト</v>
          </cell>
          <cell r="E1061" t="str">
            <v>アバター</v>
          </cell>
          <cell r="F1061" t="str">
            <v>世界観</v>
          </cell>
          <cell r="G1061" t="str">
            <v>男性</v>
          </cell>
          <cell r="H1061" t="str">
            <v>red</v>
          </cell>
          <cell r="I1061">
            <v>2</v>
          </cell>
          <cell r="J1061" t="str">
            <v>Drop1N</v>
          </cell>
          <cell r="K1061" t="str">
            <v>ra</v>
          </cell>
          <cell r="L1061" t="str">
            <v>ラグランジュチャレンジ</v>
          </cell>
          <cell r="M1061" t="str">
            <v>human</v>
          </cell>
        </row>
        <row r="1062">
          <cell r="A1062">
            <v>6003</v>
          </cell>
          <cell r="B1062" t="str">
            <v>ja</v>
          </cell>
          <cell r="C1062" t="str">
            <v>朱雀</v>
          </cell>
          <cell r="D1062" t="str">
            <v>リンクガチャ:4神</v>
          </cell>
          <cell r="E1062" t="str">
            <v>守護神</v>
          </cell>
          <cell r="F1062" t="str">
            <v>格好いい</v>
          </cell>
          <cell r="G1062" t="str">
            <v>不明</v>
          </cell>
          <cell r="H1062" t="str">
            <v>red</v>
          </cell>
          <cell r="I1062">
            <v>3</v>
          </cell>
          <cell r="J1062" t="str">
            <v>Drop2N</v>
          </cell>
          <cell r="K1062" t="str">
            <v>ra</v>
          </cell>
          <cell r="L1062" t="str">
            <v>ラグランジュチャレンジ</v>
          </cell>
          <cell r="M1062" t="str">
            <v>animal</v>
          </cell>
        </row>
        <row r="1063">
          <cell r="A1063">
            <v>6004</v>
          </cell>
          <cell r="B1063" t="str">
            <v>ja</v>
          </cell>
          <cell r="C1063" t="str">
            <v>ブレット</v>
          </cell>
          <cell r="D1063" t="str">
            <v>ノーマルクエスト</v>
          </cell>
          <cell r="E1063" t="str">
            <v>アバター</v>
          </cell>
          <cell r="F1063" t="str">
            <v>世界観</v>
          </cell>
          <cell r="G1063" t="str">
            <v>不明</v>
          </cell>
          <cell r="H1063" t="str">
            <v>red</v>
          </cell>
          <cell r="I1063">
            <v>1</v>
          </cell>
          <cell r="J1063" t="str">
            <v>Drop1W</v>
          </cell>
          <cell r="K1063" t="str">
            <v>ra</v>
          </cell>
          <cell r="L1063" t="str">
            <v>ラグランジュチャレンジ</v>
          </cell>
          <cell r="M1063" t="str">
            <v>animal</v>
          </cell>
        </row>
        <row r="1064">
          <cell r="A1064">
            <v>6005</v>
          </cell>
          <cell r="B1064" t="str">
            <v>ja</v>
          </cell>
          <cell r="C1064" t="str">
            <v>孤神 テティス</v>
          </cell>
          <cell r="D1064" t="str">
            <v>初期ガチャ</v>
          </cell>
          <cell r="E1064" t="str">
            <v>管理者</v>
          </cell>
          <cell r="F1064" t="str">
            <v>美しい</v>
          </cell>
          <cell r="G1064" t="str">
            <v>女性</v>
          </cell>
          <cell r="H1064" t="str">
            <v>blue</v>
          </cell>
          <cell r="I1064">
            <v>4</v>
          </cell>
          <cell r="J1064" t="str">
            <v>PremiumN</v>
          </cell>
          <cell r="K1064" t="str">
            <v>ra</v>
          </cell>
          <cell r="L1064" t="str">
            <v>ラグランジュチャレンジ</v>
          </cell>
          <cell r="M1064" t="str">
            <v>god</v>
          </cell>
        </row>
        <row r="1065">
          <cell r="A1065">
            <v>6006</v>
          </cell>
          <cell r="B1065" t="str">
            <v>ja</v>
          </cell>
          <cell r="C1065" t="str">
            <v>海底の孤高神 テティス</v>
          </cell>
          <cell r="D1065" t="str">
            <v>初期ガチャ</v>
          </cell>
          <cell r="E1065" t="str">
            <v>管理者</v>
          </cell>
          <cell r="F1065" t="str">
            <v>美しい</v>
          </cell>
          <cell r="G1065" t="str">
            <v>女性</v>
          </cell>
          <cell r="H1065" t="str">
            <v>blue</v>
          </cell>
          <cell r="I1065">
            <v>5</v>
          </cell>
          <cell r="J1065" t="str">
            <v>PremiumN</v>
          </cell>
          <cell r="K1065" t="str">
            <v>ra</v>
          </cell>
          <cell r="L1065" t="str">
            <v>ラグランジュチャレンジ</v>
          </cell>
          <cell r="M1065" t="str">
            <v>god</v>
          </cell>
        </row>
        <row r="1066">
          <cell r="A1066">
            <v>6007</v>
          </cell>
          <cell r="B1066" t="str">
            <v>ja</v>
          </cell>
          <cell r="C1066" t="str">
            <v>番犬 ケルベロス</v>
          </cell>
          <cell r="D1066" t="str">
            <v>初期ガチャ</v>
          </cell>
          <cell r="E1066" t="str">
            <v>破界者</v>
          </cell>
          <cell r="F1066" t="str">
            <v>可愛い</v>
          </cell>
          <cell r="G1066" t="str">
            <v>女性</v>
          </cell>
          <cell r="H1066" t="str">
            <v>red</v>
          </cell>
          <cell r="I1066">
            <v>4</v>
          </cell>
          <cell r="J1066" t="str">
            <v>PremiumN</v>
          </cell>
          <cell r="K1066" t="str">
            <v>ra</v>
          </cell>
          <cell r="L1066" t="str">
            <v>ラグランジュチャレンジ</v>
          </cell>
          <cell r="M1066" t="str">
            <v>animal</v>
          </cell>
        </row>
        <row r="1067">
          <cell r="A1067">
            <v>6008</v>
          </cell>
          <cell r="B1067" t="str">
            <v>ja</v>
          </cell>
          <cell r="C1067" t="str">
            <v>焔神 プロメテウス</v>
          </cell>
          <cell r="D1067" t="str">
            <v>初期ガチャ</v>
          </cell>
          <cell r="E1067" t="str">
            <v>管理者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4</v>
          </cell>
          <cell r="J1067" t="str">
            <v>PremiumN</v>
          </cell>
          <cell r="K1067" t="str">
            <v>ra</v>
          </cell>
          <cell r="L1067" t="str">
            <v>ラグランジュチャレンジ</v>
          </cell>
          <cell r="M1067" t="str">
            <v>god</v>
          </cell>
        </row>
        <row r="1068">
          <cell r="A1068">
            <v>6009</v>
          </cell>
          <cell r="B1068" t="str">
            <v>ja</v>
          </cell>
          <cell r="C1068" t="str">
            <v>超越自我 ラグランジュ</v>
          </cell>
          <cell r="D1068" t="str">
            <v>ガチャ:フィーバーフェス02</v>
          </cell>
          <cell r="E1068" t="str">
            <v>執行者</v>
          </cell>
          <cell r="F1068" t="str">
            <v>格好いい</v>
          </cell>
          <cell r="G1068" t="str">
            <v>女性</v>
          </cell>
          <cell r="H1068" t="str">
            <v>red</v>
          </cell>
          <cell r="I1068">
            <v>5</v>
          </cell>
          <cell r="J1068" t="str">
            <v>PremiumSSS</v>
          </cell>
          <cell r="K1068" t="str">
            <v>ra</v>
          </cell>
          <cell r="L1068" t="str">
            <v>ラグランジュチャレンジ</v>
          </cell>
          <cell r="M1068" t="str">
            <v>human</v>
          </cell>
        </row>
        <row r="1069">
          <cell r="A1069">
            <v>6010</v>
          </cell>
          <cell r="B1069" t="str">
            <v>ja</v>
          </cell>
          <cell r="C1069" t="str">
            <v>超越凌駕 ラグランジュ</v>
          </cell>
          <cell r="D1069" t="str">
            <v>ガチャ:フィーバーフェス02</v>
          </cell>
          <cell r="E1069" t="str">
            <v>執行者</v>
          </cell>
          <cell r="F1069" t="str">
            <v>格好いい</v>
          </cell>
          <cell r="G1069" t="str">
            <v>女性</v>
          </cell>
          <cell r="H1069" t="str">
            <v>red</v>
          </cell>
          <cell r="I1069">
            <v>6</v>
          </cell>
          <cell r="J1069" t="str">
            <v>PremiumSSS</v>
          </cell>
          <cell r="K1069" t="str">
            <v>ra</v>
          </cell>
          <cell r="L1069" t="str">
            <v>ラグランジュチャレンジ</v>
          </cell>
          <cell r="M1069" t="str">
            <v>human</v>
          </cell>
        </row>
        <row r="1070">
          <cell r="A1070">
            <v>6011</v>
          </cell>
          <cell r="B1070" t="str">
            <v>ja</v>
          </cell>
          <cell r="C1070" t="str">
            <v>パトドッグリーダー ポチ</v>
          </cell>
          <cell r="D1070" t="str">
            <v>ガチャ:フィーバーフェス02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blue</v>
          </cell>
          <cell r="I1070">
            <v>2</v>
          </cell>
          <cell r="J1070" t="str">
            <v>Drop1T</v>
          </cell>
          <cell r="K1070" t="str">
            <v>ra002</v>
          </cell>
          <cell r="L1070" t="str">
            <v>Uチャレンジ</v>
          </cell>
          <cell r="M1070" t="str">
            <v>unknown</v>
          </cell>
        </row>
        <row r="1071">
          <cell r="A1071">
            <v>6012</v>
          </cell>
          <cell r="B1071" t="str">
            <v>ja</v>
          </cell>
          <cell r="C1071" t="str">
            <v>ミミ</v>
          </cell>
          <cell r="D1071" t="str">
            <v>ガチャ:フィーバーフェス02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yellow</v>
          </cell>
          <cell r="I1071">
            <v>1</v>
          </cell>
          <cell r="J1071" t="str">
            <v>Drop1W</v>
          </cell>
          <cell r="K1071" t="str">
            <v>ra002</v>
          </cell>
          <cell r="L1071" t="str">
            <v>Uチャレンジ</v>
          </cell>
          <cell r="M1071" t="str">
            <v>animal</v>
          </cell>
        </row>
        <row r="1072">
          <cell r="A1072">
            <v>6013</v>
          </cell>
          <cell r="B1072" t="str">
            <v>ja</v>
          </cell>
          <cell r="C1072" t="str">
            <v>護衛機人 スケアクロウ</v>
          </cell>
          <cell r="D1072" t="str">
            <v>ガチャ:フィーバーフェス02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blue</v>
          </cell>
          <cell r="I1072">
            <v>2</v>
          </cell>
          <cell r="J1072" t="str">
            <v>Drop1N</v>
          </cell>
          <cell r="K1072" t="str">
            <v>ra002</v>
          </cell>
          <cell r="L1072" t="str">
            <v>Uチャレンジ</v>
          </cell>
          <cell r="M1072" t="str">
            <v>machine</v>
          </cell>
        </row>
        <row r="1073">
          <cell r="A1073">
            <v>6014</v>
          </cell>
          <cell r="B1073" t="str">
            <v>ja</v>
          </cell>
          <cell r="C1073" t="str">
            <v>月下の人狼 ローレンス</v>
          </cell>
          <cell r="D1073" t="str">
            <v>ガチャ:フィーバーフェス02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4</v>
          </cell>
          <cell r="J1073" t="str">
            <v>PremiumW</v>
          </cell>
          <cell r="K1073" t="str">
            <v>ra002</v>
          </cell>
          <cell r="L1073" t="str">
            <v>Uチャレンジ</v>
          </cell>
          <cell r="M1073" t="str">
            <v>animal</v>
          </cell>
        </row>
        <row r="1074">
          <cell r="A1074">
            <v>6015</v>
          </cell>
          <cell r="B1074" t="str">
            <v>ja</v>
          </cell>
          <cell r="C1074" t="str">
            <v>フレイヤ</v>
          </cell>
          <cell r="D1074" t="str">
            <v>ガチャ:フィーバーフェス02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4</v>
          </cell>
          <cell r="J1074" t="str">
            <v>PremiumSS</v>
          </cell>
          <cell r="K1074" t="str">
            <v>ra002</v>
          </cell>
          <cell r="L1074" t="str">
            <v>Uチャレンジ</v>
          </cell>
          <cell r="M1074" t="str">
            <v>animal</v>
          </cell>
        </row>
        <row r="1075">
          <cell r="A1075">
            <v>6016</v>
          </cell>
          <cell r="B1075" t="str">
            <v>ja</v>
          </cell>
          <cell r="C1075" t="str">
            <v>根原論理 ユークリッド</v>
          </cell>
          <cell r="D1075" t="str">
            <v>ガチャ:フィーバーフェス02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blue</v>
          </cell>
          <cell r="I1075">
            <v>5</v>
          </cell>
          <cell r="J1075" t="str">
            <v>PremiumSSS</v>
          </cell>
          <cell r="K1075" t="str">
            <v>ra002</v>
          </cell>
          <cell r="L1075" t="str">
            <v>Uチャレンジ</v>
          </cell>
          <cell r="M1075" t="str">
            <v>human</v>
          </cell>
        </row>
        <row r="1076">
          <cell r="A1076">
            <v>6017</v>
          </cell>
          <cell r="B1076" t="str">
            <v>ja</v>
          </cell>
          <cell r="C1076" t="str">
            <v>不朽の極論 ユークリッド</v>
          </cell>
          <cell r="D1076" t="str">
            <v>ガチャ:フィーバーフェス02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blue</v>
          </cell>
          <cell r="I1076">
            <v>6</v>
          </cell>
          <cell r="J1076" t="str">
            <v>PremiumSSS</v>
          </cell>
          <cell r="K1076" t="str">
            <v>ra002</v>
          </cell>
          <cell r="L1076" t="str">
            <v>Uチャレンジ</v>
          </cell>
          <cell r="M1076" t="str">
            <v>human</v>
          </cell>
        </row>
        <row r="1077">
          <cell r="A1077">
            <v>6018</v>
          </cell>
          <cell r="B1077" t="str">
            <v>ja</v>
          </cell>
          <cell r="C1077" t="str">
            <v>ハヅル</v>
          </cell>
          <cell r="D1077" t="str">
            <v>ガチャ:フィーバーフェス02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red</v>
          </cell>
          <cell r="I1077">
            <v>4</v>
          </cell>
          <cell r="J1077" t="str">
            <v>PremiumSS</v>
          </cell>
          <cell r="K1077" t="str">
            <v>ra002</v>
          </cell>
          <cell r="L1077" t="str">
            <v>Uチャレンジ</v>
          </cell>
          <cell r="M1077" t="str">
            <v>animal</v>
          </cell>
        </row>
        <row r="1078">
          <cell r="A1078">
            <v>6019</v>
          </cell>
          <cell r="B1078" t="str">
            <v>ja</v>
          </cell>
          <cell r="C1078" t="str">
            <v>天織羽鶴 ハヅル</v>
          </cell>
          <cell r="D1078" t="str">
            <v>ガチャ:フィーバーフェス02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red</v>
          </cell>
          <cell r="I1078">
            <v>5</v>
          </cell>
          <cell r="J1078" t="str">
            <v>PremiumSS</v>
          </cell>
          <cell r="K1078" t="str">
            <v>ra002</v>
          </cell>
          <cell r="L1078" t="str">
            <v>Uチャレンジ</v>
          </cell>
          <cell r="M1078" t="str">
            <v>animal</v>
          </cell>
        </row>
        <row r="1079">
          <cell r="A1079">
            <v>6020</v>
          </cell>
          <cell r="B1079" t="str">
            <v>ja</v>
          </cell>
          <cell r="C1079" t="str">
            <v>ミズチ</v>
          </cell>
          <cell r="D1079" t="str">
            <v>ガチャ:フィーバーフェス02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blue</v>
          </cell>
          <cell r="I1079">
            <v>4</v>
          </cell>
          <cell r="J1079" t="str">
            <v>PremiumS</v>
          </cell>
          <cell r="K1079" t="str">
            <v>ra002</v>
          </cell>
          <cell r="L1079" t="str">
            <v>Uチャレンジ</v>
          </cell>
          <cell r="M1079" t="str">
            <v>dragon</v>
          </cell>
        </row>
        <row r="1080">
          <cell r="A1080">
            <v>8001</v>
          </cell>
          <cell r="B1080" t="str">
            <v>ja</v>
          </cell>
          <cell r="C1080" t="str">
            <v>媽祖</v>
          </cell>
          <cell r="D1080" t="str">
            <v>イベント:ミクコラボ01</v>
          </cell>
          <cell r="E1080" t="str">
            <v>執行者</v>
          </cell>
          <cell r="F1080" t="str">
            <v>格好いい</v>
          </cell>
          <cell r="G1080" t="str">
            <v>女性</v>
          </cell>
          <cell r="H1080" t="str">
            <v>yellow</v>
          </cell>
          <cell r="I1080">
            <v>5</v>
          </cell>
          <cell r="J1080" t="str">
            <v>PremiumSS</v>
          </cell>
          <cell r="K1080" t="str">
            <v>attack</v>
          </cell>
          <cell r="L1080" t="str">
            <v>攻撃タイプ</v>
          </cell>
          <cell r="M1080" t="str">
            <v>god</v>
          </cell>
        </row>
        <row r="1081">
          <cell r="A1081">
            <v>8002</v>
          </cell>
          <cell r="B1081" t="str">
            <v>ja</v>
          </cell>
          <cell r="C1081" t="str">
            <v>天后 媽祖</v>
          </cell>
          <cell r="D1081" t="str">
            <v>イベント:ミクコラボ01</v>
          </cell>
          <cell r="E1081" t="str">
            <v>執行者</v>
          </cell>
          <cell r="F1081" t="str">
            <v>格好いい</v>
          </cell>
          <cell r="G1081" t="str">
            <v>女性</v>
          </cell>
          <cell r="H1081" t="str">
            <v>yellow</v>
          </cell>
          <cell r="I1081">
            <v>6</v>
          </cell>
          <cell r="J1081" t="str">
            <v>PremiumSS</v>
          </cell>
          <cell r="K1081" t="str">
            <v>attack</v>
          </cell>
          <cell r="L1081" t="str">
            <v>攻撃タイプ</v>
          </cell>
          <cell r="M1081" t="str">
            <v>god</v>
          </cell>
        </row>
        <row r="1082">
          <cell r="A1082">
            <v>8003</v>
          </cell>
          <cell r="B1082" t="str">
            <v>ja</v>
          </cell>
          <cell r="C1082" t="str">
            <v>蛟龍</v>
          </cell>
          <cell r="D1082" t="str">
            <v>イベント:ミクコラボ01</v>
          </cell>
          <cell r="E1082" t="str">
            <v>執行者</v>
          </cell>
          <cell r="F1082" t="str">
            <v>格好いい</v>
          </cell>
          <cell r="G1082" t="str">
            <v>不明</v>
          </cell>
          <cell r="H1082" t="str">
            <v>blue</v>
          </cell>
          <cell r="I1082">
            <v>5</v>
          </cell>
          <cell r="J1082" t="str">
            <v>DropWizS</v>
          </cell>
          <cell r="K1082" t="str">
            <v>hp</v>
          </cell>
          <cell r="L1082" t="str">
            <v>体力タイプ</v>
          </cell>
          <cell r="M1082" t="str">
            <v>dragon</v>
          </cell>
        </row>
        <row r="1083">
          <cell r="A1083">
            <v>8004</v>
          </cell>
          <cell r="B1083" t="str">
            <v>ja</v>
          </cell>
          <cell r="C1083" t="str">
            <v>深海蛟龍怪‧晏公</v>
          </cell>
          <cell r="D1083" t="str">
            <v>イベント:ミクコラボ01</v>
          </cell>
          <cell r="E1083" t="str">
            <v>執行者</v>
          </cell>
          <cell r="F1083" t="str">
            <v>格好いい</v>
          </cell>
          <cell r="G1083" t="str">
            <v>不明</v>
          </cell>
          <cell r="H1083" t="str">
            <v>blue</v>
          </cell>
          <cell r="I1083">
            <v>6</v>
          </cell>
          <cell r="J1083" t="str">
            <v>DropWizS</v>
          </cell>
          <cell r="K1083" t="str">
            <v>hp</v>
          </cell>
          <cell r="L1083" t="str">
            <v>体力タイプ</v>
          </cell>
          <cell r="M1083" t="str">
            <v>dragon</v>
          </cell>
        </row>
        <row r="1084">
          <cell r="A1084">
            <v>8005</v>
          </cell>
          <cell r="B1084" t="str">
            <v>ja</v>
          </cell>
          <cell r="C1084" t="str">
            <v>三蔵法師</v>
          </cell>
          <cell r="D1084" t="str">
            <v>イベント:ミクコラボ01</v>
          </cell>
          <cell r="E1084" t="str">
            <v>執行者</v>
          </cell>
          <cell r="F1084" t="str">
            <v>格好いい</v>
          </cell>
          <cell r="G1084" t="str">
            <v>不明</v>
          </cell>
          <cell r="H1084" t="str">
            <v>blue</v>
          </cell>
          <cell r="I1084">
            <v>5</v>
          </cell>
          <cell r="J1084" t="str">
            <v>PremiumSS</v>
          </cell>
          <cell r="K1084" t="str">
            <v>balance</v>
          </cell>
          <cell r="L1084" t="str">
            <v>バランスタイプ</v>
          </cell>
          <cell r="M1084" t="str">
            <v>human</v>
          </cell>
        </row>
        <row r="1085">
          <cell r="A1085">
            <v>8006</v>
          </cell>
          <cell r="B1085" t="str">
            <v>ja</v>
          </cell>
          <cell r="C1085" t="str">
            <v>三蔵法師</v>
          </cell>
          <cell r="D1085" t="str">
            <v>イベント:ミクコラボ01</v>
          </cell>
          <cell r="E1085" t="str">
            <v>執行者</v>
          </cell>
          <cell r="F1085" t="str">
            <v>格好いい</v>
          </cell>
          <cell r="G1085" t="str">
            <v>不明</v>
          </cell>
          <cell r="H1085" t="str">
            <v>blue</v>
          </cell>
          <cell r="I1085">
            <v>6</v>
          </cell>
          <cell r="J1085" t="str">
            <v>PremiumSS</v>
          </cell>
          <cell r="K1085" t="str">
            <v>balance</v>
          </cell>
          <cell r="L1085" t="str">
            <v>バランスタイプ</v>
          </cell>
          <cell r="M1085" t="str">
            <v>human</v>
          </cell>
        </row>
        <row r="1086">
          <cell r="A1086">
            <v>8007</v>
          </cell>
          <cell r="B1086" t="str">
            <v>ja</v>
          </cell>
          <cell r="C1086" t="str">
            <v>孫悟空</v>
          </cell>
          <cell r="D1086" t="str">
            <v>イベント:ミクコラボ01</v>
          </cell>
          <cell r="E1086" t="str">
            <v>執行者</v>
          </cell>
          <cell r="F1086" t="str">
            <v>格好いい</v>
          </cell>
          <cell r="G1086" t="str">
            <v>不明</v>
          </cell>
          <cell r="H1086" t="str">
            <v>red</v>
          </cell>
          <cell r="I1086">
            <v>5</v>
          </cell>
          <cell r="J1086" t="str">
            <v>DropWizS</v>
          </cell>
          <cell r="K1086" t="str">
            <v>attack</v>
          </cell>
          <cell r="L1086" t="str">
            <v>攻撃タイプ</v>
          </cell>
          <cell r="M1086" t="str">
            <v>animal</v>
          </cell>
        </row>
        <row r="1087">
          <cell r="A1087">
            <v>8008</v>
          </cell>
          <cell r="B1087" t="str">
            <v>ja</v>
          </cell>
          <cell r="C1087" t="str">
            <v>孫悟空</v>
          </cell>
          <cell r="D1087" t="str">
            <v>イベント:ミクコラボ01</v>
          </cell>
          <cell r="E1087" t="str">
            <v>執行者</v>
          </cell>
          <cell r="F1087" t="str">
            <v>格好いい</v>
          </cell>
          <cell r="G1087" t="str">
            <v>不明</v>
          </cell>
          <cell r="H1087" t="str">
            <v>red</v>
          </cell>
          <cell r="I1087">
            <v>6</v>
          </cell>
          <cell r="J1087" t="str">
            <v>DropWizS</v>
          </cell>
          <cell r="K1087" t="str">
            <v>attack</v>
          </cell>
          <cell r="L1087" t="str">
            <v>攻撃タイプ</v>
          </cell>
          <cell r="M1087" t="str">
            <v>animal</v>
          </cell>
        </row>
        <row r="1088">
          <cell r="A1088">
            <v>8009</v>
          </cell>
          <cell r="B1088" t="str">
            <v>ja</v>
          </cell>
          <cell r="C1088" t="str">
            <v>七星娘娘</v>
          </cell>
          <cell r="D1088" t="str">
            <v>イベント:ミクコラボ01</v>
          </cell>
          <cell r="E1088" t="str">
            <v>執行者</v>
          </cell>
          <cell r="F1088" t="str">
            <v>格好いい</v>
          </cell>
          <cell r="G1088" t="str">
            <v>不明</v>
          </cell>
          <cell r="H1088" t="str">
            <v>blue</v>
          </cell>
          <cell r="I1088">
            <v>5</v>
          </cell>
          <cell r="J1088" t="str">
            <v>PremiumSS</v>
          </cell>
          <cell r="K1088" t="str">
            <v>balance</v>
          </cell>
          <cell r="L1088" t="str">
            <v>バランスタイプ</v>
          </cell>
          <cell r="M1088" t="str">
            <v>god</v>
          </cell>
        </row>
        <row r="1089">
          <cell r="A1089">
            <v>8010</v>
          </cell>
          <cell r="B1089" t="str">
            <v>ja</v>
          </cell>
          <cell r="C1089" t="str">
            <v>七星娘娘</v>
          </cell>
          <cell r="D1089" t="str">
            <v>イベント:ミクコラボ01</v>
          </cell>
          <cell r="E1089" t="str">
            <v>執行者</v>
          </cell>
          <cell r="F1089" t="str">
            <v>格好いい</v>
          </cell>
          <cell r="G1089" t="str">
            <v>不明</v>
          </cell>
          <cell r="H1089" t="str">
            <v>yellow</v>
          </cell>
          <cell r="I1089">
            <v>6</v>
          </cell>
          <cell r="J1089" t="str">
            <v>PremiumSS</v>
          </cell>
          <cell r="K1089" t="str">
            <v>attack</v>
          </cell>
          <cell r="L1089" t="str">
            <v>攻撃タイプ</v>
          </cell>
          <cell r="M1089" t="str">
            <v>god</v>
          </cell>
        </row>
        <row r="1090">
          <cell r="A1090">
            <v>8011</v>
          </cell>
          <cell r="B1090" t="str">
            <v>ja</v>
          </cell>
          <cell r="C1090" t="str">
            <v>月下老人</v>
          </cell>
          <cell r="D1090" t="str">
            <v>イベント:ミクコラボ01</v>
          </cell>
          <cell r="E1090" t="str">
            <v>執行者</v>
          </cell>
          <cell r="F1090" t="str">
            <v>格好いい</v>
          </cell>
          <cell r="G1090" t="str">
            <v>女性</v>
          </cell>
          <cell r="H1090" t="str">
            <v>green</v>
          </cell>
          <cell r="I1090">
            <v>5</v>
          </cell>
          <cell r="J1090" t="str">
            <v>DropWizS</v>
          </cell>
          <cell r="K1090" t="str">
            <v>heal</v>
          </cell>
          <cell r="L1090" t="str">
            <v>回復タイプ</v>
          </cell>
          <cell r="M1090" t="str">
            <v>god</v>
          </cell>
        </row>
        <row r="1091">
          <cell r="A1091">
            <v>8012</v>
          </cell>
          <cell r="B1091" t="str">
            <v>ja</v>
          </cell>
          <cell r="C1091" t="str">
            <v>良緣祈福 月下老人</v>
          </cell>
          <cell r="D1091" t="str">
            <v>イベント:ミクコラボ01</v>
          </cell>
          <cell r="E1091" t="str">
            <v>執行者</v>
          </cell>
          <cell r="F1091" t="str">
            <v>格好いい</v>
          </cell>
          <cell r="G1091" t="str">
            <v>女性</v>
          </cell>
          <cell r="H1091" t="str">
            <v>yellow</v>
          </cell>
          <cell r="I1091">
            <v>6</v>
          </cell>
          <cell r="J1091" t="str">
            <v>DropWizS</v>
          </cell>
          <cell r="K1091" t="str">
            <v>heal</v>
          </cell>
          <cell r="L1091" t="str">
            <v>回復タイプ</v>
          </cell>
          <cell r="M1091" t="str">
            <v>god</v>
          </cell>
        </row>
        <row r="1092">
          <cell r="A1092">
            <v>8013</v>
          </cell>
          <cell r="B1092" t="str">
            <v>ja</v>
          </cell>
          <cell r="C1092" t="str">
            <v>CO04_Wiz01_R5</v>
          </cell>
          <cell r="D1092" t="str">
            <v>初音ミクV3</v>
          </cell>
          <cell r="E1092" t="str">
            <v>執行者</v>
          </cell>
          <cell r="F1092" t="str">
            <v>格好いい</v>
          </cell>
          <cell r="G1092" t="str">
            <v>女性</v>
          </cell>
          <cell r="H1092" t="str">
            <v>yellow</v>
          </cell>
          <cell r="I1092">
            <v>5</v>
          </cell>
          <cell r="J1092" t="str">
            <v>DropWizS</v>
          </cell>
          <cell r="K1092" t="str">
            <v>balance</v>
          </cell>
          <cell r="L1092" t="str">
            <v>バランスタイプ</v>
          </cell>
          <cell r="M1092" t="str">
            <v>unknown</v>
          </cell>
        </row>
        <row r="1093">
          <cell r="A1093">
            <v>8014</v>
          </cell>
          <cell r="B1093" t="str">
            <v>ja</v>
          </cell>
          <cell r="C1093" t="str">
            <v>CO04_Wiz01_R6</v>
          </cell>
          <cell r="D1093" t="str">
            <v>初音ミクV3</v>
          </cell>
          <cell r="E1093" t="str">
            <v>執行者</v>
          </cell>
          <cell r="F1093" t="str">
            <v>格好いい</v>
          </cell>
          <cell r="G1093" t="str">
            <v>女性</v>
          </cell>
          <cell r="H1093" t="str">
            <v>yellow</v>
          </cell>
          <cell r="I1093">
            <v>6</v>
          </cell>
          <cell r="J1093" t="str">
            <v>DropWizS</v>
          </cell>
          <cell r="K1093" t="str">
            <v>balance</v>
          </cell>
          <cell r="L1093" t="str">
            <v>バランスタイプ</v>
          </cell>
          <cell r="M1093" t="str">
            <v>unknown</v>
          </cell>
        </row>
        <row r="1094">
          <cell r="A1094">
            <v>8015</v>
          </cell>
          <cell r="B1094" t="str">
            <v>ja</v>
          </cell>
          <cell r="C1094" t="str">
            <v>CO04_ GA01_R5</v>
          </cell>
          <cell r="D1094" t="str">
            <v>初音ミク・アペンド</v>
          </cell>
          <cell r="E1094" t="str">
            <v>執行者</v>
          </cell>
          <cell r="F1094" t="str">
            <v>格好いい</v>
          </cell>
          <cell r="G1094" t="str">
            <v>女性</v>
          </cell>
          <cell r="H1094" t="str">
            <v>green</v>
          </cell>
          <cell r="I1094">
            <v>5</v>
          </cell>
          <cell r="J1094" t="str">
            <v>PremiumSSS</v>
          </cell>
          <cell r="K1094" t="str">
            <v>technical</v>
          </cell>
          <cell r="L1094" t="str">
            <v>テクニカルタイプ</v>
          </cell>
          <cell r="M1094" t="str">
            <v>unknown</v>
          </cell>
        </row>
        <row r="1095">
          <cell r="A1095">
            <v>8016</v>
          </cell>
          <cell r="B1095" t="str">
            <v>ja</v>
          </cell>
          <cell r="C1095" t="str">
            <v>CO04_ GA01_R6</v>
          </cell>
          <cell r="D1095" t="str">
            <v>初音ミク・アペンド</v>
          </cell>
          <cell r="E1095" t="str">
            <v>執行者</v>
          </cell>
          <cell r="F1095" t="str">
            <v>格好いい</v>
          </cell>
          <cell r="G1095" t="str">
            <v>女性</v>
          </cell>
          <cell r="H1095" t="str">
            <v>green</v>
          </cell>
          <cell r="I1095">
            <v>6</v>
          </cell>
          <cell r="J1095" t="str">
            <v>PremiumSSS</v>
          </cell>
          <cell r="K1095" t="str">
            <v>technical</v>
          </cell>
          <cell r="L1095" t="str">
            <v>テクニカルタイプ</v>
          </cell>
          <cell r="M1095" t="str">
            <v>unknown</v>
          </cell>
        </row>
        <row r="1096">
          <cell r="A1096">
            <v>8017</v>
          </cell>
          <cell r="B1096" t="str">
            <v>ja</v>
          </cell>
          <cell r="C1096" t="str">
            <v>CO04_ GA02_R5</v>
          </cell>
          <cell r="D1096" t="str">
            <v>初音ミク</v>
          </cell>
          <cell r="E1096" t="str">
            <v>執行者</v>
          </cell>
          <cell r="F1096" t="str">
            <v>格好いい</v>
          </cell>
          <cell r="G1096" t="str">
            <v>女性</v>
          </cell>
          <cell r="H1096" t="str">
            <v>green</v>
          </cell>
          <cell r="I1096">
            <v>5</v>
          </cell>
          <cell r="J1096" t="str">
            <v>PremiumSSS</v>
          </cell>
          <cell r="K1096" t="str">
            <v>balance</v>
          </cell>
          <cell r="L1096" t="str">
            <v>バランスタイプ</v>
          </cell>
          <cell r="M1096" t="str">
            <v>unknown</v>
          </cell>
        </row>
        <row r="1097">
          <cell r="A1097">
            <v>8018</v>
          </cell>
          <cell r="B1097" t="str">
            <v>ja</v>
          </cell>
          <cell r="C1097" t="str">
            <v>CO04_ GA02_R6</v>
          </cell>
          <cell r="D1097" t="str">
            <v>初音ミク</v>
          </cell>
          <cell r="E1097" t="str">
            <v>執行者</v>
          </cell>
          <cell r="F1097" t="str">
            <v>格好いい</v>
          </cell>
          <cell r="G1097" t="str">
            <v>女性</v>
          </cell>
          <cell r="H1097" t="str">
            <v>green</v>
          </cell>
          <cell r="I1097">
            <v>6</v>
          </cell>
          <cell r="J1097" t="str">
            <v>PremiumSSS</v>
          </cell>
          <cell r="K1097" t="str">
            <v>balance</v>
          </cell>
          <cell r="L1097" t="str">
            <v>バランスタイプ</v>
          </cell>
          <cell r="M1097" t="str">
            <v>unknown</v>
          </cell>
        </row>
        <row r="1098">
          <cell r="A1098">
            <v>8019</v>
          </cell>
          <cell r="B1098" t="str">
            <v>ja</v>
          </cell>
          <cell r="C1098" t="str">
            <v>CO04_ GA03_R4</v>
          </cell>
          <cell r="D1098" t="str">
            <v>鏡音リン</v>
          </cell>
          <cell r="E1098" t="str">
            <v>執行者</v>
          </cell>
          <cell r="F1098" t="str">
            <v>格好いい</v>
          </cell>
          <cell r="G1098" t="str">
            <v>男性</v>
          </cell>
          <cell r="H1098" t="str">
            <v>yellow</v>
          </cell>
          <cell r="I1098">
            <v>4</v>
          </cell>
          <cell r="J1098" t="str">
            <v>PremiumSS</v>
          </cell>
          <cell r="K1098" t="str">
            <v>balance</v>
          </cell>
          <cell r="L1098" t="str">
            <v>バランスタイプ</v>
          </cell>
          <cell r="M1098" t="str">
            <v>unknown</v>
          </cell>
        </row>
        <row r="1099">
          <cell r="A1099">
            <v>8020</v>
          </cell>
          <cell r="B1099" t="str">
            <v>ja</v>
          </cell>
          <cell r="C1099" t="str">
            <v>CO04_ GA03_R5</v>
          </cell>
          <cell r="D1099" t="str">
            <v>鏡音リン</v>
          </cell>
          <cell r="E1099" t="str">
            <v>執行者</v>
          </cell>
          <cell r="F1099" t="str">
            <v>格好いい</v>
          </cell>
          <cell r="G1099" t="str">
            <v>男性</v>
          </cell>
          <cell r="H1099" t="str">
            <v>yellow</v>
          </cell>
          <cell r="I1099">
            <v>5</v>
          </cell>
          <cell r="J1099" t="str">
            <v>PremiumSS</v>
          </cell>
          <cell r="K1099" t="str">
            <v>balance</v>
          </cell>
          <cell r="L1099" t="str">
            <v>バランスタイプ</v>
          </cell>
          <cell r="M1099" t="str">
            <v>unknown</v>
          </cell>
        </row>
        <row r="1100">
          <cell r="A1100">
            <v>8021</v>
          </cell>
          <cell r="B1100" t="str">
            <v>ja</v>
          </cell>
          <cell r="C1100" t="str">
            <v>CO04_ GA04_R4</v>
          </cell>
          <cell r="D1100" t="str">
            <v>鏡音レン</v>
          </cell>
          <cell r="E1100" t="str">
            <v>執行者</v>
          </cell>
          <cell r="F1100" t="str">
            <v>格好いい</v>
          </cell>
          <cell r="G1100" t="str">
            <v>女性</v>
          </cell>
          <cell r="H1100" t="str">
            <v>yellow</v>
          </cell>
          <cell r="I1100">
            <v>4</v>
          </cell>
          <cell r="J1100" t="str">
            <v>PremiumSS</v>
          </cell>
          <cell r="K1100" t="str">
            <v>heal</v>
          </cell>
          <cell r="L1100" t="str">
            <v>回復タイプ</v>
          </cell>
          <cell r="M1100" t="str">
            <v>unknown</v>
          </cell>
        </row>
        <row r="1101">
          <cell r="A1101">
            <v>8022</v>
          </cell>
          <cell r="B1101" t="str">
            <v>ja</v>
          </cell>
          <cell r="C1101" t="str">
            <v>CO04_ GA04_R5</v>
          </cell>
          <cell r="D1101" t="str">
            <v>鏡音レン</v>
          </cell>
          <cell r="E1101" t="str">
            <v>執行者</v>
          </cell>
          <cell r="F1101" t="str">
            <v>格好いい</v>
          </cell>
          <cell r="G1101" t="str">
            <v>女性</v>
          </cell>
          <cell r="H1101" t="str">
            <v>yellow</v>
          </cell>
          <cell r="I1101">
            <v>5</v>
          </cell>
          <cell r="J1101" t="str">
            <v>PremiumSS</v>
          </cell>
          <cell r="K1101" t="str">
            <v>heal</v>
          </cell>
          <cell r="L1101" t="str">
            <v>回復タイプ</v>
          </cell>
          <cell r="M1101" t="str">
            <v>unknown</v>
          </cell>
        </row>
        <row r="1102">
          <cell r="A1102">
            <v>8023</v>
          </cell>
          <cell r="B1102" t="str">
            <v>ja</v>
          </cell>
          <cell r="C1102" t="str">
            <v>CO04_ GA05_R3</v>
          </cell>
          <cell r="D1102" t="str">
            <v>巡音ルカ</v>
          </cell>
          <cell r="E1102" t="str">
            <v>執行者</v>
          </cell>
          <cell r="F1102" t="str">
            <v>格好いい</v>
          </cell>
          <cell r="G1102" t="str">
            <v>女性</v>
          </cell>
          <cell r="H1102" t="str">
            <v>red</v>
          </cell>
          <cell r="I1102">
            <v>3</v>
          </cell>
          <cell r="J1102" t="str">
            <v>PremiumS</v>
          </cell>
          <cell r="K1102" t="str">
            <v>attack</v>
          </cell>
          <cell r="L1102" t="str">
            <v>攻撃タイプ</v>
          </cell>
          <cell r="M1102" t="str">
            <v>unknown</v>
          </cell>
        </row>
        <row r="1103">
          <cell r="A1103">
            <v>8024</v>
          </cell>
          <cell r="B1103" t="str">
            <v>ja</v>
          </cell>
          <cell r="C1103" t="str">
            <v>CO04_ GA05_R4</v>
          </cell>
          <cell r="D1103" t="str">
            <v>巡音ルカ</v>
          </cell>
          <cell r="E1103" t="str">
            <v>執行者</v>
          </cell>
          <cell r="F1103" t="str">
            <v>格好いい</v>
          </cell>
          <cell r="G1103" t="str">
            <v>女性</v>
          </cell>
          <cell r="H1103" t="str">
            <v>red</v>
          </cell>
          <cell r="I1103">
            <v>4</v>
          </cell>
          <cell r="J1103" t="str">
            <v>PremiumS</v>
          </cell>
          <cell r="K1103" t="str">
            <v>attack</v>
          </cell>
          <cell r="L1103" t="str">
            <v>攻撃タイプ</v>
          </cell>
          <cell r="M1103" t="str">
            <v>unknown</v>
          </cell>
        </row>
        <row r="1104">
          <cell r="A1104">
            <v>8025</v>
          </cell>
          <cell r="B1104" t="str">
            <v>ja</v>
          </cell>
          <cell r="C1104" t="str">
            <v>CO04_ GA06_R3</v>
          </cell>
          <cell r="D1104" t="str">
            <v>MEIKO</v>
          </cell>
          <cell r="E1104" t="str">
            <v>執行者</v>
          </cell>
          <cell r="F1104" t="str">
            <v>格好いい</v>
          </cell>
          <cell r="G1104" t="str">
            <v>男性</v>
          </cell>
          <cell r="H1104" t="str">
            <v>red</v>
          </cell>
          <cell r="I1104">
            <v>3</v>
          </cell>
          <cell r="J1104" t="str">
            <v>PremiumS</v>
          </cell>
          <cell r="K1104" t="str">
            <v>hp</v>
          </cell>
          <cell r="L1104" t="str">
            <v>体力タイプ</v>
          </cell>
          <cell r="M1104" t="str">
            <v>unknown</v>
          </cell>
        </row>
        <row r="1105">
          <cell r="A1105">
            <v>8026</v>
          </cell>
          <cell r="B1105" t="str">
            <v>ja</v>
          </cell>
          <cell r="C1105" t="str">
            <v>CO04_ GA06_R4</v>
          </cell>
          <cell r="D1105" t="str">
            <v>MEIKO</v>
          </cell>
          <cell r="E1105" t="str">
            <v>執行者</v>
          </cell>
          <cell r="F1105" t="str">
            <v>格好いい</v>
          </cell>
          <cell r="G1105" t="str">
            <v>男性</v>
          </cell>
          <cell r="H1105" t="str">
            <v>red</v>
          </cell>
          <cell r="I1105">
            <v>4</v>
          </cell>
          <cell r="J1105" t="str">
            <v>PremiumS</v>
          </cell>
          <cell r="K1105" t="str">
            <v>hp</v>
          </cell>
          <cell r="L1105" t="str">
            <v>体力タイプ</v>
          </cell>
          <cell r="M1105" t="str">
            <v>unknown</v>
          </cell>
        </row>
        <row r="1106">
          <cell r="A1106">
            <v>8027</v>
          </cell>
          <cell r="B1106" t="str">
            <v>ja</v>
          </cell>
          <cell r="C1106" t="str">
            <v>CO04_ GA07_R3</v>
          </cell>
          <cell r="D1106" t="str">
            <v>KAITO</v>
          </cell>
          <cell r="E1106" t="str">
            <v>執行者</v>
          </cell>
          <cell r="F1106" t="str">
            <v>格好いい</v>
          </cell>
          <cell r="G1106" t="str">
            <v>女性</v>
          </cell>
          <cell r="H1106" t="str">
            <v>blue</v>
          </cell>
          <cell r="I1106">
            <v>3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unknown</v>
          </cell>
        </row>
        <row r="1107">
          <cell r="A1107">
            <v>8028</v>
          </cell>
          <cell r="B1107" t="str">
            <v>ja</v>
          </cell>
          <cell r="C1107" t="str">
            <v>CO04_ GA07_R4</v>
          </cell>
          <cell r="D1107" t="str">
            <v>KAITO</v>
          </cell>
          <cell r="E1107" t="str">
            <v>執行者</v>
          </cell>
          <cell r="F1107" t="str">
            <v>格好いい</v>
          </cell>
          <cell r="G1107" t="str">
            <v>女性</v>
          </cell>
          <cell r="H1107" t="str">
            <v>blue</v>
          </cell>
          <cell r="I1107">
            <v>4</v>
          </cell>
          <cell r="J1107" t="str">
            <v>PremiumS</v>
          </cell>
          <cell r="K1107" t="str">
            <v>technical</v>
          </cell>
          <cell r="L1107" t="str">
            <v>テクニカルタイプ</v>
          </cell>
          <cell r="M1107" t="str">
            <v>unknown</v>
          </cell>
        </row>
        <row r="1108">
          <cell r="A1108">
            <v>8029</v>
          </cell>
          <cell r="B1108" t="str">
            <v>ja</v>
          </cell>
          <cell r="C1108" t="str">
            <v>CO04_ EV01_R4</v>
          </cell>
          <cell r="D1108" t="str">
            <v>Expoミク</v>
          </cell>
          <cell r="E1108" t="str">
            <v>執行者</v>
          </cell>
          <cell r="F1108" t="str">
            <v>格好いい</v>
          </cell>
          <cell r="G1108" t="str">
            <v>女性</v>
          </cell>
          <cell r="H1108" t="str">
            <v>blue</v>
          </cell>
          <cell r="I1108">
            <v>4</v>
          </cell>
          <cell r="J1108" t="str">
            <v>Drop2N</v>
          </cell>
          <cell r="K1108" t="str">
            <v>heal</v>
          </cell>
          <cell r="L1108" t="str">
            <v>回復タイプ</v>
          </cell>
          <cell r="M1108" t="str">
            <v>unknown</v>
          </cell>
        </row>
        <row r="1109">
          <cell r="A1109">
            <v>8030</v>
          </cell>
          <cell r="B1109" t="str">
            <v>ja</v>
          </cell>
          <cell r="C1109" t="str">
            <v>CO04_ EV02_R5</v>
          </cell>
          <cell r="D1109" t="str">
            <v>Expoミク</v>
          </cell>
          <cell r="E1109" t="str">
            <v>執行者</v>
          </cell>
          <cell r="F1109" t="str">
            <v>格好いい</v>
          </cell>
          <cell r="G1109" t="str">
            <v>女性</v>
          </cell>
          <cell r="H1109" t="str">
            <v>blue</v>
          </cell>
          <cell r="I1109">
            <v>5</v>
          </cell>
          <cell r="J1109" t="str">
            <v>Drop2N</v>
          </cell>
          <cell r="K1109" t="str">
            <v>heal</v>
          </cell>
          <cell r="L1109" t="str">
            <v>回復タイプ</v>
          </cell>
          <cell r="M1109" t="str">
            <v>unknown</v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C12" sqref="C12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13" x14ac:dyDescent="0.15">
      <c r="A33" s="64" t="s">
        <v>131</v>
      </c>
      <c r="B33" s="66" t="s">
        <v>147</v>
      </c>
      <c r="C33" s="66" t="s">
        <v>188</v>
      </c>
    </row>
    <row r="34" spans="1:13" x14ac:dyDescent="0.15">
      <c r="A34" s="64" t="s">
        <v>128</v>
      </c>
      <c r="B34" s="66" t="s">
        <v>147</v>
      </c>
      <c r="C34" s="66" t="s">
        <v>189</v>
      </c>
    </row>
    <row r="35" spans="1:13" x14ac:dyDescent="0.15">
      <c r="A35" s="64" t="s">
        <v>127</v>
      </c>
      <c r="B35" s="66" t="s">
        <v>147</v>
      </c>
      <c r="C35" s="66" t="s">
        <v>190</v>
      </c>
    </row>
    <row r="36" spans="1:13" x14ac:dyDescent="0.15">
      <c r="A36" s="64" t="s">
        <v>130</v>
      </c>
      <c r="B36" s="66" t="s">
        <v>147</v>
      </c>
      <c r="C36" s="66" t="s">
        <v>191</v>
      </c>
    </row>
    <row r="37" spans="1:13" x14ac:dyDescent="0.15">
      <c r="A37" s="64" t="s">
        <v>136</v>
      </c>
      <c r="B37" s="66" t="s">
        <v>147</v>
      </c>
      <c r="C37" s="66" t="s">
        <v>192</v>
      </c>
    </row>
    <row r="38" spans="1:13" x14ac:dyDescent="0.15">
      <c r="A38" s="64" t="s">
        <v>132</v>
      </c>
      <c r="B38" s="66" t="s">
        <v>147</v>
      </c>
      <c r="C38" s="66" t="s">
        <v>193</v>
      </c>
    </row>
    <row r="40" spans="1:13" x14ac:dyDescent="0.15">
      <c r="J40" s="85" t="s">
        <v>223</v>
      </c>
      <c r="K40" s="85" t="s">
        <v>196</v>
      </c>
      <c r="M40" s="85" t="s">
        <v>248</v>
      </c>
    </row>
    <row r="41" spans="1:13" x14ac:dyDescent="0.15">
      <c r="J41" s="85" t="s">
        <v>224</v>
      </c>
      <c r="K41" s="85" t="s">
        <v>225</v>
      </c>
      <c r="M41" s="66" t="s">
        <v>191</v>
      </c>
    </row>
    <row r="42" spans="1:13" x14ac:dyDescent="0.15">
      <c r="J42" s="85" t="s">
        <v>226</v>
      </c>
      <c r="K42" s="85" t="s">
        <v>227</v>
      </c>
    </row>
    <row r="43" spans="1:13" x14ac:dyDescent="0.15">
      <c r="J43" s="85" t="s">
        <v>228</v>
      </c>
      <c r="K43" s="85" t="s">
        <v>229</v>
      </c>
    </row>
    <row r="44" spans="1:13" x14ac:dyDescent="0.15">
      <c r="J44" s="85" t="s">
        <v>230</v>
      </c>
      <c r="K44" s="85" t="s">
        <v>231</v>
      </c>
    </row>
    <row r="45" spans="1:13" x14ac:dyDescent="0.15">
      <c r="J45" s="85" t="s">
        <v>232</v>
      </c>
      <c r="K45" s="85" t="s">
        <v>233</v>
      </c>
    </row>
    <row r="46" spans="1:13" x14ac:dyDescent="0.15">
      <c r="J46" s="85" t="s">
        <v>234</v>
      </c>
      <c r="K46" s="85" t="s">
        <v>235</v>
      </c>
    </row>
    <row r="47" spans="1:13" x14ac:dyDescent="0.15">
      <c r="J47" s="85" t="s">
        <v>236</v>
      </c>
      <c r="K47" s="85" t="s">
        <v>240</v>
      </c>
    </row>
    <row r="48" spans="1:13" x14ac:dyDescent="0.15">
      <c r="J48" s="85" t="s">
        <v>237</v>
      </c>
      <c r="K48" s="85" t="s">
        <v>241</v>
      </c>
    </row>
    <row r="49" spans="10:11" x14ac:dyDescent="0.15">
      <c r="J49" s="85" t="s">
        <v>238</v>
      </c>
      <c r="K49" s="85" t="s">
        <v>242</v>
      </c>
    </row>
    <row r="50" spans="10:11" x14ac:dyDescent="0.15">
      <c r="J50" s="85" t="s">
        <v>239</v>
      </c>
      <c r="K50" s="85" t="s">
        <v>243</v>
      </c>
    </row>
    <row r="51" spans="10:11" x14ac:dyDescent="0.15">
      <c r="J51" s="85" t="s">
        <v>245</v>
      </c>
      <c r="K51" s="85" t="s">
        <v>244</v>
      </c>
    </row>
    <row r="52" spans="10:11" x14ac:dyDescent="0.15">
      <c r="J52" s="85" t="s">
        <v>246</v>
      </c>
      <c r="K52" s="85" t="s">
        <v>247</v>
      </c>
    </row>
    <row r="53" spans="10:11" x14ac:dyDescent="0.15">
      <c r="J53" s="85"/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D18" sqref="D18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E33" sqref="E33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268</v>
      </c>
      <c r="B2" s="61" t="s">
        <v>116</v>
      </c>
      <c r="C2" s="50" t="str">
        <f t="shared" ref="C2" si="0">RIGHT(F2,6)</f>
        <v>358101</v>
      </c>
      <c r="D2" s="19" t="s">
        <v>46</v>
      </c>
      <c r="E2" s="17" t="str">
        <f t="shared" ref="E2" si="1">B2&amp;C2&amp;D2</f>
        <v>gacha_select_tables_358101.tmp</v>
      </c>
      <c r="F2" s="90" t="s">
        <v>255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1" t="s">
        <v>268</v>
      </c>
      <c r="B3" s="61" t="s">
        <v>116</v>
      </c>
      <c r="C3" s="50" t="str">
        <f t="shared" ref="C3:C7" si="2">RIGHT(F3,6)</f>
        <v>358103</v>
      </c>
      <c r="D3" s="19" t="s">
        <v>46</v>
      </c>
      <c r="E3" s="17" t="str">
        <f t="shared" ref="E3:E10" si="3">B3&amp;C3&amp;D3</f>
        <v>gacha_select_tables_358103.tmp</v>
      </c>
      <c r="F3" s="90" t="s">
        <v>256</v>
      </c>
      <c r="G3" s="49" t="s">
        <v>87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1" t="s">
        <v>268</v>
      </c>
      <c r="B4" s="78" t="s">
        <v>220</v>
      </c>
      <c r="C4" s="50" t="str">
        <f t="shared" si="2"/>
        <v>358103</v>
      </c>
      <c r="D4" s="19" t="s">
        <v>46</v>
      </c>
      <c r="E4" s="17" t="str">
        <f t="shared" ref="E4:E7" si="4">B4&amp;C4&amp;D4</f>
        <v>gacha_settle_tables_358103.tmp</v>
      </c>
      <c r="F4" s="90" t="s">
        <v>257</v>
      </c>
      <c r="G4" s="49" t="s">
        <v>87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1" t="s">
        <v>268</v>
      </c>
      <c r="B5" s="61" t="s">
        <v>116</v>
      </c>
      <c r="C5" s="50" t="str">
        <f t="shared" si="2"/>
        <v>358104</v>
      </c>
      <c r="D5" s="19" t="s">
        <v>46</v>
      </c>
      <c r="E5" s="17" t="str">
        <f t="shared" si="4"/>
        <v>gacha_select_tables_358104.tmp</v>
      </c>
      <c r="F5" s="90" t="s">
        <v>258</v>
      </c>
      <c r="G5" s="49" t="s">
        <v>86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91" t="s">
        <v>268</v>
      </c>
      <c r="B6" s="61" t="s">
        <v>116</v>
      </c>
      <c r="C6" s="50" t="str">
        <f t="shared" ref="C6" si="5">RIGHT(F6,6)</f>
        <v>358105</v>
      </c>
      <c r="D6" s="19" t="s">
        <v>46</v>
      </c>
      <c r="E6" s="17" t="str">
        <f t="shared" ref="E6" si="6">B6&amp;C6&amp;D6</f>
        <v>gacha_select_tables_358105.tmp</v>
      </c>
      <c r="F6" s="90" t="s">
        <v>259</v>
      </c>
      <c r="G6" s="49" t="s">
        <v>86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91" t="s">
        <v>268</v>
      </c>
      <c r="B7" s="61" t="s">
        <v>116</v>
      </c>
      <c r="C7" s="50" t="str">
        <f t="shared" si="2"/>
        <v>358100</v>
      </c>
      <c r="D7" s="19" t="s">
        <v>46</v>
      </c>
      <c r="E7" s="17" t="str">
        <f t="shared" si="4"/>
        <v>gacha_select_tables_358100.tmp</v>
      </c>
      <c r="F7" s="90" t="s">
        <v>260</v>
      </c>
      <c r="G7" s="49" t="s">
        <v>86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1" t="s">
        <v>268</v>
      </c>
      <c r="B8" s="27" t="s">
        <v>51</v>
      </c>
      <c r="C8" s="32">
        <v>358</v>
      </c>
      <c r="D8" s="19" t="s">
        <v>47</v>
      </c>
      <c r="E8" s="17" t="str">
        <f t="shared" si="3"/>
        <v>gacha_bonus_tables_358.tmp</v>
      </c>
      <c r="F8" s="19" t="s">
        <v>48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1" t="s">
        <v>268</v>
      </c>
      <c r="B9" s="19" t="s">
        <v>49</v>
      </c>
      <c r="C9" s="32">
        <v>358</v>
      </c>
      <c r="D9" s="19" t="s">
        <v>47</v>
      </c>
      <c r="E9" s="17" t="str">
        <f t="shared" si="3"/>
        <v>gifts_tmp_358.tmp</v>
      </c>
      <c r="F9" s="19" t="s">
        <v>48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88</v>
      </c>
      <c r="S9" s="51" t="s">
        <v>8</v>
      </c>
      <c r="T9" s="51" t="s">
        <v>89</v>
      </c>
      <c r="U9" s="51" t="s">
        <v>5</v>
      </c>
    </row>
    <row r="10" spans="1:21" x14ac:dyDescent="0.15">
      <c r="A10" s="91" t="s">
        <v>268</v>
      </c>
      <c r="B10" s="19" t="s">
        <v>50</v>
      </c>
      <c r="C10" s="32">
        <v>358</v>
      </c>
      <c r="D10" s="19" t="s">
        <v>47</v>
      </c>
      <c r="E10" s="17" t="str">
        <f t="shared" si="3"/>
        <v>gifts_i18n_358.tmp</v>
      </c>
      <c r="F10" s="19" t="s">
        <v>48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topLeftCell="A2" workbookViewId="0">
      <selection activeCell="E33" sqref="E33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358101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VLOOKUP(L3,tables_358101!B:C,2,FALSE)</f>
        <v>#N/A</v>
      </c>
      <c r="R3" s="62">
        <f t="shared" ref="R3:R20" si="1">N3*A$36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VLOOKUP(L4,tables_358101!B:C,2,FALSE)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f>1-B6-B7-B8</f>
        <v>0.5</v>
      </c>
      <c r="D5" t="s">
        <v>207</v>
      </c>
      <c r="E5" s="43">
        <f>(B11-H5)/(F5-I5)</f>
        <v>7.894736842105263E-4</v>
      </c>
      <c r="F5">
        <f>(COUNTIF(tables_358101!C:C,input_358101!A26)+COUNTIF(tables_358101!C:C,input_358101!A28)+COUNTIF(tables_358101!C:C,input_358101!A29))</f>
        <v>38</v>
      </c>
      <c r="H5" s="86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VLOOKUP(L5,tables_358101!B:C,2,FALSE)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0.45</v>
      </c>
      <c r="D6" t="s">
        <v>208</v>
      </c>
      <c r="E6" s="77">
        <f>(B10-H6)/(F6-I6)</f>
        <v>1.2384615384615385E-2</v>
      </c>
      <c r="F6">
        <f>(COUNTIF(tables_358101!C:C,input_358101!A18)+COUNTIF(tables_358101!C:C,input_358101!A20)+COUNTIF(tables_358101!C:C,input_358101!A22))</f>
        <v>78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VLOOKUP(L6,tables_358101!B:C,2,FALSE)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VLOOKUP(L7,tables_358101!B:C,2,FALSE)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E8" s="77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VLOOKUP(L8,tables_358101!B:C,2,FALSE)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VLOOKUP(L9,tables_358101!B:C,2,FALSE)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0.96599999999999997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VLOOKUP(L10,tables_358101!B:C,2,FALSE)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79">
        <v>0.03</v>
      </c>
      <c r="C11" t="s">
        <v>221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VLOOKUP(L11,tables_358101!B:C,2,FALSE)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4.0000000000000001E-3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VLOOKUP(L12,tables_358101!B:C,2,FALSE)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VLOOKUP(L13,tables_358101!B:C,2,FALSE)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VLOOKUP(L14,tables_358101!B:C,2,FALSE)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VLOOKUP(L15,tables_358101!B:C,2,FALSE)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VLOOKUP(L16,tables_358101!B:C,2,FALSE)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4">
        <f>B$5-B19-B24</f>
        <v>0.17642105263157895</v>
      </c>
      <c r="C17" s="87">
        <f t="shared" ref="C17:C31" si="2">SUMIF(Q:Q,A17,N:N)</f>
        <v>0</v>
      </c>
      <c r="D17" s="75">
        <f t="shared" ref="D17:D26" si="3">B17-C17</f>
        <v>0.17642105263157895</v>
      </c>
      <c r="E17">
        <f>COUNTIF(tables_358101!C:C,input_358101!A17)-COUNTIF(Q:Q,A17)</f>
        <v>20</v>
      </c>
      <c r="F17" s="43">
        <f>IFERROR(B17/E17,0)</f>
        <v>8.8210526315789482E-3</v>
      </c>
      <c r="G17">
        <f t="shared" ref="G17:G31" si="4">A$36*B17</f>
        <v>1045824</v>
      </c>
      <c r="H17">
        <f t="shared" ref="H17:H26" si="5">IFERROR(ROUND(G17/E17,5),0)</f>
        <v>52291.199999999997</v>
      </c>
      <c r="I17">
        <f t="shared" ref="I17:I31" si="6">MOD(H17,1)</f>
        <v>0.19999999999708962</v>
      </c>
      <c r="J17">
        <f t="shared" ref="J17:J26" si="7">IFERROR(1/I17,1)</f>
        <v>5.0000000000727596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VLOOKUP(L17,tables_358101!B:C,2,FALSE)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E$6*E18-B17</f>
        <v>7.1271255060728733E-2</v>
      </c>
      <c r="C18" s="87">
        <f t="shared" si="2"/>
        <v>0</v>
      </c>
      <c r="D18" s="75">
        <f t="shared" si="3"/>
        <v>7.1271255060728733E-2</v>
      </c>
      <c r="E18">
        <f>COUNTIF(tables_358101!C:C,input_358101!A18)-COUNTIF(Q:Q,A18)</f>
        <v>20</v>
      </c>
      <c r="F18" s="43">
        <f>IFERROR(B18/E18,0)</f>
        <v>3.5635627530364367E-3</v>
      </c>
      <c r="G18">
        <f t="shared" si="4"/>
        <v>422495.99999999994</v>
      </c>
      <c r="H18">
        <f t="shared" si="5"/>
        <v>21124.799999999999</v>
      </c>
      <c r="I18">
        <f t="shared" si="6"/>
        <v>0.7999999999992724</v>
      </c>
      <c r="J18">
        <f t="shared" si="7"/>
        <v>1.2500000000011369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VLOOKUP(L18,tables_358101!B:C,2,FALSE)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E$6*E19*B$5</f>
        <v>0.32200000000000001</v>
      </c>
      <c r="C19" s="87">
        <f t="shared" si="2"/>
        <v>0</v>
      </c>
      <c r="D19" s="75">
        <f t="shared" si="3"/>
        <v>0.32200000000000001</v>
      </c>
      <c r="E19">
        <f>COUNTIF(tables_358101!C:C,input_358101!A19)-COUNTIF(Q:Q,A19)</f>
        <v>52</v>
      </c>
      <c r="F19" s="43">
        <f t="shared" ref="F19:F31" si="8">IFERROR(B19/E19,0)</f>
        <v>6.1923076923076923E-3</v>
      </c>
      <c r="G19">
        <f t="shared" si="4"/>
        <v>1908816</v>
      </c>
      <c r="H19">
        <f t="shared" si="5"/>
        <v>36708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VLOOKUP(L19,tables_358101!B:C,2,FALSE)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E$6*E20*B$6</f>
        <v>0.2898</v>
      </c>
      <c r="C20" s="87">
        <f t="shared" si="2"/>
        <v>0</v>
      </c>
      <c r="D20" s="75">
        <f t="shared" si="3"/>
        <v>0.2898</v>
      </c>
      <c r="E20">
        <f>COUNTIF(tables_358101!C:C,input_358101!A20)-COUNTIF(Q:Q,A20)</f>
        <v>52</v>
      </c>
      <c r="F20" s="43">
        <f t="shared" si="8"/>
        <v>5.5730769230769228E-3</v>
      </c>
      <c r="G20">
        <f t="shared" si="4"/>
        <v>1717934.4</v>
      </c>
      <c r="H20">
        <f t="shared" si="5"/>
        <v>33037.199999999997</v>
      </c>
      <c r="I20">
        <f t="shared" si="6"/>
        <v>0.19999999999708962</v>
      </c>
      <c r="J20">
        <f t="shared" si="7"/>
        <v>5.0000000000727596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VLOOKUP(L20,tables_358101!B:C,2,FALSE)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E$6*E21*B$7</f>
        <v>3.2199999999999999E-2</v>
      </c>
      <c r="C21" s="87">
        <f t="shared" si="2"/>
        <v>0</v>
      </c>
      <c r="D21" s="75">
        <f t="shared" si="3"/>
        <v>3.2199999999999999E-2</v>
      </c>
      <c r="E21">
        <f>COUNTIF(tables_358101!C:C,input_358101!A21)-COUNTIF(Q:Q,A21)</f>
        <v>52</v>
      </c>
      <c r="F21" s="43">
        <f t="shared" si="8"/>
        <v>6.1923076923076927E-4</v>
      </c>
      <c r="G21">
        <f t="shared" si="4"/>
        <v>190881.6</v>
      </c>
      <c r="H21">
        <f t="shared" si="5"/>
        <v>3670.8</v>
      </c>
      <c r="I21">
        <f t="shared" si="6"/>
        <v>0.8000000000001819</v>
      </c>
      <c r="J21">
        <f t="shared" si="7"/>
        <v>1.2499999999997158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E$6*E22-B23</f>
        <v>6.2507692307692306E-2</v>
      </c>
      <c r="C22" s="87">
        <f t="shared" si="2"/>
        <v>0</v>
      </c>
      <c r="D22" s="75">
        <f t="shared" si="3"/>
        <v>6.2507692307692306E-2</v>
      </c>
      <c r="E22">
        <f>COUNTIF(tables_358101!C:C,input_358101!A22)-COUNTIF(Q:Q,A22)</f>
        <v>6</v>
      </c>
      <c r="F22" s="43">
        <f t="shared" si="8"/>
        <v>1.0417948717948718E-2</v>
      </c>
      <c r="G22">
        <f t="shared" si="4"/>
        <v>370545.6</v>
      </c>
      <c r="H22">
        <f t="shared" si="5"/>
        <v>61757.599999999999</v>
      </c>
      <c r="I22">
        <f t="shared" si="6"/>
        <v>0.59999999999854481</v>
      </c>
      <c r="J22">
        <f t="shared" si="7"/>
        <v>1.6666666666707088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B$7-B26-B28-B29-B21</f>
        <v>1.1800000000000005E-2</v>
      </c>
      <c r="C23" s="87">
        <f t="shared" si="2"/>
        <v>0</v>
      </c>
      <c r="D23" s="75">
        <f t="shared" si="3"/>
        <v>1.1800000000000005E-2</v>
      </c>
      <c r="E23">
        <f>COUNTIF(tables_358101!C:C,input_358101!A23)-COUNTIF(Q:Q,A23)</f>
        <v>6</v>
      </c>
      <c r="F23" s="43">
        <f t="shared" si="8"/>
        <v>1.9666666666666673E-3</v>
      </c>
      <c r="G23">
        <f t="shared" si="4"/>
        <v>69950.400000000023</v>
      </c>
      <c r="H23">
        <f t="shared" si="5"/>
        <v>11658.4</v>
      </c>
      <c r="I23">
        <f t="shared" si="6"/>
        <v>0.3999999999996362</v>
      </c>
      <c r="J23">
        <f t="shared" si="7"/>
        <v>2.5000000000022737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E$5*E24*B$5</f>
        <v>1.5789473684210526E-3</v>
      </c>
      <c r="C24" s="87">
        <f t="shared" si="2"/>
        <v>0</v>
      </c>
      <c r="D24" s="75">
        <f t="shared" si="3"/>
        <v>1.5789473684210526E-3</v>
      </c>
      <c r="E24">
        <f>COUNTIF(tables_358101!C:C,input_358101!A24)-COUNTIF(Q:Q,A24)</f>
        <v>4</v>
      </c>
      <c r="F24" s="43">
        <f t="shared" si="8"/>
        <v>3.9473684210526315E-4</v>
      </c>
      <c r="G24">
        <f t="shared" si="4"/>
        <v>9360</v>
      </c>
      <c r="H24">
        <f t="shared" si="5"/>
        <v>2340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E$5*B$6*E25</f>
        <v>1.4210526315789475E-3</v>
      </c>
      <c r="C25" s="87">
        <f t="shared" si="2"/>
        <v>0</v>
      </c>
      <c r="D25" s="75">
        <f t="shared" si="3"/>
        <v>1.4210526315789475E-3</v>
      </c>
      <c r="E25">
        <f>COUNTIF(tables_358101!C:C,input_358101!A25)-COUNTIF(Q:Q,A25)</f>
        <v>4</v>
      </c>
      <c r="F25" s="43">
        <f t="shared" si="8"/>
        <v>3.5526315789473687E-4</v>
      </c>
      <c r="G25">
        <f t="shared" si="4"/>
        <v>8424</v>
      </c>
      <c r="H25">
        <f t="shared" si="5"/>
        <v>2106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E$5*B$7*E26</f>
        <v>1.5789473684210527E-4</v>
      </c>
      <c r="C26" s="87">
        <f t="shared" si="2"/>
        <v>0</v>
      </c>
      <c r="D26" s="75">
        <f t="shared" si="3"/>
        <v>1.5789473684210527E-4</v>
      </c>
      <c r="E26">
        <f>COUNTIF(tables_358101!C:C,input_358101!A26)-COUNTIF(Q:Q,A26)</f>
        <v>4</v>
      </c>
      <c r="F26" s="43">
        <f t="shared" si="8"/>
        <v>3.9473684210526316E-5</v>
      </c>
      <c r="G26">
        <f t="shared" si="4"/>
        <v>936</v>
      </c>
      <c r="H26">
        <f t="shared" si="5"/>
        <v>234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2.0999999999999998E-2</v>
      </c>
      <c r="C27" s="87">
        <f t="shared" si="2"/>
        <v>0</v>
      </c>
      <c r="D27" s="75">
        <f t="shared" ref="D27:D29" si="9">B27-C27</f>
        <v>2.0999999999999998E-2</v>
      </c>
      <c r="E27">
        <f>COUNTIF(tables_358101!C:C,input_358101!A27)-COUNTIF(Q:Q,A27)</f>
        <v>28</v>
      </c>
      <c r="F27" s="43">
        <f>IFERROR(B27/E27,0)</f>
        <v>7.4999999999999991E-4</v>
      </c>
      <c r="G27">
        <f t="shared" si="4"/>
        <v>124487.99999999999</v>
      </c>
      <c r="H27">
        <f t="shared" ref="H27:H29" si="10">IFERROR(ROUND(G27/E27,5),0)</f>
        <v>4446</v>
      </c>
      <c r="I27">
        <f t="shared" si="6"/>
        <v>0</v>
      </c>
      <c r="J27">
        <f t="shared" ref="J27:J29" si="11">IFERROR(1/I27,1)</f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1.1052631578947368E-3</v>
      </c>
      <c r="C28" s="87">
        <f t="shared" si="2"/>
        <v>0</v>
      </c>
      <c r="D28" s="75">
        <f t="shared" si="9"/>
        <v>1.1052631578947368E-3</v>
      </c>
      <c r="E28">
        <f>COUNTIF(tables_358101!C:C,input_358101!A28)-COUNTIF(Q:Q,A28)</f>
        <v>28</v>
      </c>
      <c r="F28" s="43">
        <f t="shared" si="8"/>
        <v>3.9473684210526316E-5</v>
      </c>
      <c r="G28">
        <f t="shared" si="4"/>
        <v>6552</v>
      </c>
      <c r="H28">
        <f t="shared" si="10"/>
        <v>234</v>
      </c>
      <c r="I28">
        <f t="shared" si="6"/>
        <v>0</v>
      </c>
      <c r="J28">
        <f t="shared" si="11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4.7368421052631574E-3</v>
      </c>
      <c r="C29" s="87">
        <f t="shared" si="2"/>
        <v>0</v>
      </c>
      <c r="D29" s="75">
        <f t="shared" si="9"/>
        <v>4.7368421052631574E-3</v>
      </c>
      <c r="E29">
        <f>COUNTIF(tables_358101!C:C,input_358101!A29)-COUNTIF(Q:Q,A29)</f>
        <v>6</v>
      </c>
      <c r="F29" s="43">
        <f t="shared" si="8"/>
        <v>7.8947368421052619E-4</v>
      </c>
      <c r="G29">
        <f t="shared" si="4"/>
        <v>28079.999999999996</v>
      </c>
      <c r="H29">
        <f t="shared" si="10"/>
        <v>4680</v>
      </c>
      <c r="I29">
        <f t="shared" si="6"/>
        <v>0</v>
      </c>
      <c r="J29">
        <f t="shared" si="11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250</v>
      </c>
      <c r="B30" s="56">
        <v>0</v>
      </c>
      <c r="C30" s="87">
        <f t="shared" si="2"/>
        <v>0</v>
      </c>
      <c r="D30" s="75">
        <f t="shared" ref="D30:D31" si="12">B30-C30</f>
        <v>0</v>
      </c>
      <c r="E30">
        <f>COUNTIF(tables_358101!C:C,input_358101!A30)-COUNTIF(Q:Q,A30)</f>
        <v>0</v>
      </c>
      <c r="F30" s="43">
        <f t="shared" si="8"/>
        <v>0</v>
      </c>
      <c r="G30">
        <f t="shared" si="4"/>
        <v>0</v>
      </c>
      <c r="H30">
        <f t="shared" ref="H30:H31" si="13">IFERROR(ROUND(G30/E30,5),0)</f>
        <v>0</v>
      </c>
      <c r="I30">
        <f t="shared" si="6"/>
        <v>0</v>
      </c>
      <c r="J30">
        <f t="shared" ref="J30:J31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251</v>
      </c>
      <c r="B31" s="56">
        <f>B12</f>
        <v>4.0000000000000001E-3</v>
      </c>
      <c r="C31" s="87">
        <f t="shared" si="2"/>
        <v>0</v>
      </c>
      <c r="D31" s="75">
        <f t="shared" si="12"/>
        <v>4.0000000000000001E-3</v>
      </c>
      <c r="E31">
        <f>COUNTIF(tables_358101!C:C,input_358101!A31)-COUNTIF(Q:Q,A31)</f>
        <v>1</v>
      </c>
      <c r="F31" s="43">
        <f t="shared" si="8"/>
        <v>4.0000000000000001E-3</v>
      </c>
      <c r="G31">
        <f t="shared" si="4"/>
        <v>23712</v>
      </c>
      <c r="H31">
        <f t="shared" si="13"/>
        <v>23712</v>
      </c>
      <c r="I31">
        <f t="shared" si="6"/>
        <v>0</v>
      </c>
      <c r="J31">
        <f t="shared" si="1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1</v>
      </c>
      <c r="C32" s="41">
        <f>SUM(C19:C31)</f>
        <v>0</v>
      </c>
      <c r="D32" s="42">
        <f t="shared" ref="D32" si="15">B32-C32</f>
        <v>1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5928000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214</v>
      </c>
      <c r="G39" t="s">
        <v>64</v>
      </c>
    </row>
    <row r="40" spans="1:7" x14ac:dyDescent="0.15">
      <c r="A40" s="33" t="s">
        <v>106</v>
      </c>
      <c r="B40">
        <f ca="1">SUMIF(tables_358101!C:C,input_358101!A40,tables_358101!O:O)</f>
        <v>1908816</v>
      </c>
      <c r="C40" s="54">
        <f t="shared" ref="C40:C46" ca="1" si="16">B40/B$47</f>
        <v>0.48340707964601787</v>
      </c>
      <c r="E40">
        <v>3</v>
      </c>
      <c r="F40">
        <f ca="1">SUMIF(tables_358101!J:J,input_358101!E40,tables_358101!O:O)</f>
        <v>2963999.9999999995</v>
      </c>
      <c r="G40">
        <f ca="1">F40/A36</f>
        <v>0.49999999999999994</v>
      </c>
    </row>
    <row r="41" spans="1:7" x14ac:dyDescent="0.15">
      <c r="A41" s="33" t="s">
        <v>107</v>
      </c>
      <c r="B41">
        <f ca="1">SUMIF(tables_358101!C:C,input_358101!A41,tables_358101!O:O)</f>
        <v>1717934.3999999985</v>
      </c>
      <c r="C41" s="54">
        <f t="shared" ca="1" si="16"/>
        <v>0.43506637168141571</v>
      </c>
      <c r="E41">
        <v>4</v>
      </c>
      <c r="F41">
        <f ca="1">SUMIF(tables_358101!J:J,input_358101!E41,tables_358101!O:O)</f>
        <v>2643887.9999999991</v>
      </c>
      <c r="G41">
        <f ca="1">F41/A36</f>
        <v>0.44599999999999984</v>
      </c>
    </row>
    <row r="42" spans="1:7" x14ac:dyDescent="0.15">
      <c r="A42" s="33" t="s">
        <v>112</v>
      </c>
      <c r="B42">
        <f ca="1">SUMIF(tables_358101!C:C,input_358101!A42,tables_358101!O:O)</f>
        <v>124488</v>
      </c>
      <c r="C42" s="54">
        <f t="shared" ca="1" si="16"/>
        <v>3.1526548672566386E-2</v>
      </c>
      <c r="E42">
        <v>5</v>
      </c>
      <c r="F42">
        <f ca="1">SUMIF(tables_358101!J:J,input_358101!E42,tables_358101!O:O)</f>
        <v>320111.99999999988</v>
      </c>
      <c r="G42">
        <f ca="1">F42/A36</f>
        <v>5.3999999999999979E-2</v>
      </c>
    </row>
    <row r="43" spans="1:7" x14ac:dyDescent="0.15">
      <c r="A43" s="33" t="s">
        <v>113</v>
      </c>
      <c r="B43">
        <f>SUMIF(tables_358101!C:C,input_358101!A43,tables_358101!O:O)</f>
        <v>0</v>
      </c>
      <c r="C43" s="54">
        <f t="shared" ca="1" si="16"/>
        <v>0</v>
      </c>
      <c r="F43" s="55"/>
    </row>
    <row r="44" spans="1:7" x14ac:dyDescent="0.15">
      <c r="A44" s="33" t="s">
        <v>108</v>
      </c>
      <c r="B44">
        <f ca="1">SUMIF(tables_358101!C:C,input_358101!A44,tables_358101!O:O)</f>
        <v>190881.59999999989</v>
      </c>
      <c r="C44" s="54">
        <f t="shared" ca="1" si="16"/>
        <v>4.8340707964601756E-2</v>
      </c>
      <c r="E44" t="s">
        <v>104</v>
      </c>
      <c r="F44" s="55"/>
    </row>
    <row r="45" spans="1:7" x14ac:dyDescent="0.15">
      <c r="A45" s="33" t="s">
        <v>114</v>
      </c>
      <c r="B45">
        <f ca="1">SUMIF(tables_358101!C:C,input_358101!A45,tables_358101!O:O)</f>
        <v>6552</v>
      </c>
      <c r="C45" s="54">
        <f t="shared" ca="1" si="16"/>
        <v>1.6592920353982307E-3</v>
      </c>
      <c r="E45" t="s">
        <v>210</v>
      </c>
      <c r="F45" s="55">
        <f ca="1">SUMIF(tables_358101!I:I,input_358101!E45,tables_358101!P:P)</f>
        <v>0.2455635627530364</v>
      </c>
    </row>
    <row r="46" spans="1:7" x14ac:dyDescent="0.15">
      <c r="A46" s="33" t="s">
        <v>115</v>
      </c>
      <c r="B46">
        <f>SUMIF(tables_358101!C:C,input_358101!A46,tables_358101!O:O)</f>
        <v>0</v>
      </c>
      <c r="C46" s="54">
        <f t="shared" ca="1" si="16"/>
        <v>0</v>
      </c>
      <c r="E46" t="s">
        <v>211</v>
      </c>
      <c r="F46" s="55">
        <f ca="1">SUMIF(tables_358101!I:I,input_358101!E46,tables_358101!P:P)</f>
        <v>0.21290688259109308</v>
      </c>
    </row>
    <row r="47" spans="1:7" x14ac:dyDescent="0.15">
      <c r="A47" s="39" t="s">
        <v>60</v>
      </c>
      <c r="B47">
        <f ca="1">SUM(B40:B46)</f>
        <v>3948671.9999999986</v>
      </c>
      <c r="C47" s="55">
        <f ca="1">SUM(C40:C46)</f>
        <v>1</v>
      </c>
      <c r="E47" t="s">
        <v>212</v>
      </c>
      <c r="F47" s="55">
        <f ca="1">SUMIF(tables_358101!I:I,input_358101!E47,tables_358101!P:P)</f>
        <v>0.5085587044534412</v>
      </c>
    </row>
    <row r="48" spans="1:7" x14ac:dyDescent="0.15">
      <c r="E48" t="s">
        <v>213</v>
      </c>
      <c r="F48" s="55">
        <f ca="1">SUMIF(tables_358101!I:I,input_358101!E48,tables_358101!P:P)</f>
        <v>2.6842105263157921E-2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84"/>
  <sheetViews>
    <sheetView showGridLines="0" zoomScale="75" zoomScaleNormal="75" zoomScalePageLayoutView="75" workbookViewId="0">
      <pane ySplit="1" topLeftCell="A263" activePane="bottomLeft" state="frozen"/>
      <selection activeCell="H10" sqref="H10"/>
      <selection pane="bottomLeft" activeCell="Q20" sqref="Q2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input_358101!A$2</f>
        <v>358101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IFERROR(VLOOKUP(B2,input_358101!L:R,7,FALSE),VLOOKUP(tables_358101!C2,input_358101!A:H,8,FALSE))</f>
        <v>52291.199999999997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input_358101!A$2</f>
        <v>358101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IFERROR(VLOOKUP(B3,input_358101!L:R,7,FALSE),VLOOKUP(tables_358101!C3,input_358101!A:H,8,FALSE))</f>
        <v>21124.799999999999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input_358101!A$2</f>
        <v>358101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IFERROR(VLOOKUP(B4,input_358101!L:R,7,FALSE),VLOOKUP(tables_358101!C4,input_358101!A:H,8,FALSE))</f>
        <v>52291.199999999997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input_358101!A$2</f>
        <v>358101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IFERROR(VLOOKUP(B5,input_358101!L:R,7,FALSE),VLOOKUP(tables_358101!C5,input_358101!A:H,8,FALSE))</f>
        <v>21124.799999999999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input_358101!A$2</f>
        <v>358101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IFERROR(VLOOKUP(B6,input_358101!L:R,7,FALSE),VLOOKUP(tables_358101!C6,input_358101!A:H,8,FALSE))</f>
        <v>52291.199999999997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input_358101!A$2</f>
        <v>358101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IFERROR(VLOOKUP(B7,input_358101!L:R,7,FALSE),VLOOKUP(tables_358101!C7,input_358101!A:H,8,FALSE))</f>
        <v>21124.799999999999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input_358101!A$2</f>
        <v>358101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IFERROR(VLOOKUP(B8,input_358101!L:R,7,FALSE),VLOOKUP(tables_358101!C8,input_358101!A:H,8,FALSE))</f>
        <v>52291.199999999997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input_358101!A$2</f>
        <v>358101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IFERROR(VLOOKUP(B9,input_358101!L:R,7,FALSE),VLOOKUP(tables_358101!C9,input_358101!A:H,8,FALSE))</f>
        <v>21124.799999999999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input_358101!A$2</f>
        <v>358101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IFERROR(VLOOKUP(B10,input_358101!L:R,7,FALSE),VLOOKUP(tables_358101!C10,input_358101!A:H,8,FALSE))</f>
        <v>52291.199999999997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input_358101!A$2</f>
        <v>358101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IFERROR(VLOOKUP(B11,input_358101!L:R,7,FALSE),VLOOKUP(tables_358101!C11,input_358101!A:H,8,FALSE))</f>
        <v>21124.799999999999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input_358101!A$2</f>
        <v>358101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IFERROR(VLOOKUP(B12,input_358101!L:R,7,FALSE),VLOOKUP(tables_358101!C12,input_358101!A:H,8,FALSE))</f>
        <v>52291.199999999997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input_358101!A$2</f>
        <v>358101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IFERROR(VLOOKUP(B13,input_358101!L:R,7,FALSE),VLOOKUP(tables_358101!C13,input_358101!A:H,8,FALSE))</f>
        <v>21124.799999999999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input_358101!A$2</f>
        <v>358101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IFERROR(VLOOKUP(B14,input_358101!L:R,7,FALSE),VLOOKUP(tables_358101!C14,input_358101!A:H,8,FALSE))</f>
        <v>52291.199999999997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input_358101!A$2</f>
        <v>358101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IFERROR(VLOOKUP(B15,input_358101!L:R,7,FALSE),VLOOKUP(tables_358101!C15,input_358101!A:H,8,FALSE))</f>
        <v>21124.799999999999</v>
      </c>
      <c r="P15" s="46">
        <f ca="1">O15/SUM(O:O)</f>
        <v>3.5635627530364372E-3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input_358101!A$2</f>
        <v>358101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IFERROR(VLOOKUP(B16,input_358101!L:R,7,FALSE),VLOOKUP(tables_358101!C16,input_358101!A:H,8,FALSE))</f>
        <v>52291.199999999997</v>
      </c>
      <c r="P16" s="46">
        <f ca="1">O16/SUM(O:O)</f>
        <v>8.8210526315789465E-3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input_358101!A$2</f>
        <v>358101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IFERROR(VLOOKUP(B17,input_358101!L:R,7,FALSE),VLOOKUP(tables_358101!C17,input_358101!A:H,8,FALSE))</f>
        <v>21124.799999999999</v>
      </c>
      <c r="P17" s="46">
        <f ca="1">O17/SUM(O:O)</f>
        <v>3.5635627530364372E-3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input_358101!A$2</f>
        <v>358101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IFERROR(VLOOKUP(B18,input_358101!L:R,7,FALSE),VLOOKUP(tables_358101!C18,input_358101!A:H,8,FALSE))</f>
        <v>52291.199999999997</v>
      </c>
      <c r="P18" s="46">
        <f ca="1">O18/SUM(O:O)</f>
        <v>8.8210526315789465E-3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input_358101!A$2</f>
        <v>358101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IFERROR(VLOOKUP(B19,input_358101!L:R,7,FALSE),VLOOKUP(tables_358101!C19,input_358101!A:H,8,FALSE))</f>
        <v>21124.799999999999</v>
      </c>
      <c r="P19" s="46">
        <f ca="1">O19/SUM(O:O)</f>
        <v>3.5635627530364372E-3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input_358101!A$2</f>
        <v>358101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IFERROR(VLOOKUP(B20,input_358101!L:R,7,FALSE),VLOOKUP(tables_358101!C20,input_358101!A:H,8,FALSE))</f>
        <v>52291.199999999997</v>
      </c>
      <c r="P20" s="46">
        <f ca="1">O20/SUM(O:O)</f>
        <v>8.8210526315789465E-3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input_358101!A$2</f>
        <v>358101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IFERROR(VLOOKUP(B21,input_358101!L:R,7,FALSE),VLOOKUP(tables_358101!C21,input_358101!A:H,8,FALSE))</f>
        <v>21124.799999999999</v>
      </c>
      <c r="P21" s="46">
        <f ca="1">O21/SUM(O:O)</f>
        <v>3.5635627530364372E-3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input_358101!A$2</f>
        <v>358101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IFERROR(VLOOKUP(B22,input_358101!L:R,7,FALSE),VLOOKUP(tables_358101!C22,input_358101!A:H,8,FALSE))</f>
        <v>52291.199999999997</v>
      </c>
      <c r="P22" s="46">
        <f ca="1">O22/SUM(O:O)</f>
        <v>8.8210526315789465E-3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input_358101!A$2</f>
        <v>358101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IFERROR(VLOOKUP(B23,input_358101!L:R,7,FALSE),VLOOKUP(tables_358101!C23,input_358101!A:H,8,FALSE))</f>
        <v>21124.799999999999</v>
      </c>
      <c r="P23" s="46">
        <f ca="1">O23/SUM(O:O)</f>
        <v>3.5635627530364372E-3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input_358101!A$2</f>
        <v>358101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IFERROR(VLOOKUP(B24,input_358101!L:R,7,FALSE),VLOOKUP(tables_358101!C24,input_358101!A:H,8,FALSE))</f>
        <v>52291.199999999997</v>
      </c>
      <c r="P24" s="46">
        <f ca="1">O24/SUM(O:O)</f>
        <v>8.8210526315789465E-3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input_358101!A$2</f>
        <v>358101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IFERROR(VLOOKUP(B25,input_358101!L:R,7,FALSE),VLOOKUP(tables_358101!C25,input_358101!A:H,8,FALSE))</f>
        <v>21124.799999999999</v>
      </c>
      <c r="P25" s="46">
        <f ca="1">O25/SUM(O:O)</f>
        <v>3.5635627530364372E-3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input_358101!A$2</f>
        <v>358101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IFERROR(VLOOKUP(B26,input_358101!L:R,7,FALSE),VLOOKUP(tables_358101!C26,input_358101!A:H,8,FALSE))</f>
        <v>52291.199999999997</v>
      </c>
      <c r="P26" s="46">
        <f ca="1">O26/SUM(O:O)</f>
        <v>8.8210526315789465E-3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input_358101!A$2</f>
        <v>358101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IFERROR(VLOOKUP(B27,input_358101!L:R,7,FALSE),VLOOKUP(tables_358101!C27,input_358101!A:H,8,FALSE))</f>
        <v>21124.799999999999</v>
      </c>
      <c r="P27" s="46">
        <f ca="1">O27/SUM(O:O)</f>
        <v>3.5635627530364372E-3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input_358101!A$2</f>
        <v>358101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IFERROR(VLOOKUP(B28,input_358101!L:R,7,FALSE),VLOOKUP(tables_358101!C28,input_358101!A:H,8,FALSE))</f>
        <v>52291.199999999997</v>
      </c>
      <c r="P28" s="46">
        <f ca="1">O28/SUM(O:O)</f>
        <v>8.8210526315789465E-3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input_358101!A$2</f>
        <v>358101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IFERROR(VLOOKUP(B29,input_358101!L:R,7,FALSE),VLOOKUP(tables_358101!C29,input_358101!A:H,8,FALSE))</f>
        <v>21124.799999999999</v>
      </c>
      <c r="P29" s="46">
        <f ca="1">O29/SUM(O:O)</f>
        <v>3.5635627530364372E-3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input_358101!A$2</f>
        <v>358101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IFERROR(VLOOKUP(B30,input_358101!L:R,7,FALSE),VLOOKUP(tables_358101!C30,input_358101!A:H,8,FALSE))</f>
        <v>52291.199999999997</v>
      </c>
      <c r="P30" s="46">
        <f ca="1">O30/SUM(O:O)</f>
        <v>8.8210526315789465E-3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input_358101!A$2</f>
        <v>358101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IFERROR(VLOOKUP(B31,input_358101!L:R,7,FALSE),VLOOKUP(tables_358101!C31,input_358101!A:H,8,FALSE))</f>
        <v>21124.799999999999</v>
      </c>
      <c r="P31" s="46">
        <f ca="1">O31/SUM(O:O)</f>
        <v>3.5635627530364372E-3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input_358101!A$2</f>
        <v>358101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IFERROR(VLOOKUP(B32,input_358101!L:R,7,FALSE),VLOOKUP(tables_358101!C32,input_358101!A:H,8,FALSE))</f>
        <v>52291.199999999997</v>
      </c>
      <c r="P32" s="46">
        <f ca="1">O32/SUM(O:O)</f>
        <v>8.8210526315789465E-3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input_358101!A$2</f>
        <v>358101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IFERROR(VLOOKUP(B33,input_358101!L:R,7,FALSE),VLOOKUP(tables_358101!C33,input_358101!A:H,8,FALSE))</f>
        <v>21124.799999999999</v>
      </c>
      <c r="P33" s="46">
        <f ca="1">O33/SUM(O:O)</f>
        <v>3.5635627530364372E-3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input_358101!A$2</f>
        <v>358101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IFERROR(VLOOKUP(B34,input_358101!L:R,7,FALSE),VLOOKUP(tables_358101!C34,input_358101!A:H,8,FALSE))</f>
        <v>52291.199999999997</v>
      </c>
      <c r="P34" s="46">
        <f ca="1">O34/SUM(O:O)</f>
        <v>8.8210526315789465E-3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input_358101!A$2</f>
        <v>358101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IFERROR(VLOOKUP(B35,input_358101!L:R,7,FALSE),VLOOKUP(tables_358101!C35,input_358101!A:H,8,FALSE))</f>
        <v>21124.799999999999</v>
      </c>
      <c r="P35" s="46">
        <f ca="1">O35/SUM(O:O)</f>
        <v>3.5635627530364372E-3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input_358101!A$2</f>
        <v>358101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IFERROR(VLOOKUP(B36,input_358101!L:R,7,FALSE),VLOOKUP(tables_358101!C36,input_358101!A:H,8,FALSE))</f>
        <v>52291.199999999997</v>
      </c>
      <c r="P36" s="46">
        <f ca="1">O36/SUM(O:O)</f>
        <v>8.8210526315789465E-3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input_358101!A$2</f>
        <v>358101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IFERROR(VLOOKUP(B37,input_358101!L:R,7,FALSE),VLOOKUP(tables_358101!C37,input_358101!A:H,8,FALSE))</f>
        <v>21124.799999999999</v>
      </c>
      <c r="P37" s="46">
        <f ca="1">O37/SUM(O:O)</f>
        <v>3.5635627530364372E-3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input_358101!A$2</f>
        <v>358101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IFERROR(VLOOKUP(B38,input_358101!L:R,7,FALSE),VLOOKUP(tables_358101!C38,input_358101!A:H,8,FALSE))</f>
        <v>52291.199999999997</v>
      </c>
      <c r="P38" s="46">
        <f ca="1">O38/SUM(O:O)</f>
        <v>8.8210526315789465E-3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input_358101!A$2</f>
        <v>358101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IFERROR(VLOOKUP(B39,input_358101!L:R,7,FALSE),VLOOKUP(tables_358101!C39,input_358101!A:H,8,FALSE))</f>
        <v>21124.799999999999</v>
      </c>
      <c r="P39" s="46">
        <f ca="1">O39/SUM(O:O)</f>
        <v>3.5635627530364372E-3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input_358101!A$2</f>
        <v>358101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IFERROR(VLOOKUP(B40,input_358101!L:R,7,FALSE),VLOOKUP(tables_358101!C40,input_358101!A:H,8,FALSE))</f>
        <v>52291.199999999997</v>
      </c>
      <c r="P40" s="46">
        <f ca="1">O40/SUM(O:O)</f>
        <v>8.8210526315789465E-3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input_358101!A$2</f>
        <v>358101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IFERROR(VLOOKUP(B41,input_358101!L:R,7,FALSE),VLOOKUP(tables_358101!C41,input_358101!A:H,8,FALSE))</f>
        <v>21124.799999999999</v>
      </c>
      <c r="P41" s="46">
        <f ca="1">O41/SUM(O:O)</f>
        <v>3.5635627530364372E-3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input_358101!A$2</f>
        <v>358101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IFERROR(VLOOKUP(B42,input_358101!L:R,7,FALSE),VLOOKUP(tables_358101!C42,input_358101!A:H,8,FALSE))</f>
        <v>2340</v>
      </c>
      <c r="P42" s="46">
        <f ca="1">O42/SUM(O:O)</f>
        <v>3.9473684210526315E-4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input_358101!A$2</f>
        <v>358101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IFERROR(VLOOKUP(B43,input_358101!L:R,7,FALSE),VLOOKUP(tables_358101!C43,input_358101!A:H,8,FALSE))</f>
        <v>2106</v>
      </c>
      <c r="P43" s="46">
        <f ca="1">O43/SUM(O:O)</f>
        <v>3.5526315789473687E-4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input_358101!A$2</f>
        <v>358101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IFERROR(VLOOKUP(B44,input_358101!L:R,7,FALSE),VLOOKUP(tables_358101!C44,input_358101!A:H,8,FALSE))</f>
        <v>234</v>
      </c>
      <c r="P44" s="46">
        <f ca="1">O44/SUM(O:O)</f>
        <v>3.9473684210526316E-5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input_358101!A$2</f>
        <v>358101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IFERROR(VLOOKUP(B45,input_358101!L:R,7,FALSE),VLOOKUP(tables_358101!C45,input_358101!A:H,8,FALSE))</f>
        <v>2340</v>
      </c>
      <c r="P45" s="46">
        <f ca="1">O45/SUM(O:O)</f>
        <v>3.9473684210526315E-4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input_358101!A$2</f>
        <v>358101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IFERROR(VLOOKUP(B46,input_358101!L:R,7,FALSE),VLOOKUP(tables_358101!C46,input_358101!A:H,8,FALSE))</f>
        <v>2106</v>
      </c>
      <c r="P46" s="46">
        <f ca="1">O46/SUM(O:O)</f>
        <v>3.5526315789473687E-4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input_358101!A$2</f>
        <v>358101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IFERROR(VLOOKUP(B47,input_358101!L:R,7,FALSE),VLOOKUP(tables_358101!C47,input_358101!A:H,8,FALSE))</f>
        <v>234</v>
      </c>
      <c r="P47" s="46">
        <f ca="1">O47/SUM(O:O)</f>
        <v>3.9473684210526316E-5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input_358101!A$2</f>
        <v>358101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IFERROR(VLOOKUP(B48,input_358101!L:R,7,FALSE),VLOOKUP(tables_358101!C48,input_358101!A:H,8,FALSE))</f>
        <v>2340</v>
      </c>
      <c r="P48" s="46">
        <f ca="1">O48/SUM(O:O)</f>
        <v>3.9473684210526315E-4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input_358101!A$2</f>
        <v>358101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IFERROR(VLOOKUP(B49,input_358101!L:R,7,FALSE),VLOOKUP(tables_358101!C49,input_358101!A:H,8,FALSE))</f>
        <v>2106</v>
      </c>
      <c r="P49" s="46">
        <f ca="1">O49/SUM(O:O)</f>
        <v>3.5526315789473687E-4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input_358101!A$2</f>
        <v>358101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IFERROR(VLOOKUP(B50,input_358101!L:R,7,FALSE),VLOOKUP(tables_358101!C50,input_358101!A:H,8,FALSE))</f>
        <v>234</v>
      </c>
      <c r="P50" s="46">
        <f ca="1">O50/SUM(O:O)</f>
        <v>3.9473684210526316E-5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input_358101!A$2</f>
        <v>358101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IFERROR(VLOOKUP(B51,input_358101!L:R,7,FALSE),VLOOKUP(tables_358101!C51,input_358101!A:H,8,FALSE))</f>
        <v>36708</v>
      </c>
      <c r="P51" s="46">
        <f ca="1">O51/SUM(O:O)</f>
        <v>6.1923076923076923E-3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input_358101!A$2</f>
        <v>358101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IFERROR(VLOOKUP(B52,input_358101!L:R,7,FALSE),VLOOKUP(tables_358101!C52,input_358101!A:H,8,FALSE))</f>
        <v>33037.199999999997</v>
      </c>
      <c r="P52" s="46">
        <f ca="1">O52/SUM(O:O)</f>
        <v>5.5730769230769228E-3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input_358101!A$2</f>
        <v>358101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IFERROR(VLOOKUP(B53,input_358101!L:R,7,FALSE),VLOOKUP(tables_358101!C53,input_358101!A:H,8,FALSE))</f>
        <v>3670.8</v>
      </c>
      <c r="P53" s="46">
        <f ca="1">O53/SUM(O:O)</f>
        <v>6.1923076923076927E-4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input_358101!A$2</f>
        <v>358101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IFERROR(VLOOKUP(B54,input_358101!L:R,7,FALSE),VLOOKUP(tables_358101!C54,input_358101!A:H,8,FALSE))</f>
        <v>36708</v>
      </c>
      <c r="P54" s="46">
        <f ca="1">O54/SUM(O:O)</f>
        <v>6.1923076923076923E-3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input_358101!A$2</f>
        <v>358101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IFERROR(VLOOKUP(B55,input_358101!L:R,7,FALSE),VLOOKUP(tables_358101!C55,input_358101!A:H,8,FALSE))</f>
        <v>33037.199999999997</v>
      </c>
      <c r="P55" s="46">
        <f ca="1">O55/SUM(O:O)</f>
        <v>5.5730769230769228E-3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input_358101!A$2</f>
        <v>358101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IFERROR(VLOOKUP(B56,input_358101!L:R,7,FALSE),VLOOKUP(tables_358101!C56,input_358101!A:H,8,FALSE))</f>
        <v>3670.8</v>
      </c>
      <c r="P56" s="46">
        <f ca="1">O56/SUM(O:O)</f>
        <v>6.1923076923076927E-4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input_358101!A$2</f>
        <v>358101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IFERROR(VLOOKUP(B57,input_358101!L:R,7,FALSE),VLOOKUP(tables_358101!C57,input_358101!A:H,8,FALSE))</f>
        <v>36708</v>
      </c>
      <c r="P57" s="46">
        <f ca="1">O57/SUM(O:O)</f>
        <v>6.1923076923076923E-3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input_358101!A$2</f>
        <v>358101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IFERROR(VLOOKUP(B58,input_358101!L:R,7,FALSE),VLOOKUP(tables_358101!C58,input_358101!A:H,8,FALSE))</f>
        <v>33037.199999999997</v>
      </c>
      <c r="P58" s="46">
        <f ca="1">O58/SUM(O:O)</f>
        <v>5.5730769230769228E-3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input_358101!A$2</f>
        <v>358101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IFERROR(VLOOKUP(B59,input_358101!L:R,7,FALSE),VLOOKUP(tables_358101!C59,input_358101!A:H,8,FALSE))</f>
        <v>3670.8</v>
      </c>
      <c r="P59" s="46">
        <f ca="1">O59/SUM(O:O)</f>
        <v>6.1923076923076927E-4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input_358101!A$2</f>
        <v>358101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IFERROR(VLOOKUP(B60,input_358101!L:R,7,FALSE),VLOOKUP(tables_358101!C60,input_358101!A:H,8,FALSE))</f>
        <v>36708</v>
      </c>
      <c r="P60" s="46">
        <f ca="1">O60/SUM(O:O)</f>
        <v>6.1923076923076923E-3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input_358101!A$2</f>
        <v>358101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IFERROR(VLOOKUP(B61,input_358101!L:R,7,FALSE),VLOOKUP(tables_358101!C61,input_358101!A:H,8,FALSE))</f>
        <v>33037.199999999997</v>
      </c>
      <c r="P61" s="46">
        <f ca="1">O61/SUM(O:O)</f>
        <v>5.5730769230769228E-3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input_358101!A$2</f>
        <v>358101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IFERROR(VLOOKUP(B62,input_358101!L:R,7,FALSE),VLOOKUP(tables_358101!C62,input_358101!A:H,8,FALSE))</f>
        <v>3670.8</v>
      </c>
      <c r="P62" s="46">
        <f ca="1">O62/SUM(O:O)</f>
        <v>6.1923076923076927E-4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input_358101!A$2</f>
        <v>358101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IFERROR(VLOOKUP(B63,input_358101!L:R,7,FALSE),VLOOKUP(tables_358101!C63,input_358101!A:H,8,FALSE))</f>
        <v>36708</v>
      </c>
      <c r="P63" s="46">
        <f ca="1">O63/SUM(O:O)</f>
        <v>6.1923076923076923E-3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input_358101!A$2</f>
        <v>358101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IFERROR(VLOOKUP(B64,input_358101!L:R,7,FALSE),VLOOKUP(tables_358101!C64,input_358101!A:H,8,FALSE))</f>
        <v>33037.199999999997</v>
      </c>
      <c r="P64" s="46">
        <f ca="1">O64/SUM(O:O)</f>
        <v>5.5730769230769228E-3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input_358101!A$2</f>
        <v>358101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IFERROR(VLOOKUP(B65,input_358101!L:R,7,FALSE),VLOOKUP(tables_358101!C65,input_358101!A:H,8,FALSE))</f>
        <v>3670.8</v>
      </c>
      <c r="P65" s="46">
        <f ca="1">O65/SUM(O:O)</f>
        <v>6.1923076923076927E-4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input_358101!A$2</f>
        <v>358101</v>
      </c>
      <c r="B66" s="6">
        <v>190</v>
      </c>
      <c r="C66" s="7" t="str">
        <f t="shared" ref="C66:C129" si="2">D66&amp;J66&amp;E66&amp;F66&amp;G66</f>
        <v>Premium3</v>
      </c>
      <c r="D66" s="7" t="str">
        <f t="shared" ref="D66:D129" si="3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IFERROR(VLOOKUP(B66,input_358101!L:R,7,FALSE),VLOOKUP(tables_358101!C66,input_358101!A:H,8,FALSE))</f>
        <v>36708</v>
      </c>
      <c r="P66" s="46">
        <f ca="1">O66/SUM(O:O)</f>
        <v>6.1923076923076923E-3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input_358101!A$2</f>
        <v>358101</v>
      </c>
      <c r="B67" s="6">
        <v>191</v>
      </c>
      <c r="C67" s="7" t="str">
        <f t="shared" si="2"/>
        <v>Premium4</v>
      </c>
      <c r="D67" s="7" t="str">
        <f t="shared" si="3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IFERROR(VLOOKUP(B67,input_358101!L:R,7,FALSE),VLOOKUP(tables_358101!C67,input_358101!A:H,8,FALSE))</f>
        <v>33037.199999999997</v>
      </c>
      <c r="P67" s="46">
        <f ca="1">O67/SUM(O:O)</f>
        <v>5.5730769230769228E-3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input_358101!A$2</f>
        <v>358101</v>
      </c>
      <c r="B68" s="6">
        <v>192</v>
      </c>
      <c r="C68" s="7" t="str">
        <f t="shared" si="2"/>
        <v>Premium5</v>
      </c>
      <c r="D68" s="7" t="str">
        <f t="shared" si="3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IFERROR(VLOOKUP(B68,input_358101!L:R,7,FALSE),VLOOKUP(tables_358101!C68,input_358101!A:H,8,FALSE))</f>
        <v>3670.8</v>
      </c>
      <c r="P68" s="46">
        <f ca="1">O68/SUM(O:O)</f>
        <v>6.1923076923076927E-4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input_358101!A$2</f>
        <v>358101</v>
      </c>
      <c r="B69" s="6">
        <v>193</v>
      </c>
      <c r="C69" s="7" t="str">
        <f t="shared" si="2"/>
        <v>Premium3</v>
      </c>
      <c r="D69" s="7" t="str">
        <f t="shared" si="3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IFERROR(VLOOKUP(B69,input_358101!L:R,7,FALSE),VLOOKUP(tables_358101!C69,input_358101!A:H,8,FALSE))</f>
        <v>36708</v>
      </c>
      <c r="P69" s="46">
        <f ca="1">O69/SUM(O:O)</f>
        <v>6.1923076923076923E-3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input_358101!A$2</f>
        <v>358101</v>
      </c>
      <c r="B70" s="10">
        <v>194</v>
      </c>
      <c r="C70" s="7" t="str">
        <f t="shared" si="2"/>
        <v>Premium4</v>
      </c>
      <c r="D70" s="7" t="str">
        <f t="shared" si="3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IFERROR(VLOOKUP(B70,input_358101!L:R,7,FALSE),VLOOKUP(tables_358101!C70,input_358101!A:H,8,FALSE))</f>
        <v>33037.199999999997</v>
      </c>
      <c r="P70" s="46">
        <f ca="1">O70/SUM(O:O)</f>
        <v>5.5730769230769228E-3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input_358101!A$2</f>
        <v>358101</v>
      </c>
      <c r="B71" s="6">
        <v>195</v>
      </c>
      <c r="C71" s="7" t="str">
        <f t="shared" si="2"/>
        <v>Premium5</v>
      </c>
      <c r="D71" s="7" t="str">
        <f t="shared" si="3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IFERROR(VLOOKUP(B71,input_358101!L:R,7,FALSE),VLOOKUP(tables_358101!C71,input_358101!A:H,8,FALSE))</f>
        <v>3670.8</v>
      </c>
      <c r="P71" s="46">
        <f ca="1">O71/SUM(O:O)</f>
        <v>6.1923076923076927E-4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input_358101!A$2</f>
        <v>358101</v>
      </c>
      <c r="B72" s="10">
        <v>196</v>
      </c>
      <c r="C72" s="7" t="str">
        <f t="shared" si="2"/>
        <v>Premium3</v>
      </c>
      <c r="D72" s="7" t="str">
        <f t="shared" si="3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IFERROR(VLOOKUP(B72,input_358101!L:R,7,FALSE),VLOOKUP(tables_358101!C72,input_358101!A:H,8,FALSE))</f>
        <v>36708</v>
      </c>
      <c r="P72" s="46">
        <f ca="1">O72/SUM(O:O)</f>
        <v>6.1923076923076923E-3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input_358101!A$2</f>
        <v>358101</v>
      </c>
      <c r="B73" s="11">
        <v>197</v>
      </c>
      <c r="C73" s="7" t="str">
        <f t="shared" si="2"/>
        <v>Premium4</v>
      </c>
      <c r="D73" s="7" t="str">
        <f t="shared" si="3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IFERROR(VLOOKUP(B73,input_358101!L:R,7,FALSE),VLOOKUP(tables_358101!C73,input_358101!A:H,8,FALSE))</f>
        <v>33037.199999999997</v>
      </c>
      <c r="P73" s="46">
        <f ca="1">O73/SUM(O:O)</f>
        <v>5.5730769230769228E-3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input_358101!A$2</f>
        <v>358101</v>
      </c>
      <c r="B74" s="6">
        <v>198</v>
      </c>
      <c r="C74" s="7" t="str">
        <f t="shared" si="2"/>
        <v>Premium5</v>
      </c>
      <c r="D74" s="7" t="str">
        <f t="shared" si="3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IFERROR(VLOOKUP(B74,input_358101!L:R,7,FALSE),VLOOKUP(tables_358101!C74,input_358101!A:H,8,FALSE))</f>
        <v>3670.8</v>
      </c>
      <c r="P74" s="46">
        <f ca="1">O74/SUM(O:O)</f>
        <v>6.1923076923076927E-4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input_358101!A$2</f>
        <v>358101</v>
      </c>
      <c r="B75" s="6">
        <v>199</v>
      </c>
      <c r="C75" s="7" t="str">
        <f t="shared" si="2"/>
        <v>Premium3</v>
      </c>
      <c r="D75" s="7" t="str">
        <f t="shared" si="3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IFERROR(VLOOKUP(B75,input_358101!L:R,7,FALSE),VLOOKUP(tables_358101!C75,input_358101!A:H,8,FALSE))</f>
        <v>36708</v>
      </c>
      <c r="P75" s="46">
        <f ca="1">O75/SUM(O:O)</f>
        <v>6.1923076923076923E-3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input_358101!A$2</f>
        <v>358101</v>
      </c>
      <c r="B76" s="6">
        <v>200</v>
      </c>
      <c r="C76" s="7" t="str">
        <f t="shared" si="2"/>
        <v>Premium4</v>
      </c>
      <c r="D76" s="7" t="str">
        <f t="shared" si="3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IFERROR(VLOOKUP(B76,input_358101!L:R,7,FALSE),VLOOKUP(tables_358101!C76,input_358101!A:H,8,FALSE))</f>
        <v>33037.199999999997</v>
      </c>
      <c r="P76" s="46">
        <f ca="1">O76/SUM(O:O)</f>
        <v>5.5730769230769228E-3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input_358101!A$2</f>
        <v>358101</v>
      </c>
      <c r="B77" s="5">
        <v>201</v>
      </c>
      <c r="C77" s="7" t="str">
        <f t="shared" si="2"/>
        <v>Premium5</v>
      </c>
      <c r="D77" s="7" t="str">
        <f t="shared" si="3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IFERROR(VLOOKUP(B77,input_358101!L:R,7,FALSE),VLOOKUP(tables_358101!C77,input_358101!A:H,8,FALSE))</f>
        <v>3670.8</v>
      </c>
      <c r="P77" s="46">
        <f ca="1">O77/SUM(O:O)</f>
        <v>6.1923076923076927E-4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input_358101!A$2</f>
        <v>358101</v>
      </c>
      <c r="B78" s="5">
        <v>202</v>
      </c>
      <c r="C78" s="7" t="str">
        <f t="shared" si="2"/>
        <v>Premium3</v>
      </c>
      <c r="D78" s="7" t="str">
        <f t="shared" si="3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IFERROR(VLOOKUP(B78,input_358101!L:R,7,FALSE),VLOOKUP(tables_358101!C78,input_358101!A:H,8,FALSE))</f>
        <v>36708</v>
      </c>
      <c r="P78" s="46">
        <f ca="1">O78/SUM(O:O)</f>
        <v>6.1923076923076923E-3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input_358101!A$2</f>
        <v>358101</v>
      </c>
      <c r="B79" s="5">
        <v>203</v>
      </c>
      <c r="C79" s="7" t="str">
        <f t="shared" si="2"/>
        <v>Premium4</v>
      </c>
      <c r="D79" s="7" t="str">
        <f t="shared" si="3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IFERROR(VLOOKUP(B79,input_358101!L:R,7,FALSE),VLOOKUP(tables_358101!C79,input_358101!A:H,8,FALSE))</f>
        <v>33037.199999999997</v>
      </c>
      <c r="P79" s="46">
        <f ca="1">O79/SUM(O:O)</f>
        <v>5.5730769230769228E-3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input_358101!A$2</f>
        <v>358101</v>
      </c>
      <c r="B80" s="5">
        <v>204</v>
      </c>
      <c r="C80" s="7" t="str">
        <f t="shared" si="2"/>
        <v>Premium5</v>
      </c>
      <c r="D80" s="7" t="str">
        <f t="shared" si="3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IFERROR(VLOOKUP(B80,input_358101!L:R,7,FALSE),VLOOKUP(tables_358101!C80,input_358101!A:H,8,FALSE))</f>
        <v>3670.8</v>
      </c>
      <c r="P80" s="46">
        <f ca="1">O80/SUM(O:O)</f>
        <v>6.1923076923076927E-4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input_358101!A$2</f>
        <v>358101</v>
      </c>
      <c r="B81" s="5">
        <v>205</v>
      </c>
      <c r="C81" s="7" t="str">
        <f t="shared" si="2"/>
        <v>Premium3</v>
      </c>
      <c r="D81" s="7" t="str">
        <f t="shared" si="3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IFERROR(VLOOKUP(B81,input_358101!L:R,7,FALSE),VLOOKUP(tables_358101!C81,input_358101!A:H,8,FALSE))</f>
        <v>36708</v>
      </c>
      <c r="P81" s="46">
        <f ca="1">O81/SUM(O:O)</f>
        <v>6.1923076923076923E-3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input_358101!A$2</f>
        <v>358101</v>
      </c>
      <c r="B82" s="5">
        <v>206</v>
      </c>
      <c r="C82" s="7" t="str">
        <f t="shared" si="2"/>
        <v>Premium4</v>
      </c>
      <c r="D82" s="7" t="str">
        <f t="shared" si="3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IFERROR(VLOOKUP(B82,input_358101!L:R,7,FALSE),VLOOKUP(tables_358101!C82,input_358101!A:H,8,FALSE))</f>
        <v>33037.199999999997</v>
      </c>
      <c r="P82" s="46">
        <f ca="1">O82/SUM(O:O)</f>
        <v>5.5730769230769228E-3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input_358101!A$2</f>
        <v>358101</v>
      </c>
      <c r="B83" s="5">
        <v>207</v>
      </c>
      <c r="C83" s="7" t="str">
        <f t="shared" si="2"/>
        <v>Premium5</v>
      </c>
      <c r="D83" s="7" t="str">
        <f t="shared" si="3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IFERROR(VLOOKUP(B83,input_358101!L:R,7,FALSE),VLOOKUP(tables_358101!C83,input_358101!A:H,8,FALSE))</f>
        <v>3670.8</v>
      </c>
      <c r="P83" s="46">
        <f ca="1">O83/SUM(O:O)</f>
        <v>6.1923076923076927E-4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input_358101!A$2</f>
        <v>358101</v>
      </c>
      <c r="B84" s="5">
        <v>208</v>
      </c>
      <c r="C84" s="7" t="str">
        <f t="shared" si="2"/>
        <v>Premium3</v>
      </c>
      <c r="D84" s="7" t="str">
        <f t="shared" si="3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IFERROR(VLOOKUP(B84,input_358101!L:R,7,FALSE),VLOOKUP(tables_358101!C84,input_358101!A:H,8,FALSE))</f>
        <v>36708</v>
      </c>
      <c r="P84" s="46">
        <f ca="1">O84/SUM(O:O)</f>
        <v>6.1923076923076923E-3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input_358101!A$2</f>
        <v>358101</v>
      </c>
      <c r="B85" s="5">
        <v>209</v>
      </c>
      <c r="C85" s="7" t="str">
        <f t="shared" si="2"/>
        <v>Premium4</v>
      </c>
      <c r="D85" s="7" t="str">
        <f t="shared" si="3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IFERROR(VLOOKUP(B85,input_358101!L:R,7,FALSE),VLOOKUP(tables_358101!C85,input_358101!A:H,8,FALSE))</f>
        <v>33037.199999999997</v>
      </c>
      <c r="P85" s="46">
        <f ca="1">O85/SUM(O:O)</f>
        <v>5.5730769230769228E-3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input_358101!A$2</f>
        <v>358101</v>
      </c>
      <c r="B86" s="5">
        <v>210</v>
      </c>
      <c r="C86" s="7" t="str">
        <f t="shared" si="2"/>
        <v>Premium5</v>
      </c>
      <c r="D86" s="7" t="str">
        <f t="shared" si="3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IFERROR(VLOOKUP(B86,input_358101!L:R,7,FALSE),VLOOKUP(tables_358101!C86,input_358101!A:H,8,FALSE))</f>
        <v>3670.8</v>
      </c>
      <c r="P86" s="46">
        <f ca="1">O86/SUM(O:O)</f>
        <v>6.1923076923076927E-4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input_358101!A$2</f>
        <v>358101</v>
      </c>
      <c r="B87" s="5">
        <v>211</v>
      </c>
      <c r="C87" s="7" t="str">
        <f t="shared" si="2"/>
        <v>Premium3</v>
      </c>
      <c r="D87" s="7" t="str">
        <f t="shared" si="3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IFERROR(VLOOKUP(B87,input_358101!L:R,7,FALSE),VLOOKUP(tables_358101!C87,input_358101!A:H,8,FALSE))</f>
        <v>36708</v>
      </c>
      <c r="P87" s="46">
        <f ca="1">O87/SUM(O:O)</f>
        <v>6.1923076923076923E-3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input_358101!A$2</f>
        <v>358101</v>
      </c>
      <c r="B88" s="5">
        <v>212</v>
      </c>
      <c r="C88" s="7" t="str">
        <f t="shared" si="2"/>
        <v>Premium4</v>
      </c>
      <c r="D88" s="7" t="str">
        <f t="shared" si="3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IFERROR(VLOOKUP(B88,input_358101!L:R,7,FALSE),VLOOKUP(tables_358101!C88,input_358101!A:H,8,FALSE))</f>
        <v>33037.199999999997</v>
      </c>
      <c r="P88" s="46">
        <f ca="1">O88/SUM(O:O)</f>
        <v>5.5730769230769228E-3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input_358101!A$2</f>
        <v>358101</v>
      </c>
      <c r="B89" s="5">
        <v>213</v>
      </c>
      <c r="C89" s="7" t="str">
        <f t="shared" si="2"/>
        <v>Premium5</v>
      </c>
      <c r="D89" s="7" t="str">
        <f t="shared" si="3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IFERROR(VLOOKUP(B89,input_358101!L:R,7,FALSE),VLOOKUP(tables_358101!C89,input_358101!A:H,8,FALSE))</f>
        <v>3670.8</v>
      </c>
      <c r="P89" s="46">
        <f ca="1">O89/SUM(O:O)</f>
        <v>6.1923076923076927E-4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input_358101!A$2</f>
        <v>358101</v>
      </c>
      <c r="B90" s="5">
        <v>214</v>
      </c>
      <c r="C90" s="7" t="str">
        <f t="shared" si="2"/>
        <v>Premium3</v>
      </c>
      <c r="D90" s="7" t="str">
        <f t="shared" si="3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IFERROR(VLOOKUP(B90,input_358101!L:R,7,FALSE),VLOOKUP(tables_358101!C90,input_358101!A:H,8,FALSE))</f>
        <v>36708</v>
      </c>
      <c r="P90" s="46">
        <f ca="1">O90/SUM(O:O)</f>
        <v>6.1923076923076923E-3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input_358101!A$2</f>
        <v>358101</v>
      </c>
      <c r="B91" s="5">
        <v>215</v>
      </c>
      <c r="C91" s="7" t="str">
        <f t="shared" si="2"/>
        <v>Premium4</v>
      </c>
      <c r="D91" s="7" t="str">
        <f t="shared" si="3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IFERROR(VLOOKUP(B91,input_358101!L:R,7,FALSE),VLOOKUP(tables_358101!C91,input_358101!A:H,8,FALSE))</f>
        <v>33037.199999999997</v>
      </c>
      <c r="P91" s="46">
        <f ca="1">O91/SUM(O:O)</f>
        <v>5.5730769230769228E-3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input_358101!A$2</f>
        <v>358101</v>
      </c>
      <c r="B92" s="5">
        <v>216</v>
      </c>
      <c r="C92" s="7" t="str">
        <f t="shared" si="2"/>
        <v>Premium5</v>
      </c>
      <c r="D92" s="7" t="str">
        <f t="shared" si="3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IFERROR(VLOOKUP(B92,input_358101!L:R,7,FALSE),VLOOKUP(tables_358101!C92,input_358101!A:H,8,FALSE))</f>
        <v>3670.8</v>
      </c>
      <c r="P92" s="46">
        <f ca="1">O92/SUM(O:O)</f>
        <v>6.1923076923076927E-4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input_358101!A$2</f>
        <v>358101</v>
      </c>
      <c r="B93" s="5">
        <v>217</v>
      </c>
      <c r="C93" s="7" t="str">
        <f t="shared" si="2"/>
        <v>Premium3</v>
      </c>
      <c r="D93" s="7" t="str">
        <f t="shared" si="3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IFERROR(VLOOKUP(B93,input_358101!L:R,7,FALSE),VLOOKUP(tables_358101!C93,input_358101!A:H,8,FALSE))</f>
        <v>36708</v>
      </c>
      <c r="P93" s="46">
        <f ca="1">O93/SUM(O:O)</f>
        <v>6.1923076923076923E-3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input_358101!A$2</f>
        <v>358101</v>
      </c>
      <c r="B94" s="5">
        <v>218</v>
      </c>
      <c r="C94" s="7" t="str">
        <f t="shared" si="2"/>
        <v>Premium4</v>
      </c>
      <c r="D94" s="7" t="str">
        <f t="shared" si="3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IFERROR(VLOOKUP(B94,input_358101!L:R,7,FALSE),VLOOKUP(tables_358101!C94,input_358101!A:H,8,FALSE))</f>
        <v>33037.199999999997</v>
      </c>
      <c r="P94" s="46">
        <f ca="1">O94/SUM(O:O)</f>
        <v>5.5730769230769228E-3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input_358101!A$2</f>
        <v>358101</v>
      </c>
      <c r="B95" s="5">
        <v>219</v>
      </c>
      <c r="C95" s="7" t="str">
        <f t="shared" si="2"/>
        <v>Premium5</v>
      </c>
      <c r="D95" s="7" t="str">
        <f t="shared" si="3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IFERROR(VLOOKUP(B95,input_358101!L:R,7,FALSE),VLOOKUP(tables_358101!C95,input_358101!A:H,8,FALSE))</f>
        <v>3670.8</v>
      </c>
      <c r="P95" s="46">
        <f ca="1">O95/SUM(O:O)</f>
        <v>6.1923076923076927E-4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input_358101!A$2</f>
        <v>358101</v>
      </c>
      <c r="B96" s="5">
        <v>220</v>
      </c>
      <c r="C96" s="7" t="str">
        <f t="shared" si="2"/>
        <v>Premium3</v>
      </c>
      <c r="D96" s="7" t="str">
        <f t="shared" si="3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IFERROR(VLOOKUP(B96,input_358101!L:R,7,FALSE),VLOOKUP(tables_358101!C96,input_358101!A:H,8,FALSE))</f>
        <v>36708</v>
      </c>
      <c r="P96" s="46">
        <f ca="1">O96/SUM(O:O)</f>
        <v>6.1923076923076923E-3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input_358101!A$2</f>
        <v>358101</v>
      </c>
      <c r="B97" s="5">
        <v>221</v>
      </c>
      <c r="C97" s="7" t="str">
        <f t="shared" si="2"/>
        <v>Premium4</v>
      </c>
      <c r="D97" s="7" t="str">
        <f t="shared" si="3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IFERROR(VLOOKUP(B97,input_358101!L:R,7,FALSE),VLOOKUP(tables_358101!C97,input_358101!A:H,8,FALSE))</f>
        <v>33037.199999999997</v>
      </c>
      <c r="P97" s="46">
        <f ca="1">O97/SUM(O:O)</f>
        <v>5.5730769230769228E-3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input_358101!A$2</f>
        <v>358101</v>
      </c>
      <c r="B98" s="5">
        <v>222</v>
      </c>
      <c r="C98" s="7" t="str">
        <f t="shared" si="2"/>
        <v>Premium5</v>
      </c>
      <c r="D98" s="7" t="str">
        <f t="shared" si="3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IFERROR(VLOOKUP(B98,input_358101!L:R,7,FALSE),VLOOKUP(tables_358101!C98,input_358101!A:H,8,FALSE))</f>
        <v>3670.8</v>
      </c>
      <c r="P98" s="46">
        <f ca="1">O98/SUM(O:O)</f>
        <v>6.1923076923076927E-4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input_358101!A$2</f>
        <v>358101</v>
      </c>
      <c r="B99" s="5">
        <v>223</v>
      </c>
      <c r="C99" s="7" t="str">
        <f t="shared" si="2"/>
        <v>Premium3</v>
      </c>
      <c r="D99" s="7" t="str">
        <f t="shared" si="3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IFERROR(VLOOKUP(B99,input_358101!L:R,7,FALSE),VLOOKUP(tables_358101!C99,input_358101!A:H,8,FALSE))</f>
        <v>36708</v>
      </c>
      <c r="P99" s="46">
        <f ca="1">O99/SUM(O:O)</f>
        <v>6.1923076923076923E-3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input_358101!A$2</f>
        <v>358101</v>
      </c>
      <c r="B100" s="5">
        <v>224</v>
      </c>
      <c r="C100" s="7" t="str">
        <f t="shared" si="2"/>
        <v>Premium4</v>
      </c>
      <c r="D100" s="7" t="str">
        <f t="shared" si="3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IFERROR(VLOOKUP(B100,input_358101!L:R,7,FALSE),VLOOKUP(tables_358101!C100,input_358101!A:H,8,FALSE))</f>
        <v>33037.199999999997</v>
      </c>
      <c r="P100" s="46">
        <f ca="1">O100/SUM(O:O)</f>
        <v>5.5730769230769228E-3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input_358101!A$2</f>
        <v>358101</v>
      </c>
      <c r="B101" s="5">
        <v>225</v>
      </c>
      <c r="C101" s="7" t="str">
        <f t="shared" si="2"/>
        <v>Premium5</v>
      </c>
      <c r="D101" s="7" t="str">
        <f t="shared" si="3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IFERROR(VLOOKUP(B101,input_358101!L:R,7,FALSE),VLOOKUP(tables_358101!C101,input_358101!A:H,8,FALSE))</f>
        <v>3670.8</v>
      </c>
      <c r="P101" s="46">
        <f ca="1">O101/SUM(O:O)</f>
        <v>6.1923076923076927E-4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input_358101!A$2</f>
        <v>358101</v>
      </c>
      <c r="B102" s="5">
        <v>226</v>
      </c>
      <c r="C102" s="7" t="str">
        <f t="shared" si="2"/>
        <v>Premium3</v>
      </c>
      <c r="D102" s="7" t="str">
        <f t="shared" si="3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IFERROR(VLOOKUP(B102,input_358101!L:R,7,FALSE),VLOOKUP(tables_358101!C102,input_358101!A:H,8,FALSE))</f>
        <v>36708</v>
      </c>
      <c r="P102" s="46">
        <f ca="1">O102/SUM(O:O)</f>
        <v>6.1923076923076923E-3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input_358101!A$2</f>
        <v>358101</v>
      </c>
      <c r="B103" s="5">
        <v>227</v>
      </c>
      <c r="C103" s="7" t="str">
        <f t="shared" si="2"/>
        <v>Premium4</v>
      </c>
      <c r="D103" s="7" t="str">
        <f t="shared" si="3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IFERROR(VLOOKUP(B103,input_358101!L:R,7,FALSE),VLOOKUP(tables_358101!C103,input_358101!A:H,8,FALSE))</f>
        <v>33037.199999999997</v>
      </c>
      <c r="P103" s="46">
        <f ca="1">O103/SUM(O:O)</f>
        <v>5.5730769230769228E-3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input_358101!A$2</f>
        <v>358101</v>
      </c>
      <c r="B104" s="5">
        <v>228</v>
      </c>
      <c r="C104" s="7" t="str">
        <f t="shared" si="2"/>
        <v>Premium5</v>
      </c>
      <c r="D104" s="7" t="str">
        <f t="shared" si="3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IFERROR(VLOOKUP(B104,input_358101!L:R,7,FALSE),VLOOKUP(tables_358101!C104,input_358101!A:H,8,FALSE))</f>
        <v>3670.8</v>
      </c>
      <c r="P104" s="46">
        <f ca="1">O104/SUM(O:O)</f>
        <v>6.1923076923076927E-4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input_358101!A$2</f>
        <v>358101</v>
      </c>
      <c r="B105" s="5">
        <v>229</v>
      </c>
      <c r="C105" s="7" t="str">
        <f t="shared" si="2"/>
        <v>Premium3</v>
      </c>
      <c r="D105" s="7" t="str">
        <f t="shared" si="3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IFERROR(VLOOKUP(B105,input_358101!L:R,7,FALSE),VLOOKUP(tables_358101!C105,input_358101!A:H,8,FALSE))</f>
        <v>36708</v>
      </c>
      <c r="P105" s="46">
        <f ca="1">O105/SUM(O:O)</f>
        <v>6.1923076923076923E-3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input_358101!A$2</f>
        <v>358101</v>
      </c>
      <c r="B106" s="5">
        <v>230</v>
      </c>
      <c r="C106" s="7" t="str">
        <f t="shared" si="2"/>
        <v>Premium4</v>
      </c>
      <c r="D106" s="7" t="str">
        <f t="shared" si="3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IFERROR(VLOOKUP(B106,input_358101!L:R,7,FALSE),VLOOKUP(tables_358101!C106,input_358101!A:H,8,FALSE))</f>
        <v>33037.199999999997</v>
      </c>
      <c r="P106" s="46">
        <f ca="1">O106/SUM(O:O)</f>
        <v>5.5730769230769228E-3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input_358101!A$2</f>
        <v>358101</v>
      </c>
      <c r="B107" s="5">
        <v>231</v>
      </c>
      <c r="C107" s="7" t="str">
        <f t="shared" si="2"/>
        <v>Premium5</v>
      </c>
      <c r="D107" s="7" t="str">
        <f t="shared" si="3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IFERROR(VLOOKUP(B107,input_358101!L:R,7,FALSE),VLOOKUP(tables_358101!C107,input_358101!A:H,8,FALSE))</f>
        <v>3670.8</v>
      </c>
      <c r="P107" s="46">
        <f ca="1">O107/SUM(O:O)</f>
        <v>6.1923076923076927E-4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input_358101!A$2</f>
        <v>358101</v>
      </c>
      <c r="B108" s="5">
        <v>232</v>
      </c>
      <c r="C108" s="7" t="str">
        <f t="shared" si="2"/>
        <v>Premium3</v>
      </c>
      <c r="D108" s="7" t="str">
        <f t="shared" si="3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IFERROR(VLOOKUP(B108,input_358101!L:R,7,FALSE),VLOOKUP(tables_358101!C108,input_358101!A:H,8,FALSE))</f>
        <v>36708</v>
      </c>
      <c r="P108" s="46">
        <f ca="1">O108/SUM(O:O)</f>
        <v>6.1923076923076923E-3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input_358101!A$2</f>
        <v>358101</v>
      </c>
      <c r="B109" s="5">
        <v>233</v>
      </c>
      <c r="C109" s="7" t="str">
        <f t="shared" si="2"/>
        <v>Premium4</v>
      </c>
      <c r="D109" s="7" t="str">
        <f t="shared" si="3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IFERROR(VLOOKUP(B109,input_358101!L:R,7,FALSE),VLOOKUP(tables_358101!C109,input_358101!A:H,8,FALSE))</f>
        <v>33037.199999999997</v>
      </c>
      <c r="P109" s="46">
        <f ca="1">O109/SUM(O:O)</f>
        <v>5.5730769230769228E-3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input_358101!A$2</f>
        <v>358101</v>
      </c>
      <c r="B110" s="5">
        <v>234</v>
      </c>
      <c r="C110" s="7" t="str">
        <f t="shared" si="2"/>
        <v>Premium5</v>
      </c>
      <c r="D110" s="7" t="str">
        <f t="shared" si="3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IFERROR(VLOOKUP(B110,input_358101!L:R,7,FALSE),VLOOKUP(tables_358101!C110,input_358101!A:H,8,FALSE))</f>
        <v>3670.8</v>
      </c>
      <c r="P110" s="46">
        <f ca="1">O110/SUM(O:O)</f>
        <v>6.1923076923076927E-4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input_358101!A$2</f>
        <v>358101</v>
      </c>
      <c r="B111" s="5">
        <v>235</v>
      </c>
      <c r="C111" s="7" t="str">
        <f t="shared" si="2"/>
        <v>Premium3R6release</v>
      </c>
      <c r="D111" s="7" t="str">
        <f t="shared" si="3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IFERROR(VLOOKUP(B111,input_358101!L:R,7,FALSE),VLOOKUP(tables_358101!C111,input_358101!A:H,8,FALSE))</f>
        <v>2340</v>
      </c>
      <c r="P111" s="46">
        <f ca="1">O111/SUM(O:O)</f>
        <v>3.9473684210526315E-4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input_358101!A$2</f>
        <v>358101</v>
      </c>
      <c r="B112" s="5">
        <v>236</v>
      </c>
      <c r="C112" s="7" t="str">
        <f t="shared" si="2"/>
        <v>Premium4R6release</v>
      </c>
      <c r="D112" s="7" t="str">
        <f t="shared" si="3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IFERROR(VLOOKUP(B112,input_358101!L:R,7,FALSE),VLOOKUP(tables_358101!C112,input_358101!A:H,8,FALSE))</f>
        <v>2106</v>
      </c>
      <c r="P112" s="46">
        <f ca="1">O112/SUM(O:O)</f>
        <v>3.5526315789473687E-4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input_358101!A$2</f>
        <v>358101</v>
      </c>
      <c r="B113" s="5">
        <v>237</v>
      </c>
      <c r="C113" s="7" t="str">
        <f t="shared" si="2"/>
        <v>Premium5R6release</v>
      </c>
      <c r="D113" s="7" t="str">
        <f t="shared" si="3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IFERROR(VLOOKUP(B113,input_358101!L:R,7,FALSE),VLOOKUP(tables_358101!C113,input_358101!A:H,8,FALSE))</f>
        <v>234</v>
      </c>
      <c r="P113" s="46">
        <f ca="1">O113/SUM(O:O)</f>
        <v>3.9473684210526316E-5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input_358101!A$2</f>
        <v>358101</v>
      </c>
      <c r="B114" s="5">
        <v>238</v>
      </c>
      <c r="C114" s="7" t="str">
        <f t="shared" si="2"/>
        <v>Premium3</v>
      </c>
      <c r="D114" s="7" t="str">
        <f t="shared" si="3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IFERROR(VLOOKUP(B114,input_358101!L:R,7,FALSE),VLOOKUP(tables_358101!C114,input_358101!A:H,8,FALSE))</f>
        <v>36708</v>
      </c>
      <c r="P114" s="46">
        <f ca="1">O114/SUM(O:O)</f>
        <v>6.1923076923076923E-3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input_358101!A$2</f>
        <v>358101</v>
      </c>
      <c r="B115" s="5">
        <v>239</v>
      </c>
      <c r="C115" s="7" t="str">
        <f t="shared" si="2"/>
        <v>Premium4</v>
      </c>
      <c r="D115" s="7" t="str">
        <f t="shared" si="3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IFERROR(VLOOKUP(B115,input_358101!L:R,7,FALSE),VLOOKUP(tables_358101!C115,input_358101!A:H,8,FALSE))</f>
        <v>33037.199999999997</v>
      </c>
      <c r="P115" s="46">
        <f ca="1">O115/SUM(O:O)</f>
        <v>5.5730769230769228E-3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input_358101!A$2</f>
        <v>358101</v>
      </c>
      <c r="B116" s="5">
        <v>240</v>
      </c>
      <c r="C116" s="7" t="str">
        <f t="shared" si="2"/>
        <v>Premium5</v>
      </c>
      <c r="D116" s="7" t="str">
        <f t="shared" si="3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IFERROR(VLOOKUP(B116,input_358101!L:R,7,FALSE),VLOOKUP(tables_358101!C116,input_358101!A:H,8,FALSE))</f>
        <v>3670.8</v>
      </c>
      <c r="P116" s="46">
        <f ca="1">O116/SUM(O:O)</f>
        <v>6.1923076923076927E-4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input_358101!A$2</f>
        <v>358101</v>
      </c>
      <c r="B117" s="5">
        <v>241</v>
      </c>
      <c r="C117" s="7" t="str">
        <f t="shared" si="2"/>
        <v>Premium3</v>
      </c>
      <c r="D117" s="7" t="str">
        <f t="shared" si="3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IFERROR(VLOOKUP(B117,input_358101!L:R,7,FALSE),VLOOKUP(tables_358101!C117,input_358101!A:H,8,FALSE))</f>
        <v>36708</v>
      </c>
      <c r="P117" s="46">
        <f ca="1">O117/SUM(O:O)</f>
        <v>6.1923076923076923E-3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input_358101!A$2</f>
        <v>358101</v>
      </c>
      <c r="B118" s="5">
        <v>242</v>
      </c>
      <c r="C118" s="7" t="str">
        <f t="shared" si="2"/>
        <v>Premium4</v>
      </c>
      <c r="D118" s="7" t="str">
        <f t="shared" si="3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IFERROR(VLOOKUP(B118,input_358101!L:R,7,FALSE),VLOOKUP(tables_358101!C118,input_358101!A:H,8,FALSE))</f>
        <v>33037.199999999997</v>
      </c>
      <c r="P118" s="46">
        <f ca="1">O118/SUM(O:O)</f>
        <v>5.5730769230769228E-3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input_358101!A$2</f>
        <v>358101</v>
      </c>
      <c r="B119" s="5">
        <v>243</v>
      </c>
      <c r="C119" s="7" t="str">
        <f t="shared" si="2"/>
        <v>Premium5</v>
      </c>
      <c r="D119" s="7" t="str">
        <f t="shared" si="3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IFERROR(VLOOKUP(B119,input_358101!L:R,7,FALSE),VLOOKUP(tables_358101!C119,input_358101!A:H,8,FALSE))</f>
        <v>3670.8</v>
      </c>
      <c r="P119" s="46">
        <f ca="1">O119/SUM(O:O)</f>
        <v>6.1923076923076927E-4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input_358101!A$2</f>
        <v>358101</v>
      </c>
      <c r="B120" s="5">
        <v>244</v>
      </c>
      <c r="C120" s="7" t="str">
        <f t="shared" si="2"/>
        <v>Premium3</v>
      </c>
      <c r="D120" s="7" t="str">
        <f t="shared" si="3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IFERROR(VLOOKUP(B120,input_358101!L:R,7,FALSE),VLOOKUP(tables_358101!C120,input_358101!A:H,8,FALSE))</f>
        <v>36708</v>
      </c>
      <c r="P120" s="46">
        <f ca="1">O120/SUM(O:O)</f>
        <v>6.1923076923076923E-3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input_358101!A$2</f>
        <v>358101</v>
      </c>
      <c r="B121" s="5">
        <v>245</v>
      </c>
      <c r="C121" s="7" t="str">
        <f t="shared" si="2"/>
        <v>Premium4</v>
      </c>
      <c r="D121" s="7" t="str">
        <f t="shared" si="3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IFERROR(VLOOKUP(B121,input_358101!L:R,7,FALSE),VLOOKUP(tables_358101!C121,input_358101!A:H,8,FALSE))</f>
        <v>33037.199999999997</v>
      </c>
      <c r="P121" s="46">
        <f ca="1">O121/SUM(O:O)</f>
        <v>5.5730769230769228E-3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input_358101!A$2</f>
        <v>358101</v>
      </c>
      <c r="B122" s="5">
        <v>246</v>
      </c>
      <c r="C122" s="7" t="str">
        <f t="shared" si="2"/>
        <v>Premium5</v>
      </c>
      <c r="D122" s="7" t="str">
        <f t="shared" si="3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IFERROR(VLOOKUP(B122,input_358101!L:R,7,FALSE),VLOOKUP(tables_358101!C122,input_358101!A:H,8,FALSE))</f>
        <v>3670.8</v>
      </c>
      <c r="P122" s="46">
        <f ca="1">O122/SUM(O:O)</f>
        <v>6.1923076923076927E-4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input_358101!A$2</f>
        <v>358101</v>
      </c>
      <c r="B123" s="5">
        <v>247</v>
      </c>
      <c r="C123" s="7" t="str">
        <f t="shared" si="2"/>
        <v>Premium3</v>
      </c>
      <c r="D123" s="7" t="str">
        <f t="shared" si="3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IFERROR(VLOOKUP(B123,input_358101!L:R,7,FALSE),VLOOKUP(tables_358101!C123,input_358101!A:H,8,FALSE))</f>
        <v>36708</v>
      </c>
      <c r="P123" s="46">
        <f ca="1">O123/SUM(O:O)</f>
        <v>6.1923076923076923E-3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input_358101!A$2</f>
        <v>358101</v>
      </c>
      <c r="B124" s="5">
        <v>248</v>
      </c>
      <c r="C124" s="7" t="str">
        <f t="shared" si="2"/>
        <v>Premium4</v>
      </c>
      <c r="D124" s="7" t="str">
        <f t="shared" si="3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IFERROR(VLOOKUP(B124,input_358101!L:R,7,FALSE),VLOOKUP(tables_358101!C124,input_358101!A:H,8,FALSE))</f>
        <v>33037.199999999997</v>
      </c>
      <c r="P124" s="46">
        <f ca="1">O124/SUM(O:O)</f>
        <v>5.5730769230769228E-3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input_358101!A$2</f>
        <v>358101</v>
      </c>
      <c r="B125" s="6">
        <v>249</v>
      </c>
      <c r="C125" s="7" t="str">
        <f t="shared" si="2"/>
        <v>Premium5</v>
      </c>
      <c r="D125" s="7" t="str">
        <f t="shared" si="3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IFERROR(VLOOKUP(B125,input_358101!L:R,7,FALSE),VLOOKUP(tables_358101!C125,input_358101!A:H,8,FALSE))</f>
        <v>3670.8</v>
      </c>
      <c r="P125" s="46">
        <f ca="1">O125/SUM(O:O)</f>
        <v>6.1923076923076927E-4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input_358101!A$2</f>
        <v>358101</v>
      </c>
      <c r="B126" s="6">
        <v>250</v>
      </c>
      <c r="C126" s="7" t="str">
        <f t="shared" si="2"/>
        <v>Premium3</v>
      </c>
      <c r="D126" s="7" t="str">
        <f t="shared" si="3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IFERROR(VLOOKUP(B126,input_358101!L:R,7,FALSE),VLOOKUP(tables_358101!C126,input_358101!A:H,8,FALSE))</f>
        <v>36708</v>
      </c>
      <c r="P126" s="46">
        <f ca="1">O126/SUM(O:O)</f>
        <v>6.1923076923076923E-3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input_358101!A$2</f>
        <v>358101</v>
      </c>
      <c r="B127" s="6">
        <v>251</v>
      </c>
      <c r="C127" s="7" t="str">
        <f t="shared" si="2"/>
        <v>Premium4</v>
      </c>
      <c r="D127" s="7" t="str">
        <f t="shared" si="3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IFERROR(VLOOKUP(B127,input_358101!L:R,7,FALSE),VLOOKUP(tables_358101!C127,input_358101!A:H,8,FALSE))</f>
        <v>33037.199999999997</v>
      </c>
      <c r="P127" s="46">
        <f ca="1">O127/SUM(O:O)</f>
        <v>5.5730769230769228E-3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input_358101!A$2</f>
        <v>358101</v>
      </c>
      <c r="B128" s="6">
        <v>252</v>
      </c>
      <c r="C128" s="7" t="str">
        <f t="shared" si="2"/>
        <v>Premium5</v>
      </c>
      <c r="D128" s="7" t="str">
        <f t="shared" si="3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IFERROR(VLOOKUP(B128,input_358101!L:R,7,FALSE),VLOOKUP(tables_358101!C128,input_358101!A:H,8,FALSE))</f>
        <v>3670.8</v>
      </c>
      <c r="P128" s="46">
        <f ca="1">O128/SUM(O:O)</f>
        <v>6.1923076923076927E-4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input_358101!A$2</f>
        <v>358101</v>
      </c>
      <c r="B129" s="6">
        <v>253</v>
      </c>
      <c r="C129" s="7" t="str">
        <f t="shared" si="2"/>
        <v>Premium3</v>
      </c>
      <c r="D129" s="7" t="str">
        <f t="shared" si="3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IFERROR(VLOOKUP(B129,input_358101!L:R,7,FALSE),VLOOKUP(tables_358101!C129,input_358101!A:H,8,FALSE))</f>
        <v>36708</v>
      </c>
      <c r="P129" s="46">
        <f ca="1">O129/SUM(O:O)</f>
        <v>6.1923076923076923E-3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input_358101!A$2</f>
        <v>358101</v>
      </c>
      <c r="B130" s="6">
        <v>254</v>
      </c>
      <c r="C130" s="7" t="str">
        <f t="shared" ref="C130:C193" si="4">D130&amp;J130&amp;E130&amp;F130&amp;G130</f>
        <v>Premium4</v>
      </c>
      <c r="D130" s="7" t="str">
        <f t="shared" ref="D130:D193" si="5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IFERROR(VLOOKUP(B130,input_358101!L:R,7,FALSE),VLOOKUP(tables_358101!C130,input_358101!A:H,8,FALSE))</f>
        <v>33037.199999999997</v>
      </c>
      <c r="P130" s="46">
        <f ca="1">O130/SUM(O:O)</f>
        <v>5.5730769230769228E-3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input_358101!A$2</f>
        <v>358101</v>
      </c>
      <c r="B131" s="6">
        <v>255</v>
      </c>
      <c r="C131" s="7" t="str">
        <f t="shared" si="4"/>
        <v>Premium5</v>
      </c>
      <c r="D131" s="7" t="str">
        <f t="shared" si="5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IFERROR(VLOOKUP(B131,input_358101!L:R,7,FALSE),VLOOKUP(tables_358101!C131,input_358101!A:H,8,FALSE))</f>
        <v>3670.8</v>
      </c>
      <c r="P131" s="46">
        <f ca="1">O131/SUM(O:O)</f>
        <v>6.1923076923076927E-4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input_358101!A$2</f>
        <v>358101</v>
      </c>
      <c r="B132" s="6">
        <v>256</v>
      </c>
      <c r="C132" s="7" t="str">
        <f t="shared" si="4"/>
        <v>Premium3</v>
      </c>
      <c r="D132" s="7" t="str">
        <f t="shared" si="5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IFERROR(VLOOKUP(B132,input_358101!L:R,7,FALSE),VLOOKUP(tables_358101!C132,input_358101!A:H,8,FALSE))</f>
        <v>36708</v>
      </c>
      <c r="P132" s="46">
        <f ca="1">O132/SUM(O:O)</f>
        <v>6.1923076923076923E-3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input_358101!A$2</f>
        <v>358101</v>
      </c>
      <c r="B133" s="6">
        <v>257</v>
      </c>
      <c r="C133" s="7" t="str">
        <f t="shared" si="4"/>
        <v>Premium4</v>
      </c>
      <c r="D133" s="7" t="str">
        <f t="shared" si="5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IFERROR(VLOOKUP(B133,input_358101!L:R,7,FALSE),VLOOKUP(tables_358101!C133,input_358101!A:H,8,FALSE))</f>
        <v>33037.199999999997</v>
      </c>
      <c r="P133" s="46">
        <f ca="1">O133/SUM(O:O)</f>
        <v>5.5730769230769228E-3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input_358101!A$2</f>
        <v>358101</v>
      </c>
      <c r="B134" s="6">
        <v>258</v>
      </c>
      <c r="C134" s="7" t="str">
        <f t="shared" si="4"/>
        <v>Premium5</v>
      </c>
      <c r="D134" s="7" t="str">
        <f t="shared" si="5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IFERROR(VLOOKUP(B134,input_358101!L:R,7,FALSE),VLOOKUP(tables_358101!C134,input_358101!A:H,8,FALSE))</f>
        <v>3670.8</v>
      </c>
      <c r="P134" s="46">
        <f ca="1">O134/SUM(O:O)</f>
        <v>6.1923076923076927E-4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input_358101!A$2</f>
        <v>358101</v>
      </c>
      <c r="B135" s="6">
        <v>259</v>
      </c>
      <c r="C135" s="7" t="str">
        <f t="shared" si="4"/>
        <v>Premium3</v>
      </c>
      <c r="D135" s="7" t="str">
        <f t="shared" si="5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IFERROR(VLOOKUP(B135,input_358101!L:R,7,FALSE),VLOOKUP(tables_358101!C135,input_358101!A:H,8,FALSE))</f>
        <v>36708</v>
      </c>
      <c r="P135" s="46">
        <f ca="1">O135/SUM(O:O)</f>
        <v>6.1923076923076923E-3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input_358101!A$2</f>
        <v>358101</v>
      </c>
      <c r="B136" s="8">
        <v>260</v>
      </c>
      <c r="C136" s="7" t="str">
        <f t="shared" si="4"/>
        <v>Premium4</v>
      </c>
      <c r="D136" s="7" t="str">
        <f t="shared" si="5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IFERROR(VLOOKUP(B136,input_358101!L:R,7,FALSE),VLOOKUP(tables_358101!C136,input_358101!A:H,8,FALSE))</f>
        <v>33037.199999999997</v>
      </c>
      <c r="P136" s="46">
        <f ca="1">O136/SUM(O:O)</f>
        <v>5.5730769230769228E-3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input_358101!A$2</f>
        <v>358101</v>
      </c>
      <c r="B137" s="8">
        <v>261</v>
      </c>
      <c r="C137" s="7" t="str">
        <f t="shared" si="4"/>
        <v>Premium5</v>
      </c>
      <c r="D137" s="7" t="str">
        <f t="shared" si="5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IFERROR(VLOOKUP(B137,input_358101!L:R,7,FALSE),VLOOKUP(tables_358101!C137,input_358101!A:H,8,FALSE))</f>
        <v>3670.8</v>
      </c>
      <c r="P137" s="46">
        <f ca="1">O137/SUM(O:O)</f>
        <v>6.1923076923076927E-4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input_358101!A$2</f>
        <v>358101</v>
      </c>
      <c r="B138" s="6">
        <v>320</v>
      </c>
      <c r="C138" s="7" t="str">
        <f t="shared" si="4"/>
        <v>PremiumSS4</v>
      </c>
      <c r="D138" s="7" t="str">
        <f t="shared" si="5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IFERROR(VLOOKUP(B138,input_358101!L:R,7,FALSE),VLOOKUP(tables_358101!C138,input_358101!A:H,8,FALSE))</f>
        <v>4446</v>
      </c>
      <c r="P138" s="46">
        <f ca="1">O138/SUM(O:O)</f>
        <v>7.5000000000000002E-4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input_358101!A$2</f>
        <v>358101</v>
      </c>
      <c r="B139" s="6">
        <v>321</v>
      </c>
      <c r="C139" s="7" t="str">
        <f t="shared" si="4"/>
        <v>PremiumSS5</v>
      </c>
      <c r="D139" s="7" t="str">
        <f t="shared" si="5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IFERROR(VLOOKUP(B139,input_358101!L:R,7,FALSE),VLOOKUP(tables_358101!C139,input_358101!A:H,8,FALSE))</f>
        <v>234</v>
      </c>
      <c r="P139" s="46">
        <f ca="1">O139/SUM(O:O)</f>
        <v>3.9473684210526316E-5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input_358101!A$2</f>
        <v>358101</v>
      </c>
      <c r="B140" s="6">
        <v>322</v>
      </c>
      <c r="C140" s="7" t="str">
        <f t="shared" si="4"/>
        <v>PremiumSS4</v>
      </c>
      <c r="D140" s="7" t="str">
        <f t="shared" si="5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IFERROR(VLOOKUP(B140,input_358101!L:R,7,FALSE),VLOOKUP(tables_358101!C140,input_358101!A:H,8,FALSE))</f>
        <v>4446</v>
      </c>
      <c r="P140" s="46">
        <f ca="1">O140/SUM(O:O)</f>
        <v>7.5000000000000002E-4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input_358101!A$2</f>
        <v>358101</v>
      </c>
      <c r="B141" s="6">
        <v>323</v>
      </c>
      <c r="C141" s="7" t="str">
        <f t="shared" si="4"/>
        <v>PremiumSS5</v>
      </c>
      <c r="D141" s="7" t="str">
        <f t="shared" si="5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IFERROR(VLOOKUP(B141,input_358101!L:R,7,FALSE),VLOOKUP(tables_358101!C141,input_358101!A:H,8,FALSE))</f>
        <v>234</v>
      </c>
      <c r="P141" s="46">
        <f ca="1">O141/SUM(O:O)</f>
        <v>3.9473684210526316E-5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input_358101!A$2</f>
        <v>358101</v>
      </c>
      <c r="B142" s="6">
        <v>324</v>
      </c>
      <c r="C142" s="7" t="str">
        <f t="shared" si="4"/>
        <v>PremiumSS4</v>
      </c>
      <c r="D142" s="7" t="str">
        <f t="shared" si="5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IFERROR(VLOOKUP(B142,input_358101!L:R,7,FALSE),VLOOKUP(tables_358101!C142,input_358101!A:H,8,FALSE))</f>
        <v>4446</v>
      </c>
      <c r="P142" s="46">
        <f ca="1">O142/SUM(O:O)</f>
        <v>7.5000000000000002E-4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input_358101!A$2</f>
        <v>358101</v>
      </c>
      <c r="B143" s="6">
        <v>325</v>
      </c>
      <c r="C143" s="7" t="str">
        <f t="shared" si="4"/>
        <v>PremiumSS5</v>
      </c>
      <c r="D143" s="7" t="str">
        <f t="shared" si="5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IFERROR(VLOOKUP(B143,input_358101!L:R,7,FALSE),VLOOKUP(tables_358101!C143,input_358101!A:H,8,FALSE))</f>
        <v>234</v>
      </c>
      <c r="P143" s="46">
        <f ca="1">O143/SUM(O:O)</f>
        <v>3.9473684210526316E-5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input_358101!A$2</f>
        <v>358101</v>
      </c>
      <c r="B144" s="6">
        <v>326</v>
      </c>
      <c r="C144" s="7" t="str">
        <f t="shared" si="4"/>
        <v>PremiumSS4</v>
      </c>
      <c r="D144" s="7" t="str">
        <f t="shared" si="5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IFERROR(VLOOKUP(B144,input_358101!L:R,7,FALSE),VLOOKUP(tables_358101!C144,input_358101!A:H,8,FALSE))</f>
        <v>4446</v>
      </c>
      <c r="P144" s="46">
        <f ca="1">O144/SUM(O:O)</f>
        <v>7.5000000000000002E-4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input_358101!A$2</f>
        <v>358101</v>
      </c>
      <c r="B145" s="6">
        <v>327</v>
      </c>
      <c r="C145" s="7" t="str">
        <f t="shared" si="4"/>
        <v>PremiumSS5</v>
      </c>
      <c r="D145" s="7" t="str">
        <f t="shared" si="5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IFERROR(VLOOKUP(B145,input_358101!L:R,7,FALSE),VLOOKUP(tables_358101!C145,input_358101!A:H,8,FALSE))</f>
        <v>234</v>
      </c>
      <c r="P145" s="46">
        <f ca="1">O145/SUM(O:O)</f>
        <v>3.9473684210526316E-5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input_358101!A$2</f>
        <v>358101</v>
      </c>
      <c r="B146" s="6">
        <v>380</v>
      </c>
      <c r="C146" s="7" t="str">
        <f t="shared" si="4"/>
        <v>Premium3</v>
      </c>
      <c r="D146" s="7" t="str">
        <f t="shared" si="5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IFERROR(VLOOKUP(B146,input_358101!L:R,7,FALSE),VLOOKUP(tables_358101!C146,input_358101!A:H,8,FALSE))</f>
        <v>36708</v>
      </c>
      <c r="P146" s="46">
        <f ca="1">O146/SUM(O:O)</f>
        <v>6.1923076923076923E-3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input_358101!A$2</f>
        <v>358101</v>
      </c>
      <c r="B147" s="6">
        <v>381</v>
      </c>
      <c r="C147" s="7" t="str">
        <f t="shared" si="4"/>
        <v>Premium4</v>
      </c>
      <c r="D147" s="7" t="str">
        <f t="shared" si="5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IFERROR(VLOOKUP(B147,input_358101!L:R,7,FALSE),VLOOKUP(tables_358101!C147,input_358101!A:H,8,FALSE))</f>
        <v>33037.199999999997</v>
      </c>
      <c r="P147" s="46">
        <f ca="1">O147/SUM(O:O)</f>
        <v>5.5730769230769228E-3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input_358101!A$2</f>
        <v>358101</v>
      </c>
      <c r="B148" s="6">
        <v>382</v>
      </c>
      <c r="C148" s="7" t="str">
        <f t="shared" si="4"/>
        <v>Premium5</v>
      </c>
      <c r="D148" s="7" t="str">
        <f t="shared" si="5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IFERROR(VLOOKUP(B148,input_358101!L:R,7,FALSE),VLOOKUP(tables_358101!C148,input_358101!A:H,8,FALSE))</f>
        <v>3670.8</v>
      </c>
      <c r="P148" s="46">
        <f ca="1">O148/SUM(O:O)</f>
        <v>6.1923076923076927E-4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input_358101!A$2</f>
        <v>358101</v>
      </c>
      <c r="B149" s="6">
        <v>383</v>
      </c>
      <c r="C149" s="7" t="str">
        <f t="shared" si="4"/>
        <v>PremiumSS4</v>
      </c>
      <c r="D149" s="7" t="str">
        <f t="shared" si="5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IFERROR(VLOOKUP(B149,input_358101!L:R,7,FALSE),VLOOKUP(tables_358101!C149,input_358101!A:H,8,FALSE))</f>
        <v>4446</v>
      </c>
      <c r="P149" s="46">
        <f ca="1">O149/SUM(O:O)</f>
        <v>7.5000000000000002E-4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input_358101!A$2</f>
        <v>358101</v>
      </c>
      <c r="B150" s="6">
        <v>384</v>
      </c>
      <c r="C150" s="7" t="str">
        <f t="shared" si="4"/>
        <v>PremiumSS5</v>
      </c>
      <c r="D150" s="7" t="str">
        <f t="shared" si="5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IFERROR(VLOOKUP(B150,input_358101!L:R,7,FALSE),VLOOKUP(tables_358101!C150,input_358101!A:H,8,FALSE))</f>
        <v>234</v>
      </c>
      <c r="P150" s="46">
        <f ca="1">O150/SUM(O:O)</f>
        <v>3.9473684210526316E-5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input_358101!A$2</f>
        <v>358101</v>
      </c>
      <c r="B151" s="6">
        <v>385</v>
      </c>
      <c r="C151" s="7" t="str">
        <f t="shared" si="4"/>
        <v>PremiumSS4</v>
      </c>
      <c r="D151" s="7" t="str">
        <f t="shared" si="5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IFERROR(VLOOKUP(B151,input_358101!L:R,7,FALSE),VLOOKUP(tables_358101!C151,input_358101!A:H,8,FALSE))</f>
        <v>4446</v>
      </c>
      <c r="P151" s="46">
        <f ca="1">O151/SUM(O:O)</f>
        <v>7.5000000000000002E-4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input_358101!A$2</f>
        <v>358101</v>
      </c>
      <c r="B152" s="6">
        <v>386</v>
      </c>
      <c r="C152" s="7" t="str">
        <f t="shared" si="4"/>
        <v>PremiumSS5</v>
      </c>
      <c r="D152" s="7" t="str">
        <f t="shared" si="5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IFERROR(VLOOKUP(B152,input_358101!L:R,7,FALSE),VLOOKUP(tables_358101!C152,input_358101!A:H,8,FALSE))</f>
        <v>234</v>
      </c>
      <c r="P152" s="46">
        <f ca="1">O152/SUM(O:O)</f>
        <v>3.9473684210526316E-5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input_358101!A$2</f>
        <v>358101</v>
      </c>
      <c r="B153" s="6">
        <v>387</v>
      </c>
      <c r="C153" s="7" t="str">
        <f t="shared" si="4"/>
        <v>Premium3</v>
      </c>
      <c r="D153" s="7" t="str">
        <f t="shared" si="5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IFERROR(VLOOKUP(B153,input_358101!L:R,7,FALSE),VLOOKUP(tables_358101!C153,input_358101!A:H,8,FALSE))</f>
        <v>36708</v>
      </c>
      <c r="P153" s="46">
        <f ca="1">O153/SUM(O:O)</f>
        <v>6.1923076923076923E-3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input_358101!A$2</f>
        <v>358101</v>
      </c>
      <c r="B154" s="6">
        <v>388</v>
      </c>
      <c r="C154" s="7" t="str">
        <f t="shared" si="4"/>
        <v>Premium4</v>
      </c>
      <c r="D154" s="7" t="str">
        <f t="shared" si="5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IFERROR(VLOOKUP(B154,input_358101!L:R,7,FALSE),VLOOKUP(tables_358101!C154,input_358101!A:H,8,FALSE))</f>
        <v>33037.199999999997</v>
      </c>
      <c r="P154" s="46">
        <f ca="1">O154/SUM(O:O)</f>
        <v>5.5730769230769228E-3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input_358101!A$2</f>
        <v>358101</v>
      </c>
      <c r="B155" s="6">
        <v>389</v>
      </c>
      <c r="C155" s="7" t="str">
        <f t="shared" si="4"/>
        <v>Premium5</v>
      </c>
      <c r="D155" s="7" t="str">
        <f t="shared" si="5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IFERROR(VLOOKUP(B155,input_358101!L:R,7,FALSE),VLOOKUP(tables_358101!C155,input_358101!A:H,8,FALSE))</f>
        <v>3670.8</v>
      </c>
      <c r="P155" s="46">
        <f ca="1">O155/SUM(O:O)</f>
        <v>6.1923076923076927E-4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input_358101!A$2</f>
        <v>358101</v>
      </c>
      <c r="B156" s="6">
        <v>390</v>
      </c>
      <c r="C156" s="7" t="str">
        <f t="shared" si="4"/>
        <v>PremiumSS4</v>
      </c>
      <c r="D156" s="7" t="str">
        <f t="shared" si="5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IFERROR(VLOOKUP(B156,input_358101!L:R,7,FALSE),VLOOKUP(tables_358101!C156,input_358101!A:H,8,FALSE))</f>
        <v>4446</v>
      </c>
      <c r="P156" s="46">
        <f ca="1">O156/SUM(O:O)</f>
        <v>7.5000000000000002E-4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input_358101!A$2</f>
        <v>358101</v>
      </c>
      <c r="B157" s="6">
        <v>391</v>
      </c>
      <c r="C157" s="7" t="str">
        <f t="shared" si="4"/>
        <v>PremiumSS5</v>
      </c>
      <c r="D157" s="7" t="str">
        <f t="shared" si="5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IFERROR(VLOOKUP(B157,input_358101!L:R,7,FALSE),VLOOKUP(tables_358101!C157,input_358101!A:H,8,FALSE))</f>
        <v>234</v>
      </c>
      <c r="P157" s="46">
        <f ca="1">O157/SUM(O:O)</f>
        <v>3.9473684210526316E-5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input_358101!A$2</f>
        <v>358101</v>
      </c>
      <c r="B158" s="6">
        <v>392</v>
      </c>
      <c r="C158" s="7" t="str">
        <f t="shared" si="4"/>
        <v>Premium3</v>
      </c>
      <c r="D158" s="7" t="str">
        <f t="shared" si="5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IFERROR(VLOOKUP(B158,input_358101!L:R,7,FALSE),VLOOKUP(tables_358101!C158,input_358101!A:H,8,FALSE))</f>
        <v>36708</v>
      </c>
      <c r="P158" s="46">
        <f ca="1">O158/SUM(O:O)</f>
        <v>6.1923076923076923E-3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input_358101!A$2</f>
        <v>358101</v>
      </c>
      <c r="B159" s="6">
        <v>393</v>
      </c>
      <c r="C159" s="7" t="str">
        <f t="shared" si="4"/>
        <v>Premium4</v>
      </c>
      <c r="D159" s="7" t="str">
        <f t="shared" si="5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IFERROR(VLOOKUP(B159,input_358101!L:R,7,FALSE),VLOOKUP(tables_358101!C159,input_358101!A:H,8,FALSE))</f>
        <v>33037.199999999997</v>
      </c>
      <c r="P159" s="46">
        <f ca="1">O159/SUM(O:O)</f>
        <v>5.5730769230769228E-3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input_358101!A$2</f>
        <v>358101</v>
      </c>
      <c r="B160" s="6">
        <v>394</v>
      </c>
      <c r="C160" s="7" t="str">
        <f t="shared" si="4"/>
        <v>Premium5</v>
      </c>
      <c r="D160" s="7" t="str">
        <f t="shared" si="5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IFERROR(VLOOKUP(B160,input_358101!L:R,7,FALSE),VLOOKUP(tables_358101!C160,input_358101!A:H,8,FALSE))</f>
        <v>3670.8</v>
      </c>
      <c r="P160" s="46">
        <f ca="1">O160/SUM(O:O)</f>
        <v>6.1923076923076927E-4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input_358101!A$2</f>
        <v>358101</v>
      </c>
      <c r="B161" s="6">
        <v>395</v>
      </c>
      <c r="C161" s="7" t="str">
        <f t="shared" si="4"/>
        <v>Premium3</v>
      </c>
      <c r="D161" s="7" t="str">
        <f t="shared" si="5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IFERROR(VLOOKUP(B161,input_358101!L:R,7,FALSE),VLOOKUP(tables_358101!C161,input_358101!A:H,8,FALSE))</f>
        <v>36708</v>
      </c>
      <c r="P161" s="46">
        <f ca="1">O161/SUM(O:O)</f>
        <v>6.1923076923076923E-3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input_358101!A$2</f>
        <v>358101</v>
      </c>
      <c r="B162" s="6">
        <v>396</v>
      </c>
      <c r="C162" s="7" t="str">
        <f t="shared" si="4"/>
        <v>Premium4</v>
      </c>
      <c r="D162" s="7" t="str">
        <f t="shared" si="5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IFERROR(VLOOKUP(B162,input_358101!L:R,7,FALSE),VLOOKUP(tables_358101!C162,input_358101!A:H,8,FALSE))</f>
        <v>33037.199999999997</v>
      </c>
      <c r="P162" s="46">
        <f ca="1">O162/SUM(O:O)</f>
        <v>5.5730769230769228E-3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input_358101!A$2</f>
        <v>358101</v>
      </c>
      <c r="B163" s="6">
        <v>397</v>
      </c>
      <c r="C163" s="7" t="str">
        <f t="shared" si="4"/>
        <v>Premium5</v>
      </c>
      <c r="D163" s="7" t="str">
        <f t="shared" si="5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IFERROR(VLOOKUP(B163,input_358101!L:R,7,FALSE),VLOOKUP(tables_358101!C163,input_358101!A:H,8,FALSE))</f>
        <v>3670.8</v>
      </c>
      <c r="P163" s="46">
        <f ca="1">O163/SUM(O:O)</f>
        <v>6.1923076923076927E-4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input_358101!A$2</f>
        <v>358101</v>
      </c>
      <c r="B164" s="6">
        <v>398</v>
      </c>
      <c r="C164" s="7" t="str">
        <f t="shared" si="4"/>
        <v>PremiumSS4</v>
      </c>
      <c r="D164" s="7" t="str">
        <f t="shared" si="5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IFERROR(VLOOKUP(B164,input_358101!L:R,7,FALSE),VLOOKUP(tables_358101!C164,input_358101!A:H,8,FALSE))</f>
        <v>4446</v>
      </c>
      <c r="P164" s="46">
        <f ca="1">O164/SUM(O:O)</f>
        <v>7.5000000000000002E-4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input_358101!A$2</f>
        <v>358101</v>
      </c>
      <c r="B165" s="6">
        <v>399</v>
      </c>
      <c r="C165" s="7" t="str">
        <f t="shared" si="4"/>
        <v>PremiumSS5</v>
      </c>
      <c r="D165" s="7" t="str">
        <f t="shared" si="5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IFERROR(VLOOKUP(B165,input_358101!L:R,7,FALSE),VLOOKUP(tables_358101!C165,input_358101!A:H,8,FALSE))</f>
        <v>234</v>
      </c>
      <c r="P165" s="46">
        <f ca="1">O165/SUM(O:O)</f>
        <v>3.9473684210526316E-5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input_358101!A$2</f>
        <v>358101</v>
      </c>
      <c r="B166" s="6">
        <v>400</v>
      </c>
      <c r="C166" s="7" t="str">
        <f t="shared" si="4"/>
        <v>Premium3</v>
      </c>
      <c r="D166" s="7" t="str">
        <f t="shared" si="5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IFERROR(VLOOKUP(B166,input_358101!L:R,7,FALSE),VLOOKUP(tables_358101!C166,input_358101!A:H,8,FALSE))</f>
        <v>36708</v>
      </c>
      <c r="P166" s="46">
        <f ca="1">O166/SUM(O:O)</f>
        <v>6.1923076923076923E-3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input_358101!A$2</f>
        <v>358101</v>
      </c>
      <c r="B167" s="6">
        <v>401</v>
      </c>
      <c r="C167" s="7" t="str">
        <f t="shared" si="4"/>
        <v>Premium4</v>
      </c>
      <c r="D167" s="7" t="str">
        <f t="shared" si="5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IFERROR(VLOOKUP(B167,input_358101!L:R,7,FALSE),VLOOKUP(tables_358101!C167,input_358101!A:H,8,FALSE))</f>
        <v>33037.199999999997</v>
      </c>
      <c r="P167" s="46">
        <f ca="1">O167/SUM(O:O)</f>
        <v>5.5730769230769228E-3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input_358101!A$2</f>
        <v>358101</v>
      </c>
      <c r="B168" s="6">
        <v>402</v>
      </c>
      <c r="C168" s="7" t="str">
        <f t="shared" si="4"/>
        <v>Premium5</v>
      </c>
      <c r="D168" s="7" t="str">
        <f t="shared" si="5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IFERROR(VLOOKUP(B168,input_358101!L:R,7,FALSE),VLOOKUP(tables_358101!C168,input_358101!A:H,8,FALSE))</f>
        <v>3670.8</v>
      </c>
      <c r="P168" s="46">
        <f ca="1">O168/SUM(O:O)</f>
        <v>6.1923076923076927E-4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input_358101!A$2</f>
        <v>358101</v>
      </c>
      <c r="B169" s="6">
        <v>403</v>
      </c>
      <c r="C169" s="7" t="str">
        <f t="shared" si="4"/>
        <v>PremiumSS4</v>
      </c>
      <c r="D169" s="7" t="str">
        <f t="shared" si="5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IFERROR(VLOOKUP(B169,input_358101!L:R,7,FALSE),VLOOKUP(tables_358101!C169,input_358101!A:H,8,FALSE))</f>
        <v>4446</v>
      </c>
      <c r="P169" s="46">
        <f ca="1">O169/SUM(O:O)</f>
        <v>7.5000000000000002E-4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input_358101!A$2</f>
        <v>358101</v>
      </c>
      <c r="B170" s="6">
        <v>404</v>
      </c>
      <c r="C170" s="7" t="str">
        <f t="shared" si="4"/>
        <v>PremiumSS5</v>
      </c>
      <c r="D170" s="7" t="str">
        <f t="shared" si="5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IFERROR(VLOOKUP(B170,input_358101!L:R,7,FALSE),VLOOKUP(tables_358101!C170,input_358101!A:H,8,FALSE))</f>
        <v>234</v>
      </c>
      <c r="P170" s="46">
        <f ca="1">O170/SUM(O:O)</f>
        <v>3.9473684210526316E-5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input_358101!A$2</f>
        <v>358101</v>
      </c>
      <c r="B171" s="6">
        <v>405</v>
      </c>
      <c r="C171" s="7" t="str">
        <f t="shared" si="4"/>
        <v>Premium3</v>
      </c>
      <c r="D171" s="7" t="str">
        <f t="shared" si="5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IFERROR(VLOOKUP(B171,input_358101!L:R,7,FALSE),VLOOKUP(tables_358101!C171,input_358101!A:H,8,FALSE))</f>
        <v>36708</v>
      </c>
      <c r="P171" s="46">
        <f ca="1">O171/SUM(O:O)</f>
        <v>6.1923076923076923E-3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input_358101!A$2</f>
        <v>358101</v>
      </c>
      <c r="B172" s="6">
        <v>406</v>
      </c>
      <c r="C172" s="7" t="str">
        <f t="shared" si="4"/>
        <v>Premium4</v>
      </c>
      <c r="D172" s="7" t="str">
        <f t="shared" si="5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IFERROR(VLOOKUP(B172,input_358101!L:R,7,FALSE),VLOOKUP(tables_358101!C172,input_358101!A:H,8,FALSE))</f>
        <v>33037.199999999997</v>
      </c>
      <c r="P172" s="46">
        <f ca="1">O172/SUM(O:O)</f>
        <v>5.5730769230769228E-3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input_358101!A$2</f>
        <v>358101</v>
      </c>
      <c r="B173" s="6">
        <v>407</v>
      </c>
      <c r="C173" s="7" t="str">
        <f t="shared" si="4"/>
        <v>Premium5</v>
      </c>
      <c r="D173" s="7" t="str">
        <f t="shared" si="5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IFERROR(VLOOKUP(B173,input_358101!L:R,7,FALSE),VLOOKUP(tables_358101!C173,input_358101!A:H,8,FALSE))</f>
        <v>3670.8</v>
      </c>
      <c r="P173" s="46">
        <f ca="1">O173/SUM(O:O)</f>
        <v>6.1923076923076927E-4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input_358101!A$2</f>
        <v>358101</v>
      </c>
      <c r="B174" s="6">
        <v>408</v>
      </c>
      <c r="C174" s="7" t="str">
        <f t="shared" si="4"/>
        <v>PremiumSS4</v>
      </c>
      <c r="D174" s="7" t="str">
        <f t="shared" si="5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IFERROR(VLOOKUP(B174,input_358101!L:R,7,FALSE),VLOOKUP(tables_358101!C174,input_358101!A:H,8,FALSE))</f>
        <v>4446</v>
      </c>
      <c r="P174" s="46">
        <f ca="1">O174/SUM(O:O)</f>
        <v>7.5000000000000002E-4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input_358101!A$2</f>
        <v>358101</v>
      </c>
      <c r="B175" s="6">
        <v>409</v>
      </c>
      <c r="C175" s="7" t="str">
        <f t="shared" si="4"/>
        <v>PremiumSS5</v>
      </c>
      <c r="D175" s="7" t="str">
        <f t="shared" si="5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IFERROR(VLOOKUP(B175,input_358101!L:R,7,FALSE),VLOOKUP(tables_358101!C175,input_358101!A:H,8,FALSE))</f>
        <v>234</v>
      </c>
      <c r="P175" s="46">
        <f ca="1">O175/SUM(O:O)</f>
        <v>3.9473684210526316E-5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input_358101!A$2</f>
        <v>358101</v>
      </c>
      <c r="B176" s="6">
        <v>434</v>
      </c>
      <c r="C176" s="7" t="str">
        <f t="shared" si="4"/>
        <v>PremiumSS4</v>
      </c>
      <c r="D176" s="7" t="str">
        <f t="shared" si="5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IFERROR(VLOOKUP(B176,input_358101!L:R,7,FALSE),VLOOKUP(tables_358101!C176,input_358101!A:H,8,FALSE))</f>
        <v>4446</v>
      </c>
      <c r="P176" s="46">
        <f ca="1">O176/SUM(O:O)</f>
        <v>7.5000000000000002E-4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input_358101!A$2</f>
        <v>358101</v>
      </c>
      <c r="B177" s="6">
        <v>435</v>
      </c>
      <c r="C177" s="7" t="str">
        <f t="shared" si="4"/>
        <v>PremiumSS5</v>
      </c>
      <c r="D177" s="7" t="str">
        <f t="shared" si="5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IFERROR(VLOOKUP(B177,input_358101!L:R,7,FALSE),VLOOKUP(tables_358101!C177,input_358101!A:H,8,FALSE))</f>
        <v>234</v>
      </c>
      <c r="P177" s="46">
        <f ca="1">O177/SUM(O:O)</f>
        <v>3.9473684210526316E-5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input_358101!A$2</f>
        <v>358101</v>
      </c>
      <c r="B178" s="6">
        <v>436</v>
      </c>
      <c r="C178" s="7" t="str">
        <f t="shared" si="4"/>
        <v>Premium3</v>
      </c>
      <c r="D178" s="7" t="str">
        <f t="shared" si="5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IFERROR(VLOOKUP(B178,input_358101!L:R,7,FALSE),VLOOKUP(tables_358101!C178,input_358101!A:H,8,FALSE))</f>
        <v>36708</v>
      </c>
      <c r="P178" s="46">
        <f ca="1">O178/SUM(O:O)</f>
        <v>6.1923076923076923E-3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input_358101!A$2</f>
        <v>358101</v>
      </c>
      <c r="B179" s="6">
        <v>437</v>
      </c>
      <c r="C179" s="7" t="str">
        <f t="shared" si="4"/>
        <v>Premium4</v>
      </c>
      <c r="D179" s="7" t="str">
        <f t="shared" si="5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IFERROR(VLOOKUP(B179,input_358101!L:R,7,FALSE),VLOOKUP(tables_358101!C179,input_358101!A:H,8,FALSE))</f>
        <v>33037.199999999997</v>
      </c>
      <c r="P179" s="46">
        <f ca="1">O179/SUM(O:O)</f>
        <v>5.5730769230769228E-3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input_358101!A$2</f>
        <v>358101</v>
      </c>
      <c r="B180" s="6">
        <v>438</v>
      </c>
      <c r="C180" s="7" t="str">
        <f t="shared" si="4"/>
        <v>Premium5</v>
      </c>
      <c r="D180" s="7" t="str">
        <f t="shared" si="5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IFERROR(VLOOKUP(B180,input_358101!L:R,7,FALSE),VLOOKUP(tables_358101!C180,input_358101!A:H,8,FALSE))</f>
        <v>3670.8</v>
      </c>
      <c r="P180" s="46">
        <f ca="1">O180/SUM(O:O)</f>
        <v>6.1923076923076927E-4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input_358101!A$2</f>
        <v>358101</v>
      </c>
      <c r="B181" s="6">
        <v>439</v>
      </c>
      <c r="C181" s="7" t="str">
        <f t="shared" si="4"/>
        <v>Premium3</v>
      </c>
      <c r="D181" s="7" t="str">
        <f t="shared" si="5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IFERROR(VLOOKUP(B181,input_358101!L:R,7,FALSE),VLOOKUP(tables_358101!C181,input_358101!A:H,8,FALSE))</f>
        <v>36708</v>
      </c>
      <c r="P181" s="46">
        <f ca="1">O181/SUM(O:O)</f>
        <v>6.1923076923076923E-3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input_358101!A$2</f>
        <v>358101</v>
      </c>
      <c r="B182" s="6">
        <v>440</v>
      </c>
      <c r="C182" s="7" t="str">
        <f t="shared" si="4"/>
        <v>Premium4</v>
      </c>
      <c r="D182" s="7" t="str">
        <f t="shared" si="5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IFERROR(VLOOKUP(B182,input_358101!L:R,7,FALSE),VLOOKUP(tables_358101!C182,input_358101!A:H,8,FALSE))</f>
        <v>33037.199999999997</v>
      </c>
      <c r="P182" s="46">
        <f ca="1">O182/SUM(O:O)</f>
        <v>5.5730769230769228E-3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input_358101!A$2</f>
        <v>358101</v>
      </c>
      <c r="B183" s="6">
        <v>441</v>
      </c>
      <c r="C183" s="7" t="str">
        <f t="shared" si="4"/>
        <v>Premium5</v>
      </c>
      <c r="D183" s="7" t="str">
        <f t="shared" si="5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IFERROR(VLOOKUP(B183,input_358101!L:R,7,FALSE),VLOOKUP(tables_358101!C183,input_358101!A:H,8,FALSE))</f>
        <v>3670.8</v>
      </c>
      <c r="P183" s="46">
        <f ca="1">O183/SUM(O:O)</f>
        <v>6.1923076923076927E-4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input_358101!A$2</f>
        <v>358101</v>
      </c>
      <c r="B184" s="6">
        <v>442</v>
      </c>
      <c r="C184" s="7" t="str">
        <f t="shared" si="4"/>
        <v>PremiumSS4</v>
      </c>
      <c r="D184" s="7" t="str">
        <f t="shared" si="5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IFERROR(VLOOKUP(B184,input_358101!L:R,7,FALSE),VLOOKUP(tables_358101!C184,input_358101!A:H,8,FALSE))</f>
        <v>4446</v>
      </c>
      <c r="P184" s="46">
        <f ca="1">O184/SUM(O:O)</f>
        <v>7.5000000000000002E-4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input_358101!A$2</f>
        <v>358101</v>
      </c>
      <c r="B185" s="6">
        <v>443</v>
      </c>
      <c r="C185" s="7" t="str">
        <f t="shared" si="4"/>
        <v>PremiumSS5</v>
      </c>
      <c r="D185" s="7" t="str">
        <f t="shared" si="5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IFERROR(VLOOKUP(B185,input_358101!L:R,7,FALSE),VLOOKUP(tables_358101!C185,input_358101!A:H,8,FALSE))</f>
        <v>234</v>
      </c>
      <c r="P185" s="46">
        <f ca="1">O185/SUM(O:O)</f>
        <v>3.9473684210526316E-5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input_358101!A$2</f>
        <v>358101</v>
      </c>
      <c r="B186" s="8">
        <v>462</v>
      </c>
      <c r="C186" s="7" t="str">
        <f t="shared" si="4"/>
        <v>Premium3</v>
      </c>
      <c r="D186" s="7" t="str">
        <f t="shared" si="5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IFERROR(VLOOKUP(B186,input_358101!L:R,7,FALSE),VLOOKUP(tables_358101!C186,input_358101!A:H,8,FALSE))</f>
        <v>36708</v>
      </c>
      <c r="P186" s="46">
        <f ca="1">O186/SUM(O:O)</f>
        <v>6.1923076923076923E-3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input_358101!A$2</f>
        <v>358101</v>
      </c>
      <c r="B187" s="8">
        <v>463</v>
      </c>
      <c r="C187" s="7" t="str">
        <f t="shared" si="4"/>
        <v>Premium4</v>
      </c>
      <c r="D187" s="7" t="str">
        <f t="shared" si="5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IFERROR(VLOOKUP(B187,input_358101!L:R,7,FALSE),VLOOKUP(tables_358101!C187,input_358101!A:H,8,FALSE))</f>
        <v>33037.199999999997</v>
      </c>
      <c r="P187" s="46">
        <f ca="1">O187/SUM(O:O)</f>
        <v>5.5730769230769228E-3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input_358101!A$2</f>
        <v>358101</v>
      </c>
      <c r="B188" s="8">
        <v>464</v>
      </c>
      <c r="C188" s="7" t="str">
        <f t="shared" si="4"/>
        <v>Premium5</v>
      </c>
      <c r="D188" s="7" t="str">
        <f t="shared" si="5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IFERROR(VLOOKUP(B188,input_358101!L:R,7,FALSE),VLOOKUP(tables_358101!C188,input_358101!A:H,8,FALSE))</f>
        <v>3670.8</v>
      </c>
      <c r="P188" s="46">
        <f ca="1">O188/SUM(O:O)</f>
        <v>6.1923076923076927E-4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input_358101!A$2</f>
        <v>358101</v>
      </c>
      <c r="B189" s="8">
        <v>465</v>
      </c>
      <c r="C189" s="7" t="str">
        <f t="shared" si="4"/>
        <v>PremiumSS4</v>
      </c>
      <c r="D189" s="7" t="str">
        <f t="shared" si="5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IFERROR(VLOOKUP(B189,input_358101!L:R,7,FALSE),VLOOKUP(tables_358101!C189,input_358101!A:H,8,FALSE))</f>
        <v>4446</v>
      </c>
      <c r="P189" s="46">
        <f ca="1">O189/SUM(O:O)</f>
        <v>7.5000000000000002E-4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input_358101!A$2</f>
        <v>358101</v>
      </c>
      <c r="B190" s="6">
        <v>466</v>
      </c>
      <c r="C190" s="7" t="str">
        <f t="shared" si="4"/>
        <v>PremiumSS5</v>
      </c>
      <c r="D190" s="7" t="str">
        <f t="shared" si="5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IFERROR(VLOOKUP(B190,input_358101!L:R,7,FALSE),VLOOKUP(tables_358101!C190,input_358101!A:H,8,FALSE))</f>
        <v>234</v>
      </c>
      <c r="P190" s="46">
        <f ca="1">O190/SUM(O:O)</f>
        <v>3.9473684210526316E-5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input_358101!A$2</f>
        <v>358101</v>
      </c>
      <c r="B191" s="6">
        <v>467</v>
      </c>
      <c r="C191" s="7" t="str">
        <f t="shared" si="4"/>
        <v>PremiumSS4</v>
      </c>
      <c r="D191" s="7" t="str">
        <f t="shared" si="5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IFERROR(VLOOKUP(B191,input_358101!L:R,7,FALSE),VLOOKUP(tables_358101!C191,input_358101!A:H,8,FALSE))</f>
        <v>4446</v>
      </c>
      <c r="P191" s="46">
        <f ca="1">O191/SUM(O:O)</f>
        <v>7.5000000000000002E-4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input_358101!A$2</f>
        <v>358101</v>
      </c>
      <c r="B192" s="6">
        <v>468</v>
      </c>
      <c r="C192" s="7" t="str">
        <f t="shared" si="4"/>
        <v>PremiumSS5</v>
      </c>
      <c r="D192" s="7" t="str">
        <f t="shared" si="5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IFERROR(VLOOKUP(B192,input_358101!L:R,7,FALSE),VLOOKUP(tables_358101!C192,input_358101!A:H,8,FALSE))</f>
        <v>234</v>
      </c>
      <c r="P192" s="46">
        <f ca="1">O192/SUM(O:O)</f>
        <v>3.9473684210526316E-5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input_358101!A$2</f>
        <v>358101</v>
      </c>
      <c r="B193" s="6">
        <v>469</v>
      </c>
      <c r="C193" s="7" t="str">
        <f t="shared" si="4"/>
        <v>Premium3</v>
      </c>
      <c r="D193" s="7" t="str">
        <f t="shared" si="5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IFERROR(VLOOKUP(B193,input_358101!L:R,7,FALSE),VLOOKUP(tables_358101!C193,input_358101!A:H,8,FALSE))</f>
        <v>36708</v>
      </c>
      <c r="P193" s="46">
        <f ca="1">O193/SUM(O:O)</f>
        <v>6.1923076923076923E-3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input_358101!A$2</f>
        <v>358101</v>
      </c>
      <c r="B194" s="6">
        <v>470</v>
      </c>
      <c r="C194" s="7" t="str">
        <f t="shared" ref="C194:C257" si="6">D194&amp;J194&amp;E194&amp;F194&amp;G194</f>
        <v>Premium4</v>
      </c>
      <c r="D194" s="7" t="str">
        <f t="shared" ref="D194:D257" si="7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IFERROR(VLOOKUP(B194,input_358101!L:R,7,FALSE),VLOOKUP(tables_358101!C194,input_358101!A:H,8,FALSE))</f>
        <v>33037.199999999997</v>
      </c>
      <c r="P194" s="46">
        <f ca="1">O194/SUM(O:O)</f>
        <v>5.5730769230769228E-3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input_358101!A$2</f>
        <v>358101</v>
      </c>
      <c r="B195" s="6">
        <v>471</v>
      </c>
      <c r="C195" s="7" t="str">
        <f t="shared" si="6"/>
        <v>Premium5</v>
      </c>
      <c r="D195" s="7" t="str">
        <f t="shared" si="7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IFERROR(VLOOKUP(B195,input_358101!L:R,7,FALSE),VLOOKUP(tables_358101!C195,input_358101!A:H,8,FALSE))</f>
        <v>3670.8</v>
      </c>
      <c r="P195" s="46">
        <f ca="1">O195/SUM(O:O)</f>
        <v>6.1923076923076927E-4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input_358101!A$2</f>
        <v>358101</v>
      </c>
      <c r="B196" s="6">
        <v>474</v>
      </c>
      <c r="C196" s="7" t="str">
        <f t="shared" si="6"/>
        <v>PremiumSS4</v>
      </c>
      <c r="D196" s="7" t="str">
        <f t="shared" si="7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IFERROR(VLOOKUP(B196,input_358101!L:R,7,FALSE),VLOOKUP(tables_358101!C196,input_358101!A:H,8,FALSE))</f>
        <v>4446</v>
      </c>
      <c r="P196" s="46">
        <f ca="1">O196/SUM(O:O)</f>
        <v>7.5000000000000002E-4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input_358101!A$2</f>
        <v>358101</v>
      </c>
      <c r="B197" s="6">
        <v>475</v>
      </c>
      <c r="C197" s="7" t="str">
        <f t="shared" si="6"/>
        <v>PremiumSS5</v>
      </c>
      <c r="D197" s="7" t="str">
        <f t="shared" si="7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IFERROR(VLOOKUP(B197,input_358101!L:R,7,FALSE),VLOOKUP(tables_358101!C197,input_358101!A:H,8,FALSE))</f>
        <v>234</v>
      </c>
      <c r="P197" s="46">
        <f ca="1">O197/SUM(O:O)</f>
        <v>3.9473684210526316E-5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input_358101!A$2</f>
        <v>358101</v>
      </c>
      <c r="B198" s="6">
        <v>476</v>
      </c>
      <c r="C198" s="7" t="str">
        <f t="shared" si="6"/>
        <v>Premium3</v>
      </c>
      <c r="D198" s="7" t="str">
        <f t="shared" si="7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IFERROR(VLOOKUP(B198,input_358101!L:R,7,FALSE),VLOOKUP(tables_358101!C198,input_358101!A:H,8,FALSE))</f>
        <v>36708</v>
      </c>
      <c r="P198" s="46">
        <f ca="1">O198/SUM(O:O)</f>
        <v>6.1923076923076923E-3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input_358101!A$2</f>
        <v>358101</v>
      </c>
      <c r="B199" s="6">
        <v>477</v>
      </c>
      <c r="C199" s="7" t="str">
        <f t="shared" si="6"/>
        <v>Premium4</v>
      </c>
      <c r="D199" s="7" t="str">
        <f t="shared" si="7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IFERROR(VLOOKUP(B199,input_358101!L:R,7,FALSE),VLOOKUP(tables_358101!C199,input_358101!A:H,8,FALSE))</f>
        <v>33037.199999999997</v>
      </c>
      <c r="P199" s="46">
        <f ca="1">O199/SUM(O:O)</f>
        <v>5.5730769230769228E-3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input_358101!A$2</f>
        <v>358101</v>
      </c>
      <c r="B200" s="6">
        <v>478</v>
      </c>
      <c r="C200" s="7" t="str">
        <f t="shared" si="6"/>
        <v>Premium5</v>
      </c>
      <c r="D200" s="7" t="str">
        <f t="shared" si="7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IFERROR(VLOOKUP(B200,input_358101!L:R,7,FALSE),VLOOKUP(tables_358101!C200,input_358101!A:H,8,FALSE))</f>
        <v>3670.8</v>
      </c>
      <c r="P200" s="46">
        <f ca="1">O200/SUM(O:O)</f>
        <v>6.1923076923076927E-4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input_358101!A$2</f>
        <v>358101</v>
      </c>
      <c r="B201" s="6">
        <v>479</v>
      </c>
      <c r="C201" s="7" t="str">
        <f t="shared" si="6"/>
        <v>PremiumSS4</v>
      </c>
      <c r="D201" s="7" t="str">
        <f t="shared" si="7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IFERROR(VLOOKUP(B201,input_358101!L:R,7,FALSE),VLOOKUP(tables_358101!C201,input_358101!A:H,8,FALSE))</f>
        <v>4446</v>
      </c>
      <c r="P201" s="46">
        <f ca="1">O201/SUM(O:O)</f>
        <v>7.5000000000000002E-4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input_358101!A$2</f>
        <v>358101</v>
      </c>
      <c r="B202" s="6">
        <v>480</v>
      </c>
      <c r="C202" s="7" t="str">
        <f t="shared" si="6"/>
        <v>PremiumSS5</v>
      </c>
      <c r="D202" s="7" t="str">
        <f t="shared" si="7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IFERROR(VLOOKUP(B202,input_358101!L:R,7,FALSE),VLOOKUP(tables_358101!C202,input_358101!A:H,8,FALSE))</f>
        <v>234</v>
      </c>
      <c r="P202" s="46">
        <f ca="1">O202/SUM(O:O)</f>
        <v>3.9473684210526316E-5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input_358101!A$2</f>
        <v>358101</v>
      </c>
      <c r="B203" s="6">
        <v>481</v>
      </c>
      <c r="C203" s="7" t="str">
        <f t="shared" si="6"/>
        <v>Premium3</v>
      </c>
      <c r="D203" s="7" t="str">
        <f t="shared" si="7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IFERROR(VLOOKUP(B203,input_358101!L:R,7,FALSE),VLOOKUP(tables_358101!C203,input_358101!A:H,8,FALSE))</f>
        <v>36708</v>
      </c>
      <c r="P203" s="46">
        <f ca="1">O203/SUM(O:O)</f>
        <v>6.1923076923076923E-3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input_358101!A$2</f>
        <v>358101</v>
      </c>
      <c r="B204" s="6">
        <v>482</v>
      </c>
      <c r="C204" s="7" t="str">
        <f t="shared" si="6"/>
        <v>Premium4</v>
      </c>
      <c r="D204" s="7" t="str">
        <f t="shared" si="7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IFERROR(VLOOKUP(B204,input_358101!L:R,7,FALSE),VLOOKUP(tables_358101!C204,input_358101!A:H,8,FALSE))</f>
        <v>33037.199999999997</v>
      </c>
      <c r="P204" s="46">
        <f ca="1">O204/SUM(O:O)</f>
        <v>5.5730769230769228E-3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input_358101!A$2</f>
        <v>358101</v>
      </c>
      <c r="B205" s="6">
        <v>483</v>
      </c>
      <c r="C205" s="7" t="str">
        <f t="shared" si="6"/>
        <v>Premium5</v>
      </c>
      <c r="D205" s="7" t="str">
        <f t="shared" si="7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IFERROR(VLOOKUP(B205,input_358101!L:R,7,FALSE),VLOOKUP(tables_358101!C205,input_358101!A:H,8,FALSE))</f>
        <v>3670.8</v>
      </c>
      <c r="P205" s="46">
        <f ca="1">O205/SUM(O:O)</f>
        <v>6.1923076923076927E-4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input_358101!A$2</f>
        <v>358101</v>
      </c>
      <c r="B206" s="6">
        <v>492</v>
      </c>
      <c r="C206" s="7" t="str">
        <f t="shared" si="6"/>
        <v>PremiumSS4</v>
      </c>
      <c r="D206" s="7" t="str">
        <f t="shared" si="7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IFERROR(VLOOKUP(B206,input_358101!L:R,7,FALSE),VLOOKUP(tables_358101!C206,input_358101!A:H,8,FALSE))</f>
        <v>4446</v>
      </c>
      <c r="P206" s="46">
        <f ca="1">O206/SUM(O:O)</f>
        <v>7.5000000000000002E-4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input_358101!A$2</f>
        <v>358101</v>
      </c>
      <c r="B207" s="6">
        <v>493</v>
      </c>
      <c r="C207" s="7" t="str">
        <f t="shared" si="6"/>
        <v>PremiumSS5</v>
      </c>
      <c r="D207" s="7" t="str">
        <f t="shared" si="7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IFERROR(VLOOKUP(B207,input_358101!L:R,7,FALSE),VLOOKUP(tables_358101!C207,input_358101!A:H,8,FALSE))</f>
        <v>234</v>
      </c>
      <c r="P207" s="46">
        <f ca="1">O207/SUM(O:O)</f>
        <v>3.9473684210526316E-5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input_358101!A$2</f>
        <v>358101</v>
      </c>
      <c r="B208" s="6">
        <v>494</v>
      </c>
      <c r="C208" s="7" t="str">
        <f t="shared" si="6"/>
        <v>PremiumSS4</v>
      </c>
      <c r="D208" s="7" t="str">
        <f t="shared" si="7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IFERROR(VLOOKUP(B208,input_358101!L:R,7,FALSE),VLOOKUP(tables_358101!C208,input_358101!A:H,8,FALSE))</f>
        <v>4446</v>
      </c>
      <c r="P208" s="46">
        <f ca="1">O208/SUM(O:O)</f>
        <v>7.5000000000000002E-4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input_358101!A$2</f>
        <v>358101</v>
      </c>
      <c r="B209" s="6">
        <v>495</v>
      </c>
      <c r="C209" s="7" t="str">
        <f t="shared" si="6"/>
        <v>PremiumSS5</v>
      </c>
      <c r="D209" s="7" t="str">
        <f t="shared" si="7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IFERROR(VLOOKUP(B209,input_358101!L:R,7,FALSE),VLOOKUP(tables_358101!C209,input_358101!A:H,8,FALSE))</f>
        <v>234</v>
      </c>
      <c r="P209" s="46">
        <f ca="1">O209/SUM(O:O)</f>
        <v>3.9473684210526316E-5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input_358101!A$2</f>
        <v>358101</v>
      </c>
      <c r="B210" s="6">
        <v>496</v>
      </c>
      <c r="C210" s="7" t="str">
        <f t="shared" si="6"/>
        <v>Premium3</v>
      </c>
      <c r="D210" s="7" t="str">
        <f t="shared" si="7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IFERROR(VLOOKUP(B210,input_358101!L:R,7,FALSE),VLOOKUP(tables_358101!C210,input_358101!A:H,8,FALSE))</f>
        <v>36708</v>
      </c>
      <c r="P210" s="46">
        <f ca="1">O210/SUM(O:O)</f>
        <v>6.1923076923076923E-3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input_358101!A$2</f>
        <v>358101</v>
      </c>
      <c r="B211" s="6">
        <v>497</v>
      </c>
      <c r="C211" s="7" t="str">
        <f t="shared" si="6"/>
        <v>Premium4</v>
      </c>
      <c r="D211" s="7" t="str">
        <f t="shared" si="7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IFERROR(VLOOKUP(B211,input_358101!L:R,7,FALSE),VLOOKUP(tables_358101!C211,input_358101!A:H,8,FALSE))</f>
        <v>33037.199999999997</v>
      </c>
      <c r="P211" s="46">
        <f ca="1">O211/SUM(O:O)</f>
        <v>5.5730769230769228E-3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input_358101!A$2</f>
        <v>358101</v>
      </c>
      <c r="B212" s="6">
        <v>498</v>
      </c>
      <c r="C212" s="7" t="str">
        <f t="shared" si="6"/>
        <v>Premium5</v>
      </c>
      <c r="D212" s="7" t="str">
        <f t="shared" si="7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IFERROR(VLOOKUP(B212,input_358101!L:R,7,FALSE),VLOOKUP(tables_358101!C212,input_358101!A:H,8,FALSE))</f>
        <v>3670.8</v>
      </c>
      <c r="P212" s="46">
        <f ca="1">O212/SUM(O:O)</f>
        <v>6.1923076923076927E-4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input_358101!A$2</f>
        <v>358101</v>
      </c>
      <c r="B213" s="6">
        <v>499</v>
      </c>
      <c r="C213" s="7" t="str">
        <f t="shared" si="6"/>
        <v>PremiumSS4</v>
      </c>
      <c r="D213" s="7" t="str">
        <f t="shared" si="7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IFERROR(VLOOKUP(B213,input_358101!L:R,7,FALSE),VLOOKUP(tables_358101!C213,input_358101!A:H,8,FALSE))</f>
        <v>4446</v>
      </c>
      <c r="P213" s="46">
        <f ca="1">O213/SUM(O:O)</f>
        <v>7.5000000000000002E-4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input_358101!A$2</f>
        <v>358101</v>
      </c>
      <c r="B214" s="6">
        <v>500</v>
      </c>
      <c r="C214" s="7" t="str">
        <f t="shared" si="6"/>
        <v>PremiumSS5</v>
      </c>
      <c r="D214" s="7" t="str">
        <f t="shared" si="7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IFERROR(VLOOKUP(B214,input_358101!L:R,7,FALSE),VLOOKUP(tables_358101!C214,input_358101!A:H,8,FALSE))</f>
        <v>234</v>
      </c>
      <c r="P214" s="46">
        <f ca="1">O214/SUM(O:O)</f>
        <v>3.9473684210526316E-5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input_358101!A$2</f>
        <v>358101</v>
      </c>
      <c r="B215" s="6">
        <v>586</v>
      </c>
      <c r="C215" s="7" t="str">
        <f t="shared" si="6"/>
        <v>PremiumSS4</v>
      </c>
      <c r="D215" s="7" t="str">
        <f t="shared" si="7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IFERROR(VLOOKUP(B215,input_358101!L:R,7,FALSE),VLOOKUP(tables_358101!C215,input_358101!A:H,8,FALSE))</f>
        <v>4446</v>
      </c>
      <c r="P215" s="46">
        <f ca="1">O215/SUM(O:O)</f>
        <v>7.5000000000000002E-4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input_358101!A$2</f>
        <v>358101</v>
      </c>
      <c r="B216" s="6">
        <v>587</v>
      </c>
      <c r="C216" s="7" t="str">
        <f t="shared" si="6"/>
        <v>PremiumSS5</v>
      </c>
      <c r="D216" s="7" t="str">
        <f t="shared" si="7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IFERROR(VLOOKUP(B216,input_358101!L:R,7,FALSE),VLOOKUP(tables_358101!C216,input_358101!A:H,8,FALSE))</f>
        <v>234</v>
      </c>
      <c r="P216" s="46">
        <f ca="1">O216/SUM(O:O)</f>
        <v>3.9473684210526316E-5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input_358101!A$2</f>
        <v>358101</v>
      </c>
      <c r="B217" s="6">
        <v>588</v>
      </c>
      <c r="C217" s="7" t="str">
        <f t="shared" si="6"/>
        <v>Premium3</v>
      </c>
      <c r="D217" s="7" t="str">
        <f t="shared" si="7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IFERROR(VLOOKUP(B217,input_358101!L:R,7,FALSE),VLOOKUP(tables_358101!C217,input_358101!A:H,8,FALSE))</f>
        <v>36708</v>
      </c>
      <c r="P217" s="46">
        <f ca="1">O217/SUM(O:O)</f>
        <v>6.1923076923076923E-3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input_358101!A$2</f>
        <v>358101</v>
      </c>
      <c r="B218" s="6">
        <v>589</v>
      </c>
      <c r="C218" s="7" t="str">
        <f t="shared" si="6"/>
        <v>Premium4</v>
      </c>
      <c r="D218" s="7" t="str">
        <f t="shared" si="7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IFERROR(VLOOKUP(B218,input_358101!L:R,7,FALSE),VLOOKUP(tables_358101!C218,input_358101!A:H,8,FALSE))</f>
        <v>33037.199999999997</v>
      </c>
      <c r="P218" s="46">
        <f ca="1">O218/SUM(O:O)</f>
        <v>5.5730769230769228E-3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input_358101!A$2</f>
        <v>358101</v>
      </c>
      <c r="B219" s="6">
        <v>590</v>
      </c>
      <c r="C219" s="7" t="str">
        <f t="shared" si="6"/>
        <v>Premium5</v>
      </c>
      <c r="D219" s="7" t="str">
        <f t="shared" si="7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IFERROR(VLOOKUP(B219,input_358101!L:R,7,FALSE),VLOOKUP(tables_358101!C219,input_358101!A:H,8,FALSE))</f>
        <v>3670.8</v>
      </c>
      <c r="P219" s="46">
        <f ca="1">O219/SUM(O:O)</f>
        <v>6.1923076923076927E-4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input_358101!A$2</f>
        <v>358101</v>
      </c>
      <c r="B220" s="6">
        <v>591</v>
      </c>
      <c r="C220" s="7" t="str">
        <f t="shared" si="6"/>
        <v>Premium3</v>
      </c>
      <c r="D220" s="7" t="str">
        <f t="shared" si="7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IFERROR(VLOOKUP(B220,input_358101!L:R,7,FALSE),VLOOKUP(tables_358101!C220,input_358101!A:H,8,FALSE))</f>
        <v>36708</v>
      </c>
      <c r="P220" s="46">
        <f ca="1">O220/SUM(O:O)</f>
        <v>6.1923076923076923E-3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input_358101!A$2</f>
        <v>358101</v>
      </c>
      <c r="B221" s="6">
        <v>592</v>
      </c>
      <c r="C221" s="7" t="str">
        <f t="shared" si="6"/>
        <v>Premium4</v>
      </c>
      <c r="D221" s="7" t="str">
        <f t="shared" si="7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IFERROR(VLOOKUP(B221,input_358101!L:R,7,FALSE),VLOOKUP(tables_358101!C221,input_358101!A:H,8,FALSE))</f>
        <v>33037.199999999997</v>
      </c>
      <c r="P221" s="46">
        <f ca="1">O221/SUM(O:O)</f>
        <v>5.5730769230769228E-3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input_358101!A$2</f>
        <v>358101</v>
      </c>
      <c r="B222" s="6">
        <v>593</v>
      </c>
      <c r="C222" s="7" t="str">
        <f t="shared" si="6"/>
        <v>Premium5</v>
      </c>
      <c r="D222" s="7" t="str">
        <f t="shared" si="7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IFERROR(VLOOKUP(B222,input_358101!L:R,7,FALSE),VLOOKUP(tables_358101!C222,input_358101!A:H,8,FALSE))</f>
        <v>3670.8</v>
      </c>
      <c r="P222" s="46">
        <f ca="1">O222/SUM(O:O)</f>
        <v>6.1923076923076927E-4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input_358101!A$2</f>
        <v>358101</v>
      </c>
      <c r="B223" s="6">
        <v>594</v>
      </c>
      <c r="C223" s="7" t="str">
        <f t="shared" si="6"/>
        <v>PremiumSS4</v>
      </c>
      <c r="D223" s="7" t="str">
        <f t="shared" si="7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IFERROR(VLOOKUP(B223,input_358101!L:R,7,FALSE),VLOOKUP(tables_358101!C223,input_358101!A:H,8,FALSE))</f>
        <v>4446</v>
      </c>
      <c r="P223" s="46">
        <f ca="1">O223/SUM(O:O)</f>
        <v>7.5000000000000002E-4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input_358101!A$2</f>
        <v>358101</v>
      </c>
      <c r="B224" s="6">
        <v>595</v>
      </c>
      <c r="C224" s="7" t="str">
        <f t="shared" si="6"/>
        <v>PremiumSS5</v>
      </c>
      <c r="D224" s="7" t="str">
        <f t="shared" si="7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IFERROR(VLOOKUP(B224,input_358101!L:R,7,FALSE),VLOOKUP(tables_358101!C224,input_358101!A:H,8,FALSE))</f>
        <v>234</v>
      </c>
      <c r="P224" s="46">
        <f ca="1">O224/SUM(O:O)</f>
        <v>3.9473684210526316E-5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input_358101!A$2</f>
        <v>358101</v>
      </c>
      <c r="B225" s="6">
        <v>596</v>
      </c>
      <c r="C225" s="7" t="str">
        <f t="shared" si="6"/>
        <v>Premium3</v>
      </c>
      <c r="D225" s="7" t="str">
        <f t="shared" si="7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IFERROR(VLOOKUP(B225,input_358101!L:R,7,FALSE),VLOOKUP(tables_358101!C225,input_358101!A:H,8,FALSE))</f>
        <v>36708</v>
      </c>
      <c r="P225" s="46">
        <f ca="1">O225/SUM(O:O)</f>
        <v>6.1923076923076923E-3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input_358101!A$2</f>
        <v>358101</v>
      </c>
      <c r="B226" s="6">
        <v>597</v>
      </c>
      <c r="C226" s="7" t="str">
        <f t="shared" si="6"/>
        <v>Premium4</v>
      </c>
      <c r="D226" s="7" t="str">
        <f t="shared" si="7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IFERROR(VLOOKUP(B226,input_358101!L:R,7,FALSE),VLOOKUP(tables_358101!C226,input_358101!A:H,8,FALSE))</f>
        <v>33037.199999999997</v>
      </c>
      <c r="P226" s="46">
        <f ca="1">O226/SUM(O:O)</f>
        <v>5.5730769230769228E-3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input_358101!A$2</f>
        <v>358101</v>
      </c>
      <c r="B227" s="6">
        <v>598</v>
      </c>
      <c r="C227" s="7" t="str">
        <f t="shared" si="6"/>
        <v>Premium5</v>
      </c>
      <c r="D227" s="7" t="str">
        <f t="shared" si="7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IFERROR(VLOOKUP(B227,input_358101!L:R,7,FALSE),VLOOKUP(tables_358101!C227,input_358101!A:H,8,FALSE))</f>
        <v>3670.8</v>
      </c>
      <c r="P227" s="46">
        <f ca="1">O227/SUM(O:O)</f>
        <v>6.1923076923076927E-4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input_358101!A$2</f>
        <v>358101</v>
      </c>
      <c r="B228" s="6">
        <v>599</v>
      </c>
      <c r="C228" s="7" t="str">
        <f t="shared" si="6"/>
        <v>Premium3</v>
      </c>
      <c r="D228" s="7" t="str">
        <f t="shared" si="7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IFERROR(VLOOKUP(B228,input_358101!L:R,7,FALSE),VLOOKUP(tables_358101!C228,input_358101!A:H,8,FALSE))</f>
        <v>36708</v>
      </c>
      <c r="P228" s="46">
        <f ca="1">O228/SUM(O:O)</f>
        <v>6.1923076923076923E-3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input_358101!A$2</f>
        <v>358101</v>
      </c>
      <c r="B229" s="6">
        <v>600</v>
      </c>
      <c r="C229" s="7" t="str">
        <f t="shared" si="6"/>
        <v>Premium4</v>
      </c>
      <c r="D229" s="7" t="str">
        <f t="shared" si="7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IFERROR(VLOOKUP(B229,input_358101!L:R,7,FALSE),VLOOKUP(tables_358101!C229,input_358101!A:H,8,FALSE))</f>
        <v>33037.199999999997</v>
      </c>
      <c r="P229" s="46">
        <f ca="1">O229/SUM(O:O)</f>
        <v>5.5730769230769228E-3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input_358101!A$2</f>
        <v>358101</v>
      </c>
      <c r="B230" s="6">
        <v>601</v>
      </c>
      <c r="C230" s="7" t="str">
        <f t="shared" si="6"/>
        <v>Premium5</v>
      </c>
      <c r="D230" s="7" t="str">
        <f t="shared" si="7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IFERROR(VLOOKUP(B230,input_358101!L:R,7,FALSE),VLOOKUP(tables_358101!C230,input_358101!A:H,8,FALSE))</f>
        <v>3670.8</v>
      </c>
      <c r="P230" s="46">
        <f ca="1">O230/SUM(O:O)</f>
        <v>6.1923076923076927E-4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input_358101!A$2</f>
        <v>358101</v>
      </c>
      <c r="B231" s="6">
        <v>602</v>
      </c>
      <c r="C231" s="7" t="str">
        <f t="shared" si="6"/>
        <v>PremiumSS4</v>
      </c>
      <c r="D231" s="7" t="str">
        <f t="shared" si="7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IFERROR(VLOOKUP(B231,input_358101!L:R,7,FALSE),VLOOKUP(tables_358101!C231,input_358101!A:H,8,FALSE))</f>
        <v>4446</v>
      </c>
      <c r="P231" s="46">
        <f ca="1">O231/SUM(O:O)</f>
        <v>7.5000000000000002E-4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input_358101!A$2</f>
        <v>358101</v>
      </c>
      <c r="B232" s="6">
        <v>603</v>
      </c>
      <c r="C232" s="7" t="str">
        <f t="shared" si="6"/>
        <v>PremiumSS5</v>
      </c>
      <c r="D232" s="7" t="str">
        <f t="shared" si="7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IFERROR(VLOOKUP(B232,input_358101!L:R,7,FALSE),VLOOKUP(tables_358101!C232,input_358101!A:H,8,FALSE))</f>
        <v>234</v>
      </c>
      <c r="P232" s="46">
        <f ca="1">O232/SUM(O:O)</f>
        <v>3.9473684210526316E-5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input_358101!A$2</f>
        <v>358101</v>
      </c>
      <c r="B233" s="6">
        <v>604</v>
      </c>
      <c r="C233" s="7" t="str">
        <f t="shared" si="6"/>
        <v>Premium3</v>
      </c>
      <c r="D233" s="7" t="str">
        <f t="shared" si="7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IFERROR(VLOOKUP(B233,input_358101!L:R,7,FALSE),VLOOKUP(tables_358101!C233,input_358101!A:H,8,FALSE))</f>
        <v>36708</v>
      </c>
      <c r="P233" s="46">
        <f ca="1">O233/SUM(O:O)</f>
        <v>6.1923076923076923E-3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input_358101!A$2</f>
        <v>358101</v>
      </c>
      <c r="B234" s="6">
        <v>605</v>
      </c>
      <c r="C234" s="7" t="str">
        <f t="shared" si="6"/>
        <v>Premium4</v>
      </c>
      <c r="D234" s="7" t="str">
        <f t="shared" si="7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IFERROR(VLOOKUP(B234,input_358101!L:R,7,FALSE),VLOOKUP(tables_358101!C234,input_358101!A:H,8,FALSE))</f>
        <v>33037.199999999997</v>
      </c>
      <c r="P234" s="46">
        <f ca="1">O234/SUM(O:O)</f>
        <v>5.5730769230769228E-3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input_358101!A$2</f>
        <v>358101</v>
      </c>
      <c r="B235" s="6">
        <v>606</v>
      </c>
      <c r="C235" s="7" t="str">
        <f t="shared" si="6"/>
        <v>Premium5</v>
      </c>
      <c r="D235" s="7" t="str">
        <f t="shared" si="7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IFERROR(VLOOKUP(B235,input_358101!L:R,7,FALSE),VLOOKUP(tables_358101!C235,input_358101!A:H,8,FALSE))</f>
        <v>3670.8</v>
      </c>
      <c r="P235" s="46">
        <f ca="1">O235/SUM(O:O)</f>
        <v>6.1923076923076927E-4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input_358101!A$2</f>
        <v>358101</v>
      </c>
      <c r="B236" s="6">
        <v>658</v>
      </c>
      <c r="C236" s="7" t="str">
        <f t="shared" si="6"/>
        <v>PremiumSS4</v>
      </c>
      <c r="D236" s="7" t="str">
        <f t="shared" si="7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IFERROR(VLOOKUP(B236,input_358101!L:R,7,FALSE),VLOOKUP(tables_358101!C236,input_358101!A:H,8,FALSE))</f>
        <v>4446</v>
      </c>
      <c r="P236" s="46">
        <f ca="1">O236/SUM(O:O)</f>
        <v>7.5000000000000002E-4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input_358101!A$2</f>
        <v>358101</v>
      </c>
      <c r="B237" s="6">
        <v>659</v>
      </c>
      <c r="C237" s="7" t="str">
        <f t="shared" si="6"/>
        <v>PremiumSS5</v>
      </c>
      <c r="D237" s="7" t="str">
        <f t="shared" si="7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IFERROR(VLOOKUP(B237,input_358101!L:R,7,FALSE),VLOOKUP(tables_358101!C237,input_358101!A:H,8,FALSE))</f>
        <v>234</v>
      </c>
      <c r="P237" s="46">
        <f ca="1">O237/SUM(O:O)</f>
        <v>3.9473684210526316E-5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input_358101!A$2</f>
        <v>358101</v>
      </c>
      <c r="B238" s="6">
        <v>660</v>
      </c>
      <c r="C238" s="7" t="str">
        <f t="shared" si="6"/>
        <v>PremiumSS4</v>
      </c>
      <c r="D238" s="7" t="str">
        <f t="shared" si="7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IFERROR(VLOOKUP(B238,input_358101!L:R,7,FALSE),VLOOKUP(tables_358101!C238,input_358101!A:H,8,FALSE))</f>
        <v>4446</v>
      </c>
      <c r="P238" s="46">
        <f ca="1">O238/SUM(O:O)</f>
        <v>7.5000000000000002E-4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input_358101!A$2</f>
        <v>358101</v>
      </c>
      <c r="B239" s="6">
        <v>661</v>
      </c>
      <c r="C239" s="7" t="str">
        <f t="shared" si="6"/>
        <v>PremiumSS5</v>
      </c>
      <c r="D239" s="7" t="str">
        <f t="shared" si="7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IFERROR(VLOOKUP(B239,input_358101!L:R,7,FALSE),VLOOKUP(tables_358101!C239,input_358101!A:H,8,FALSE))</f>
        <v>234</v>
      </c>
      <c r="P239" s="46">
        <f ca="1">O239/SUM(O:O)</f>
        <v>3.9473684210526316E-5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input_358101!A$2</f>
        <v>358101</v>
      </c>
      <c r="B240" s="6">
        <v>662</v>
      </c>
      <c r="C240" s="7" t="str">
        <f t="shared" si="6"/>
        <v>Premium3</v>
      </c>
      <c r="D240" s="7" t="str">
        <f t="shared" si="7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IFERROR(VLOOKUP(B240,input_358101!L:R,7,FALSE),VLOOKUP(tables_358101!C240,input_358101!A:H,8,FALSE))</f>
        <v>36708</v>
      </c>
      <c r="P240" s="46">
        <f ca="1">O240/SUM(O:O)</f>
        <v>6.1923076923076923E-3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input_358101!A$2</f>
        <v>358101</v>
      </c>
      <c r="B241" s="6">
        <v>663</v>
      </c>
      <c r="C241" s="7" t="str">
        <f t="shared" si="6"/>
        <v>Premium4</v>
      </c>
      <c r="D241" s="7" t="str">
        <f t="shared" si="7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IFERROR(VLOOKUP(B241,input_358101!L:R,7,FALSE),VLOOKUP(tables_358101!C241,input_358101!A:H,8,FALSE))</f>
        <v>33037.199999999997</v>
      </c>
      <c r="P241" s="46">
        <f ca="1">O241/SUM(O:O)</f>
        <v>5.5730769230769228E-3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input_358101!A$2</f>
        <v>358101</v>
      </c>
      <c r="B242" s="6">
        <v>664</v>
      </c>
      <c r="C242" s="7" t="str">
        <f t="shared" si="6"/>
        <v>Premium5</v>
      </c>
      <c r="D242" s="7" t="str">
        <f t="shared" si="7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IFERROR(VLOOKUP(B242,input_358101!L:R,7,FALSE),VLOOKUP(tables_358101!C242,input_358101!A:H,8,FALSE))</f>
        <v>3670.8</v>
      </c>
      <c r="P242" s="46">
        <f ca="1">O242/SUM(O:O)</f>
        <v>6.1923076923076927E-4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input_358101!A$2</f>
        <v>358101</v>
      </c>
      <c r="B243" s="6">
        <v>665</v>
      </c>
      <c r="C243" s="7" t="str">
        <f t="shared" si="6"/>
        <v>Premium3</v>
      </c>
      <c r="D243" s="7" t="str">
        <f t="shared" si="7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IFERROR(VLOOKUP(B243,input_358101!L:R,7,FALSE),VLOOKUP(tables_358101!C243,input_358101!A:H,8,FALSE))</f>
        <v>36708</v>
      </c>
      <c r="P243" s="46">
        <f ca="1">O243/SUM(O:O)</f>
        <v>6.1923076923076923E-3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input_358101!A$2</f>
        <v>358101</v>
      </c>
      <c r="B244" s="6">
        <v>666</v>
      </c>
      <c r="C244" s="7" t="str">
        <f t="shared" si="6"/>
        <v>Premium4</v>
      </c>
      <c r="D244" s="7" t="str">
        <f t="shared" si="7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IFERROR(VLOOKUP(B244,input_358101!L:R,7,FALSE),VLOOKUP(tables_358101!C244,input_358101!A:H,8,FALSE))</f>
        <v>33037.199999999997</v>
      </c>
      <c r="P244" s="46">
        <f ca="1">O244/SUM(O:O)</f>
        <v>5.5730769230769228E-3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input_358101!A$2</f>
        <v>358101</v>
      </c>
      <c r="B245" s="6">
        <v>667</v>
      </c>
      <c r="C245" s="7" t="str">
        <f t="shared" si="6"/>
        <v>Premium5</v>
      </c>
      <c r="D245" s="7" t="str">
        <f t="shared" si="7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IFERROR(VLOOKUP(B245,input_358101!L:R,7,FALSE),VLOOKUP(tables_358101!C245,input_358101!A:H,8,FALSE))</f>
        <v>3670.8</v>
      </c>
      <c r="P245" s="46">
        <f ca="1">O245/SUM(O:O)</f>
        <v>6.1923076923076927E-4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input_358101!A$2</f>
        <v>358101</v>
      </c>
      <c r="B246" s="60">
        <v>668</v>
      </c>
      <c r="C246" s="7" t="str">
        <f t="shared" si="6"/>
        <v>Premium3</v>
      </c>
      <c r="D246" s="7" t="str">
        <f t="shared" si="7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IFERROR(VLOOKUP(B246,input_358101!L:R,7,FALSE),VLOOKUP(tables_358101!C246,input_358101!A:H,8,FALSE))</f>
        <v>36708</v>
      </c>
      <c r="P246" s="46">
        <f ca="1">O246/SUM(O:O)</f>
        <v>6.1923076923076923E-3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input_358101!A$2</f>
        <v>358101</v>
      </c>
      <c r="B247" s="60">
        <v>669</v>
      </c>
      <c r="C247" s="7" t="str">
        <f t="shared" si="6"/>
        <v>Premium4</v>
      </c>
      <c r="D247" s="7" t="str">
        <f t="shared" si="7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IFERROR(VLOOKUP(B247,input_358101!L:R,7,FALSE),VLOOKUP(tables_358101!C247,input_358101!A:H,8,FALSE))</f>
        <v>33037.199999999997</v>
      </c>
      <c r="P247" s="46">
        <f ca="1">O247/SUM(O:O)</f>
        <v>5.5730769230769228E-3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input_358101!A$2</f>
        <v>358101</v>
      </c>
      <c r="B248" s="60">
        <v>670</v>
      </c>
      <c r="C248" s="7" t="str">
        <f t="shared" si="6"/>
        <v>Premium5</v>
      </c>
      <c r="D248" s="7" t="str">
        <f t="shared" si="7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IFERROR(VLOOKUP(B248,input_358101!L:R,7,FALSE),VLOOKUP(tables_358101!C248,input_358101!A:H,8,FALSE))</f>
        <v>3670.8</v>
      </c>
      <c r="P248" s="46">
        <f ca="1">O248/SUM(O:O)</f>
        <v>6.1923076923076927E-4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input_358101!A$2</f>
        <v>358101</v>
      </c>
      <c r="B249" s="60">
        <v>671</v>
      </c>
      <c r="C249" s="7" t="str">
        <f t="shared" si="6"/>
        <v>Premium3</v>
      </c>
      <c r="D249" s="7" t="str">
        <f t="shared" si="7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IFERROR(VLOOKUP(B249,input_358101!L:R,7,FALSE),VLOOKUP(tables_358101!C249,input_358101!A:H,8,FALSE))</f>
        <v>36708</v>
      </c>
      <c r="P249" s="46">
        <f ca="1">O249/SUM(O:O)</f>
        <v>6.1923076923076923E-3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input_358101!A$2</f>
        <v>358101</v>
      </c>
      <c r="B250" s="60">
        <v>672</v>
      </c>
      <c r="C250" s="7" t="str">
        <f t="shared" si="6"/>
        <v>Premium4</v>
      </c>
      <c r="D250" s="7" t="str">
        <f t="shared" si="7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IFERROR(VLOOKUP(B250,input_358101!L:R,7,FALSE),VLOOKUP(tables_358101!C250,input_358101!A:H,8,FALSE))</f>
        <v>33037.199999999997</v>
      </c>
      <c r="P250" s="46">
        <f ca="1">O250/SUM(O:O)</f>
        <v>5.5730769230769228E-3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input_358101!A$2</f>
        <v>358101</v>
      </c>
      <c r="B251" s="60">
        <v>673</v>
      </c>
      <c r="C251" s="7" t="str">
        <f t="shared" si="6"/>
        <v>Premium5</v>
      </c>
      <c r="D251" s="7" t="str">
        <f t="shared" si="7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IFERROR(VLOOKUP(B251,input_358101!L:R,7,FALSE),VLOOKUP(tables_358101!C251,input_358101!A:H,8,FALSE))</f>
        <v>3670.8</v>
      </c>
      <c r="P251" s="46">
        <f ca="1">O251/SUM(O:O)</f>
        <v>6.1923076923076927E-4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input_358101!A$2</f>
        <v>358101</v>
      </c>
      <c r="B252" s="60">
        <v>674</v>
      </c>
      <c r="C252" s="7" t="str">
        <f t="shared" si="6"/>
        <v>PremiumSS4</v>
      </c>
      <c r="D252" s="7" t="str">
        <f t="shared" si="7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IFERROR(VLOOKUP(B252,input_358101!L:R,7,FALSE),VLOOKUP(tables_358101!C252,input_358101!A:H,8,FALSE))</f>
        <v>4446</v>
      </c>
      <c r="P252" s="46">
        <f ca="1">O252/SUM(O:O)</f>
        <v>7.5000000000000002E-4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input_358101!A$2</f>
        <v>358101</v>
      </c>
      <c r="B253" s="60">
        <v>675</v>
      </c>
      <c r="C253" s="7" t="str">
        <f t="shared" si="6"/>
        <v>PremiumSS5</v>
      </c>
      <c r="D253" s="7" t="str">
        <f t="shared" si="7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IFERROR(VLOOKUP(B253,input_358101!L:R,7,FALSE),VLOOKUP(tables_358101!C253,input_358101!A:H,8,FALSE))</f>
        <v>234</v>
      </c>
      <c r="P253" s="46">
        <f ca="1">O253/SUM(O:O)</f>
        <v>3.9473684210526316E-5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input_358101!A$2</f>
        <v>358101</v>
      </c>
      <c r="B254" s="60">
        <v>676</v>
      </c>
      <c r="C254" s="7" t="str">
        <f t="shared" si="6"/>
        <v>PremiumSS4</v>
      </c>
      <c r="D254" s="7" t="str">
        <f t="shared" si="7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IFERROR(VLOOKUP(B254,input_358101!L:R,7,FALSE),VLOOKUP(tables_358101!C254,input_358101!A:H,8,FALSE))</f>
        <v>4446</v>
      </c>
      <c r="P254" s="46">
        <f ca="1">O254/SUM(O:O)</f>
        <v>7.5000000000000002E-4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input_358101!A$2</f>
        <v>358101</v>
      </c>
      <c r="B255" s="60">
        <v>677</v>
      </c>
      <c r="C255" s="7" t="str">
        <f t="shared" si="6"/>
        <v>PremiumSS5</v>
      </c>
      <c r="D255" s="7" t="str">
        <f t="shared" si="7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IFERROR(VLOOKUP(B255,input_358101!L:R,7,FALSE),VLOOKUP(tables_358101!C255,input_358101!A:H,8,FALSE))</f>
        <v>234</v>
      </c>
      <c r="P255" s="46">
        <f ca="1">O255/SUM(O:O)</f>
        <v>3.9473684210526316E-5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input_358101!A$2</f>
        <v>358101</v>
      </c>
      <c r="B256" s="60">
        <v>728</v>
      </c>
      <c r="C256" s="7" t="str">
        <f t="shared" si="6"/>
        <v>Premium4R3less</v>
      </c>
      <c r="D256" s="7" t="str">
        <f t="shared" si="7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IFERROR(VLOOKUP(B256,input_358101!L:R,7,FALSE),VLOOKUP(tables_358101!C256,input_358101!A:H,8,FALSE))</f>
        <v>61757.599999999999</v>
      </c>
      <c r="P256" s="46">
        <f ca="1">O256/SUM(O:O)</f>
        <v>1.0417948717948718E-2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input_358101!A$2</f>
        <v>358101</v>
      </c>
      <c r="B257" s="60">
        <v>729</v>
      </c>
      <c r="C257" s="7" t="str">
        <f t="shared" si="6"/>
        <v>Premium5R3less</v>
      </c>
      <c r="D257" s="7" t="str">
        <f t="shared" si="7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IFERROR(VLOOKUP(B257,input_358101!L:R,7,FALSE),VLOOKUP(tables_358101!C257,input_358101!A:H,8,FALSE))</f>
        <v>11658.4</v>
      </c>
      <c r="P257" s="46">
        <f ca="1">O257/SUM(O:O)</f>
        <v>1.9666666666666665E-3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input_358101!A$2</f>
        <v>358101</v>
      </c>
      <c r="B258" s="60">
        <v>730</v>
      </c>
      <c r="C258" s="7" t="str">
        <f t="shared" ref="C258:C271" si="8">D258&amp;J258&amp;E258&amp;F258&amp;G258</f>
        <v>Premium4R3less</v>
      </c>
      <c r="D258" s="7" t="str">
        <f t="shared" ref="D258:D271" si="9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IFERROR(VLOOKUP(B258,input_358101!L:R,7,FALSE),VLOOKUP(tables_358101!C258,input_358101!A:H,8,FALSE))</f>
        <v>61757.599999999999</v>
      </c>
      <c r="P258" s="46">
        <f ca="1">O258/SUM(O:O)</f>
        <v>1.0417948717948718E-2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input_358101!A$2</f>
        <v>358101</v>
      </c>
      <c r="B259" s="60">
        <v>731</v>
      </c>
      <c r="C259" s="7" t="str">
        <f t="shared" si="8"/>
        <v>Premium5R3less</v>
      </c>
      <c r="D259" s="7" t="str">
        <f t="shared" si="9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IFERROR(VLOOKUP(B259,input_358101!L:R,7,FALSE),VLOOKUP(tables_358101!C259,input_358101!A:H,8,FALSE))</f>
        <v>11658.4</v>
      </c>
      <c r="P259" s="46">
        <f ca="1">O259/SUM(O:O)</f>
        <v>1.9666666666666665E-3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input_358101!A$2</f>
        <v>358101</v>
      </c>
      <c r="B260" s="60">
        <v>732</v>
      </c>
      <c r="C260" s="7" t="str">
        <f t="shared" si="8"/>
        <v>PremiumSS5R5only</v>
      </c>
      <c r="D260" s="7" t="str">
        <f t="shared" si="9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IFERROR(VLOOKUP(B260,input_358101!L:R,7,FALSE),VLOOKUP(tables_358101!C260,input_358101!A:H,8,FALSE))</f>
        <v>4680</v>
      </c>
      <c r="P260" s="46">
        <f ca="1">O260/SUM(O:O)</f>
        <v>7.894736842105263E-4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input_358101!A$2</f>
        <v>358101</v>
      </c>
      <c r="B261" s="60">
        <v>734</v>
      </c>
      <c r="C261" s="7" t="str">
        <f t="shared" si="8"/>
        <v>PremiumSS5R5only</v>
      </c>
      <c r="D261" s="7" t="str">
        <f t="shared" si="9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IFERROR(VLOOKUP(B261,input_358101!L:R,7,FALSE),VLOOKUP(tables_358101!C261,input_358101!A:H,8,FALSE))</f>
        <v>4680</v>
      </c>
      <c r="P261" s="46">
        <f ca="1">O261/SUM(O:O)</f>
        <v>7.894736842105263E-4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input_358101!A$2</f>
        <v>358101</v>
      </c>
      <c r="B262" s="60">
        <v>770</v>
      </c>
      <c r="C262" s="7" t="str">
        <f t="shared" si="8"/>
        <v>PremiumSS4</v>
      </c>
      <c r="D262" s="7" t="str">
        <f t="shared" si="9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IFERROR(VLOOKUP(B262,input_358101!L:R,7,FALSE),VLOOKUP(tables_358101!C262,input_358101!A:H,8,FALSE))</f>
        <v>4446</v>
      </c>
      <c r="P262" s="46">
        <f ca="1">O262/SUM(O:O)</f>
        <v>7.5000000000000002E-4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input_358101!A$2</f>
        <v>358101</v>
      </c>
      <c r="B263" s="60">
        <v>771</v>
      </c>
      <c r="C263" s="7" t="str">
        <f t="shared" si="8"/>
        <v>PremiumSS5</v>
      </c>
      <c r="D263" s="7" t="str">
        <f t="shared" si="9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IFERROR(VLOOKUP(B263,input_358101!L:R,7,FALSE),VLOOKUP(tables_358101!C263,input_358101!A:H,8,FALSE))</f>
        <v>234</v>
      </c>
      <c r="P263" s="46">
        <f ca="1">O263/SUM(O:O)</f>
        <v>3.9473684210526316E-5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input_358101!A$2</f>
        <v>358101</v>
      </c>
      <c r="B264" s="60">
        <v>772</v>
      </c>
      <c r="C264" s="7" t="str">
        <f t="shared" si="8"/>
        <v>PremiumSS4</v>
      </c>
      <c r="D264" s="7" t="str">
        <f t="shared" si="9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IFERROR(VLOOKUP(B264,input_358101!L:R,7,FALSE),VLOOKUP(tables_358101!C264,input_358101!A:H,8,FALSE))</f>
        <v>4446</v>
      </c>
      <c r="P264" s="46">
        <f ca="1">O264/SUM(O:O)</f>
        <v>7.5000000000000002E-4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input_358101!A$2</f>
        <v>358101</v>
      </c>
      <c r="B265" s="60">
        <v>773</v>
      </c>
      <c r="C265" s="7" t="str">
        <f t="shared" si="8"/>
        <v>PremiumSS5</v>
      </c>
      <c r="D265" s="7" t="str">
        <f t="shared" si="9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IFERROR(VLOOKUP(B265,input_358101!L:R,7,FALSE),VLOOKUP(tables_358101!C265,input_358101!A:H,8,FALSE))</f>
        <v>234</v>
      </c>
      <c r="P265" s="46">
        <f ca="1">O265/SUM(O:O)</f>
        <v>3.9473684210526316E-5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input_358101!A$2</f>
        <v>358101</v>
      </c>
      <c r="B266" s="60">
        <v>774</v>
      </c>
      <c r="C266" s="7" t="str">
        <f t="shared" si="8"/>
        <v>Premium3</v>
      </c>
      <c r="D266" s="7" t="str">
        <f t="shared" si="9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IFERROR(VLOOKUP(B266,input_358101!L:R,7,FALSE),VLOOKUP(tables_358101!C266,input_358101!A:H,8,FALSE))</f>
        <v>36708</v>
      </c>
      <c r="P266" s="46">
        <f ca="1">O266/SUM(O:O)</f>
        <v>6.1923076923076923E-3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input_358101!A$2</f>
        <v>358101</v>
      </c>
      <c r="B267" s="60">
        <v>775</v>
      </c>
      <c r="C267" s="7" t="str">
        <f t="shared" si="8"/>
        <v>Premium4</v>
      </c>
      <c r="D267" s="7" t="str">
        <f t="shared" si="9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IFERROR(VLOOKUP(B267,input_358101!L:R,7,FALSE),VLOOKUP(tables_358101!C267,input_358101!A:H,8,FALSE))</f>
        <v>33037.199999999997</v>
      </c>
      <c r="P267" s="46">
        <f ca="1">O267/SUM(O:O)</f>
        <v>5.5730769230769228E-3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input_358101!A$2</f>
        <v>358101</v>
      </c>
      <c r="B268" s="60">
        <v>776</v>
      </c>
      <c r="C268" s="7" t="str">
        <f t="shared" si="8"/>
        <v>Premium5</v>
      </c>
      <c r="D268" s="7" t="str">
        <f t="shared" si="9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IFERROR(VLOOKUP(B268,input_358101!L:R,7,FALSE),VLOOKUP(tables_358101!C268,input_358101!A:H,8,FALSE))</f>
        <v>3670.8</v>
      </c>
      <c r="P268" s="46">
        <f ca="1">O268/SUM(O:O)</f>
        <v>6.1923076923076927E-4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input_358101!A$2</f>
        <v>358101</v>
      </c>
      <c r="B269" s="60">
        <v>777</v>
      </c>
      <c r="C269" s="7" t="str">
        <f t="shared" si="8"/>
        <v>Premium3</v>
      </c>
      <c r="D269" s="7" t="str">
        <f t="shared" si="9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IFERROR(VLOOKUP(B269,input_358101!L:R,7,FALSE),VLOOKUP(tables_358101!C269,input_358101!A:H,8,FALSE))</f>
        <v>36708</v>
      </c>
      <c r="P269" s="46">
        <f ca="1">O269/SUM(O:O)</f>
        <v>6.1923076923076923E-3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input_358101!A$2</f>
        <v>358101</v>
      </c>
      <c r="B270" s="60">
        <v>778</v>
      </c>
      <c r="C270" s="7" t="str">
        <f t="shared" si="8"/>
        <v>Premium4</v>
      </c>
      <c r="D270" s="7" t="str">
        <f t="shared" si="9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IFERROR(VLOOKUP(B270,input_358101!L:R,7,FALSE),VLOOKUP(tables_358101!C270,input_358101!A:H,8,FALSE))</f>
        <v>33037.199999999997</v>
      </c>
      <c r="P270" s="46">
        <f ca="1">O270/SUM(O:O)</f>
        <v>5.5730769230769228E-3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input_358101!A$2</f>
        <v>358101</v>
      </c>
      <c r="B271" s="60">
        <v>779</v>
      </c>
      <c r="C271" s="7" t="str">
        <f t="shared" si="8"/>
        <v>Premium5</v>
      </c>
      <c r="D271" s="7" t="str">
        <f t="shared" si="9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IFERROR(VLOOKUP(B271,input_358101!L:R,7,FALSE),VLOOKUP(tables_358101!C271,input_358101!A:H,8,FALSE))</f>
        <v>3670.8</v>
      </c>
      <c r="P271" s="46">
        <f ca="1">O271/SUM(O:O)</f>
        <v>6.1923076923076927E-4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input_358101!A$2</f>
        <v>358101</v>
      </c>
      <c r="B272" s="83">
        <v>848</v>
      </c>
      <c r="C272" s="7" t="str">
        <f t="shared" ref="C272:C283" si="10">D272&amp;J272&amp;E272&amp;F272&amp;G272</f>
        <v>PremiumSS5R5only</v>
      </c>
      <c r="D272" s="7" t="str">
        <f t="shared" ref="D272:D283" si="11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IFERROR(VLOOKUP(B272,input_358101!L:R,7,FALSE),VLOOKUP(tables_358101!C272,input_358101!A:H,8,FALSE))</f>
        <v>4680</v>
      </c>
      <c r="P272" s="46">
        <f ca="1">O272/SUM(O:O)</f>
        <v>7.894736842105263E-4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input_358101!A$2</f>
        <v>358101</v>
      </c>
      <c r="B273" s="83">
        <v>850</v>
      </c>
      <c r="C273" s="7" t="str">
        <f t="shared" si="10"/>
        <v>PremiumSS5R5only</v>
      </c>
      <c r="D273" s="7" t="str">
        <f t="shared" si="11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IFERROR(VLOOKUP(B273,input_358101!L:R,7,FALSE),VLOOKUP(tables_358101!C273,input_358101!A:H,8,FALSE))</f>
        <v>4680</v>
      </c>
      <c r="P273" s="46">
        <f ca="1">O273/SUM(O:O)</f>
        <v>7.894736842105263E-4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input_358101!A$2</f>
        <v>358101</v>
      </c>
      <c r="B274" s="83">
        <v>852</v>
      </c>
      <c r="C274" s="7" t="str">
        <f t="shared" si="10"/>
        <v>Premium4R3less</v>
      </c>
      <c r="D274" s="7" t="str">
        <f t="shared" si="11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IFERROR(VLOOKUP(B274,input_358101!L:R,7,FALSE),VLOOKUP(tables_358101!C274,input_358101!A:H,8,FALSE))</f>
        <v>61757.599999999999</v>
      </c>
      <c r="P274" s="46">
        <f ca="1">O274/SUM(O:O)</f>
        <v>1.0417948717948718E-2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input_358101!A$2</f>
        <v>358101</v>
      </c>
      <c r="B275" s="83">
        <v>853</v>
      </c>
      <c r="C275" s="7" t="str">
        <f t="shared" si="10"/>
        <v>Premium5R3less</v>
      </c>
      <c r="D275" s="7" t="str">
        <f t="shared" si="11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IFERROR(VLOOKUP(B275,input_358101!L:R,7,FALSE),VLOOKUP(tables_358101!C275,input_358101!A:H,8,FALSE))</f>
        <v>11658.4</v>
      </c>
      <c r="P275" s="46">
        <f ca="1">O275/SUM(O:O)</f>
        <v>1.9666666666666665E-3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input_358101!A$2</f>
        <v>358101</v>
      </c>
      <c r="B276" s="83">
        <v>854</v>
      </c>
      <c r="C276" s="7" t="str">
        <f t="shared" si="10"/>
        <v>Premium4R3less</v>
      </c>
      <c r="D276" s="7" t="str">
        <f t="shared" si="11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IFERROR(VLOOKUP(B276,input_358101!L:R,7,FALSE),VLOOKUP(tables_358101!C276,input_358101!A:H,8,FALSE))</f>
        <v>61757.599999999999</v>
      </c>
      <c r="P276" s="46">
        <f ca="1">O276/SUM(O:O)</f>
        <v>1.0417948717948718E-2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input_358101!A$2</f>
        <v>358101</v>
      </c>
      <c r="B277" s="83">
        <v>855</v>
      </c>
      <c r="C277" s="7" t="str">
        <f t="shared" si="10"/>
        <v>Premium5R3less</v>
      </c>
      <c r="D277" s="7" t="str">
        <f t="shared" si="11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IFERROR(VLOOKUP(B277,input_358101!L:R,7,FALSE),VLOOKUP(tables_358101!C277,input_358101!A:H,8,FALSE))</f>
        <v>11658.4</v>
      </c>
      <c r="P277" s="46">
        <f ca="1">O277/SUM(O:O)</f>
        <v>1.9666666666666665E-3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input_358101!A$2</f>
        <v>358101</v>
      </c>
      <c r="B278" s="83">
        <v>862</v>
      </c>
      <c r="C278" s="7" t="str">
        <f t="shared" si="10"/>
        <v>Premium4R3less</v>
      </c>
      <c r="D278" s="7" t="str">
        <f t="shared" si="11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IFERROR(VLOOKUP(B278,input_358101!L:R,7,FALSE),VLOOKUP(tables_358101!C278,input_358101!A:H,8,FALSE))</f>
        <v>61757.599999999999</v>
      </c>
      <c r="P278" s="46">
        <f ca="1">O278/SUM(O:O)</f>
        <v>1.0417948717948718E-2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input_358101!A$2</f>
        <v>358101</v>
      </c>
      <c r="B279" s="83">
        <v>863</v>
      </c>
      <c r="C279" s="7" t="str">
        <f t="shared" si="10"/>
        <v>Premium5R3less</v>
      </c>
      <c r="D279" s="7" t="str">
        <f t="shared" si="11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IFERROR(VLOOKUP(B279,input_358101!L:R,7,FALSE),VLOOKUP(tables_358101!C279,input_358101!A:H,8,FALSE))</f>
        <v>11658.4</v>
      </c>
      <c r="P279" s="46">
        <f ca="1">O279/SUM(O:O)</f>
        <v>1.9666666666666665E-3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input_358101!A$2</f>
        <v>358101</v>
      </c>
      <c r="B280" s="83">
        <v>864</v>
      </c>
      <c r="C280" s="7" t="str">
        <f t="shared" si="10"/>
        <v>Premium4R3less</v>
      </c>
      <c r="D280" s="7" t="str">
        <f t="shared" si="11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IFERROR(VLOOKUP(B280,input_358101!L:R,7,FALSE),VLOOKUP(tables_358101!C280,input_358101!A:H,8,FALSE))</f>
        <v>61757.599999999999</v>
      </c>
      <c r="P280" s="46">
        <f ca="1">O280/SUM(O:O)</f>
        <v>1.0417948717948718E-2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input_358101!A$2</f>
        <v>358101</v>
      </c>
      <c r="B281" s="83">
        <v>865</v>
      </c>
      <c r="C281" s="7" t="str">
        <f t="shared" si="10"/>
        <v>Premium5R3less</v>
      </c>
      <c r="D281" s="7" t="str">
        <f t="shared" si="11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IFERROR(VLOOKUP(B281,input_358101!L:R,7,FALSE),VLOOKUP(tables_358101!C281,input_358101!A:H,8,FALSE))</f>
        <v>11658.4</v>
      </c>
      <c r="P281" s="46">
        <f ca="1">O281/SUM(O:O)</f>
        <v>1.9666666666666665E-3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input_358101!A$2</f>
        <v>358101</v>
      </c>
      <c r="B282" s="83">
        <v>866</v>
      </c>
      <c r="C282" s="7" t="str">
        <f t="shared" si="10"/>
        <v>PremiumSS5R5only</v>
      </c>
      <c r="D282" s="7" t="str">
        <f t="shared" si="11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IFERROR(VLOOKUP(B282,input_358101!L:R,7,FALSE),VLOOKUP(tables_358101!C282,input_358101!A:H,8,FALSE))</f>
        <v>4680</v>
      </c>
      <c r="P282" s="46">
        <f ca="1">O282/SUM(O:O)</f>
        <v>7.894736842105263E-4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input_358101!A$2</f>
        <v>358101</v>
      </c>
      <c r="B283" s="83">
        <v>868</v>
      </c>
      <c r="C283" s="7" t="str">
        <f t="shared" si="10"/>
        <v>PremiumSS5R5only</v>
      </c>
      <c r="D283" s="7" t="str">
        <f t="shared" si="11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IFERROR(VLOOKUP(B283,input_358101!L:R,7,FALSE),VLOOKUP(tables_358101!C283,input_358101!A:H,8,FALSE))</f>
        <v>4680</v>
      </c>
      <c r="P283" s="46">
        <f ca="1">O283/SUM(O:O)</f>
        <v>7.894736842105263E-4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input_358101!A$2</f>
        <v>358101</v>
      </c>
      <c r="B284" s="83">
        <v>623</v>
      </c>
      <c r="C284" s="7" t="str">
        <f t="shared" ref="C284" si="12">D284&amp;J284&amp;E284&amp;F284&amp;G284</f>
        <v>PremiumSSS5R3less</v>
      </c>
      <c r="D284" s="7" t="str">
        <f t="shared" ref="D284" si="13">IF(I284="PremiumSS",I284,IF(I284="PremiumSSS",I284,IF(I284="PremiumW",I284,"Premium")))</f>
        <v>PremiumSSS</v>
      </c>
      <c r="E284" s="7" t="str">
        <f>IF(COUNTIF('R6追加前'!A:A,B284)=0,IF(I284="PremiumSS","R5only","R3less"),"")</f>
        <v>R3less</v>
      </c>
      <c r="F284" s="7" t="str">
        <f>IF(COUNTIF('R6開放'!A:A,B284)&gt;0,"R6release","")</f>
        <v/>
      </c>
      <c r="G284" s="7"/>
      <c r="H284" s="7" t="str">
        <f>VLOOKUP(B284,[1]characters!$A:$C,3,FALSE)</f>
        <v>未踏の轍跡 フェルマー</v>
      </c>
      <c r="I284" s="7" t="str">
        <f>VLOOKUP(B284,[1]characters!$A:$J,10,FALSE)</f>
        <v>PremiumSSS</v>
      </c>
      <c r="J284" s="7">
        <f>VLOOKUP(B284,[1]characters!$A:$I,9,FALSE)</f>
        <v>5</v>
      </c>
      <c r="K284" s="7" t="str">
        <f>VLOOKUP(B284,[1]characters!$A:$H,8,FALSE)</f>
        <v>yellow</v>
      </c>
      <c r="L284" s="7" t="str">
        <f>VLOOKUP(B284,[1]characters!$A:$K,11,FALSE)</f>
        <v>attack</v>
      </c>
      <c r="M284" s="7" t="str">
        <f>VLOOKUP(B284,[1]characters!$A:$M,13,FALSE)</f>
        <v>academia</v>
      </c>
      <c r="N284" s="7" t="str">
        <f>VLOOKUP(B284,[1]characters!$A:$G,7,FALSE)</f>
        <v>女性</v>
      </c>
      <c r="O284" s="45">
        <f ca="1">IFERROR(VLOOKUP(B284,input_358101!L:R,7,FALSE),VLOOKUP(tables_358101!C284,input_358101!A:H,8,FALSE))</f>
        <v>23712</v>
      </c>
      <c r="P284" s="46">
        <f ca="1">O284/SUM(O:O)</f>
        <v>4.0000000000000001E-3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</sheetData>
  <autoFilter ref="A1:V283"/>
  <sortState ref="A2:Y189">
    <sortCondition ref="A2:A189"/>
  </sortState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B31" sqref="B31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358103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VLOOKUP(L3,tables_358103!B:C,2,FALSE)</f>
        <v>#N/A</v>
      </c>
      <c r="R3" s="62">
        <f t="shared" ref="R3:R20" si="1">N3*A$36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VLOOKUP(L4,tables_358103!B:C,2,FALSE)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(B11-H5)/(F5-I5)</f>
        <v>7.894736842105263E-4</v>
      </c>
      <c r="F5">
        <f>(COUNTIF(tables_358103!C:C,input_358103!A26)+COUNTIF(tables_358103!C:C,input_358103!A28)+COUNTIF(tables_358103!C:C,input_358103!A29))</f>
        <v>38</v>
      </c>
      <c r="H5" s="86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VLOOKUP(L5,tables_358103!B:C,2,FALSE)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208</v>
      </c>
      <c r="E6" s="77">
        <f>(B10-H6)/(F6-I6)</f>
        <v>1.2384615384615385E-2</v>
      </c>
      <c r="F6">
        <f>(COUNTIF(tables_358103!C:C,input_358103!A18)+COUNTIF(tables_358103!C:C,input_358103!A20)+COUNTIF(tables_358103!C:C,input_358103!A22))</f>
        <v>78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VLOOKUP(L6,tables_358103!B:C,2,FALSE)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VLOOKUP(L7,tables_358103!B:C,2,FALSE)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E8" s="77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VLOOKUP(L8,tables_358103!B:C,2,FALSE)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VLOOKUP(L9,tables_358103!B:C,2,FALSE)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0.96599999999999997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VLOOKUP(L10,tables_358103!B:C,2,FALSE)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79">
        <v>0.03</v>
      </c>
      <c r="C11" t="s">
        <v>221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VLOOKUP(L11,tables_358103!B:C,2,FALSE)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4.0000000000000001E-3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VLOOKUP(L12,tables_358103!B:C,2,FALSE)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VLOOKUP(L13,tables_358103!B:C,2,FALSE)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VLOOKUP(L14,tables_358103!B:C,2,FALSE)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VLOOKUP(L15,tables_358103!B:C,2,FALSE)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VLOOKUP(L16,tables_358103!B:C,2,FALSE)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4">
        <f>B$5-B19-B24</f>
        <v>0</v>
      </c>
      <c r="C17" s="87">
        <f t="shared" ref="C17:C31" si="2">SUMIF(Q:Q,A17,N:N)</f>
        <v>0</v>
      </c>
      <c r="D17" s="75">
        <f t="shared" ref="D17:D32" si="3">B17-C17</f>
        <v>0</v>
      </c>
      <c r="E17">
        <f>COUNTIF(tables_358103!C:C,input_358103!A17)-COUNTIF(Q:Q,A17)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VLOOKUP(L17,tables_358103!B:C,2,FALSE)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E$6*E18-B17</f>
        <v>0.24769230769230768</v>
      </c>
      <c r="C18" s="87">
        <f t="shared" si="2"/>
        <v>0</v>
      </c>
      <c r="D18" s="75">
        <f t="shared" si="3"/>
        <v>0.24769230769230768</v>
      </c>
      <c r="E18">
        <f>COUNTIF(tables_358103!C:C,input_358103!A18)-COUNTIF(Q:Q,A18)</f>
        <v>20</v>
      </c>
      <c r="F18" s="43">
        <f>IFERROR(B18/E18,0)</f>
        <v>1.2384615384615385E-2</v>
      </c>
      <c r="G18">
        <f t="shared" si="4"/>
        <v>1468320</v>
      </c>
      <c r="H18">
        <f t="shared" si="5"/>
        <v>73416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VLOOKUP(L18,tables_358103!B:C,2,FALSE)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E$6*E19*B$5</f>
        <v>0</v>
      </c>
      <c r="C19" s="87">
        <f t="shared" si="2"/>
        <v>0</v>
      </c>
      <c r="D19" s="75">
        <f t="shared" si="3"/>
        <v>0</v>
      </c>
      <c r="E19">
        <f>COUNTIF(tables_358103!C:C,input_358103!A19)-COUNTIF(Q:Q,A19)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VLOOKUP(L19,tables_358103!B:C,2,FALSE)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E$6*E20*B$6</f>
        <v>0.61180000000000001</v>
      </c>
      <c r="C20" s="87">
        <f t="shared" si="2"/>
        <v>0</v>
      </c>
      <c r="D20" s="75">
        <f t="shared" si="3"/>
        <v>0.61180000000000001</v>
      </c>
      <c r="E20">
        <f>COUNTIF(tables_358103!C:C,input_358103!A20)-COUNTIF(Q:Q,A20)</f>
        <v>52</v>
      </c>
      <c r="F20" s="43">
        <f t="shared" si="8"/>
        <v>1.1765384615384615E-2</v>
      </c>
      <c r="G20">
        <f t="shared" si="4"/>
        <v>3626750.4</v>
      </c>
      <c r="H20">
        <f t="shared" si="5"/>
        <v>69745.2</v>
      </c>
      <c r="I20">
        <f t="shared" si="6"/>
        <v>0.19999999999708962</v>
      </c>
      <c r="J20">
        <f t="shared" si="7"/>
        <v>5.0000000000727596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VLOOKUP(L20,tables_358103!B:C,2,FALSE)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E$6*E21*B$7</f>
        <v>3.2199999999999999E-2</v>
      </c>
      <c r="C21" s="87">
        <f t="shared" si="2"/>
        <v>0</v>
      </c>
      <c r="D21" s="75">
        <f t="shared" si="3"/>
        <v>3.2199999999999999E-2</v>
      </c>
      <c r="E21">
        <f>COUNTIF(tables_358103!C:C,input_358103!A21)-COUNTIF(Q:Q,A21)</f>
        <v>52</v>
      </c>
      <c r="F21" s="43">
        <f t="shared" si="8"/>
        <v>6.1923076923076927E-4</v>
      </c>
      <c r="G21">
        <f t="shared" si="4"/>
        <v>190881.6</v>
      </c>
      <c r="H21">
        <f t="shared" si="5"/>
        <v>3670.8</v>
      </c>
      <c r="I21">
        <f t="shared" si="6"/>
        <v>0.8000000000001819</v>
      </c>
      <c r="J21">
        <f t="shared" si="7"/>
        <v>1.2499999999997158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E$6*E22-B23</f>
        <v>6.2507692307692306E-2</v>
      </c>
      <c r="C22" s="87">
        <f t="shared" si="2"/>
        <v>0</v>
      </c>
      <c r="D22" s="75">
        <f t="shared" si="3"/>
        <v>6.2507692307692306E-2</v>
      </c>
      <c r="E22">
        <f>COUNTIF(tables_358103!C:C,input_358103!A22)-COUNTIF(Q:Q,A22)</f>
        <v>6</v>
      </c>
      <c r="F22" s="43">
        <f t="shared" si="8"/>
        <v>1.0417948717948718E-2</v>
      </c>
      <c r="G22">
        <f t="shared" si="4"/>
        <v>370545.6</v>
      </c>
      <c r="H22">
        <f t="shared" si="5"/>
        <v>61757.599999999999</v>
      </c>
      <c r="I22">
        <f t="shared" si="6"/>
        <v>0.59999999999854481</v>
      </c>
      <c r="J22">
        <f t="shared" si="7"/>
        <v>1.6666666666707088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B$7-B26-B28-B29-B21</f>
        <v>1.1800000000000005E-2</v>
      </c>
      <c r="C23" s="87">
        <f t="shared" si="2"/>
        <v>0</v>
      </c>
      <c r="D23" s="75">
        <f t="shared" si="3"/>
        <v>1.1800000000000005E-2</v>
      </c>
      <c r="E23">
        <f>COUNTIF(tables_358103!C:C,input_358103!A23)-COUNTIF(Q:Q,A23)</f>
        <v>6</v>
      </c>
      <c r="F23" s="43">
        <f t="shared" si="8"/>
        <v>1.9666666666666673E-3</v>
      </c>
      <c r="G23">
        <f t="shared" si="4"/>
        <v>69950.400000000023</v>
      </c>
      <c r="H23">
        <f t="shared" si="5"/>
        <v>11658.4</v>
      </c>
      <c r="I23">
        <f t="shared" si="6"/>
        <v>0.3999999999996362</v>
      </c>
      <c r="J23">
        <f t="shared" si="7"/>
        <v>2.5000000000022737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E$5*E24*B$5</f>
        <v>0</v>
      </c>
      <c r="C24" s="87">
        <f t="shared" si="2"/>
        <v>0</v>
      </c>
      <c r="D24" s="75">
        <f t="shared" si="3"/>
        <v>0</v>
      </c>
      <c r="E24">
        <f>COUNTIF(tables_358103!C:C,input_358103!A24)-COUNTIF(Q:Q,A24)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E$5*B$6*E25</f>
        <v>2.9999999999999996E-3</v>
      </c>
      <c r="C25" s="87">
        <f t="shared" si="2"/>
        <v>0</v>
      </c>
      <c r="D25" s="75">
        <f t="shared" si="3"/>
        <v>2.9999999999999996E-3</v>
      </c>
      <c r="E25">
        <f>COUNTIF(tables_358103!C:C,input_358103!A25)-COUNTIF(Q:Q,A25)</f>
        <v>4</v>
      </c>
      <c r="F25" s="43">
        <f t="shared" si="8"/>
        <v>7.4999999999999991E-4</v>
      </c>
      <c r="G25">
        <f t="shared" si="4"/>
        <v>17783.999999999996</v>
      </c>
      <c r="H25">
        <f t="shared" si="5"/>
        <v>4446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E$5*B$7*E26</f>
        <v>1.5789473684210527E-4</v>
      </c>
      <c r="C26" s="87">
        <f t="shared" si="2"/>
        <v>0</v>
      </c>
      <c r="D26" s="75">
        <f t="shared" si="3"/>
        <v>1.5789473684210527E-4</v>
      </c>
      <c r="E26">
        <f>COUNTIF(tables_358103!C:C,input_358103!A26)-COUNTIF(Q:Q,A26)</f>
        <v>4</v>
      </c>
      <c r="F26" s="43">
        <f t="shared" si="8"/>
        <v>3.9473684210526316E-5</v>
      </c>
      <c r="G26">
        <f t="shared" si="4"/>
        <v>936</v>
      </c>
      <c r="H26">
        <f t="shared" si="5"/>
        <v>234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2.0999999999999998E-2</v>
      </c>
      <c r="C27" s="87">
        <f t="shared" si="2"/>
        <v>0</v>
      </c>
      <c r="D27" s="75">
        <f t="shared" si="3"/>
        <v>2.0999999999999998E-2</v>
      </c>
      <c r="E27">
        <f>COUNTIF(tables_358103!C:C,input_358103!A27)-COUNTIF(Q:Q,A27)</f>
        <v>28</v>
      </c>
      <c r="F27" s="43">
        <f>IFERROR(B27/E27,0)</f>
        <v>7.4999999999999991E-4</v>
      </c>
      <c r="G27">
        <f t="shared" si="4"/>
        <v>124487.99999999999</v>
      </c>
      <c r="H27">
        <f t="shared" si="5"/>
        <v>4446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1.1052631578947368E-3</v>
      </c>
      <c r="C28" s="87">
        <f t="shared" si="2"/>
        <v>0</v>
      </c>
      <c r="D28" s="75">
        <f t="shared" si="3"/>
        <v>1.1052631578947368E-3</v>
      </c>
      <c r="E28">
        <f>COUNTIF(tables_358103!C:C,input_358103!A28)-COUNTIF(Q:Q,A28)</f>
        <v>28</v>
      </c>
      <c r="F28" s="43">
        <f t="shared" si="8"/>
        <v>3.9473684210526316E-5</v>
      </c>
      <c r="G28">
        <f t="shared" si="4"/>
        <v>6552</v>
      </c>
      <c r="H28">
        <f t="shared" si="5"/>
        <v>234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4.7368421052631574E-3</v>
      </c>
      <c r="C29" s="87">
        <f t="shared" si="2"/>
        <v>0</v>
      </c>
      <c r="D29" s="75">
        <f t="shared" si="3"/>
        <v>4.7368421052631574E-3</v>
      </c>
      <c r="E29">
        <f>COUNTIF(tables_358103!C:C,input_358103!A29)-COUNTIF(Q:Q,A29)</f>
        <v>6</v>
      </c>
      <c r="F29" s="43">
        <f t="shared" si="8"/>
        <v>7.8947368421052619E-4</v>
      </c>
      <c r="G29">
        <f t="shared" si="4"/>
        <v>28079.999999999996</v>
      </c>
      <c r="H29">
        <f t="shared" si="5"/>
        <v>4680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250</v>
      </c>
      <c r="B30" s="56">
        <v>0</v>
      </c>
      <c r="C30" s="87">
        <f t="shared" si="2"/>
        <v>0</v>
      </c>
      <c r="D30" s="75">
        <f t="shared" si="3"/>
        <v>0</v>
      </c>
      <c r="E30">
        <f>COUNTIF(tables_358103!C:C,input_358103!A30)-COUNTIF(Q:Q,A30)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251</v>
      </c>
      <c r="B31" s="56">
        <f>B12</f>
        <v>4.0000000000000001E-3</v>
      </c>
      <c r="C31" s="87">
        <f t="shared" si="2"/>
        <v>0</v>
      </c>
      <c r="D31" s="75">
        <f t="shared" si="3"/>
        <v>4.0000000000000001E-3</v>
      </c>
      <c r="E31">
        <f>COUNTIF(tables_358103!C:C,input_358103!A31)-COUNTIF(Q:Q,A31)</f>
        <v>1</v>
      </c>
      <c r="F31" s="43">
        <f t="shared" si="8"/>
        <v>4.0000000000000001E-3</v>
      </c>
      <c r="G31">
        <f t="shared" si="4"/>
        <v>23712</v>
      </c>
      <c r="H31">
        <f t="shared" si="5"/>
        <v>23712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5928000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3" t="s">
        <v>106</v>
      </c>
      <c r="B40">
        <f ca="1">SUMIF(tables_358103!C:C,input_358103!A40,tables_358103!O:O)</f>
        <v>0</v>
      </c>
      <c r="C40" s="54">
        <f t="shared" ref="C40:C46" ca="1" si="9">B40/B$47</f>
        <v>0</v>
      </c>
      <c r="E40">
        <v>3</v>
      </c>
      <c r="F40">
        <f ca="1">SUMIF(tables_358103!J:J,input_358103!E40,tables_358103!O:O)</f>
        <v>0</v>
      </c>
      <c r="G40">
        <f ca="1">F40/A36</f>
        <v>0</v>
      </c>
    </row>
    <row r="41" spans="1:7" x14ac:dyDescent="0.15">
      <c r="A41" s="33" t="s">
        <v>107</v>
      </c>
      <c r="B41">
        <f ca="1">SUMIF(tables_358103!C:C,input_358103!A41,tables_358103!O:O)</f>
        <v>3626750.4000000032</v>
      </c>
      <c r="C41" s="54">
        <f t="shared" ca="1" si="9"/>
        <v>0.91847345132743363</v>
      </c>
      <c r="E41">
        <v>4</v>
      </c>
      <c r="F41">
        <f ca="1">SUMIF(tables_358103!J:J,input_358103!E41,tables_358103!O:O)</f>
        <v>5607888.0000000056</v>
      </c>
      <c r="G41">
        <f ca="1">F41/A36</f>
        <v>0.94600000000000095</v>
      </c>
    </row>
    <row r="42" spans="1:7" x14ac:dyDescent="0.15">
      <c r="A42" s="33" t="s">
        <v>109</v>
      </c>
      <c r="B42">
        <f ca="1">SUMIF(tables_358103!C:C,input_358103!A42,tables_358103!O:O)</f>
        <v>124488</v>
      </c>
      <c r="C42" s="54">
        <f t="shared" ca="1" si="9"/>
        <v>3.1526548672566344E-2</v>
      </c>
      <c r="E42">
        <v>5</v>
      </c>
      <c r="F42">
        <f ca="1">SUMIF(tables_358103!J:J,input_358103!E42,tables_358103!O:O)</f>
        <v>320111.99999999988</v>
      </c>
      <c r="G42">
        <f ca="1">F42/A36</f>
        <v>5.3999999999999979E-2</v>
      </c>
    </row>
    <row r="43" spans="1:7" x14ac:dyDescent="0.15">
      <c r="A43" s="33" t="s">
        <v>113</v>
      </c>
      <c r="B43">
        <f>SUMIF(tables_358103!C:C,input_358103!A43,tables_358103!O:O)</f>
        <v>0</v>
      </c>
      <c r="C43" s="54">
        <f t="shared" ca="1" si="9"/>
        <v>0</v>
      </c>
      <c r="F43" s="55"/>
    </row>
    <row r="44" spans="1:7" x14ac:dyDescent="0.15">
      <c r="A44" s="33" t="s">
        <v>108</v>
      </c>
      <c r="B44">
        <f ca="1">SUMIF(tables_358103!C:C,input_358103!A44,tables_358103!O:O)</f>
        <v>190881.59999999989</v>
      </c>
      <c r="C44" s="54">
        <f t="shared" ca="1" si="9"/>
        <v>4.8340707964601701E-2</v>
      </c>
      <c r="E44" t="s">
        <v>55</v>
      </c>
      <c r="F44" s="55"/>
    </row>
    <row r="45" spans="1:7" x14ac:dyDescent="0.15">
      <c r="A45" s="33" t="s">
        <v>110</v>
      </c>
      <c r="B45">
        <f ca="1">SUMIF(tables_358103!C:C,input_358103!A45,tables_358103!O:O)</f>
        <v>6552</v>
      </c>
      <c r="C45" s="54">
        <f t="shared" ca="1" si="9"/>
        <v>1.6592920353982288E-3</v>
      </c>
      <c r="E45" t="s">
        <v>210</v>
      </c>
      <c r="F45" s="55">
        <f ca="1">SUMIF(tables_358103!I:I,input_358103!E45,tables_358103!P:P)</f>
        <v>0.25438461538461538</v>
      </c>
    </row>
    <row r="46" spans="1:7" x14ac:dyDescent="0.15">
      <c r="A46" s="33" t="s">
        <v>111</v>
      </c>
      <c r="B46">
        <f>SUMIF(tables_358103!C:C,input_358103!A46,tables_358103!O:O)</f>
        <v>0</v>
      </c>
      <c r="C46" s="54">
        <f t="shared" ca="1" si="9"/>
        <v>0</v>
      </c>
      <c r="E46" t="s">
        <v>211</v>
      </c>
      <c r="F46" s="55">
        <f ca="1">SUMIF(tables_358103!I:I,input_358103!E46,tables_358103!P:P)</f>
        <v>0.21290688259109308</v>
      </c>
    </row>
    <row r="47" spans="1:7" x14ac:dyDescent="0.15">
      <c r="A47" s="39" t="s">
        <v>60</v>
      </c>
      <c r="B47">
        <f ca="1">SUM(B40:B46)</f>
        <v>3948672.0000000033</v>
      </c>
      <c r="C47" s="55">
        <f ca="1">SUM(C40:C46)</f>
        <v>0.99999999999999989</v>
      </c>
      <c r="E47" t="s">
        <v>212</v>
      </c>
      <c r="F47" s="55">
        <f ca="1">SUMIF(tables_358103!I:I,input_358103!E47,tables_358103!P:P)</f>
        <v>0.5085587044534412</v>
      </c>
    </row>
    <row r="48" spans="1:7" x14ac:dyDescent="0.15">
      <c r="E48" t="s">
        <v>213</v>
      </c>
      <c r="F48" s="55">
        <f ca="1">SUMIF(tables_358103!I:I,input_358103!E48,tables_358103!P:P)</f>
        <v>2.6842105263157921E-2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284"/>
  <sheetViews>
    <sheetView showGridLines="0" zoomScale="75" zoomScaleNormal="75" zoomScalePageLayoutView="75" workbookViewId="0">
      <pane ySplit="1" topLeftCell="A262" activePane="bottomLeft" state="frozen"/>
      <selection activeCell="L296" sqref="L296"/>
      <selection pane="bottomLeft" activeCell="O284" sqref="O28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input_358103!A$2</f>
        <v>358103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IFERROR(VLOOKUP(B2,input_358103!L:R,7,FALSE),VLOOKUP(tables_358103!C2,input_358103!A:H,8,FALSE))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input_358103!A$2</f>
        <v>358103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IFERROR(VLOOKUP(B3,input_358103!L:R,7,FALSE),VLOOKUP(tables_358103!C3,input_358103!A:H,8,FALSE))</f>
        <v>73416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input_358103!A$2</f>
        <v>358103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IFERROR(VLOOKUP(B4,input_358103!L:R,7,FALSE),VLOOKUP(tables_358103!C4,input_358103!A:H,8,FALSE))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input_358103!A$2</f>
        <v>358103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IFERROR(VLOOKUP(B5,input_358103!L:R,7,FALSE),VLOOKUP(tables_358103!C5,input_358103!A:H,8,FALSE))</f>
        <v>73416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input_358103!A$2</f>
        <v>358103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IFERROR(VLOOKUP(B6,input_358103!L:R,7,FALSE),VLOOKUP(tables_358103!C6,input_358103!A:H,8,FALSE))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input_358103!A$2</f>
        <v>358103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IFERROR(VLOOKUP(B7,input_358103!L:R,7,FALSE),VLOOKUP(tables_358103!C7,input_358103!A:H,8,FALSE))</f>
        <v>73416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input_358103!A$2</f>
        <v>358103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IFERROR(VLOOKUP(B8,input_358103!L:R,7,FALSE),VLOOKUP(tables_358103!C8,input_358103!A:H,8,FALSE))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input_358103!A$2</f>
        <v>358103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IFERROR(VLOOKUP(B9,input_358103!L:R,7,FALSE),VLOOKUP(tables_358103!C9,input_358103!A:H,8,FALSE))</f>
        <v>73416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input_358103!A$2</f>
        <v>358103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IFERROR(VLOOKUP(B10,input_358103!L:R,7,FALSE),VLOOKUP(tables_358103!C10,input_358103!A:H,8,FALSE))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input_358103!A$2</f>
        <v>358103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IFERROR(VLOOKUP(B11,input_358103!L:R,7,FALSE),VLOOKUP(tables_358103!C11,input_358103!A:H,8,FALSE))</f>
        <v>73416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input_358103!A$2</f>
        <v>358103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IFERROR(VLOOKUP(B12,input_358103!L:R,7,FALSE),VLOOKUP(tables_358103!C12,input_358103!A:H,8,FALSE))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input_358103!A$2</f>
        <v>358103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IFERROR(VLOOKUP(B13,input_358103!L:R,7,FALSE),VLOOKUP(tables_358103!C13,input_358103!A:H,8,FALSE))</f>
        <v>73416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input_358103!A$2</f>
        <v>358103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IFERROR(VLOOKUP(B14,input_358103!L:R,7,FALSE),VLOOKUP(tables_358103!C14,input_358103!A:H,8,FALSE))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input_358103!A$2</f>
        <v>358103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IFERROR(VLOOKUP(B15,input_358103!L:R,7,FALSE),VLOOKUP(tables_358103!C15,input_358103!A:H,8,FALSE))</f>
        <v>73416</v>
      </c>
      <c r="P15" s="46">
        <f ca="1">O15/SUM(O:O)</f>
        <v>1.2384615384615385E-2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input_358103!A$2</f>
        <v>358103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IFERROR(VLOOKUP(B16,input_358103!L:R,7,FALSE),VLOOKUP(tables_358103!C16,input_358103!A:H,8,FALSE))</f>
        <v>0</v>
      </c>
      <c r="P16" s="46">
        <f ca="1">O16/SUM(O:O)</f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input_358103!A$2</f>
        <v>358103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IFERROR(VLOOKUP(B17,input_358103!L:R,7,FALSE),VLOOKUP(tables_358103!C17,input_358103!A:H,8,FALSE))</f>
        <v>73416</v>
      </c>
      <c r="P17" s="46">
        <f ca="1">O17/SUM(O:O)</f>
        <v>1.2384615384615385E-2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input_358103!A$2</f>
        <v>358103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IFERROR(VLOOKUP(B18,input_358103!L:R,7,FALSE),VLOOKUP(tables_358103!C18,input_358103!A:H,8,FALSE))</f>
        <v>0</v>
      </c>
      <c r="P18" s="46">
        <f ca="1">O18/SUM(O:O)</f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input_358103!A$2</f>
        <v>358103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IFERROR(VLOOKUP(B19,input_358103!L:R,7,FALSE),VLOOKUP(tables_358103!C19,input_358103!A:H,8,FALSE))</f>
        <v>73416</v>
      </c>
      <c r="P19" s="46">
        <f ca="1">O19/SUM(O:O)</f>
        <v>1.2384615384615385E-2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input_358103!A$2</f>
        <v>358103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IFERROR(VLOOKUP(B20,input_358103!L:R,7,FALSE),VLOOKUP(tables_358103!C20,input_358103!A:H,8,FALSE))</f>
        <v>0</v>
      </c>
      <c r="P20" s="46">
        <f ca="1">O20/SUM(O:O)</f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input_358103!A$2</f>
        <v>358103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IFERROR(VLOOKUP(B21,input_358103!L:R,7,FALSE),VLOOKUP(tables_358103!C21,input_358103!A:H,8,FALSE))</f>
        <v>73416</v>
      </c>
      <c r="P21" s="46">
        <f ca="1">O21/SUM(O:O)</f>
        <v>1.2384615384615385E-2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input_358103!A$2</f>
        <v>358103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IFERROR(VLOOKUP(B22,input_358103!L:R,7,FALSE),VLOOKUP(tables_358103!C22,input_358103!A:H,8,FALSE))</f>
        <v>0</v>
      </c>
      <c r="P22" s="46">
        <f ca="1">O22/SUM(O:O)</f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input_358103!A$2</f>
        <v>358103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IFERROR(VLOOKUP(B23,input_358103!L:R,7,FALSE),VLOOKUP(tables_358103!C23,input_358103!A:H,8,FALSE))</f>
        <v>73416</v>
      </c>
      <c r="P23" s="46">
        <f ca="1">O23/SUM(O:O)</f>
        <v>1.2384615384615385E-2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input_358103!A$2</f>
        <v>358103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IFERROR(VLOOKUP(B24,input_358103!L:R,7,FALSE),VLOOKUP(tables_358103!C24,input_358103!A:H,8,FALSE))</f>
        <v>0</v>
      </c>
      <c r="P24" s="46">
        <f ca="1">O24/SUM(O:O)</f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input_358103!A$2</f>
        <v>358103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IFERROR(VLOOKUP(B25,input_358103!L:R,7,FALSE),VLOOKUP(tables_358103!C25,input_358103!A:H,8,FALSE))</f>
        <v>73416</v>
      </c>
      <c r="P25" s="46">
        <f ca="1">O25/SUM(O:O)</f>
        <v>1.2384615384615385E-2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input_358103!A$2</f>
        <v>358103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IFERROR(VLOOKUP(B26,input_358103!L:R,7,FALSE),VLOOKUP(tables_358103!C26,input_358103!A:H,8,FALSE))</f>
        <v>0</v>
      </c>
      <c r="P26" s="46">
        <f ca="1">O26/SUM(O:O)</f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input_358103!A$2</f>
        <v>358103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IFERROR(VLOOKUP(B27,input_358103!L:R,7,FALSE),VLOOKUP(tables_358103!C27,input_358103!A:H,8,FALSE))</f>
        <v>73416</v>
      </c>
      <c r="P27" s="46">
        <f ca="1">O27/SUM(O:O)</f>
        <v>1.2384615384615385E-2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input_358103!A$2</f>
        <v>358103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IFERROR(VLOOKUP(B28,input_358103!L:R,7,FALSE),VLOOKUP(tables_358103!C28,input_358103!A:H,8,FALSE))</f>
        <v>0</v>
      </c>
      <c r="P28" s="46">
        <f ca="1">O28/SUM(O:O)</f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input_358103!A$2</f>
        <v>358103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IFERROR(VLOOKUP(B29,input_358103!L:R,7,FALSE),VLOOKUP(tables_358103!C29,input_358103!A:H,8,FALSE))</f>
        <v>73416</v>
      </c>
      <c r="P29" s="46">
        <f ca="1">O29/SUM(O:O)</f>
        <v>1.2384615384615385E-2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input_358103!A$2</f>
        <v>358103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IFERROR(VLOOKUP(B30,input_358103!L:R,7,FALSE),VLOOKUP(tables_358103!C30,input_358103!A:H,8,FALSE))</f>
        <v>0</v>
      </c>
      <c r="P30" s="46">
        <f ca="1">O30/SUM(O:O)</f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input_358103!A$2</f>
        <v>358103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IFERROR(VLOOKUP(B31,input_358103!L:R,7,FALSE),VLOOKUP(tables_358103!C31,input_358103!A:H,8,FALSE))</f>
        <v>73416</v>
      </c>
      <c r="P31" s="46">
        <f ca="1">O31/SUM(O:O)</f>
        <v>1.2384615384615385E-2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input_358103!A$2</f>
        <v>358103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IFERROR(VLOOKUP(B32,input_358103!L:R,7,FALSE),VLOOKUP(tables_358103!C32,input_358103!A:H,8,FALSE))</f>
        <v>0</v>
      </c>
      <c r="P32" s="46">
        <f ca="1">O32/SUM(O:O)</f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input_358103!A$2</f>
        <v>358103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IFERROR(VLOOKUP(B33,input_358103!L:R,7,FALSE),VLOOKUP(tables_358103!C33,input_358103!A:H,8,FALSE))</f>
        <v>73416</v>
      </c>
      <c r="P33" s="46">
        <f ca="1">O33/SUM(O:O)</f>
        <v>1.2384615384615385E-2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input_358103!A$2</f>
        <v>358103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IFERROR(VLOOKUP(B34,input_358103!L:R,7,FALSE),VLOOKUP(tables_358103!C34,input_358103!A:H,8,FALSE))</f>
        <v>0</v>
      </c>
      <c r="P34" s="46">
        <f ca="1">O34/SUM(O:O)</f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input_358103!A$2</f>
        <v>358103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IFERROR(VLOOKUP(B35,input_358103!L:R,7,FALSE),VLOOKUP(tables_358103!C35,input_358103!A:H,8,FALSE))</f>
        <v>73416</v>
      </c>
      <c r="P35" s="46">
        <f ca="1">O35/SUM(O:O)</f>
        <v>1.2384615384615385E-2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input_358103!A$2</f>
        <v>358103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IFERROR(VLOOKUP(B36,input_358103!L:R,7,FALSE),VLOOKUP(tables_358103!C36,input_358103!A:H,8,FALSE))</f>
        <v>0</v>
      </c>
      <c r="P36" s="46">
        <f ca="1">O36/SUM(O:O)</f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input_358103!A$2</f>
        <v>358103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IFERROR(VLOOKUP(B37,input_358103!L:R,7,FALSE),VLOOKUP(tables_358103!C37,input_358103!A:H,8,FALSE))</f>
        <v>73416</v>
      </c>
      <c r="P37" s="46">
        <f ca="1">O37/SUM(O:O)</f>
        <v>1.2384615384615385E-2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input_358103!A$2</f>
        <v>358103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IFERROR(VLOOKUP(B38,input_358103!L:R,7,FALSE),VLOOKUP(tables_358103!C38,input_358103!A:H,8,FALSE))</f>
        <v>0</v>
      </c>
      <c r="P38" s="46">
        <f ca="1">O38/SUM(O:O)</f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input_358103!A$2</f>
        <v>358103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IFERROR(VLOOKUP(B39,input_358103!L:R,7,FALSE),VLOOKUP(tables_358103!C39,input_358103!A:H,8,FALSE))</f>
        <v>73416</v>
      </c>
      <c r="P39" s="46">
        <f ca="1">O39/SUM(O:O)</f>
        <v>1.2384615384615385E-2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input_358103!A$2</f>
        <v>358103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IFERROR(VLOOKUP(B40,input_358103!L:R,7,FALSE),VLOOKUP(tables_358103!C40,input_358103!A:H,8,FALSE))</f>
        <v>0</v>
      </c>
      <c r="P40" s="46">
        <f ca="1">O40/SUM(O:O)</f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input_358103!A$2</f>
        <v>358103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IFERROR(VLOOKUP(B41,input_358103!L:R,7,FALSE),VLOOKUP(tables_358103!C41,input_358103!A:H,8,FALSE))</f>
        <v>73416</v>
      </c>
      <c r="P41" s="46">
        <f ca="1">O41/SUM(O:O)</f>
        <v>1.2384615384615385E-2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input_358103!A$2</f>
        <v>358103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IFERROR(VLOOKUP(B42,input_358103!L:R,7,FALSE),VLOOKUP(tables_358103!C42,input_358103!A:H,8,FALSE))</f>
        <v>0</v>
      </c>
      <c r="P42" s="46">
        <f ca="1">O42/SUM(O:O)</f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input_358103!A$2</f>
        <v>358103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IFERROR(VLOOKUP(B43,input_358103!L:R,7,FALSE),VLOOKUP(tables_358103!C43,input_358103!A:H,8,FALSE))</f>
        <v>4446</v>
      </c>
      <c r="P43" s="46">
        <f ca="1">O43/SUM(O:O)</f>
        <v>7.5000000000000002E-4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input_358103!A$2</f>
        <v>358103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IFERROR(VLOOKUP(B44,input_358103!L:R,7,FALSE),VLOOKUP(tables_358103!C44,input_358103!A:H,8,FALSE))</f>
        <v>234</v>
      </c>
      <c r="P44" s="46">
        <f ca="1">O44/SUM(O:O)</f>
        <v>3.9473684210526316E-5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input_358103!A$2</f>
        <v>358103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IFERROR(VLOOKUP(B45,input_358103!L:R,7,FALSE),VLOOKUP(tables_358103!C45,input_358103!A:H,8,FALSE))</f>
        <v>0</v>
      </c>
      <c r="P45" s="46">
        <f ca="1">O45/SUM(O:O)</f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input_358103!A$2</f>
        <v>358103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IFERROR(VLOOKUP(B46,input_358103!L:R,7,FALSE),VLOOKUP(tables_358103!C46,input_358103!A:H,8,FALSE))</f>
        <v>4446</v>
      </c>
      <c r="P46" s="46">
        <f ca="1">O46/SUM(O:O)</f>
        <v>7.5000000000000002E-4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input_358103!A$2</f>
        <v>358103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IFERROR(VLOOKUP(B47,input_358103!L:R,7,FALSE),VLOOKUP(tables_358103!C47,input_358103!A:H,8,FALSE))</f>
        <v>234</v>
      </c>
      <c r="P47" s="46">
        <f ca="1">O47/SUM(O:O)</f>
        <v>3.9473684210526316E-5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input_358103!A$2</f>
        <v>358103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IFERROR(VLOOKUP(B48,input_358103!L:R,7,FALSE),VLOOKUP(tables_358103!C48,input_358103!A:H,8,FALSE))</f>
        <v>0</v>
      </c>
      <c r="P48" s="46">
        <f ca="1">O48/SUM(O:O)</f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input_358103!A$2</f>
        <v>358103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IFERROR(VLOOKUP(B49,input_358103!L:R,7,FALSE),VLOOKUP(tables_358103!C49,input_358103!A:H,8,FALSE))</f>
        <v>4446</v>
      </c>
      <c r="P49" s="46">
        <f ca="1">O49/SUM(O:O)</f>
        <v>7.5000000000000002E-4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input_358103!A$2</f>
        <v>358103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IFERROR(VLOOKUP(B50,input_358103!L:R,7,FALSE),VLOOKUP(tables_358103!C50,input_358103!A:H,8,FALSE))</f>
        <v>234</v>
      </c>
      <c r="P50" s="46">
        <f ca="1">O50/SUM(O:O)</f>
        <v>3.9473684210526316E-5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input_358103!A$2</f>
        <v>358103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IFERROR(VLOOKUP(B51,input_358103!L:R,7,FALSE),VLOOKUP(tables_358103!C51,input_358103!A:H,8,FALSE))</f>
        <v>0</v>
      </c>
      <c r="P51" s="46">
        <f ca="1">O51/SUM(O:O)</f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input_358103!A$2</f>
        <v>358103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IFERROR(VLOOKUP(B52,input_358103!L:R,7,FALSE),VLOOKUP(tables_358103!C52,input_358103!A:H,8,FALSE))</f>
        <v>69745.2</v>
      </c>
      <c r="P52" s="46">
        <f ca="1">O52/SUM(O:O)</f>
        <v>1.1765384615384615E-2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input_358103!A$2</f>
        <v>358103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IFERROR(VLOOKUP(B53,input_358103!L:R,7,FALSE),VLOOKUP(tables_358103!C53,input_358103!A:H,8,FALSE))</f>
        <v>3670.8</v>
      </c>
      <c r="P53" s="46">
        <f ca="1">O53/SUM(O:O)</f>
        <v>6.1923076923076927E-4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input_358103!A$2</f>
        <v>358103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IFERROR(VLOOKUP(B54,input_358103!L:R,7,FALSE),VLOOKUP(tables_358103!C54,input_358103!A:H,8,FALSE))</f>
        <v>0</v>
      </c>
      <c r="P54" s="46">
        <f ca="1">O54/SUM(O:O)</f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input_358103!A$2</f>
        <v>358103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IFERROR(VLOOKUP(B55,input_358103!L:R,7,FALSE),VLOOKUP(tables_358103!C55,input_358103!A:H,8,FALSE))</f>
        <v>69745.2</v>
      </c>
      <c r="P55" s="46">
        <f ca="1">O55/SUM(O:O)</f>
        <v>1.1765384615384615E-2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input_358103!A$2</f>
        <v>358103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IFERROR(VLOOKUP(B56,input_358103!L:R,7,FALSE),VLOOKUP(tables_358103!C56,input_358103!A:H,8,FALSE))</f>
        <v>3670.8</v>
      </c>
      <c r="P56" s="46">
        <f ca="1">O56/SUM(O:O)</f>
        <v>6.1923076923076927E-4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input_358103!A$2</f>
        <v>358103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IFERROR(VLOOKUP(B57,input_358103!L:R,7,FALSE),VLOOKUP(tables_358103!C57,input_358103!A:H,8,FALSE))</f>
        <v>0</v>
      </c>
      <c r="P57" s="46">
        <f ca="1">O57/SUM(O:O)</f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input_358103!A$2</f>
        <v>358103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IFERROR(VLOOKUP(B58,input_358103!L:R,7,FALSE),VLOOKUP(tables_358103!C58,input_358103!A:H,8,FALSE))</f>
        <v>69745.2</v>
      </c>
      <c r="P58" s="46">
        <f ca="1">O58/SUM(O:O)</f>
        <v>1.1765384615384615E-2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input_358103!A$2</f>
        <v>358103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IFERROR(VLOOKUP(B59,input_358103!L:R,7,FALSE),VLOOKUP(tables_358103!C59,input_358103!A:H,8,FALSE))</f>
        <v>3670.8</v>
      </c>
      <c r="P59" s="46">
        <f ca="1">O59/SUM(O:O)</f>
        <v>6.1923076923076927E-4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input_358103!A$2</f>
        <v>358103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IFERROR(VLOOKUP(B60,input_358103!L:R,7,FALSE),VLOOKUP(tables_358103!C60,input_358103!A:H,8,FALSE))</f>
        <v>0</v>
      </c>
      <c r="P60" s="46">
        <f ca="1">O60/SUM(O:O)</f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input_358103!A$2</f>
        <v>358103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IFERROR(VLOOKUP(B61,input_358103!L:R,7,FALSE),VLOOKUP(tables_358103!C61,input_358103!A:H,8,FALSE))</f>
        <v>69745.2</v>
      </c>
      <c r="P61" s="46">
        <f ca="1">O61/SUM(O:O)</f>
        <v>1.1765384615384615E-2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input_358103!A$2</f>
        <v>358103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IFERROR(VLOOKUP(B62,input_358103!L:R,7,FALSE),VLOOKUP(tables_358103!C62,input_358103!A:H,8,FALSE))</f>
        <v>3670.8</v>
      </c>
      <c r="P62" s="46">
        <f ca="1">O62/SUM(O:O)</f>
        <v>6.1923076923076927E-4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input_358103!A$2</f>
        <v>358103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IFERROR(VLOOKUP(B63,input_358103!L:R,7,FALSE),VLOOKUP(tables_358103!C63,input_358103!A:H,8,FALSE))</f>
        <v>0</v>
      </c>
      <c r="P63" s="46">
        <f ca="1">O63/SUM(O:O)</f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input_358103!A$2</f>
        <v>358103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IFERROR(VLOOKUP(B64,input_358103!L:R,7,FALSE),VLOOKUP(tables_358103!C64,input_358103!A:H,8,FALSE))</f>
        <v>69745.2</v>
      </c>
      <c r="P64" s="46">
        <f ca="1">O64/SUM(O:O)</f>
        <v>1.1765384615384615E-2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input_358103!A$2</f>
        <v>358103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IFERROR(VLOOKUP(B65,input_358103!L:R,7,FALSE),VLOOKUP(tables_358103!C65,input_358103!A:H,8,FALSE))</f>
        <v>3670.8</v>
      </c>
      <c r="P65" s="46">
        <f ca="1">O65/SUM(O:O)</f>
        <v>6.1923076923076927E-4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input_358103!A$2</f>
        <v>358103</v>
      </c>
      <c r="B66" s="6">
        <v>190</v>
      </c>
      <c r="C66" s="7" t="str">
        <f t="shared" ref="C66:C129" si="2">D66&amp;J66&amp;E66&amp;F66&amp;G66</f>
        <v>Premium3</v>
      </c>
      <c r="D66" s="7" t="str">
        <f t="shared" ref="D66:D129" si="3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IFERROR(VLOOKUP(B66,input_358103!L:R,7,FALSE),VLOOKUP(tables_358103!C66,input_358103!A:H,8,FALSE))</f>
        <v>0</v>
      </c>
      <c r="P66" s="46">
        <f ca="1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input_358103!A$2</f>
        <v>358103</v>
      </c>
      <c r="B67" s="6">
        <v>191</v>
      </c>
      <c r="C67" s="7" t="str">
        <f t="shared" si="2"/>
        <v>Premium4</v>
      </c>
      <c r="D67" s="7" t="str">
        <f t="shared" si="3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IFERROR(VLOOKUP(B67,input_358103!L:R,7,FALSE),VLOOKUP(tables_358103!C67,input_358103!A:H,8,FALSE))</f>
        <v>69745.2</v>
      </c>
      <c r="P67" s="46">
        <f ca="1">O67/SUM(O:O)</f>
        <v>1.1765384615384615E-2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input_358103!A$2</f>
        <v>358103</v>
      </c>
      <c r="B68" s="6">
        <v>192</v>
      </c>
      <c r="C68" s="7" t="str">
        <f t="shared" si="2"/>
        <v>Premium5</v>
      </c>
      <c r="D68" s="7" t="str">
        <f t="shared" si="3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IFERROR(VLOOKUP(B68,input_358103!L:R,7,FALSE),VLOOKUP(tables_358103!C68,input_358103!A:H,8,FALSE))</f>
        <v>3670.8</v>
      </c>
      <c r="P68" s="46">
        <f ca="1">O68/SUM(O:O)</f>
        <v>6.1923076923076927E-4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input_358103!A$2</f>
        <v>358103</v>
      </c>
      <c r="B69" s="6">
        <v>193</v>
      </c>
      <c r="C69" s="7" t="str">
        <f t="shared" si="2"/>
        <v>Premium3</v>
      </c>
      <c r="D69" s="7" t="str">
        <f t="shared" si="3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IFERROR(VLOOKUP(B69,input_358103!L:R,7,FALSE),VLOOKUP(tables_358103!C69,input_358103!A:H,8,FALSE))</f>
        <v>0</v>
      </c>
      <c r="P69" s="46">
        <f ca="1">O69/SUM(O:O)</f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input_358103!A$2</f>
        <v>358103</v>
      </c>
      <c r="B70" s="10">
        <v>194</v>
      </c>
      <c r="C70" s="7" t="str">
        <f t="shared" si="2"/>
        <v>Premium4</v>
      </c>
      <c r="D70" s="7" t="str">
        <f t="shared" si="3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IFERROR(VLOOKUP(B70,input_358103!L:R,7,FALSE),VLOOKUP(tables_358103!C70,input_358103!A:H,8,FALSE))</f>
        <v>69745.2</v>
      </c>
      <c r="P70" s="46">
        <f ca="1">O70/SUM(O:O)</f>
        <v>1.1765384615384615E-2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input_358103!A$2</f>
        <v>358103</v>
      </c>
      <c r="B71" s="6">
        <v>195</v>
      </c>
      <c r="C71" s="7" t="str">
        <f t="shared" si="2"/>
        <v>Premium5</v>
      </c>
      <c r="D71" s="7" t="str">
        <f t="shared" si="3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IFERROR(VLOOKUP(B71,input_358103!L:R,7,FALSE),VLOOKUP(tables_358103!C71,input_358103!A:H,8,FALSE))</f>
        <v>3670.8</v>
      </c>
      <c r="P71" s="46">
        <f ca="1">O71/SUM(O:O)</f>
        <v>6.1923076923076927E-4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input_358103!A$2</f>
        <v>358103</v>
      </c>
      <c r="B72" s="10">
        <v>196</v>
      </c>
      <c r="C72" s="7" t="str">
        <f t="shared" si="2"/>
        <v>Premium3</v>
      </c>
      <c r="D72" s="7" t="str">
        <f t="shared" si="3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IFERROR(VLOOKUP(B72,input_358103!L:R,7,FALSE),VLOOKUP(tables_358103!C72,input_358103!A:H,8,FALSE))</f>
        <v>0</v>
      </c>
      <c r="P72" s="46">
        <f ca="1">O72/SUM(O:O)</f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input_358103!A$2</f>
        <v>358103</v>
      </c>
      <c r="B73" s="11">
        <v>197</v>
      </c>
      <c r="C73" s="7" t="str">
        <f t="shared" si="2"/>
        <v>Premium4</v>
      </c>
      <c r="D73" s="7" t="str">
        <f t="shared" si="3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IFERROR(VLOOKUP(B73,input_358103!L:R,7,FALSE),VLOOKUP(tables_358103!C73,input_358103!A:H,8,FALSE))</f>
        <v>69745.2</v>
      </c>
      <c r="P73" s="46">
        <f ca="1">O73/SUM(O:O)</f>
        <v>1.1765384615384615E-2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input_358103!A$2</f>
        <v>358103</v>
      </c>
      <c r="B74" s="6">
        <v>198</v>
      </c>
      <c r="C74" s="7" t="str">
        <f t="shared" si="2"/>
        <v>Premium5</v>
      </c>
      <c r="D74" s="7" t="str">
        <f t="shared" si="3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IFERROR(VLOOKUP(B74,input_358103!L:R,7,FALSE),VLOOKUP(tables_358103!C74,input_358103!A:H,8,FALSE))</f>
        <v>3670.8</v>
      </c>
      <c r="P74" s="46">
        <f ca="1">O74/SUM(O:O)</f>
        <v>6.1923076923076927E-4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input_358103!A$2</f>
        <v>358103</v>
      </c>
      <c r="B75" s="6">
        <v>199</v>
      </c>
      <c r="C75" s="7" t="str">
        <f t="shared" si="2"/>
        <v>Premium3</v>
      </c>
      <c r="D75" s="7" t="str">
        <f t="shared" si="3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IFERROR(VLOOKUP(B75,input_358103!L:R,7,FALSE),VLOOKUP(tables_358103!C75,input_358103!A:H,8,FALSE))</f>
        <v>0</v>
      </c>
      <c r="P75" s="46">
        <f ca="1">O75/SUM(O:O)</f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input_358103!A$2</f>
        <v>358103</v>
      </c>
      <c r="B76" s="6">
        <v>200</v>
      </c>
      <c r="C76" s="7" t="str">
        <f t="shared" si="2"/>
        <v>Premium4</v>
      </c>
      <c r="D76" s="7" t="str">
        <f t="shared" si="3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IFERROR(VLOOKUP(B76,input_358103!L:R,7,FALSE),VLOOKUP(tables_358103!C76,input_358103!A:H,8,FALSE))</f>
        <v>69745.2</v>
      </c>
      <c r="P76" s="46">
        <f ca="1">O76/SUM(O:O)</f>
        <v>1.1765384615384615E-2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input_358103!A$2</f>
        <v>358103</v>
      </c>
      <c r="B77" s="5">
        <v>201</v>
      </c>
      <c r="C77" s="7" t="str">
        <f t="shared" si="2"/>
        <v>Premium5</v>
      </c>
      <c r="D77" s="7" t="str">
        <f t="shared" si="3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IFERROR(VLOOKUP(B77,input_358103!L:R,7,FALSE),VLOOKUP(tables_358103!C77,input_358103!A:H,8,FALSE))</f>
        <v>3670.8</v>
      </c>
      <c r="P77" s="46">
        <f ca="1">O77/SUM(O:O)</f>
        <v>6.1923076923076927E-4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input_358103!A$2</f>
        <v>358103</v>
      </c>
      <c r="B78" s="5">
        <v>202</v>
      </c>
      <c r="C78" s="7" t="str">
        <f t="shared" si="2"/>
        <v>Premium3</v>
      </c>
      <c r="D78" s="7" t="str">
        <f t="shared" si="3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IFERROR(VLOOKUP(B78,input_358103!L:R,7,FALSE),VLOOKUP(tables_358103!C78,input_358103!A:H,8,FALSE))</f>
        <v>0</v>
      </c>
      <c r="P78" s="46">
        <f ca="1">O78/SUM(O:O)</f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input_358103!A$2</f>
        <v>358103</v>
      </c>
      <c r="B79" s="5">
        <v>203</v>
      </c>
      <c r="C79" s="7" t="str">
        <f t="shared" si="2"/>
        <v>Premium4</v>
      </c>
      <c r="D79" s="7" t="str">
        <f t="shared" si="3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IFERROR(VLOOKUP(B79,input_358103!L:R,7,FALSE),VLOOKUP(tables_358103!C79,input_358103!A:H,8,FALSE))</f>
        <v>69745.2</v>
      </c>
      <c r="P79" s="46">
        <f ca="1">O79/SUM(O:O)</f>
        <v>1.1765384615384615E-2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input_358103!A$2</f>
        <v>358103</v>
      </c>
      <c r="B80" s="5">
        <v>204</v>
      </c>
      <c r="C80" s="7" t="str">
        <f t="shared" si="2"/>
        <v>Premium5</v>
      </c>
      <c r="D80" s="7" t="str">
        <f t="shared" si="3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IFERROR(VLOOKUP(B80,input_358103!L:R,7,FALSE),VLOOKUP(tables_358103!C80,input_358103!A:H,8,FALSE))</f>
        <v>3670.8</v>
      </c>
      <c r="P80" s="46">
        <f ca="1">O80/SUM(O:O)</f>
        <v>6.1923076923076927E-4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input_358103!A$2</f>
        <v>358103</v>
      </c>
      <c r="B81" s="5">
        <v>205</v>
      </c>
      <c r="C81" s="7" t="str">
        <f t="shared" si="2"/>
        <v>Premium3</v>
      </c>
      <c r="D81" s="7" t="str">
        <f t="shared" si="3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IFERROR(VLOOKUP(B81,input_358103!L:R,7,FALSE),VLOOKUP(tables_358103!C81,input_358103!A:H,8,FALSE))</f>
        <v>0</v>
      </c>
      <c r="P81" s="46">
        <f ca="1">O81/SUM(O:O)</f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input_358103!A$2</f>
        <v>358103</v>
      </c>
      <c r="B82" s="5">
        <v>206</v>
      </c>
      <c r="C82" s="7" t="str">
        <f t="shared" si="2"/>
        <v>Premium4</v>
      </c>
      <c r="D82" s="7" t="str">
        <f t="shared" si="3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IFERROR(VLOOKUP(B82,input_358103!L:R,7,FALSE),VLOOKUP(tables_358103!C82,input_358103!A:H,8,FALSE))</f>
        <v>69745.2</v>
      </c>
      <c r="P82" s="46">
        <f ca="1">O82/SUM(O:O)</f>
        <v>1.1765384615384615E-2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input_358103!A$2</f>
        <v>358103</v>
      </c>
      <c r="B83" s="5">
        <v>207</v>
      </c>
      <c r="C83" s="7" t="str">
        <f t="shared" si="2"/>
        <v>Premium5</v>
      </c>
      <c r="D83" s="7" t="str">
        <f t="shared" si="3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IFERROR(VLOOKUP(B83,input_358103!L:R,7,FALSE),VLOOKUP(tables_358103!C83,input_358103!A:H,8,FALSE))</f>
        <v>3670.8</v>
      </c>
      <c r="P83" s="46">
        <f ca="1">O83/SUM(O:O)</f>
        <v>6.1923076923076927E-4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input_358103!A$2</f>
        <v>358103</v>
      </c>
      <c r="B84" s="5">
        <v>208</v>
      </c>
      <c r="C84" s="7" t="str">
        <f t="shared" si="2"/>
        <v>Premium3</v>
      </c>
      <c r="D84" s="7" t="str">
        <f t="shared" si="3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IFERROR(VLOOKUP(B84,input_358103!L:R,7,FALSE),VLOOKUP(tables_358103!C84,input_358103!A:H,8,FALSE))</f>
        <v>0</v>
      </c>
      <c r="P84" s="46">
        <f ca="1">O84/SUM(O:O)</f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input_358103!A$2</f>
        <v>358103</v>
      </c>
      <c r="B85" s="5">
        <v>209</v>
      </c>
      <c r="C85" s="7" t="str">
        <f t="shared" si="2"/>
        <v>Premium4</v>
      </c>
      <c r="D85" s="7" t="str">
        <f t="shared" si="3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IFERROR(VLOOKUP(B85,input_358103!L:R,7,FALSE),VLOOKUP(tables_358103!C85,input_358103!A:H,8,FALSE))</f>
        <v>69745.2</v>
      </c>
      <c r="P85" s="46">
        <f ca="1">O85/SUM(O:O)</f>
        <v>1.1765384615384615E-2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input_358103!A$2</f>
        <v>358103</v>
      </c>
      <c r="B86" s="5">
        <v>210</v>
      </c>
      <c r="C86" s="7" t="str">
        <f t="shared" si="2"/>
        <v>Premium5</v>
      </c>
      <c r="D86" s="7" t="str">
        <f t="shared" si="3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IFERROR(VLOOKUP(B86,input_358103!L:R,7,FALSE),VLOOKUP(tables_358103!C86,input_358103!A:H,8,FALSE))</f>
        <v>3670.8</v>
      </c>
      <c r="P86" s="46">
        <f ca="1">O86/SUM(O:O)</f>
        <v>6.1923076923076927E-4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input_358103!A$2</f>
        <v>358103</v>
      </c>
      <c r="B87" s="5">
        <v>211</v>
      </c>
      <c r="C87" s="7" t="str">
        <f t="shared" si="2"/>
        <v>Premium3</v>
      </c>
      <c r="D87" s="7" t="str">
        <f t="shared" si="3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IFERROR(VLOOKUP(B87,input_358103!L:R,7,FALSE),VLOOKUP(tables_358103!C87,input_358103!A:H,8,FALSE))</f>
        <v>0</v>
      </c>
      <c r="P87" s="46">
        <f ca="1">O87/SUM(O:O)</f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input_358103!A$2</f>
        <v>358103</v>
      </c>
      <c r="B88" s="5">
        <v>212</v>
      </c>
      <c r="C88" s="7" t="str">
        <f t="shared" si="2"/>
        <v>Premium4</v>
      </c>
      <c r="D88" s="7" t="str">
        <f t="shared" si="3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IFERROR(VLOOKUP(B88,input_358103!L:R,7,FALSE),VLOOKUP(tables_358103!C88,input_358103!A:H,8,FALSE))</f>
        <v>69745.2</v>
      </c>
      <c r="P88" s="46">
        <f ca="1">O88/SUM(O:O)</f>
        <v>1.1765384615384615E-2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input_358103!A$2</f>
        <v>358103</v>
      </c>
      <c r="B89" s="5">
        <v>213</v>
      </c>
      <c r="C89" s="7" t="str">
        <f t="shared" si="2"/>
        <v>Premium5</v>
      </c>
      <c r="D89" s="7" t="str">
        <f t="shared" si="3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IFERROR(VLOOKUP(B89,input_358103!L:R,7,FALSE),VLOOKUP(tables_358103!C89,input_358103!A:H,8,FALSE))</f>
        <v>3670.8</v>
      </c>
      <c r="P89" s="46">
        <f ca="1">O89/SUM(O:O)</f>
        <v>6.1923076923076927E-4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input_358103!A$2</f>
        <v>358103</v>
      </c>
      <c r="B90" s="5">
        <v>214</v>
      </c>
      <c r="C90" s="7" t="str">
        <f t="shared" si="2"/>
        <v>Premium3</v>
      </c>
      <c r="D90" s="7" t="str">
        <f t="shared" si="3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IFERROR(VLOOKUP(B90,input_358103!L:R,7,FALSE),VLOOKUP(tables_358103!C90,input_358103!A:H,8,FALSE))</f>
        <v>0</v>
      </c>
      <c r="P90" s="46">
        <f ca="1">O90/SUM(O:O)</f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input_358103!A$2</f>
        <v>358103</v>
      </c>
      <c r="B91" s="5">
        <v>215</v>
      </c>
      <c r="C91" s="7" t="str">
        <f t="shared" si="2"/>
        <v>Premium4</v>
      </c>
      <c r="D91" s="7" t="str">
        <f t="shared" si="3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IFERROR(VLOOKUP(B91,input_358103!L:R,7,FALSE),VLOOKUP(tables_358103!C91,input_358103!A:H,8,FALSE))</f>
        <v>69745.2</v>
      </c>
      <c r="P91" s="46">
        <f ca="1">O91/SUM(O:O)</f>
        <v>1.1765384615384615E-2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input_358103!A$2</f>
        <v>358103</v>
      </c>
      <c r="B92" s="5">
        <v>216</v>
      </c>
      <c r="C92" s="7" t="str">
        <f t="shared" si="2"/>
        <v>Premium5</v>
      </c>
      <c r="D92" s="7" t="str">
        <f t="shared" si="3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IFERROR(VLOOKUP(B92,input_358103!L:R,7,FALSE),VLOOKUP(tables_358103!C92,input_358103!A:H,8,FALSE))</f>
        <v>3670.8</v>
      </c>
      <c r="P92" s="46">
        <f ca="1">O92/SUM(O:O)</f>
        <v>6.1923076923076927E-4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input_358103!A$2</f>
        <v>358103</v>
      </c>
      <c r="B93" s="5">
        <v>217</v>
      </c>
      <c r="C93" s="7" t="str">
        <f t="shared" si="2"/>
        <v>Premium3</v>
      </c>
      <c r="D93" s="7" t="str">
        <f t="shared" si="3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IFERROR(VLOOKUP(B93,input_358103!L:R,7,FALSE),VLOOKUP(tables_358103!C93,input_358103!A:H,8,FALSE))</f>
        <v>0</v>
      </c>
      <c r="P93" s="46">
        <f ca="1">O93/SUM(O:O)</f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input_358103!A$2</f>
        <v>358103</v>
      </c>
      <c r="B94" s="5">
        <v>218</v>
      </c>
      <c r="C94" s="7" t="str">
        <f t="shared" si="2"/>
        <v>Premium4</v>
      </c>
      <c r="D94" s="7" t="str">
        <f t="shared" si="3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IFERROR(VLOOKUP(B94,input_358103!L:R,7,FALSE),VLOOKUP(tables_358103!C94,input_358103!A:H,8,FALSE))</f>
        <v>69745.2</v>
      </c>
      <c r="P94" s="46">
        <f ca="1">O94/SUM(O:O)</f>
        <v>1.1765384615384615E-2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input_358103!A$2</f>
        <v>358103</v>
      </c>
      <c r="B95" s="5">
        <v>219</v>
      </c>
      <c r="C95" s="7" t="str">
        <f t="shared" si="2"/>
        <v>Premium5</v>
      </c>
      <c r="D95" s="7" t="str">
        <f t="shared" si="3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IFERROR(VLOOKUP(B95,input_358103!L:R,7,FALSE),VLOOKUP(tables_358103!C95,input_358103!A:H,8,FALSE))</f>
        <v>3670.8</v>
      </c>
      <c r="P95" s="46">
        <f ca="1">O95/SUM(O:O)</f>
        <v>6.1923076923076927E-4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input_358103!A$2</f>
        <v>358103</v>
      </c>
      <c r="B96" s="5">
        <v>220</v>
      </c>
      <c r="C96" s="7" t="str">
        <f t="shared" si="2"/>
        <v>Premium3</v>
      </c>
      <c r="D96" s="7" t="str">
        <f t="shared" si="3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IFERROR(VLOOKUP(B96,input_358103!L:R,7,FALSE),VLOOKUP(tables_358103!C96,input_358103!A:H,8,FALSE))</f>
        <v>0</v>
      </c>
      <c r="P96" s="46">
        <f ca="1">O96/SUM(O:O)</f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input_358103!A$2</f>
        <v>358103</v>
      </c>
      <c r="B97" s="5">
        <v>221</v>
      </c>
      <c r="C97" s="7" t="str">
        <f t="shared" si="2"/>
        <v>Premium4</v>
      </c>
      <c r="D97" s="7" t="str">
        <f t="shared" si="3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IFERROR(VLOOKUP(B97,input_358103!L:R,7,FALSE),VLOOKUP(tables_358103!C97,input_358103!A:H,8,FALSE))</f>
        <v>69745.2</v>
      </c>
      <c r="P97" s="46">
        <f ca="1">O97/SUM(O:O)</f>
        <v>1.1765384615384615E-2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input_358103!A$2</f>
        <v>358103</v>
      </c>
      <c r="B98" s="5">
        <v>222</v>
      </c>
      <c r="C98" s="7" t="str">
        <f t="shared" si="2"/>
        <v>Premium5</v>
      </c>
      <c r="D98" s="7" t="str">
        <f t="shared" si="3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IFERROR(VLOOKUP(B98,input_358103!L:R,7,FALSE),VLOOKUP(tables_358103!C98,input_358103!A:H,8,FALSE))</f>
        <v>3670.8</v>
      </c>
      <c r="P98" s="46">
        <f ca="1">O98/SUM(O:O)</f>
        <v>6.1923076923076927E-4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input_358103!A$2</f>
        <v>358103</v>
      </c>
      <c r="B99" s="5">
        <v>223</v>
      </c>
      <c r="C99" s="7" t="str">
        <f t="shared" si="2"/>
        <v>Premium3</v>
      </c>
      <c r="D99" s="7" t="str">
        <f t="shared" si="3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IFERROR(VLOOKUP(B99,input_358103!L:R,7,FALSE),VLOOKUP(tables_358103!C99,input_358103!A:H,8,FALSE))</f>
        <v>0</v>
      </c>
      <c r="P99" s="46">
        <f ca="1">O99/SUM(O:O)</f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input_358103!A$2</f>
        <v>358103</v>
      </c>
      <c r="B100" s="5">
        <v>224</v>
      </c>
      <c r="C100" s="7" t="str">
        <f t="shared" si="2"/>
        <v>Premium4</v>
      </c>
      <c r="D100" s="7" t="str">
        <f t="shared" si="3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IFERROR(VLOOKUP(B100,input_358103!L:R,7,FALSE),VLOOKUP(tables_358103!C100,input_358103!A:H,8,FALSE))</f>
        <v>69745.2</v>
      </c>
      <c r="P100" s="46">
        <f ca="1">O100/SUM(O:O)</f>
        <v>1.1765384615384615E-2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input_358103!A$2</f>
        <v>358103</v>
      </c>
      <c r="B101" s="5">
        <v>225</v>
      </c>
      <c r="C101" s="7" t="str">
        <f t="shared" si="2"/>
        <v>Premium5</v>
      </c>
      <c r="D101" s="7" t="str">
        <f t="shared" si="3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IFERROR(VLOOKUP(B101,input_358103!L:R,7,FALSE),VLOOKUP(tables_358103!C101,input_358103!A:H,8,FALSE))</f>
        <v>3670.8</v>
      </c>
      <c r="P101" s="46">
        <f ca="1">O101/SUM(O:O)</f>
        <v>6.1923076923076927E-4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input_358103!A$2</f>
        <v>358103</v>
      </c>
      <c r="B102" s="5">
        <v>226</v>
      </c>
      <c r="C102" s="7" t="str">
        <f t="shared" si="2"/>
        <v>Premium3</v>
      </c>
      <c r="D102" s="7" t="str">
        <f t="shared" si="3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IFERROR(VLOOKUP(B102,input_358103!L:R,7,FALSE),VLOOKUP(tables_358103!C102,input_358103!A:H,8,FALSE))</f>
        <v>0</v>
      </c>
      <c r="P102" s="46">
        <f ca="1">O102/SUM(O:O)</f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input_358103!A$2</f>
        <v>358103</v>
      </c>
      <c r="B103" s="5">
        <v>227</v>
      </c>
      <c r="C103" s="7" t="str">
        <f t="shared" si="2"/>
        <v>Premium4</v>
      </c>
      <c r="D103" s="7" t="str">
        <f t="shared" si="3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IFERROR(VLOOKUP(B103,input_358103!L:R,7,FALSE),VLOOKUP(tables_358103!C103,input_358103!A:H,8,FALSE))</f>
        <v>69745.2</v>
      </c>
      <c r="P103" s="46">
        <f ca="1">O103/SUM(O:O)</f>
        <v>1.1765384615384615E-2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input_358103!A$2</f>
        <v>358103</v>
      </c>
      <c r="B104" s="5">
        <v>228</v>
      </c>
      <c r="C104" s="7" t="str">
        <f t="shared" si="2"/>
        <v>Premium5</v>
      </c>
      <c r="D104" s="7" t="str">
        <f t="shared" si="3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IFERROR(VLOOKUP(B104,input_358103!L:R,7,FALSE),VLOOKUP(tables_358103!C104,input_358103!A:H,8,FALSE))</f>
        <v>3670.8</v>
      </c>
      <c r="P104" s="46">
        <f ca="1">O104/SUM(O:O)</f>
        <v>6.1923076923076927E-4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input_358103!A$2</f>
        <v>358103</v>
      </c>
      <c r="B105" s="5">
        <v>229</v>
      </c>
      <c r="C105" s="7" t="str">
        <f t="shared" si="2"/>
        <v>Premium3</v>
      </c>
      <c r="D105" s="7" t="str">
        <f t="shared" si="3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IFERROR(VLOOKUP(B105,input_358103!L:R,7,FALSE),VLOOKUP(tables_358103!C105,input_358103!A:H,8,FALSE))</f>
        <v>0</v>
      </c>
      <c r="P105" s="46">
        <f ca="1">O105/SUM(O:O)</f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input_358103!A$2</f>
        <v>358103</v>
      </c>
      <c r="B106" s="5">
        <v>230</v>
      </c>
      <c r="C106" s="7" t="str">
        <f t="shared" si="2"/>
        <v>Premium4</v>
      </c>
      <c r="D106" s="7" t="str">
        <f t="shared" si="3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IFERROR(VLOOKUP(B106,input_358103!L:R,7,FALSE),VLOOKUP(tables_358103!C106,input_358103!A:H,8,FALSE))</f>
        <v>69745.2</v>
      </c>
      <c r="P106" s="46">
        <f ca="1">O106/SUM(O:O)</f>
        <v>1.1765384615384615E-2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input_358103!A$2</f>
        <v>358103</v>
      </c>
      <c r="B107" s="5">
        <v>231</v>
      </c>
      <c r="C107" s="7" t="str">
        <f t="shared" si="2"/>
        <v>Premium5</v>
      </c>
      <c r="D107" s="7" t="str">
        <f t="shared" si="3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IFERROR(VLOOKUP(B107,input_358103!L:R,7,FALSE),VLOOKUP(tables_358103!C107,input_358103!A:H,8,FALSE))</f>
        <v>3670.8</v>
      </c>
      <c r="P107" s="46">
        <f ca="1">O107/SUM(O:O)</f>
        <v>6.1923076923076927E-4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input_358103!A$2</f>
        <v>358103</v>
      </c>
      <c r="B108" s="5">
        <v>232</v>
      </c>
      <c r="C108" s="7" t="str">
        <f t="shared" si="2"/>
        <v>Premium3</v>
      </c>
      <c r="D108" s="7" t="str">
        <f t="shared" si="3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IFERROR(VLOOKUP(B108,input_358103!L:R,7,FALSE),VLOOKUP(tables_358103!C108,input_358103!A:H,8,FALSE))</f>
        <v>0</v>
      </c>
      <c r="P108" s="46">
        <f ca="1">O108/SUM(O:O)</f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input_358103!A$2</f>
        <v>358103</v>
      </c>
      <c r="B109" s="5">
        <v>233</v>
      </c>
      <c r="C109" s="7" t="str">
        <f t="shared" si="2"/>
        <v>Premium4</v>
      </c>
      <c r="D109" s="7" t="str">
        <f t="shared" si="3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IFERROR(VLOOKUP(B109,input_358103!L:R,7,FALSE),VLOOKUP(tables_358103!C109,input_358103!A:H,8,FALSE))</f>
        <v>69745.2</v>
      </c>
      <c r="P109" s="46">
        <f ca="1">O109/SUM(O:O)</f>
        <v>1.1765384615384615E-2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input_358103!A$2</f>
        <v>358103</v>
      </c>
      <c r="B110" s="5">
        <v>234</v>
      </c>
      <c r="C110" s="7" t="str">
        <f t="shared" si="2"/>
        <v>Premium5</v>
      </c>
      <c r="D110" s="7" t="str">
        <f t="shared" si="3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IFERROR(VLOOKUP(B110,input_358103!L:R,7,FALSE),VLOOKUP(tables_358103!C110,input_358103!A:H,8,FALSE))</f>
        <v>3670.8</v>
      </c>
      <c r="P110" s="46">
        <f ca="1">O110/SUM(O:O)</f>
        <v>6.1923076923076927E-4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input_358103!A$2</f>
        <v>358103</v>
      </c>
      <c r="B111" s="5">
        <v>235</v>
      </c>
      <c r="C111" s="7" t="str">
        <f t="shared" si="2"/>
        <v>Premium3R6release</v>
      </c>
      <c r="D111" s="7" t="str">
        <f t="shared" si="3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IFERROR(VLOOKUP(B111,input_358103!L:R,7,FALSE),VLOOKUP(tables_358103!C111,input_358103!A:H,8,FALSE))</f>
        <v>0</v>
      </c>
      <c r="P111" s="46">
        <f ca="1">O111/SUM(O:O)</f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input_358103!A$2</f>
        <v>358103</v>
      </c>
      <c r="B112" s="5">
        <v>236</v>
      </c>
      <c r="C112" s="7" t="str">
        <f t="shared" si="2"/>
        <v>Premium4R6release</v>
      </c>
      <c r="D112" s="7" t="str">
        <f t="shared" si="3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IFERROR(VLOOKUP(B112,input_358103!L:R,7,FALSE),VLOOKUP(tables_358103!C112,input_358103!A:H,8,FALSE))</f>
        <v>4446</v>
      </c>
      <c r="P112" s="46">
        <f ca="1">O112/SUM(O:O)</f>
        <v>7.5000000000000002E-4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input_358103!A$2</f>
        <v>358103</v>
      </c>
      <c r="B113" s="5">
        <v>237</v>
      </c>
      <c r="C113" s="7" t="str">
        <f t="shared" si="2"/>
        <v>Premium5R6release</v>
      </c>
      <c r="D113" s="7" t="str">
        <f t="shared" si="3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IFERROR(VLOOKUP(B113,input_358103!L:R,7,FALSE),VLOOKUP(tables_358103!C113,input_358103!A:H,8,FALSE))</f>
        <v>234</v>
      </c>
      <c r="P113" s="46">
        <f ca="1">O113/SUM(O:O)</f>
        <v>3.9473684210526316E-5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input_358103!A$2</f>
        <v>358103</v>
      </c>
      <c r="B114" s="5">
        <v>238</v>
      </c>
      <c r="C114" s="7" t="str">
        <f t="shared" si="2"/>
        <v>Premium3</v>
      </c>
      <c r="D114" s="7" t="str">
        <f t="shared" si="3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IFERROR(VLOOKUP(B114,input_358103!L:R,7,FALSE),VLOOKUP(tables_358103!C114,input_358103!A:H,8,FALSE))</f>
        <v>0</v>
      </c>
      <c r="P114" s="46">
        <f ca="1">O114/SUM(O:O)</f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input_358103!A$2</f>
        <v>358103</v>
      </c>
      <c r="B115" s="5">
        <v>239</v>
      </c>
      <c r="C115" s="7" t="str">
        <f t="shared" si="2"/>
        <v>Premium4</v>
      </c>
      <c r="D115" s="7" t="str">
        <f t="shared" si="3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IFERROR(VLOOKUP(B115,input_358103!L:R,7,FALSE),VLOOKUP(tables_358103!C115,input_358103!A:H,8,FALSE))</f>
        <v>69745.2</v>
      </c>
      <c r="P115" s="46">
        <f ca="1">O115/SUM(O:O)</f>
        <v>1.1765384615384615E-2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input_358103!A$2</f>
        <v>358103</v>
      </c>
      <c r="B116" s="5">
        <v>240</v>
      </c>
      <c r="C116" s="7" t="str">
        <f t="shared" si="2"/>
        <v>Premium5</v>
      </c>
      <c r="D116" s="7" t="str">
        <f t="shared" si="3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IFERROR(VLOOKUP(B116,input_358103!L:R,7,FALSE),VLOOKUP(tables_358103!C116,input_358103!A:H,8,FALSE))</f>
        <v>3670.8</v>
      </c>
      <c r="P116" s="46">
        <f ca="1">O116/SUM(O:O)</f>
        <v>6.1923076923076927E-4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input_358103!A$2</f>
        <v>358103</v>
      </c>
      <c r="B117" s="5">
        <v>241</v>
      </c>
      <c r="C117" s="7" t="str">
        <f t="shared" si="2"/>
        <v>Premium3</v>
      </c>
      <c r="D117" s="7" t="str">
        <f t="shared" si="3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IFERROR(VLOOKUP(B117,input_358103!L:R,7,FALSE),VLOOKUP(tables_358103!C117,input_358103!A:H,8,FALSE))</f>
        <v>0</v>
      </c>
      <c r="P117" s="46">
        <f ca="1">O117/SUM(O:O)</f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input_358103!A$2</f>
        <v>358103</v>
      </c>
      <c r="B118" s="5">
        <v>242</v>
      </c>
      <c r="C118" s="7" t="str">
        <f t="shared" si="2"/>
        <v>Premium4</v>
      </c>
      <c r="D118" s="7" t="str">
        <f t="shared" si="3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IFERROR(VLOOKUP(B118,input_358103!L:R,7,FALSE),VLOOKUP(tables_358103!C118,input_358103!A:H,8,FALSE))</f>
        <v>69745.2</v>
      </c>
      <c r="P118" s="46">
        <f ca="1">O118/SUM(O:O)</f>
        <v>1.1765384615384615E-2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input_358103!A$2</f>
        <v>358103</v>
      </c>
      <c r="B119" s="5">
        <v>243</v>
      </c>
      <c r="C119" s="7" t="str">
        <f t="shared" si="2"/>
        <v>Premium5</v>
      </c>
      <c r="D119" s="7" t="str">
        <f t="shared" si="3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IFERROR(VLOOKUP(B119,input_358103!L:R,7,FALSE),VLOOKUP(tables_358103!C119,input_358103!A:H,8,FALSE))</f>
        <v>3670.8</v>
      </c>
      <c r="P119" s="46">
        <f ca="1">O119/SUM(O:O)</f>
        <v>6.1923076923076927E-4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input_358103!A$2</f>
        <v>358103</v>
      </c>
      <c r="B120" s="5">
        <v>244</v>
      </c>
      <c r="C120" s="7" t="str">
        <f t="shared" si="2"/>
        <v>Premium3</v>
      </c>
      <c r="D120" s="7" t="str">
        <f t="shared" si="3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IFERROR(VLOOKUP(B120,input_358103!L:R,7,FALSE),VLOOKUP(tables_358103!C120,input_358103!A:H,8,FALSE))</f>
        <v>0</v>
      </c>
      <c r="P120" s="46">
        <f ca="1">O120/SUM(O:O)</f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input_358103!A$2</f>
        <v>358103</v>
      </c>
      <c r="B121" s="5">
        <v>245</v>
      </c>
      <c r="C121" s="7" t="str">
        <f t="shared" si="2"/>
        <v>Premium4</v>
      </c>
      <c r="D121" s="7" t="str">
        <f t="shared" si="3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IFERROR(VLOOKUP(B121,input_358103!L:R,7,FALSE),VLOOKUP(tables_358103!C121,input_358103!A:H,8,FALSE))</f>
        <v>69745.2</v>
      </c>
      <c r="P121" s="46">
        <f ca="1">O121/SUM(O:O)</f>
        <v>1.1765384615384615E-2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input_358103!A$2</f>
        <v>358103</v>
      </c>
      <c r="B122" s="5">
        <v>246</v>
      </c>
      <c r="C122" s="7" t="str">
        <f t="shared" si="2"/>
        <v>Premium5</v>
      </c>
      <c r="D122" s="7" t="str">
        <f t="shared" si="3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IFERROR(VLOOKUP(B122,input_358103!L:R,7,FALSE),VLOOKUP(tables_358103!C122,input_358103!A:H,8,FALSE))</f>
        <v>3670.8</v>
      </c>
      <c r="P122" s="46">
        <f ca="1">O122/SUM(O:O)</f>
        <v>6.1923076923076927E-4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input_358103!A$2</f>
        <v>358103</v>
      </c>
      <c r="B123" s="5">
        <v>247</v>
      </c>
      <c r="C123" s="7" t="str">
        <f t="shared" si="2"/>
        <v>Premium3</v>
      </c>
      <c r="D123" s="7" t="str">
        <f t="shared" si="3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IFERROR(VLOOKUP(B123,input_358103!L:R,7,FALSE),VLOOKUP(tables_358103!C123,input_358103!A:H,8,FALSE))</f>
        <v>0</v>
      </c>
      <c r="P123" s="46">
        <f ca="1">O123/SUM(O:O)</f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input_358103!A$2</f>
        <v>358103</v>
      </c>
      <c r="B124" s="5">
        <v>248</v>
      </c>
      <c r="C124" s="7" t="str">
        <f t="shared" si="2"/>
        <v>Premium4</v>
      </c>
      <c r="D124" s="7" t="str">
        <f t="shared" si="3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IFERROR(VLOOKUP(B124,input_358103!L:R,7,FALSE),VLOOKUP(tables_358103!C124,input_358103!A:H,8,FALSE))</f>
        <v>69745.2</v>
      </c>
      <c r="P124" s="46">
        <f ca="1">O124/SUM(O:O)</f>
        <v>1.1765384615384615E-2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input_358103!A$2</f>
        <v>358103</v>
      </c>
      <c r="B125" s="6">
        <v>249</v>
      </c>
      <c r="C125" s="7" t="str">
        <f t="shared" si="2"/>
        <v>Premium5</v>
      </c>
      <c r="D125" s="7" t="str">
        <f t="shared" si="3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IFERROR(VLOOKUP(B125,input_358103!L:R,7,FALSE),VLOOKUP(tables_358103!C125,input_358103!A:H,8,FALSE))</f>
        <v>3670.8</v>
      </c>
      <c r="P125" s="46">
        <f ca="1">O125/SUM(O:O)</f>
        <v>6.1923076923076927E-4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input_358103!A$2</f>
        <v>358103</v>
      </c>
      <c r="B126" s="6">
        <v>250</v>
      </c>
      <c r="C126" s="7" t="str">
        <f t="shared" si="2"/>
        <v>Premium3</v>
      </c>
      <c r="D126" s="7" t="str">
        <f t="shared" si="3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IFERROR(VLOOKUP(B126,input_358103!L:R,7,FALSE),VLOOKUP(tables_358103!C126,input_358103!A:H,8,FALSE))</f>
        <v>0</v>
      </c>
      <c r="P126" s="46">
        <f ca="1">O126/SUM(O:O)</f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input_358103!A$2</f>
        <v>358103</v>
      </c>
      <c r="B127" s="6">
        <v>251</v>
      </c>
      <c r="C127" s="7" t="str">
        <f t="shared" si="2"/>
        <v>Premium4</v>
      </c>
      <c r="D127" s="7" t="str">
        <f t="shared" si="3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IFERROR(VLOOKUP(B127,input_358103!L:R,7,FALSE),VLOOKUP(tables_358103!C127,input_358103!A:H,8,FALSE))</f>
        <v>69745.2</v>
      </c>
      <c r="P127" s="46">
        <f ca="1">O127/SUM(O:O)</f>
        <v>1.1765384615384615E-2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input_358103!A$2</f>
        <v>358103</v>
      </c>
      <c r="B128" s="6">
        <v>252</v>
      </c>
      <c r="C128" s="7" t="str">
        <f t="shared" si="2"/>
        <v>Premium5</v>
      </c>
      <c r="D128" s="7" t="str">
        <f t="shared" si="3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IFERROR(VLOOKUP(B128,input_358103!L:R,7,FALSE),VLOOKUP(tables_358103!C128,input_358103!A:H,8,FALSE))</f>
        <v>3670.8</v>
      </c>
      <c r="P128" s="46">
        <f ca="1">O128/SUM(O:O)</f>
        <v>6.1923076923076927E-4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input_358103!A$2</f>
        <v>358103</v>
      </c>
      <c r="B129" s="6">
        <v>253</v>
      </c>
      <c r="C129" s="7" t="str">
        <f t="shared" si="2"/>
        <v>Premium3</v>
      </c>
      <c r="D129" s="7" t="str">
        <f t="shared" si="3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IFERROR(VLOOKUP(B129,input_358103!L:R,7,FALSE),VLOOKUP(tables_358103!C129,input_358103!A:H,8,FALSE))</f>
        <v>0</v>
      </c>
      <c r="P129" s="46">
        <f ca="1">O129/SUM(O:O)</f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input_358103!A$2</f>
        <v>358103</v>
      </c>
      <c r="B130" s="6">
        <v>254</v>
      </c>
      <c r="C130" s="7" t="str">
        <f t="shared" ref="C130:C193" si="4">D130&amp;J130&amp;E130&amp;F130&amp;G130</f>
        <v>Premium4</v>
      </c>
      <c r="D130" s="7" t="str">
        <f t="shared" ref="D130:D193" si="5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IFERROR(VLOOKUP(B130,input_358103!L:R,7,FALSE),VLOOKUP(tables_358103!C130,input_358103!A:H,8,FALSE))</f>
        <v>69745.2</v>
      </c>
      <c r="P130" s="46">
        <f ca="1">O130/SUM(O:O)</f>
        <v>1.1765384615384615E-2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input_358103!A$2</f>
        <v>358103</v>
      </c>
      <c r="B131" s="6">
        <v>255</v>
      </c>
      <c r="C131" s="7" t="str">
        <f t="shared" si="4"/>
        <v>Premium5</v>
      </c>
      <c r="D131" s="7" t="str">
        <f t="shared" si="5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IFERROR(VLOOKUP(B131,input_358103!L:R,7,FALSE),VLOOKUP(tables_358103!C131,input_358103!A:H,8,FALSE))</f>
        <v>3670.8</v>
      </c>
      <c r="P131" s="46">
        <f ca="1">O131/SUM(O:O)</f>
        <v>6.1923076923076927E-4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input_358103!A$2</f>
        <v>358103</v>
      </c>
      <c r="B132" s="6">
        <v>256</v>
      </c>
      <c r="C132" s="7" t="str">
        <f t="shared" si="4"/>
        <v>Premium3</v>
      </c>
      <c r="D132" s="7" t="str">
        <f t="shared" si="5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IFERROR(VLOOKUP(B132,input_358103!L:R,7,FALSE),VLOOKUP(tables_358103!C132,input_358103!A:H,8,FALSE))</f>
        <v>0</v>
      </c>
      <c r="P132" s="46">
        <f ca="1">O132/SUM(O:O)</f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input_358103!A$2</f>
        <v>358103</v>
      </c>
      <c r="B133" s="6">
        <v>257</v>
      </c>
      <c r="C133" s="7" t="str">
        <f t="shared" si="4"/>
        <v>Premium4</v>
      </c>
      <c r="D133" s="7" t="str">
        <f t="shared" si="5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IFERROR(VLOOKUP(B133,input_358103!L:R,7,FALSE),VLOOKUP(tables_358103!C133,input_358103!A:H,8,FALSE))</f>
        <v>69745.2</v>
      </c>
      <c r="P133" s="46">
        <f ca="1">O133/SUM(O:O)</f>
        <v>1.1765384615384615E-2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input_358103!A$2</f>
        <v>358103</v>
      </c>
      <c r="B134" s="6">
        <v>258</v>
      </c>
      <c r="C134" s="7" t="str">
        <f t="shared" si="4"/>
        <v>Premium5</v>
      </c>
      <c r="D134" s="7" t="str">
        <f t="shared" si="5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IFERROR(VLOOKUP(B134,input_358103!L:R,7,FALSE),VLOOKUP(tables_358103!C134,input_358103!A:H,8,FALSE))</f>
        <v>3670.8</v>
      </c>
      <c r="P134" s="46">
        <f ca="1">O134/SUM(O:O)</f>
        <v>6.1923076923076927E-4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input_358103!A$2</f>
        <v>358103</v>
      </c>
      <c r="B135" s="6">
        <v>259</v>
      </c>
      <c r="C135" s="7" t="str">
        <f t="shared" si="4"/>
        <v>Premium3</v>
      </c>
      <c r="D135" s="7" t="str">
        <f t="shared" si="5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IFERROR(VLOOKUP(B135,input_358103!L:R,7,FALSE),VLOOKUP(tables_358103!C135,input_358103!A:H,8,FALSE))</f>
        <v>0</v>
      </c>
      <c r="P135" s="46">
        <f ca="1">O135/SUM(O:O)</f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input_358103!A$2</f>
        <v>358103</v>
      </c>
      <c r="B136" s="8">
        <v>260</v>
      </c>
      <c r="C136" s="7" t="str">
        <f t="shared" si="4"/>
        <v>Premium4</v>
      </c>
      <c r="D136" s="7" t="str">
        <f t="shared" si="5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IFERROR(VLOOKUP(B136,input_358103!L:R,7,FALSE),VLOOKUP(tables_358103!C136,input_358103!A:H,8,FALSE))</f>
        <v>69745.2</v>
      </c>
      <c r="P136" s="46">
        <f ca="1">O136/SUM(O:O)</f>
        <v>1.1765384615384615E-2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input_358103!A$2</f>
        <v>358103</v>
      </c>
      <c r="B137" s="8">
        <v>261</v>
      </c>
      <c r="C137" s="7" t="str">
        <f t="shared" si="4"/>
        <v>Premium5</v>
      </c>
      <c r="D137" s="7" t="str">
        <f t="shared" si="5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IFERROR(VLOOKUP(B137,input_358103!L:R,7,FALSE),VLOOKUP(tables_358103!C137,input_358103!A:H,8,FALSE))</f>
        <v>3670.8</v>
      </c>
      <c r="P137" s="46">
        <f ca="1">O137/SUM(O:O)</f>
        <v>6.1923076923076927E-4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input_358103!A$2</f>
        <v>358103</v>
      </c>
      <c r="B138" s="6">
        <v>320</v>
      </c>
      <c r="C138" s="7" t="str">
        <f t="shared" si="4"/>
        <v>PremiumSS4</v>
      </c>
      <c r="D138" s="7" t="str">
        <f t="shared" si="5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IFERROR(VLOOKUP(B138,input_358103!L:R,7,FALSE),VLOOKUP(tables_358103!C138,input_358103!A:H,8,FALSE))</f>
        <v>4446</v>
      </c>
      <c r="P138" s="46">
        <f ca="1">O138/SUM(O:O)</f>
        <v>7.5000000000000002E-4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input_358103!A$2</f>
        <v>358103</v>
      </c>
      <c r="B139" s="6">
        <v>321</v>
      </c>
      <c r="C139" s="7" t="str">
        <f t="shared" si="4"/>
        <v>PremiumSS5</v>
      </c>
      <c r="D139" s="7" t="str">
        <f t="shared" si="5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IFERROR(VLOOKUP(B139,input_358103!L:R,7,FALSE),VLOOKUP(tables_358103!C139,input_358103!A:H,8,FALSE))</f>
        <v>234</v>
      </c>
      <c r="P139" s="46">
        <f ca="1">O139/SUM(O:O)</f>
        <v>3.9473684210526316E-5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input_358103!A$2</f>
        <v>358103</v>
      </c>
      <c r="B140" s="6">
        <v>322</v>
      </c>
      <c r="C140" s="7" t="str">
        <f t="shared" si="4"/>
        <v>PremiumSS4</v>
      </c>
      <c r="D140" s="7" t="str">
        <f t="shared" si="5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IFERROR(VLOOKUP(B140,input_358103!L:R,7,FALSE),VLOOKUP(tables_358103!C140,input_358103!A:H,8,FALSE))</f>
        <v>4446</v>
      </c>
      <c r="P140" s="46">
        <f ca="1">O140/SUM(O:O)</f>
        <v>7.5000000000000002E-4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input_358103!A$2</f>
        <v>358103</v>
      </c>
      <c r="B141" s="6">
        <v>323</v>
      </c>
      <c r="C141" s="7" t="str">
        <f t="shared" si="4"/>
        <v>PremiumSS5</v>
      </c>
      <c r="D141" s="7" t="str">
        <f t="shared" si="5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IFERROR(VLOOKUP(B141,input_358103!L:R,7,FALSE),VLOOKUP(tables_358103!C141,input_358103!A:H,8,FALSE))</f>
        <v>234</v>
      </c>
      <c r="P141" s="46">
        <f ca="1">O141/SUM(O:O)</f>
        <v>3.9473684210526316E-5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input_358103!A$2</f>
        <v>358103</v>
      </c>
      <c r="B142" s="6">
        <v>324</v>
      </c>
      <c r="C142" s="7" t="str">
        <f t="shared" si="4"/>
        <v>PremiumSS4</v>
      </c>
      <c r="D142" s="7" t="str">
        <f t="shared" si="5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IFERROR(VLOOKUP(B142,input_358103!L:R,7,FALSE),VLOOKUP(tables_358103!C142,input_358103!A:H,8,FALSE))</f>
        <v>4446</v>
      </c>
      <c r="P142" s="46">
        <f ca="1">O142/SUM(O:O)</f>
        <v>7.5000000000000002E-4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input_358103!A$2</f>
        <v>358103</v>
      </c>
      <c r="B143" s="6">
        <v>325</v>
      </c>
      <c r="C143" s="7" t="str">
        <f t="shared" si="4"/>
        <v>PremiumSS5</v>
      </c>
      <c r="D143" s="7" t="str">
        <f t="shared" si="5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IFERROR(VLOOKUP(B143,input_358103!L:R,7,FALSE),VLOOKUP(tables_358103!C143,input_358103!A:H,8,FALSE))</f>
        <v>234</v>
      </c>
      <c r="P143" s="46">
        <f ca="1">O143/SUM(O:O)</f>
        <v>3.9473684210526316E-5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input_358103!A$2</f>
        <v>358103</v>
      </c>
      <c r="B144" s="6">
        <v>326</v>
      </c>
      <c r="C144" s="7" t="str">
        <f t="shared" si="4"/>
        <v>PremiumSS4</v>
      </c>
      <c r="D144" s="7" t="str">
        <f t="shared" si="5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IFERROR(VLOOKUP(B144,input_358103!L:R,7,FALSE),VLOOKUP(tables_358103!C144,input_358103!A:H,8,FALSE))</f>
        <v>4446</v>
      </c>
      <c r="P144" s="46">
        <f ca="1">O144/SUM(O:O)</f>
        <v>7.5000000000000002E-4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input_358103!A$2</f>
        <v>358103</v>
      </c>
      <c r="B145" s="6">
        <v>327</v>
      </c>
      <c r="C145" s="7" t="str">
        <f t="shared" si="4"/>
        <v>PremiumSS5</v>
      </c>
      <c r="D145" s="7" t="str">
        <f t="shared" si="5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IFERROR(VLOOKUP(B145,input_358103!L:R,7,FALSE),VLOOKUP(tables_358103!C145,input_358103!A:H,8,FALSE))</f>
        <v>234</v>
      </c>
      <c r="P145" s="46">
        <f ca="1">O145/SUM(O:O)</f>
        <v>3.9473684210526316E-5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input_358103!A$2</f>
        <v>358103</v>
      </c>
      <c r="B146" s="6">
        <v>380</v>
      </c>
      <c r="C146" s="7" t="str">
        <f t="shared" si="4"/>
        <v>Premium3</v>
      </c>
      <c r="D146" s="7" t="str">
        <f t="shared" si="5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IFERROR(VLOOKUP(B146,input_358103!L:R,7,FALSE),VLOOKUP(tables_358103!C146,input_358103!A:H,8,FALSE))</f>
        <v>0</v>
      </c>
      <c r="P146" s="46">
        <f ca="1">O146/SUM(O:O)</f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input_358103!A$2</f>
        <v>358103</v>
      </c>
      <c r="B147" s="6">
        <v>381</v>
      </c>
      <c r="C147" s="7" t="str">
        <f t="shared" si="4"/>
        <v>Premium4</v>
      </c>
      <c r="D147" s="7" t="str">
        <f t="shared" si="5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IFERROR(VLOOKUP(B147,input_358103!L:R,7,FALSE),VLOOKUP(tables_358103!C147,input_358103!A:H,8,FALSE))</f>
        <v>69745.2</v>
      </c>
      <c r="P147" s="46">
        <f ca="1">O147/SUM(O:O)</f>
        <v>1.1765384615384615E-2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input_358103!A$2</f>
        <v>358103</v>
      </c>
      <c r="B148" s="6">
        <v>382</v>
      </c>
      <c r="C148" s="7" t="str">
        <f t="shared" si="4"/>
        <v>Premium5</v>
      </c>
      <c r="D148" s="7" t="str">
        <f t="shared" si="5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IFERROR(VLOOKUP(B148,input_358103!L:R,7,FALSE),VLOOKUP(tables_358103!C148,input_358103!A:H,8,FALSE))</f>
        <v>3670.8</v>
      </c>
      <c r="P148" s="46">
        <f ca="1">O148/SUM(O:O)</f>
        <v>6.1923076923076927E-4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input_358103!A$2</f>
        <v>358103</v>
      </c>
      <c r="B149" s="6">
        <v>383</v>
      </c>
      <c r="C149" s="7" t="str">
        <f t="shared" si="4"/>
        <v>PremiumSS4</v>
      </c>
      <c r="D149" s="7" t="str">
        <f t="shared" si="5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IFERROR(VLOOKUP(B149,input_358103!L:R,7,FALSE),VLOOKUP(tables_358103!C149,input_358103!A:H,8,FALSE))</f>
        <v>4446</v>
      </c>
      <c r="P149" s="46">
        <f ca="1">O149/SUM(O:O)</f>
        <v>7.5000000000000002E-4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input_358103!A$2</f>
        <v>358103</v>
      </c>
      <c r="B150" s="6">
        <v>384</v>
      </c>
      <c r="C150" s="7" t="str">
        <f t="shared" si="4"/>
        <v>PremiumSS5</v>
      </c>
      <c r="D150" s="7" t="str">
        <f t="shared" si="5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IFERROR(VLOOKUP(B150,input_358103!L:R,7,FALSE),VLOOKUP(tables_358103!C150,input_358103!A:H,8,FALSE))</f>
        <v>234</v>
      </c>
      <c r="P150" s="46">
        <f ca="1">O150/SUM(O:O)</f>
        <v>3.9473684210526316E-5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input_358103!A$2</f>
        <v>358103</v>
      </c>
      <c r="B151" s="6">
        <v>385</v>
      </c>
      <c r="C151" s="7" t="str">
        <f t="shared" si="4"/>
        <v>PremiumSS4</v>
      </c>
      <c r="D151" s="7" t="str">
        <f t="shared" si="5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IFERROR(VLOOKUP(B151,input_358103!L:R,7,FALSE),VLOOKUP(tables_358103!C151,input_358103!A:H,8,FALSE))</f>
        <v>4446</v>
      </c>
      <c r="P151" s="46">
        <f ca="1">O151/SUM(O:O)</f>
        <v>7.5000000000000002E-4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input_358103!A$2</f>
        <v>358103</v>
      </c>
      <c r="B152" s="6">
        <v>386</v>
      </c>
      <c r="C152" s="7" t="str">
        <f t="shared" si="4"/>
        <v>PremiumSS5</v>
      </c>
      <c r="D152" s="7" t="str">
        <f t="shared" si="5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IFERROR(VLOOKUP(B152,input_358103!L:R,7,FALSE),VLOOKUP(tables_358103!C152,input_358103!A:H,8,FALSE))</f>
        <v>234</v>
      </c>
      <c r="P152" s="46">
        <f ca="1">O152/SUM(O:O)</f>
        <v>3.9473684210526316E-5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input_358103!A$2</f>
        <v>358103</v>
      </c>
      <c r="B153" s="6">
        <v>387</v>
      </c>
      <c r="C153" s="7" t="str">
        <f t="shared" si="4"/>
        <v>Premium3</v>
      </c>
      <c r="D153" s="7" t="str">
        <f t="shared" si="5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IFERROR(VLOOKUP(B153,input_358103!L:R,7,FALSE),VLOOKUP(tables_358103!C153,input_358103!A:H,8,FALSE))</f>
        <v>0</v>
      </c>
      <c r="P153" s="46">
        <f ca="1">O153/SUM(O:O)</f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input_358103!A$2</f>
        <v>358103</v>
      </c>
      <c r="B154" s="6">
        <v>388</v>
      </c>
      <c r="C154" s="7" t="str">
        <f t="shared" si="4"/>
        <v>Premium4</v>
      </c>
      <c r="D154" s="7" t="str">
        <f t="shared" si="5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IFERROR(VLOOKUP(B154,input_358103!L:R,7,FALSE),VLOOKUP(tables_358103!C154,input_358103!A:H,8,FALSE))</f>
        <v>69745.2</v>
      </c>
      <c r="P154" s="46">
        <f ca="1">O154/SUM(O:O)</f>
        <v>1.1765384615384615E-2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input_358103!A$2</f>
        <v>358103</v>
      </c>
      <c r="B155" s="6">
        <v>389</v>
      </c>
      <c r="C155" s="7" t="str">
        <f t="shared" si="4"/>
        <v>Premium5</v>
      </c>
      <c r="D155" s="7" t="str">
        <f t="shared" si="5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IFERROR(VLOOKUP(B155,input_358103!L:R,7,FALSE),VLOOKUP(tables_358103!C155,input_358103!A:H,8,FALSE))</f>
        <v>3670.8</v>
      </c>
      <c r="P155" s="46">
        <f ca="1">O155/SUM(O:O)</f>
        <v>6.1923076923076927E-4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input_358103!A$2</f>
        <v>358103</v>
      </c>
      <c r="B156" s="6">
        <v>390</v>
      </c>
      <c r="C156" s="7" t="str">
        <f t="shared" si="4"/>
        <v>PremiumSS4</v>
      </c>
      <c r="D156" s="7" t="str">
        <f t="shared" si="5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IFERROR(VLOOKUP(B156,input_358103!L:R,7,FALSE),VLOOKUP(tables_358103!C156,input_358103!A:H,8,FALSE))</f>
        <v>4446</v>
      </c>
      <c r="P156" s="46">
        <f ca="1">O156/SUM(O:O)</f>
        <v>7.5000000000000002E-4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input_358103!A$2</f>
        <v>358103</v>
      </c>
      <c r="B157" s="6">
        <v>391</v>
      </c>
      <c r="C157" s="7" t="str">
        <f t="shared" si="4"/>
        <v>PremiumSS5</v>
      </c>
      <c r="D157" s="7" t="str">
        <f t="shared" si="5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IFERROR(VLOOKUP(B157,input_358103!L:R,7,FALSE),VLOOKUP(tables_358103!C157,input_358103!A:H,8,FALSE))</f>
        <v>234</v>
      </c>
      <c r="P157" s="46">
        <f ca="1">O157/SUM(O:O)</f>
        <v>3.9473684210526316E-5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input_358103!A$2</f>
        <v>358103</v>
      </c>
      <c r="B158" s="6">
        <v>392</v>
      </c>
      <c r="C158" s="7" t="str">
        <f t="shared" si="4"/>
        <v>Premium3</v>
      </c>
      <c r="D158" s="7" t="str">
        <f t="shared" si="5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IFERROR(VLOOKUP(B158,input_358103!L:R,7,FALSE),VLOOKUP(tables_358103!C158,input_358103!A:H,8,FALSE))</f>
        <v>0</v>
      </c>
      <c r="P158" s="46">
        <f ca="1">O158/SUM(O:O)</f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input_358103!A$2</f>
        <v>358103</v>
      </c>
      <c r="B159" s="6">
        <v>393</v>
      </c>
      <c r="C159" s="7" t="str">
        <f t="shared" si="4"/>
        <v>Premium4</v>
      </c>
      <c r="D159" s="7" t="str">
        <f t="shared" si="5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IFERROR(VLOOKUP(B159,input_358103!L:R,7,FALSE),VLOOKUP(tables_358103!C159,input_358103!A:H,8,FALSE))</f>
        <v>69745.2</v>
      </c>
      <c r="P159" s="46">
        <f ca="1">O159/SUM(O:O)</f>
        <v>1.1765384615384615E-2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input_358103!A$2</f>
        <v>358103</v>
      </c>
      <c r="B160" s="6">
        <v>394</v>
      </c>
      <c r="C160" s="7" t="str">
        <f t="shared" si="4"/>
        <v>Premium5</v>
      </c>
      <c r="D160" s="7" t="str">
        <f t="shared" si="5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IFERROR(VLOOKUP(B160,input_358103!L:R,7,FALSE),VLOOKUP(tables_358103!C160,input_358103!A:H,8,FALSE))</f>
        <v>3670.8</v>
      </c>
      <c r="P160" s="46">
        <f ca="1">O160/SUM(O:O)</f>
        <v>6.1923076923076927E-4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input_358103!A$2</f>
        <v>358103</v>
      </c>
      <c r="B161" s="6">
        <v>395</v>
      </c>
      <c r="C161" s="7" t="str">
        <f t="shared" si="4"/>
        <v>Premium3</v>
      </c>
      <c r="D161" s="7" t="str">
        <f t="shared" si="5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IFERROR(VLOOKUP(B161,input_358103!L:R,7,FALSE),VLOOKUP(tables_358103!C161,input_358103!A:H,8,FALSE))</f>
        <v>0</v>
      </c>
      <c r="P161" s="46">
        <f ca="1">O161/SUM(O:O)</f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input_358103!A$2</f>
        <v>358103</v>
      </c>
      <c r="B162" s="6">
        <v>396</v>
      </c>
      <c r="C162" s="7" t="str">
        <f t="shared" si="4"/>
        <v>Premium4</v>
      </c>
      <c r="D162" s="7" t="str">
        <f t="shared" si="5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IFERROR(VLOOKUP(B162,input_358103!L:R,7,FALSE),VLOOKUP(tables_358103!C162,input_358103!A:H,8,FALSE))</f>
        <v>69745.2</v>
      </c>
      <c r="P162" s="46">
        <f ca="1">O162/SUM(O:O)</f>
        <v>1.1765384615384615E-2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input_358103!A$2</f>
        <v>358103</v>
      </c>
      <c r="B163" s="6">
        <v>397</v>
      </c>
      <c r="C163" s="7" t="str">
        <f t="shared" si="4"/>
        <v>Premium5</v>
      </c>
      <c r="D163" s="7" t="str">
        <f t="shared" si="5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IFERROR(VLOOKUP(B163,input_358103!L:R,7,FALSE),VLOOKUP(tables_358103!C163,input_358103!A:H,8,FALSE))</f>
        <v>3670.8</v>
      </c>
      <c r="P163" s="46">
        <f ca="1">O163/SUM(O:O)</f>
        <v>6.1923076923076927E-4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input_358103!A$2</f>
        <v>358103</v>
      </c>
      <c r="B164" s="6">
        <v>398</v>
      </c>
      <c r="C164" s="7" t="str">
        <f t="shared" si="4"/>
        <v>PremiumSS4</v>
      </c>
      <c r="D164" s="7" t="str">
        <f t="shared" si="5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IFERROR(VLOOKUP(B164,input_358103!L:R,7,FALSE),VLOOKUP(tables_358103!C164,input_358103!A:H,8,FALSE))</f>
        <v>4446</v>
      </c>
      <c r="P164" s="46">
        <f ca="1">O164/SUM(O:O)</f>
        <v>7.5000000000000002E-4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input_358103!A$2</f>
        <v>358103</v>
      </c>
      <c r="B165" s="6">
        <v>399</v>
      </c>
      <c r="C165" s="7" t="str">
        <f t="shared" si="4"/>
        <v>PremiumSS5</v>
      </c>
      <c r="D165" s="7" t="str">
        <f t="shared" si="5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IFERROR(VLOOKUP(B165,input_358103!L:R,7,FALSE),VLOOKUP(tables_358103!C165,input_358103!A:H,8,FALSE))</f>
        <v>234</v>
      </c>
      <c r="P165" s="46">
        <f ca="1">O165/SUM(O:O)</f>
        <v>3.9473684210526316E-5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input_358103!A$2</f>
        <v>358103</v>
      </c>
      <c r="B166" s="6">
        <v>400</v>
      </c>
      <c r="C166" s="7" t="str">
        <f t="shared" si="4"/>
        <v>Premium3</v>
      </c>
      <c r="D166" s="7" t="str">
        <f t="shared" si="5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IFERROR(VLOOKUP(B166,input_358103!L:R,7,FALSE),VLOOKUP(tables_358103!C166,input_358103!A:H,8,FALSE))</f>
        <v>0</v>
      </c>
      <c r="P166" s="46">
        <f ca="1">O166/SUM(O:O)</f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input_358103!A$2</f>
        <v>358103</v>
      </c>
      <c r="B167" s="6">
        <v>401</v>
      </c>
      <c r="C167" s="7" t="str">
        <f t="shared" si="4"/>
        <v>Premium4</v>
      </c>
      <c r="D167" s="7" t="str">
        <f t="shared" si="5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IFERROR(VLOOKUP(B167,input_358103!L:R,7,FALSE),VLOOKUP(tables_358103!C167,input_358103!A:H,8,FALSE))</f>
        <v>69745.2</v>
      </c>
      <c r="P167" s="46">
        <f ca="1">O167/SUM(O:O)</f>
        <v>1.1765384615384615E-2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input_358103!A$2</f>
        <v>358103</v>
      </c>
      <c r="B168" s="6">
        <v>402</v>
      </c>
      <c r="C168" s="7" t="str">
        <f t="shared" si="4"/>
        <v>Premium5</v>
      </c>
      <c r="D168" s="7" t="str">
        <f t="shared" si="5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IFERROR(VLOOKUP(B168,input_358103!L:R,7,FALSE),VLOOKUP(tables_358103!C168,input_358103!A:H,8,FALSE))</f>
        <v>3670.8</v>
      </c>
      <c r="P168" s="46">
        <f ca="1">O168/SUM(O:O)</f>
        <v>6.1923076923076927E-4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input_358103!A$2</f>
        <v>358103</v>
      </c>
      <c r="B169" s="6">
        <v>403</v>
      </c>
      <c r="C169" s="7" t="str">
        <f t="shared" si="4"/>
        <v>PremiumSS4</v>
      </c>
      <c r="D169" s="7" t="str">
        <f t="shared" si="5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IFERROR(VLOOKUP(B169,input_358103!L:R,7,FALSE),VLOOKUP(tables_358103!C169,input_358103!A:H,8,FALSE))</f>
        <v>4446</v>
      </c>
      <c r="P169" s="46">
        <f ca="1">O169/SUM(O:O)</f>
        <v>7.5000000000000002E-4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input_358103!A$2</f>
        <v>358103</v>
      </c>
      <c r="B170" s="6">
        <v>404</v>
      </c>
      <c r="C170" s="7" t="str">
        <f t="shared" si="4"/>
        <v>PremiumSS5</v>
      </c>
      <c r="D170" s="7" t="str">
        <f t="shared" si="5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IFERROR(VLOOKUP(B170,input_358103!L:R,7,FALSE),VLOOKUP(tables_358103!C170,input_358103!A:H,8,FALSE))</f>
        <v>234</v>
      </c>
      <c r="P170" s="46">
        <f ca="1">O170/SUM(O:O)</f>
        <v>3.9473684210526316E-5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input_358103!A$2</f>
        <v>358103</v>
      </c>
      <c r="B171" s="6">
        <v>405</v>
      </c>
      <c r="C171" s="7" t="str">
        <f t="shared" si="4"/>
        <v>Premium3</v>
      </c>
      <c r="D171" s="7" t="str">
        <f t="shared" si="5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IFERROR(VLOOKUP(B171,input_358103!L:R,7,FALSE),VLOOKUP(tables_358103!C171,input_358103!A:H,8,FALSE))</f>
        <v>0</v>
      </c>
      <c r="P171" s="46">
        <f ca="1">O171/SUM(O:O)</f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input_358103!A$2</f>
        <v>358103</v>
      </c>
      <c r="B172" s="6">
        <v>406</v>
      </c>
      <c r="C172" s="7" t="str">
        <f t="shared" si="4"/>
        <v>Premium4</v>
      </c>
      <c r="D172" s="7" t="str">
        <f t="shared" si="5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IFERROR(VLOOKUP(B172,input_358103!L:R,7,FALSE),VLOOKUP(tables_358103!C172,input_358103!A:H,8,FALSE))</f>
        <v>69745.2</v>
      </c>
      <c r="P172" s="46">
        <f ca="1">O172/SUM(O:O)</f>
        <v>1.1765384615384615E-2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input_358103!A$2</f>
        <v>358103</v>
      </c>
      <c r="B173" s="6">
        <v>407</v>
      </c>
      <c r="C173" s="7" t="str">
        <f t="shared" si="4"/>
        <v>Premium5</v>
      </c>
      <c r="D173" s="7" t="str">
        <f t="shared" si="5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IFERROR(VLOOKUP(B173,input_358103!L:R,7,FALSE),VLOOKUP(tables_358103!C173,input_358103!A:H,8,FALSE))</f>
        <v>3670.8</v>
      </c>
      <c r="P173" s="46">
        <f ca="1">O173/SUM(O:O)</f>
        <v>6.1923076923076927E-4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input_358103!A$2</f>
        <v>358103</v>
      </c>
      <c r="B174" s="6">
        <v>408</v>
      </c>
      <c r="C174" s="7" t="str">
        <f t="shared" si="4"/>
        <v>PremiumSS4</v>
      </c>
      <c r="D174" s="7" t="str">
        <f t="shared" si="5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IFERROR(VLOOKUP(B174,input_358103!L:R,7,FALSE),VLOOKUP(tables_358103!C174,input_358103!A:H,8,FALSE))</f>
        <v>4446</v>
      </c>
      <c r="P174" s="46">
        <f ca="1">O174/SUM(O:O)</f>
        <v>7.5000000000000002E-4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input_358103!A$2</f>
        <v>358103</v>
      </c>
      <c r="B175" s="6">
        <v>409</v>
      </c>
      <c r="C175" s="7" t="str">
        <f t="shared" si="4"/>
        <v>PremiumSS5</v>
      </c>
      <c r="D175" s="7" t="str">
        <f t="shared" si="5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IFERROR(VLOOKUP(B175,input_358103!L:R,7,FALSE),VLOOKUP(tables_358103!C175,input_358103!A:H,8,FALSE))</f>
        <v>234</v>
      </c>
      <c r="P175" s="46">
        <f ca="1">O175/SUM(O:O)</f>
        <v>3.9473684210526316E-5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input_358103!A$2</f>
        <v>358103</v>
      </c>
      <c r="B176" s="6">
        <v>434</v>
      </c>
      <c r="C176" s="7" t="str">
        <f t="shared" si="4"/>
        <v>PremiumSS4</v>
      </c>
      <c r="D176" s="7" t="str">
        <f t="shared" si="5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IFERROR(VLOOKUP(B176,input_358103!L:R,7,FALSE),VLOOKUP(tables_358103!C176,input_358103!A:H,8,FALSE))</f>
        <v>4446</v>
      </c>
      <c r="P176" s="46">
        <f ca="1">O176/SUM(O:O)</f>
        <v>7.5000000000000002E-4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input_358103!A$2</f>
        <v>358103</v>
      </c>
      <c r="B177" s="6">
        <v>435</v>
      </c>
      <c r="C177" s="7" t="str">
        <f t="shared" si="4"/>
        <v>PremiumSS5</v>
      </c>
      <c r="D177" s="7" t="str">
        <f t="shared" si="5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IFERROR(VLOOKUP(B177,input_358103!L:R,7,FALSE),VLOOKUP(tables_358103!C177,input_358103!A:H,8,FALSE))</f>
        <v>234</v>
      </c>
      <c r="P177" s="46">
        <f ca="1">O177/SUM(O:O)</f>
        <v>3.9473684210526316E-5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input_358103!A$2</f>
        <v>358103</v>
      </c>
      <c r="B178" s="6">
        <v>436</v>
      </c>
      <c r="C178" s="7" t="str">
        <f t="shared" si="4"/>
        <v>Premium3</v>
      </c>
      <c r="D178" s="7" t="str">
        <f t="shared" si="5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IFERROR(VLOOKUP(B178,input_358103!L:R,7,FALSE),VLOOKUP(tables_358103!C178,input_358103!A:H,8,FALSE))</f>
        <v>0</v>
      </c>
      <c r="P178" s="46">
        <f ca="1">O178/SUM(O:O)</f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input_358103!A$2</f>
        <v>358103</v>
      </c>
      <c r="B179" s="6">
        <v>437</v>
      </c>
      <c r="C179" s="7" t="str">
        <f t="shared" si="4"/>
        <v>Premium4</v>
      </c>
      <c r="D179" s="7" t="str">
        <f t="shared" si="5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IFERROR(VLOOKUP(B179,input_358103!L:R,7,FALSE),VLOOKUP(tables_358103!C179,input_358103!A:H,8,FALSE))</f>
        <v>69745.2</v>
      </c>
      <c r="P179" s="46">
        <f ca="1">O179/SUM(O:O)</f>
        <v>1.1765384615384615E-2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input_358103!A$2</f>
        <v>358103</v>
      </c>
      <c r="B180" s="6">
        <v>438</v>
      </c>
      <c r="C180" s="7" t="str">
        <f t="shared" si="4"/>
        <v>Premium5</v>
      </c>
      <c r="D180" s="7" t="str">
        <f t="shared" si="5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IFERROR(VLOOKUP(B180,input_358103!L:R,7,FALSE),VLOOKUP(tables_358103!C180,input_358103!A:H,8,FALSE))</f>
        <v>3670.8</v>
      </c>
      <c r="P180" s="46">
        <f ca="1">O180/SUM(O:O)</f>
        <v>6.1923076923076927E-4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input_358103!A$2</f>
        <v>358103</v>
      </c>
      <c r="B181" s="6">
        <v>439</v>
      </c>
      <c r="C181" s="7" t="str">
        <f t="shared" si="4"/>
        <v>Premium3</v>
      </c>
      <c r="D181" s="7" t="str">
        <f t="shared" si="5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IFERROR(VLOOKUP(B181,input_358103!L:R,7,FALSE),VLOOKUP(tables_358103!C181,input_358103!A:H,8,FALSE))</f>
        <v>0</v>
      </c>
      <c r="P181" s="46">
        <f ca="1">O181/SUM(O:O)</f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input_358103!A$2</f>
        <v>358103</v>
      </c>
      <c r="B182" s="6">
        <v>440</v>
      </c>
      <c r="C182" s="7" t="str">
        <f t="shared" si="4"/>
        <v>Premium4</v>
      </c>
      <c r="D182" s="7" t="str">
        <f t="shared" si="5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IFERROR(VLOOKUP(B182,input_358103!L:R,7,FALSE),VLOOKUP(tables_358103!C182,input_358103!A:H,8,FALSE))</f>
        <v>69745.2</v>
      </c>
      <c r="P182" s="46">
        <f ca="1">O182/SUM(O:O)</f>
        <v>1.1765384615384615E-2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input_358103!A$2</f>
        <v>358103</v>
      </c>
      <c r="B183" s="6">
        <v>441</v>
      </c>
      <c r="C183" s="7" t="str">
        <f t="shared" si="4"/>
        <v>Premium5</v>
      </c>
      <c r="D183" s="7" t="str">
        <f t="shared" si="5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IFERROR(VLOOKUP(B183,input_358103!L:R,7,FALSE),VLOOKUP(tables_358103!C183,input_358103!A:H,8,FALSE))</f>
        <v>3670.8</v>
      </c>
      <c r="P183" s="46">
        <f ca="1">O183/SUM(O:O)</f>
        <v>6.1923076923076927E-4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input_358103!A$2</f>
        <v>358103</v>
      </c>
      <c r="B184" s="6">
        <v>442</v>
      </c>
      <c r="C184" s="7" t="str">
        <f t="shared" si="4"/>
        <v>PremiumSS4</v>
      </c>
      <c r="D184" s="7" t="str">
        <f t="shared" si="5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IFERROR(VLOOKUP(B184,input_358103!L:R,7,FALSE),VLOOKUP(tables_358103!C184,input_358103!A:H,8,FALSE))</f>
        <v>4446</v>
      </c>
      <c r="P184" s="46">
        <f ca="1">O184/SUM(O:O)</f>
        <v>7.5000000000000002E-4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input_358103!A$2</f>
        <v>358103</v>
      </c>
      <c r="B185" s="6">
        <v>443</v>
      </c>
      <c r="C185" s="7" t="str">
        <f t="shared" si="4"/>
        <v>PremiumSS5</v>
      </c>
      <c r="D185" s="7" t="str">
        <f t="shared" si="5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IFERROR(VLOOKUP(B185,input_358103!L:R,7,FALSE),VLOOKUP(tables_358103!C185,input_358103!A:H,8,FALSE))</f>
        <v>234</v>
      </c>
      <c r="P185" s="46">
        <f ca="1">O185/SUM(O:O)</f>
        <v>3.9473684210526316E-5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input_358103!A$2</f>
        <v>358103</v>
      </c>
      <c r="B186" s="8">
        <v>462</v>
      </c>
      <c r="C186" s="7" t="str">
        <f t="shared" si="4"/>
        <v>Premium3</v>
      </c>
      <c r="D186" s="7" t="str">
        <f t="shared" si="5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IFERROR(VLOOKUP(B186,input_358103!L:R,7,FALSE),VLOOKUP(tables_358103!C186,input_358103!A:H,8,FALSE))</f>
        <v>0</v>
      </c>
      <c r="P186" s="46">
        <f ca="1">O186/SUM(O:O)</f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input_358103!A$2</f>
        <v>358103</v>
      </c>
      <c r="B187" s="8">
        <v>463</v>
      </c>
      <c r="C187" s="7" t="str">
        <f t="shared" si="4"/>
        <v>Premium4</v>
      </c>
      <c r="D187" s="7" t="str">
        <f t="shared" si="5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IFERROR(VLOOKUP(B187,input_358103!L:R,7,FALSE),VLOOKUP(tables_358103!C187,input_358103!A:H,8,FALSE))</f>
        <v>69745.2</v>
      </c>
      <c r="P187" s="46">
        <f ca="1">O187/SUM(O:O)</f>
        <v>1.1765384615384615E-2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input_358103!A$2</f>
        <v>358103</v>
      </c>
      <c r="B188" s="8">
        <v>464</v>
      </c>
      <c r="C188" s="7" t="str">
        <f t="shared" si="4"/>
        <v>Premium5</v>
      </c>
      <c r="D188" s="7" t="str">
        <f t="shared" si="5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IFERROR(VLOOKUP(B188,input_358103!L:R,7,FALSE),VLOOKUP(tables_358103!C188,input_358103!A:H,8,FALSE))</f>
        <v>3670.8</v>
      </c>
      <c r="P188" s="46">
        <f ca="1">O188/SUM(O:O)</f>
        <v>6.1923076923076927E-4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input_358103!A$2</f>
        <v>358103</v>
      </c>
      <c r="B189" s="8">
        <v>465</v>
      </c>
      <c r="C189" s="7" t="str">
        <f t="shared" si="4"/>
        <v>PremiumSS4</v>
      </c>
      <c r="D189" s="7" t="str">
        <f t="shared" si="5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IFERROR(VLOOKUP(B189,input_358103!L:R,7,FALSE),VLOOKUP(tables_358103!C189,input_358103!A:H,8,FALSE))</f>
        <v>4446</v>
      </c>
      <c r="P189" s="46">
        <f ca="1">O189/SUM(O:O)</f>
        <v>7.5000000000000002E-4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input_358103!A$2</f>
        <v>358103</v>
      </c>
      <c r="B190" s="6">
        <v>466</v>
      </c>
      <c r="C190" s="7" t="str">
        <f t="shared" si="4"/>
        <v>PremiumSS5</v>
      </c>
      <c r="D190" s="7" t="str">
        <f t="shared" si="5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IFERROR(VLOOKUP(B190,input_358103!L:R,7,FALSE),VLOOKUP(tables_358103!C190,input_358103!A:H,8,FALSE))</f>
        <v>234</v>
      </c>
      <c r="P190" s="46">
        <f ca="1">O190/SUM(O:O)</f>
        <v>3.9473684210526316E-5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input_358103!A$2</f>
        <v>358103</v>
      </c>
      <c r="B191" s="6">
        <v>467</v>
      </c>
      <c r="C191" s="7" t="str">
        <f t="shared" si="4"/>
        <v>PremiumSS4</v>
      </c>
      <c r="D191" s="7" t="str">
        <f t="shared" si="5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IFERROR(VLOOKUP(B191,input_358103!L:R,7,FALSE),VLOOKUP(tables_358103!C191,input_358103!A:H,8,FALSE))</f>
        <v>4446</v>
      </c>
      <c r="P191" s="46">
        <f ca="1">O191/SUM(O:O)</f>
        <v>7.5000000000000002E-4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input_358103!A$2</f>
        <v>358103</v>
      </c>
      <c r="B192" s="6">
        <v>468</v>
      </c>
      <c r="C192" s="7" t="str">
        <f t="shared" si="4"/>
        <v>PremiumSS5</v>
      </c>
      <c r="D192" s="7" t="str">
        <f t="shared" si="5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IFERROR(VLOOKUP(B192,input_358103!L:R,7,FALSE),VLOOKUP(tables_358103!C192,input_358103!A:H,8,FALSE))</f>
        <v>234</v>
      </c>
      <c r="P192" s="46">
        <f ca="1">O192/SUM(O:O)</f>
        <v>3.9473684210526316E-5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input_358103!A$2</f>
        <v>358103</v>
      </c>
      <c r="B193" s="6">
        <v>469</v>
      </c>
      <c r="C193" s="7" t="str">
        <f t="shared" si="4"/>
        <v>Premium3</v>
      </c>
      <c r="D193" s="7" t="str">
        <f t="shared" si="5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IFERROR(VLOOKUP(B193,input_358103!L:R,7,FALSE),VLOOKUP(tables_358103!C193,input_358103!A:H,8,FALSE))</f>
        <v>0</v>
      </c>
      <c r="P193" s="46">
        <f ca="1">O193/SUM(O:O)</f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input_358103!A$2</f>
        <v>358103</v>
      </c>
      <c r="B194" s="6">
        <v>470</v>
      </c>
      <c r="C194" s="7" t="str">
        <f t="shared" ref="C194:C257" si="6">D194&amp;J194&amp;E194&amp;F194&amp;G194</f>
        <v>Premium4</v>
      </c>
      <c r="D194" s="7" t="str">
        <f t="shared" ref="D194:D257" si="7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IFERROR(VLOOKUP(B194,input_358103!L:R,7,FALSE),VLOOKUP(tables_358103!C194,input_358103!A:H,8,FALSE))</f>
        <v>69745.2</v>
      </c>
      <c r="P194" s="46">
        <f ca="1">O194/SUM(O:O)</f>
        <v>1.1765384615384615E-2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input_358103!A$2</f>
        <v>358103</v>
      </c>
      <c r="B195" s="6">
        <v>471</v>
      </c>
      <c r="C195" s="7" t="str">
        <f t="shared" si="6"/>
        <v>Premium5</v>
      </c>
      <c r="D195" s="7" t="str">
        <f t="shared" si="7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IFERROR(VLOOKUP(B195,input_358103!L:R,7,FALSE),VLOOKUP(tables_358103!C195,input_358103!A:H,8,FALSE))</f>
        <v>3670.8</v>
      </c>
      <c r="P195" s="46">
        <f ca="1">O195/SUM(O:O)</f>
        <v>6.1923076923076927E-4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input_358103!A$2</f>
        <v>358103</v>
      </c>
      <c r="B196" s="6">
        <v>474</v>
      </c>
      <c r="C196" s="7" t="str">
        <f t="shared" si="6"/>
        <v>PremiumSS4</v>
      </c>
      <c r="D196" s="7" t="str">
        <f t="shared" si="7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IFERROR(VLOOKUP(B196,input_358103!L:R,7,FALSE),VLOOKUP(tables_358103!C196,input_358103!A:H,8,FALSE))</f>
        <v>4446</v>
      </c>
      <c r="P196" s="46">
        <f ca="1">O196/SUM(O:O)</f>
        <v>7.5000000000000002E-4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input_358103!A$2</f>
        <v>358103</v>
      </c>
      <c r="B197" s="6">
        <v>475</v>
      </c>
      <c r="C197" s="7" t="str">
        <f t="shared" si="6"/>
        <v>PremiumSS5</v>
      </c>
      <c r="D197" s="7" t="str">
        <f t="shared" si="7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IFERROR(VLOOKUP(B197,input_358103!L:R,7,FALSE),VLOOKUP(tables_358103!C197,input_358103!A:H,8,FALSE))</f>
        <v>234</v>
      </c>
      <c r="P197" s="46">
        <f ca="1">O197/SUM(O:O)</f>
        <v>3.9473684210526316E-5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input_358103!A$2</f>
        <v>358103</v>
      </c>
      <c r="B198" s="6">
        <v>476</v>
      </c>
      <c r="C198" s="7" t="str">
        <f t="shared" si="6"/>
        <v>Premium3</v>
      </c>
      <c r="D198" s="7" t="str">
        <f t="shared" si="7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IFERROR(VLOOKUP(B198,input_358103!L:R,7,FALSE),VLOOKUP(tables_358103!C198,input_358103!A:H,8,FALSE))</f>
        <v>0</v>
      </c>
      <c r="P198" s="46">
        <f ca="1">O198/SUM(O:O)</f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input_358103!A$2</f>
        <v>358103</v>
      </c>
      <c r="B199" s="6">
        <v>477</v>
      </c>
      <c r="C199" s="7" t="str">
        <f t="shared" si="6"/>
        <v>Premium4</v>
      </c>
      <c r="D199" s="7" t="str">
        <f t="shared" si="7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IFERROR(VLOOKUP(B199,input_358103!L:R,7,FALSE),VLOOKUP(tables_358103!C199,input_358103!A:H,8,FALSE))</f>
        <v>69745.2</v>
      </c>
      <c r="P199" s="46">
        <f ca="1">O199/SUM(O:O)</f>
        <v>1.1765384615384615E-2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input_358103!A$2</f>
        <v>358103</v>
      </c>
      <c r="B200" s="6">
        <v>478</v>
      </c>
      <c r="C200" s="7" t="str">
        <f t="shared" si="6"/>
        <v>Premium5</v>
      </c>
      <c r="D200" s="7" t="str">
        <f t="shared" si="7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IFERROR(VLOOKUP(B200,input_358103!L:R,7,FALSE),VLOOKUP(tables_358103!C200,input_358103!A:H,8,FALSE))</f>
        <v>3670.8</v>
      </c>
      <c r="P200" s="46">
        <f ca="1">O200/SUM(O:O)</f>
        <v>6.1923076923076927E-4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input_358103!A$2</f>
        <v>358103</v>
      </c>
      <c r="B201" s="6">
        <v>479</v>
      </c>
      <c r="C201" s="7" t="str">
        <f t="shared" si="6"/>
        <v>PremiumSS4</v>
      </c>
      <c r="D201" s="7" t="str">
        <f t="shared" si="7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IFERROR(VLOOKUP(B201,input_358103!L:R,7,FALSE),VLOOKUP(tables_358103!C201,input_358103!A:H,8,FALSE))</f>
        <v>4446</v>
      </c>
      <c r="P201" s="46">
        <f ca="1">O201/SUM(O:O)</f>
        <v>7.5000000000000002E-4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input_358103!A$2</f>
        <v>358103</v>
      </c>
      <c r="B202" s="6">
        <v>480</v>
      </c>
      <c r="C202" s="7" t="str">
        <f t="shared" si="6"/>
        <v>PremiumSS5</v>
      </c>
      <c r="D202" s="7" t="str">
        <f t="shared" si="7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IFERROR(VLOOKUP(B202,input_358103!L:R,7,FALSE),VLOOKUP(tables_358103!C202,input_358103!A:H,8,FALSE))</f>
        <v>234</v>
      </c>
      <c r="P202" s="46">
        <f ca="1">O202/SUM(O:O)</f>
        <v>3.9473684210526316E-5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input_358103!A$2</f>
        <v>358103</v>
      </c>
      <c r="B203" s="6">
        <v>481</v>
      </c>
      <c r="C203" s="7" t="str">
        <f t="shared" si="6"/>
        <v>Premium3</v>
      </c>
      <c r="D203" s="7" t="str">
        <f t="shared" si="7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IFERROR(VLOOKUP(B203,input_358103!L:R,7,FALSE),VLOOKUP(tables_358103!C203,input_358103!A:H,8,FALSE))</f>
        <v>0</v>
      </c>
      <c r="P203" s="46">
        <f ca="1">O203/SUM(O:O)</f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input_358103!A$2</f>
        <v>358103</v>
      </c>
      <c r="B204" s="6">
        <v>482</v>
      </c>
      <c r="C204" s="7" t="str">
        <f t="shared" si="6"/>
        <v>Premium4</v>
      </c>
      <c r="D204" s="7" t="str">
        <f t="shared" si="7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IFERROR(VLOOKUP(B204,input_358103!L:R,7,FALSE),VLOOKUP(tables_358103!C204,input_358103!A:H,8,FALSE))</f>
        <v>69745.2</v>
      </c>
      <c r="P204" s="46">
        <f ca="1">O204/SUM(O:O)</f>
        <v>1.1765384615384615E-2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input_358103!A$2</f>
        <v>358103</v>
      </c>
      <c r="B205" s="6">
        <v>483</v>
      </c>
      <c r="C205" s="7" t="str">
        <f t="shared" si="6"/>
        <v>Premium5</v>
      </c>
      <c r="D205" s="7" t="str">
        <f t="shared" si="7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IFERROR(VLOOKUP(B205,input_358103!L:R,7,FALSE),VLOOKUP(tables_358103!C205,input_358103!A:H,8,FALSE))</f>
        <v>3670.8</v>
      </c>
      <c r="P205" s="46">
        <f ca="1">O205/SUM(O:O)</f>
        <v>6.1923076923076927E-4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input_358103!A$2</f>
        <v>358103</v>
      </c>
      <c r="B206" s="6">
        <v>492</v>
      </c>
      <c r="C206" s="7" t="str">
        <f t="shared" si="6"/>
        <v>PremiumSS4</v>
      </c>
      <c r="D206" s="7" t="str">
        <f t="shared" si="7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IFERROR(VLOOKUP(B206,input_358103!L:R,7,FALSE),VLOOKUP(tables_358103!C206,input_358103!A:H,8,FALSE))</f>
        <v>4446</v>
      </c>
      <c r="P206" s="46">
        <f ca="1">O206/SUM(O:O)</f>
        <v>7.5000000000000002E-4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input_358103!A$2</f>
        <v>358103</v>
      </c>
      <c r="B207" s="6">
        <v>493</v>
      </c>
      <c r="C207" s="7" t="str">
        <f t="shared" si="6"/>
        <v>PremiumSS5</v>
      </c>
      <c r="D207" s="7" t="str">
        <f t="shared" si="7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IFERROR(VLOOKUP(B207,input_358103!L:R,7,FALSE),VLOOKUP(tables_358103!C207,input_358103!A:H,8,FALSE))</f>
        <v>234</v>
      </c>
      <c r="P207" s="46">
        <f ca="1">O207/SUM(O:O)</f>
        <v>3.9473684210526316E-5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input_358103!A$2</f>
        <v>358103</v>
      </c>
      <c r="B208" s="6">
        <v>494</v>
      </c>
      <c r="C208" s="7" t="str">
        <f t="shared" si="6"/>
        <v>PremiumSS4</v>
      </c>
      <c r="D208" s="7" t="str">
        <f t="shared" si="7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IFERROR(VLOOKUP(B208,input_358103!L:R,7,FALSE),VLOOKUP(tables_358103!C208,input_358103!A:H,8,FALSE))</f>
        <v>4446</v>
      </c>
      <c r="P208" s="46">
        <f ca="1">O208/SUM(O:O)</f>
        <v>7.5000000000000002E-4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input_358103!A$2</f>
        <v>358103</v>
      </c>
      <c r="B209" s="6">
        <v>495</v>
      </c>
      <c r="C209" s="7" t="str">
        <f t="shared" si="6"/>
        <v>PremiumSS5</v>
      </c>
      <c r="D209" s="7" t="str">
        <f t="shared" si="7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IFERROR(VLOOKUP(B209,input_358103!L:R,7,FALSE),VLOOKUP(tables_358103!C209,input_358103!A:H,8,FALSE))</f>
        <v>234</v>
      </c>
      <c r="P209" s="46">
        <f ca="1">O209/SUM(O:O)</f>
        <v>3.9473684210526316E-5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input_358103!A$2</f>
        <v>358103</v>
      </c>
      <c r="B210" s="6">
        <v>496</v>
      </c>
      <c r="C210" s="7" t="str">
        <f t="shared" si="6"/>
        <v>Premium3</v>
      </c>
      <c r="D210" s="7" t="str">
        <f t="shared" si="7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IFERROR(VLOOKUP(B210,input_358103!L:R,7,FALSE),VLOOKUP(tables_358103!C210,input_358103!A:H,8,FALSE))</f>
        <v>0</v>
      </c>
      <c r="P210" s="46">
        <f ca="1">O210/SUM(O:O)</f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input_358103!A$2</f>
        <v>358103</v>
      </c>
      <c r="B211" s="6">
        <v>497</v>
      </c>
      <c r="C211" s="7" t="str">
        <f t="shared" si="6"/>
        <v>Premium4</v>
      </c>
      <c r="D211" s="7" t="str">
        <f t="shared" si="7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IFERROR(VLOOKUP(B211,input_358103!L:R,7,FALSE),VLOOKUP(tables_358103!C211,input_358103!A:H,8,FALSE))</f>
        <v>69745.2</v>
      </c>
      <c r="P211" s="46">
        <f ca="1">O211/SUM(O:O)</f>
        <v>1.1765384615384615E-2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input_358103!A$2</f>
        <v>358103</v>
      </c>
      <c r="B212" s="6">
        <v>498</v>
      </c>
      <c r="C212" s="7" t="str">
        <f t="shared" si="6"/>
        <v>Premium5</v>
      </c>
      <c r="D212" s="7" t="str">
        <f t="shared" si="7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IFERROR(VLOOKUP(B212,input_358103!L:R,7,FALSE),VLOOKUP(tables_358103!C212,input_358103!A:H,8,FALSE))</f>
        <v>3670.8</v>
      </c>
      <c r="P212" s="46">
        <f ca="1">O212/SUM(O:O)</f>
        <v>6.1923076923076927E-4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input_358103!A$2</f>
        <v>358103</v>
      </c>
      <c r="B213" s="6">
        <v>499</v>
      </c>
      <c r="C213" s="7" t="str">
        <f t="shared" si="6"/>
        <v>PremiumSS4</v>
      </c>
      <c r="D213" s="7" t="str">
        <f t="shared" si="7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IFERROR(VLOOKUP(B213,input_358103!L:R,7,FALSE),VLOOKUP(tables_358103!C213,input_358103!A:H,8,FALSE))</f>
        <v>4446</v>
      </c>
      <c r="P213" s="46">
        <f ca="1">O213/SUM(O:O)</f>
        <v>7.5000000000000002E-4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input_358103!A$2</f>
        <v>358103</v>
      </c>
      <c r="B214" s="6">
        <v>500</v>
      </c>
      <c r="C214" s="7" t="str">
        <f t="shared" si="6"/>
        <v>PremiumSS5</v>
      </c>
      <c r="D214" s="7" t="str">
        <f t="shared" si="7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IFERROR(VLOOKUP(B214,input_358103!L:R,7,FALSE),VLOOKUP(tables_358103!C214,input_358103!A:H,8,FALSE))</f>
        <v>234</v>
      </c>
      <c r="P214" s="46">
        <f ca="1">O214/SUM(O:O)</f>
        <v>3.9473684210526316E-5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input_358103!A$2</f>
        <v>358103</v>
      </c>
      <c r="B215" s="6">
        <v>586</v>
      </c>
      <c r="C215" s="7" t="str">
        <f t="shared" si="6"/>
        <v>PremiumSS4</v>
      </c>
      <c r="D215" s="7" t="str">
        <f t="shared" si="7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IFERROR(VLOOKUP(B215,input_358103!L:R,7,FALSE),VLOOKUP(tables_358103!C215,input_358103!A:H,8,FALSE))</f>
        <v>4446</v>
      </c>
      <c r="P215" s="46">
        <f ca="1">O215/SUM(O:O)</f>
        <v>7.5000000000000002E-4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input_358103!A$2</f>
        <v>358103</v>
      </c>
      <c r="B216" s="6">
        <v>587</v>
      </c>
      <c r="C216" s="7" t="str">
        <f t="shared" si="6"/>
        <v>PremiumSS5</v>
      </c>
      <c r="D216" s="7" t="str">
        <f t="shared" si="7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IFERROR(VLOOKUP(B216,input_358103!L:R,7,FALSE),VLOOKUP(tables_358103!C216,input_358103!A:H,8,FALSE))</f>
        <v>234</v>
      </c>
      <c r="P216" s="46">
        <f ca="1">O216/SUM(O:O)</f>
        <v>3.9473684210526316E-5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input_358103!A$2</f>
        <v>358103</v>
      </c>
      <c r="B217" s="6">
        <v>588</v>
      </c>
      <c r="C217" s="7" t="str">
        <f t="shared" si="6"/>
        <v>Premium3</v>
      </c>
      <c r="D217" s="7" t="str">
        <f t="shared" si="7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IFERROR(VLOOKUP(B217,input_358103!L:R,7,FALSE),VLOOKUP(tables_358103!C217,input_358103!A:H,8,FALSE))</f>
        <v>0</v>
      </c>
      <c r="P217" s="46">
        <f ca="1">O217/SUM(O:O)</f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input_358103!A$2</f>
        <v>358103</v>
      </c>
      <c r="B218" s="6">
        <v>589</v>
      </c>
      <c r="C218" s="7" t="str">
        <f t="shared" si="6"/>
        <v>Premium4</v>
      </c>
      <c r="D218" s="7" t="str">
        <f t="shared" si="7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IFERROR(VLOOKUP(B218,input_358103!L:R,7,FALSE),VLOOKUP(tables_358103!C218,input_358103!A:H,8,FALSE))</f>
        <v>69745.2</v>
      </c>
      <c r="P218" s="46">
        <f ca="1">O218/SUM(O:O)</f>
        <v>1.1765384615384615E-2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input_358103!A$2</f>
        <v>358103</v>
      </c>
      <c r="B219" s="6">
        <v>590</v>
      </c>
      <c r="C219" s="7" t="str">
        <f t="shared" si="6"/>
        <v>Premium5</v>
      </c>
      <c r="D219" s="7" t="str">
        <f t="shared" si="7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IFERROR(VLOOKUP(B219,input_358103!L:R,7,FALSE),VLOOKUP(tables_358103!C219,input_358103!A:H,8,FALSE))</f>
        <v>3670.8</v>
      </c>
      <c r="P219" s="46">
        <f ca="1">O219/SUM(O:O)</f>
        <v>6.1923076923076927E-4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input_358103!A$2</f>
        <v>358103</v>
      </c>
      <c r="B220" s="6">
        <v>591</v>
      </c>
      <c r="C220" s="7" t="str">
        <f t="shared" si="6"/>
        <v>Premium3</v>
      </c>
      <c r="D220" s="7" t="str">
        <f t="shared" si="7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IFERROR(VLOOKUP(B220,input_358103!L:R,7,FALSE),VLOOKUP(tables_358103!C220,input_358103!A:H,8,FALSE))</f>
        <v>0</v>
      </c>
      <c r="P220" s="46">
        <f ca="1">O220/SUM(O:O)</f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input_358103!A$2</f>
        <v>358103</v>
      </c>
      <c r="B221" s="6">
        <v>592</v>
      </c>
      <c r="C221" s="7" t="str">
        <f t="shared" si="6"/>
        <v>Premium4</v>
      </c>
      <c r="D221" s="7" t="str">
        <f t="shared" si="7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IFERROR(VLOOKUP(B221,input_358103!L:R,7,FALSE),VLOOKUP(tables_358103!C221,input_358103!A:H,8,FALSE))</f>
        <v>69745.2</v>
      </c>
      <c r="P221" s="46">
        <f ca="1">O221/SUM(O:O)</f>
        <v>1.1765384615384615E-2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input_358103!A$2</f>
        <v>358103</v>
      </c>
      <c r="B222" s="6">
        <v>593</v>
      </c>
      <c r="C222" s="7" t="str">
        <f t="shared" si="6"/>
        <v>Premium5</v>
      </c>
      <c r="D222" s="7" t="str">
        <f t="shared" si="7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IFERROR(VLOOKUP(B222,input_358103!L:R,7,FALSE),VLOOKUP(tables_358103!C222,input_358103!A:H,8,FALSE))</f>
        <v>3670.8</v>
      </c>
      <c r="P222" s="46">
        <f ca="1">O222/SUM(O:O)</f>
        <v>6.1923076923076927E-4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input_358103!A$2</f>
        <v>358103</v>
      </c>
      <c r="B223" s="6">
        <v>594</v>
      </c>
      <c r="C223" s="7" t="str">
        <f t="shared" si="6"/>
        <v>PremiumSS4</v>
      </c>
      <c r="D223" s="7" t="str">
        <f t="shared" si="7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IFERROR(VLOOKUP(B223,input_358103!L:R,7,FALSE),VLOOKUP(tables_358103!C223,input_358103!A:H,8,FALSE))</f>
        <v>4446</v>
      </c>
      <c r="P223" s="46">
        <f ca="1">O223/SUM(O:O)</f>
        <v>7.5000000000000002E-4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input_358103!A$2</f>
        <v>358103</v>
      </c>
      <c r="B224" s="6">
        <v>595</v>
      </c>
      <c r="C224" s="7" t="str">
        <f t="shared" si="6"/>
        <v>PremiumSS5</v>
      </c>
      <c r="D224" s="7" t="str">
        <f t="shared" si="7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IFERROR(VLOOKUP(B224,input_358103!L:R,7,FALSE),VLOOKUP(tables_358103!C224,input_358103!A:H,8,FALSE))</f>
        <v>234</v>
      </c>
      <c r="P224" s="46">
        <f ca="1">O224/SUM(O:O)</f>
        <v>3.9473684210526316E-5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input_358103!A$2</f>
        <v>358103</v>
      </c>
      <c r="B225" s="6">
        <v>596</v>
      </c>
      <c r="C225" s="7" t="str">
        <f t="shared" si="6"/>
        <v>Premium3</v>
      </c>
      <c r="D225" s="7" t="str">
        <f t="shared" si="7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IFERROR(VLOOKUP(B225,input_358103!L:R,7,FALSE),VLOOKUP(tables_358103!C225,input_358103!A:H,8,FALSE))</f>
        <v>0</v>
      </c>
      <c r="P225" s="46">
        <f ca="1">O225/SUM(O:O)</f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input_358103!A$2</f>
        <v>358103</v>
      </c>
      <c r="B226" s="6">
        <v>597</v>
      </c>
      <c r="C226" s="7" t="str">
        <f t="shared" si="6"/>
        <v>Premium4</v>
      </c>
      <c r="D226" s="7" t="str">
        <f t="shared" si="7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IFERROR(VLOOKUP(B226,input_358103!L:R,7,FALSE),VLOOKUP(tables_358103!C226,input_358103!A:H,8,FALSE))</f>
        <v>69745.2</v>
      </c>
      <c r="P226" s="46">
        <f ca="1">O226/SUM(O:O)</f>
        <v>1.1765384615384615E-2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input_358103!A$2</f>
        <v>358103</v>
      </c>
      <c r="B227" s="6">
        <v>598</v>
      </c>
      <c r="C227" s="7" t="str">
        <f t="shared" si="6"/>
        <v>Premium5</v>
      </c>
      <c r="D227" s="7" t="str">
        <f t="shared" si="7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IFERROR(VLOOKUP(B227,input_358103!L:R,7,FALSE),VLOOKUP(tables_358103!C227,input_358103!A:H,8,FALSE))</f>
        <v>3670.8</v>
      </c>
      <c r="P227" s="46">
        <f ca="1">O227/SUM(O:O)</f>
        <v>6.1923076923076927E-4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input_358103!A$2</f>
        <v>358103</v>
      </c>
      <c r="B228" s="6">
        <v>599</v>
      </c>
      <c r="C228" s="7" t="str">
        <f t="shared" si="6"/>
        <v>Premium3</v>
      </c>
      <c r="D228" s="7" t="str">
        <f t="shared" si="7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IFERROR(VLOOKUP(B228,input_358103!L:R,7,FALSE),VLOOKUP(tables_358103!C228,input_358103!A:H,8,FALSE))</f>
        <v>0</v>
      </c>
      <c r="P228" s="46">
        <f ca="1">O228/SUM(O:O)</f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input_358103!A$2</f>
        <v>358103</v>
      </c>
      <c r="B229" s="6">
        <v>600</v>
      </c>
      <c r="C229" s="7" t="str">
        <f t="shared" si="6"/>
        <v>Premium4</v>
      </c>
      <c r="D229" s="7" t="str">
        <f t="shared" si="7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IFERROR(VLOOKUP(B229,input_358103!L:R,7,FALSE),VLOOKUP(tables_358103!C229,input_358103!A:H,8,FALSE))</f>
        <v>69745.2</v>
      </c>
      <c r="P229" s="46">
        <f ca="1">O229/SUM(O:O)</f>
        <v>1.1765384615384615E-2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input_358103!A$2</f>
        <v>358103</v>
      </c>
      <c r="B230" s="6">
        <v>601</v>
      </c>
      <c r="C230" s="7" t="str">
        <f t="shared" si="6"/>
        <v>Premium5</v>
      </c>
      <c r="D230" s="7" t="str">
        <f t="shared" si="7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IFERROR(VLOOKUP(B230,input_358103!L:R,7,FALSE),VLOOKUP(tables_358103!C230,input_358103!A:H,8,FALSE))</f>
        <v>3670.8</v>
      </c>
      <c r="P230" s="46">
        <f ca="1">O230/SUM(O:O)</f>
        <v>6.1923076923076927E-4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input_358103!A$2</f>
        <v>358103</v>
      </c>
      <c r="B231" s="6">
        <v>602</v>
      </c>
      <c r="C231" s="7" t="str">
        <f t="shared" si="6"/>
        <v>PremiumSS4</v>
      </c>
      <c r="D231" s="7" t="str">
        <f t="shared" si="7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IFERROR(VLOOKUP(B231,input_358103!L:R,7,FALSE),VLOOKUP(tables_358103!C231,input_358103!A:H,8,FALSE))</f>
        <v>4446</v>
      </c>
      <c r="P231" s="46">
        <f ca="1">O231/SUM(O:O)</f>
        <v>7.5000000000000002E-4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input_358103!A$2</f>
        <v>358103</v>
      </c>
      <c r="B232" s="6">
        <v>603</v>
      </c>
      <c r="C232" s="7" t="str">
        <f t="shared" si="6"/>
        <v>PremiumSS5</v>
      </c>
      <c r="D232" s="7" t="str">
        <f t="shared" si="7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IFERROR(VLOOKUP(B232,input_358103!L:R,7,FALSE),VLOOKUP(tables_358103!C232,input_358103!A:H,8,FALSE))</f>
        <v>234</v>
      </c>
      <c r="P232" s="46">
        <f ca="1">O232/SUM(O:O)</f>
        <v>3.9473684210526316E-5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input_358103!A$2</f>
        <v>358103</v>
      </c>
      <c r="B233" s="6">
        <v>604</v>
      </c>
      <c r="C233" s="7" t="str">
        <f t="shared" si="6"/>
        <v>Premium3</v>
      </c>
      <c r="D233" s="7" t="str">
        <f t="shared" si="7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IFERROR(VLOOKUP(B233,input_358103!L:R,7,FALSE),VLOOKUP(tables_358103!C233,input_358103!A:H,8,FALSE))</f>
        <v>0</v>
      </c>
      <c r="P233" s="46">
        <f ca="1">O233/SUM(O:O)</f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input_358103!A$2</f>
        <v>358103</v>
      </c>
      <c r="B234" s="6">
        <v>605</v>
      </c>
      <c r="C234" s="7" t="str">
        <f t="shared" si="6"/>
        <v>Premium4</v>
      </c>
      <c r="D234" s="7" t="str">
        <f t="shared" si="7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IFERROR(VLOOKUP(B234,input_358103!L:R,7,FALSE),VLOOKUP(tables_358103!C234,input_358103!A:H,8,FALSE))</f>
        <v>69745.2</v>
      </c>
      <c r="P234" s="46">
        <f ca="1">O234/SUM(O:O)</f>
        <v>1.1765384615384615E-2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input_358103!A$2</f>
        <v>358103</v>
      </c>
      <c r="B235" s="6">
        <v>606</v>
      </c>
      <c r="C235" s="7" t="str">
        <f t="shared" si="6"/>
        <v>Premium5</v>
      </c>
      <c r="D235" s="7" t="str">
        <f t="shared" si="7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IFERROR(VLOOKUP(B235,input_358103!L:R,7,FALSE),VLOOKUP(tables_358103!C235,input_358103!A:H,8,FALSE))</f>
        <v>3670.8</v>
      </c>
      <c r="P235" s="46">
        <f ca="1">O235/SUM(O:O)</f>
        <v>6.1923076923076927E-4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input_358103!A$2</f>
        <v>358103</v>
      </c>
      <c r="B236" s="6">
        <v>658</v>
      </c>
      <c r="C236" s="7" t="str">
        <f t="shared" si="6"/>
        <v>PremiumSS4</v>
      </c>
      <c r="D236" s="7" t="str">
        <f t="shared" si="7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IFERROR(VLOOKUP(B236,input_358103!L:R,7,FALSE),VLOOKUP(tables_358103!C236,input_358103!A:H,8,FALSE))</f>
        <v>4446</v>
      </c>
      <c r="P236" s="46">
        <f ca="1">O236/SUM(O:O)</f>
        <v>7.5000000000000002E-4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input_358103!A$2</f>
        <v>358103</v>
      </c>
      <c r="B237" s="6">
        <v>659</v>
      </c>
      <c r="C237" s="7" t="str">
        <f t="shared" si="6"/>
        <v>PremiumSS5</v>
      </c>
      <c r="D237" s="7" t="str">
        <f t="shared" si="7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IFERROR(VLOOKUP(B237,input_358103!L:R,7,FALSE),VLOOKUP(tables_358103!C237,input_358103!A:H,8,FALSE))</f>
        <v>234</v>
      </c>
      <c r="P237" s="46">
        <f ca="1">O237/SUM(O:O)</f>
        <v>3.9473684210526316E-5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input_358103!A$2</f>
        <v>358103</v>
      </c>
      <c r="B238" s="6">
        <v>660</v>
      </c>
      <c r="C238" s="7" t="str">
        <f t="shared" si="6"/>
        <v>PremiumSS4</v>
      </c>
      <c r="D238" s="7" t="str">
        <f t="shared" si="7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IFERROR(VLOOKUP(B238,input_358103!L:R,7,FALSE),VLOOKUP(tables_358103!C238,input_358103!A:H,8,FALSE))</f>
        <v>4446</v>
      </c>
      <c r="P238" s="46">
        <f ca="1">O238/SUM(O:O)</f>
        <v>7.5000000000000002E-4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input_358103!A$2</f>
        <v>358103</v>
      </c>
      <c r="B239" s="6">
        <v>661</v>
      </c>
      <c r="C239" s="7" t="str">
        <f t="shared" si="6"/>
        <v>PremiumSS5</v>
      </c>
      <c r="D239" s="7" t="str">
        <f t="shared" si="7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IFERROR(VLOOKUP(B239,input_358103!L:R,7,FALSE),VLOOKUP(tables_358103!C239,input_358103!A:H,8,FALSE))</f>
        <v>234</v>
      </c>
      <c r="P239" s="46">
        <f ca="1">O239/SUM(O:O)</f>
        <v>3.9473684210526316E-5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input_358103!A$2</f>
        <v>358103</v>
      </c>
      <c r="B240" s="6">
        <v>662</v>
      </c>
      <c r="C240" s="7" t="str">
        <f t="shared" si="6"/>
        <v>Premium3</v>
      </c>
      <c r="D240" s="7" t="str">
        <f t="shared" si="7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IFERROR(VLOOKUP(B240,input_358103!L:R,7,FALSE),VLOOKUP(tables_358103!C240,input_358103!A:H,8,FALSE))</f>
        <v>0</v>
      </c>
      <c r="P240" s="46">
        <f ca="1">O240/SUM(O:O)</f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input_358103!A$2</f>
        <v>358103</v>
      </c>
      <c r="B241" s="6">
        <v>663</v>
      </c>
      <c r="C241" s="7" t="str">
        <f t="shared" si="6"/>
        <v>Premium4</v>
      </c>
      <c r="D241" s="7" t="str">
        <f t="shared" si="7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IFERROR(VLOOKUP(B241,input_358103!L:R,7,FALSE),VLOOKUP(tables_358103!C241,input_358103!A:H,8,FALSE))</f>
        <v>69745.2</v>
      </c>
      <c r="P241" s="46">
        <f ca="1">O241/SUM(O:O)</f>
        <v>1.1765384615384615E-2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input_358103!A$2</f>
        <v>358103</v>
      </c>
      <c r="B242" s="6">
        <v>664</v>
      </c>
      <c r="C242" s="7" t="str">
        <f t="shared" si="6"/>
        <v>Premium5</v>
      </c>
      <c r="D242" s="7" t="str">
        <f t="shared" si="7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IFERROR(VLOOKUP(B242,input_358103!L:R,7,FALSE),VLOOKUP(tables_358103!C242,input_358103!A:H,8,FALSE))</f>
        <v>3670.8</v>
      </c>
      <c r="P242" s="46">
        <f ca="1">O242/SUM(O:O)</f>
        <v>6.1923076923076927E-4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input_358103!A$2</f>
        <v>358103</v>
      </c>
      <c r="B243" s="6">
        <v>665</v>
      </c>
      <c r="C243" s="7" t="str">
        <f t="shared" si="6"/>
        <v>Premium3</v>
      </c>
      <c r="D243" s="7" t="str">
        <f t="shared" si="7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IFERROR(VLOOKUP(B243,input_358103!L:R,7,FALSE),VLOOKUP(tables_358103!C243,input_358103!A:H,8,FALSE))</f>
        <v>0</v>
      </c>
      <c r="P243" s="46">
        <f ca="1">O243/SUM(O:O)</f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input_358103!A$2</f>
        <v>358103</v>
      </c>
      <c r="B244" s="6">
        <v>666</v>
      </c>
      <c r="C244" s="7" t="str">
        <f t="shared" si="6"/>
        <v>Premium4</v>
      </c>
      <c r="D244" s="7" t="str">
        <f t="shared" si="7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IFERROR(VLOOKUP(B244,input_358103!L:R,7,FALSE),VLOOKUP(tables_358103!C244,input_358103!A:H,8,FALSE))</f>
        <v>69745.2</v>
      </c>
      <c r="P244" s="46">
        <f ca="1">O244/SUM(O:O)</f>
        <v>1.1765384615384615E-2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input_358103!A$2</f>
        <v>358103</v>
      </c>
      <c r="B245" s="6">
        <v>667</v>
      </c>
      <c r="C245" s="7" t="str">
        <f t="shared" si="6"/>
        <v>Premium5</v>
      </c>
      <c r="D245" s="7" t="str">
        <f t="shared" si="7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IFERROR(VLOOKUP(B245,input_358103!L:R,7,FALSE),VLOOKUP(tables_358103!C245,input_358103!A:H,8,FALSE))</f>
        <v>3670.8</v>
      </c>
      <c r="P245" s="46">
        <f ca="1">O245/SUM(O:O)</f>
        <v>6.1923076923076927E-4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input_358103!A$2</f>
        <v>358103</v>
      </c>
      <c r="B246" s="60">
        <v>668</v>
      </c>
      <c r="C246" s="7" t="str">
        <f t="shared" si="6"/>
        <v>Premium3</v>
      </c>
      <c r="D246" s="7" t="str">
        <f t="shared" si="7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IFERROR(VLOOKUP(B246,input_358103!L:R,7,FALSE),VLOOKUP(tables_358103!C246,input_358103!A:H,8,FALSE))</f>
        <v>0</v>
      </c>
      <c r="P246" s="46">
        <f ca="1">O246/SUM(O:O)</f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input_358103!A$2</f>
        <v>358103</v>
      </c>
      <c r="B247" s="60">
        <v>669</v>
      </c>
      <c r="C247" s="7" t="str">
        <f t="shared" si="6"/>
        <v>Premium4</v>
      </c>
      <c r="D247" s="7" t="str">
        <f t="shared" si="7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IFERROR(VLOOKUP(B247,input_358103!L:R,7,FALSE),VLOOKUP(tables_358103!C247,input_358103!A:H,8,FALSE))</f>
        <v>69745.2</v>
      </c>
      <c r="P247" s="46">
        <f ca="1">O247/SUM(O:O)</f>
        <v>1.1765384615384615E-2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input_358103!A$2</f>
        <v>358103</v>
      </c>
      <c r="B248" s="60">
        <v>670</v>
      </c>
      <c r="C248" s="7" t="str">
        <f t="shared" si="6"/>
        <v>Premium5</v>
      </c>
      <c r="D248" s="7" t="str">
        <f t="shared" si="7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IFERROR(VLOOKUP(B248,input_358103!L:R,7,FALSE),VLOOKUP(tables_358103!C248,input_358103!A:H,8,FALSE))</f>
        <v>3670.8</v>
      </c>
      <c r="P248" s="46">
        <f ca="1">O248/SUM(O:O)</f>
        <v>6.1923076923076927E-4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input_358103!A$2</f>
        <v>358103</v>
      </c>
      <c r="B249" s="60">
        <v>671</v>
      </c>
      <c r="C249" s="7" t="str">
        <f t="shared" si="6"/>
        <v>Premium3</v>
      </c>
      <c r="D249" s="7" t="str">
        <f t="shared" si="7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IFERROR(VLOOKUP(B249,input_358103!L:R,7,FALSE),VLOOKUP(tables_358103!C249,input_358103!A:H,8,FALSE))</f>
        <v>0</v>
      </c>
      <c r="P249" s="46">
        <f ca="1">O249/SUM(O:O)</f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input_358103!A$2</f>
        <v>358103</v>
      </c>
      <c r="B250" s="60">
        <v>672</v>
      </c>
      <c r="C250" s="7" t="str">
        <f t="shared" si="6"/>
        <v>Premium4</v>
      </c>
      <c r="D250" s="7" t="str">
        <f t="shared" si="7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IFERROR(VLOOKUP(B250,input_358103!L:R,7,FALSE),VLOOKUP(tables_358103!C250,input_358103!A:H,8,FALSE))</f>
        <v>69745.2</v>
      </c>
      <c r="P250" s="46">
        <f ca="1">O250/SUM(O:O)</f>
        <v>1.1765384615384615E-2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input_358103!A$2</f>
        <v>358103</v>
      </c>
      <c r="B251" s="60">
        <v>673</v>
      </c>
      <c r="C251" s="7" t="str">
        <f t="shared" si="6"/>
        <v>Premium5</v>
      </c>
      <c r="D251" s="7" t="str">
        <f t="shared" si="7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IFERROR(VLOOKUP(B251,input_358103!L:R,7,FALSE),VLOOKUP(tables_358103!C251,input_358103!A:H,8,FALSE))</f>
        <v>3670.8</v>
      </c>
      <c r="P251" s="46">
        <f ca="1">O251/SUM(O:O)</f>
        <v>6.1923076923076927E-4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input_358103!A$2</f>
        <v>358103</v>
      </c>
      <c r="B252" s="60">
        <v>674</v>
      </c>
      <c r="C252" s="7" t="str">
        <f t="shared" si="6"/>
        <v>PremiumSS4</v>
      </c>
      <c r="D252" s="7" t="str">
        <f t="shared" si="7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IFERROR(VLOOKUP(B252,input_358103!L:R,7,FALSE),VLOOKUP(tables_358103!C252,input_358103!A:H,8,FALSE))</f>
        <v>4446</v>
      </c>
      <c r="P252" s="46">
        <f ca="1">O252/SUM(O:O)</f>
        <v>7.5000000000000002E-4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input_358103!A$2</f>
        <v>358103</v>
      </c>
      <c r="B253" s="60">
        <v>675</v>
      </c>
      <c r="C253" s="7" t="str">
        <f t="shared" si="6"/>
        <v>PremiumSS5</v>
      </c>
      <c r="D253" s="7" t="str">
        <f t="shared" si="7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IFERROR(VLOOKUP(B253,input_358103!L:R,7,FALSE),VLOOKUP(tables_358103!C253,input_358103!A:H,8,FALSE))</f>
        <v>234</v>
      </c>
      <c r="P253" s="46">
        <f ca="1">O253/SUM(O:O)</f>
        <v>3.9473684210526316E-5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input_358103!A$2</f>
        <v>358103</v>
      </c>
      <c r="B254" s="60">
        <v>676</v>
      </c>
      <c r="C254" s="7" t="str">
        <f t="shared" si="6"/>
        <v>PremiumSS4</v>
      </c>
      <c r="D254" s="7" t="str">
        <f t="shared" si="7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IFERROR(VLOOKUP(B254,input_358103!L:R,7,FALSE),VLOOKUP(tables_358103!C254,input_358103!A:H,8,FALSE))</f>
        <v>4446</v>
      </c>
      <c r="P254" s="46">
        <f ca="1">O254/SUM(O:O)</f>
        <v>7.5000000000000002E-4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input_358103!A$2</f>
        <v>358103</v>
      </c>
      <c r="B255" s="60">
        <v>677</v>
      </c>
      <c r="C255" s="7" t="str">
        <f t="shared" si="6"/>
        <v>PremiumSS5</v>
      </c>
      <c r="D255" s="7" t="str">
        <f t="shared" si="7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IFERROR(VLOOKUP(B255,input_358103!L:R,7,FALSE),VLOOKUP(tables_358103!C255,input_358103!A:H,8,FALSE))</f>
        <v>234</v>
      </c>
      <c r="P255" s="46">
        <f ca="1">O255/SUM(O:O)</f>
        <v>3.9473684210526316E-5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input_358103!A$2</f>
        <v>358103</v>
      </c>
      <c r="B256" s="60">
        <v>728</v>
      </c>
      <c r="C256" s="7" t="str">
        <f t="shared" si="6"/>
        <v>Premium4R3less</v>
      </c>
      <c r="D256" s="7" t="str">
        <f t="shared" si="7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IFERROR(VLOOKUP(B256,input_358103!L:R,7,FALSE),VLOOKUP(tables_358103!C256,input_358103!A:H,8,FALSE))</f>
        <v>61757.599999999999</v>
      </c>
      <c r="P256" s="46">
        <f ca="1">O256/SUM(O:O)</f>
        <v>1.0417948717948718E-2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input_358103!A$2</f>
        <v>358103</v>
      </c>
      <c r="B257" s="60">
        <v>729</v>
      </c>
      <c r="C257" s="7" t="str">
        <f t="shared" si="6"/>
        <v>Premium5R3less</v>
      </c>
      <c r="D257" s="7" t="str">
        <f t="shared" si="7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IFERROR(VLOOKUP(B257,input_358103!L:R,7,FALSE),VLOOKUP(tables_358103!C257,input_358103!A:H,8,FALSE))</f>
        <v>11658.4</v>
      </c>
      <c r="P257" s="46">
        <f ca="1">O257/SUM(O:O)</f>
        <v>1.9666666666666665E-3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input_358103!A$2</f>
        <v>358103</v>
      </c>
      <c r="B258" s="60">
        <v>730</v>
      </c>
      <c r="C258" s="7" t="str">
        <f t="shared" ref="C258:C283" si="8">D258&amp;J258&amp;E258&amp;F258&amp;G258</f>
        <v>Premium4R3less</v>
      </c>
      <c r="D258" s="7" t="str">
        <f t="shared" ref="D258:D283" si="9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IFERROR(VLOOKUP(B258,input_358103!L:R,7,FALSE),VLOOKUP(tables_358103!C258,input_358103!A:H,8,FALSE))</f>
        <v>61757.599999999999</v>
      </c>
      <c r="P258" s="46">
        <f ca="1">O258/SUM(O:O)</f>
        <v>1.0417948717948718E-2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input_358103!A$2</f>
        <v>358103</v>
      </c>
      <c r="B259" s="60">
        <v>731</v>
      </c>
      <c r="C259" s="7" t="str">
        <f t="shared" si="8"/>
        <v>Premium5R3less</v>
      </c>
      <c r="D259" s="7" t="str">
        <f t="shared" si="9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IFERROR(VLOOKUP(B259,input_358103!L:R,7,FALSE),VLOOKUP(tables_358103!C259,input_358103!A:H,8,FALSE))</f>
        <v>11658.4</v>
      </c>
      <c r="P259" s="46">
        <f ca="1">O259/SUM(O:O)</f>
        <v>1.9666666666666665E-3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input_358103!A$2</f>
        <v>358103</v>
      </c>
      <c r="B260" s="60">
        <v>732</v>
      </c>
      <c r="C260" s="7" t="str">
        <f t="shared" si="8"/>
        <v>PremiumSS5R5only</v>
      </c>
      <c r="D260" s="7" t="str">
        <f t="shared" si="9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IFERROR(VLOOKUP(B260,input_358103!L:R,7,FALSE),VLOOKUP(tables_358103!C260,input_358103!A:H,8,FALSE))</f>
        <v>4680</v>
      </c>
      <c r="P260" s="46">
        <f ca="1">O260/SUM(O:O)</f>
        <v>7.894736842105263E-4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input_358103!A$2</f>
        <v>358103</v>
      </c>
      <c r="B261" s="60">
        <v>734</v>
      </c>
      <c r="C261" s="7" t="str">
        <f t="shared" si="8"/>
        <v>PremiumSS5R5only</v>
      </c>
      <c r="D261" s="7" t="str">
        <f t="shared" si="9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IFERROR(VLOOKUP(B261,input_358103!L:R,7,FALSE),VLOOKUP(tables_358103!C261,input_358103!A:H,8,FALSE))</f>
        <v>4680</v>
      </c>
      <c r="P261" s="46">
        <f ca="1">O261/SUM(O:O)</f>
        <v>7.894736842105263E-4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input_358103!A$2</f>
        <v>358103</v>
      </c>
      <c r="B262" s="60">
        <v>770</v>
      </c>
      <c r="C262" s="7" t="str">
        <f t="shared" si="8"/>
        <v>PremiumSS4</v>
      </c>
      <c r="D262" s="7" t="str">
        <f t="shared" si="9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IFERROR(VLOOKUP(B262,input_358103!L:R,7,FALSE),VLOOKUP(tables_358103!C262,input_358103!A:H,8,FALSE))</f>
        <v>4446</v>
      </c>
      <c r="P262" s="46">
        <f ca="1">O262/SUM(O:O)</f>
        <v>7.5000000000000002E-4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input_358103!A$2</f>
        <v>358103</v>
      </c>
      <c r="B263" s="60">
        <v>771</v>
      </c>
      <c r="C263" s="7" t="str">
        <f t="shared" si="8"/>
        <v>PremiumSS5</v>
      </c>
      <c r="D263" s="7" t="str">
        <f t="shared" si="9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IFERROR(VLOOKUP(B263,input_358103!L:R,7,FALSE),VLOOKUP(tables_358103!C263,input_358103!A:H,8,FALSE))</f>
        <v>234</v>
      </c>
      <c r="P263" s="46">
        <f ca="1">O263/SUM(O:O)</f>
        <v>3.9473684210526316E-5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input_358103!A$2</f>
        <v>358103</v>
      </c>
      <c r="B264" s="60">
        <v>772</v>
      </c>
      <c r="C264" s="7" t="str">
        <f t="shared" si="8"/>
        <v>PremiumSS4</v>
      </c>
      <c r="D264" s="7" t="str">
        <f t="shared" si="9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IFERROR(VLOOKUP(B264,input_358103!L:R,7,FALSE),VLOOKUP(tables_358103!C264,input_358103!A:H,8,FALSE))</f>
        <v>4446</v>
      </c>
      <c r="P264" s="46">
        <f ca="1">O264/SUM(O:O)</f>
        <v>7.5000000000000002E-4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input_358103!A$2</f>
        <v>358103</v>
      </c>
      <c r="B265" s="60">
        <v>773</v>
      </c>
      <c r="C265" s="7" t="str">
        <f t="shared" si="8"/>
        <v>PremiumSS5</v>
      </c>
      <c r="D265" s="7" t="str">
        <f t="shared" si="9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IFERROR(VLOOKUP(B265,input_358103!L:R,7,FALSE),VLOOKUP(tables_358103!C265,input_358103!A:H,8,FALSE))</f>
        <v>234</v>
      </c>
      <c r="P265" s="46">
        <f ca="1">O265/SUM(O:O)</f>
        <v>3.9473684210526316E-5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input_358103!A$2</f>
        <v>358103</v>
      </c>
      <c r="B266" s="60">
        <v>774</v>
      </c>
      <c r="C266" s="7" t="str">
        <f t="shared" si="8"/>
        <v>Premium3</v>
      </c>
      <c r="D266" s="7" t="str">
        <f t="shared" si="9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IFERROR(VLOOKUP(B266,input_358103!L:R,7,FALSE),VLOOKUP(tables_358103!C266,input_358103!A:H,8,FALSE))</f>
        <v>0</v>
      </c>
      <c r="P266" s="46">
        <f ca="1">O266/SUM(O:O)</f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input_358103!A$2</f>
        <v>358103</v>
      </c>
      <c r="B267" s="60">
        <v>775</v>
      </c>
      <c r="C267" s="7" t="str">
        <f t="shared" si="8"/>
        <v>Premium4</v>
      </c>
      <c r="D267" s="7" t="str">
        <f t="shared" si="9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IFERROR(VLOOKUP(B267,input_358103!L:R,7,FALSE),VLOOKUP(tables_358103!C267,input_358103!A:H,8,FALSE))</f>
        <v>69745.2</v>
      </c>
      <c r="P267" s="46">
        <f ca="1">O267/SUM(O:O)</f>
        <v>1.1765384615384615E-2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input_358103!A$2</f>
        <v>358103</v>
      </c>
      <c r="B268" s="60">
        <v>776</v>
      </c>
      <c r="C268" s="7" t="str">
        <f t="shared" si="8"/>
        <v>Premium5</v>
      </c>
      <c r="D268" s="7" t="str">
        <f t="shared" si="9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IFERROR(VLOOKUP(B268,input_358103!L:R,7,FALSE),VLOOKUP(tables_358103!C268,input_358103!A:H,8,FALSE))</f>
        <v>3670.8</v>
      </c>
      <c r="P268" s="46">
        <f ca="1">O268/SUM(O:O)</f>
        <v>6.1923076923076927E-4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input_358103!A$2</f>
        <v>358103</v>
      </c>
      <c r="B269" s="60">
        <v>777</v>
      </c>
      <c r="C269" s="7" t="str">
        <f t="shared" si="8"/>
        <v>Premium3</v>
      </c>
      <c r="D269" s="7" t="str">
        <f t="shared" si="9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IFERROR(VLOOKUP(B269,input_358103!L:R,7,FALSE),VLOOKUP(tables_358103!C269,input_358103!A:H,8,FALSE))</f>
        <v>0</v>
      </c>
      <c r="P269" s="46">
        <f ca="1">O269/SUM(O:O)</f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input_358103!A$2</f>
        <v>358103</v>
      </c>
      <c r="B270" s="60">
        <v>778</v>
      </c>
      <c r="C270" s="7" t="str">
        <f t="shared" si="8"/>
        <v>Premium4</v>
      </c>
      <c r="D270" s="7" t="str">
        <f t="shared" si="9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IFERROR(VLOOKUP(B270,input_358103!L:R,7,FALSE),VLOOKUP(tables_358103!C270,input_358103!A:H,8,FALSE))</f>
        <v>69745.2</v>
      </c>
      <c r="P270" s="46">
        <f ca="1">O270/SUM(O:O)</f>
        <v>1.1765384615384615E-2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input_358103!A$2</f>
        <v>358103</v>
      </c>
      <c r="B271" s="60">
        <v>779</v>
      </c>
      <c r="C271" s="7" t="str">
        <f t="shared" si="8"/>
        <v>Premium5</v>
      </c>
      <c r="D271" s="7" t="str">
        <f t="shared" si="9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IFERROR(VLOOKUP(B271,input_358103!L:R,7,FALSE),VLOOKUP(tables_358103!C271,input_358103!A:H,8,FALSE))</f>
        <v>3670.8</v>
      </c>
      <c r="P271" s="46">
        <f ca="1">O271/SUM(O:O)</f>
        <v>6.1923076923076927E-4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input_358103!A$2</f>
        <v>358103</v>
      </c>
      <c r="B272" s="83">
        <v>848</v>
      </c>
      <c r="C272" s="7" t="str">
        <f t="shared" si="8"/>
        <v>PremiumSS5R5only</v>
      </c>
      <c r="D272" s="7" t="str">
        <f t="shared" si="9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IFERROR(VLOOKUP(B272,input_358103!L:R,7,FALSE),VLOOKUP(tables_358103!C272,input_358103!A:H,8,FALSE))</f>
        <v>4680</v>
      </c>
      <c r="P272" s="46">
        <f ca="1">O272/SUM(O:O)</f>
        <v>7.894736842105263E-4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input_358103!A$2</f>
        <v>358103</v>
      </c>
      <c r="B273" s="83">
        <v>850</v>
      </c>
      <c r="C273" s="7" t="str">
        <f t="shared" si="8"/>
        <v>PremiumSS5R5only</v>
      </c>
      <c r="D273" s="7" t="str">
        <f t="shared" si="9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IFERROR(VLOOKUP(B273,input_358103!L:R,7,FALSE),VLOOKUP(tables_358103!C273,input_358103!A:H,8,FALSE))</f>
        <v>4680</v>
      </c>
      <c r="P273" s="46">
        <f ca="1">O273/SUM(O:O)</f>
        <v>7.894736842105263E-4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input_358103!A$2</f>
        <v>358103</v>
      </c>
      <c r="B274" s="83">
        <v>852</v>
      </c>
      <c r="C274" s="7" t="str">
        <f t="shared" si="8"/>
        <v>Premium4R3less</v>
      </c>
      <c r="D274" s="7" t="str">
        <f t="shared" si="9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IFERROR(VLOOKUP(B274,input_358103!L:R,7,FALSE),VLOOKUP(tables_358103!C274,input_358103!A:H,8,FALSE))</f>
        <v>61757.599999999999</v>
      </c>
      <c r="P274" s="46">
        <f ca="1">O274/SUM(O:O)</f>
        <v>1.0417948717948718E-2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input_358103!A$2</f>
        <v>358103</v>
      </c>
      <c r="B275" s="83">
        <v>853</v>
      </c>
      <c r="C275" s="7" t="str">
        <f t="shared" si="8"/>
        <v>Premium5R3less</v>
      </c>
      <c r="D275" s="7" t="str">
        <f t="shared" si="9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IFERROR(VLOOKUP(B275,input_358103!L:R,7,FALSE),VLOOKUP(tables_358103!C275,input_358103!A:H,8,FALSE))</f>
        <v>11658.4</v>
      </c>
      <c r="P275" s="46">
        <f ca="1">O275/SUM(O:O)</f>
        <v>1.9666666666666665E-3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input_358103!A$2</f>
        <v>358103</v>
      </c>
      <c r="B276" s="83">
        <v>854</v>
      </c>
      <c r="C276" s="7" t="str">
        <f t="shared" si="8"/>
        <v>Premium4R3less</v>
      </c>
      <c r="D276" s="7" t="str">
        <f t="shared" si="9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IFERROR(VLOOKUP(B276,input_358103!L:R,7,FALSE),VLOOKUP(tables_358103!C276,input_358103!A:H,8,FALSE))</f>
        <v>61757.599999999999</v>
      </c>
      <c r="P276" s="46">
        <f ca="1">O276/SUM(O:O)</f>
        <v>1.0417948717948718E-2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input_358103!A$2</f>
        <v>358103</v>
      </c>
      <c r="B277" s="83">
        <v>855</v>
      </c>
      <c r="C277" s="7" t="str">
        <f t="shared" si="8"/>
        <v>Premium5R3less</v>
      </c>
      <c r="D277" s="7" t="str">
        <f t="shared" si="9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IFERROR(VLOOKUP(B277,input_358103!L:R,7,FALSE),VLOOKUP(tables_358103!C277,input_358103!A:H,8,FALSE))</f>
        <v>11658.4</v>
      </c>
      <c r="P277" s="46">
        <f ca="1">O277/SUM(O:O)</f>
        <v>1.9666666666666665E-3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input_358103!A$2</f>
        <v>358103</v>
      </c>
      <c r="B278" s="83">
        <v>862</v>
      </c>
      <c r="C278" s="7" t="str">
        <f t="shared" si="8"/>
        <v>Premium4R3less</v>
      </c>
      <c r="D278" s="7" t="str">
        <f t="shared" si="9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IFERROR(VLOOKUP(B278,input_358103!L:R,7,FALSE),VLOOKUP(tables_358103!C278,input_358103!A:H,8,FALSE))</f>
        <v>61757.599999999999</v>
      </c>
      <c r="P278" s="46">
        <f ca="1">O278/SUM(O:O)</f>
        <v>1.0417948717948718E-2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input_358103!A$2</f>
        <v>358103</v>
      </c>
      <c r="B279" s="83">
        <v>863</v>
      </c>
      <c r="C279" s="7" t="str">
        <f t="shared" si="8"/>
        <v>Premium5R3less</v>
      </c>
      <c r="D279" s="7" t="str">
        <f t="shared" si="9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IFERROR(VLOOKUP(B279,input_358103!L:R,7,FALSE),VLOOKUP(tables_358103!C279,input_358103!A:H,8,FALSE))</f>
        <v>11658.4</v>
      </c>
      <c r="P279" s="46">
        <f ca="1">O279/SUM(O:O)</f>
        <v>1.9666666666666665E-3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input_358103!A$2</f>
        <v>358103</v>
      </c>
      <c r="B280" s="83">
        <v>864</v>
      </c>
      <c r="C280" s="7" t="str">
        <f t="shared" si="8"/>
        <v>Premium4R3less</v>
      </c>
      <c r="D280" s="7" t="str">
        <f t="shared" si="9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IFERROR(VLOOKUP(B280,input_358103!L:R,7,FALSE),VLOOKUP(tables_358103!C280,input_358103!A:H,8,FALSE))</f>
        <v>61757.599999999999</v>
      </c>
      <c r="P280" s="46">
        <f ca="1">O280/SUM(O:O)</f>
        <v>1.0417948717948718E-2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input_358103!A$2</f>
        <v>358103</v>
      </c>
      <c r="B281" s="83">
        <v>865</v>
      </c>
      <c r="C281" s="7" t="str">
        <f t="shared" si="8"/>
        <v>Premium5R3less</v>
      </c>
      <c r="D281" s="7" t="str">
        <f t="shared" si="9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IFERROR(VLOOKUP(B281,input_358103!L:R,7,FALSE),VLOOKUP(tables_358103!C281,input_358103!A:H,8,FALSE))</f>
        <v>11658.4</v>
      </c>
      <c r="P281" s="46">
        <f ca="1">O281/SUM(O:O)</f>
        <v>1.9666666666666665E-3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input_358103!A$2</f>
        <v>358103</v>
      </c>
      <c r="B282" s="83">
        <v>866</v>
      </c>
      <c r="C282" s="7" t="str">
        <f t="shared" si="8"/>
        <v>PremiumSS5R5only</v>
      </c>
      <c r="D282" s="7" t="str">
        <f t="shared" si="9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IFERROR(VLOOKUP(B282,input_358103!L:R,7,FALSE),VLOOKUP(tables_358103!C282,input_358103!A:H,8,FALSE))</f>
        <v>4680</v>
      </c>
      <c r="P282" s="46">
        <f ca="1">O282/SUM(O:O)</f>
        <v>7.894736842105263E-4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input_358103!A$2</f>
        <v>358103</v>
      </c>
      <c r="B283" s="83">
        <v>868</v>
      </c>
      <c r="C283" s="7" t="str">
        <f t="shared" si="8"/>
        <v>PremiumSS5R5only</v>
      </c>
      <c r="D283" s="7" t="str">
        <f t="shared" si="9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IFERROR(VLOOKUP(B283,input_358103!L:R,7,FALSE),VLOOKUP(tables_358103!C283,input_358103!A:H,8,FALSE))</f>
        <v>4680</v>
      </c>
      <c r="P283" s="46">
        <f ca="1">O283/SUM(O:O)</f>
        <v>7.894736842105263E-4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input_358103!A$2</f>
        <v>358103</v>
      </c>
      <c r="B284" s="83">
        <v>623</v>
      </c>
      <c r="C284" s="7" t="str">
        <f t="shared" ref="C284" si="10">D284&amp;J284&amp;E284&amp;F284&amp;G284</f>
        <v>PremiumSSS5R3less</v>
      </c>
      <c r="D284" s="7" t="str">
        <f t="shared" ref="D284" si="11">IF(I284="PremiumSS",I284,IF(I284="PremiumSSS",I284,IF(I284="PremiumW",I284,"Premium")))</f>
        <v>PremiumSSS</v>
      </c>
      <c r="E284" s="7" t="str">
        <f>IF(COUNTIF('R6追加前'!A:A,B284)=0,IF(I284="PremiumSS","R5only","R3less"),"")</f>
        <v>R3less</v>
      </c>
      <c r="F284" s="7" t="str">
        <f>IF(COUNTIF('R6開放'!A:A,B284)&gt;0,"R6release","")</f>
        <v/>
      </c>
      <c r="G284" s="7"/>
      <c r="H284" s="7" t="str">
        <f>VLOOKUP(B284,[1]characters!$A:$C,3,FALSE)</f>
        <v>未踏の轍跡 フェルマー</v>
      </c>
      <c r="I284" s="7" t="str">
        <f>VLOOKUP(B284,[1]characters!$A:$J,10,FALSE)</f>
        <v>PremiumSSS</v>
      </c>
      <c r="J284" s="7">
        <f>VLOOKUP(B284,[1]characters!$A:$I,9,FALSE)</f>
        <v>5</v>
      </c>
      <c r="K284" s="7" t="str">
        <f>VLOOKUP(B284,[1]characters!$A:$H,8,FALSE)</f>
        <v>yellow</v>
      </c>
      <c r="L284" s="7" t="str">
        <f>VLOOKUP(B284,[1]characters!$A:$K,11,FALSE)</f>
        <v>attack</v>
      </c>
      <c r="M284" s="7" t="str">
        <f>VLOOKUP(B284,[1]characters!$A:$M,13,FALSE)</f>
        <v>academia</v>
      </c>
      <c r="N284" s="7" t="str">
        <f>VLOOKUP(B284,[1]characters!$A:$G,7,FALSE)</f>
        <v>女性</v>
      </c>
      <c r="O284" s="45">
        <f ca="1">IFERROR(VLOOKUP(B284,input_358103!L:R,7,FALSE),VLOOKUP(tables_358103!C284,input_358103!A:H,8,FALSE))</f>
        <v>23712</v>
      </c>
      <c r="P284" s="46">
        <f ca="1">O284/SUM(O:O)</f>
        <v>4.0000000000000001E-3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</sheetData>
  <autoFilter ref="A1:V283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V48"/>
  <sheetViews>
    <sheetView workbookViewId="0">
      <selection activeCell="F33" sqref="F33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358104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VLOOKUP(L3,tables_358104!B:C,2,FALSE)</f>
        <v>#N/A</v>
      </c>
      <c r="R3" s="62">
        <f t="shared" ref="R3:R20" si="1">N3*A$36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VLOOKUP(L4,tables_358104!B:C,2,FALSE)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(B11-H5)/(F5-I5)</f>
        <v>7.894736842105263E-4</v>
      </c>
      <c r="F5">
        <f>(COUNTIF(tables_358104!C:C,input_358104!A26)+COUNTIF(tables_358104!C:C,input_358104!A28)+COUNTIF(tables_358104!C:C,input_358104!A29))</f>
        <v>38</v>
      </c>
      <c r="H5" s="86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VLOOKUP(L5,tables_358104!B:C,2,FALSE)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208</v>
      </c>
      <c r="E6" s="77">
        <f>(B10-H6)/(F6-I6)</f>
        <v>1.2333333333333333E-2</v>
      </c>
      <c r="F6">
        <f>(COUNTIF(tables_358104!C:C,input_358104!A18)+COUNTIF(tables_358104!C:C,input_358104!A20)+COUNTIF(tables_358104!C:C,input_358104!A22))</f>
        <v>78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VLOOKUP(L6,tables_358104!B:C,2,FALSE)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VLOOKUP(L7,tables_358104!B:C,2,FALSE)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E8" s="77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VLOOKUP(L8,tables_358104!B:C,2,FALSE)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VLOOKUP(L9,tables_358104!B:C,2,FALSE)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0.96199999999999997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VLOOKUP(L10,tables_358104!B:C,2,FALSE)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79">
        <v>0.03</v>
      </c>
      <c r="C11" t="s">
        <v>221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VLOOKUP(L11,tables_358104!B:C,2,FALSE)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8.0000000000000002E-3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VLOOKUP(L12,tables_358104!B:C,2,FALSE)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VLOOKUP(L13,tables_358104!B:C,2,FALSE)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VLOOKUP(L14,tables_358104!B:C,2,FALSE)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VLOOKUP(L15,tables_358104!B:C,2,FALSE)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VLOOKUP(L16,tables_358104!B:C,2,FALSE)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4">
        <f>B$5-B19-B24</f>
        <v>0</v>
      </c>
      <c r="C17" s="87">
        <f t="shared" ref="C17:C31" si="2">SUMIF(Q:Q,A17,N:N)</f>
        <v>0</v>
      </c>
      <c r="D17" s="75">
        <f t="shared" ref="D17:D32" si="3">B17-C17</f>
        <v>0</v>
      </c>
      <c r="E17">
        <f>COUNTIF(tables_358104!C:C,input_358104!A17)-COUNTIF(Q:Q,A17)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VLOOKUP(L17,tables_358104!B:C,2,FALSE)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E$6*E18-B17</f>
        <v>0.24666666666666667</v>
      </c>
      <c r="C18" s="87">
        <f t="shared" si="2"/>
        <v>0</v>
      </c>
      <c r="D18" s="75">
        <f t="shared" si="3"/>
        <v>0.24666666666666667</v>
      </c>
      <c r="E18">
        <f>COUNTIF(tables_358104!C:C,input_358104!A18)-COUNTIF(Q:Q,A18)</f>
        <v>20</v>
      </c>
      <c r="F18" s="43">
        <f>IFERROR(B18/E18,0)</f>
        <v>1.2333333333333333E-2</v>
      </c>
      <c r="G18">
        <f t="shared" si="4"/>
        <v>1462240</v>
      </c>
      <c r="H18">
        <f t="shared" si="5"/>
        <v>73112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VLOOKUP(L18,tables_358104!B:C,2,FALSE)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E$6*E19*B$5</f>
        <v>0</v>
      </c>
      <c r="C19" s="87">
        <f t="shared" si="2"/>
        <v>0</v>
      </c>
      <c r="D19" s="75">
        <f t="shared" si="3"/>
        <v>0</v>
      </c>
      <c r="E19">
        <f>COUNTIF(tables_358104!C:C,input_358104!A19)-COUNTIF(Q:Q,A19)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VLOOKUP(L19,tables_358104!B:C,2,FALSE)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E$6*E20*B$6</f>
        <v>0.60926666666666662</v>
      </c>
      <c r="C20" s="87">
        <f t="shared" si="2"/>
        <v>0</v>
      </c>
      <c r="D20" s="75">
        <f t="shared" si="3"/>
        <v>0.60926666666666662</v>
      </c>
      <c r="E20">
        <f>COUNTIF(tables_358104!C:C,input_358104!A20)-COUNTIF(Q:Q,A20)</f>
        <v>52</v>
      </c>
      <c r="F20" s="43">
        <f t="shared" si="8"/>
        <v>1.1716666666666665E-2</v>
      </c>
      <c r="G20">
        <f t="shared" si="4"/>
        <v>3611732.8</v>
      </c>
      <c r="H20">
        <f t="shared" si="5"/>
        <v>69456.399999999994</v>
      </c>
      <c r="I20">
        <f t="shared" si="6"/>
        <v>0.39999999999417923</v>
      </c>
      <c r="J20">
        <f t="shared" si="7"/>
        <v>2.5000000000363798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VLOOKUP(L20,tables_358104!B:C,2,FALSE)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E$6*E21*B$7</f>
        <v>3.2066666666666667E-2</v>
      </c>
      <c r="C21" s="87">
        <f t="shared" si="2"/>
        <v>0</v>
      </c>
      <c r="D21" s="75">
        <f t="shared" si="3"/>
        <v>3.2066666666666667E-2</v>
      </c>
      <c r="E21">
        <f>COUNTIF(tables_358104!C:C,input_358104!A21)-COUNTIF(Q:Q,A21)</f>
        <v>52</v>
      </c>
      <c r="F21" s="43">
        <f t="shared" si="8"/>
        <v>6.1666666666666662E-4</v>
      </c>
      <c r="G21">
        <f t="shared" si="4"/>
        <v>190091.2</v>
      </c>
      <c r="H21">
        <f t="shared" si="5"/>
        <v>3655.6</v>
      </c>
      <c r="I21">
        <f t="shared" si="6"/>
        <v>0.59999999999990905</v>
      </c>
      <c r="J21">
        <f t="shared" si="7"/>
        <v>1.6666666666669192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E$6*E22-B23</f>
        <v>6.2066666666666659E-2</v>
      </c>
      <c r="C22" s="87">
        <f t="shared" si="2"/>
        <v>0</v>
      </c>
      <c r="D22" s="75">
        <f t="shared" si="3"/>
        <v>6.2066666666666659E-2</v>
      </c>
      <c r="E22">
        <f>COUNTIF(tables_358104!C:C,input_358104!A22)-COUNTIF(Q:Q,A22)</f>
        <v>6</v>
      </c>
      <c r="F22" s="43">
        <f t="shared" si="8"/>
        <v>1.0344444444444443E-2</v>
      </c>
      <c r="G22">
        <f t="shared" si="4"/>
        <v>367931.19999999995</v>
      </c>
      <c r="H22">
        <f t="shared" si="5"/>
        <v>61321.866670000003</v>
      </c>
      <c r="I22">
        <f t="shared" si="6"/>
        <v>0.86667000000306871</v>
      </c>
      <c r="J22">
        <f t="shared" si="7"/>
        <v>1.1538417159893144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B$7-B26-B28-B29-B21</f>
        <v>1.1933333333333337E-2</v>
      </c>
      <c r="C23" s="87">
        <f t="shared" si="2"/>
        <v>0</v>
      </c>
      <c r="D23" s="75">
        <f t="shared" si="3"/>
        <v>1.1933333333333337E-2</v>
      </c>
      <c r="E23">
        <f>COUNTIF(tables_358104!C:C,input_358104!A23)-COUNTIF(Q:Q,A23)</f>
        <v>6</v>
      </c>
      <c r="F23" s="43">
        <f t="shared" si="8"/>
        <v>1.9888888888888894E-3</v>
      </c>
      <c r="G23">
        <f t="shared" si="4"/>
        <v>70740.800000000017</v>
      </c>
      <c r="H23">
        <f t="shared" si="5"/>
        <v>11790.133330000001</v>
      </c>
      <c r="I23">
        <f t="shared" si="6"/>
        <v>0.13333000000056927</v>
      </c>
      <c r="J23">
        <f t="shared" si="7"/>
        <v>7.5001875046555941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E$5*E24*B$5</f>
        <v>0</v>
      </c>
      <c r="C24" s="87">
        <f t="shared" si="2"/>
        <v>0</v>
      </c>
      <c r="D24" s="75">
        <f t="shared" si="3"/>
        <v>0</v>
      </c>
      <c r="E24">
        <f>COUNTIF(tables_358104!C:C,input_358104!A24)-COUNTIF(Q:Q,A24)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E$5*B$6*E25</f>
        <v>2.9999999999999996E-3</v>
      </c>
      <c r="C25" s="87">
        <f t="shared" si="2"/>
        <v>0</v>
      </c>
      <c r="D25" s="75">
        <f t="shared" si="3"/>
        <v>2.9999999999999996E-3</v>
      </c>
      <c r="E25">
        <f>COUNTIF(tables_358104!C:C,input_358104!A25)-COUNTIF(Q:Q,A25)</f>
        <v>4</v>
      </c>
      <c r="F25" s="43">
        <f t="shared" si="8"/>
        <v>7.4999999999999991E-4</v>
      </c>
      <c r="G25">
        <f t="shared" si="4"/>
        <v>17783.999999999996</v>
      </c>
      <c r="H25">
        <f t="shared" si="5"/>
        <v>4446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E$5*B$7*E26</f>
        <v>1.5789473684210527E-4</v>
      </c>
      <c r="C26" s="87">
        <f t="shared" si="2"/>
        <v>0</v>
      </c>
      <c r="D26" s="75">
        <f t="shared" si="3"/>
        <v>1.5789473684210527E-4</v>
      </c>
      <c r="E26">
        <f>COUNTIF(tables_358104!C:C,input_358104!A26)-COUNTIF(Q:Q,A26)</f>
        <v>4</v>
      </c>
      <c r="F26" s="43">
        <f t="shared" si="8"/>
        <v>3.9473684210526316E-5</v>
      </c>
      <c r="G26">
        <f t="shared" si="4"/>
        <v>936</v>
      </c>
      <c r="H26">
        <f t="shared" si="5"/>
        <v>234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2.0999999999999998E-2</v>
      </c>
      <c r="C27" s="87">
        <f t="shared" si="2"/>
        <v>0</v>
      </c>
      <c r="D27" s="75">
        <f t="shared" si="3"/>
        <v>2.0999999999999998E-2</v>
      </c>
      <c r="E27">
        <f>COUNTIF(tables_358104!C:C,input_358104!A27)-COUNTIF(Q:Q,A27)</f>
        <v>28</v>
      </c>
      <c r="F27" s="43">
        <f>IFERROR(B27/E27,0)</f>
        <v>7.4999999999999991E-4</v>
      </c>
      <c r="G27">
        <f t="shared" si="4"/>
        <v>124487.99999999999</v>
      </c>
      <c r="H27">
        <f t="shared" si="5"/>
        <v>4446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1.1052631578947368E-3</v>
      </c>
      <c r="C28" s="87">
        <f t="shared" si="2"/>
        <v>0</v>
      </c>
      <c r="D28" s="75">
        <f t="shared" si="3"/>
        <v>1.1052631578947368E-3</v>
      </c>
      <c r="E28">
        <f>COUNTIF(tables_358104!C:C,input_358104!A28)-COUNTIF(Q:Q,A28)</f>
        <v>28</v>
      </c>
      <c r="F28" s="43">
        <f t="shared" si="8"/>
        <v>3.9473684210526316E-5</v>
      </c>
      <c r="G28">
        <f t="shared" si="4"/>
        <v>6552</v>
      </c>
      <c r="H28">
        <f t="shared" si="5"/>
        <v>234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4.7368421052631574E-3</v>
      </c>
      <c r="C29" s="87">
        <f t="shared" si="2"/>
        <v>0</v>
      </c>
      <c r="D29" s="75">
        <f t="shared" si="3"/>
        <v>4.7368421052631574E-3</v>
      </c>
      <c r="E29">
        <f>COUNTIF(tables_358104!C:C,input_358104!A29)-COUNTIF(Q:Q,A29)</f>
        <v>6</v>
      </c>
      <c r="F29" s="43">
        <f t="shared" si="8"/>
        <v>7.8947368421052619E-4</v>
      </c>
      <c r="G29">
        <f t="shared" si="4"/>
        <v>28079.999999999996</v>
      </c>
      <c r="H29">
        <f t="shared" si="5"/>
        <v>4680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250</v>
      </c>
      <c r="B30" s="56">
        <v>0</v>
      </c>
      <c r="C30" s="87">
        <f t="shared" si="2"/>
        <v>0</v>
      </c>
      <c r="D30" s="75">
        <f t="shared" si="3"/>
        <v>0</v>
      </c>
      <c r="E30">
        <f>COUNTIF(tables_358104!C:C,input_358104!A30)-COUNTIF(Q:Q,A30)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251</v>
      </c>
      <c r="B31" s="56">
        <f>B12</f>
        <v>8.0000000000000002E-3</v>
      </c>
      <c r="C31" s="87">
        <f t="shared" si="2"/>
        <v>0</v>
      </c>
      <c r="D31" s="75">
        <f t="shared" si="3"/>
        <v>8.0000000000000002E-3</v>
      </c>
      <c r="E31">
        <f>COUNTIF(tables_358104!C:C,input_358104!A31)-COUNTIF(Q:Q,A31)</f>
        <v>1</v>
      </c>
      <c r="F31" s="43">
        <f t="shared" si="8"/>
        <v>8.0000000000000002E-3</v>
      </c>
      <c r="G31">
        <f t="shared" si="4"/>
        <v>47424</v>
      </c>
      <c r="H31">
        <f t="shared" si="5"/>
        <v>47424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5928000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3" t="s">
        <v>106</v>
      </c>
      <c r="B40">
        <f ca="1">SUMIF(tables_358104!C:C,input_358104!A40,tables_358104!O:O)</f>
        <v>0</v>
      </c>
      <c r="C40" s="54">
        <f t="shared" ref="C40:C46" ca="1" si="9">B40/B$47</f>
        <v>0</v>
      </c>
      <c r="E40">
        <v>3</v>
      </c>
      <c r="F40">
        <f ca="1">SUMIF(tables_358104!J:J,input_358104!E40,tables_358104!O:O)</f>
        <v>0</v>
      </c>
      <c r="G40">
        <f ca="1">F40/A36</f>
        <v>0</v>
      </c>
    </row>
    <row r="41" spans="1:7" x14ac:dyDescent="0.15">
      <c r="A41" s="33" t="s">
        <v>107</v>
      </c>
      <c r="B41">
        <f ca="1">SUMIF(tables_358104!C:C,input_358104!A41,tables_358104!O:O)</f>
        <v>3611732.799999997</v>
      </c>
      <c r="C41" s="54">
        <f t="shared" ca="1" si="9"/>
        <v>0.91834673154220425</v>
      </c>
      <c r="E41">
        <v>4</v>
      </c>
      <c r="F41">
        <f ca="1">SUMIF(tables_358104!J:J,input_358104!E41,tables_358104!O:O)</f>
        <v>5584176.0000200039</v>
      </c>
      <c r="G41">
        <f ca="1">F41/A36</f>
        <v>0.94200000000337447</v>
      </c>
    </row>
    <row r="42" spans="1:7" x14ac:dyDescent="0.15">
      <c r="A42" s="33" t="s">
        <v>109</v>
      </c>
      <c r="B42">
        <f ca="1">SUMIF(tables_358104!C:C,input_358104!A42,tables_358104!O:O)</f>
        <v>124488</v>
      </c>
      <c r="C42" s="54">
        <f t="shared" ca="1" si="9"/>
        <v>3.1653268457795668E-2</v>
      </c>
      <c r="E42">
        <v>5</v>
      </c>
      <c r="F42">
        <f ca="1">SUMIF(tables_358104!J:J,input_358104!E42,tables_358104!O:O)</f>
        <v>343823.9999800002</v>
      </c>
      <c r="G42">
        <f ca="1">F42/A36</f>
        <v>5.7999999996626216E-2</v>
      </c>
    </row>
    <row r="43" spans="1:7" x14ac:dyDescent="0.15">
      <c r="A43" s="33" t="s">
        <v>113</v>
      </c>
      <c r="B43">
        <f>SUMIF(tables_358104!C:C,input_358104!A43,tables_358104!O:O)</f>
        <v>0</v>
      </c>
      <c r="C43" s="54">
        <f t="shared" ca="1" si="9"/>
        <v>0</v>
      </c>
      <c r="F43" s="55"/>
    </row>
    <row r="44" spans="1:7" x14ac:dyDescent="0.15">
      <c r="A44" s="33" t="s">
        <v>108</v>
      </c>
      <c r="B44">
        <f ca="1">SUMIF(tables_358104!C:C,input_358104!A44,tables_358104!O:O)</f>
        <v>190091.20000000019</v>
      </c>
      <c r="C44" s="54">
        <f t="shared" ca="1" si="9"/>
        <v>4.8334038502221364E-2</v>
      </c>
      <c r="E44" t="s">
        <v>55</v>
      </c>
      <c r="F44" s="55"/>
    </row>
    <row r="45" spans="1:7" x14ac:dyDescent="0.15">
      <c r="A45" s="33" t="s">
        <v>110</v>
      </c>
      <c r="B45">
        <f ca="1">SUMIF(tables_358104!C:C,input_358104!A45,tables_358104!O:O)</f>
        <v>6552</v>
      </c>
      <c r="C45" s="54">
        <f t="shared" ca="1" si="9"/>
        <v>1.6659614977787192E-3</v>
      </c>
      <c r="E45" t="s">
        <v>210</v>
      </c>
      <c r="F45" s="55">
        <f ca="1">SUMIF(tables_358104!I:I,input_358104!E45,tables_358104!P:P)</f>
        <v>0.25366666666666665</v>
      </c>
    </row>
    <row r="46" spans="1:7" x14ac:dyDescent="0.15">
      <c r="A46" s="33" t="s">
        <v>111</v>
      </c>
      <c r="B46">
        <f>SUMIF(tables_358104!C:C,input_358104!A46,tables_358104!O:O)</f>
        <v>0</v>
      </c>
      <c r="C46" s="54">
        <f t="shared" ca="1" si="9"/>
        <v>0</v>
      </c>
      <c r="E46" t="s">
        <v>211</v>
      </c>
      <c r="F46" s="55">
        <f ca="1">SUMIF(tables_358104!I:I,input_358104!E46,tables_358104!P:P)</f>
        <v>0.21203508771929805</v>
      </c>
    </row>
    <row r="47" spans="1:7" x14ac:dyDescent="0.15">
      <c r="A47" s="39" t="s">
        <v>60</v>
      </c>
      <c r="B47">
        <f ca="1">SUM(B40:B46)</f>
        <v>3932863.9999999972</v>
      </c>
      <c r="C47" s="55">
        <f ca="1">SUM(C40:C46)</f>
        <v>1</v>
      </c>
      <c r="E47" t="s">
        <v>212</v>
      </c>
      <c r="F47" s="55">
        <f ca="1">SUMIF(tables_358104!I:I,input_358104!E47,tables_358104!P:P)</f>
        <v>0.50645614035087672</v>
      </c>
    </row>
    <row r="48" spans="1:7" x14ac:dyDescent="0.15">
      <c r="E48" t="s">
        <v>213</v>
      </c>
      <c r="F48" s="55">
        <f ca="1">SUMIF(tables_358104!I:I,input_358104!E48,tables_358104!P:P)</f>
        <v>2.6842105263157921E-2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V284"/>
  <sheetViews>
    <sheetView showGridLines="0" zoomScale="75" zoomScaleNormal="75" zoomScalePageLayoutView="75" workbookViewId="0">
      <pane ySplit="1" topLeftCell="A259" activePane="bottomLeft" state="frozen"/>
      <selection activeCell="Q291" sqref="Q291"/>
      <selection pane="bottomLeft" activeCell="Q285" sqref="Q28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input_358104!A$2</f>
        <v>358104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IFERROR(VLOOKUP(B2,input_358104!L:R,7,FALSE),VLOOKUP(tables_358104!C2,input_358104!A:H,8,FALSE))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input_358104!A$2</f>
        <v>358104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IFERROR(VLOOKUP(B3,input_358104!L:R,7,FALSE),VLOOKUP(tables_358104!C3,input_358104!A:H,8,FALSE))</f>
        <v>73112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input_358104!A$2</f>
        <v>358104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IFERROR(VLOOKUP(B4,input_358104!L:R,7,FALSE),VLOOKUP(tables_358104!C4,input_358104!A:H,8,FALSE))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input_358104!A$2</f>
        <v>358104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IFERROR(VLOOKUP(B5,input_358104!L:R,7,FALSE),VLOOKUP(tables_358104!C5,input_358104!A:H,8,FALSE))</f>
        <v>73112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input_358104!A$2</f>
        <v>358104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IFERROR(VLOOKUP(B6,input_358104!L:R,7,FALSE),VLOOKUP(tables_358104!C6,input_358104!A:H,8,FALSE))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input_358104!A$2</f>
        <v>358104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IFERROR(VLOOKUP(B7,input_358104!L:R,7,FALSE),VLOOKUP(tables_358104!C7,input_358104!A:H,8,FALSE))</f>
        <v>73112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input_358104!A$2</f>
        <v>358104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IFERROR(VLOOKUP(B8,input_358104!L:R,7,FALSE),VLOOKUP(tables_358104!C8,input_358104!A:H,8,FALSE))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input_358104!A$2</f>
        <v>358104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IFERROR(VLOOKUP(B9,input_358104!L:R,7,FALSE),VLOOKUP(tables_358104!C9,input_358104!A:H,8,FALSE))</f>
        <v>73112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input_358104!A$2</f>
        <v>358104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IFERROR(VLOOKUP(B10,input_358104!L:R,7,FALSE),VLOOKUP(tables_358104!C10,input_358104!A:H,8,FALSE))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input_358104!A$2</f>
        <v>358104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IFERROR(VLOOKUP(B11,input_358104!L:R,7,FALSE),VLOOKUP(tables_358104!C11,input_358104!A:H,8,FALSE))</f>
        <v>73112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input_358104!A$2</f>
        <v>358104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IFERROR(VLOOKUP(B12,input_358104!L:R,7,FALSE),VLOOKUP(tables_358104!C12,input_358104!A:H,8,FALSE))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input_358104!A$2</f>
        <v>358104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IFERROR(VLOOKUP(B13,input_358104!L:R,7,FALSE),VLOOKUP(tables_358104!C13,input_358104!A:H,8,FALSE))</f>
        <v>73112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input_358104!A$2</f>
        <v>358104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IFERROR(VLOOKUP(B14,input_358104!L:R,7,FALSE),VLOOKUP(tables_358104!C14,input_358104!A:H,8,FALSE))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input_358104!A$2</f>
        <v>358104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IFERROR(VLOOKUP(B15,input_358104!L:R,7,FALSE),VLOOKUP(tables_358104!C15,input_358104!A:H,8,FALSE))</f>
        <v>73112</v>
      </c>
      <c r="P15" s="46">
        <f ca="1">O15/SUM(O:O)</f>
        <v>1.2333333333333333E-2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input_358104!A$2</f>
        <v>358104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IFERROR(VLOOKUP(B16,input_358104!L:R,7,FALSE),VLOOKUP(tables_358104!C16,input_358104!A:H,8,FALSE))</f>
        <v>0</v>
      </c>
      <c r="P16" s="46">
        <f ca="1">O16/SUM(O:O)</f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input_358104!A$2</f>
        <v>358104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IFERROR(VLOOKUP(B17,input_358104!L:R,7,FALSE),VLOOKUP(tables_358104!C17,input_358104!A:H,8,FALSE))</f>
        <v>73112</v>
      </c>
      <c r="P17" s="46">
        <f ca="1">O17/SUM(O:O)</f>
        <v>1.2333333333333333E-2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input_358104!A$2</f>
        <v>358104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IFERROR(VLOOKUP(B18,input_358104!L:R,7,FALSE),VLOOKUP(tables_358104!C18,input_358104!A:H,8,FALSE))</f>
        <v>0</v>
      </c>
      <c r="P18" s="46">
        <f ca="1">O18/SUM(O:O)</f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input_358104!A$2</f>
        <v>358104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IFERROR(VLOOKUP(B19,input_358104!L:R,7,FALSE),VLOOKUP(tables_358104!C19,input_358104!A:H,8,FALSE))</f>
        <v>73112</v>
      </c>
      <c r="P19" s="46">
        <f ca="1">O19/SUM(O:O)</f>
        <v>1.2333333333333333E-2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input_358104!A$2</f>
        <v>358104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IFERROR(VLOOKUP(B20,input_358104!L:R,7,FALSE),VLOOKUP(tables_358104!C20,input_358104!A:H,8,FALSE))</f>
        <v>0</v>
      </c>
      <c r="P20" s="46">
        <f ca="1">O20/SUM(O:O)</f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input_358104!A$2</f>
        <v>358104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IFERROR(VLOOKUP(B21,input_358104!L:R,7,FALSE),VLOOKUP(tables_358104!C21,input_358104!A:H,8,FALSE))</f>
        <v>73112</v>
      </c>
      <c r="P21" s="46">
        <f ca="1">O21/SUM(O:O)</f>
        <v>1.2333333333333333E-2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input_358104!A$2</f>
        <v>358104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IFERROR(VLOOKUP(B22,input_358104!L:R,7,FALSE),VLOOKUP(tables_358104!C22,input_358104!A:H,8,FALSE))</f>
        <v>0</v>
      </c>
      <c r="P22" s="46">
        <f ca="1">O22/SUM(O:O)</f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input_358104!A$2</f>
        <v>358104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IFERROR(VLOOKUP(B23,input_358104!L:R,7,FALSE),VLOOKUP(tables_358104!C23,input_358104!A:H,8,FALSE))</f>
        <v>73112</v>
      </c>
      <c r="P23" s="46">
        <f ca="1">O23/SUM(O:O)</f>
        <v>1.2333333333333333E-2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input_358104!A$2</f>
        <v>358104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IFERROR(VLOOKUP(B24,input_358104!L:R,7,FALSE),VLOOKUP(tables_358104!C24,input_358104!A:H,8,FALSE))</f>
        <v>0</v>
      </c>
      <c r="P24" s="46">
        <f ca="1">O24/SUM(O:O)</f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input_358104!A$2</f>
        <v>358104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IFERROR(VLOOKUP(B25,input_358104!L:R,7,FALSE),VLOOKUP(tables_358104!C25,input_358104!A:H,8,FALSE))</f>
        <v>73112</v>
      </c>
      <c r="P25" s="46">
        <f ca="1">O25/SUM(O:O)</f>
        <v>1.2333333333333333E-2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input_358104!A$2</f>
        <v>358104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IFERROR(VLOOKUP(B26,input_358104!L:R,7,FALSE),VLOOKUP(tables_358104!C26,input_358104!A:H,8,FALSE))</f>
        <v>0</v>
      </c>
      <c r="P26" s="46">
        <f ca="1">O26/SUM(O:O)</f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input_358104!A$2</f>
        <v>358104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IFERROR(VLOOKUP(B27,input_358104!L:R,7,FALSE),VLOOKUP(tables_358104!C27,input_358104!A:H,8,FALSE))</f>
        <v>73112</v>
      </c>
      <c r="P27" s="46">
        <f ca="1">O27/SUM(O:O)</f>
        <v>1.2333333333333333E-2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input_358104!A$2</f>
        <v>358104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IFERROR(VLOOKUP(B28,input_358104!L:R,7,FALSE),VLOOKUP(tables_358104!C28,input_358104!A:H,8,FALSE))</f>
        <v>0</v>
      </c>
      <c r="P28" s="46">
        <f ca="1">O28/SUM(O:O)</f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input_358104!A$2</f>
        <v>358104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IFERROR(VLOOKUP(B29,input_358104!L:R,7,FALSE),VLOOKUP(tables_358104!C29,input_358104!A:H,8,FALSE))</f>
        <v>73112</v>
      </c>
      <c r="P29" s="46">
        <f ca="1">O29/SUM(O:O)</f>
        <v>1.2333333333333333E-2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input_358104!A$2</f>
        <v>358104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IFERROR(VLOOKUP(B30,input_358104!L:R,7,FALSE),VLOOKUP(tables_358104!C30,input_358104!A:H,8,FALSE))</f>
        <v>0</v>
      </c>
      <c r="P30" s="46">
        <f ca="1">O30/SUM(O:O)</f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input_358104!A$2</f>
        <v>358104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IFERROR(VLOOKUP(B31,input_358104!L:R,7,FALSE),VLOOKUP(tables_358104!C31,input_358104!A:H,8,FALSE))</f>
        <v>73112</v>
      </c>
      <c r="P31" s="46">
        <f ca="1">O31/SUM(O:O)</f>
        <v>1.2333333333333333E-2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input_358104!A$2</f>
        <v>358104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IFERROR(VLOOKUP(B32,input_358104!L:R,7,FALSE),VLOOKUP(tables_358104!C32,input_358104!A:H,8,FALSE))</f>
        <v>0</v>
      </c>
      <c r="P32" s="46">
        <f ca="1">O32/SUM(O:O)</f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input_358104!A$2</f>
        <v>358104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IFERROR(VLOOKUP(B33,input_358104!L:R,7,FALSE),VLOOKUP(tables_358104!C33,input_358104!A:H,8,FALSE))</f>
        <v>73112</v>
      </c>
      <c r="P33" s="46">
        <f ca="1">O33/SUM(O:O)</f>
        <v>1.2333333333333333E-2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input_358104!A$2</f>
        <v>358104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IFERROR(VLOOKUP(B34,input_358104!L:R,7,FALSE),VLOOKUP(tables_358104!C34,input_358104!A:H,8,FALSE))</f>
        <v>0</v>
      </c>
      <c r="P34" s="46">
        <f ca="1">O34/SUM(O:O)</f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input_358104!A$2</f>
        <v>358104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IFERROR(VLOOKUP(B35,input_358104!L:R,7,FALSE),VLOOKUP(tables_358104!C35,input_358104!A:H,8,FALSE))</f>
        <v>73112</v>
      </c>
      <c r="P35" s="46">
        <f ca="1">O35/SUM(O:O)</f>
        <v>1.2333333333333333E-2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input_358104!A$2</f>
        <v>358104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IFERROR(VLOOKUP(B36,input_358104!L:R,7,FALSE),VLOOKUP(tables_358104!C36,input_358104!A:H,8,FALSE))</f>
        <v>0</v>
      </c>
      <c r="P36" s="46">
        <f ca="1">O36/SUM(O:O)</f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input_358104!A$2</f>
        <v>358104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IFERROR(VLOOKUP(B37,input_358104!L:R,7,FALSE),VLOOKUP(tables_358104!C37,input_358104!A:H,8,FALSE))</f>
        <v>73112</v>
      </c>
      <c r="P37" s="46">
        <f ca="1">O37/SUM(O:O)</f>
        <v>1.2333333333333333E-2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input_358104!A$2</f>
        <v>358104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IFERROR(VLOOKUP(B38,input_358104!L:R,7,FALSE),VLOOKUP(tables_358104!C38,input_358104!A:H,8,FALSE))</f>
        <v>0</v>
      </c>
      <c r="P38" s="46">
        <f ca="1">O38/SUM(O:O)</f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input_358104!A$2</f>
        <v>358104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IFERROR(VLOOKUP(B39,input_358104!L:R,7,FALSE),VLOOKUP(tables_358104!C39,input_358104!A:H,8,FALSE))</f>
        <v>73112</v>
      </c>
      <c r="P39" s="46">
        <f ca="1">O39/SUM(O:O)</f>
        <v>1.2333333333333333E-2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input_358104!A$2</f>
        <v>358104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IFERROR(VLOOKUP(B40,input_358104!L:R,7,FALSE),VLOOKUP(tables_358104!C40,input_358104!A:H,8,FALSE))</f>
        <v>0</v>
      </c>
      <c r="P40" s="46">
        <f ca="1">O40/SUM(O:O)</f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input_358104!A$2</f>
        <v>358104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IFERROR(VLOOKUP(B41,input_358104!L:R,7,FALSE),VLOOKUP(tables_358104!C41,input_358104!A:H,8,FALSE))</f>
        <v>73112</v>
      </c>
      <c r="P41" s="46">
        <f ca="1">O41/SUM(O:O)</f>
        <v>1.2333333333333333E-2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input_358104!A$2</f>
        <v>358104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IFERROR(VLOOKUP(B42,input_358104!L:R,7,FALSE),VLOOKUP(tables_358104!C42,input_358104!A:H,8,FALSE))</f>
        <v>0</v>
      </c>
      <c r="P42" s="46">
        <f ca="1">O42/SUM(O:O)</f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input_358104!A$2</f>
        <v>358104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IFERROR(VLOOKUP(B43,input_358104!L:R,7,FALSE),VLOOKUP(tables_358104!C43,input_358104!A:H,8,FALSE))</f>
        <v>4446</v>
      </c>
      <c r="P43" s="46">
        <f ca="1">O43/SUM(O:O)</f>
        <v>7.5000000000000002E-4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input_358104!A$2</f>
        <v>358104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IFERROR(VLOOKUP(B44,input_358104!L:R,7,FALSE),VLOOKUP(tables_358104!C44,input_358104!A:H,8,FALSE))</f>
        <v>234</v>
      </c>
      <c r="P44" s="46">
        <f ca="1">O44/SUM(O:O)</f>
        <v>3.9473684210526316E-5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input_358104!A$2</f>
        <v>358104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IFERROR(VLOOKUP(B45,input_358104!L:R,7,FALSE),VLOOKUP(tables_358104!C45,input_358104!A:H,8,FALSE))</f>
        <v>0</v>
      </c>
      <c r="P45" s="46">
        <f ca="1">O45/SUM(O:O)</f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input_358104!A$2</f>
        <v>358104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IFERROR(VLOOKUP(B46,input_358104!L:R,7,FALSE),VLOOKUP(tables_358104!C46,input_358104!A:H,8,FALSE))</f>
        <v>4446</v>
      </c>
      <c r="P46" s="46">
        <f ca="1">O46/SUM(O:O)</f>
        <v>7.5000000000000002E-4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input_358104!A$2</f>
        <v>358104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IFERROR(VLOOKUP(B47,input_358104!L:R,7,FALSE),VLOOKUP(tables_358104!C47,input_358104!A:H,8,FALSE))</f>
        <v>234</v>
      </c>
      <c r="P47" s="46">
        <f ca="1">O47/SUM(O:O)</f>
        <v>3.9473684210526316E-5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input_358104!A$2</f>
        <v>358104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IFERROR(VLOOKUP(B48,input_358104!L:R,7,FALSE),VLOOKUP(tables_358104!C48,input_358104!A:H,8,FALSE))</f>
        <v>0</v>
      </c>
      <c r="P48" s="46">
        <f ca="1">O48/SUM(O:O)</f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input_358104!A$2</f>
        <v>358104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IFERROR(VLOOKUP(B49,input_358104!L:R,7,FALSE),VLOOKUP(tables_358104!C49,input_358104!A:H,8,FALSE))</f>
        <v>4446</v>
      </c>
      <c r="P49" s="46">
        <f ca="1">O49/SUM(O:O)</f>
        <v>7.5000000000000002E-4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input_358104!A$2</f>
        <v>358104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IFERROR(VLOOKUP(B50,input_358104!L:R,7,FALSE),VLOOKUP(tables_358104!C50,input_358104!A:H,8,FALSE))</f>
        <v>234</v>
      </c>
      <c r="P50" s="46">
        <f ca="1">O50/SUM(O:O)</f>
        <v>3.9473684210526316E-5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input_358104!A$2</f>
        <v>358104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IFERROR(VLOOKUP(B51,input_358104!L:R,7,FALSE),VLOOKUP(tables_358104!C51,input_358104!A:H,8,FALSE))</f>
        <v>0</v>
      </c>
      <c r="P51" s="46">
        <f ca="1">O51/SUM(O:O)</f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input_358104!A$2</f>
        <v>358104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IFERROR(VLOOKUP(B52,input_358104!L:R,7,FALSE),VLOOKUP(tables_358104!C52,input_358104!A:H,8,FALSE))</f>
        <v>69456.399999999994</v>
      </c>
      <c r="P52" s="46">
        <f ca="1">O52/SUM(O:O)</f>
        <v>1.1716666666666665E-2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input_358104!A$2</f>
        <v>358104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IFERROR(VLOOKUP(B53,input_358104!L:R,7,FALSE),VLOOKUP(tables_358104!C53,input_358104!A:H,8,FALSE))</f>
        <v>3655.6</v>
      </c>
      <c r="P53" s="46">
        <f ca="1">O53/SUM(O:O)</f>
        <v>6.1666666666666662E-4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input_358104!A$2</f>
        <v>358104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IFERROR(VLOOKUP(B54,input_358104!L:R,7,FALSE),VLOOKUP(tables_358104!C54,input_358104!A:H,8,FALSE))</f>
        <v>0</v>
      </c>
      <c r="P54" s="46">
        <f ca="1">O54/SUM(O:O)</f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input_358104!A$2</f>
        <v>358104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IFERROR(VLOOKUP(B55,input_358104!L:R,7,FALSE),VLOOKUP(tables_358104!C55,input_358104!A:H,8,FALSE))</f>
        <v>69456.399999999994</v>
      </c>
      <c r="P55" s="46">
        <f ca="1">O55/SUM(O:O)</f>
        <v>1.1716666666666665E-2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input_358104!A$2</f>
        <v>358104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IFERROR(VLOOKUP(B56,input_358104!L:R,7,FALSE),VLOOKUP(tables_358104!C56,input_358104!A:H,8,FALSE))</f>
        <v>3655.6</v>
      </c>
      <c r="P56" s="46">
        <f ca="1">O56/SUM(O:O)</f>
        <v>6.1666666666666662E-4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input_358104!A$2</f>
        <v>358104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IFERROR(VLOOKUP(B57,input_358104!L:R,7,FALSE),VLOOKUP(tables_358104!C57,input_358104!A:H,8,FALSE))</f>
        <v>0</v>
      </c>
      <c r="P57" s="46">
        <f ca="1">O57/SUM(O:O)</f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input_358104!A$2</f>
        <v>358104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IFERROR(VLOOKUP(B58,input_358104!L:R,7,FALSE),VLOOKUP(tables_358104!C58,input_358104!A:H,8,FALSE))</f>
        <v>69456.399999999994</v>
      </c>
      <c r="P58" s="46">
        <f ca="1">O58/SUM(O:O)</f>
        <v>1.1716666666666665E-2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input_358104!A$2</f>
        <v>358104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IFERROR(VLOOKUP(B59,input_358104!L:R,7,FALSE),VLOOKUP(tables_358104!C59,input_358104!A:H,8,FALSE))</f>
        <v>3655.6</v>
      </c>
      <c r="P59" s="46">
        <f ca="1">O59/SUM(O:O)</f>
        <v>6.1666666666666662E-4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input_358104!A$2</f>
        <v>358104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IFERROR(VLOOKUP(B60,input_358104!L:R,7,FALSE),VLOOKUP(tables_358104!C60,input_358104!A:H,8,FALSE))</f>
        <v>0</v>
      </c>
      <c r="P60" s="46">
        <f ca="1">O60/SUM(O:O)</f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input_358104!A$2</f>
        <v>358104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IFERROR(VLOOKUP(B61,input_358104!L:R,7,FALSE),VLOOKUP(tables_358104!C61,input_358104!A:H,8,FALSE))</f>
        <v>69456.399999999994</v>
      </c>
      <c r="P61" s="46">
        <f ca="1">O61/SUM(O:O)</f>
        <v>1.1716666666666665E-2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input_358104!A$2</f>
        <v>358104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IFERROR(VLOOKUP(B62,input_358104!L:R,7,FALSE),VLOOKUP(tables_358104!C62,input_358104!A:H,8,FALSE))</f>
        <v>3655.6</v>
      </c>
      <c r="P62" s="46">
        <f ca="1">O62/SUM(O:O)</f>
        <v>6.1666666666666662E-4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input_358104!A$2</f>
        <v>358104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IFERROR(VLOOKUP(B63,input_358104!L:R,7,FALSE),VLOOKUP(tables_358104!C63,input_358104!A:H,8,FALSE))</f>
        <v>0</v>
      </c>
      <c r="P63" s="46">
        <f ca="1">O63/SUM(O:O)</f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input_358104!A$2</f>
        <v>358104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IFERROR(VLOOKUP(B64,input_358104!L:R,7,FALSE),VLOOKUP(tables_358104!C64,input_358104!A:H,8,FALSE))</f>
        <v>69456.399999999994</v>
      </c>
      <c r="P64" s="46">
        <f ca="1">O64/SUM(O:O)</f>
        <v>1.1716666666666665E-2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input_358104!A$2</f>
        <v>358104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IFERROR(VLOOKUP(B65,input_358104!L:R,7,FALSE),VLOOKUP(tables_358104!C65,input_358104!A:H,8,FALSE))</f>
        <v>3655.6</v>
      </c>
      <c r="P65" s="46">
        <f ca="1">O65/SUM(O:O)</f>
        <v>6.1666666666666662E-4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input_358104!A$2</f>
        <v>358104</v>
      </c>
      <c r="B66" s="6">
        <v>190</v>
      </c>
      <c r="C66" s="7" t="str">
        <f t="shared" ref="C66:C129" si="2">D66&amp;J66&amp;E66&amp;F66&amp;G66</f>
        <v>Premium3</v>
      </c>
      <c r="D66" s="7" t="str">
        <f t="shared" ref="D66:D129" si="3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IFERROR(VLOOKUP(B66,input_358104!L:R,7,FALSE),VLOOKUP(tables_358104!C66,input_358104!A:H,8,FALSE))</f>
        <v>0</v>
      </c>
      <c r="P66" s="46">
        <f ca="1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input_358104!A$2</f>
        <v>358104</v>
      </c>
      <c r="B67" s="6">
        <v>191</v>
      </c>
      <c r="C67" s="7" t="str">
        <f t="shared" si="2"/>
        <v>Premium4</v>
      </c>
      <c r="D67" s="7" t="str">
        <f t="shared" si="3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IFERROR(VLOOKUP(B67,input_358104!L:R,7,FALSE),VLOOKUP(tables_358104!C67,input_358104!A:H,8,FALSE))</f>
        <v>69456.399999999994</v>
      </c>
      <c r="P67" s="46">
        <f ca="1">O67/SUM(O:O)</f>
        <v>1.1716666666666665E-2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input_358104!A$2</f>
        <v>358104</v>
      </c>
      <c r="B68" s="6">
        <v>192</v>
      </c>
      <c r="C68" s="7" t="str">
        <f t="shared" si="2"/>
        <v>Premium5</v>
      </c>
      <c r="D68" s="7" t="str">
        <f t="shared" si="3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IFERROR(VLOOKUP(B68,input_358104!L:R,7,FALSE),VLOOKUP(tables_358104!C68,input_358104!A:H,8,FALSE))</f>
        <v>3655.6</v>
      </c>
      <c r="P68" s="46">
        <f ca="1">O68/SUM(O:O)</f>
        <v>6.1666666666666662E-4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input_358104!A$2</f>
        <v>358104</v>
      </c>
      <c r="B69" s="6">
        <v>193</v>
      </c>
      <c r="C69" s="7" t="str">
        <f t="shared" si="2"/>
        <v>Premium3</v>
      </c>
      <c r="D69" s="7" t="str">
        <f t="shared" si="3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IFERROR(VLOOKUP(B69,input_358104!L:R,7,FALSE),VLOOKUP(tables_358104!C69,input_358104!A:H,8,FALSE))</f>
        <v>0</v>
      </c>
      <c r="P69" s="46">
        <f ca="1">O69/SUM(O:O)</f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input_358104!A$2</f>
        <v>358104</v>
      </c>
      <c r="B70" s="10">
        <v>194</v>
      </c>
      <c r="C70" s="7" t="str">
        <f t="shared" si="2"/>
        <v>Premium4</v>
      </c>
      <c r="D70" s="7" t="str">
        <f t="shared" si="3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IFERROR(VLOOKUP(B70,input_358104!L:R,7,FALSE),VLOOKUP(tables_358104!C70,input_358104!A:H,8,FALSE))</f>
        <v>69456.399999999994</v>
      </c>
      <c r="P70" s="46">
        <f ca="1">O70/SUM(O:O)</f>
        <v>1.1716666666666665E-2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input_358104!A$2</f>
        <v>358104</v>
      </c>
      <c r="B71" s="6">
        <v>195</v>
      </c>
      <c r="C71" s="7" t="str">
        <f t="shared" si="2"/>
        <v>Premium5</v>
      </c>
      <c r="D71" s="7" t="str">
        <f t="shared" si="3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IFERROR(VLOOKUP(B71,input_358104!L:R,7,FALSE),VLOOKUP(tables_358104!C71,input_358104!A:H,8,FALSE))</f>
        <v>3655.6</v>
      </c>
      <c r="P71" s="46">
        <f ca="1">O71/SUM(O:O)</f>
        <v>6.1666666666666662E-4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input_358104!A$2</f>
        <v>358104</v>
      </c>
      <c r="B72" s="10">
        <v>196</v>
      </c>
      <c r="C72" s="7" t="str">
        <f t="shared" si="2"/>
        <v>Premium3</v>
      </c>
      <c r="D72" s="7" t="str">
        <f t="shared" si="3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IFERROR(VLOOKUP(B72,input_358104!L:R,7,FALSE),VLOOKUP(tables_358104!C72,input_358104!A:H,8,FALSE))</f>
        <v>0</v>
      </c>
      <c r="P72" s="46">
        <f ca="1">O72/SUM(O:O)</f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input_358104!A$2</f>
        <v>358104</v>
      </c>
      <c r="B73" s="11">
        <v>197</v>
      </c>
      <c r="C73" s="7" t="str">
        <f t="shared" si="2"/>
        <v>Premium4</v>
      </c>
      <c r="D73" s="7" t="str">
        <f t="shared" si="3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IFERROR(VLOOKUP(B73,input_358104!L:R,7,FALSE),VLOOKUP(tables_358104!C73,input_358104!A:H,8,FALSE))</f>
        <v>69456.399999999994</v>
      </c>
      <c r="P73" s="46">
        <f ca="1">O73/SUM(O:O)</f>
        <v>1.1716666666666665E-2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input_358104!A$2</f>
        <v>358104</v>
      </c>
      <c r="B74" s="6">
        <v>198</v>
      </c>
      <c r="C74" s="7" t="str">
        <f t="shared" si="2"/>
        <v>Premium5</v>
      </c>
      <c r="D74" s="7" t="str">
        <f t="shared" si="3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IFERROR(VLOOKUP(B74,input_358104!L:R,7,FALSE),VLOOKUP(tables_358104!C74,input_358104!A:H,8,FALSE))</f>
        <v>3655.6</v>
      </c>
      <c r="P74" s="46">
        <f ca="1">O74/SUM(O:O)</f>
        <v>6.1666666666666662E-4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input_358104!A$2</f>
        <v>358104</v>
      </c>
      <c r="B75" s="6">
        <v>199</v>
      </c>
      <c r="C75" s="7" t="str">
        <f t="shared" si="2"/>
        <v>Premium3</v>
      </c>
      <c r="D75" s="7" t="str">
        <f t="shared" si="3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IFERROR(VLOOKUP(B75,input_358104!L:R,7,FALSE),VLOOKUP(tables_358104!C75,input_358104!A:H,8,FALSE))</f>
        <v>0</v>
      </c>
      <c r="P75" s="46">
        <f ca="1">O75/SUM(O:O)</f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input_358104!A$2</f>
        <v>358104</v>
      </c>
      <c r="B76" s="6">
        <v>200</v>
      </c>
      <c r="C76" s="7" t="str">
        <f t="shared" si="2"/>
        <v>Premium4</v>
      </c>
      <c r="D76" s="7" t="str">
        <f t="shared" si="3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IFERROR(VLOOKUP(B76,input_358104!L:R,7,FALSE),VLOOKUP(tables_358104!C76,input_358104!A:H,8,FALSE))</f>
        <v>69456.399999999994</v>
      </c>
      <c r="P76" s="46">
        <f ca="1">O76/SUM(O:O)</f>
        <v>1.1716666666666665E-2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input_358104!A$2</f>
        <v>358104</v>
      </c>
      <c r="B77" s="5">
        <v>201</v>
      </c>
      <c r="C77" s="7" t="str">
        <f t="shared" si="2"/>
        <v>Premium5</v>
      </c>
      <c r="D77" s="7" t="str">
        <f t="shared" si="3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IFERROR(VLOOKUP(B77,input_358104!L:R,7,FALSE),VLOOKUP(tables_358104!C77,input_358104!A:H,8,FALSE))</f>
        <v>3655.6</v>
      </c>
      <c r="P77" s="46">
        <f ca="1">O77/SUM(O:O)</f>
        <v>6.1666666666666662E-4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input_358104!A$2</f>
        <v>358104</v>
      </c>
      <c r="B78" s="5">
        <v>202</v>
      </c>
      <c r="C78" s="7" t="str">
        <f t="shared" si="2"/>
        <v>Premium3</v>
      </c>
      <c r="D78" s="7" t="str">
        <f t="shared" si="3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IFERROR(VLOOKUP(B78,input_358104!L:R,7,FALSE),VLOOKUP(tables_358104!C78,input_358104!A:H,8,FALSE))</f>
        <v>0</v>
      </c>
      <c r="P78" s="46">
        <f ca="1">O78/SUM(O:O)</f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input_358104!A$2</f>
        <v>358104</v>
      </c>
      <c r="B79" s="5">
        <v>203</v>
      </c>
      <c r="C79" s="7" t="str">
        <f t="shared" si="2"/>
        <v>Premium4</v>
      </c>
      <c r="D79" s="7" t="str">
        <f t="shared" si="3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IFERROR(VLOOKUP(B79,input_358104!L:R,7,FALSE),VLOOKUP(tables_358104!C79,input_358104!A:H,8,FALSE))</f>
        <v>69456.399999999994</v>
      </c>
      <c r="P79" s="46">
        <f ca="1">O79/SUM(O:O)</f>
        <v>1.1716666666666665E-2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input_358104!A$2</f>
        <v>358104</v>
      </c>
      <c r="B80" s="5">
        <v>204</v>
      </c>
      <c r="C80" s="7" t="str">
        <f t="shared" si="2"/>
        <v>Premium5</v>
      </c>
      <c r="D80" s="7" t="str">
        <f t="shared" si="3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IFERROR(VLOOKUP(B80,input_358104!L:R,7,FALSE),VLOOKUP(tables_358104!C80,input_358104!A:H,8,FALSE))</f>
        <v>3655.6</v>
      </c>
      <c r="P80" s="46">
        <f ca="1">O80/SUM(O:O)</f>
        <v>6.1666666666666662E-4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input_358104!A$2</f>
        <v>358104</v>
      </c>
      <c r="B81" s="5">
        <v>205</v>
      </c>
      <c r="C81" s="7" t="str">
        <f t="shared" si="2"/>
        <v>Premium3</v>
      </c>
      <c r="D81" s="7" t="str">
        <f t="shared" si="3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IFERROR(VLOOKUP(B81,input_358104!L:R,7,FALSE),VLOOKUP(tables_358104!C81,input_358104!A:H,8,FALSE))</f>
        <v>0</v>
      </c>
      <c r="P81" s="46">
        <f ca="1">O81/SUM(O:O)</f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input_358104!A$2</f>
        <v>358104</v>
      </c>
      <c r="B82" s="5">
        <v>206</v>
      </c>
      <c r="C82" s="7" t="str">
        <f t="shared" si="2"/>
        <v>Premium4</v>
      </c>
      <c r="D82" s="7" t="str">
        <f t="shared" si="3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IFERROR(VLOOKUP(B82,input_358104!L:R,7,FALSE),VLOOKUP(tables_358104!C82,input_358104!A:H,8,FALSE))</f>
        <v>69456.399999999994</v>
      </c>
      <c r="P82" s="46">
        <f ca="1">O82/SUM(O:O)</f>
        <v>1.1716666666666665E-2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input_358104!A$2</f>
        <v>358104</v>
      </c>
      <c r="B83" s="5">
        <v>207</v>
      </c>
      <c r="C83" s="7" t="str">
        <f t="shared" si="2"/>
        <v>Premium5</v>
      </c>
      <c r="D83" s="7" t="str">
        <f t="shared" si="3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IFERROR(VLOOKUP(B83,input_358104!L:R,7,FALSE),VLOOKUP(tables_358104!C83,input_358104!A:H,8,FALSE))</f>
        <v>3655.6</v>
      </c>
      <c r="P83" s="46">
        <f ca="1">O83/SUM(O:O)</f>
        <v>6.1666666666666662E-4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input_358104!A$2</f>
        <v>358104</v>
      </c>
      <c r="B84" s="5">
        <v>208</v>
      </c>
      <c r="C84" s="7" t="str">
        <f t="shared" si="2"/>
        <v>Premium3</v>
      </c>
      <c r="D84" s="7" t="str">
        <f t="shared" si="3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IFERROR(VLOOKUP(B84,input_358104!L:R,7,FALSE),VLOOKUP(tables_358104!C84,input_358104!A:H,8,FALSE))</f>
        <v>0</v>
      </c>
      <c r="P84" s="46">
        <f ca="1">O84/SUM(O:O)</f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input_358104!A$2</f>
        <v>358104</v>
      </c>
      <c r="B85" s="5">
        <v>209</v>
      </c>
      <c r="C85" s="7" t="str">
        <f t="shared" si="2"/>
        <v>Premium4</v>
      </c>
      <c r="D85" s="7" t="str">
        <f t="shared" si="3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IFERROR(VLOOKUP(B85,input_358104!L:R,7,FALSE),VLOOKUP(tables_358104!C85,input_358104!A:H,8,FALSE))</f>
        <v>69456.399999999994</v>
      </c>
      <c r="P85" s="46">
        <f ca="1">O85/SUM(O:O)</f>
        <v>1.1716666666666665E-2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input_358104!A$2</f>
        <v>358104</v>
      </c>
      <c r="B86" s="5">
        <v>210</v>
      </c>
      <c r="C86" s="7" t="str">
        <f t="shared" si="2"/>
        <v>Premium5</v>
      </c>
      <c r="D86" s="7" t="str">
        <f t="shared" si="3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IFERROR(VLOOKUP(B86,input_358104!L:R,7,FALSE),VLOOKUP(tables_358104!C86,input_358104!A:H,8,FALSE))</f>
        <v>3655.6</v>
      </c>
      <c r="P86" s="46">
        <f ca="1">O86/SUM(O:O)</f>
        <v>6.1666666666666662E-4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input_358104!A$2</f>
        <v>358104</v>
      </c>
      <c r="B87" s="5">
        <v>211</v>
      </c>
      <c r="C87" s="7" t="str">
        <f t="shared" si="2"/>
        <v>Premium3</v>
      </c>
      <c r="D87" s="7" t="str">
        <f t="shared" si="3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IFERROR(VLOOKUP(B87,input_358104!L:R,7,FALSE),VLOOKUP(tables_358104!C87,input_358104!A:H,8,FALSE))</f>
        <v>0</v>
      </c>
      <c r="P87" s="46">
        <f ca="1">O87/SUM(O:O)</f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input_358104!A$2</f>
        <v>358104</v>
      </c>
      <c r="B88" s="5">
        <v>212</v>
      </c>
      <c r="C88" s="7" t="str">
        <f t="shared" si="2"/>
        <v>Premium4</v>
      </c>
      <c r="D88" s="7" t="str">
        <f t="shared" si="3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IFERROR(VLOOKUP(B88,input_358104!L:R,7,FALSE),VLOOKUP(tables_358104!C88,input_358104!A:H,8,FALSE))</f>
        <v>69456.399999999994</v>
      </c>
      <c r="P88" s="46">
        <f ca="1">O88/SUM(O:O)</f>
        <v>1.1716666666666665E-2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input_358104!A$2</f>
        <v>358104</v>
      </c>
      <c r="B89" s="5">
        <v>213</v>
      </c>
      <c r="C89" s="7" t="str">
        <f t="shared" si="2"/>
        <v>Premium5</v>
      </c>
      <c r="D89" s="7" t="str">
        <f t="shared" si="3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IFERROR(VLOOKUP(B89,input_358104!L:R,7,FALSE),VLOOKUP(tables_358104!C89,input_358104!A:H,8,FALSE))</f>
        <v>3655.6</v>
      </c>
      <c r="P89" s="46">
        <f ca="1">O89/SUM(O:O)</f>
        <v>6.1666666666666662E-4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input_358104!A$2</f>
        <v>358104</v>
      </c>
      <c r="B90" s="5">
        <v>214</v>
      </c>
      <c r="C90" s="7" t="str">
        <f t="shared" si="2"/>
        <v>Premium3</v>
      </c>
      <c r="D90" s="7" t="str">
        <f t="shared" si="3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IFERROR(VLOOKUP(B90,input_358104!L:R,7,FALSE),VLOOKUP(tables_358104!C90,input_358104!A:H,8,FALSE))</f>
        <v>0</v>
      </c>
      <c r="P90" s="46">
        <f ca="1">O90/SUM(O:O)</f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input_358104!A$2</f>
        <v>358104</v>
      </c>
      <c r="B91" s="5">
        <v>215</v>
      </c>
      <c r="C91" s="7" t="str">
        <f t="shared" si="2"/>
        <v>Premium4</v>
      </c>
      <c r="D91" s="7" t="str">
        <f t="shared" si="3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IFERROR(VLOOKUP(B91,input_358104!L:R,7,FALSE),VLOOKUP(tables_358104!C91,input_358104!A:H,8,FALSE))</f>
        <v>69456.399999999994</v>
      </c>
      <c r="P91" s="46">
        <f ca="1">O91/SUM(O:O)</f>
        <v>1.1716666666666665E-2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input_358104!A$2</f>
        <v>358104</v>
      </c>
      <c r="B92" s="5">
        <v>216</v>
      </c>
      <c r="C92" s="7" t="str">
        <f t="shared" si="2"/>
        <v>Premium5</v>
      </c>
      <c r="D92" s="7" t="str">
        <f t="shared" si="3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IFERROR(VLOOKUP(B92,input_358104!L:R,7,FALSE),VLOOKUP(tables_358104!C92,input_358104!A:H,8,FALSE))</f>
        <v>3655.6</v>
      </c>
      <c r="P92" s="46">
        <f ca="1">O92/SUM(O:O)</f>
        <v>6.1666666666666662E-4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input_358104!A$2</f>
        <v>358104</v>
      </c>
      <c r="B93" s="5">
        <v>217</v>
      </c>
      <c r="C93" s="7" t="str">
        <f t="shared" si="2"/>
        <v>Premium3</v>
      </c>
      <c r="D93" s="7" t="str">
        <f t="shared" si="3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IFERROR(VLOOKUP(B93,input_358104!L:R,7,FALSE),VLOOKUP(tables_358104!C93,input_358104!A:H,8,FALSE))</f>
        <v>0</v>
      </c>
      <c r="P93" s="46">
        <f ca="1">O93/SUM(O:O)</f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input_358104!A$2</f>
        <v>358104</v>
      </c>
      <c r="B94" s="5">
        <v>218</v>
      </c>
      <c r="C94" s="7" t="str">
        <f t="shared" si="2"/>
        <v>Premium4</v>
      </c>
      <c r="D94" s="7" t="str">
        <f t="shared" si="3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IFERROR(VLOOKUP(B94,input_358104!L:R,7,FALSE),VLOOKUP(tables_358104!C94,input_358104!A:H,8,FALSE))</f>
        <v>69456.399999999994</v>
      </c>
      <c r="P94" s="46">
        <f ca="1">O94/SUM(O:O)</f>
        <v>1.1716666666666665E-2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input_358104!A$2</f>
        <v>358104</v>
      </c>
      <c r="B95" s="5">
        <v>219</v>
      </c>
      <c r="C95" s="7" t="str">
        <f t="shared" si="2"/>
        <v>Premium5</v>
      </c>
      <c r="D95" s="7" t="str">
        <f t="shared" si="3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IFERROR(VLOOKUP(B95,input_358104!L:R,7,FALSE),VLOOKUP(tables_358104!C95,input_358104!A:H,8,FALSE))</f>
        <v>3655.6</v>
      </c>
      <c r="P95" s="46">
        <f ca="1">O95/SUM(O:O)</f>
        <v>6.1666666666666662E-4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input_358104!A$2</f>
        <v>358104</v>
      </c>
      <c r="B96" s="5">
        <v>220</v>
      </c>
      <c r="C96" s="7" t="str">
        <f t="shared" si="2"/>
        <v>Premium3</v>
      </c>
      <c r="D96" s="7" t="str">
        <f t="shared" si="3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IFERROR(VLOOKUP(B96,input_358104!L:R,7,FALSE),VLOOKUP(tables_358104!C96,input_358104!A:H,8,FALSE))</f>
        <v>0</v>
      </c>
      <c r="P96" s="46">
        <f ca="1">O96/SUM(O:O)</f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input_358104!A$2</f>
        <v>358104</v>
      </c>
      <c r="B97" s="5">
        <v>221</v>
      </c>
      <c r="C97" s="7" t="str">
        <f t="shared" si="2"/>
        <v>Premium4</v>
      </c>
      <c r="D97" s="7" t="str">
        <f t="shared" si="3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IFERROR(VLOOKUP(B97,input_358104!L:R,7,FALSE),VLOOKUP(tables_358104!C97,input_358104!A:H,8,FALSE))</f>
        <v>69456.399999999994</v>
      </c>
      <c r="P97" s="46">
        <f ca="1">O97/SUM(O:O)</f>
        <v>1.1716666666666665E-2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input_358104!A$2</f>
        <v>358104</v>
      </c>
      <c r="B98" s="5">
        <v>222</v>
      </c>
      <c r="C98" s="7" t="str">
        <f t="shared" si="2"/>
        <v>Premium5</v>
      </c>
      <c r="D98" s="7" t="str">
        <f t="shared" si="3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IFERROR(VLOOKUP(B98,input_358104!L:R,7,FALSE),VLOOKUP(tables_358104!C98,input_358104!A:H,8,FALSE))</f>
        <v>3655.6</v>
      </c>
      <c r="P98" s="46">
        <f ca="1">O98/SUM(O:O)</f>
        <v>6.1666666666666662E-4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input_358104!A$2</f>
        <v>358104</v>
      </c>
      <c r="B99" s="5">
        <v>223</v>
      </c>
      <c r="C99" s="7" t="str">
        <f t="shared" si="2"/>
        <v>Premium3</v>
      </c>
      <c r="D99" s="7" t="str">
        <f t="shared" si="3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IFERROR(VLOOKUP(B99,input_358104!L:R,7,FALSE),VLOOKUP(tables_358104!C99,input_358104!A:H,8,FALSE))</f>
        <v>0</v>
      </c>
      <c r="P99" s="46">
        <f ca="1">O99/SUM(O:O)</f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input_358104!A$2</f>
        <v>358104</v>
      </c>
      <c r="B100" s="5">
        <v>224</v>
      </c>
      <c r="C100" s="7" t="str">
        <f t="shared" si="2"/>
        <v>Premium4</v>
      </c>
      <c r="D100" s="7" t="str">
        <f t="shared" si="3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IFERROR(VLOOKUP(B100,input_358104!L:R,7,FALSE),VLOOKUP(tables_358104!C100,input_358104!A:H,8,FALSE))</f>
        <v>69456.399999999994</v>
      </c>
      <c r="P100" s="46">
        <f ca="1">O100/SUM(O:O)</f>
        <v>1.1716666666666665E-2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input_358104!A$2</f>
        <v>358104</v>
      </c>
      <c r="B101" s="5">
        <v>225</v>
      </c>
      <c r="C101" s="7" t="str">
        <f t="shared" si="2"/>
        <v>Premium5</v>
      </c>
      <c r="D101" s="7" t="str">
        <f t="shared" si="3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IFERROR(VLOOKUP(B101,input_358104!L:R,7,FALSE),VLOOKUP(tables_358104!C101,input_358104!A:H,8,FALSE))</f>
        <v>3655.6</v>
      </c>
      <c r="P101" s="46">
        <f ca="1">O101/SUM(O:O)</f>
        <v>6.1666666666666662E-4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input_358104!A$2</f>
        <v>358104</v>
      </c>
      <c r="B102" s="5">
        <v>226</v>
      </c>
      <c r="C102" s="7" t="str">
        <f t="shared" si="2"/>
        <v>Premium3</v>
      </c>
      <c r="D102" s="7" t="str">
        <f t="shared" si="3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IFERROR(VLOOKUP(B102,input_358104!L:R,7,FALSE),VLOOKUP(tables_358104!C102,input_358104!A:H,8,FALSE))</f>
        <v>0</v>
      </c>
      <c r="P102" s="46">
        <f ca="1">O102/SUM(O:O)</f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input_358104!A$2</f>
        <v>358104</v>
      </c>
      <c r="B103" s="5">
        <v>227</v>
      </c>
      <c r="C103" s="7" t="str">
        <f t="shared" si="2"/>
        <v>Premium4</v>
      </c>
      <c r="D103" s="7" t="str">
        <f t="shared" si="3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IFERROR(VLOOKUP(B103,input_358104!L:R,7,FALSE),VLOOKUP(tables_358104!C103,input_358104!A:H,8,FALSE))</f>
        <v>69456.399999999994</v>
      </c>
      <c r="P103" s="46">
        <f ca="1">O103/SUM(O:O)</f>
        <v>1.1716666666666665E-2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input_358104!A$2</f>
        <v>358104</v>
      </c>
      <c r="B104" s="5">
        <v>228</v>
      </c>
      <c r="C104" s="7" t="str">
        <f t="shared" si="2"/>
        <v>Premium5</v>
      </c>
      <c r="D104" s="7" t="str">
        <f t="shared" si="3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IFERROR(VLOOKUP(B104,input_358104!L:R,7,FALSE),VLOOKUP(tables_358104!C104,input_358104!A:H,8,FALSE))</f>
        <v>3655.6</v>
      </c>
      <c r="P104" s="46">
        <f ca="1">O104/SUM(O:O)</f>
        <v>6.1666666666666662E-4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input_358104!A$2</f>
        <v>358104</v>
      </c>
      <c r="B105" s="5">
        <v>229</v>
      </c>
      <c r="C105" s="7" t="str">
        <f t="shared" si="2"/>
        <v>Premium3</v>
      </c>
      <c r="D105" s="7" t="str">
        <f t="shared" si="3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IFERROR(VLOOKUP(B105,input_358104!L:R,7,FALSE),VLOOKUP(tables_358104!C105,input_358104!A:H,8,FALSE))</f>
        <v>0</v>
      </c>
      <c r="P105" s="46">
        <f ca="1">O105/SUM(O:O)</f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input_358104!A$2</f>
        <v>358104</v>
      </c>
      <c r="B106" s="5">
        <v>230</v>
      </c>
      <c r="C106" s="7" t="str">
        <f t="shared" si="2"/>
        <v>Premium4</v>
      </c>
      <c r="D106" s="7" t="str">
        <f t="shared" si="3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IFERROR(VLOOKUP(B106,input_358104!L:R,7,FALSE),VLOOKUP(tables_358104!C106,input_358104!A:H,8,FALSE))</f>
        <v>69456.399999999994</v>
      </c>
      <c r="P106" s="46">
        <f ca="1">O106/SUM(O:O)</f>
        <v>1.1716666666666665E-2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input_358104!A$2</f>
        <v>358104</v>
      </c>
      <c r="B107" s="5">
        <v>231</v>
      </c>
      <c r="C107" s="7" t="str">
        <f t="shared" si="2"/>
        <v>Premium5</v>
      </c>
      <c r="D107" s="7" t="str">
        <f t="shared" si="3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IFERROR(VLOOKUP(B107,input_358104!L:R,7,FALSE),VLOOKUP(tables_358104!C107,input_358104!A:H,8,FALSE))</f>
        <v>3655.6</v>
      </c>
      <c r="P107" s="46">
        <f ca="1">O107/SUM(O:O)</f>
        <v>6.1666666666666662E-4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input_358104!A$2</f>
        <v>358104</v>
      </c>
      <c r="B108" s="5">
        <v>232</v>
      </c>
      <c r="C108" s="7" t="str">
        <f t="shared" si="2"/>
        <v>Premium3</v>
      </c>
      <c r="D108" s="7" t="str">
        <f t="shared" si="3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IFERROR(VLOOKUP(B108,input_358104!L:R,7,FALSE),VLOOKUP(tables_358104!C108,input_358104!A:H,8,FALSE))</f>
        <v>0</v>
      </c>
      <c r="P108" s="46">
        <f ca="1">O108/SUM(O:O)</f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input_358104!A$2</f>
        <v>358104</v>
      </c>
      <c r="B109" s="5">
        <v>233</v>
      </c>
      <c r="C109" s="7" t="str">
        <f t="shared" si="2"/>
        <v>Premium4</v>
      </c>
      <c r="D109" s="7" t="str">
        <f t="shared" si="3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IFERROR(VLOOKUP(B109,input_358104!L:R,7,FALSE),VLOOKUP(tables_358104!C109,input_358104!A:H,8,FALSE))</f>
        <v>69456.399999999994</v>
      </c>
      <c r="P109" s="46">
        <f ca="1">O109/SUM(O:O)</f>
        <v>1.1716666666666665E-2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input_358104!A$2</f>
        <v>358104</v>
      </c>
      <c r="B110" s="5">
        <v>234</v>
      </c>
      <c r="C110" s="7" t="str">
        <f t="shared" si="2"/>
        <v>Premium5</v>
      </c>
      <c r="D110" s="7" t="str">
        <f t="shared" si="3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IFERROR(VLOOKUP(B110,input_358104!L:R,7,FALSE),VLOOKUP(tables_358104!C110,input_358104!A:H,8,FALSE))</f>
        <v>3655.6</v>
      </c>
      <c r="P110" s="46">
        <f ca="1">O110/SUM(O:O)</f>
        <v>6.1666666666666662E-4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input_358104!A$2</f>
        <v>358104</v>
      </c>
      <c r="B111" s="5">
        <v>235</v>
      </c>
      <c r="C111" s="7" t="str">
        <f t="shared" si="2"/>
        <v>Premium3R6release</v>
      </c>
      <c r="D111" s="7" t="str">
        <f t="shared" si="3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IFERROR(VLOOKUP(B111,input_358104!L:R,7,FALSE),VLOOKUP(tables_358104!C111,input_358104!A:H,8,FALSE))</f>
        <v>0</v>
      </c>
      <c r="P111" s="46">
        <f ca="1">O111/SUM(O:O)</f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input_358104!A$2</f>
        <v>358104</v>
      </c>
      <c r="B112" s="5">
        <v>236</v>
      </c>
      <c r="C112" s="7" t="str">
        <f t="shared" si="2"/>
        <v>Premium4R6release</v>
      </c>
      <c r="D112" s="7" t="str">
        <f t="shared" si="3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IFERROR(VLOOKUP(B112,input_358104!L:R,7,FALSE),VLOOKUP(tables_358104!C112,input_358104!A:H,8,FALSE))</f>
        <v>4446</v>
      </c>
      <c r="P112" s="46">
        <f ca="1">O112/SUM(O:O)</f>
        <v>7.5000000000000002E-4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input_358104!A$2</f>
        <v>358104</v>
      </c>
      <c r="B113" s="5">
        <v>237</v>
      </c>
      <c r="C113" s="7" t="str">
        <f t="shared" si="2"/>
        <v>Premium5R6release</v>
      </c>
      <c r="D113" s="7" t="str">
        <f t="shared" si="3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IFERROR(VLOOKUP(B113,input_358104!L:R,7,FALSE),VLOOKUP(tables_358104!C113,input_358104!A:H,8,FALSE))</f>
        <v>234</v>
      </c>
      <c r="P113" s="46">
        <f ca="1">O113/SUM(O:O)</f>
        <v>3.9473684210526316E-5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input_358104!A$2</f>
        <v>358104</v>
      </c>
      <c r="B114" s="5">
        <v>238</v>
      </c>
      <c r="C114" s="7" t="str">
        <f t="shared" si="2"/>
        <v>Premium3</v>
      </c>
      <c r="D114" s="7" t="str">
        <f t="shared" si="3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IFERROR(VLOOKUP(B114,input_358104!L:R,7,FALSE),VLOOKUP(tables_358104!C114,input_358104!A:H,8,FALSE))</f>
        <v>0</v>
      </c>
      <c r="P114" s="46">
        <f ca="1">O114/SUM(O:O)</f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input_358104!A$2</f>
        <v>358104</v>
      </c>
      <c r="B115" s="5">
        <v>239</v>
      </c>
      <c r="C115" s="7" t="str">
        <f t="shared" si="2"/>
        <v>Premium4</v>
      </c>
      <c r="D115" s="7" t="str">
        <f t="shared" si="3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IFERROR(VLOOKUP(B115,input_358104!L:R,7,FALSE),VLOOKUP(tables_358104!C115,input_358104!A:H,8,FALSE))</f>
        <v>69456.399999999994</v>
      </c>
      <c r="P115" s="46">
        <f ca="1">O115/SUM(O:O)</f>
        <v>1.1716666666666665E-2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input_358104!A$2</f>
        <v>358104</v>
      </c>
      <c r="B116" s="5">
        <v>240</v>
      </c>
      <c r="C116" s="7" t="str">
        <f t="shared" si="2"/>
        <v>Premium5</v>
      </c>
      <c r="D116" s="7" t="str">
        <f t="shared" si="3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IFERROR(VLOOKUP(B116,input_358104!L:R,7,FALSE),VLOOKUP(tables_358104!C116,input_358104!A:H,8,FALSE))</f>
        <v>3655.6</v>
      </c>
      <c r="P116" s="46">
        <f ca="1">O116/SUM(O:O)</f>
        <v>6.1666666666666662E-4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input_358104!A$2</f>
        <v>358104</v>
      </c>
      <c r="B117" s="5">
        <v>241</v>
      </c>
      <c r="C117" s="7" t="str">
        <f t="shared" si="2"/>
        <v>Premium3</v>
      </c>
      <c r="D117" s="7" t="str">
        <f t="shared" si="3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IFERROR(VLOOKUP(B117,input_358104!L:R,7,FALSE),VLOOKUP(tables_358104!C117,input_358104!A:H,8,FALSE))</f>
        <v>0</v>
      </c>
      <c r="P117" s="46">
        <f ca="1">O117/SUM(O:O)</f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input_358104!A$2</f>
        <v>358104</v>
      </c>
      <c r="B118" s="5">
        <v>242</v>
      </c>
      <c r="C118" s="7" t="str">
        <f t="shared" si="2"/>
        <v>Premium4</v>
      </c>
      <c r="D118" s="7" t="str">
        <f t="shared" si="3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IFERROR(VLOOKUP(B118,input_358104!L:R,7,FALSE),VLOOKUP(tables_358104!C118,input_358104!A:H,8,FALSE))</f>
        <v>69456.399999999994</v>
      </c>
      <c r="P118" s="46">
        <f ca="1">O118/SUM(O:O)</f>
        <v>1.1716666666666665E-2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input_358104!A$2</f>
        <v>358104</v>
      </c>
      <c r="B119" s="5">
        <v>243</v>
      </c>
      <c r="C119" s="7" t="str">
        <f t="shared" si="2"/>
        <v>Premium5</v>
      </c>
      <c r="D119" s="7" t="str">
        <f t="shared" si="3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IFERROR(VLOOKUP(B119,input_358104!L:R,7,FALSE),VLOOKUP(tables_358104!C119,input_358104!A:H,8,FALSE))</f>
        <v>3655.6</v>
      </c>
      <c r="P119" s="46">
        <f ca="1">O119/SUM(O:O)</f>
        <v>6.1666666666666662E-4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input_358104!A$2</f>
        <v>358104</v>
      </c>
      <c r="B120" s="5">
        <v>244</v>
      </c>
      <c r="C120" s="7" t="str">
        <f t="shared" si="2"/>
        <v>Premium3</v>
      </c>
      <c r="D120" s="7" t="str">
        <f t="shared" si="3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IFERROR(VLOOKUP(B120,input_358104!L:R,7,FALSE),VLOOKUP(tables_358104!C120,input_358104!A:H,8,FALSE))</f>
        <v>0</v>
      </c>
      <c r="P120" s="46">
        <f ca="1">O120/SUM(O:O)</f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input_358104!A$2</f>
        <v>358104</v>
      </c>
      <c r="B121" s="5">
        <v>245</v>
      </c>
      <c r="C121" s="7" t="str">
        <f t="shared" si="2"/>
        <v>Premium4</v>
      </c>
      <c r="D121" s="7" t="str">
        <f t="shared" si="3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IFERROR(VLOOKUP(B121,input_358104!L:R,7,FALSE),VLOOKUP(tables_358104!C121,input_358104!A:H,8,FALSE))</f>
        <v>69456.399999999994</v>
      </c>
      <c r="P121" s="46">
        <f ca="1">O121/SUM(O:O)</f>
        <v>1.1716666666666665E-2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input_358104!A$2</f>
        <v>358104</v>
      </c>
      <c r="B122" s="5">
        <v>246</v>
      </c>
      <c r="C122" s="7" t="str">
        <f t="shared" si="2"/>
        <v>Premium5</v>
      </c>
      <c r="D122" s="7" t="str">
        <f t="shared" si="3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IFERROR(VLOOKUP(B122,input_358104!L:R,7,FALSE),VLOOKUP(tables_358104!C122,input_358104!A:H,8,FALSE))</f>
        <v>3655.6</v>
      </c>
      <c r="P122" s="46">
        <f ca="1">O122/SUM(O:O)</f>
        <v>6.1666666666666662E-4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input_358104!A$2</f>
        <v>358104</v>
      </c>
      <c r="B123" s="5">
        <v>247</v>
      </c>
      <c r="C123" s="7" t="str">
        <f t="shared" si="2"/>
        <v>Premium3</v>
      </c>
      <c r="D123" s="7" t="str">
        <f t="shared" si="3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IFERROR(VLOOKUP(B123,input_358104!L:R,7,FALSE),VLOOKUP(tables_358104!C123,input_358104!A:H,8,FALSE))</f>
        <v>0</v>
      </c>
      <c r="P123" s="46">
        <f ca="1">O123/SUM(O:O)</f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input_358104!A$2</f>
        <v>358104</v>
      </c>
      <c r="B124" s="5">
        <v>248</v>
      </c>
      <c r="C124" s="7" t="str">
        <f t="shared" si="2"/>
        <v>Premium4</v>
      </c>
      <c r="D124" s="7" t="str">
        <f t="shared" si="3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IFERROR(VLOOKUP(B124,input_358104!L:R,7,FALSE),VLOOKUP(tables_358104!C124,input_358104!A:H,8,FALSE))</f>
        <v>69456.399999999994</v>
      </c>
      <c r="P124" s="46">
        <f ca="1">O124/SUM(O:O)</f>
        <v>1.1716666666666665E-2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input_358104!A$2</f>
        <v>358104</v>
      </c>
      <c r="B125" s="6">
        <v>249</v>
      </c>
      <c r="C125" s="7" t="str">
        <f t="shared" si="2"/>
        <v>Premium5</v>
      </c>
      <c r="D125" s="7" t="str">
        <f t="shared" si="3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IFERROR(VLOOKUP(B125,input_358104!L:R,7,FALSE),VLOOKUP(tables_358104!C125,input_358104!A:H,8,FALSE))</f>
        <v>3655.6</v>
      </c>
      <c r="P125" s="46">
        <f ca="1">O125/SUM(O:O)</f>
        <v>6.1666666666666662E-4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input_358104!A$2</f>
        <v>358104</v>
      </c>
      <c r="B126" s="6">
        <v>250</v>
      </c>
      <c r="C126" s="7" t="str">
        <f t="shared" si="2"/>
        <v>Premium3</v>
      </c>
      <c r="D126" s="7" t="str">
        <f t="shared" si="3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IFERROR(VLOOKUP(B126,input_358104!L:R,7,FALSE),VLOOKUP(tables_358104!C126,input_358104!A:H,8,FALSE))</f>
        <v>0</v>
      </c>
      <c r="P126" s="46">
        <f ca="1">O126/SUM(O:O)</f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input_358104!A$2</f>
        <v>358104</v>
      </c>
      <c r="B127" s="6">
        <v>251</v>
      </c>
      <c r="C127" s="7" t="str">
        <f t="shared" si="2"/>
        <v>Premium4</v>
      </c>
      <c r="D127" s="7" t="str">
        <f t="shared" si="3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IFERROR(VLOOKUP(B127,input_358104!L:R,7,FALSE),VLOOKUP(tables_358104!C127,input_358104!A:H,8,FALSE))</f>
        <v>69456.399999999994</v>
      </c>
      <c r="P127" s="46">
        <f ca="1">O127/SUM(O:O)</f>
        <v>1.1716666666666665E-2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input_358104!A$2</f>
        <v>358104</v>
      </c>
      <c r="B128" s="6">
        <v>252</v>
      </c>
      <c r="C128" s="7" t="str">
        <f t="shared" si="2"/>
        <v>Premium5</v>
      </c>
      <c r="D128" s="7" t="str">
        <f t="shared" si="3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IFERROR(VLOOKUP(B128,input_358104!L:R,7,FALSE),VLOOKUP(tables_358104!C128,input_358104!A:H,8,FALSE))</f>
        <v>3655.6</v>
      </c>
      <c r="P128" s="46">
        <f ca="1">O128/SUM(O:O)</f>
        <v>6.1666666666666662E-4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input_358104!A$2</f>
        <v>358104</v>
      </c>
      <c r="B129" s="6">
        <v>253</v>
      </c>
      <c r="C129" s="7" t="str">
        <f t="shared" si="2"/>
        <v>Premium3</v>
      </c>
      <c r="D129" s="7" t="str">
        <f t="shared" si="3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IFERROR(VLOOKUP(B129,input_358104!L:R,7,FALSE),VLOOKUP(tables_358104!C129,input_358104!A:H,8,FALSE))</f>
        <v>0</v>
      </c>
      <c r="P129" s="46">
        <f ca="1">O129/SUM(O:O)</f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input_358104!A$2</f>
        <v>358104</v>
      </c>
      <c r="B130" s="6">
        <v>254</v>
      </c>
      <c r="C130" s="7" t="str">
        <f t="shared" ref="C130:C193" si="4">D130&amp;J130&amp;E130&amp;F130&amp;G130</f>
        <v>Premium4</v>
      </c>
      <c r="D130" s="7" t="str">
        <f t="shared" ref="D130:D193" si="5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IFERROR(VLOOKUP(B130,input_358104!L:R,7,FALSE),VLOOKUP(tables_358104!C130,input_358104!A:H,8,FALSE))</f>
        <v>69456.399999999994</v>
      </c>
      <c r="P130" s="46">
        <f ca="1">O130/SUM(O:O)</f>
        <v>1.1716666666666665E-2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input_358104!A$2</f>
        <v>358104</v>
      </c>
      <c r="B131" s="6">
        <v>255</v>
      </c>
      <c r="C131" s="7" t="str">
        <f t="shared" si="4"/>
        <v>Premium5</v>
      </c>
      <c r="D131" s="7" t="str">
        <f t="shared" si="5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IFERROR(VLOOKUP(B131,input_358104!L:R,7,FALSE),VLOOKUP(tables_358104!C131,input_358104!A:H,8,FALSE))</f>
        <v>3655.6</v>
      </c>
      <c r="P131" s="46">
        <f ca="1">O131/SUM(O:O)</f>
        <v>6.1666666666666662E-4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input_358104!A$2</f>
        <v>358104</v>
      </c>
      <c r="B132" s="6">
        <v>256</v>
      </c>
      <c r="C132" s="7" t="str">
        <f t="shared" si="4"/>
        <v>Premium3</v>
      </c>
      <c r="D132" s="7" t="str">
        <f t="shared" si="5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IFERROR(VLOOKUP(B132,input_358104!L:R,7,FALSE),VLOOKUP(tables_358104!C132,input_358104!A:H,8,FALSE))</f>
        <v>0</v>
      </c>
      <c r="P132" s="46">
        <f ca="1">O132/SUM(O:O)</f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input_358104!A$2</f>
        <v>358104</v>
      </c>
      <c r="B133" s="6">
        <v>257</v>
      </c>
      <c r="C133" s="7" t="str">
        <f t="shared" si="4"/>
        <v>Premium4</v>
      </c>
      <c r="D133" s="7" t="str">
        <f t="shared" si="5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IFERROR(VLOOKUP(B133,input_358104!L:R,7,FALSE),VLOOKUP(tables_358104!C133,input_358104!A:H,8,FALSE))</f>
        <v>69456.399999999994</v>
      </c>
      <c r="P133" s="46">
        <f ca="1">O133/SUM(O:O)</f>
        <v>1.1716666666666665E-2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input_358104!A$2</f>
        <v>358104</v>
      </c>
      <c r="B134" s="6">
        <v>258</v>
      </c>
      <c r="C134" s="7" t="str">
        <f t="shared" si="4"/>
        <v>Premium5</v>
      </c>
      <c r="D134" s="7" t="str">
        <f t="shared" si="5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IFERROR(VLOOKUP(B134,input_358104!L:R,7,FALSE),VLOOKUP(tables_358104!C134,input_358104!A:H,8,FALSE))</f>
        <v>3655.6</v>
      </c>
      <c r="P134" s="46">
        <f ca="1">O134/SUM(O:O)</f>
        <v>6.1666666666666662E-4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input_358104!A$2</f>
        <v>358104</v>
      </c>
      <c r="B135" s="6">
        <v>259</v>
      </c>
      <c r="C135" s="7" t="str">
        <f t="shared" si="4"/>
        <v>Premium3</v>
      </c>
      <c r="D135" s="7" t="str">
        <f t="shared" si="5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IFERROR(VLOOKUP(B135,input_358104!L:R,7,FALSE),VLOOKUP(tables_358104!C135,input_358104!A:H,8,FALSE))</f>
        <v>0</v>
      </c>
      <c r="P135" s="46">
        <f ca="1">O135/SUM(O:O)</f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input_358104!A$2</f>
        <v>358104</v>
      </c>
      <c r="B136" s="8">
        <v>260</v>
      </c>
      <c r="C136" s="7" t="str">
        <f t="shared" si="4"/>
        <v>Premium4</v>
      </c>
      <c r="D136" s="7" t="str">
        <f t="shared" si="5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IFERROR(VLOOKUP(B136,input_358104!L:R,7,FALSE),VLOOKUP(tables_358104!C136,input_358104!A:H,8,FALSE))</f>
        <v>69456.399999999994</v>
      </c>
      <c r="P136" s="46">
        <f ca="1">O136/SUM(O:O)</f>
        <v>1.1716666666666665E-2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input_358104!A$2</f>
        <v>358104</v>
      </c>
      <c r="B137" s="8">
        <v>261</v>
      </c>
      <c r="C137" s="7" t="str">
        <f t="shared" si="4"/>
        <v>Premium5</v>
      </c>
      <c r="D137" s="7" t="str">
        <f t="shared" si="5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IFERROR(VLOOKUP(B137,input_358104!L:R,7,FALSE),VLOOKUP(tables_358104!C137,input_358104!A:H,8,FALSE))</f>
        <v>3655.6</v>
      </c>
      <c r="P137" s="46">
        <f ca="1">O137/SUM(O:O)</f>
        <v>6.1666666666666662E-4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input_358104!A$2</f>
        <v>358104</v>
      </c>
      <c r="B138" s="6">
        <v>320</v>
      </c>
      <c r="C138" s="7" t="str">
        <f t="shared" si="4"/>
        <v>PremiumSS4</v>
      </c>
      <c r="D138" s="7" t="str">
        <f t="shared" si="5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IFERROR(VLOOKUP(B138,input_358104!L:R,7,FALSE),VLOOKUP(tables_358104!C138,input_358104!A:H,8,FALSE))</f>
        <v>4446</v>
      </c>
      <c r="P138" s="46">
        <f ca="1">O138/SUM(O:O)</f>
        <v>7.5000000000000002E-4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input_358104!A$2</f>
        <v>358104</v>
      </c>
      <c r="B139" s="6">
        <v>321</v>
      </c>
      <c r="C139" s="7" t="str">
        <f t="shared" si="4"/>
        <v>PremiumSS5</v>
      </c>
      <c r="D139" s="7" t="str">
        <f t="shared" si="5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IFERROR(VLOOKUP(B139,input_358104!L:R,7,FALSE),VLOOKUP(tables_358104!C139,input_358104!A:H,8,FALSE))</f>
        <v>234</v>
      </c>
      <c r="P139" s="46">
        <f ca="1">O139/SUM(O:O)</f>
        <v>3.9473684210526316E-5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input_358104!A$2</f>
        <v>358104</v>
      </c>
      <c r="B140" s="6">
        <v>322</v>
      </c>
      <c r="C140" s="7" t="str">
        <f t="shared" si="4"/>
        <v>PremiumSS4</v>
      </c>
      <c r="D140" s="7" t="str">
        <f t="shared" si="5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IFERROR(VLOOKUP(B140,input_358104!L:R,7,FALSE),VLOOKUP(tables_358104!C140,input_358104!A:H,8,FALSE))</f>
        <v>4446</v>
      </c>
      <c r="P140" s="46">
        <f ca="1">O140/SUM(O:O)</f>
        <v>7.5000000000000002E-4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input_358104!A$2</f>
        <v>358104</v>
      </c>
      <c r="B141" s="6">
        <v>323</v>
      </c>
      <c r="C141" s="7" t="str">
        <f t="shared" si="4"/>
        <v>PremiumSS5</v>
      </c>
      <c r="D141" s="7" t="str">
        <f t="shared" si="5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IFERROR(VLOOKUP(B141,input_358104!L:R,7,FALSE),VLOOKUP(tables_358104!C141,input_358104!A:H,8,FALSE))</f>
        <v>234</v>
      </c>
      <c r="P141" s="46">
        <f ca="1">O141/SUM(O:O)</f>
        <v>3.9473684210526316E-5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input_358104!A$2</f>
        <v>358104</v>
      </c>
      <c r="B142" s="6">
        <v>324</v>
      </c>
      <c r="C142" s="7" t="str">
        <f t="shared" si="4"/>
        <v>PremiumSS4</v>
      </c>
      <c r="D142" s="7" t="str">
        <f t="shared" si="5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IFERROR(VLOOKUP(B142,input_358104!L:R,7,FALSE),VLOOKUP(tables_358104!C142,input_358104!A:H,8,FALSE))</f>
        <v>4446</v>
      </c>
      <c r="P142" s="46">
        <f ca="1">O142/SUM(O:O)</f>
        <v>7.5000000000000002E-4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input_358104!A$2</f>
        <v>358104</v>
      </c>
      <c r="B143" s="6">
        <v>325</v>
      </c>
      <c r="C143" s="7" t="str">
        <f t="shared" si="4"/>
        <v>PremiumSS5</v>
      </c>
      <c r="D143" s="7" t="str">
        <f t="shared" si="5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IFERROR(VLOOKUP(B143,input_358104!L:R,7,FALSE),VLOOKUP(tables_358104!C143,input_358104!A:H,8,FALSE))</f>
        <v>234</v>
      </c>
      <c r="P143" s="46">
        <f ca="1">O143/SUM(O:O)</f>
        <v>3.9473684210526316E-5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input_358104!A$2</f>
        <v>358104</v>
      </c>
      <c r="B144" s="6">
        <v>326</v>
      </c>
      <c r="C144" s="7" t="str">
        <f t="shared" si="4"/>
        <v>PremiumSS4</v>
      </c>
      <c r="D144" s="7" t="str">
        <f t="shared" si="5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IFERROR(VLOOKUP(B144,input_358104!L:R,7,FALSE),VLOOKUP(tables_358104!C144,input_358104!A:H,8,FALSE))</f>
        <v>4446</v>
      </c>
      <c r="P144" s="46">
        <f ca="1">O144/SUM(O:O)</f>
        <v>7.5000000000000002E-4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input_358104!A$2</f>
        <v>358104</v>
      </c>
      <c r="B145" s="6">
        <v>327</v>
      </c>
      <c r="C145" s="7" t="str">
        <f t="shared" si="4"/>
        <v>PremiumSS5</v>
      </c>
      <c r="D145" s="7" t="str">
        <f t="shared" si="5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IFERROR(VLOOKUP(B145,input_358104!L:R,7,FALSE),VLOOKUP(tables_358104!C145,input_358104!A:H,8,FALSE))</f>
        <v>234</v>
      </c>
      <c r="P145" s="46">
        <f ca="1">O145/SUM(O:O)</f>
        <v>3.9473684210526316E-5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input_358104!A$2</f>
        <v>358104</v>
      </c>
      <c r="B146" s="6">
        <v>380</v>
      </c>
      <c r="C146" s="7" t="str">
        <f t="shared" si="4"/>
        <v>Premium3</v>
      </c>
      <c r="D146" s="7" t="str">
        <f t="shared" si="5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IFERROR(VLOOKUP(B146,input_358104!L:R,7,FALSE),VLOOKUP(tables_358104!C146,input_358104!A:H,8,FALSE))</f>
        <v>0</v>
      </c>
      <c r="P146" s="46">
        <f ca="1">O146/SUM(O:O)</f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input_358104!A$2</f>
        <v>358104</v>
      </c>
      <c r="B147" s="6">
        <v>381</v>
      </c>
      <c r="C147" s="7" t="str">
        <f t="shared" si="4"/>
        <v>Premium4</v>
      </c>
      <c r="D147" s="7" t="str">
        <f t="shared" si="5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IFERROR(VLOOKUP(B147,input_358104!L:R,7,FALSE),VLOOKUP(tables_358104!C147,input_358104!A:H,8,FALSE))</f>
        <v>69456.399999999994</v>
      </c>
      <c r="P147" s="46">
        <f ca="1">O147/SUM(O:O)</f>
        <v>1.1716666666666665E-2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input_358104!A$2</f>
        <v>358104</v>
      </c>
      <c r="B148" s="6">
        <v>382</v>
      </c>
      <c r="C148" s="7" t="str">
        <f t="shared" si="4"/>
        <v>Premium5</v>
      </c>
      <c r="D148" s="7" t="str">
        <f t="shared" si="5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IFERROR(VLOOKUP(B148,input_358104!L:R,7,FALSE),VLOOKUP(tables_358104!C148,input_358104!A:H,8,FALSE))</f>
        <v>3655.6</v>
      </c>
      <c r="P148" s="46">
        <f ca="1">O148/SUM(O:O)</f>
        <v>6.1666666666666662E-4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input_358104!A$2</f>
        <v>358104</v>
      </c>
      <c r="B149" s="6">
        <v>383</v>
      </c>
      <c r="C149" s="7" t="str">
        <f t="shared" si="4"/>
        <v>PremiumSS4</v>
      </c>
      <c r="D149" s="7" t="str">
        <f t="shared" si="5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IFERROR(VLOOKUP(B149,input_358104!L:R,7,FALSE),VLOOKUP(tables_358104!C149,input_358104!A:H,8,FALSE))</f>
        <v>4446</v>
      </c>
      <c r="P149" s="46">
        <f ca="1">O149/SUM(O:O)</f>
        <v>7.5000000000000002E-4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input_358104!A$2</f>
        <v>358104</v>
      </c>
      <c r="B150" s="6">
        <v>384</v>
      </c>
      <c r="C150" s="7" t="str">
        <f t="shared" si="4"/>
        <v>PremiumSS5</v>
      </c>
      <c r="D150" s="7" t="str">
        <f t="shared" si="5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IFERROR(VLOOKUP(B150,input_358104!L:R,7,FALSE),VLOOKUP(tables_358104!C150,input_358104!A:H,8,FALSE))</f>
        <v>234</v>
      </c>
      <c r="P150" s="46">
        <f ca="1">O150/SUM(O:O)</f>
        <v>3.9473684210526316E-5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input_358104!A$2</f>
        <v>358104</v>
      </c>
      <c r="B151" s="6">
        <v>385</v>
      </c>
      <c r="C151" s="7" t="str">
        <f t="shared" si="4"/>
        <v>PremiumSS4</v>
      </c>
      <c r="D151" s="7" t="str">
        <f t="shared" si="5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IFERROR(VLOOKUP(B151,input_358104!L:R,7,FALSE),VLOOKUP(tables_358104!C151,input_358104!A:H,8,FALSE))</f>
        <v>4446</v>
      </c>
      <c r="P151" s="46">
        <f ca="1">O151/SUM(O:O)</f>
        <v>7.5000000000000002E-4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input_358104!A$2</f>
        <v>358104</v>
      </c>
      <c r="B152" s="6">
        <v>386</v>
      </c>
      <c r="C152" s="7" t="str">
        <f t="shared" si="4"/>
        <v>PremiumSS5</v>
      </c>
      <c r="D152" s="7" t="str">
        <f t="shared" si="5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IFERROR(VLOOKUP(B152,input_358104!L:R,7,FALSE),VLOOKUP(tables_358104!C152,input_358104!A:H,8,FALSE))</f>
        <v>234</v>
      </c>
      <c r="P152" s="46">
        <f ca="1">O152/SUM(O:O)</f>
        <v>3.9473684210526316E-5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input_358104!A$2</f>
        <v>358104</v>
      </c>
      <c r="B153" s="6">
        <v>387</v>
      </c>
      <c r="C153" s="7" t="str">
        <f t="shared" si="4"/>
        <v>Premium3</v>
      </c>
      <c r="D153" s="7" t="str">
        <f t="shared" si="5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IFERROR(VLOOKUP(B153,input_358104!L:R,7,FALSE),VLOOKUP(tables_358104!C153,input_358104!A:H,8,FALSE))</f>
        <v>0</v>
      </c>
      <c r="P153" s="46">
        <f ca="1">O153/SUM(O:O)</f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input_358104!A$2</f>
        <v>358104</v>
      </c>
      <c r="B154" s="6">
        <v>388</v>
      </c>
      <c r="C154" s="7" t="str">
        <f t="shared" si="4"/>
        <v>Premium4</v>
      </c>
      <c r="D154" s="7" t="str">
        <f t="shared" si="5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IFERROR(VLOOKUP(B154,input_358104!L:R,7,FALSE),VLOOKUP(tables_358104!C154,input_358104!A:H,8,FALSE))</f>
        <v>69456.399999999994</v>
      </c>
      <c r="P154" s="46">
        <f ca="1">O154/SUM(O:O)</f>
        <v>1.1716666666666665E-2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input_358104!A$2</f>
        <v>358104</v>
      </c>
      <c r="B155" s="6">
        <v>389</v>
      </c>
      <c r="C155" s="7" t="str">
        <f t="shared" si="4"/>
        <v>Premium5</v>
      </c>
      <c r="D155" s="7" t="str">
        <f t="shared" si="5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IFERROR(VLOOKUP(B155,input_358104!L:R,7,FALSE),VLOOKUP(tables_358104!C155,input_358104!A:H,8,FALSE))</f>
        <v>3655.6</v>
      </c>
      <c r="P155" s="46">
        <f ca="1">O155/SUM(O:O)</f>
        <v>6.1666666666666662E-4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input_358104!A$2</f>
        <v>358104</v>
      </c>
      <c r="B156" s="6">
        <v>390</v>
      </c>
      <c r="C156" s="7" t="str">
        <f t="shared" si="4"/>
        <v>PremiumSS4</v>
      </c>
      <c r="D156" s="7" t="str">
        <f t="shared" si="5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IFERROR(VLOOKUP(B156,input_358104!L:R,7,FALSE),VLOOKUP(tables_358104!C156,input_358104!A:H,8,FALSE))</f>
        <v>4446</v>
      </c>
      <c r="P156" s="46">
        <f ca="1">O156/SUM(O:O)</f>
        <v>7.5000000000000002E-4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input_358104!A$2</f>
        <v>358104</v>
      </c>
      <c r="B157" s="6">
        <v>391</v>
      </c>
      <c r="C157" s="7" t="str">
        <f t="shared" si="4"/>
        <v>PremiumSS5</v>
      </c>
      <c r="D157" s="7" t="str">
        <f t="shared" si="5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IFERROR(VLOOKUP(B157,input_358104!L:R,7,FALSE),VLOOKUP(tables_358104!C157,input_358104!A:H,8,FALSE))</f>
        <v>234</v>
      </c>
      <c r="P157" s="46">
        <f ca="1">O157/SUM(O:O)</f>
        <v>3.9473684210526316E-5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input_358104!A$2</f>
        <v>358104</v>
      </c>
      <c r="B158" s="6">
        <v>392</v>
      </c>
      <c r="C158" s="7" t="str">
        <f t="shared" si="4"/>
        <v>Premium3</v>
      </c>
      <c r="D158" s="7" t="str">
        <f t="shared" si="5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IFERROR(VLOOKUP(B158,input_358104!L:R,7,FALSE),VLOOKUP(tables_358104!C158,input_358104!A:H,8,FALSE))</f>
        <v>0</v>
      </c>
      <c r="P158" s="46">
        <f ca="1">O158/SUM(O:O)</f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input_358104!A$2</f>
        <v>358104</v>
      </c>
      <c r="B159" s="6">
        <v>393</v>
      </c>
      <c r="C159" s="7" t="str">
        <f t="shared" si="4"/>
        <v>Premium4</v>
      </c>
      <c r="D159" s="7" t="str">
        <f t="shared" si="5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IFERROR(VLOOKUP(B159,input_358104!L:R,7,FALSE),VLOOKUP(tables_358104!C159,input_358104!A:H,8,FALSE))</f>
        <v>69456.399999999994</v>
      </c>
      <c r="P159" s="46">
        <f ca="1">O159/SUM(O:O)</f>
        <v>1.1716666666666665E-2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input_358104!A$2</f>
        <v>358104</v>
      </c>
      <c r="B160" s="6">
        <v>394</v>
      </c>
      <c r="C160" s="7" t="str">
        <f t="shared" si="4"/>
        <v>Premium5</v>
      </c>
      <c r="D160" s="7" t="str">
        <f t="shared" si="5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IFERROR(VLOOKUP(B160,input_358104!L:R,7,FALSE),VLOOKUP(tables_358104!C160,input_358104!A:H,8,FALSE))</f>
        <v>3655.6</v>
      </c>
      <c r="P160" s="46">
        <f ca="1">O160/SUM(O:O)</f>
        <v>6.1666666666666662E-4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input_358104!A$2</f>
        <v>358104</v>
      </c>
      <c r="B161" s="6">
        <v>395</v>
      </c>
      <c r="C161" s="7" t="str">
        <f t="shared" si="4"/>
        <v>Premium3</v>
      </c>
      <c r="D161" s="7" t="str">
        <f t="shared" si="5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IFERROR(VLOOKUP(B161,input_358104!L:R,7,FALSE),VLOOKUP(tables_358104!C161,input_358104!A:H,8,FALSE))</f>
        <v>0</v>
      </c>
      <c r="P161" s="46">
        <f ca="1">O161/SUM(O:O)</f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input_358104!A$2</f>
        <v>358104</v>
      </c>
      <c r="B162" s="6">
        <v>396</v>
      </c>
      <c r="C162" s="7" t="str">
        <f t="shared" si="4"/>
        <v>Premium4</v>
      </c>
      <c r="D162" s="7" t="str">
        <f t="shared" si="5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IFERROR(VLOOKUP(B162,input_358104!L:R,7,FALSE),VLOOKUP(tables_358104!C162,input_358104!A:H,8,FALSE))</f>
        <v>69456.399999999994</v>
      </c>
      <c r="P162" s="46">
        <f ca="1">O162/SUM(O:O)</f>
        <v>1.1716666666666665E-2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input_358104!A$2</f>
        <v>358104</v>
      </c>
      <c r="B163" s="6">
        <v>397</v>
      </c>
      <c r="C163" s="7" t="str">
        <f t="shared" si="4"/>
        <v>Premium5</v>
      </c>
      <c r="D163" s="7" t="str">
        <f t="shared" si="5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IFERROR(VLOOKUP(B163,input_358104!L:R,7,FALSE),VLOOKUP(tables_358104!C163,input_358104!A:H,8,FALSE))</f>
        <v>3655.6</v>
      </c>
      <c r="P163" s="46">
        <f ca="1">O163/SUM(O:O)</f>
        <v>6.1666666666666662E-4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input_358104!A$2</f>
        <v>358104</v>
      </c>
      <c r="B164" s="6">
        <v>398</v>
      </c>
      <c r="C164" s="7" t="str">
        <f t="shared" si="4"/>
        <v>PremiumSS4</v>
      </c>
      <c r="D164" s="7" t="str">
        <f t="shared" si="5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IFERROR(VLOOKUP(B164,input_358104!L:R,7,FALSE),VLOOKUP(tables_358104!C164,input_358104!A:H,8,FALSE))</f>
        <v>4446</v>
      </c>
      <c r="P164" s="46">
        <f ca="1">O164/SUM(O:O)</f>
        <v>7.5000000000000002E-4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input_358104!A$2</f>
        <v>358104</v>
      </c>
      <c r="B165" s="6">
        <v>399</v>
      </c>
      <c r="C165" s="7" t="str">
        <f t="shared" si="4"/>
        <v>PremiumSS5</v>
      </c>
      <c r="D165" s="7" t="str">
        <f t="shared" si="5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IFERROR(VLOOKUP(B165,input_358104!L:R,7,FALSE),VLOOKUP(tables_358104!C165,input_358104!A:H,8,FALSE))</f>
        <v>234</v>
      </c>
      <c r="P165" s="46">
        <f ca="1">O165/SUM(O:O)</f>
        <v>3.9473684210526316E-5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input_358104!A$2</f>
        <v>358104</v>
      </c>
      <c r="B166" s="6">
        <v>400</v>
      </c>
      <c r="C166" s="7" t="str">
        <f t="shared" si="4"/>
        <v>Premium3</v>
      </c>
      <c r="D166" s="7" t="str">
        <f t="shared" si="5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IFERROR(VLOOKUP(B166,input_358104!L:R,7,FALSE),VLOOKUP(tables_358104!C166,input_358104!A:H,8,FALSE))</f>
        <v>0</v>
      </c>
      <c r="P166" s="46">
        <f ca="1">O166/SUM(O:O)</f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input_358104!A$2</f>
        <v>358104</v>
      </c>
      <c r="B167" s="6">
        <v>401</v>
      </c>
      <c r="C167" s="7" t="str">
        <f t="shared" si="4"/>
        <v>Premium4</v>
      </c>
      <c r="D167" s="7" t="str">
        <f t="shared" si="5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IFERROR(VLOOKUP(B167,input_358104!L:R,7,FALSE),VLOOKUP(tables_358104!C167,input_358104!A:H,8,FALSE))</f>
        <v>69456.399999999994</v>
      </c>
      <c r="P167" s="46">
        <f ca="1">O167/SUM(O:O)</f>
        <v>1.1716666666666665E-2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input_358104!A$2</f>
        <v>358104</v>
      </c>
      <c r="B168" s="6">
        <v>402</v>
      </c>
      <c r="C168" s="7" t="str">
        <f t="shared" si="4"/>
        <v>Premium5</v>
      </c>
      <c r="D168" s="7" t="str">
        <f t="shared" si="5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IFERROR(VLOOKUP(B168,input_358104!L:R,7,FALSE),VLOOKUP(tables_358104!C168,input_358104!A:H,8,FALSE))</f>
        <v>3655.6</v>
      </c>
      <c r="P168" s="46">
        <f ca="1">O168/SUM(O:O)</f>
        <v>6.1666666666666662E-4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input_358104!A$2</f>
        <v>358104</v>
      </c>
      <c r="B169" s="6">
        <v>403</v>
      </c>
      <c r="C169" s="7" t="str">
        <f t="shared" si="4"/>
        <v>PremiumSS4</v>
      </c>
      <c r="D169" s="7" t="str">
        <f t="shared" si="5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IFERROR(VLOOKUP(B169,input_358104!L:R,7,FALSE),VLOOKUP(tables_358104!C169,input_358104!A:H,8,FALSE))</f>
        <v>4446</v>
      </c>
      <c r="P169" s="46">
        <f ca="1">O169/SUM(O:O)</f>
        <v>7.5000000000000002E-4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input_358104!A$2</f>
        <v>358104</v>
      </c>
      <c r="B170" s="6">
        <v>404</v>
      </c>
      <c r="C170" s="7" t="str">
        <f t="shared" si="4"/>
        <v>PremiumSS5</v>
      </c>
      <c r="D170" s="7" t="str">
        <f t="shared" si="5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IFERROR(VLOOKUP(B170,input_358104!L:R,7,FALSE),VLOOKUP(tables_358104!C170,input_358104!A:H,8,FALSE))</f>
        <v>234</v>
      </c>
      <c r="P170" s="46">
        <f ca="1">O170/SUM(O:O)</f>
        <v>3.9473684210526316E-5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input_358104!A$2</f>
        <v>358104</v>
      </c>
      <c r="B171" s="6">
        <v>405</v>
      </c>
      <c r="C171" s="7" t="str">
        <f t="shared" si="4"/>
        <v>Premium3</v>
      </c>
      <c r="D171" s="7" t="str">
        <f t="shared" si="5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IFERROR(VLOOKUP(B171,input_358104!L:R,7,FALSE),VLOOKUP(tables_358104!C171,input_358104!A:H,8,FALSE))</f>
        <v>0</v>
      </c>
      <c r="P171" s="46">
        <f ca="1">O171/SUM(O:O)</f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input_358104!A$2</f>
        <v>358104</v>
      </c>
      <c r="B172" s="6">
        <v>406</v>
      </c>
      <c r="C172" s="7" t="str">
        <f t="shared" si="4"/>
        <v>Premium4</v>
      </c>
      <c r="D172" s="7" t="str">
        <f t="shared" si="5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IFERROR(VLOOKUP(B172,input_358104!L:R,7,FALSE),VLOOKUP(tables_358104!C172,input_358104!A:H,8,FALSE))</f>
        <v>69456.399999999994</v>
      </c>
      <c r="P172" s="46">
        <f ca="1">O172/SUM(O:O)</f>
        <v>1.1716666666666665E-2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input_358104!A$2</f>
        <v>358104</v>
      </c>
      <c r="B173" s="6">
        <v>407</v>
      </c>
      <c r="C173" s="7" t="str">
        <f t="shared" si="4"/>
        <v>Premium5</v>
      </c>
      <c r="D173" s="7" t="str">
        <f t="shared" si="5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IFERROR(VLOOKUP(B173,input_358104!L:R,7,FALSE),VLOOKUP(tables_358104!C173,input_358104!A:H,8,FALSE))</f>
        <v>3655.6</v>
      </c>
      <c r="P173" s="46">
        <f ca="1">O173/SUM(O:O)</f>
        <v>6.1666666666666662E-4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input_358104!A$2</f>
        <v>358104</v>
      </c>
      <c r="B174" s="6">
        <v>408</v>
      </c>
      <c r="C174" s="7" t="str">
        <f t="shared" si="4"/>
        <v>PremiumSS4</v>
      </c>
      <c r="D174" s="7" t="str">
        <f t="shared" si="5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IFERROR(VLOOKUP(B174,input_358104!L:R,7,FALSE),VLOOKUP(tables_358104!C174,input_358104!A:H,8,FALSE))</f>
        <v>4446</v>
      </c>
      <c r="P174" s="46">
        <f ca="1">O174/SUM(O:O)</f>
        <v>7.5000000000000002E-4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input_358104!A$2</f>
        <v>358104</v>
      </c>
      <c r="B175" s="6">
        <v>409</v>
      </c>
      <c r="C175" s="7" t="str">
        <f t="shared" si="4"/>
        <v>PremiumSS5</v>
      </c>
      <c r="D175" s="7" t="str">
        <f t="shared" si="5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IFERROR(VLOOKUP(B175,input_358104!L:R,7,FALSE),VLOOKUP(tables_358104!C175,input_358104!A:H,8,FALSE))</f>
        <v>234</v>
      </c>
      <c r="P175" s="46">
        <f ca="1">O175/SUM(O:O)</f>
        <v>3.9473684210526316E-5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input_358104!A$2</f>
        <v>358104</v>
      </c>
      <c r="B176" s="6">
        <v>434</v>
      </c>
      <c r="C176" s="7" t="str">
        <f t="shared" si="4"/>
        <v>PremiumSS4</v>
      </c>
      <c r="D176" s="7" t="str">
        <f t="shared" si="5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IFERROR(VLOOKUP(B176,input_358104!L:R,7,FALSE),VLOOKUP(tables_358104!C176,input_358104!A:H,8,FALSE))</f>
        <v>4446</v>
      </c>
      <c r="P176" s="46">
        <f ca="1">O176/SUM(O:O)</f>
        <v>7.5000000000000002E-4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input_358104!A$2</f>
        <v>358104</v>
      </c>
      <c r="B177" s="6">
        <v>435</v>
      </c>
      <c r="C177" s="7" t="str">
        <f t="shared" si="4"/>
        <v>PremiumSS5</v>
      </c>
      <c r="D177" s="7" t="str">
        <f t="shared" si="5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IFERROR(VLOOKUP(B177,input_358104!L:R,7,FALSE),VLOOKUP(tables_358104!C177,input_358104!A:H,8,FALSE))</f>
        <v>234</v>
      </c>
      <c r="P177" s="46">
        <f ca="1">O177/SUM(O:O)</f>
        <v>3.9473684210526316E-5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input_358104!A$2</f>
        <v>358104</v>
      </c>
      <c r="B178" s="6">
        <v>436</v>
      </c>
      <c r="C178" s="7" t="str">
        <f t="shared" si="4"/>
        <v>Premium3</v>
      </c>
      <c r="D178" s="7" t="str">
        <f t="shared" si="5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IFERROR(VLOOKUP(B178,input_358104!L:R,7,FALSE),VLOOKUP(tables_358104!C178,input_358104!A:H,8,FALSE))</f>
        <v>0</v>
      </c>
      <c r="P178" s="46">
        <f ca="1">O178/SUM(O:O)</f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input_358104!A$2</f>
        <v>358104</v>
      </c>
      <c r="B179" s="6">
        <v>437</v>
      </c>
      <c r="C179" s="7" t="str">
        <f t="shared" si="4"/>
        <v>Premium4</v>
      </c>
      <c r="D179" s="7" t="str">
        <f t="shared" si="5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IFERROR(VLOOKUP(B179,input_358104!L:R,7,FALSE),VLOOKUP(tables_358104!C179,input_358104!A:H,8,FALSE))</f>
        <v>69456.399999999994</v>
      </c>
      <c r="P179" s="46">
        <f ca="1">O179/SUM(O:O)</f>
        <v>1.1716666666666665E-2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input_358104!A$2</f>
        <v>358104</v>
      </c>
      <c r="B180" s="6">
        <v>438</v>
      </c>
      <c r="C180" s="7" t="str">
        <f t="shared" si="4"/>
        <v>Premium5</v>
      </c>
      <c r="D180" s="7" t="str">
        <f t="shared" si="5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IFERROR(VLOOKUP(B180,input_358104!L:R,7,FALSE),VLOOKUP(tables_358104!C180,input_358104!A:H,8,FALSE))</f>
        <v>3655.6</v>
      </c>
      <c r="P180" s="46">
        <f ca="1">O180/SUM(O:O)</f>
        <v>6.1666666666666662E-4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input_358104!A$2</f>
        <v>358104</v>
      </c>
      <c r="B181" s="6">
        <v>439</v>
      </c>
      <c r="C181" s="7" t="str">
        <f t="shared" si="4"/>
        <v>Premium3</v>
      </c>
      <c r="D181" s="7" t="str">
        <f t="shared" si="5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IFERROR(VLOOKUP(B181,input_358104!L:R,7,FALSE),VLOOKUP(tables_358104!C181,input_358104!A:H,8,FALSE))</f>
        <v>0</v>
      </c>
      <c r="P181" s="46">
        <f ca="1">O181/SUM(O:O)</f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input_358104!A$2</f>
        <v>358104</v>
      </c>
      <c r="B182" s="6">
        <v>440</v>
      </c>
      <c r="C182" s="7" t="str">
        <f t="shared" si="4"/>
        <v>Premium4</v>
      </c>
      <c r="D182" s="7" t="str">
        <f t="shared" si="5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IFERROR(VLOOKUP(B182,input_358104!L:R,7,FALSE),VLOOKUP(tables_358104!C182,input_358104!A:H,8,FALSE))</f>
        <v>69456.399999999994</v>
      </c>
      <c r="P182" s="46">
        <f ca="1">O182/SUM(O:O)</f>
        <v>1.1716666666666665E-2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input_358104!A$2</f>
        <v>358104</v>
      </c>
      <c r="B183" s="6">
        <v>441</v>
      </c>
      <c r="C183" s="7" t="str">
        <f t="shared" si="4"/>
        <v>Premium5</v>
      </c>
      <c r="D183" s="7" t="str">
        <f t="shared" si="5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IFERROR(VLOOKUP(B183,input_358104!L:R,7,FALSE),VLOOKUP(tables_358104!C183,input_358104!A:H,8,FALSE))</f>
        <v>3655.6</v>
      </c>
      <c r="P183" s="46">
        <f ca="1">O183/SUM(O:O)</f>
        <v>6.1666666666666662E-4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input_358104!A$2</f>
        <v>358104</v>
      </c>
      <c r="B184" s="6">
        <v>442</v>
      </c>
      <c r="C184" s="7" t="str">
        <f t="shared" si="4"/>
        <v>PremiumSS4</v>
      </c>
      <c r="D184" s="7" t="str">
        <f t="shared" si="5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IFERROR(VLOOKUP(B184,input_358104!L:R,7,FALSE),VLOOKUP(tables_358104!C184,input_358104!A:H,8,FALSE))</f>
        <v>4446</v>
      </c>
      <c r="P184" s="46">
        <f ca="1">O184/SUM(O:O)</f>
        <v>7.5000000000000002E-4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input_358104!A$2</f>
        <v>358104</v>
      </c>
      <c r="B185" s="6">
        <v>443</v>
      </c>
      <c r="C185" s="7" t="str">
        <f t="shared" si="4"/>
        <v>PremiumSS5</v>
      </c>
      <c r="D185" s="7" t="str">
        <f t="shared" si="5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IFERROR(VLOOKUP(B185,input_358104!L:R,7,FALSE),VLOOKUP(tables_358104!C185,input_358104!A:H,8,FALSE))</f>
        <v>234</v>
      </c>
      <c r="P185" s="46">
        <f ca="1">O185/SUM(O:O)</f>
        <v>3.9473684210526316E-5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input_358104!A$2</f>
        <v>358104</v>
      </c>
      <c r="B186" s="8">
        <v>462</v>
      </c>
      <c r="C186" s="7" t="str">
        <f t="shared" si="4"/>
        <v>Premium3</v>
      </c>
      <c r="D186" s="7" t="str">
        <f t="shared" si="5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IFERROR(VLOOKUP(B186,input_358104!L:R,7,FALSE),VLOOKUP(tables_358104!C186,input_358104!A:H,8,FALSE))</f>
        <v>0</v>
      </c>
      <c r="P186" s="46">
        <f ca="1">O186/SUM(O:O)</f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input_358104!A$2</f>
        <v>358104</v>
      </c>
      <c r="B187" s="8">
        <v>463</v>
      </c>
      <c r="C187" s="7" t="str">
        <f t="shared" si="4"/>
        <v>Premium4</v>
      </c>
      <c r="D187" s="7" t="str">
        <f t="shared" si="5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IFERROR(VLOOKUP(B187,input_358104!L:R,7,FALSE),VLOOKUP(tables_358104!C187,input_358104!A:H,8,FALSE))</f>
        <v>69456.399999999994</v>
      </c>
      <c r="P187" s="46">
        <f ca="1">O187/SUM(O:O)</f>
        <v>1.1716666666666665E-2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input_358104!A$2</f>
        <v>358104</v>
      </c>
      <c r="B188" s="8">
        <v>464</v>
      </c>
      <c r="C188" s="7" t="str">
        <f t="shared" si="4"/>
        <v>Premium5</v>
      </c>
      <c r="D188" s="7" t="str">
        <f t="shared" si="5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IFERROR(VLOOKUP(B188,input_358104!L:R,7,FALSE),VLOOKUP(tables_358104!C188,input_358104!A:H,8,FALSE))</f>
        <v>3655.6</v>
      </c>
      <c r="P188" s="46">
        <f ca="1">O188/SUM(O:O)</f>
        <v>6.1666666666666662E-4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input_358104!A$2</f>
        <v>358104</v>
      </c>
      <c r="B189" s="8">
        <v>465</v>
      </c>
      <c r="C189" s="7" t="str">
        <f t="shared" si="4"/>
        <v>PremiumSS4</v>
      </c>
      <c r="D189" s="7" t="str">
        <f t="shared" si="5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IFERROR(VLOOKUP(B189,input_358104!L:R,7,FALSE),VLOOKUP(tables_358104!C189,input_358104!A:H,8,FALSE))</f>
        <v>4446</v>
      </c>
      <c r="P189" s="46">
        <f ca="1">O189/SUM(O:O)</f>
        <v>7.5000000000000002E-4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input_358104!A$2</f>
        <v>358104</v>
      </c>
      <c r="B190" s="6">
        <v>466</v>
      </c>
      <c r="C190" s="7" t="str">
        <f t="shared" si="4"/>
        <v>PremiumSS5</v>
      </c>
      <c r="D190" s="7" t="str">
        <f t="shared" si="5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IFERROR(VLOOKUP(B190,input_358104!L:R,7,FALSE),VLOOKUP(tables_358104!C190,input_358104!A:H,8,FALSE))</f>
        <v>234</v>
      </c>
      <c r="P190" s="46">
        <f ca="1">O190/SUM(O:O)</f>
        <v>3.9473684210526316E-5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input_358104!A$2</f>
        <v>358104</v>
      </c>
      <c r="B191" s="6">
        <v>467</v>
      </c>
      <c r="C191" s="7" t="str">
        <f t="shared" si="4"/>
        <v>PremiumSS4</v>
      </c>
      <c r="D191" s="7" t="str">
        <f t="shared" si="5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IFERROR(VLOOKUP(B191,input_358104!L:R,7,FALSE),VLOOKUP(tables_358104!C191,input_358104!A:H,8,FALSE))</f>
        <v>4446</v>
      </c>
      <c r="P191" s="46">
        <f ca="1">O191/SUM(O:O)</f>
        <v>7.5000000000000002E-4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input_358104!A$2</f>
        <v>358104</v>
      </c>
      <c r="B192" s="6">
        <v>468</v>
      </c>
      <c r="C192" s="7" t="str">
        <f t="shared" si="4"/>
        <v>PremiumSS5</v>
      </c>
      <c r="D192" s="7" t="str">
        <f t="shared" si="5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IFERROR(VLOOKUP(B192,input_358104!L:R,7,FALSE),VLOOKUP(tables_358104!C192,input_358104!A:H,8,FALSE))</f>
        <v>234</v>
      </c>
      <c r="P192" s="46">
        <f ca="1">O192/SUM(O:O)</f>
        <v>3.9473684210526316E-5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input_358104!A$2</f>
        <v>358104</v>
      </c>
      <c r="B193" s="6">
        <v>469</v>
      </c>
      <c r="C193" s="7" t="str">
        <f t="shared" si="4"/>
        <v>Premium3</v>
      </c>
      <c r="D193" s="7" t="str">
        <f t="shared" si="5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IFERROR(VLOOKUP(B193,input_358104!L:R,7,FALSE),VLOOKUP(tables_358104!C193,input_358104!A:H,8,FALSE))</f>
        <v>0</v>
      </c>
      <c r="P193" s="46">
        <f ca="1">O193/SUM(O:O)</f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input_358104!A$2</f>
        <v>358104</v>
      </c>
      <c r="B194" s="6">
        <v>470</v>
      </c>
      <c r="C194" s="7" t="str">
        <f t="shared" ref="C194:C257" si="6">D194&amp;J194&amp;E194&amp;F194&amp;G194</f>
        <v>Premium4</v>
      </c>
      <c r="D194" s="7" t="str">
        <f t="shared" ref="D194:D257" si="7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IFERROR(VLOOKUP(B194,input_358104!L:R,7,FALSE),VLOOKUP(tables_358104!C194,input_358104!A:H,8,FALSE))</f>
        <v>69456.399999999994</v>
      </c>
      <c r="P194" s="46">
        <f ca="1">O194/SUM(O:O)</f>
        <v>1.1716666666666665E-2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input_358104!A$2</f>
        <v>358104</v>
      </c>
      <c r="B195" s="6">
        <v>471</v>
      </c>
      <c r="C195" s="7" t="str">
        <f t="shared" si="6"/>
        <v>Premium5</v>
      </c>
      <c r="D195" s="7" t="str">
        <f t="shared" si="7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IFERROR(VLOOKUP(B195,input_358104!L:R,7,FALSE),VLOOKUP(tables_358104!C195,input_358104!A:H,8,FALSE))</f>
        <v>3655.6</v>
      </c>
      <c r="P195" s="46">
        <f ca="1">O195/SUM(O:O)</f>
        <v>6.1666666666666662E-4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input_358104!A$2</f>
        <v>358104</v>
      </c>
      <c r="B196" s="6">
        <v>474</v>
      </c>
      <c r="C196" s="7" t="str">
        <f t="shared" si="6"/>
        <v>PremiumSS4</v>
      </c>
      <c r="D196" s="7" t="str">
        <f t="shared" si="7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IFERROR(VLOOKUP(B196,input_358104!L:R,7,FALSE),VLOOKUP(tables_358104!C196,input_358104!A:H,8,FALSE))</f>
        <v>4446</v>
      </c>
      <c r="P196" s="46">
        <f ca="1">O196/SUM(O:O)</f>
        <v>7.5000000000000002E-4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input_358104!A$2</f>
        <v>358104</v>
      </c>
      <c r="B197" s="6">
        <v>475</v>
      </c>
      <c r="C197" s="7" t="str">
        <f t="shared" si="6"/>
        <v>PremiumSS5</v>
      </c>
      <c r="D197" s="7" t="str">
        <f t="shared" si="7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IFERROR(VLOOKUP(B197,input_358104!L:R,7,FALSE),VLOOKUP(tables_358104!C197,input_358104!A:H,8,FALSE))</f>
        <v>234</v>
      </c>
      <c r="P197" s="46">
        <f ca="1">O197/SUM(O:O)</f>
        <v>3.9473684210526316E-5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input_358104!A$2</f>
        <v>358104</v>
      </c>
      <c r="B198" s="6">
        <v>476</v>
      </c>
      <c r="C198" s="7" t="str">
        <f t="shared" si="6"/>
        <v>Premium3</v>
      </c>
      <c r="D198" s="7" t="str">
        <f t="shared" si="7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IFERROR(VLOOKUP(B198,input_358104!L:R,7,FALSE),VLOOKUP(tables_358104!C198,input_358104!A:H,8,FALSE))</f>
        <v>0</v>
      </c>
      <c r="P198" s="46">
        <f ca="1">O198/SUM(O:O)</f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input_358104!A$2</f>
        <v>358104</v>
      </c>
      <c r="B199" s="6">
        <v>477</v>
      </c>
      <c r="C199" s="7" t="str">
        <f t="shared" si="6"/>
        <v>Premium4</v>
      </c>
      <c r="D199" s="7" t="str">
        <f t="shared" si="7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IFERROR(VLOOKUP(B199,input_358104!L:R,7,FALSE),VLOOKUP(tables_358104!C199,input_358104!A:H,8,FALSE))</f>
        <v>69456.399999999994</v>
      </c>
      <c r="P199" s="46">
        <f ca="1">O199/SUM(O:O)</f>
        <v>1.1716666666666665E-2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input_358104!A$2</f>
        <v>358104</v>
      </c>
      <c r="B200" s="6">
        <v>478</v>
      </c>
      <c r="C200" s="7" t="str">
        <f t="shared" si="6"/>
        <v>Premium5</v>
      </c>
      <c r="D200" s="7" t="str">
        <f t="shared" si="7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IFERROR(VLOOKUP(B200,input_358104!L:R,7,FALSE),VLOOKUP(tables_358104!C200,input_358104!A:H,8,FALSE))</f>
        <v>3655.6</v>
      </c>
      <c r="P200" s="46">
        <f ca="1">O200/SUM(O:O)</f>
        <v>6.1666666666666662E-4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input_358104!A$2</f>
        <v>358104</v>
      </c>
      <c r="B201" s="6">
        <v>479</v>
      </c>
      <c r="C201" s="7" t="str">
        <f t="shared" si="6"/>
        <v>PremiumSS4</v>
      </c>
      <c r="D201" s="7" t="str">
        <f t="shared" si="7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IFERROR(VLOOKUP(B201,input_358104!L:R,7,FALSE),VLOOKUP(tables_358104!C201,input_358104!A:H,8,FALSE))</f>
        <v>4446</v>
      </c>
      <c r="P201" s="46">
        <f ca="1">O201/SUM(O:O)</f>
        <v>7.5000000000000002E-4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input_358104!A$2</f>
        <v>358104</v>
      </c>
      <c r="B202" s="6">
        <v>480</v>
      </c>
      <c r="C202" s="7" t="str">
        <f t="shared" si="6"/>
        <v>PremiumSS5</v>
      </c>
      <c r="D202" s="7" t="str">
        <f t="shared" si="7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IFERROR(VLOOKUP(B202,input_358104!L:R,7,FALSE),VLOOKUP(tables_358104!C202,input_358104!A:H,8,FALSE))</f>
        <v>234</v>
      </c>
      <c r="P202" s="46">
        <f ca="1">O202/SUM(O:O)</f>
        <v>3.9473684210526316E-5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input_358104!A$2</f>
        <v>358104</v>
      </c>
      <c r="B203" s="6">
        <v>481</v>
      </c>
      <c r="C203" s="7" t="str">
        <f t="shared" si="6"/>
        <v>Premium3</v>
      </c>
      <c r="D203" s="7" t="str">
        <f t="shared" si="7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IFERROR(VLOOKUP(B203,input_358104!L:R,7,FALSE),VLOOKUP(tables_358104!C203,input_358104!A:H,8,FALSE))</f>
        <v>0</v>
      </c>
      <c r="P203" s="46">
        <f ca="1">O203/SUM(O:O)</f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input_358104!A$2</f>
        <v>358104</v>
      </c>
      <c r="B204" s="6">
        <v>482</v>
      </c>
      <c r="C204" s="7" t="str">
        <f t="shared" si="6"/>
        <v>Premium4</v>
      </c>
      <c r="D204" s="7" t="str">
        <f t="shared" si="7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IFERROR(VLOOKUP(B204,input_358104!L:R,7,FALSE),VLOOKUP(tables_358104!C204,input_358104!A:H,8,FALSE))</f>
        <v>69456.399999999994</v>
      </c>
      <c r="P204" s="46">
        <f ca="1">O204/SUM(O:O)</f>
        <v>1.1716666666666665E-2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input_358104!A$2</f>
        <v>358104</v>
      </c>
      <c r="B205" s="6">
        <v>483</v>
      </c>
      <c r="C205" s="7" t="str">
        <f t="shared" si="6"/>
        <v>Premium5</v>
      </c>
      <c r="D205" s="7" t="str">
        <f t="shared" si="7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IFERROR(VLOOKUP(B205,input_358104!L:R,7,FALSE),VLOOKUP(tables_358104!C205,input_358104!A:H,8,FALSE))</f>
        <v>3655.6</v>
      </c>
      <c r="P205" s="46">
        <f ca="1">O205/SUM(O:O)</f>
        <v>6.1666666666666662E-4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input_358104!A$2</f>
        <v>358104</v>
      </c>
      <c r="B206" s="6">
        <v>492</v>
      </c>
      <c r="C206" s="7" t="str">
        <f t="shared" si="6"/>
        <v>PremiumSS4</v>
      </c>
      <c r="D206" s="7" t="str">
        <f t="shared" si="7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IFERROR(VLOOKUP(B206,input_358104!L:R,7,FALSE),VLOOKUP(tables_358104!C206,input_358104!A:H,8,FALSE))</f>
        <v>4446</v>
      </c>
      <c r="P206" s="46">
        <f ca="1">O206/SUM(O:O)</f>
        <v>7.5000000000000002E-4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input_358104!A$2</f>
        <v>358104</v>
      </c>
      <c r="B207" s="6">
        <v>493</v>
      </c>
      <c r="C207" s="7" t="str">
        <f t="shared" si="6"/>
        <v>PremiumSS5</v>
      </c>
      <c r="D207" s="7" t="str">
        <f t="shared" si="7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IFERROR(VLOOKUP(B207,input_358104!L:R,7,FALSE),VLOOKUP(tables_358104!C207,input_358104!A:H,8,FALSE))</f>
        <v>234</v>
      </c>
      <c r="P207" s="46">
        <f ca="1">O207/SUM(O:O)</f>
        <v>3.9473684210526316E-5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input_358104!A$2</f>
        <v>358104</v>
      </c>
      <c r="B208" s="6">
        <v>494</v>
      </c>
      <c r="C208" s="7" t="str">
        <f t="shared" si="6"/>
        <v>PremiumSS4</v>
      </c>
      <c r="D208" s="7" t="str">
        <f t="shared" si="7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IFERROR(VLOOKUP(B208,input_358104!L:R,7,FALSE),VLOOKUP(tables_358104!C208,input_358104!A:H,8,FALSE))</f>
        <v>4446</v>
      </c>
      <c r="P208" s="46">
        <f ca="1">O208/SUM(O:O)</f>
        <v>7.5000000000000002E-4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input_358104!A$2</f>
        <v>358104</v>
      </c>
      <c r="B209" s="6">
        <v>495</v>
      </c>
      <c r="C209" s="7" t="str">
        <f t="shared" si="6"/>
        <v>PremiumSS5</v>
      </c>
      <c r="D209" s="7" t="str">
        <f t="shared" si="7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IFERROR(VLOOKUP(B209,input_358104!L:R,7,FALSE),VLOOKUP(tables_358104!C209,input_358104!A:H,8,FALSE))</f>
        <v>234</v>
      </c>
      <c r="P209" s="46">
        <f ca="1">O209/SUM(O:O)</f>
        <v>3.9473684210526316E-5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input_358104!A$2</f>
        <v>358104</v>
      </c>
      <c r="B210" s="6">
        <v>496</v>
      </c>
      <c r="C210" s="7" t="str">
        <f t="shared" si="6"/>
        <v>Premium3</v>
      </c>
      <c r="D210" s="7" t="str">
        <f t="shared" si="7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IFERROR(VLOOKUP(B210,input_358104!L:R,7,FALSE),VLOOKUP(tables_358104!C210,input_358104!A:H,8,FALSE))</f>
        <v>0</v>
      </c>
      <c r="P210" s="46">
        <f ca="1">O210/SUM(O:O)</f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input_358104!A$2</f>
        <v>358104</v>
      </c>
      <c r="B211" s="6">
        <v>497</v>
      </c>
      <c r="C211" s="7" t="str">
        <f t="shared" si="6"/>
        <v>Premium4</v>
      </c>
      <c r="D211" s="7" t="str">
        <f t="shared" si="7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IFERROR(VLOOKUP(B211,input_358104!L:R,7,FALSE),VLOOKUP(tables_358104!C211,input_358104!A:H,8,FALSE))</f>
        <v>69456.399999999994</v>
      </c>
      <c r="P211" s="46">
        <f ca="1">O211/SUM(O:O)</f>
        <v>1.1716666666666665E-2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input_358104!A$2</f>
        <v>358104</v>
      </c>
      <c r="B212" s="6">
        <v>498</v>
      </c>
      <c r="C212" s="7" t="str">
        <f t="shared" si="6"/>
        <v>Premium5</v>
      </c>
      <c r="D212" s="7" t="str">
        <f t="shared" si="7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IFERROR(VLOOKUP(B212,input_358104!L:R,7,FALSE),VLOOKUP(tables_358104!C212,input_358104!A:H,8,FALSE))</f>
        <v>3655.6</v>
      </c>
      <c r="P212" s="46">
        <f ca="1">O212/SUM(O:O)</f>
        <v>6.1666666666666662E-4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input_358104!A$2</f>
        <v>358104</v>
      </c>
      <c r="B213" s="6">
        <v>499</v>
      </c>
      <c r="C213" s="7" t="str">
        <f t="shared" si="6"/>
        <v>PremiumSS4</v>
      </c>
      <c r="D213" s="7" t="str">
        <f t="shared" si="7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IFERROR(VLOOKUP(B213,input_358104!L:R,7,FALSE),VLOOKUP(tables_358104!C213,input_358104!A:H,8,FALSE))</f>
        <v>4446</v>
      </c>
      <c r="P213" s="46">
        <f ca="1">O213/SUM(O:O)</f>
        <v>7.5000000000000002E-4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input_358104!A$2</f>
        <v>358104</v>
      </c>
      <c r="B214" s="6">
        <v>500</v>
      </c>
      <c r="C214" s="7" t="str">
        <f t="shared" si="6"/>
        <v>PremiumSS5</v>
      </c>
      <c r="D214" s="7" t="str">
        <f t="shared" si="7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IFERROR(VLOOKUP(B214,input_358104!L:R,7,FALSE),VLOOKUP(tables_358104!C214,input_358104!A:H,8,FALSE))</f>
        <v>234</v>
      </c>
      <c r="P214" s="46">
        <f ca="1">O214/SUM(O:O)</f>
        <v>3.9473684210526316E-5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input_358104!A$2</f>
        <v>358104</v>
      </c>
      <c r="B215" s="6">
        <v>586</v>
      </c>
      <c r="C215" s="7" t="str">
        <f t="shared" si="6"/>
        <v>PremiumSS4</v>
      </c>
      <c r="D215" s="7" t="str">
        <f t="shared" si="7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IFERROR(VLOOKUP(B215,input_358104!L:R,7,FALSE),VLOOKUP(tables_358104!C215,input_358104!A:H,8,FALSE))</f>
        <v>4446</v>
      </c>
      <c r="P215" s="46">
        <f ca="1">O215/SUM(O:O)</f>
        <v>7.5000000000000002E-4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input_358104!A$2</f>
        <v>358104</v>
      </c>
      <c r="B216" s="6">
        <v>587</v>
      </c>
      <c r="C216" s="7" t="str">
        <f t="shared" si="6"/>
        <v>PremiumSS5</v>
      </c>
      <c r="D216" s="7" t="str">
        <f t="shared" si="7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IFERROR(VLOOKUP(B216,input_358104!L:R,7,FALSE),VLOOKUP(tables_358104!C216,input_358104!A:H,8,FALSE))</f>
        <v>234</v>
      </c>
      <c r="P216" s="46">
        <f ca="1">O216/SUM(O:O)</f>
        <v>3.9473684210526316E-5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input_358104!A$2</f>
        <v>358104</v>
      </c>
      <c r="B217" s="6">
        <v>588</v>
      </c>
      <c r="C217" s="7" t="str">
        <f t="shared" si="6"/>
        <v>Premium3</v>
      </c>
      <c r="D217" s="7" t="str">
        <f t="shared" si="7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IFERROR(VLOOKUP(B217,input_358104!L:R,7,FALSE),VLOOKUP(tables_358104!C217,input_358104!A:H,8,FALSE))</f>
        <v>0</v>
      </c>
      <c r="P217" s="46">
        <f ca="1">O217/SUM(O:O)</f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input_358104!A$2</f>
        <v>358104</v>
      </c>
      <c r="B218" s="6">
        <v>589</v>
      </c>
      <c r="C218" s="7" t="str">
        <f t="shared" si="6"/>
        <v>Premium4</v>
      </c>
      <c r="D218" s="7" t="str">
        <f t="shared" si="7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IFERROR(VLOOKUP(B218,input_358104!L:R,7,FALSE),VLOOKUP(tables_358104!C218,input_358104!A:H,8,FALSE))</f>
        <v>69456.399999999994</v>
      </c>
      <c r="P218" s="46">
        <f ca="1">O218/SUM(O:O)</f>
        <v>1.1716666666666665E-2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input_358104!A$2</f>
        <v>358104</v>
      </c>
      <c r="B219" s="6">
        <v>590</v>
      </c>
      <c r="C219" s="7" t="str">
        <f t="shared" si="6"/>
        <v>Premium5</v>
      </c>
      <c r="D219" s="7" t="str">
        <f t="shared" si="7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IFERROR(VLOOKUP(B219,input_358104!L:R,7,FALSE),VLOOKUP(tables_358104!C219,input_358104!A:H,8,FALSE))</f>
        <v>3655.6</v>
      </c>
      <c r="P219" s="46">
        <f ca="1">O219/SUM(O:O)</f>
        <v>6.1666666666666662E-4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input_358104!A$2</f>
        <v>358104</v>
      </c>
      <c r="B220" s="6">
        <v>591</v>
      </c>
      <c r="C220" s="7" t="str">
        <f t="shared" si="6"/>
        <v>Premium3</v>
      </c>
      <c r="D220" s="7" t="str">
        <f t="shared" si="7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IFERROR(VLOOKUP(B220,input_358104!L:R,7,FALSE),VLOOKUP(tables_358104!C220,input_358104!A:H,8,FALSE))</f>
        <v>0</v>
      </c>
      <c r="P220" s="46">
        <f ca="1">O220/SUM(O:O)</f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input_358104!A$2</f>
        <v>358104</v>
      </c>
      <c r="B221" s="6">
        <v>592</v>
      </c>
      <c r="C221" s="7" t="str">
        <f t="shared" si="6"/>
        <v>Premium4</v>
      </c>
      <c r="D221" s="7" t="str">
        <f t="shared" si="7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IFERROR(VLOOKUP(B221,input_358104!L:R,7,FALSE),VLOOKUP(tables_358104!C221,input_358104!A:H,8,FALSE))</f>
        <v>69456.399999999994</v>
      </c>
      <c r="P221" s="46">
        <f ca="1">O221/SUM(O:O)</f>
        <v>1.1716666666666665E-2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input_358104!A$2</f>
        <v>358104</v>
      </c>
      <c r="B222" s="6">
        <v>593</v>
      </c>
      <c r="C222" s="7" t="str">
        <f t="shared" si="6"/>
        <v>Premium5</v>
      </c>
      <c r="D222" s="7" t="str">
        <f t="shared" si="7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IFERROR(VLOOKUP(B222,input_358104!L:R,7,FALSE),VLOOKUP(tables_358104!C222,input_358104!A:H,8,FALSE))</f>
        <v>3655.6</v>
      </c>
      <c r="P222" s="46">
        <f ca="1">O222/SUM(O:O)</f>
        <v>6.1666666666666662E-4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input_358104!A$2</f>
        <v>358104</v>
      </c>
      <c r="B223" s="6">
        <v>594</v>
      </c>
      <c r="C223" s="7" t="str">
        <f t="shared" si="6"/>
        <v>PremiumSS4</v>
      </c>
      <c r="D223" s="7" t="str">
        <f t="shared" si="7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IFERROR(VLOOKUP(B223,input_358104!L:R,7,FALSE),VLOOKUP(tables_358104!C223,input_358104!A:H,8,FALSE))</f>
        <v>4446</v>
      </c>
      <c r="P223" s="46">
        <f ca="1">O223/SUM(O:O)</f>
        <v>7.5000000000000002E-4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input_358104!A$2</f>
        <v>358104</v>
      </c>
      <c r="B224" s="6">
        <v>595</v>
      </c>
      <c r="C224" s="7" t="str">
        <f t="shared" si="6"/>
        <v>PremiumSS5</v>
      </c>
      <c r="D224" s="7" t="str">
        <f t="shared" si="7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IFERROR(VLOOKUP(B224,input_358104!L:R,7,FALSE),VLOOKUP(tables_358104!C224,input_358104!A:H,8,FALSE))</f>
        <v>234</v>
      </c>
      <c r="P224" s="46">
        <f ca="1">O224/SUM(O:O)</f>
        <v>3.9473684210526316E-5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input_358104!A$2</f>
        <v>358104</v>
      </c>
      <c r="B225" s="6">
        <v>596</v>
      </c>
      <c r="C225" s="7" t="str">
        <f t="shared" si="6"/>
        <v>Premium3</v>
      </c>
      <c r="D225" s="7" t="str">
        <f t="shared" si="7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IFERROR(VLOOKUP(B225,input_358104!L:R,7,FALSE),VLOOKUP(tables_358104!C225,input_358104!A:H,8,FALSE))</f>
        <v>0</v>
      </c>
      <c r="P225" s="46">
        <f ca="1">O225/SUM(O:O)</f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input_358104!A$2</f>
        <v>358104</v>
      </c>
      <c r="B226" s="6">
        <v>597</v>
      </c>
      <c r="C226" s="7" t="str">
        <f t="shared" si="6"/>
        <v>Premium4</v>
      </c>
      <c r="D226" s="7" t="str">
        <f t="shared" si="7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IFERROR(VLOOKUP(B226,input_358104!L:R,7,FALSE),VLOOKUP(tables_358104!C226,input_358104!A:H,8,FALSE))</f>
        <v>69456.399999999994</v>
      </c>
      <c r="P226" s="46">
        <f ca="1">O226/SUM(O:O)</f>
        <v>1.1716666666666665E-2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input_358104!A$2</f>
        <v>358104</v>
      </c>
      <c r="B227" s="6">
        <v>598</v>
      </c>
      <c r="C227" s="7" t="str">
        <f t="shared" si="6"/>
        <v>Premium5</v>
      </c>
      <c r="D227" s="7" t="str">
        <f t="shared" si="7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IFERROR(VLOOKUP(B227,input_358104!L:R,7,FALSE),VLOOKUP(tables_358104!C227,input_358104!A:H,8,FALSE))</f>
        <v>3655.6</v>
      </c>
      <c r="P227" s="46">
        <f ca="1">O227/SUM(O:O)</f>
        <v>6.1666666666666662E-4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input_358104!A$2</f>
        <v>358104</v>
      </c>
      <c r="B228" s="6">
        <v>599</v>
      </c>
      <c r="C228" s="7" t="str">
        <f t="shared" si="6"/>
        <v>Premium3</v>
      </c>
      <c r="D228" s="7" t="str">
        <f t="shared" si="7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IFERROR(VLOOKUP(B228,input_358104!L:R,7,FALSE),VLOOKUP(tables_358104!C228,input_358104!A:H,8,FALSE))</f>
        <v>0</v>
      </c>
      <c r="P228" s="46">
        <f ca="1">O228/SUM(O:O)</f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input_358104!A$2</f>
        <v>358104</v>
      </c>
      <c r="B229" s="6">
        <v>600</v>
      </c>
      <c r="C229" s="7" t="str">
        <f t="shared" si="6"/>
        <v>Premium4</v>
      </c>
      <c r="D229" s="7" t="str">
        <f t="shared" si="7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IFERROR(VLOOKUP(B229,input_358104!L:R,7,FALSE),VLOOKUP(tables_358104!C229,input_358104!A:H,8,FALSE))</f>
        <v>69456.399999999994</v>
      </c>
      <c r="P229" s="46">
        <f ca="1">O229/SUM(O:O)</f>
        <v>1.1716666666666665E-2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input_358104!A$2</f>
        <v>358104</v>
      </c>
      <c r="B230" s="6">
        <v>601</v>
      </c>
      <c r="C230" s="7" t="str">
        <f t="shared" si="6"/>
        <v>Premium5</v>
      </c>
      <c r="D230" s="7" t="str">
        <f t="shared" si="7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IFERROR(VLOOKUP(B230,input_358104!L:R,7,FALSE),VLOOKUP(tables_358104!C230,input_358104!A:H,8,FALSE))</f>
        <v>3655.6</v>
      </c>
      <c r="P230" s="46">
        <f ca="1">O230/SUM(O:O)</f>
        <v>6.1666666666666662E-4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input_358104!A$2</f>
        <v>358104</v>
      </c>
      <c r="B231" s="6">
        <v>602</v>
      </c>
      <c r="C231" s="7" t="str">
        <f t="shared" si="6"/>
        <v>PremiumSS4</v>
      </c>
      <c r="D231" s="7" t="str">
        <f t="shared" si="7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IFERROR(VLOOKUP(B231,input_358104!L:R,7,FALSE),VLOOKUP(tables_358104!C231,input_358104!A:H,8,FALSE))</f>
        <v>4446</v>
      </c>
      <c r="P231" s="46">
        <f ca="1">O231/SUM(O:O)</f>
        <v>7.5000000000000002E-4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input_358104!A$2</f>
        <v>358104</v>
      </c>
      <c r="B232" s="6">
        <v>603</v>
      </c>
      <c r="C232" s="7" t="str">
        <f t="shared" si="6"/>
        <v>PremiumSS5</v>
      </c>
      <c r="D232" s="7" t="str">
        <f t="shared" si="7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IFERROR(VLOOKUP(B232,input_358104!L:R,7,FALSE),VLOOKUP(tables_358104!C232,input_358104!A:H,8,FALSE))</f>
        <v>234</v>
      </c>
      <c r="P232" s="46">
        <f ca="1">O232/SUM(O:O)</f>
        <v>3.9473684210526316E-5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input_358104!A$2</f>
        <v>358104</v>
      </c>
      <c r="B233" s="6">
        <v>604</v>
      </c>
      <c r="C233" s="7" t="str">
        <f t="shared" si="6"/>
        <v>Premium3</v>
      </c>
      <c r="D233" s="7" t="str">
        <f t="shared" si="7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IFERROR(VLOOKUP(B233,input_358104!L:R,7,FALSE),VLOOKUP(tables_358104!C233,input_358104!A:H,8,FALSE))</f>
        <v>0</v>
      </c>
      <c r="P233" s="46">
        <f ca="1">O233/SUM(O:O)</f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input_358104!A$2</f>
        <v>358104</v>
      </c>
      <c r="B234" s="6">
        <v>605</v>
      </c>
      <c r="C234" s="7" t="str">
        <f t="shared" si="6"/>
        <v>Premium4</v>
      </c>
      <c r="D234" s="7" t="str">
        <f t="shared" si="7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IFERROR(VLOOKUP(B234,input_358104!L:R,7,FALSE),VLOOKUP(tables_358104!C234,input_358104!A:H,8,FALSE))</f>
        <v>69456.399999999994</v>
      </c>
      <c r="P234" s="46">
        <f ca="1">O234/SUM(O:O)</f>
        <v>1.1716666666666665E-2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input_358104!A$2</f>
        <v>358104</v>
      </c>
      <c r="B235" s="6">
        <v>606</v>
      </c>
      <c r="C235" s="7" t="str">
        <f t="shared" si="6"/>
        <v>Premium5</v>
      </c>
      <c r="D235" s="7" t="str">
        <f t="shared" si="7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IFERROR(VLOOKUP(B235,input_358104!L:R,7,FALSE),VLOOKUP(tables_358104!C235,input_358104!A:H,8,FALSE))</f>
        <v>3655.6</v>
      </c>
      <c r="P235" s="46">
        <f ca="1">O235/SUM(O:O)</f>
        <v>6.1666666666666662E-4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input_358104!A$2</f>
        <v>358104</v>
      </c>
      <c r="B236" s="6">
        <v>658</v>
      </c>
      <c r="C236" s="7" t="str">
        <f t="shared" si="6"/>
        <v>PremiumSS4</v>
      </c>
      <c r="D236" s="7" t="str">
        <f t="shared" si="7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IFERROR(VLOOKUP(B236,input_358104!L:R,7,FALSE),VLOOKUP(tables_358104!C236,input_358104!A:H,8,FALSE))</f>
        <v>4446</v>
      </c>
      <c r="P236" s="46">
        <f ca="1">O236/SUM(O:O)</f>
        <v>7.5000000000000002E-4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input_358104!A$2</f>
        <v>358104</v>
      </c>
      <c r="B237" s="6">
        <v>659</v>
      </c>
      <c r="C237" s="7" t="str">
        <f t="shared" si="6"/>
        <v>PremiumSS5</v>
      </c>
      <c r="D237" s="7" t="str">
        <f t="shared" si="7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IFERROR(VLOOKUP(B237,input_358104!L:R,7,FALSE),VLOOKUP(tables_358104!C237,input_358104!A:H,8,FALSE))</f>
        <v>234</v>
      </c>
      <c r="P237" s="46">
        <f ca="1">O237/SUM(O:O)</f>
        <v>3.9473684210526316E-5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input_358104!A$2</f>
        <v>358104</v>
      </c>
      <c r="B238" s="6">
        <v>660</v>
      </c>
      <c r="C238" s="7" t="str">
        <f t="shared" si="6"/>
        <v>PremiumSS4</v>
      </c>
      <c r="D238" s="7" t="str">
        <f t="shared" si="7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IFERROR(VLOOKUP(B238,input_358104!L:R,7,FALSE),VLOOKUP(tables_358104!C238,input_358104!A:H,8,FALSE))</f>
        <v>4446</v>
      </c>
      <c r="P238" s="46">
        <f ca="1">O238/SUM(O:O)</f>
        <v>7.5000000000000002E-4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input_358104!A$2</f>
        <v>358104</v>
      </c>
      <c r="B239" s="6">
        <v>661</v>
      </c>
      <c r="C239" s="7" t="str">
        <f t="shared" si="6"/>
        <v>PremiumSS5</v>
      </c>
      <c r="D239" s="7" t="str">
        <f t="shared" si="7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IFERROR(VLOOKUP(B239,input_358104!L:R,7,FALSE),VLOOKUP(tables_358104!C239,input_358104!A:H,8,FALSE))</f>
        <v>234</v>
      </c>
      <c r="P239" s="46">
        <f ca="1">O239/SUM(O:O)</f>
        <v>3.9473684210526316E-5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input_358104!A$2</f>
        <v>358104</v>
      </c>
      <c r="B240" s="6">
        <v>662</v>
      </c>
      <c r="C240" s="7" t="str">
        <f t="shared" si="6"/>
        <v>Premium3</v>
      </c>
      <c r="D240" s="7" t="str">
        <f t="shared" si="7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IFERROR(VLOOKUP(B240,input_358104!L:R,7,FALSE),VLOOKUP(tables_358104!C240,input_358104!A:H,8,FALSE))</f>
        <v>0</v>
      </c>
      <c r="P240" s="46">
        <f ca="1">O240/SUM(O:O)</f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input_358104!A$2</f>
        <v>358104</v>
      </c>
      <c r="B241" s="6">
        <v>663</v>
      </c>
      <c r="C241" s="7" t="str">
        <f t="shared" si="6"/>
        <v>Premium4</v>
      </c>
      <c r="D241" s="7" t="str">
        <f t="shared" si="7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IFERROR(VLOOKUP(B241,input_358104!L:R,7,FALSE),VLOOKUP(tables_358104!C241,input_358104!A:H,8,FALSE))</f>
        <v>69456.399999999994</v>
      </c>
      <c r="P241" s="46">
        <f ca="1">O241/SUM(O:O)</f>
        <v>1.1716666666666665E-2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input_358104!A$2</f>
        <v>358104</v>
      </c>
      <c r="B242" s="6">
        <v>664</v>
      </c>
      <c r="C242" s="7" t="str">
        <f t="shared" si="6"/>
        <v>Premium5</v>
      </c>
      <c r="D242" s="7" t="str">
        <f t="shared" si="7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IFERROR(VLOOKUP(B242,input_358104!L:R,7,FALSE),VLOOKUP(tables_358104!C242,input_358104!A:H,8,FALSE))</f>
        <v>3655.6</v>
      </c>
      <c r="P242" s="46">
        <f ca="1">O242/SUM(O:O)</f>
        <v>6.1666666666666662E-4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input_358104!A$2</f>
        <v>358104</v>
      </c>
      <c r="B243" s="6">
        <v>665</v>
      </c>
      <c r="C243" s="7" t="str">
        <f t="shared" si="6"/>
        <v>Premium3</v>
      </c>
      <c r="D243" s="7" t="str">
        <f t="shared" si="7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IFERROR(VLOOKUP(B243,input_358104!L:R,7,FALSE),VLOOKUP(tables_358104!C243,input_358104!A:H,8,FALSE))</f>
        <v>0</v>
      </c>
      <c r="P243" s="46">
        <f ca="1">O243/SUM(O:O)</f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input_358104!A$2</f>
        <v>358104</v>
      </c>
      <c r="B244" s="6">
        <v>666</v>
      </c>
      <c r="C244" s="7" t="str">
        <f t="shared" si="6"/>
        <v>Premium4</v>
      </c>
      <c r="D244" s="7" t="str">
        <f t="shared" si="7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IFERROR(VLOOKUP(B244,input_358104!L:R,7,FALSE),VLOOKUP(tables_358104!C244,input_358104!A:H,8,FALSE))</f>
        <v>69456.399999999994</v>
      </c>
      <c r="P244" s="46">
        <f ca="1">O244/SUM(O:O)</f>
        <v>1.1716666666666665E-2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input_358104!A$2</f>
        <v>358104</v>
      </c>
      <c r="B245" s="6">
        <v>667</v>
      </c>
      <c r="C245" s="7" t="str">
        <f t="shared" si="6"/>
        <v>Premium5</v>
      </c>
      <c r="D245" s="7" t="str">
        <f t="shared" si="7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IFERROR(VLOOKUP(B245,input_358104!L:R,7,FALSE),VLOOKUP(tables_358104!C245,input_358104!A:H,8,FALSE))</f>
        <v>3655.6</v>
      </c>
      <c r="P245" s="46">
        <f ca="1">O245/SUM(O:O)</f>
        <v>6.1666666666666662E-4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input_358104!A$2</f>
        <v>358104</v>
      </c>
      <c r="B246" s="60">
        <v>668</v>
      </c>
      <c r="C246" s="7" t="str">
        <f t="shared" si="6"/>
        <v>Premium3</v>
      </c>
      <c r="D246" s="7" t="str">
        <f t="shared" si="7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IFERROR(VLOOKUP(B246,input_358104!L:R,7,FALSE),VLOOKUP(tables_358104!C246,input_358104!A:H,8,FALSE))</f>
        <v>0</v>
      </c>
      <c r="P246" s="46">
        <f ca="1">O246/SUM(O:O)</f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input_358104!A$2</f>
        <v>358104</v>
      </c>
      <c r="B247" s="60">
        <v>669</v>
      </c>
      <c r="C247" s="7" t="str">
        <f t="shared" si="6"/>
        <v>Premium4</v>
      </c>
      <c r="D247" s="7" t="str">
        <f t="shared" si="7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IFERROR(VLOOKUP(B247,input_358104!L:R,7,FALSE),VLOOKUP(tables_358104!C247,input_358104!A:H,8,FALSE))</f>
        <v>69456.399999999994</v>
      </c>
      <c r="P247" s="46">
        <f ca="1">O247/SUM(O:O)</f>
        <v>1.1716666666666665E-2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input_358104!A$2</f>
        <v>358104</v>
      </c>
      <c r="B248" s="60">
        <v>670</v>
      </c>
      <c r="C248" s="7" t="str">
        <f t="shared" si="6"/>
        <v>Premium5</v>
      </c>
      <c r="D248" s="7" t="str">
        <f t="shared" si="7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IFERROR(VLOOKUP(B248,input_358104!L:R,7,FALSE),VLOOKUP(tables_358104!C248,input_358104!A:H,8,FALSE))</f>
        <v>3655.6</v>
      </c>
      <c r="P248" s="46">
        <f ca="1">O248/SUM(O:O)</f>
        <v>6.1666666666666662E-4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input_358104!A$2</f>
        <v>358104</v>
      </c>
      <c r="B249" s="60">
        <v>671</v>
      </c>
      <c r="C249" s="7" t="str">
        <f t="shared" si="6"/>
        <v>Premium3</v>
      </c>
      <c r="D249" s="7" t="str">
        <f t="shared" si="7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IFERROR(VLOOKUP(B249,input_358104!L:R,7,FALSE),VLOOKUP(tables_358104!C249,input_358104!A:H,8,FALSE))</f>
        <v>0</v>
      </c>
      <c r="P249" s="46">
        <f ca="1">O249/SUM(O:O)</f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input_358104!A$2</f>
        <v>358104</v>
      </c>
      <c r="B250" s="60">
        <v>672</v>
      </c>
      <c r="C250" s="7" t="str">
        <f t="shared" si="6"/>
        <v>Premium4</v>
      </c>
      <c r="D250" s="7" t="str">
        <f t="shared" si="7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IFERROR(VLOOKUP(B250,input_358104!L:R,7,FALSE),VLOOKUP(tables_358104!C250,input_358104!A:H,8,FALSE))</f>
        <v>69456.399999999994</v>
      </c>
      <c r="P250" s="46">
        <f ca="1">O250/SUM(O:O)</f>
        <v>1.1716666666666665E-2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input_358104!A$2</f>
        <v>358104</v>
      </c>
      <c r="B251" s="60">
        <v>673</v>
      </c>
      <c r="C251" s="7" t="str">
        <f t="shared" si="6"/>
        <v>Premium5</v>
      </c>
      <c r="D251" s="7" t="str">
        <f t="shared" si="7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IFERROR(VLOOKUP(B251,input_358104!L:R,7,FALSE),VLOOKUP(tables_358104!C251,input_358104!A:H,8,FALSE))</f>
        <v>3655.6</v>
      </c>
      <c r="P251" s="46">
        <f ca="1">O251/SUM(O:O)</f>
        <v>6.1666666666666662E-4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input_358104!A$2</f>
        <v>358104</v>
      </c>
      <c r="B252" s="60">
        <v>674</v>
      </c>
      <c r="C252" s="7" t="str">
        <f t="shared" si="6"/>
        <v>PremiumSS4</v>
      </c>
      <c r="D252" s="7" t="str">
        <f t="shared" si="7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IFERROR(VLOOKUP(B252,input_358104!L:R,7,FALSE),VLOOKUP(tables_358104!C252,input_358104!A:H,8,FALSE))</f>
        <v>4446</v>
      </c>
      <c r="P252" s="46">
        <f ca="1">O252/SUM(O:O)</f>
        <v>7.5000000000000002E-4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input_358104!A$2</f>
        <v>358104</v>
      </c>
      <c r="B253" s="60">
        <v>675</v>
      </c>
      <c r="C253" s="7" t="str">
        <f t="shared" si="6"/>
        <v>PremiumSS5</v>
      </c>
      <c r="D253" s="7" t="str">
        <f t="shared" si="7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IFERROR(VLOOKUP(B253,input_358104!L:R,7,FALSE),VLOOKUP(tables_358104!C253,input_358104!A:H,8,FALSE))</f>
        <v>234</v>
      </c>
      <c r="P253" s="46">
        <f ca="1">O253/SUM(O:O)</f>
        <v>3.9473684210526316E-5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input_358104!A$2</f>
        <v>358104</v>
      </c>
      <c r="B254" s="60">
        <v>676</v>
      </c>
      <c r="C254" s="7" t="str">
        <f t="shared" si="6"/>
        <v>PremiumSS4</v>
      </c>
      <c r="D254" s="7" t="str">
        <f t="shared" si="7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IFERROR(VLOOKUP(B254,input_358104!L:R,7,FALSE),VLOOKUP(tables_358104!C254,input_358104!A:H,8,FALSE))</f>
        <v>4446</v>
      </c>
      <c r="P254" s="46">
        <f ca="1">O254/SUM(O:O)</f>
        <v>7.5000000000000002E-4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input_358104!A$2</f>
        <v>358104</v>
      </c>
      <c r="B255" s="60">
        <v>677</v>
      </c>
      <c r="C255" s="7" t="str">
        <f t="shared" si="6"/>
        <v>PremiumSS5</v>
      </c>
      <c r="D255" s="7" t="str">
        <f t="shared" si="7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IFERROR(VLOOKUP(B255,input_358104!L:R,7,FALSE),VLOOKUP(tables_358104!C255,input_358104!A:H,8,FALSE))</f>
        <v>234</v>
      </c>
      <c r="P255" s="46">
        <f ca="1">O255/SUM(O:O)</f>
        <v>3.9473684210526316E-5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input_358104!A$2</f>
        <v>358104</v>
      </c>
      <c r="B256" s="60">
        <v>728</v>
      </c>
      <c r="C256" s="7" t="str">
        <f t="shared" si="6"/>
        <v>Premium4R3less</v>
      </c>
      <c r="D256" s="7" t="str">
        <f t="shared" si="7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IFERROR(VLOOKUP(B256,input_358104!L:R,7,FALSE),VLOOKUP(tables_358104!C256,input_358104!A:H,8,FALSE))</f>
        <v>61321.866670000003</v>
      </c>
      <c r="P256" s="46">
        <f ca="1">O256/SUM(O:O)</f>
        <v>1.0344444445006748E-2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input_358104!A$2</f>
        <v>358104</v>
      </c>
      <c r="B257" s="60">
        <v>729</v>
      </c>
      <c r="C257" s="7" t="str">
        <f t="shared" si="6"/>
        <v>Premium5R3less</v>
      </c>
      <c r="D257" s="7" t="str">
        <f t="shared" si="7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IFERROR(VLOOKUP(B257,input_358104!L:R,7,FALSE),VLOOKUP(tables_358104!C257,input_358104!A:H,8,FALSE))</f>
        <v>11790.133330000001</v>
      </c>
      <c r="P257" s="46">
        <f ca="1">O257/SUM(O:O)</f>
        <v>1.9888888883265858E-3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input_358104!A$2</f>
        <v>358104</v>
      </c>
      <c r="B258" s="60">
        <v>730</v>
      </c>
      <c r="C258" s="7" t="str">
        <f t="shared" ref="C258:C283" si="8">D258&amp;J258&amp;E258&amp;F258&amp;G258</f>
        <v>Premium4R3less</v>
      </c>
      <c r="D258" s="7" t="str">
        <f t="shared" ref="D258:D283" si="9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IFERROR(VLOOKUP(B258,input_358104!L:R,7,FALSE),VLOOKUP(tables_358104!C258,input_358104!A:H,8,FALSE))</f>
        <v>61321.866670000003</v>
      </c>
      <c r="P258" s="46">
        <f ca="1">O258/SUM(O:O)</f>
        <v>1.0344444445006748E-2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input_358104!A$2</f>
        <v>358104</v>
      </c>
      <c r="B259" s="60">
        <v>731</v>
      </c>
      <c r="C259" s="7" t="str">
        <f t="shared" si="8"/>
        <v>Premium5R3less</v>
      </c>
      <c r="D259" s="7" t="str">
        <f t="shared" si="9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IFERROR(VLOOKUP(B259,input_358104!L:R,7,FALSE),VLOOKUP(tables_358104!C259,input_358104!A:H,8,FALSE))</f>
        <v>11790.133330000001</v>
      </c>
      <c r="P259" s="46">
        <f ca="1">O259/SUM(O:O)</f>
        <v>1.9888888883265858E-3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input_358104!A$2</f>
        <v>358104</v>
      </c>
      <c r="B260" s="60">
        <v>732</v>
      </c>
      <c r="C260" s="7" t="str">
        <f t="shared" si="8"/>
        <v>PremiumSS5R5only</v>
      </c>
      <c r="D260" s="7" t="str">
        <f t="shared" si="9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IFERROR(VLOOKUP(B260,input_358104!L:R,7,FALSE),VLOOKUP(tables_358104!C260,input_358104!A:H,8,FALSE))</f>
        <v>4680</v>
      </c>
      <c r="P260" s="46">
        <f ca="1">O260/SUM(O:O)</f>
        <v>7.894736842105263E-4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input_358104!A$2</f>
        <v>358104</v>
      </c>
      <c r="B261" s="60">
        <v>734</v>
      </c>
      <c r="C261" s="7" t="str">
        <f t="shared" si="8"/>
        <v>PremiumSS5R5only</v>
      </c>
      <c r="D261" s="7" t="str">
        <f t="shared" si="9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IFERROR(VLOOKUP(B261,input_358104!L:R,7,FALSE),VLOOKUP(tables_358104!C261,input_358104!A:H,8,FALSE))</f>
        <v>4680</v>
      </c>
      <c r="P261" s="46">
        <f ca="1">O261/SUM(O:O)</f>
        <v>7.894736842105263E-4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input_358104!A$2</f>
        <v>358104</v>
      </c>
      <c r="B262" s="60">
        <v>770</v>
      </c>
      <c r="C262" s="7" t="str">
        <f t="shared" si="8"/>
        <v>PremiumSS4</v>
      </c>
      <c r="D262" s="7" t="str">
        <f t="shared" si="9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IFERROR(VLOOKUP(B262,input_358104!L:R,7,FALSE),VLOOKUP(tables_358104!C262,input_358104!A:H,8,FALSE))</f>
        <v>4446</v>
      </c>
      <c r="P262" s="46">
        <f ca="1">O262/SUM(O:O)</f>
        <v>7.5000000000000002E-4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input_358104!A$2</f>
        <v>358104</v>
      </c>
      <c r="B263" s="60">
        <v>771</v>
      </c>
      <c r="C263" s="7" t="str">
        <f t="shared" si="8"/>
        <v>PremiumSS5</v>
      </c>
      <c r="D263" s="7" t="str">
        <f t="shared" si="9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IFERROR(VLOOKUP(B263,input_358104!L:R,7,FALSE),VLOOKUP(tables_358104!C263,input_358104!A:H,8,FALSE))</f>
        <v>234</v>
      </c>
      <c r="P263" s="46">
        <f ca="1">O263/SUM(O:O)</f>
        <v>3.9473684210526316E-5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input_358104!A$2</f>
        <v>358104</v>
      </c>
      <c r="B264" s="60">
        <v>772</v>
      </c>
      <c r="C264" s="7" t="str">
        <f t="shared" si="8"/>
        <v>PremiumSS4</v>
      </c>
      <c r="D264" s="7" t="str">
        <f t="shared" si="9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IFERROR(VLOOKUP(B264,input_358104!L:R,7,FALSE),VLOOKUP(tables_358104!C264,input_358104!A:H,8,FALSE))</f>
        <v>4446</v>
      </c>
      <c r="P264" s="46">
        <f ca="1">O264/SUM(O:O)</f>
        <v>7.5000000000000002E-4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input_358104!A$2</f>
        <v>358104</v>
      </c>
      <c r="B265" s="60">
        <v>773</v>
      </c>
      <c r="C265" s="7" t="str">
        <f t="shared" si="8"/>
        <v>PremiumSS5</v>
      </c>
      <c r="D265" s="7" t="str">
        <f t="shared" si="9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IFERROR(VLOOKUP(B265,input_358104!L:R,7,FALSE),VLOOKUP(tables_358104!C265,input_358104!A:H,8,FALSE))</f>
        <v>234</v>
      </c>
      <c r="P265" s="46">
        <f ca="1">O265/SUM(O:O)</f>
        <v>3.9473684210526316E-5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input_358104!A$2</f>
        <v>358104</v>
      </c>
      <c r="B266" s="60">
        <v>774</v>
      </c>
      <c r="C266" s="7" t="str">
        <f t="shared" si="8"/>
        <v>Premium3</v>
      </c>
      <c r="D266" s="7" t="str">
        <f t="shared" si="9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IFERROR(VLOOKUP(B266,input_358104!L:R,7,FALSE),VLOOKUP(tables_358104!C266,input_358104!A:H,8,FALSE))</f>
        <v>0</v>
      </c>
      <c r="P266" s="46">
        <f ca="1">O266/SUM(O:O)</f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input_358104!A$2</f>
        <v>358104</v>
      </c>
      <c r="B267" s="60">
        <v>775</v>
      </c>
      <c r="C267" s="7" t="str">
        <f t="shared" si="8"/>
        <v>Premium4</v>
      </c>
      <c r="D267" s="7" t="str">
        <f t="shared" si="9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IFERROR(VLOOKUP(B267,input_358104!L:R,7,FALSE),VLOOKUP(tables_358104!C267,input_358104!A:H,8,FALSE))</f>
        <v>69456.399999999994</v>
      </c>
      <c r="P267" s="46">
        <f ca="1">O267/SUM(O:O)</f>
        <v>1.1716666666666665E-2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input_358104!A$2</f>
        <v>358104</v>
      </c>
      <c r="B268" s="60">
        <v>776</v>
      </c>
      <c r="C268" s="7" t="str">
        <f t="shared" si="8"/>
        <v>Premium5</v>
      </c>
      <c r="D268" s="7" t="str">
        <f t="shared" si="9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IFERROR(VLOOKUP(B268,input_358104!L:R,7,FALSE),VLOOKUP(tables_358104!C268,input_358104!A:H,8,FALSE))</f>
        <v>3655.6</v>
      </c>
      <c r="P268" s="46">
        <f ca="1">O268/SUM(O:O)</f>
        <v>6.1666666666666662E-4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input_358104!A$2</f>
        <v>358104</v>
      </c>
      <c r="B269" s="60">
        <v>777</v>
      </c>
      <c r="C269" s="7" t="str">
        <f t="shared" si="8"/>
        <v>Premium3</v>
      </c>
      <c r="D269" s="7" t="str">
        <f t="shared" si="9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IFERROR(VLOOKUP(B269,input_358104!L:R,7,FALSE),VLOOKUP(tables_358104!C269,input_358104!A:H,8,FALSE))</f>
        <v>0</v>
      </c>
      <c r="P269" s="46">
        <f ca="1">O269/SUM(O:O)</f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input_358104!A$2</f>
        <v>358104</v>
      </c>
      <c r="B270" s="60">
        <v>778</v>
      </c>
      <c r="C270" s="7" t="str">
        <f t="shared" si="8"/>
        <v>Premium4</v>
      </c>
      <c r="D270" s="7" t="str">
        <f t="shared" si="9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IFERROR(VLOOKUP(B270,input_358104!L:R,7,FALSE),VLOOKUP(tables_358104!C270,input_358104!A:H,8,FALSE))</f>
        <v>69456.399999999994</v>
      </c>
      <c r="P270" s="46">
        <f ca="1">O270/SUM(O:O)</f>
        <v>1.1716666666666665E-2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input_358104!A$2</f>
        <v>358104</v>
      </c>
      <c r="B271" s="60">
        <v>779</v>
      </c>
      <c r="C271" s="7" t="str">
        <f t="shared" si="8"/>
        <v>Premium5</v>
      </c>
      <c r="D271" s="7" t="str">
        <f t="shared" si="9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IFERROR(VLOOKUP(B271,input_358104!L:R,7,FALSE),VLOOKUP(tables_358104!C271,input_358104!A:H,8,FALSE))</f>
        <v>3655.6</v>
      </c>
      <c r="P271" s="46">
        <f ca="1">O271/SUM(O:O)</f>
        <v>6.1666666666666662E-4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input_358104!A$2</f>
        <v>358104</v>
      </c>
      <c r="B272" s="83">
        <v>848</v>
      </c>
      <c r="C272" s="7" t="str">
        <f t="shared" si="8"/>
        <v>PremiumSS5R5only</v>
      </c>
      <c r="D272" s="7" t="str">
        <f t="shared" si="9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IFERROR(VLOOKUP(B272,input_358104!L:R,7,FALSE),VLOOKUP(tables_358104!C272,input_358104!A:H,8,FALSE))</f>
        <v>4680</v>
      </c>
      <c r="P272" s="46">
        <f ca="1">O272/SUM(O:O)</f>
        <v>7.894736842105263E-4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input_358104!A$2</f>
        <v>358104</v>
      </c>
      <c r="B273" s="83">
        <v>850</v>
      </c>
      <c r="C273" s="7" t="str">
        <f t="shared" si="8"/>
        <v>PremiumSS5R5only</v>
      </c>
      <c r="D273" s="7" t="str">
        <f t="shared" si="9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IFERROR(VLOOKUP(B273,input_358104!L:R,7,FALSE),VLOOKUP(tables_358104!C273,input_358104!A:H,8,FALSE))</f>
        <v>4680</v>
      </c>
      <c r="P273" s="46">
        <f ca="1">O273/SUM(O:O)</f>
        <v>7.894736842105263E-4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input_358104!A$2</f>
        <v>358104</v>
      </c>
      <c r="B274" s="83">
        <v>852</v>
      </c>
      <c r="C274" s="7" t="str">
        <f t="shared" si="8"/>
        <v>Premium4R3less</v>
      </c>
      <c r="D274" s="7" t="str">
        <f t="shared" si="9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IFERROR(VLOOKUP(B274,input_358104!L:R,7,FALSE),VLOOKUP(tables_358104!C274,input_358104!A:H,8,FALSE))</f>
        <v>61321.866670000003</v>
      </c>
      <c r="P274" s="46">
        <f ca="1">O274/SUM(O:O)</f>
        <v>1.0344444445006748E-2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input_358104!A$2</f>
        <v>358104</v>
      </c>
      <c r="B275" s="83">
        <v>853</v>
      </c>
      <c r="C275" s="7" t="str">
        <f t="shared" si="8"/>
        <v>Premium5R3less</v>
      </c>
      <c r="D275" s="7" t="str">
        <f t="shared" si="9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IFERROR(VLOOKUP(B275,input_358104!L:R,7,FALSE),VLOOKUP(tables_358104!C275,input_358104!A:H,8,FALSE))</f>
        <v>11790.133330000001</v>
      </c>
      <c r="P275" s="46">
        <f ca="1">O275/SUM(O:O)</f>
        <v>1.9888888883265858E-3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input_358104!A$2</f>
        <v>358104</v>
      </c>
      <c r="B276" s="83">
        <v>854</v>
      </c>
      <c r="C276" s="7" t="str">
        <f t="shared" si="8"/>
        <v>Premium4R3less</v>
      </c>
      <c r="D276" s="7" t="str">
        <f t="shared" si="9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IFERROR(VLOOKUP(B276,input_358104!L:R,7,FALSE),VLOOKUP(tables_358104!C276,input_358104!A:H,8,FALSE))</f>
        <v>61321.866670000003</v>
      </c>
      <c r="P276" s="46">
        <f ca="1">O276/SUM(O:O)</f>
        <v>1.0344444445006748E-2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input_358104!A$2</f>
        <v>358104</v>
      </c>
      <c r="B277" s="83">
        <v>855</v>
      </c>
      <c r="C277" s="7" t="str">
        <f t="shared" si="8"/>
        <v>Premium5R3less</v>
      </c>
      <c r="D277" s="7" t="str">
        <f t="shared" si="9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IFERROR(VLOOKUP(B277,input_358104!L:R,7,FALSE),VLOOKUP(tables_358104!C277,input_358104!A:H,8,FALSE))</f>
        <v>11790.133330000001</v>
      </c>
      <c r="P277" s="46">
        <f ca="1">O277/SUM(O:O)</f>
        <v>1.9888888883265858E-3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input_358104!A$2</f>
        <v>358104</v>
      </c>
      <c r="B278" s="83">
        <v>862</v>
      </c>
      <c r="C278" s="7" t="str">
        <f t="shared" si="8"/>
        <v>Premium4R3less</v>
      </c>
      <c r="D278" s="7" t="str">
        <f t="shared" si="9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IFERROR(VLOOKUP(B278,input_358104!L:R,7,FALSE),VLOOKUP(tables_358104!C278,input_358104!A:H,8,FALSE))</f>
        <v>61321.866670000003</v>
      </c>
      <c r="P278" s="46">
        <f ca="1">O278/SUM(O:O)</f>
        <v>1.0344444445006748E-2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input_358104!A$2</f>
        <v>358104</v>
      </c>
      <c r="B279" s="83">
        <v>863</v>
      </c>
      <c r="C279" s="7" t="str">
        <f t="shared" si="8"/>
        <v>Premium5R3less</v>
      </c>
      <c r="D279" s="7" t="str">
        <f t="shared" si="9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IFERROR(VLOOKUP(B279,input_358104!L:R,7,FALSE),VLOOKUP(tables_358104!C279,input_358104!A:H,8,FALSE))</f>
        <v>11790.133330000001</v>
      </c>
      <c r="P279" s="46">
        <f ca="1">O279/SUM(O:O)</f>
        <v>1.9888888883265858E-3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input_358104!A$2</f>
        <v>358104</v>
      </c>
      <c r="B280" s="83">
        <v>864</v>
      </c>
      <c r="C280" s="7" t="str">
        <f t="shared" si="8"/>
        <v>Premium4R3less</v>
      </c>
      <c r="D280" s="7" t="str">
        <f t="shared" si="9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IFERROR(VLOOKUP(B280,input_358104!L:R,7,FALSE),VLOOKUP(tables_358104!C280,input_358104!A:H,8,FALSE))</f>
        <v>61321.866670000003</v>
      </c>
      <c r="P280" s="46">
        <f ca="1">O280/SUM(O:O)</f>
        <v>1.0344444445006748E-2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input_358104!A$2</f>
        <v>358104</v>
      </c>
      <c r="B281" s="83">
        <v>865</v>
      </c>
      <c r="C281" s="7" t="str">
        <f t="shared" si="8"/>
        <v>Premium5R3less</v>
      </c>
      <c r="D281" s="7" t="str">
        <f t="shared" si="9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IFERROR(VLOOKUP(B281,input_358104!L:R,7,FALSE),VLOOKUP(tables_358104!C281,input_358104!A:H,8,FALSE))</f>
        <v>11790.133330000001</v>
      </c>
      <c r="P281" s="46">
        <f ca="1">O281/SUM(O:O)</f>
        <v>1.9888888883265858E-3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input_358104!A$2</f>
        <v>358104</v>
      </c>
      <c r="B282" s="83">
        <v>866</v>
      </c>
      <c r="C282" s="7" t="str">
        <f t="shared" si="8"/>
        <v>PremiumSS5R5only</v>
      </c>
      <c r="D282" s="7" t="str">
        <f t="shared" si="9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IFERROR(VLOOKUP(B282,input_358104!L:R,7,FALSE),VLOOKUP(tables_358104!C282,input_358104!A:H,8,FALSE))</f>
        <v>4680</v>
      </c>
      <c r="P282" s="46">
        <f ca="1">O282/SUM(O:O)</f>
        <v>7.894736842105263E-4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input_358104!A$2</f>
        <v>358104</v>
      </c>
      <c r="B283" s="83">
        <v>868</v>
      </c>
      <c r="C283" s="7" t="str">
        <f t="shared" si="8"/>
        <v>PremiumSS5R5only</v>
      </c>
      <c r="D283" s="7" t="str">
        <f t="shared" si="9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IFERROR(VLOOKUP(B283,input_358104!L:R,7,FALSE),VLOOKUP(tables_358104!C283,input_358104!A:H,8,FALSE))</f>
        <v>4680</v>
      </c>
      <c r="P283" s="46">
        <f ca="1">O283/SUM(O:O)</f>
        <v>7.894736842105263E-4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input_358104!A$2</f>
        <v>358104</v>
      </c>
      <c r="B284" s="83">
        <v>623</v>
      </c>
      <c r="C284" s="7" t="str">
        <f t="shared" ref="C284" si="10">D284&amp;J284&amp;E284&amp;F284&amp;G284</f>
        <v>PremiumSSS5R3less</v>
      </c>
      <c r="D284" s="7" t="str">
        <f t="shared" ref="D284" si="11">IF(I284="PremiumSS",I284,IF(I284="PremiumSSS",I284,IF(I284="PremiumW",I284,"Premium")))</f>
        <v>PremiumSSS</v>
      </c>
      <c r="E284" s="7" t="str">
        <f>IF(COUNTIF('R6追加前'!A:A,B284)=0,IF(I284="PremiumSS","R5only","R3less"),"")</f>
        <v>R3less</v>
      </c>
      <c r="F284" s="7" t="str">
        <f>IF(COUNTIF('R6開放'!A:A,B284)&gt;0,"R6release","")</f>
        <v/>
      </c>
      <c r="G284" s="7"/>
      <c r="H284" s="7" t="str">
        <f>VLOOKUP(B284,[1]characters!$A:$C,3,FALSE)</f>
        <v>未踏の轍跡 フェルマー</v>
      </c>
      <c r="I284" s="7" t="str">
        <f>VLOOKUP(B284,[1]characters!$A:$J,10,FALSE)</f>
        <v>PremiumSSS</v>
      </c>
      <c r="J284" s="7">
        <f>VLOOKUP(B284,[1]characters!$A:$I,9,FALSE)</f>
        <v>5</v>
      </c>
      <c r="K284" s="7" t="str">
        <f>VLOOKUP(B284,[1]characters!$A:$H,8,FALSE)</f>
        <v>yellow</v>
      </c>
      <c r="L284" s="7" t="str">
        <f>VLOOKUP(B284,[1]characters!$A:$K,11,FALSE)</f>
        <v>attack</v>
      </c>
      <c r="M284" s="7" t="str">
        <f>VLOOKUP(B284,[1]characters!$A:$M,13,FALSE)</f>
        <v>academia</v>
      </c>
      <c r="N284" s="7" t="str">
        <f>VLOOKUP(B284,[1]characters!$A:$G,7,FALSE)</f>
        <v>女性</v>
      </c>
      <c r="O284" s="45">
        <f ca="1">IFERROR(VLOOKUP(B284,input_358104!L:R,7,FALSE),VLOOKUP(tables_358104!C284,input_358104!A:H,8,FALSE))</f>
        <v>47424</v>
      </c>
      <c r="P284" s="46">
        <f ca="1">O284/SUM(O:O)</f>
        <v>8.0000000000000002E-3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</sheetData>
  <autoFilter ref="A1:V283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theme="5"/>
  </sheetPr>
  <dimension ref="A1:V48"/>
  <sheetViews>
    <sheetView topLeftCell="A3" workbookViewId="0">
      <selection activeCell="B32" sqref="B32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358105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VLOOKUP(L3,tables_358105!B:C,2,FALSE)</f>
        <v>#N/A</v>
      </c>
      <c r="R3" s="62">
        <f t="shared" ref="R3:R20" si="1">N3*A$36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VLOOKUP(L4,tables_358105!B:C,2,FALSE)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(B11-H5)/(F5-I5)</f>
        <v>7.894736842105263E-4</v>
      </c>
      <c r="F5">
        <f>(COUNTIF(tables_358105!C:C,input_358105!A26)+COUNTIF(tables_358105!C:C,input_358105!A28)+COUNTIF(tables_358105!C:C,input_358105!A29))</f>
        <v>38</v>
      </c>
      <c r="H5" s="86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VLOOKUP(L5,tables_358105!B:C,2,FALSE)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208</v>
      </c>
      <c r="E6" s="77">
        <f>(B10-H6)/(F6-I6)</f>
        <v>1.2282051282051282E-2</v>
      </c>
      <c r="F6">
        <f>(COUNTIF(tables_358105!C:C,input_358105!A18)+COUNTIF(tables_358105!C:C,input_358105!A20)+COUNTIF(tables_358105!C:C,input_358105!A22))</f>
        <v>78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VLOOKUP(L6,tables_358105!B:C,2,FALSE)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VLOOKUP(L7,tables_358105!B:C,2,FALSE)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E8" s="77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VLOOKUP(L8,tables_358105!B:C,2,FALSE)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VLOOKUP(L9,tables_358105!B:C,2,FALSE)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0.95799999999999996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VLOOKUP(L10,tables_358105!B:C,2,FALSE)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79">
        <v>0.03</v>
      </c>
      <c r="C11" t="s">
        <v>221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VLOOKUP(L11,tables_358105!B:C,2,FALSE)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1.2E-2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VLOOKUP(L12,tables_358105!B:C,2,FALSE)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VLOOKUP(L13,tables_358105!B:C,2,FALSE)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VLOOKUP(L14,tables_358105!B:C,2,FALSE)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VLOOKUP(L15,tables_358105!B:C,2,FALSE)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VLOOKUP(L16,tables_358105!B:C,2,FALSE)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4">
        <f>B$5-B19-B24</f>
        <v>0</v>
      </c>
      <c r="C17" s="87">
        <f t="shared" ref="C17:C31" si="2">SUMIF(Q:Q,A17,N:N)</f>
        <v>0</v>
      </c>
      <c r="D17" s="75">
        <f t="shared" ref="D17:D32" si="3">B17-C17</f>
        <v>0</v>
      </c>
      <c r="E17">
        <f>COUNTIF(tables_358105!C:C,input_358105!A17)-COUNTIF(Q:Q,A17)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VLOOKUP(L17,tables_358105!B:C,2,FALSE)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E$6*E18-B17</f>
        <v>0.24564102564102563</v>
      </c>
      <c r="C18" s="87">
        <f t="shared" si="2"/>
        <v>0</v>
      </c>
      <c r="D18" s="75">
        <f t="shared" si="3"/>
        <v>0.24564102564102563</v>
      </c>
      <c r="E18">
        <f>COUNTIF(tables_358105!C:C,input_358105!A18)-COUNTIF(Q:Q,A18)</f>
        <v>20</v>
      </c>
      <c r="F18" s="43">
        <f>IFERROR(B18/E18,0)</f>
        <v>1.2282051282051282E-2</v>
      </c>
      <c r="G18">
        <f t="shared" si="4"/>
        <v>1456160</v>
      </c>
      <c r="H18">
        <f t="shared" si="5"/>
        <v>72808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VLOOKUP(L18,tables_358105!B:C,2,FALSE)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E$6*E19*B$5</f>
        <v>0</v>
      </c>
      <c r="C19" s="87">
        <f t="shared" si="2"/>
        <v>0</v>
      </c>
      <c r="D19" s="75">
        <f t="shared" si="3"/>
        <v>0</v>
      </c>
      <c r="E19">
        <f>COUNTIF(tables_358105!C:C,input_358105!A19)-COUNTIF(Q:Q,A19)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VLOOKUP(L19,tables_358105!B:C,2,FALSE)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E$6*E20*B$6</f>
        <v>0.60673333333333335</v>
      </c>
      <c r="C20" s="87">
        <f t="shared" si="2"/>
        <v>0</v>
      </c>
      <c r="D20" s="75">
        <f t="shared" si="3"/>
        <v>0.60673333333333335</v>
      </c>
      <c r="E20">
        <f>COUNTIF(tables_358105!C:C,input_358105!A20)-COUNTIF(Q:Q,A20)</f>
        <v>52</v>
      </c>
      <c r="F20" s="43">
        <f t="shared" si="8"/>
        <v>1.1667948717948719E-2</v>
      </c>
      <c r="G20">
        <f t="shared" si="4"/>
        <v>3596715.2</v>
      </c>
      <c r="H20">
        <f t="shared" si="5"/>
        <v>69167.600000000006</v>
      </c>
      <c r="I20">
        <f t="shared" si="6"/>
        <v>0.60000000000582077</v>
      </c>
      <c r="J20">
        <f t="shared" si="7"/>
        <v>1.6666666666504979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VLOOKUP(L20,tables_358105!B:C,2,FALSE)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E$6*E21*B$7</f>
        <v>3.1933333333333334E-2</v>
      </c>
      <c r="C21" s="87">
        <f t="shared" si="2"/>
        <v>0</v>
      </c>
      <c r="D21" s="75">
        <f t="shared" si="3"/>
        <v>3.1933333333333334E-2</v>
      </c>
      <c r="E21">
        <f>COUNTIF(tables_358105!C:C,input_358105!A21)-COUNTIF(Q:Q,A21)</f>
        <v>52</v>
      </c>
      <c r="F21" s="43">
        <f t="shared" si="8"/>
        <v>6.1410256410256408E-4</v>
      </c>
      <c r="G21">
        <f t="shared" si="4"/>
        <v>189300.80000000002</v>
      </c>
      <c r="H21">
        <f t="shared" si="5"/>
        <v>3640.4</v>
      </c>
      <c r="I21">
        <f t="shared" si="6"/>
        <v>0.40000000000009095</v>
      </c>
      <c r="J21">
        <f t="shared" si="7"/>
        <v>2.4999999999994316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E$6*E22-B23</f>
        <v>6.1625641025641026E-2</v>
      </c>
      <c r="C22" s="87">
        <f t="shared" si="2"/>
        <v>0</v>
      </c>
      <c r="D22" s="75">
        <f t="shared" si="3"/>
        <v>6.1625641025641026E-2</v>
      </c>
      <c r="E22">
        <f>COUNTIF(tables_358105!C:C,input_358105!A22)-COUNTIF(Q:Q,A22)</f>
        <v>6</v>
      </c>
      <c r="F22" s="43">
        <f t="shared" si="8"/>
        <v>1.0270940170940171E-2</v>
      </c>
      <c r="G22">
        <f t="shared" si="4"/>
        <v>365316.8</v>
      </c>
      <c r="H22">
        <f t="shared" si="5"/>
        <v>60886.133329999997</v>
      </c>
      <c r="I22">
        <f t="shared" si="6"/>
        <v>0.13332999999693129</v>
      </c>
      <c r="J22">
        <f t="shared" si="7"/>
        <v>7.5001875048602402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B$7-B26-B28-B29-B21</f>
        <v>1.206666666666667E-2</v>
      </c>
      <c r="C23" s="87">
        <f t="shared" si="2"/>
        <v>0</v>
      </c>
      <c r="D23" s="75">
        <f t="shared" si="3"/>
        <v>1.206666666666667E-2</v>
      </c>
      <c r="E23">
        <f>COUNTIF(tables_358105!C:C,input_358105!A23)-COUNTIF(Q:Q,A23)</f>
        <v>6</v>
      </c>
      <c r="F23" s="43">
        <f t="shared" si="8"/>
        <v>2.0111111111111115E-3</v>
      </c>
      <c r="G23">
        <f t="shared" si="4"/>
        <v>71531.200000000026</v>
      </c>
      <c r="H23">
        <f t="shared" si="5"/>
        <v>11921.866669999999</v>
      </c>
      <c r="I23">
        <f t="shared" si="6"/>
        <v>0.86666999999943073</v>
      </c>
      <c r="J23">
        <f t="shared" si="7"/>
        <v>1.1538417159941579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E$5*E24*B$5</f>
        <v>0</v>
      </c>
      <c r="C24" s="87">
        <f t="shared" si="2"/>
        <v>0</v>
      </c>
      <c r="D24" s="75">
        <f t="shared" si="3"/>
        <v>0</v>
      </c>
      <c r="E24">
        <f>COUNTIF(tables_358105!C:C,input_358105!A24)-COUNTIF(Q:Q,A24)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E$5*B$6*E25</f>
        <v>2.9999999999999996E-3</v>
      </c>
      <c r="C25" s="87">
        <f t="shared" si="2"/>
        <v>0</v>
      </c>
      <c r="D25" s="75">
        <f t="shared" si="3"/>
        <v>2.9999999999999996E-3</v>
      </c>
      <c r="E25">
        <f>COUNTIF(tables_358105!C:C,input_358105!A25)-COUNTIF(Q:Q,A25)</f>
        <v>4</v>
      </c>
      <c r="F25" s="43">
        <f t="shared" si="8"/>
        <v>7.4999999999999991E-4</v>
      </c>
      <c r="G25">
        <f t="shared" si="4"/>
        <v>17783.999999999996</v>
      </c>
      <c r="H25">
        <f t="shared" si="5"/>
        <v>4446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E$5*B$7*E26</f>
        <v>1.5789473684210527E-4</v>
      </c>
      <c r="C26" s="87">
        <f t="shared" si="2"/>
        <v>0</v>
      </c>
      <c r="D26" s="75">
        <f t="shared" si="3"/>
        <v>1.5789473684210527E-4</v>
      </c>
      <c r="E26">
        <f>COUNTIF(tables_358105!C:C,input_358105!A26)-COUNTIF(Q:Q,A26)</f>
        <v>4</v>
      </c>
      <c r="F26" s="43">
        <f t="shared" si="8"/>
        <v>3.9473684210526316E-5</v>
      </c>
      <c r="G26">
        <f t="shared" si="4"/>
        <v>936</v>
      </c>
      <c r="H26">
        <f t="shared" si="5"/>
        <v>234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2.0999999999999998E-2</v>
      </c>
      <c r="C27" s="87">
        <f t="shared" si="2"/>
        <v>0</v>
      </c>
      <c r="D27" s="75">
        <f t="shared" si="3"/>
        <v>2.0999999999999998E-2</v>
      </c>
      <c r="E27">
        <f>COUNTIF(tables_358105!C:C,input_358105!A27)-COUNTIF(Q:Q,A27)</f>
        <v>28</v>
      </c>
      <c r="F27" s="43">
        <f>IFERROR(B27/E27,0)</f>
        <v>7.4999999999999991E-4</v>
      </c>
      <c r="G27">
        <f t="shared" si="4"/>
        <v>124487.99999999999</v>
      </c>
      <c r="H27">
        <f t="shared" si="5"/>
        <v>4446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1.1052631578947368E-3</v>
      </c>
      <c r="C28" s="87">
        <f t="shared" si="2"/>
        <v>0</v>
      </c>
      <c r="D28" s="75">
        <f t="shared" si="3"/>
        <v>1.1052631578947368E-3</v>
      </c>
      <c r="E28">
        <f>COUNTIF(tables_358105!C:C,input_358105!A28)-COUNTIF(Q:Q,A28)</f>
        <v>28</v>
      </c>
      <c r="F28" s="43">
        <f t="shared" si="8"/>
        <v>3.9473684210526316E-5</v>
      </c>
      <c r="G28">
        <f t="shared" si="4"/>
        <v>6552</v>
      </c>
      <c r="H28">
        <f t="shared" si="5"/>
        <v>234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4.7368421052631574E-3</v>
      </c>
      <c r="C29" s="87">
        <f t="shared" si="2"/>
        <v>0</v>
      </c>
      <c r="D29" s="75">
        <f t="shared" si="3"/>
        <v>4.7368421052631574E-3</v>
      </c>
      <c r="E29">
        <f>COUNTIF(tables_358105!C:C,input_358105!A29)-COUNTIF(Q:Q,A29)</f>
        <v>6</v>
      </c>
      <c r="F29" s="43">
        <f t="shared" si="8"/>
        <v>7.8947368421052619E-4</v>
      </c>
      <c r="G29">
        <f t="shared" si="4"/>
        <v>28079.999999999996</v>
      </c>
      <c r="H29">
        <f t="shared" si="5"/>
        <v>4680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250</v>
      </c>
      <c r="B30" s="56">
        <v>0</v>
      </c>
      <c r="C30" s="87">
        <f t="shared" si="2"/>
        <v>0</v>
      </c>
      <c r="D30" s="75">
        <f t="shared" si="3"/>
        <v>0</v>
      </c>
      <c r="E30">
        <f>COUNTIF(tables_358105!C:C,input_358105!A30)-COUNTIF(Q:Q,A30)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251</v>
      </c>
      <c r="B31" s="56">
        <f>B12</f>
        <v>1.2E-2</v>
      </c>
      <c r="C31" s="87">
        <f t="shared" si="2"/>
        <v>0</v>
      </c>
      <c r="D31" s="75">
        <f t="shared" si="3"/>
        <v>1.2E-2</v>
      </c>
      <c r="E31">
        <f>COUNTIF(tables_358105!C:C,input_358105!A31)-COUNTIF(Q:Q,A31)</f>
        <v>1</v>
      </c>
      <c r="F31" s="43">
        <f t="shared" si="8"/>
        <v>1.2E-2</v>
      </c>
      <c r="G31">
        <f t="shared" si="4"/>
        <v>71136</v>
      </c>
      <c r="H31">
        <f t="shared" si="5"/>
        <v>71136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5928000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3" t="s">
        <v>106</v>
      </c>
      <c r="B40">
        <f ca="1">SUMIF(tables_358105!C:C,input_358105!A40,tables_358105!O:O)</f>
        <v>0</v>
      </c>
      <c r="C40" s="54">
        <f t="shared" ref="C40:C46" ca="1" si="9">B40/B$47</f>
        <v>0</v>
      </c>
      <c r="E40">
        <v>3</v>
      </c>
      <c r="F40">
        <f ca="1">SUMIF(tables_358105!J:J,input_358105!E40,tables_358105!O:O)</f>
        <v>0</v>
      </c>
      <c r="G40">
        <f ca="1">F40/A36</f>
        <v>0</v>
      </c>
    </row>
    <row r="41" spans="1:7" x14ac:dyDescent="0.15">
      <c r="A41" s="33" t="s">
        <v>107</v>
      </c>
      <c r="B41">
        <f ca="1">SUMIF(tables_358105!C:C,input_358105!A41,tables_358105!O:O)</f>
        <v>3596715.200000003</v>
      </c>
      <c r="C41" s="54">
        <f t="shared" ca="1" si="9"/>
        <v>0.91821898895497034</v>
      </c>
      <c r="E41">
        <v>4</v>
      </c>
      <c r="F41">
        <f ca="1">SUMIF(tables_358105!J:J,input_358105!E41,tables_358105!O:O)</f>
        <v>5560463.9999799961</v>
      </c>
      <c r="G41">
        <f ca="1">F41/A36</f>
        <v>0.93799999999662553</v>
      </c>
    </row>
    <row r="42" spans="1:7" x14ac:dyDescent="0.15">
      <c r="A42" s="33" t="s">
        <v>109</v>
      </c>
      <c r="B42">
        <f ca="1">SUMIF(tables_358105!C:C,input_358105!A42,tables_358105!O:O)</f>
        <v>124488</v>
      </c>
      <c r="C42" s="54">
        <f t="shared" ca="1" si="9"/>
        <v>3.1781011045029714E-2</v>
      </c>
      <c r="E42">
        <v>5</v>
      </c>
      <c r="F42">
        <f ca="1">SUMIF(tables_358105!J:J,input_358105!E42,tables_358105!O:O)</f>
        <v>367536.0000199998</v>
      </c>
      <c r="G42">
        <f ca="1">F42/A36</f>
        <v>6.2000000003373787E-2</v>
      </c>
    </row>
    <row r="43" spans="1:7" x14ac:dyDescent="0.15">
      <c r="A43" s="33" t="s">
        <v>113</v>
      </c>
      <c r="B43">
        <f>SUMIF(tables_358105!C:C,input_358105!A43,tables_358105!O:O)</f>
        <v>0</v>
      </c>
      <c r="C43" s="54">
        <f t="shared" ca="1" si="9"/>
        <v>0</v>
      </c>
      <c r="F43" s="55"/>
    </row>
    <row r="44" spans="1:7" x14ac:dyDescent="0.15">
      <c r="A44" s="33" t="s">
        <v>108</v>
      </c>
      <c r="B44">
        <f ca="1">SUMIF(tables_358105!C:C,input_358105!A44,tables_358105!O:O)</f>
        <v>189300.79999999984</v>
      </c>
      <c r="C44" s="54">
        <f t="shared" ca="1" si="9"/>
        <v>4.8327315208156252E-2</v>
      </c>
      <c r="E44" t="s">
        <v>55</v>
      </c>
      <c r="F44" s="55"/>
    </row>
    <row r="45" spans="1:7" x14ac:dyDescent="0.15">
      <c r="A45" s="33" t="s">
        <v>110</v>
      </c>
      <c r="B45">
        <f ca="1">SUMIF(tables_358105!C:C,input_358105!A45,tables_358105!O:O)</f>
        <v>6552</v>
      </c>
      <c r="C45" s="54">
        <f t="shared" ca="1" si="9"/>
        <v>1.6726847918436692E-3</v>
      </c>
      <c r="E45" t="s">
        <v>210</v>
      </c>
      <c r="F45" s="55">
        <f ca="1">SUMIF(tables_358105!I:I,input_358105!E45,tables_358105!P:P)</f>
        <v>0.25294871794871798</v>
      </c>
    </row>
    <row r="46" spans="1:7" x14ac:dyDescent="0.15">
      <c r="A46" s="33" t="s">
        <v>111</v>
      </c>
      <c r="B46">
        <f>SUMIF(tables_358105!C:C,input_358105!A46,tables_358105!O:O)</f>
        <v>0</v>
      </c>
      <c r="C46" s="54">
        <f t="shared" ca="1" si="9"/>
        <v>0</v>
      </c>
      <c r="E46" t="s">
        <v>211</v>
      </c>
      <c r="F46" s="55">
        <f ca="1">SUMIF(tables_358105!I:I,input_358105!E46,tables_358105!P:P)</f>
        <v>0.21116329284750343</v>
      </c>
    </row>
    <row r="47" spans="1:7" x14ac:dyDescent="0.15">
      <c r="A47" s="39" t="s">
        <v>60</v>
      </c>
      <c r="B47">
        <f ca="1">SUM(B40:B46)</f>
        <v>3917056.0000000028</v>
      </c>
      <c r="C47" s="55">
        <f ca="1">SUM(C40:C46)</f>
        <v>1</v>
      </c>
      <c r="E47" t="s">
        <v>212</v>
      </c>
      <c r="F47" s="55">
        <f ca="1">SUMIF(tables_358105!I:I,input_358105!E47,tables_358105!P:P)</f>
        <v>0.50435357624831323</v>
      </c>
    </row>
    <row r="48" spans="1:7" x14ac:dyDescent="0.15">
      <c r="E48" t="s">
        <v>213</v>
      </c>
      <c r="F48" s="55">
        <f ca="1">SUMIF(tables_358105!I:I,input_358105!E48,tables_358105!P:P)</f>
        <v>2.6842105263157921E-2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 enableFormatConditionsCalculation="0">
    <tabColor rgb="FF0000FF"/>
    <outlinePr summaryBelow="0" summaryRight="0"/>
  </sheetPr>
  <dimension ref="A1:V284"/>
  <sheetViews>
    <sheetView showGridLines="0" zoomScale="75" zoomScaleNormal="75" zoomScalePageLayoutView="75" workbookViewId="0">
      <pane ySplit="1" topLeftCell="A269" activePane="bottomLeft" state="frozen"/>
      <selection activeCell="Q291" sqref="Q291"/>
      <selection pane="bottomLeft" activeCell="A284" sqref="A28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input_358105!A$2</f>
        <v>358105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IFERROR(VLOOKUP(B2,input_358105!L:R,7,FALSE),VLOOKUP(tables_358105!C2,input_358105!A:H,8,FALSE))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input_358105!A$2</f>
        <v>358105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IFERROR(VLOOKUP(B3,input_358105!L:R,7,FALSE),VLOOKUP(tables_358105!C3,input_358105!A:H,8,FALSE))</f>
        <v>72808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input_358105!A$2</f>
        <v>358105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IFERROR(VLOOKUP(B4,input_358105!L:R,7,FALSE),VLOOKUP(tables_358105!C4,input_358105!A:H,8,FALSE))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input_358105!A$2</f>
        <v>358105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IFERROR(VLOOKUP(B5,input_358105!L:R,7,FALSE),VLOOKUP(tables_358105!C5,input_358105!A:H,8,FALSE))</f>
        <v>72808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input_358105!A$2</f>
        <v>358105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IFERROR(VLOOKUP(B6,input_358105!L:R,7,FALSE),VLOOKUP(tables_358105!C6,input_358105!A:H,8,FALSE))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input_358105!A$2</f>
        <v>358105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IFERROR(VLOOKUP(B7,input_358105!L:R,7,FALSE),VLOOKUP(tables_358105!C7,input_358105!A:H,8,FALSE))</f>
        <v>72808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input_358105!A$2</f>
        <v>358105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IFERROR(VLOOKUP(B8,input_358105!L:R,7,FALSE),VLOOKUP(tables_358105!C8,input_358105!A:H,8,FALSE))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input_358105!A$2</f>
        <v>358105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IFERROR(VLOOKUP(B9,input_358105!L:R,7,FALSE),VLOOKUP(tables_358105!C9,input_358105!A:H,8,FALSE))</f>
        <v>72808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input_358105!A$2</f>
        <v>358105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IFERROR(VLOOKUP(B10,input_358105!L:R,7,FALSE),VLOOKUP(tables_358105!C10,input_358105!A:H,8,FALSE))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input_358105!A$2</f>
        <v>358105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IFERROR(VLOOKUP(B11,input_358105!L:R,7,FALSE),VLOOKUP(tables_358105!C11,input_358105!A:H,8,FALSE))</f>
        <v>72808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input_358105!A$2</f>
        <v>358105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IFERROR(VLOOKUP(B12,input_358105!L:R,7,FALSE),VLOOKUP(tables_358105!C12,input_358105!A:H,8,FALSE))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input_358105!A$2</f>
        <v>358105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IFERROR(VLOOKUP(B13,input_358105!L:R,7,FALSE),VLOOKUP(tables_358105!C13,input_358105!A:H,8,FALSE))</f>
        <v>72808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input_358105!A$2</f>
        <v>358105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IFERROR(VLOOKUP(B14,input_358105!L:R,7,FALSE),VLOOKUP(tables_358105!C14,input_358105!A:H,8,FALSE))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input_358105!A$2</f>
        <v>358105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IFERROR(VLOOKUP(B15,input_358105!L:R,7,FALSE),VLOOKUP(tables_358105!C15,input_358105!A:H,8,FALSE))</f>
        <v>72808</v>
      </c>
      <c r="P15" s="46">
        <f ca="1">O15/SUM(O:O)</f>
        <v>1.2282051282051282E-2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input_358105!A$2</f>
        <v>358105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IFERROR(VLOOKUP(B16,input_358105!L:R,7,FALSE),VLOOKUP(tables_358105!C16,input_358105!A:H,8,FALSE))</f>
        <v>0</v>
      </c>
      <c r="P16" s="46">
        <f ca="1">O16/SUM(O:O)</f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input_358105!A$2</f>
        <v>358105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IFERROR(VLOOKUP(B17,input_358105!L:R,7,FALSE),VLOOKUP(tables_358105!C17,input_358105!A:H,8,FALSE))</f>
        <v>72808</v>
      </c>
      <c r="P17" s="46">
        <f ca="1">O17/SUM(O:O)</f>
        <v>1.2282051282051282E-2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input_358105!A$2</f>
        <v>358105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IFERROR(VLOOKUP(B18,input_358105!L:R,7,FALSE),VLOOKUP(tables_358105!C18,input_358105!A:H,8,FALSE))</f>
        <v>0</v>
      </c>
      <c r="P18" s="46">
        <f ca="1">O18/SUM(O:O)</f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input_358105!A$2</f>
        <v>358105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IFERROR(VLOOKUP(B19,input_358105!L:R,7,FALSE),VLOOKUP(tables_358105!C19,input_358105!A:H,8,FALSE))</f>
        <v>72808</v>
      </c>
      <c r="P19" s="46">
        <f ca="1">O19/SUM(O:O)</f>
        <v>1.2282051282051282E-2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input_358105!A$2</f>
        <v>358105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IFERROR(VLOOKUP(B20,input_358105!L:R,7,FALSE),VLOOKUP(tables_358105!C20,input_358105!A:H,8,FALSE))</f>
        <v>0</v>
      </c>
      <c r="P20" s="46">
        <f ca="1">O20/SUM(O:O)</f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input_358105!A$2</f>
        <v>358105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IFERROR(VLOOKUP(B21,input_358105!L:R,7,FALSE),VLOOKUP(tables_358105!C21,input_358105!A:H,8,FALSE))</f>
        <v>72808</v>
      </c>
      <c r="P21" s="46">
        <f ca="1">O21/SUM(O:O)</f>
        <v>1.2282051282051282E-2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input_358105!A$2</f>
        <v>358105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IFERROR(VLOOKUP(B22,input_358105!L:R,7,FALSE),VLOOKUP(tables_358105!C22,input_358105!A:H,8,FALSE))</f>
        <v>0</v>
      </c>
      <c r="P22" s="46">
        <f ca="1">O22/SUM(O:O)</f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input_358105!A$2</f>
        <v>358105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IFERROR(VLOOKUP(B23,input_358105!L:R,7,FALSE),VLOOKUP(tables_358105!C23,input_358105!A:H,8,FALSE))</f>
        <v>72808</v>
      </c>
      <c r="P23" s="46">
        <f ca="1">O23/SUM(O:O)</f>
        <v>1.2282051282051282E-2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input_358105!A$2</f>
        <v>358105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IFERROR(VLOOKUP(B24,input_358105!L:R,7,FALSE),VLOOKUP(tables_358105!C24,input_358105!A:H,8,FALSE))</f>
        <v>0</v>
      </c>
      <c r="P24" s="46">
        <f ca="1">O24/SUM(O:O)</f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input_358105!A$2</f>
        <v>358105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IFERROR(VLOOKUP(B25,input_358105!L:R,7,FALSE),VLOOKUP(tables_358105!C25,input_358105!A:H,8,FALSE))</f>
        <v>72808</v>
      </c>
      <c r="P25" s="46">
        <f ca="1">O25/SUM(O:O)</f>
        <v>1.2282051282051282E-2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input_358105!A$2</f>
        <v>358105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IFERROR(VLOOKUP(B26,input_358105!L:R,7,FALSE),VLOOKUP(tables_358105!C26,input_358105!A:H,8,FALSE))</f>
        <v>0</v>
      </c>
      <c r="P26" s="46">
        <f ca="1">O26/SUM(O:O)</f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input_358105!A$2</f>
        <v>358105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IFERROR(VLOOKUP(B27,input_358105!L:R,7,FALSE),VLOOKUP(tables_358105!C27,input_358105!A:H,8,FALSE))</f>
        <v>72808</v>
      </c>
      <c r="P27" s="46">
        <f ca="1">O27/SUM(O:O)</f>
        <v>1.2282051282051282E-2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input_358105!A$2</f>
        <v>358105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IFERROR(VLOOKUP(B28,input_358105!L:R,7,FALSE),VLOOKUP(tables_358105!C28,input_358105!A:H,8,FALSE))</f>
        <v>0</v>
      </c>
      <c r="P28" s="46">
        <f ca="1">O28/SUM(O:O)</f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input_358105!A$2</f>
        <v>358105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IFERROR(VLOOKUP(B29,input_358105!L:R,7,FALSE),VLOOKUP(tables_358105!C29,input_358105!A:H,8,FALSE))</f>
        <v>72808</v>
      </c>
      <c r="P29" s="46">
        <f ca="1">O29/SUM(O:O)</f>
        <v>1.2282051282051282E-2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input_358105!A$2</f>
        <v>358105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IFERROR(VLOOKUP(B30,input_358105!L:R,7,FALSE),VLOOKUP(tables_358105!C30,input_358105!A:H,8,FALSE))</f>
        <v>0</v>
      </c>
      <c r="P30" s="46">
        <f ca="1">O30/SUM(O:O)</f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input_358105!A$2</f>
        <v>358105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IFERROR(VLOOKUP(B31,input_358105!L:R,7,FALSE),VLOOKUP(tables_358105!C31,input_358105!A:H,8,FALSE))</f>
        <v>72808</v>
      </c>
      <c r="P31" s="46">
        <f ca="1">O31/SUM(O:O)</f>
        <v>1.2282051282051282E-2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input_358105!A$2</f>
        <v>358105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IFERROR(VLOOKUP(B32,input_358105!L:R,7,FALSE),VLOOKUP(tables_358105!C32,input_358105!A:H,8,FALSE))</f>
        <v>0</v>
      </c>
      <c r="P32" s="46">
        <f ca="1">O32/SUM(O:O)</f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input_358105!A$2</f>
        <v>358105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IFERROR(VLOOKUP(B33,input_358105!L:R,7,FALSE),VLOOKUP(tables_358105!C33,input_358105!A:H,8,FALSE))</f>
        <v>72808</v>
      </c>
      <c r="P33" s="46">
        <f ca="1">O33/SUM(O:O)</f>
        <v>1.2282051282051282E-2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input_358105!A$2</f>
        <v>358105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IFERROR(VLOOKUP(B34,input_358105!L:R,7,FALSE),VLOOKUP(tables_358105!C34,input_358105!A:H,8,FALSE))</f>
        <v>0</v>
      </c>
      <c r="P34" s="46">
        <f ca="1">O34/SUM(O:O)</f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input_358105!A$2</f>
        <v>358105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IFERROR(VLOOKUP(B35,input_358105!L:R,7,FALSE),VLOOKUP(tables_358105!C35,input_358105!A:H,8,FALSE))</f>
        <v>72808</v>
      </c>
      <c r="P35" s="46">
        <f ca="1">O35/SUM(O:O)</f>
        <v>1.2282051282051282E-2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input_358105!A$2</f>
        <v>358105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IFERROR(VLOOKUP(B36,input_358105!L:R,7,FALSE),VLOOKUP(tables_358105!C36,input_358105!A:H,8,FALSE))</f>
        <v>0</v>
      </c>
      <c r="P36" s="46">
        <f ca="1">O36/SUM(O:O)</f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input_358105!A$2</f>
        <v>358105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IFERROR(VLOOKUP(B37,input_358105!L:R,7,FALSE),VLOOKUP(tables_358105!C37,input_358105!A:H,8,FALSE))</f>
        <v>72808</v>
      </c>
      <c r="P37" s="46">
        <f ca="1">O37/SUM(O:O)</f>
        <v>1.2282051282051282E-2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input_358105!A$2</f>
        <v>358105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IFERROR(VLOOKUP(B38,input_358105!L:R,7,FALSE),VLOOKUP(tables_358105!C38,input_358105!A:H,8,FALSE))</f>
        <v>0</v>
      </c>
      <c r="P38" s="46">
        <f ca="1">O38/SUM(O:O)</f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input_358105!A$2</f>
        <v>358105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IFERROR(VLOOKUP(B39,input_358105!L:R,7,FALSE),VLOOKUP(tables_358105!C39,input_358105!A:H,8,FALSE))</f>
        <v>72808</v>
      </c>
      <c r="P39" s="46">
        <f ca="1">O39/SUM(O:O)</f>
        <v>1.2282051282051282E-2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input_358105!A$2</f>
        <v>358105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IFERROR(VLOOKUP(B40,input_358105!L:R,7,FALSE),VLOOKUP(tables_358105!C40,input_358105!A:H,8,FALSE))</f>
        <v>0</v>
      </c>
      <c r="P40" s="46">
        <f ca="1">O40/SUM(O:O)</f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input_358105!A$2</f>
        <v>358105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IFERROR(VLOOKUP(B41,input_358105!L:R,7,FALSE),VLOOKUP(tables_358105!C41,input_358105!A:H,8,FALSE))</f>
        <v>72808</v>
      </c>
      <c r="P41" s="46">
        <f ca="1">O41/SUM(O:O)</f>
        <v>1.2282051282051282E-2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input_358105!A$2</f>
        <v>358105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IFERROR(VLOOKUP(B42,input_358105!L:R,7,FALSE),VLOOKUP(tables_358105!C42,input_358105!A:H,8,FALSE))</f>
        <v>0</v>
      </c>
      <c r="P42" s="46">
        <f ca="1">O42/SUM(O:O)</f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input_358105!A$2</f>
        <v>358105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IFERROR(VLOOKUP(B43,input_358105!L:R,7,FALSE),VLOOKUP(tables_358105!C43,input_358105!A:H,8,FALSE))</f>
        <v>4446</v>
      </c>
      <c r="P43" s="46">
        <f ca="1">O43/SUM(O:O)</f>
        <v>7.5000000000000002E-4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input_358105!A$2</f>
        <v>358105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IFERROR(VLOOKUP(B44,input_358105!L:R,7,FALSE),VLOOKUP(tables_358105!C44,input_358105!A:H,8,FALSE))</f>
        <v>234</v>
      </c>
      <c r="P44" s="46">
        <f ca="1">O44/SUM(O:O)</f>
        <v>3.9473684210526316E-5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input_358105!A$2</f>
        <v>358105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IFERROR(VLOOKUP(B45,input_358105!L:R,7,FALSE),VLOOKUP(tables_358105!C45,input_358105!A:H,8,FALSE))</f>
        <v>0</v>
      </c>
      <c r="P45" s="46">
        <f ca="1">O45/SUM(O:O)</f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input_358105!A$2</f>
        <v>358105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IFERROR(VLOOKUP(B46,input_358105!L:R,7,FALSE),VLOOKUP(tables_358105!C46,input_358105!A:H,8,FALSE))</f>
        <v>4446</v>
      </c>
      <c r="P46" s="46">
        <f ca="1">O46/SUM(O:O)</f>
        <v>7.5000000000000002E-4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input_358105!A$2</f>
        <v>358105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IFERROR(VLOOKUP(B47,input_358105!L:R,7,FALSE),VLOOKUP(tables_358105!C47,input_358105!A:H,8,FALSE))</f>
        <v>234</v>
      </c>
      <c r="P47" s="46">
        <f ca="1">O47/SUM(O:O)</f>
        <v>3.9473684210526316E-5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input_358105!A$2</f>
        <v>358105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IFERROR(VLOOKUP(B48,input_358105!L:R,7,FALSE),VLOOKUP(tables_358105!C48,input_358105!A:H,8,FALSE))</f>
        <v>0</v>
      </c>
      <c r="P48" s="46">
        <f ca="1">O48/SUM(O:O)</f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input_358105!A$2</f>
        <v>358105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IFERROR(VLOOKUP(B49,input_358105!L:R,7,FALSE),VLOOKUP(tables_358105!C49,input_358105!A:H,8,FALSE))</f>
        <v>4446</v>
      </c>
      <c r="P49" s="46">
        <f ca="1">O49/SUM(O:O)</f>
        <v>7.5000000000000002E-4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input_358105!A$2</f>
        <v>358105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IFERROR(VLOOKUP(B50,input_358105!L:R,7,FALSE),VLOOKUP(tables_358105!C50,input_358105!A:H,8,FALSE))</f>
        <v>234</v>
      </c>
      <c r="P50" s="46">
        <f ca="1">O50/SUM(O:O)</f>
        <v>3.9473684210526316E-5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input_358105!A$2</f>
        <v>358105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IFERROR(VLOOKUP(B51,input_358105!L:R,7,FALSE),VLOOKUP(tables_358105!C51,input_358105!A:H,8,FALSE))</f>
        <v>0</v>
      </c>
      <c r="P51" s="46">
        <f ca="1">O51/SUM(O:O)</f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input_358105!A$2</f>
        <v>358105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IFERROR(VLOOKUP(B52,input_358105!L:R,7,FALSE),VLOOKUP(tables_358105!C52,input_358105!A:H,8,FALSE))</f>
        <v>69167.600000000006</v>
      </c>
      <c r="P52" s="46">
        <f ca="1">O52/SUM(O:O)</f>
        <v>1.1667948717948719E-2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input_358105!A$2</f>
        <v>358105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IFERROR(VLOOKUP(B53,input_358105!L:R,7,FALSE),VLOOKUP(tables_358105!C53,input_358105!A:H,8,FALSE))</f>
        <v>3640.4</v>
      </c>
      <c r="P53" s="46">
        <f ca="1">O53/SUM(O:O)</f>
        <v>6.1410256410256408E-4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input_358105!A$2</f>
        <v>358105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IFERROR(VLOOKUP(B54,input_358105!L:R,7,FALSE),VLOOKUP(tables_358105!C54,input_358105!A:H,8,FALSE))</f>
        <v>0</v>
      </c>
      <c r="P54" s="46">
        <f ca="1">O54/SUM(O:O)</f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input_358105!A$2</f>
        <v>358105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IFERROR(VLOOKUP(B55,input_358105!L:R,7,FALSE),VLOOKUP(tables_358105!C55,input_358105!A:H,8,FALSE))</f>
        <v>69167.600000000006</v>
      </c>
      <c r="P55" s="46">
        <f ca="1">O55/SUM(O:O)</f>
        <v>1.1667948717948719E-2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input_358105!A$2</f>
        <v>358105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IFERROR(VLOOKUP(B56,input_358105!L:R,7,FALSE),VLOOKUP(tables_358105!C56,input_358105!A:H,8,FALSE))</f>
        <v>3640.4</v>
      </c>
      <c r="P56" s="46">
        <f ca="1">O56/SUM(O:O)</f>
        <v>6.1410256410256408E-4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input_358105!A$2</f>
        <v>358105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IFERROR(VLOOKUP(B57,input_358105!L:R,7,FALSE),VLOOKUP(tables_358105!C57,input_358105!A:H,8,FALSE))</f>
        <v>0</v>
      </c>
      <c r="P57" s="46">
        <f ca="1">O57/SUM(O:O)</f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input_358105!A$2</f>
        <v>358105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IFERROR(VLOOKUP(B58,input_358105!L:R,7,FALSE),VLOOKUP(tables_358105!C58,input_358105!A:H,8,FALSE))</f>
        <v>69167.600000000006</v>
      </c>
      <c r="P58" s="46">
        <f ca="1">O58/SUM(O:O)</f>
        <v>1.1667948717948719E-2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input_358105!A$2</f>
        <v>358105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IFERROR(VLOOKUP(B59,input_358105!L:R,7,FALSE),VLOOKUP(tables_358105!C59,input_358105!A:H,8,FALSE))</f>
        <v>3640.4</v>
      </c>
      <c r="P59" s="46">
        <f ca="1">O59/SUM(O:O)</f>
        <v>6.1410256410256408E-4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input_358105!A$2</f>
        <v>358105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IFERROR(VLOOKUP(B60,input_358105!L:R,7,FALSE),VLOOKUP(tables_358105!C60,input_358105!A:H,8,FALSE))</f>
        <v>0</v>
      </c>
      <c r="P60" s="46">
        <f ca="1">O60/SUM(O:O)</f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input_358105!A$2</f>
        <v>358105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IFERROR(VLOOKUP(B61,input_358105!L:R,7,FALSE),VLOOKUP(tables_358105!C61,input_358105!A:H,8,FALSE))</f>
        <v>69167.600000000006</v>
      </c>
      <c r="P61" s="46">
        <f ca="1">O61/SUM(O:O)</f>
        <v>1.1667948717948719E-2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input_358105!A$2</f>
        <v>358105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IFERROR(VLOOKUP(B62,input_358105!L:R,7,FALSE),VLOOKUP(tables_358105!C62,input_358105!A:H,8,FALSE))</f>
        <v>3640.4</v>
      </c>
      <c r="P62" s="46">
        <f ca="1">O62/SUM(O:O)</f>
        <v>6.1410256410256408E-4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input_358105!A$2</f>
        <v>358105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IFERROR(VLOOKUP(B63,input_358105!L:R,7,FALSE),VLOOKUP(tables_358105!C63,input_358105!A:H,8,FALSE))</f>
        <v>0</v>
      </c>
      <c r="P63" s="46">
        <f ca="1">O63/SUM(O:O)</f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input_358105!A$2</f>
        <v>358105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IFERROR(VLOOKUP(B64,input_358105!L:R,7,FALSE),VLOOKUP(tables_358105!C64,input_358105!A:H,8,FALSE))</f>
        <v>69167.600000000006</v>
      </c>
      <c r="P64" s="46">
        <f ca="1">O64/SUM(O:O)</f>
        <v>1.1667948717948719E-2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input_358105!A$2</f>
        <v>358105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IFERROR(VLOOKUP(B65,input_358105!L:R,7,FALSE),VLOOKUP(tables_358105!C65,input_358105!A:H,8,FALSE))</f>
        <v>3640.4</v>
      </c>
      <c r="P65" s="46">
        <f ca="1">O65/SUM(O:O)</f>
        <v>6.1410256410256408E-4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input_358105!A$2</f>
        <v>358105</v>
      </c>
      <c r="B66" s="6">
        <v>190</v>
      </c>
      <c r="C66" s="7" t="str">
        <f t="shared" ref="C66:C129" si="2">D66&amp;J66&amp;E66&amp;F66&amp;G66</f>
        <v>Premium3</v>
      </c>
      <c r="D66" s="7" t="str">
        <f t="shared" ref="D66:D129" si="3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IFERROR(VLOOKUP(B66,input_358105!L:R,7,FALSE),VLOOKUP(tables_358105!C66,input_358105!A:H,8,FALSE))</f>
        <v>0</v>
      </c>
      <c r="P66" s="46">
        <f ca="1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input_358105!A$2</f>
        <v>358105</v>
      </c>
      <c r="B67" s="6">
        <v>191</v>
      </c>
      <c r="C67" s="7" t="str">
        <f t="shared" si="2"/>
        <v>Premium4</v>
      </c>
      <c r="D67" s="7" t="str">
        <f t="shared" si="3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IFERROR(VLOOKUP(B67,input_358105!L:R,7,FALSE),VLOOKUP(tables_358105!C67,input_358105!A:H,8,FALSE))</f>
        <v>69167.600000000006</v>
      </c>
      <c r="P67" s="46">
        <f ca="1">O67/SUM(O:O)</f>
        <v>1.1667948717948719E-2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input_358105!A$2</f>
        <v>358105</v>
      </c>
      <c r="B68" s="6">
        <v>192</v>
      </c>
      <c r="C68" s="7" t="str">
        <f t="shared" si="2"/>
        <v>Premium5</v>
      </c>
      <c r="D68" s="7" t="str">
        <f t="shared" si="3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IFERROR(VLOOKUP(B68,input_358105!L:R,7,FALSE),VLOOKUP(tables_358105!C68,input_358105!A:H,8,FALSE))</f>
        <v>3640.4</v>
      </c>
      <c r="P68" s="46">
        <f ca="1">O68/SUM(O:O)</f>
        <v>6.1410256410256408E-4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input_358105!A$2</f>
        <v>358105</v>
      </c>
      <c r="B69" s="6">
        <v>193</v>
      </c>
      <c r="C69" s="7" t="str">
        <f t="shared" si="2"/>
        <v>Premium3</v>
      </c>
      <c r="D69" s="7" t="str">
        <f t="shared" si="3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IFERROR(VLOOKUP(B69,input_358105!L:R,7,FALSE),VLOOKUP(tables_358105!C69,input_358105!A:H,8,FALSE))</f>
        <v>0</v>
      </c>
      <c r="P69" s="46">
        <f ca="1">O69/SUM(O:O)</f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input_358105!A$2</f>
        <v>358105</v>
      </c>
      <c r="B70" s="10">
        <v>194</v>
      </c>
      <c r="C70" s="7" t="str">
        <f t="shared" si="2"/>
        <v>Premium4</v>
      </c>
      <c r="D70" s="7" t="str">
        <f t="shared" si="3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IFERROR(VLOOKUP(B70,input_358105!L:R,7,FALSE),VLOOKUP(tables_358105!C70,input_358105!A:H,8,FALSE))</f>
        <v>69167.600000000006</v>
      </c>
      <c r="P70" s="46">
        <f ca="1">O70/SUM(O:O)</f>
        <v>1.1667948717948719E-2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input_358105!A$2</f>
        <v>358105</v>
      </c>
      <c r="B71" s="6">
        <v>195</v>
      </c>
      <c r="C71" s="7" t="str">
        <f t="shared" si="2"/>
        <v>Premium5</v>
      </c>
      <c r="D71" s="7" t="str">
        <f t="shared" si="3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IFERROR(VLOOKUP(B71,input_358105!L:R,7,FALSE),VLOOKUP(tables_358105!C71,input_358105!A:H,8,FALSE))</f>
        <v>3640.4</v>
      </c>
      <c r="P71" s="46">
        <f ca="1">O71/SUM(O:O)</f>
        <v>6.1410256410256408E-4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input_358105!A$2</f>
        <v>358105</v>
      </c>
      <c r="B72" s="10">
        <v>196</v>
      </c>
      <c r="C72" s="7" t="str">
        <f t="shared" si="2"/>
        <v>Premium3</v>
      </c>
      <c r="D72" s="7" t="str">
        <f t="shared" si="3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IFERROR(VLOOKUP(B72,input_358105!L:R,7,FALSE),VLOOKUP(tables_358105!C72,input_358105!A:H,8,FALSE))</f>
        <v>0</v>
      </c>
      <c r="P72" s="46">
        <f ca="1">O72/SUM(O:O)</f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input_358105!A$2</f>
        <v>358105</v>
      </c>
      <c r="B73" s="11">
        <v>197</v>
      </c>
      <c r="C73" s="7" t="str">
        <f t="shared" si="2"/>
        <v>Premium4</v>
      </c>
      <c r="D73" s="7" t="str">
        <f t="shared" si="3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IFERROR(VLOOKUP(B73,input_358105!L:R,7,FALSE),VLOOKUP(tables_358105!C73,input_358105!A:H,8,FALSE))</f>
        <v>69167.600000000006</v>
      </c>
      <c r="P73" s="46">
        <f ca="1">O73/SUM(O:O)</f>
        <v>1.1667948717948719E-2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input_358105!A$2</f>
        <v>358105</v>
      </c>
      <c r="B74" s="6">
        <v>198</v>
      </c>
      <c r="C74" s="7" t="str">
        <f t="shared" si="2"/>
        <v>Premium5</v>
      </c>
      <c r="D74" s="7" t="str">
        <f t="shared" si="3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IFERROR(VLOOKUP(B74,input_358105!L:R,7,FALSE),VLOOKUP(tables_358105!C74,input_358105!A:H,8,FALSE))</f>
        <v>3640.4</v>
      </c>
      <c r="P74" s="46">
        <f ca="1">O74/SUM(O:O)</f>
        <v>6.1410256410256408E-4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input_358105!A$2</f>
        <v>358105</v>
      </c>
      <c r="B75" s="6">
        <v>199</v>
      </c>
      <c r="C75" s="7" t="str">
        <f t="shared" si="2"/>
        <v>Premium3</v>
      </c>
      <c r="D75" s="7" t="str">
        <f t="shared" si="3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IFERROR(VLOOKUP(B75,input_358105!L:R,7,FALSE),VLOOKUP(tables_358105!C75,input_358105!A:H,8,FALSE))</f>
        <v>0</v>
      </c>
      <c r="P75" s="46">
        <f ca="1">O75/SUM(O:O)</f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input_358105!A$2</f>
        <v>358105</v>
      </c>
      <c r="B76" s="6">
        <v>200</v>
      </c>
      <c r="C76" s="7" t="str">
        <f t="shared" si="2"/>
        <v>Premium4</v>
      </c>
      <c r="D76" s="7" t="str">
        <f t="shared" si="3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IFERROR(VLOOKUP(B76,input_358105!L:R,7,FALSE),VLOOKUP(tables_358105!C76,input_358105!A:H,8,FALSE))</f>
        <v>69167.600000000006</v>
      </c>
      <c r="P76" s="46">
        <f ca="1">O76/SUM(O:O)</f>
        <v>1.1667948717948719E-2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input_358105!A$2</f>
        <v>358105</v>
      </c>
      <c r="B77" s="5">
        <v>201</v>
      </c>
      <c r="C77" s="7" t="str">
        <f t="shared" si="2"/>
        <v>Premium5</v>
      </c>
      <c r="D77" s="7" t="str">
        <f t="shared" si="3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IFERROR(VLOOKUP(B77,input_358105!L:R,7,FALSE),VLOOKUP(tables_358105!C77,input_358105!A:H,8,FALSE))</f>
        <v>3640.4</v>
      </c>
      <c r="P77" s="46">
        <f ca="1">O77/SUM(O:O)</f>
        <v>6.1410256410256408E-4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input_358105!A$2</f>
        <v>358105</v>
      </c>
      <c r="B78" s="5">
        <v>202</v>
      </c>
      <c r="C78" s="7" t="str">
        <f t="shared" si="2"/>
        <v>Premium3</v>
      </c>
      <c r="D78" s="7" t="str">
        <f t="shared" si="3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IFERROR(VLOOKUP(B78,input_358105!L:R,7,FALSE),VLOOKUP(tables_358105!C78,input_358105!A:H,8,FALSE))</f>
        <v>0</v>
      </c>
      <c r="P78" s="46">
        <f ca="1">O78/SUM(O:O)</f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input_358105!A$2</f>
        <v>358105</v>
      </c>
      <c r="B79" s="5">
        <v>203</v>
      </c>
      <c r="C79" s="7" t="str">
        <f t="shared" si="2"/>
        <v>Premium4</v>
      </c>
      <c r="D79" s="7" t="str">
        <f t="shared" si="3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IFERROR(VLOOKUP(B79,input_358105!L:R,7,FALSE),VLOOKUP(tables_358105!C79,input_358105!A:H,8,FALSE))</f>
        <v>69167.600000000006</v>
      </c>
      <c r="P79" s="46">
        <f ca="1">O79/SUM(O:O)</f>
        <v>1.1667948717948719E-2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input_358105!A$2</f>
        <v>358105</v>
      </c>
      <c r="B80" s="5">
        <v>204</v>
      </c>
      <c r="C80" s="7" t="str">
        <f t="shared" si="2"/>
        <v>Premium5</v>
      </c>
      <c r="D80" s="7" t="str">
        <f t="shared" si="3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IFERROR(VLOOKUP(B80,input_358105!L:R,7,FALSE),VLOOKUP(tables_358105!C80,input_358105!A:H,8,FALSE))</f>
        <v>3640.4</v>
      </c>
      <c r="P80" s="46">
        <f ca="1">O80/SUM(O:O)</f>
        <v>6.1410256410256408E-4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input_358105!A$2</f>
        <v>358105</v>
      </c>
      <c r="B81" s="5">
        <v>205</v>
      </c>
      <c r="C81" s="7" t="str">
        <f t="shared" si="2"/>
        <v>Premium3</v>
      </c>
      <c r="D81" s="7" t="str">
        <f t="shared" si="3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IFERROR(VLOOKUP(B81,input_358105!L:R,7,FALSE),VLOOKUP(tables_358105!C81,input_358105!A:H,8,FALSE))</f>
        <v>0</v>
      </c>
      <c r="P81" s="46">
        <f ca="1">O81/SUM(O:O)</f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input_358105!A$2</f>
        <v>358105</v>
      </c>
      <c r="B82" s="5">
        <v>206</v>
      </c>
      <c r="C82" s="7" t="str">
        <f t="shared" si="2"/>
        <v>Premium4</v>
      </c>
      <c r="D82" s="7" t="str">
        <f t="shared" si="3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IFERROR(VLOOKUP(B82,input_358105!L:R,7,FALSE),VLOOKUP(tables_358105!C82,input_358105!A:H,8,FALSE))</f>
        <v>69167.600000000006</v>
      </c>
      <c r="P82" s="46">
        <f ca="1">O82/SUM(O:O)</f>
        <v>1.1667948717948719E-2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input_358105!A$2</f>
        <v>358105</v>
      </c>
      <c r="B83" s="5">
        <v>207</v>
      </c>
      <c r="C83" s="7" t="str">
        <f t="shared" si="2"/>
        <v>Premium5</v>
      </c>
      <c r="D83" s="7" t="str">
        <f t="shared" si="3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IFERROR(VLOOKUP(B83,input_358105!L:R,7,FALSE),VLOOKUP(tables_358105!C83,input_358105!A:H,8,FALSE))</f>
        <v>3640.4</v>
      </c>
      <c r="P83" s="46">
        <f ca="1">O83/SUM(O:O)</f>
        <v>6.1410256410256408E-4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input_358105!A$2</f>
        <v>358105</v>
      </c>
      <c r="B84" s="5">
        <v>208</v>
      </c>
      <c r="C84" s="7" t="str">
        <f t="shared" si="2"/>
        <v>Premium3</v>
      </c>
      <c r="D84" s="7" t="str">
        <f t="shared" si="3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IFERROR(VLOOKUP(B84,input_358105!L:R,7,FALSE),VLOOKUP(tables_358105!C84,input_358105!A:H,8,FALSE))</f>
        <v>0</v>
      </c>
      <c r="P84" s="46">
        <f ca="1">O84/SUM(O:O)</f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input_358105!A$2</f>
        <v>358105</v>
      </c>
      <c r="B85" s="5">
        <v>209</v>
      </c>
      <c r="C85" s="7" t="str">
        <f t="shared" si="2"/>
        <v>Premium4</v>
      </c>
      <c r="D85" s="7" t="str">
        <f t="shared" si="3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IFERROR(VLOOKUP(B85,input_358105!L:R,7,FALSE),VLOOKUP(tables_358105!C85,input_358105!A:H,8,FALSE))</f>
        <v>69167.600000000006</v>
      </c>
      <c r="P85" s="46">
        <f ca="1">O85/SUM(O:O)</f>
        <v>1.1667948717948719E-2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input_358105!A$2</f>
        <v>358105</v>
      </c>
      <c r="B86" s="5">
        <v>210</v>
      </c>
      <c r="C86" s="7" t="str">
        <f t="shared" si="2"/>
        <v>Premium5</v>
      </c>
      <c r="D86" s="7" t="str">
        <f t="shared" si="3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IFERROR(VLOOKUP(B86,input_358105!L:R,7,FALSE),VLOOKUP(tables_358105!C86,input_358105!A:H,8,FALSE))</f>
        <v>3640.4</v>
      </c>
      <c r="P86" s="46">
        <f ca="1">O86/SUM(O:O)</f>
        <v>6.1410256410256408E-4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input_358105!A$2</f>
        <v>358105</v>
      </c>
      <c r="B87" s="5">
        <v>211</v>
      </c>
      <c r="C87" s="7" t="str">
        <f t="shared" si="2"/>
        <v>Premium3</v>
      </c>
      <c r="D87" s="7" t="str">
        <f t="shared" si="3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IFERROR(VLOOKUP(B87,input_358105!L:R,7,FALSE),VLOOKUP(tables_358105!C87,input_358105!A:H,8,FALSE))</f>
        <v>0</v>
      </c>
      <c r="P87" s="46">
        <f ca="1">O87/SUM(O:O)</f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input_358105!A$2</f>
        <v>358105</v>
      </c>
      <c r="B88" s="5">
        <v>212</v>
      </c>
      <c r="C88" s="7" t="str">
        <f t="shared" si="2"/>
        <v>Premium4</v>
      </c>
      <c r="D88" s="7" t="str">
        <f t="shared" si="3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IFERROR(VLOOKUP(B88,input_358105!L:R,7,FALSE),VLOOKUP(tables_358105!C88,input_358105!A:H,8,FALSE))</f>
        <v>69167.600000000006</v>
      </c>
      <c r="P88" s="46">
        <f ca="1">O88/SUM(O:O)</f>
        <v>1.1667948717948719E-2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input_358105!A$2</f>
        <v>358105</v>
      </c>
      <c r="B89" s="5">
        <v>213</v>
      </c>
      <c r="C89" s="7" t="str">
        <f t="shared" si="2"/>
        <v>Premium5</v>
      </c>
      <c r="D89" s="7" t="str">
        <f t="shared" si="3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IFERROR(VLOOKUP(B89,input_358105!L:R,7,FALSE),VLOOKUP(tables_358105!C89,input_358105!A:H,8,FALSE))</f>
        <v>3640.4</v>
      </c>
      <c r="P89" s="46">
        <f ca="1">O89/SUM(O:O)</f>
        <v>6.1410256410256408E-4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input_358105!A$2</f>
        <v>358105</v>
      </c>
      <c r="B90" s="5">
        <v>214</v>
      </c>
      <c r="C90" s="7" t="str">
        <f t="shared" si="2"/>
        <v>Premium3</v>
      </c>
      <c r="D90" s="7" t="str">
        <f t="shared" si="3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IFERROR(VLOOKUP(B90,input_358105!L:R,7,FALSE),VLOOKUP(tables_358105!C90,input_358105!A:H,8,FALSE))</f>
        <v>0</v>
      </c>
      <c r="P90" s="46">
        <f ca="1">O90/SUM(O:O)</f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input_358105!A$2</f>
        <v>358105</v>
      </c>
      <c r="B91" s="5">
        <v>215</v>
      </c>
      <c r="C91" s="7" t="str">
        <f t="shared" si="2"/>
        <v>Premium4</v>
      </c>
      <c r="D91" s="7" t="str">
        <f t="shared" si="3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IFERROR(VLOOKUP(B91,input_358105!L:R,7,FALSE),VLOOKUP(tables_358105!C91,input_358105!A:H,8,FALSE))</f>
        <v>69167.600000000006</v>
      </c>
      <c r="P91" s="46">
        <f ca="1">O91/SUM(O:O)</f>
        <v>1.1667948717948719E-2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input_358105!A$2</f>
        <v>358105</v>
      </c>
      <c r="B92" s="5">
        <v>216</v>
      </c>
      <c r="C92" s="7" t="str">
        <f t="shared" si="2"/>
        <v>Premium5</v>
      </c>
      <c r="D92" s="7" t="str">
        <f t="shared" si="3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IFERROR(VLOOKUP(B92,input_358105!L:R,7,FALSE),VLOOKUP(tables_358105!C92,input_358105!A:H,8,FALSE))</f>
        <v>3640.4</v>
      </c>
      <c r="P92" s="46">
        <f ca="1">O92/SUM(O:O)</f>
        <v>6.1410256410256408E-4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input_358105!A$2</f>
        <v>358105</v>
      </c>
      <c r="B93" s="5">
        <v>217</v>
      </c>
      <c r="C93" s="7" t="str">
        <f t="shared" si="2"/>
        <v>Premium3</v>
      </c>
      <c r="D93" s="7" t="str">
        <f t="shared" si="3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IFERROR(VLOOKUP(B93,input_358105!L:R,7,FALSE),VLOOKUP(tables_358105!C93,input_358105!A:H,8,FALSE))</f>
        <v>0</v>
      </c>
      <c r="P93" s="46">
        <f ca="1">O93/SUM(O:O)</f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input_358105!A$2</f>
        <v>358105</v>
      </c>
      <c r="B94" s="5">
        <v>218</v>
      </c>
      <c r="C94" s="7" t="str">
        <f t="shared" si="2"/>
        <v>Premium4</v>
      </c>
      <c r="D94" s="7" t="str">
        <f t="shared" si="3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IFERROR(VLOOKUP(B94,input_358105!L:R,7,FALSE),VLOOKUP(tables_358105!C94,input_358105!A:H,8,FALSE))</f>
        <v>69167.600000000006</v>
      </c>
      <c r="P94" s="46">
        <f ca="1">O94/SUM(O:O)</f>
        <v>1.1667948717948719E-2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input_358105!A$2</f>
        <v>358105</v>
      </c>
      <c r="B95" s="5">
        <v>219</v>
      </c>
      <c r="C95" s="7" t="str">
        <f t="shared" si="2"/>
        <v>Premium5</v>
      </c>
      <c r="D95" s="7" t="str">
        <f t="shared" si="3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IFERROR(VLOOKUP(B95,input_358105!L:R,7,FALSE),VLOOKUP(tables_358105!C95,input_358105!A:H,8,FALSE))</f>
        <v>3640.4</v>
      </c>
      <c r="P95" s="46">
        <f ca="1">O95/SUM(O:O)</f>
        <v>6.1410256410256408E-4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input_358105!A$2</f>
        <v>358105</v>
      </c>
      <c r="B96" s="5">
        <v>220</v>
      </c>
      <c r="C96" s="7" t="str">
        <f t="shared" si="2"/>
        <v>Premium3</v>
      </c>
      <c r="D96" s="7" t="str">
        <f t="shared" si="3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IFERROR(VLOOKUP(B96,input_358105!L:R,7,FALSE),VLOOKUP(tables_358105!C96,input_358105!A:H,8,FALSE))</f>
        <v>0</v>
      </c>
      <c r="P96" s="46">
        <f ca="1">O96/SUM(O:O)</f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input_358105!A$2</f>
        <v>358105</v>
      </c>
      <c r="B97" s="5">
        <v>221</v>
      </c>
      <c r="C97" s="7" t="str">
        <f t="shared" si="2"/>
        <v>Premium4</v>
      </c>
      <c r="D97" s="7" t="str">
        <f t="shared" si="3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IFERROR(VLOOKUP(B97,input_358105!L:R,7,FALSE),VLOOKUP(tables_358105!C97,input_358105!A:H,8,FALSE))</f>
        <v>69167.600000000006</v>
      </c>
      <c r="P97" s="46">
        <f ca="1">O97/SUM(O:O)</f>
        <v>1.1667948717948719E-2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input_358105!A$2</f>
        <v>358105</v>
      </c>
      <c r="B98" s="5">
        <v>222</v>
      </c>
      <c r="C98" s="7" t="str">
        <f t="shared" si="2"/>
        <v>Premium5</v>
      </c>
      <c r="D98" s="7" t="str">
        <f t="shared" si="3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IFERROR(VLOOKUP(B98,input_358105!L:R,7,FALSE),VLOOKUP(tables_358105!C98,input_358105!A:H,8,FALSE))</f>
        <v>3640.4</v>
      </c>
      <c r="P98" s="46">
        <f ca="1">O98/SUM(O:O)</f>
        <v>6.1410256410256408E-4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input_358105!A$2</f>
        <v>358105</v>
      </c>
      <c r="B99" s="5">
        <v>223</v>
      </c>
      <c r="C99" s="7" t="str">
        <f t="shared" si="2"/>
        <v>Premium3</v>
      </c>
      <c r="D99" s="7" t="str">
        <f t="shared" si="3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IFERROR(VLOOKUP(B99,input_358105!L:R,7,FALSE),VLOOKUP(tables_358105!C99,input_358105!A:H,8,FALSE))</f>
        <v>0</v>
      </c>
      <c r="P99" s="46">
        <f ca="1">O99/SUM(O:O)</f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input_358105!A$2</f>
        <v>358105</v>
      </c>
      <c r="B100" s="5">
        <v>224</v>
      </c>
      <c r="C100" s="7" t="str">
        <f t="shared" si="2"/>
        <v>Premium4</v>
      </c>
      <c r="D100" s="7" t="str">
        <f t="shared" si="3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IFERROR(VLOOKUP(B100,input_358105!L:R,7,FALSE),VLOOKUP(tables_358105!C100,input_358105!A:H,8,FALSE))</f>
        <v>69167.600000000006</v>
      </c>
      <c r="P100" s="46">
        <f ca="1">O100/SUM(O:O)</f>
        <v>1.1667948717948719E-2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input_358105!A$2</f>
        <v>358105</v>
      </c>
      <c r="B101" s="5">
        <v>225</v>
      </c>
      <c r="C101" s="7" t="str">
        <f t="shared" si="2"/>
        <v>Premium5</v>
      </c>
      <c r="D101" s="7" t="str">
        <f t="shared" si="3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IFERROR(VLOOKUP(B101,input_358105!L:R,7,FALSE),VLOOKUP(tables_358105!C101,input_358105!A:H,8,FALSE))</f>
        <v>3640.4</v>
      </c>
      <c r="P101" s="46">
        <f ca="1">O101/SUM(O:O)</f>
        <v>6.1410256410256408E-4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input_358105!A$2</f>
        <v>358105</v>
      </c>
      <c r="B102" s="5">
        <v>226</v>
      </c>
      <c r="C102" s="7" t="str">
        <f t="shared" si="2"/>
        <v>Premium3</v>
      </c>
      <c r="D102" s="7" t="str">
        <f t="shared" si="3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IFERROR(VLOOKUP(B102,input_358105!L:R,7,FALSE),VLOOKUP(tables_358105!C102,input_358105!A:H,8,FALSE))</f>
        <v>0</v>
      </c>
      <c r="P102" s="46">
        <f ca="1">O102/SUM(O:O)</f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input_358105!A$2</f>
        <v>358105</v>
      </c>
      <c r="B103" s="5">
        <v>227</v>
      </c>
      <c r="C103" s="7" t="str">
        <f t="shared" si="2"/>
        <v>Premium4</v>
      </c>
      <c r="D103" s="7" t="str">
        <f t="shared" si="3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IFERROR(VLOOKUP(B103,input_358105!L:R,7,FALSE),VLOOKUP(tables_358105!C103,input_358105!A:H,8,FALSE))</f>
        <v>69167.600000000006</v>
      </c>
      <c r="P103" s="46">
        <f ca="1">O103/SUM(O:O)</f>
        <v>1.1667948717948719E-2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input_358105!A$2</f>
        <v>358105</v>
      </c>
      <c r="B104" s="5">
        <v>228</v>
      </c>
      <c r="C104" s="7" t="str">
        <f t="shared" si="2"/>
        <v>Premium5</v>
      </c>
      <c r="D104" s="7" t="str">
        <f t="shared" si="3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IFERROR(VLOOKUP(B104,input_358105!L:R,7,FALSE),VLOOKUP(tables_358105!C104,input_358105!A:H,8,FALSE))</f>
        <v>3640.4</v>
      </c>
      <c r="P104" s="46">
        <f ca="1">O104/SUM(O:O)</f>
        <v>6.1410256410256408E-4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input_358105!A$2</f>
        <v>358105</v>
      </c>
      <c r="B105" s="5">
        <v>229</v>
      </c>
      <c r="C105" s="7" t="str">
        <f t="shared" si="2"/>
        <v>Premium3</v>
      </c>
      <c r="D105" s="7" t="str">
        <f t="shared" si="3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IFERROR(VLOOKUP(B105,input_358105!L:R,7,FALSE),VLOOKUP(tables_358105!C105,input_358105!A:H,8,FALSE))</f>
        <v>0</v>
      </c>
      <c r="P105" s="46">
        <f ca="1">O105/SUM(O:O)</f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input_358105!A$2</f>
        <v>358105</v>
      </c>
      <c r="B106" s="5">
        <v>230</v>
      </c>
      <c r="C106" s="7" t="str">
        <f t="shared" si="2"/>
        <v>Premium4</v>
      </c>
      <c r="D106" s="7" t="str">
        <f t="shared" si="3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IFERROR(VLOOKUP(B106,input_358105!L:R,7,FALSE),VLOOKUP(tables_358105!C106,input_358105!A:H,8,FALSE))</f>
        <v>69167.600000000006</v>
      </c>
      <c r="P106" s="46">
        <f ca="1">O106/SUM(O:O)</f>
        <v>1.1667948717948719E-2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input_358105!A$2</f>
        <v>358105</v>
      </c>
      <c r="B107" s="5">
        <v>231</v>
      </c>
      <c r="C107" s="7" t="str">
        <f t="shared" si="2"/>
        <v>Premium5</v>
      </c>
      <c r="D107" s="7" t="str">
        <f t="shared" si="3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IFERROR(VLOOKUP(B107,input_358105!L:R,7,FALSE),VLOOKUP(tables_358105!C107,input_358105!A:H,8,FALSE))</f>
        <v>3640.4</v>
      </c>
      <c r="P107" s="46">
        <f ca="1">O107/SUM(O:O)</f>
        <v>6.1410256410256408E-4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input_358105!A$2</f>
        <v>358105</v>
      </c>
      <c r="B108" s="5">
        <v>232</v>
      </c>
      <c r="C108" s="7" t="str">
        <f t="shared" si="2"/>
        <v>Premium3</v>
      </c>
      <c r="D108" s="7" t="str">
        <f t="shared" si="3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IFERROR(VLOOKUP(B108,input_358105!L:R,7,FALSE),VLOOKUP(tables_358105!C108,input_358105!A:H,8,FALSE))</f>
        <v>0</v>
      </c>
      <c r="P108" s="46">
        <f ca="1">O108/SUM(O:O)</f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input_358105!A$2</f>
        <v>358105</v>
      </c>
      <c r="B109" s="5">
        <v>233</v>
      </c>
      <c r="C109" s="7" t="str">
        <f t="shared" si="2"/>
        <v>Premium4</v>
      </c>
      <c r="D109" s="7" t="str">
        <f t="shared" si="3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IFERROR(VLOOKUP(B109,input_358105!L:R,7,FALSE),VLOOKUP(tables_358105!C109,input_358105!A:H,8,FALSE))</f>
        <v>69167.600000000006</v>
      </c>
      <c r="P109" s="46">
        <f ca="1">O109/SUM(O:O)</f>
        <v>1.1667948717948719E-2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input_358105!A$2</f>
        <v>358105</v>
      </c>
      <c r="B110" s="5">
        <v>234</v>
      </c>
      <c r="C110" s="7" t="str">
        <f t="shared" si="2"/>
        <v>Premium5</v>
      </c>
      <c r="D110" s="7" t="str">
        <f t="shared" si="3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IFERROR(VLOOKUP(B110,input_358105!L:R,7,FALSE),VLOOKUP(tables_358105!C110,input_358105!A:H,8,FALSE))</f>
        <v>3640.4</v>
      </c>
      <c r="P110" s="46">
        <f ca="1">O110/SUM(O:O)</f>
        <v>6.1410256410256408E-4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input_358105!A$2</f>
        <v>358105</v>
      </c>
      <c r="B111" s="5">
        <v>235</v>
      </c>
      <c r="C111" s="7" t="str">
        <f t="shared" si="2"/>
        <v>Premium3R6release</v>
      </c>
      <c r="D111" s="7" t="str">
        <f t="shared" si="3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IFERROR(VLOOKUP(B111,input_358105!L:R,7,FALSE),VLOOKUP(tables_358105!C111,input_358105!A:H,8,FALSE))</f>
        <v>0</v>
      </c>
      <c r="P111" s="46">
        <f ca="1">O111/SUM(O:O)</f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input_358105!A$2</f>
        <v>358105</v>
      </c>
      <c r="B112" s="5">
        <v>236</v>
      </c>
      <c r="C112" s="7" t="str">
        <f t="shared" si="2"/>
        <v>Premium4R6release</v>
      </c>
      <c r="D112" s="7" t="str">
        <f t="shared" si="3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IFERROR(VLOOKUP(B112,input_358105!L:R,7,FALSE),VLOOKUP(tables_358105!C112,input_358105!A:H,8,FALSE))</f>
        <v>4446</v>
      </c>
      <c r="P112" s="46">
        <f ca="1">O112/SUM(O:O)</f>
        <v>7.5000000000000002E-4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input_358105!A$2</f>
        <v>358105</v>
      </c>
      <c r="B113" s="5">
        <v>237</v>
      </c>
      <c r="C113" s="7" t="str">
        <f t="shared" si="2"/>
        <v>Premium5R6release</v>
      </c>
      <c r="D113" s="7" t="str">
        <f t="shared" si="3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IFERROR(VLOOKUP(B113,input_358105!L:R,7,FALSE),VLOOKUP(tables_358105!C113,input_358105!A:H,8,FALSE))</f>
        <v>234</v>
      </c>
      <c r="P113" s="46">
        <f ca="1">O113/SUM(O:O)</f>
        <v>3.9473684210526316E-5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input_358105!A$2</f>
        <v>358105</v>
      </c>
      <c r="B114" s="5">
        <v>238</v>
      </c>
      <c r="C114" s="7" t="str">
        <f t="shared" si="2"/>
        <v>Premium3</v>
      </c>
      <c r="D114" s="7" t="str">
        <f t="shared" si="3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IFERROR(VLOOKUP(B114,input_358105!L:R,7,FALSE),VLOOKUP(tables_358105!C114,input_358105!A:H,8,FALSE))</f>
        <v>0</v>
      </c>
      <c r="P114" s="46">
        <f ca="1">O114/SUM(O:O)</f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input_358105!A$2</f>
        <v>358105</v>
      </c>
      <c r="B115" s="5">
        <v>239</v>
      </c>
      <c r="C115" s="7" t="str">
        <f t="shared" si="2"/>
        <v>Premium4</v>
      </c>
      <c r="D115" s="7" t="str">
        <f t="shared" si="3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IFERROR(VLOOKUP(B115,input_358105!L:R,7,FALSE),VLOOKUP(tables_358105!C115,input_358105!A:H,8,FALSE))</f>
        <v>69167.600000000006</v>
      </c>
      <c r="P115" s="46">
        <f ca="1">O115/SUM(O:O)</f>
        <v>1.1667948717948719E-2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input_358105!A$2</f>
        <v>358105</v>
      </c>
      <c r="B116" s="5">
        <v>240</v>
      </c>
      <c r="C116" s="7" t="str">
        <f t="shared" si="2"/>
        <v>Premium5</v>
      </c>
      <c r="D116" s="7" t="str">
        <f t="shared" si="3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IFERROR(VLOOKUP(B116,input_358105!L:R,7,FALSE),VLOOKUP(tables_358105!C116,input_358105!A:H,8,FALSE))</f>
        <v>3640.4</v>
      </c>
      <c r="P116" s="46">
        <f ca="1">O116/SUM(O:O)</f>
        <v>6.1410256410256408E-4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input_358105!A$2</f>
        <v>358105</v>
      </c>
      <c r="B117" s="5">
        <v>241</v>
      </c>
      <c r="C117" s="7" t="str">
        <f t="shared" si="2"/>
        <v>Premium3</v>
      </c>
      <c r="D117" s="7" t="str">
        <f t="shared" si="3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IFERROR(VLOOKUP(B117,input_358105!L:R,7,FALSE),VLOOKUP(tables_358105!C117,input_358105!A:H,8,FALSE))</f>
        <v>0</v>
      </c>
      <c r="P117" s="46">
        <f ca="1">O117/SUM(O:O)</f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input_358105!A$2</f>
        <v>358105</v>
      </c>
      <c r="B118" s="5">
        <v>242</v>
      </c>
      <c r="C118" s="7" t="str">
        <f t="shared" si="2"/>
        <v>Premium4</v>
      </c>
      <c r="D118" s="7" t="str">
        <f t="shared" si="3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IFERROR(VLOOKUP(B118,input_358105!L:R,7,FALSE),VLOOKUP(tables_358105!C118,input_358105!A:H,8,FALSE))</f>
        <v>69167.600000000006</v>
      </c>
      <c r="P118" s="46">
        <f ca="1">O118/SUM(O:O)</f>
        <v>1.1667948717948719E-2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input_358105!A$2</f>
        <v>358105</v>
      </c>
      <c r="B119" s="5">
        <v>243</v>
      </c>
      <c r="C119" s="7" t="str">
        <f t="shared" si="2"/>
        <v>Premium5</v>
      </c>
      <c r="D119" s="7" t="str">
        <f t="shared" si="3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IFERROR(VLOOKUP(B119,input_358105!L:R,7,FALSE),VLOOKUP(tables_358105!C119,input_358105!A:H,8,FALSE))</f>
        <v>3640.4</v>
      </c>
      <c r="P119" s="46">
        <f ca="1">O119/SUM(O:O)</f>
        <v>6.1410256410256408E-4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input_358105!A$2</f>
        <v>358105</v>
      </c>
      <c r="B120" s="5">
        <v>244</v>
      </c>
      <c r="C120" s="7" t="str">
        <f t="shared" si="2"/>
        <v>Premium3</v>
      </c>
      <c r="D120" s="7" t="str">
        <f t="shared" si="3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IFERROR(VLOOKUP(B120,input_358105!L:R,7,FALSE),VLOOKUP(tables_358105!C120,input_358105!A:H,8,FALSE))</f>
        <v>0</v>
      </c>
      <c r="P120" s="46">
        <f ca="1">O120/SUM(O:O)</f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input_358105!A$2</f>
        <v>358105</v>
      </c>
      <c r="B121" s="5">
        <v>245</v>
      </c>
      <c r="C121" s="7" t="str">
        <f t="shared" si="2"/>
        <v>Premium4</v>
      </c>
      <c r="D121" s="7" t="str">
        <f t="shared" si="3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IFERROR(VLOOKUP(B121,input_358105!L:R,7,FALSE),VLOOKUP(tables_358105!C121,input_358105!A:H,8,FALSE))</f>
        <v>69167.600000000006</v>
      </c>
      <c r="P121" s="46">
        <f ca="1">O121/SUM(O:O)</f>
        <v>1.1667948717948719E-2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input_358105!A$2</f>
        <v>358105</v>
      </c>
      <c r="B122" s="5">
        <v>246</v>
      </c>
      <c r="C122" s="7" t="str">
        <f t="shared" si="2"/>
        <v>Premium5</v>
      </c>
      <c r="D122" s="7" t="str">
        <f t="shared" si="3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IFERROR(VLOOKUP(B122,input_358105!L:R,7,FALSE),VLOOKUP(tables_358105!C122,input_358105!A:H,8,FALSE))</f>
        <v>3640.4</v>
      </c>
      <c r="P122" s="46">
        <f ca="1">O122/SUM(O:O)</f>
        <v>6.1410256410256408E-4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input_358105!A$2</f>
        <v>358105</v>
      </c>
      <c r="B123" s="5">
        <v>247</v>
      </c>
      <c r="C123" s="7" t="str">
        <f t="shared" si="2"/>
        <v>Premium3</v>
      </c>
      <c r="D123" s="7" t="str">
        <f t="shared" si="3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IFERROR(VLOOKUP(B123,input_358105!L:R,7,FALSE),VLOOKUP(tables_358105!C123,input_358105!A:H,8,FALSE))</f>
        <v>0</v>
      </c>
      <c r="P123" s="46">
        <f ca="1">O123/SUM(O:O)</f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input_358105!A$2</f>
        <v>358105</v>
      </c>
      <c r="B124" s="5">
        <v>248</v>
      </c>
      <c r="C124" s="7" t="str">
        <f t="shared" si="2"/>
        <v>Premium4</v>
      </c>
      <c r="D124" s="7" t="str">
        <f t="shared" si="3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IFERROR(VLOOKUP(B124,input_358105!L:R,7,FALSE),VLOOKUP(tables_358105!C124,input_358105!A:H,8,FALSE))</f>
        <v>69167.600000000006</v>
      </c>
      <c r="P124" s="46">
        <f ca="1">O124/SUM(O:O)</f>
        <v>1.1667948717948719E-2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input_358105!A$2</f>
        <v>358105</v>
      </c>
      <c r="B125" s="6">
        <v>249</v>
      </c>
      <c r="C125" s="7" t="str">
        <f t="shared" si="2"/>
        <v>Premium5</v>
      </c>
      <c r="D125" s="7" t="str">
        <f t="shared" si="3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IFERROR(VLOOKUP(B125,input_358105!L:R,7,FALSE),VLOOKUP(tables_358105!C125,input_358105!A:H,8,FALSE))</f>
        <v>3640.4</v>
      </c>
      <c r="P125" s="46">
        <f ca="1">O125/SUM(O:O)</f>
        <v>6.1410256410256408E-4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input_358105!A$2</f>
        <v>358105</v>
      </c>
      <c r="B126" s="6">
        <v>250</v>
      </c>
      <c r="C126" s="7" t="str">
        <f t="shared" si="2"/>
        <v>Premium3</v>
      </c>
      <c r="D126" s="7" t="str">
        <f t="shared" si="3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IFERROR(VLOOKUP(B126,input_358105!L:R,7,FALSE),VLOOKUP(tables_358105!C126,input_358105!A:H,8,FALSE))</f>
        <v>0</v>
      </c>
      <c r="P126" s="46">
        <f ca="1">O126/SUM(O:O)</f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input_358105!A$2</f>
        <v>358105</v>
      </c>
      <c r="B127" s="6">
        <v>251</v>
      </c>
      <c r="C127" s="7" t="str">
        <f t="shared" si="2"/>
        <v>Premium4</v>
      </c>
      <c r="D127" s="7" t="str">
        <f t="shared" si="3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IFERROR(VLOOKUP(B127,input_358105!L:R,7,FALSE),VLOOKUP(tables_358105!C127,input_358105!A:H,8,FALSE))</f>
        <v>69167.600000000006</v>
      </c>
      <c r="P127" s="46">
        <f ca="1">O127/SUM(O:O)</f>
        <v>1.1667948717948719E-2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input_358105!A$2</f>
        <v>358105</v>
      </c>
      <c r="B128" s="6">
        <v>252</v>
      </c>
      <c r="C128" s="7" t="str">
        <f t="shared" si="2"/>
        <v>Premium5</v>
      </c>
      <c r="D128" s="7" t="str">
        <f t="shared" si="3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IFERROR(VLOOKUP(B128,input_358105!L:R,7,FALSE),VLOOKUP(tables_358105!C128,input_358105!A:H,8,FALSE))</f>
        <v>3640.4</v>
      </c>
      <c r="P128" s="46">
        <f ca="1">O128/SUM(O:O)</f>
        <v>6.1410256410256408E-4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input_358105!A$2</f>
        <v>358105</v>
      </c>
      <c r="B129" s="6">
        <v>253</v>
      </c>
      <c r="C129" s="7" t="str">
        <f t="shared" si="2"/>
        <v>Premium3</v>
      </c>
      <c r="D129" s="7" t="str">
        <f t="shared" si="3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IFERROR(VLOOKUP(B129,input_358105!L:R,7,FALSE),VLOOKUP(tables_358105!C129,input_358105!A:H,8,FALSE))</f>
        <v>0</v>
      </c>
      <c r="P129" s="46">
        <f ca="1">O129/SUM(O:O)</f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input_358105!A$2</f>
        <v>358105</v>
      </c>
      <c r="B130" s="6">
        <v>254</v>
      </c>
      <c r="C130" s="7" t="str">
        <f t="shared" ref="C130:C193" si="4">D130&amp;J130&amp;E130&amp;F130&amp;G130</f>
        <v>Premium4</v>
      </c>
      <c r="D130" s="7" t="str">
        <f t="shared" ref="D130:D193" si="5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IFERROR(VLOOKUP(B130,input_358105!L:R,7,FALSE),VLOOKUP(tables_358105!C130,input_358105!A:H,8,FALSE))</f>
        <v>69167.600000000006</v>
      </c>
      <c r="P130" s="46">
        <f ca="1">O130/SUM(O:O)</f>
        <v>1.1667948717948719E-2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input_358105!A$2</f>
        <v>358105</v>
      </c>
      <c r="B131" s="6">
        <v>255</v>
      </c>
      <c r="C131" s="7" t="str">
        <f t="shared" si="4"/>
        <v>Premium5</v>
      </c>
      <c r="D131" s="7" t="str">
        <f t="shared" si="5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IFERROR(VLOOKUP(B131,input_358105!L:R,7,FALSE),VLOOKUP(tables_358105!C131,input_358105!A:H,8,FALSE))</f>
        <v>3640.4</v>
      </c>
      <c r="P131" s="46">
        <f ca="1">O131/SUM(O:O)</f>
        <v>6.1410256410256408E-4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input_358105!A$2</f>
        <v>358105</v>
      </c>
      <c r="B132" s="6">
        <v>256</v>
      </c>
      <c r="C132" s="7" t="str">
        <f t="shared" si="4"/>
        <v>Premium3</v>
      </c>
      <c r="D132" s="7" t="str">
        <f t="shared" si="5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IFERROR(VLOOKUP(B132,input_358105!L:R,7,FALSE),VLOOKUP(tables_358105!C132,input_358105!A:H,8,FALSE))</f>
        <v>0</v>
      </c>
      <c r="P132" s="46">
        <f ca="1">O132/SUM(O:O)</f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input_358105!A$2</f>
        <v>358105</v>
      </c>
      <c r="B133" s="6">
        <v>257</v>
      </c>
      <c r="C133" s="7" t="str">
        <f t="shared" si="4"/>
        <v>Premium4</v>
      </c>
      <c r="D133" s="7" t="str">
        <f t="shared" si="5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IFERROR(VLOOKUP(B133,input_358105!L:R,7,FALSE),VLOOKUP(tables_358105!C133,input_358105!A:H,8,FALSE))</f>
        <v>69167.600000000006</v>
      </c>
      <c r="P133" s="46">
        <f ca="1">O133/SUM(O:O)</f>
        <v>1.1667948717948719E-2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input_358105!A$2</f>
        <v>358105</v>
      </c>
      <c r="B134" s="6">
        <v>258</v>
      </c>
      <c r="C134" s="7" t="str">
        <f t="shared" si="4"/>
        <v>Premium5</v>
      </c>
      <c r="D134" s="7" t="str">
        <f t="shared" si="5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IFERROR(VLOOKUP(B134,input_358105!L:R,7,FALSE),VLOOKUP(tables_358105!C134,input_358105!A:H,8,FALSE))</f>
        <v>3640.4</v>
      </c>
      <c r="P134" s="46">
        <f ca="1">O134/SUM(O:O)</f>
        <v>6.1410256410256408E-4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input_358105!A$2</f>
        <v>358105</v>
      </c>
      <c r="B135" s="6">
        <v>259</v>
      </c>
      <c r="C135" s="7" t="str">
        <f t="shared" si="4"/>
        <v>Premium3</v>
      </c>
      <c r="D135" s="7" t="str">
        <f t="shared" si="5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IFERROR(VLOOKUP(B135,input_358105!L:R,7,FALSE),VLOOKUP(tables_358105!C135,input_358105!A:H,8,FALSE))</f>
        <v>0</v>
      </c>
      <c r="P135" s="46">
        <f ca="1">O135/SUM(O:O)</f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input_358105!A$2</f>
        <v>358105</v>
      </c>
      <c r="B136" s="8">
        <v>260</v>
      </c>
      <c r="C136" s="7" t="str">
        <f t="shared" si="4"/>
        <v>Premium4</v>
      </c>
      <c r="D136" s="7" t="str">
        <f t="shared" si="5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IFERROR(VLOOKUP(B136,input_358105!L:R,7,FALSE),VLOOKUP(tables_358105!C136,input_358105!A:H,8,FALSE))</f>
        <v>69167.600000000006</v>
      </c>
      <c r="P136" s="46">
        <f ca="1">O136/SUM(O:O)</f>
        <v>1.1667948717948719E-2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input_358105!A$2</f>
        <v>358105</v>
      </c>
      <c r="B137" s="8">
        <v>261</v>
      </c>
      <c r="C137" s="7" t="str">
        <f t="shared" si="4"/>
        <v>Premium5</v>
      </c>
      <c r="D137" s="7" t="str">
        <f t="shared" si="5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IFERROR(VLOOKUP(B137,input_358105!L:R,7,FALSE),VLOOKUP(tables_358105!C137,input_358105!A:H,8,FALSE))</f>
        <v>3640.4</v>
      </c>
      <c r="P137" s="46">
        <f ca="1">O137/SUM(O:O)</f>
        <v>6.1410256410256408E-4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input_358105!A$2</f>
        <v>358105</v>
      </c>
      <c r="B138" s="6">
        <v>320</v>
      </c>
      <c r="C138" s="7" t="str">
        <f t="shared" si="4"/>
        <v>PremiumSS4</v>
      </c>
      <c r="D138" s="7" t="str">
        <f t="shared" si="5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IFERROR(VLOOKUP(B138,input_358105!L:R,7,FALSE),VLOOKUP(tables_358105!C138,input_358105!A:H,8,FALSE))</f>
        <v>4446</v>
      </c>
      <c r="P138" s="46">
        <f ca="1">O138/SUM(O:O)</f>
        <v>7.5000000000000002E-4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input_358105!A$2</f>
        <v>358105</v>
      </c>
      <c r="B139" s="6">
        <v>321</v>
      </c>
      <c r="C139" s="7" t="str">
        <f t="shared" si="4"/>
        <v>PremiumSS5</v>
      </c>
      <c r="D139" s="7" t="str">
        <f t="shared" si="5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IFERROR(VLOOKUP(B139,input_358105!L:R,7,FALSE),VLOOKUP(tables_358105!C139,input_358105!A:H,8,FALSE))</f>
        <v>234</v>
      </c>
      <c r="P139" s="46">
        <f ca="1">O139/SUM(O:O)</f>
        <v>3.9473684210526316E-5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input_358105!A$2</f>
        <v>358105</v>
      </c>
      <c r="B140" s="6">
        <v>322</v>
      </c>
      <c r="C140" s="7" t="str">
        <f t="shared" si="4"/>
        <v>PremiumSS4</v>
      </c>
      <c r="D140" s="7" t="str">
        <f t="shared" si="5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IFERROR(VLOOKUP(B140,input_358105!L:R,7,FALSE),VLOOKUP(tables_358105!C140,input_358105!A:H,8,FALSE))</f>
        <v>4446</v>
      </c>
      <c r="P140" s="46">
        <f ca="1">O140/SUM(O:O)</f>
        <v>7.5000000000000002E-4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input_358105!A$2</f>
        <v>358105</v>
      </c>
      <c r="B141" s="6">
        <v>323</v>
      </c>
      <c r="C141" s="7" t="str">
        <f t="shared" si="4"/>
        <v>PremiumSS5</v>
      </c>
      <c r="D141" s="7" t="str">
        <f t="shared" si="5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IFERROR(VLOOKUP(B141,input_358105!L:R,7,FALSE),VLOOKUP(tables_358105!C141,input_358105!A:H,8,FALSE))</f>
        <v>234</v>
      </c>
      <c r="P141" s="46">
        <f ca="1">O141/SUM(O:O)</f>
        <v>3.9473684210526316E-5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input_358105!A$2</f>
        <v>358105</v>
      </c>
      <c r="B142" s="6">
        <v>324</v>
      </c>
      <c r="C142" s="7" t="str">
        <f t="shared" si="4"/>
        <v>PremiumSS4</v>
      </c>
      <c r="D142" s="7" t="str">
        <f t="shared" si="5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IFERROR(VLOOKUP(B142,input_358105!L:R,7,FALSE),VLOOKUP(tables_358105!C142,input_358105!A:H,8,FALSE))</f>
        <v>4446</v>
      </c>
      <c r="P142" s="46">
        <f ca="1">O142/SUM(O:O)</f>
        <v>7.5000000000000002E-4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input_358105!A$2</f>
        <v>358105</v>
      </c>
      <c r="B143" s="6">
        <v>325</v>
      </c>
      <c r="C143" s="7" t="str">
        <f t="shared" si="4"/>
        <v>PremiumSS5</v>
      </c>
      <c r="D143" s="7" t="str">
        <f t="shared" si="5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IFERROR(VLOOKUP(B143,input_358105!L:R,7,FALSE),VLOOKUP(tables_358105!C143,input_358105!A:H,8,FALSE))</f>
        <v>234</v>
      </c>
      <c r="P143" s="46">
        <f ca="1">O143/SUM(O:O)</f>
        <v>3.9473684210526316E-5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input_358105!A$2</f>
        <v>358105</v>
      </c>
      <c r="B144" s="6">
        <v>326</v>
      </c>
      <c r="C144" s="7" t="str">
        <f t="shared" si="4"/>
        <v>PremiumSS4</v>
      </c>
      <c r="D144" s="7" t="str">
        <f t="shared" si="5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IFERROR(VLOOKUP(B144,input_358105!L:R,7,FALSE),VLOOKUP(tables_358105!C144,input_358105!A:H,8,FALSE))</f>
        <v>4446</v>
      </c>
      <c r="P144" s="46">
        <f ca="1">O144/SUM(O:O)</f>
        <v>7.5000000000000002E-4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input_358105!A$2</f>
        <v>358105</v>
      </c>
      <c r="B145" s="6">
        <v>327</v>
      </c>
      <c r="C145" s="7" t="str">
        <f t="shared" si="4"/>
        <v>PremiumSS5</v>
      </c>
      <c r="D145" s="7" t="str">
        <f t="shared" si="5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IFERROR(VLOOKUP(B145,input_358105!L:R,7,FALSE),VLOOKUP(tables_358105!C145,input_358105!A:H,8,FALSE))</f>
        <v>234</v>
      </c>
      <c r="P145" s="46">
        <f ca="1">O145/SUM(O:O)</f>
        <v>3.9473684210526316E-5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input_358105!A$2</f>
        <v>358105</v>
      </c>
      <c r="B146" s="6">
        <v>380</v>
      </c>
      <c r="C146" s="7" t="str">
        <f t="shared" si="4"/>
        <v>Premium3</v>
      </c>
      <c r="D146" s="7" t="str">
        <f t="shared" si="5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IFERROR(VLOOKUP(B146,input_358105!L:R,7,FALSE),VLOOKUP(tables_358105!C146,input_358105!A:H,8,FALSE))</f>
        <v>0</v>
      </c>
      <c r="P146" s="46">
        <f ca="1">O146/SUM(O:O)</f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input_358105!A$2</f>
        <v>358105</v>
      </c>
      <c r="B147" s="6">
        <v>381</v>
      </c>
      <c r="C147" s="7" t="str">
        <f t="shared" si="4"/>
        <v>Premium4</v>
      </c>
      <c r="D147" s="7" t="str">
        <f t="shared" si="5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IFERROR(VLOOKUP(B147,input_358105!L:R,7,FALSE),VLOOKUP(tables_358105!C147,input_358105!A:H,8,FALSE))</f>
        <v>69167.600000000006</v>
      </c>
      <c r="P147" s="46">
        <f ca="1">O147/SUM(O:O)</f>
        <v>1.1667948717948719E-2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input_358105!A$2</f>
        <v>358105</v>
      </c>
      <c r="B148" s="6">
        <v>382</v>
      </c>
      <c r="C148" s="7" t="str">
        <f t="shared" si="4"/>
        <v>Premium5</v>
      </c>
      <c r="D148" s="7" t="str">
        <f t="shared" si="5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IFERROR(VLOOKUP(B148,input_358105!L:R,7,FALSE),VLOOKUP(tables_358105!C148,input_358105!A:H,8,FALSE))</f>
        <v>3640.4</v>
      </c>
      <c r="P148" s="46">
        <f ca="1">O148/SUM(O:O)</f>
        <v>6.1410256410256408E-4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input_358105!A$2</f>
        <v>358105</v>
      </c>
      <c r="B149" s="6">
        <v>383</v>
      </c>
      <c r="C149" s="7" t="str">
        <f t="shared" si="4"/>
        <v>PremiumSS4</v>
      </c>
      <c r="D149" s="7" t="str">
        <f t="shared" si="5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IFERROR(VLOOKUP(B149,input_358105!L:R,7,FALSE),VLOOKUP(tables_358105!C149,input_358105!A:H,8,FALSE))</f>
        <v>4446</v>
      </c>
      <c r="P149" s="46">
        <f ca="1">O149/SUM(O:O)</f>
        <v>7.5000000000000002E-4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input_358105!A$2</f>
        <v>358105</v>
      </c>
      <c r="B150" s="6">
        <v>384</v>
      </c>
      <c r="C150" s="7" t="str">
        <f t="shared" si="4"/>
        <v>PremiumSS5</v>
      </c>
      <c r="D150" s="7" t="str">
        <f t="shared" si="5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IFERROR(VLOOKUP(B150,input_358105!L:R,7,FALSE),VLOOKUP(tables_358105!C150,input_358105!A:H,8,FALSE))</f>
        <v>234</v>
      </c>
      <c r="P150" s="46">
        <f ca="1">O150/SUM(O:O)</f>
        <v>3.9473684210526316E-5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input_358105!A$2</f>
        <v>358105</v>
      </c>
      <c r="B151" s="6">
        <v>385</v>
      </c>
      <c r="C151" s="7" t="str">
        <f t="shared" si="4"/>
        <v>PremiumSS4</v>
      </c>
      <c r="D151" s="7" t="str">
        <f t="shared" si="5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IFERROR(VLOOKUP(B151,input_358105!L:R,7,FALSE),VLOOKUP(tables_358105!C151,input_358105!A:H,8,FALSE))</f>
        <v>4446</v>
      </c>
      <c r="P151" s="46">
        <f ca="1">O151/SUM(O:O)</f>
        <v>7.5000000000000002E-4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input_358105!A$2</f>
        <v>358105</v>
      </c>
      <c r="B152" s="6">
        <v>386</v>
      </c>
      <c r="C152" s="7" t="str">
        <f t="shared" si="4"/>
        <v>PremiumSS5</v>
      </c>
      <c r="D152" s="7" t="str">
        <f t="shared" si="5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IFERROR(VLOOKUP(B152,input_358105!L:R,7,FALSE),VLOOKUP(tables_358105!C152,input_358105!A:H,8,FALSE))</f>
        <v>234</v>
      </c>
      <c r="P152" s="46">
        <f ca="1">O152/SUM(O:O)</f>
        <v>3.9473684210526316E-5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input_358105!A$2</f>
        <v>358105</v>
      </c>
      <c r="B153" s="6">
        <v>387</v>
      </c>
      <c r="C153" s="7" t="str">
        <f t="shared" si="4"/>
        <v>Premium3</v>
      </c>
      <c r="D153" s="7" t="str">
        <f t="shared" si="5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IFERROR(VLOOKUP(B153,input_358105!L:R,7,FALSE),VLOOKUP(tables_358105!C153,input_358105!A:H,8,FALSE))</f>
        <v>0</v>
      </c>
      <c r="P153" s="46">
        <f ca="1">O153/SUM(O:O)</f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input_358105!A$2</f>
        <v>358105</v>
      </c>
      <c r="B154" s="6">
        <v>388</v>
      </c>
      <c r="C154" s="7" t="str">
        <f t="shared" si="4"/>
        <v>Premium4</v>
      </c>
      <c r="D154" s="7" t="str">
        <f t="shared" si="5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IFERROR(VLOOKUP(B154,input_358105!L:R,7,FALSE),VLOOKUP(tables_358105!C154,input_358105!A:H,8,FALSE))</f>
        <v>69167.600000000006</v>
      </c>
      <c r="P154" s="46">
        <f ca="1">O154/SUM(O:O)</f>
        <v>1.1667948717948719E-2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input_358105!A$2</f>
        <v>358105</v>
      </c>
      <c r="B155" s="6">
        <v>389</v>
      </c>
      <c r="C155" s="7" t="str">
        <f t="shared" si="4"/>
        <v>Premium5</v>
      </c>
      <c r="D155" s="7" t="str">
        <f t="shared" si="5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IFERROR(VLOOKUP(B155,input_358105!L:R,7,FALSE),VLOOKUP(tables_358105!C155,input_358105!A:H,8,FALSE))</f>
        <v>3640.4</v>
      </c>
      <c r="P155" s="46">
        <f ca="1">O155/SUM(O:O)</f>
        <v>6.1410256410256408E-4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input_358105!A$2</f>
        <v>358105</v>
      </c>
      <c r="B156" s="6">
        <v>390</v>
      </c>
      <c r="C156" s="7" t="str">
        <f t="shared" si="4"/>
        <v>PremiumSS4</v>
      </c>
      <c r="D156" s="7" t="str">
        <f t="shared" si="5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IFERROR(VLOOKUP(B156,input_358105!L:R,7,FALSE),VLOOKUP(tables_358105!C156,input_358105!A:H,8,FALSE))</f>
        <v>4446</v>
      </c>
      <c r="P156" s="46">
        <f ca="1">O156/SUM(O:O)</f>
        <v>7.5000000000000002E-4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input_358105!A$2</f>
        <v>358105</v>
      </c>
      <c r="B157" s="6">
        <v>391</v>
      </c>
      <c r="C157" s="7" t="str">
        <f t="shared" si="4"/>
        <v>PremiumSS5</v>
      </c>
      <c r="D157" s="7" t="str">
        <f t="shared" si="5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IFERROR(VLOOKUP(B157,input_358105!L:R,7,FALSE),VLOOKUP(tables_358105!C157,input_358105!A:H,8,FALSE))</f>
        <v>234</v>
      </c>
      <c r="P157" s="46">
        <f ca="1">O157/SUM(O:O)</f>
        <v>3.9473684210526316E-5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input_358105!A$2</f>
        <v>358105</v>
      </c>
      <c r="B158" s="6">
        <v>392</v>
      </c>
      <c r="C158" s="7" t="str">
        <f t="shared" si="4"/>
        <v>Premium3</v>
      </c>
      <c r="D158" s="7" t="str">
        <f t="shared" si="5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IFERROR(VLOOKUP(B158,input_358105!L:R,7,FALSE),VLOOKUP(tables_358105!C158,input_358105!A:H,8,FALSE))</f>
        <v>0</v>
      </c>
      <c r="P158" s="46">
        <f ca="1">O158/SUM(O:O)</f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input_358105!A$2</f>
        <v>358105</v>
      </c>
      <c r="B159" s="6">
        <v>393</v>
      </c>
      <c r="C159" s="7" t="str">
        <f t="shared" si="4"/>
        <v>Premium4</v>
      </c>
      <c r="D159" s="7" t="str">
        <f t="shared" si="5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IFERROR(VLOOKUP(B159,input_358105!L:R,7,FALSE),VLOOKUP(tables_358105!C159,input_358105!A:H,8,FALSE))</f>
        <v>69167.600000000006</v>
      </c>
      <c r="P159" s="46">
        <f ca="1">O159/SUM(O:O)</f>
        <v>1.1667948717948719E-2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input_358105!A$2</f>
        <v>358105</v>
      </c>
      <c r="B160" s="6">
        <v>394</v>
      </c>
      <c r="C160" s="7" t="str">
        <f t="shared" si="4"/>
        <v>Premium5</v>
      </c>
      <c r="D160" s="7" t="str">
        <f t="shared" si="5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IFERROR(VLOOKUP(B160,input_358105!L:R,7,FALSE),VLOOKUP(tables_358105!C160,input_358105!A:H,8,FALSE))</f>
        <v>3640.4</v>
      </c>
      <c r="P160" s="46">
        <f ca="1">O160/SUM(O:O)</f>
        <v>6.1410256410256408E-4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input_358105!A$2</f>
        <v>358105</v>
      </c>
      <c r="B161" s="6">
        <v>395</v>
      </c>
      <c r="C161" s="7" t="str">
        <f t="shared" si="4"/>
        <v>Premium3</v>
      </c>
      <c r="D161" s="7" t="str">
        <f t="shared" si="5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IFERROR(VLOOKUP(B161,input_358105!L:R,7,FALSE),VLOOKUP(tables_358105!C161,input_358105!A:H,8,FALSE))</f>
        <v>0</v>
      </c>
      <c r="P161" s="46">
        <f ca="1">O161/SUM(O:O)</f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input_358105!A$2</f>
        <v>358105</v>
      </c>
      <c r="B162" s="6">
        <v>396</v>
      </c>
      <c r="C162" s="7" t="str">
        <f t="shared" si="4"/>
        <v>Premium4</v>
      </c>
      <c r="D162" s="7" t="str">
        <f t="shared" si="5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IFERROR(VLOOKUP(B162,input_358105!L:R,7,FALSE),VLOOKUP(tables_358105!C162,input_358105!A:H,8,FALSE))</f>
        <v>69167.600000000006</v>
      </c>
      <c r="P162" s="46">
        <f ca="1">O162/SUM(O:O)</f>
        <v>1.1667948717948719E-2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input_358105!A$2</f>
        <v>358105</v>
      </c>
      <c r="B163" s="6">
        <v>397</v>
      </c>
      <c r="C163" s="7" t="str">
        <f t="shared" si="4"/>
        <v>Premium5</v>
      </c>
      <c r="D163" s="7" t="str">
        <f t="shared" si="5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IFERROR(VLOOKUP(B163,input_358105!L:R,7,FALSE),VLOOKUP(tables_358105!C163,input_358105!A:H,8,FALSE))</f>
        <v>3640.4</v>
      </c>
      <c r="P163" s="46">
        <f ca="1">O163/SUM(O:O)</f>
        <v>6.1410256410256408E-4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input_358105!A$2</f>
        <v>358105</v>
      </c>
      <c r="B164" s="6">
        <v>398</v>
      </c>
      <c r="C164" s="7" t="str">
        <f t="shared" si="4"/>
        <v>PremiumSS4</v>
      </c>
      <c r="D164" s="7" t="str">
        <f t="shared" si="5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IFERROR(VLOOKUP(B164,input_358105!L:R,7,FALSE),VLOOKUP(tables_358105!C164,input_358105!A:H,8,FALSE))</f>
        <v>4446</v>
      </c>
      <c r="P164" s="46">
        <f ca="1">O164/SUM(O:O)</f>
        <v>7.5000000000000002E-4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input_358105!A$2</f>
        <v>358105</v>
      </c>
      <c r="B165" s="6">
        <v>399</v>
      </c>
      <c r="C165" s="7" t="str">
        <f t="shared" si="4"/>
        <v>PremiumSS5</v>
      </c>
      <c r="D165" s="7" t="str">
        <f t="shared" si="5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IFERROR(VLOOKUP(B165,input_358105!L:R,7,FALSE),VLOOKUP(tables_358105!C165,input_358105!A:H,8,FALSE))</f>
        <v>234</v>
      </c>
      <c r="P165" s="46">
        <f ca="1">O165/SUM(O:O)</f>
        <v>3.9473684210526316E-5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input_358105!A$2</f>
        <v>358105</v>
      </c>
      <c r="B166" s="6">
        <v>400</v>
      </c>
      <c r="C166" s="7" t="str">
        <f t="shared" si="4"/>
        <v>Premium3</v>
      </c>
      <c r="D166" s="7" t="str">
        <f t="shared" si="5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IFERROR(VLOOKUP(B166,input_358105!L:R,7,FALSE),VLOOKUP(tables_358105!C166,input_358105!A:H,8,FALSE))</f>
        <v>0</v>
      </c>
      <c r="P166" s="46">
        <f ca="1">O166/SUM(O:O)</f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input_358105!A$2</f>
        <v>358105</v>
      </c>
      <c r="B167" s="6">
        <v>401</v>
      </c>
      <c r="C167" s="7" t="str">
        <f t="shared" si="4"/>
        <v>Premium4</v>
      </c>
      <c r="D167" s="7" t="str">
        <f t="shared" si="5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IFERROR(VLOOKUP(B167,input_358105!L:R,7,FALSE),VLOOKUP(tables_358105!C167,input_358105!A:H,8,FALSE))</f>
        <v>69167.600000000006</v>
      </c>
      <c r="P167" s="46">
        <f ca="1">O167/SUM(O:O)</f>
        <v>1.1667948717948719E-2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input_358105!A$2</f>
        <v>358105</v>
      </c>
      <c r="B168" s="6">
        <v>402</v>
      </c>
      <c r="C168" s="7" t="str">
        <f t="shared" si="4"/>
        <v>Premium5</v>
      </c>
      <c r="D168" s="7" t="str">
        <f t="shared" si="5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IFERROR(VLOOKUP(B168,input_358105!L:R,7,FALSE),VLOOKUP(tables_358105!C168,input_358105!A:H,8,FALSE))</f>
        <v>3640.4</v>
      </c>
      <c r="P168" s="46">
        <f ca="1">O168/SUM(O:O)</f>
        <v>6.1410256410256408E-4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input_358105!A$2</f>
        <v>358105</v>
      </c>
      <c r="B169" s="6">
        <v>403</v>
      </c>
      <c r="C169" s="7" t="str">
        <f t="shared" si="4"/>
        <v>PremiumSS4</v>
      </c>
      <c r="D169" s="7" t="str">
        <f t="shared" si="5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IFERROR(VLOOKUP(B169,input_358105!L:R,7,FALSE),VLOOKUP(tables_358105!C169,input_358105!A:H,8,FALSE))</f>
        <v>4446</v>
      </c>
      <c r="P169" s="46">
        <f ca="1">O169/SUM(O:O)</f>
        <v>7.5000000000000002E-4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input_358105!A$2</f>
        <v>358105</v>
      </c>
      <c r="B170" s="6">
        <v>404</v>
      </c>
      <c r="C170" s="7" t="str">
        <f t="shared" si="4"/>
        <v>PremiumSS5</v>
      </c>
      <c r="D170" s="7" t="str">
        <f t="shared" si="5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IFERROR(VLOOKUP(B170,input_358105!L:R,7,FALSE),VLOOKUP(tables_358105!C170,input_358105!A:H,8,FALSE))</f>
        <v>234</v>
      </c>
      <c r="P170" s="46">
        <f ca="1">O170/SUM(O:O)</f>
        <v>3.9473684210526316E-5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input_358105!A$2</f>
        <v>358105</v>
      </c>
      <c r="B171" s="6">
        <v>405</v>
      </c>
      <c r="C171" s="7" t="str">
        <f t="shared" si="4"/>
        <v>Premium3</v>
      </c>
      <c r="D171" s="7" t="str">
        <f t="shared" si="5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IFERROR(VLOOKUP(B171,input_358105!L:R,7,FALSE),VLOOKUP(tables_358105!C171,input_358105!A:H,8,FALSE))</f>
        <v>0</v>
      </c>
      <c r="P171" s="46">
        <f ca="1">O171/SUM(O:O)</f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input_358105!A$2</f>
        <v>358105</v>
      </c>
      <c r="B172" s="6">
        <v>406</v>
      </c>
      <c r="C172" s="7" t="str">
        <f t="shared" si="4"/>
        <v>Premium4</v>
      </c>
      <c r="D172" s="7" t="str">
        <f t="shared" si="5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IFERROR(VLOOKUP(B172,input_358105!L:R,7,FALSE),VLOOKUP(tables_358105!C172,input_358105!A:H,8,FALSE))</f>
        <v>69167.600000000006</v>
      </c>
      <c r="P172" s="46">
        <f ca="1">O172/SUM(O:O)</f>
        <v>1.1667948717948719E-2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input_358105!A$2</f>
        <v>358105</v>
      </c>
      <c r="B173" s="6">
        <v>407</v>
      </c>
      <c r="C173" s="7" t="str">
        <f t="shared" si="4"/>
        <v>Premium5</v>
      </c>
      <c r="D173" s="7" t="str">
        <f t="shared" si="5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IFERROR(VLOOKUP(B173,input_358105!L:R,7,FALSE),VLOOKUP(tables_358105!C173,input_358105!A:H,8,FALSE))</f>
        <v>3640.4</v>
      </c>
      <c r="P173" s="46">
        <f ca="1">O173/SUM(O:O)</f>
        <v>6.1410256410256408E-4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input_358105!A$2</f>
        <v>358105</v>
      </c>
      <c r="B174" s="6">
        <v>408</v>
      </c>
      <c r="C174" s="7" t="str">
        <f t="shared" si="4"/>
        <v>PremiumSS4</v>
      </c>
      <c r="D174" s="7" t="str">
        <f t="shared" si="5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IFERROR(VLOOKUP(B174,input_358105!L:R,7,FALSE),VLOOKUP(tables_358105!C174,input_358105!A:H,8,FALSE))</f>
        <v>4446</v>
      </c>
      <c r="P174" s="46">
        <f ca="1">O174/SUM(O:O)</f>
        <v>7.5000000000000002E-4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input_358105!A$2</f>
        <v>358105</v>
      </c>
      <c r="B175" s="6">
        <v>409</v>
      </c>
      <c r="C175" s="7" t="str">
        <f t="shared" si="4"/>
        <v>PremiumSS5</v>
      </c>
      <c r="D175" s="7" t="str">
        <f t="shared" si="5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IFERROR(VLOOKUP(B175,input_358105!L:R,7,FALSE),VLOOKUP(tables_358105!C175,input_358105!A:H,8,FALSE))</f>
        <v>234</v>
      </c>
      <c r="P175" s="46">
        <f ca="1">O175/SUM(O:O)</f>
        <v>3.9473684210526316E-5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input_358105!A$2</f>
        <v>358105</v>
      </c>
      <c r="B176" s="6">
        <v>434</v>
      </c>
      <c r="C176" s="7" t="str">
        <f t="shared" si="4"/>
        <v>PremiumSS4</v>
      </c>
      <c r="D176" s="7" t="str">
        <f t="shared" si="5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IFERROR(VLOOKUP(B176,input_358105!L:R,7,FALSE),VLOOKUP(tables_358105!C176,input_358105!A:H,8,FALSE))</f>
        <v>4446</v>
      </c>
      <c r="P176" s="46">
        <f ca="1">O176/SUM(O:O)</f>
        <v>7.5000000000000002E-4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input_358105!A$2</f>
        <v>358105</v>
      </c>
      <c r="B177" s="6">
        <v>435</v>
      </c>
      <c r="C177" s="7" t="str">
        <f t="shared" si="4"/>
        <v>PremiumSS5</v>
      </c>
      <c r="D177" s="7" t="str">
        <f t="shared" si="5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IFERROR(VLOOKUP(B177,input_358105!L:R,7,FALSE),VLOOKUP(tables_358105!C177,input_358105!A:H,8,FALSE))</f>
        <v>234</v>
      </c>
      <c r="P177" s="46">
        <f ca="1">O177/SUM(O:O)</f>
        <v>3.9473684210526316E-5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input_358105!A$2</f>
        <v>358105</v>
      </c>
      <c r="B178" s="6">
        <v>436</v>
      </c>
      <c r="C178" s="7" t="str">
        <f t="shared" si="4"/>
        <v>Premium3</v>
      </c>
      <c r="D178" s="7" t="str">
        <f t="shared" si="5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IFERROR(VLOOKUP(B178,input_358105!L:R,7,FALSE),VLOOKUP(tables_358105!C178,input_358105!A:H,8,FALSE))</f>
        <v>0</v>
      </c>
      <c r="P178" s="46">
        <f ca="1">O178/SUM(O:O)</f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input_358105!A$2</f>
        <v>358105</v>
      </c>
      <c r="B179" s="6">
        <v>437</v>
      </c>
      <c r="C179" s="7" t="str">
        <f t="shared" si="4"/>
        <v>Premium4</v>
      </c>
      <c r="D179" s="7" t="str">
        <f t="shared" si="5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IFERROR(VLOOKUP(B179,input_358105!L:R,7,FALSE),VLOOKUP(tables_358105!C179,input_358105!A:H,8,FALSE))</f>
        <v>69167.600000000006</v>
      </c>
      <c r="P179" s="46">
        <f ca="1">O179/SUM(O:O)</f>
        <v>1.1667948717948719E-2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input_358105!A$2</f>
        <v>358105</v>
      </c>
      <c r="B180" s="6">
        <v>438</v>
      </c>
      <c r="C180" s="7" t="str">
        <f t="shared" si="4"/>
        <v>Premium5</v>
      </c>
      <c r="D180" s="7" t="str">
        <f t="shared" si="5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IFERROR(VLOOKUP(B180,input_358105!L:R,7,FALSE),VLOOKUP(tables_358105!C180,input_358105!A:H,8,FALSE))</f>
        <v>3640.4</v>
      </c>
      <c r="P180" s="46">
        <f ca="1">O180/SUM(O:O)</f>
        <v>6.1410256410256408E-4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input_358105!A$2</f>
        <v>358105</v>
      </c>
      <c r="B181" s="6">
        <v>439</v>
      </c>
      <c r="C181" s="7" t="str">
        <f t="shared" si="4"/>
        <v>Premium3</v>
      </c>
      <c r="D181" s="7" t="str">
        <f t="shared" si="5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IFERROR(VLOOKUP(B181,input_358105!L:R,7,FALSE),VLOOKUP(tables_358105!C181,input_358105!A:H,8,FALSE))</f>
        <v>0</v>
      </c>
      <c r="P181" s="46">
        <f ca="1">O181/SUM(O:O)</f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input_358105!A$2</f>
        <v>358105</v>
      </c>
      <c r="B182" s="6">
        <v>440</v>
      </c>
      <c r="C182" s="7" t="str">
        <f t="shared" si="4"/>
        <v>Premium4</v>
      </c>
      <c r="D182" s="7" t="str">
        <f t="shared" si="5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IFERROR(VLOOKUP(B182,input_358105!L:R,7,FALSE),VLOOKUP(tables_358105!C182,input_358105!A:H,8,FALSE))</f>
        <v>69167.600000000006</v>
      </c>
      <c r="P182" s="46">
        <f ca="1">O182/SUM(O:O)</f>
        <v>1.1667948717948719E-2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input_358105!A$2</f>
        <v>358105</v>
      </c>
      <c r="B183" s="6">
        <v>441</v>
      </c>
      <c r="C183" s="7" t="str">
        <f t="shared" si="4"/>
        <v>Premium5</v>
      </c>
      <c r="D183" s="7" t="str">
        <f t="shared" si="5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IFERROR(VLOOKUP(B183,input_358105!L:R,7,FALSE),VLOOKUP(tables_358105!C183,input_358105!A:H,8,FALSE))</f>
        <v>3640.4</v>
      </c>
      <c r="P183" s="46">
        <f ca="1">O183/SUM(O:O)</f>
        <v>6.1410256410256408E-4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input_358105!A$2</f>
        <v>358105</v>
      </c>
      <c r="B184" s="6">
        <v>442</v>
      </c>
      <c r="C184" s="7" t="str">
        <f t="shared" si="4"/>
        <v>PremiumSS4</v>
      </c>
      <c r="D184" s="7" t="str">
        <f t="shared" si="5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IFERROR(VLOOKUP(B184,input_358105!L:R,7,FALSE),VLOOKUP(tables_358105!C184,input_358105!A:H,8,FALSE))</f>
        <v>4446</v>
      </c>
      <c r="P184" s="46">
        <f ca="1">O184/SUM(O:O)</f>
        <v>7.5000000000000002E-4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input_358105!A$2</f>
        <v>358105</v>
      </c>
      <c r="B185" s="6">
        <v>443</v>
      </c>
      <c r="C185" s="7" t="str">
        <f t="shared" si="4"/>
        <v>PremiumSS5</v>
      </c>
      <c r="D185" s="7" t="str">
        <f t="shared" si="5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IFERROR(VLOOKUP(B185,input_358105!L:R,7,FALSE),VLOOKUP(tables_358105!C185,input_358105!A:H,8,FALSE))</f>
        <v>234</v>
      </c>
      <c r="P185" s="46">
        <f ca="1">O185/SUM(O:O)</f>
        <v>3.9473684210526316E-5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input_358105!A$2</f>
        <v>358105</v>
      </c>
      <c r="B186" s="8">
        <v>462</v>
      </c>
      <c r="C186" s="7" t="str">
        <f t="shared" si="4"/>
        <v>Premium3</v>
      </c>
      <c r="D186" s="7" t="str">
        <f t="shared" si="5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IFERROR(VLOOKUP(B186,input_358105!L:R,7,FALSE),VLOOKUP(tables_358105!C186,input_358105!A:H,8,FALSE))</f>
        <v>0</v>
      </c>
      <c r="P186" s="46">
        <f ca="1">O186/SUM(O:O)</f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input_358105!A$2</f>
        <v>358105</v>
      </c>
      <c r="B187" s="8">
        <v>463</v>
      </c>
      <c r="C187" s="7" t="str">
        <f t="shared" si="4"/>
        <v>Premium4</v>
      </c>
      <c r="D187" s="7" t="str">
        <f t="shared" si="5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IFERROR(VLOOKUP(B187,input_358105!L:R,7,FALSE),VLOOKUP(tables_358105!C187,input_358105!A:H,8,FALSE))</f>
        <v>69167.600000000006</v>
      </c>
      <c r="P187" s="46">
        <f ca="1">O187/SUM(O:O)</f>
        <v>1.1667948717948719E-2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input_358105!A$2</f>
        <v>358105</v>
      </c>
      <c r="B188" s="8">
        <v>464</v>
      </c>
      <c r="C188" s="7" t="str">
        <f t="shared" si="4"/>
        <v>Premium5</v>
      </c>
      <c r="D188" s="7" t="str">
        <f t="shared" si="5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IFERROR(VLOOKUP(B188,input_358105!L:R,7,FALSE),VLOOKUP(tables_358105!C188,input_358105!A:H,8,FALSE))</f>
        <v>3640.4</v>
      </c>
      <c r="P188" s="46">
        <f ca="1">O188/SUM(O:O)</f>
        <v>6.1410256410256408E-4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input_358105!A$2</f>
        <v>358105</v>
      </c>
      <c r="B189" s="8">
        <v>465</v>
      </c>
      <c r="C189" s="7" t="str">
        <f t="shared" si="4"/>
        <v>PremiumSS4</v>
      </c>
      <c r="D189" s="7" t="str">
        <f t="shared" si="5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IFERROR(VLOOKUP(B189,input_358105!L:R,7,FALSE),VLOOKUP(tables_358105!C189,input_358105!A:H,8,FALSE))</f>
        <v>4446</v>
      </c>
      <c r="P189" s="46">
        <f ca="1">O189/SUM(O:O)</f>
        <v>7.5000000000000002E-4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input_358105!A$2</f>
        <v>358105</v>
      </c>
      <c r="B190" s="6">
        <v>466</v>
      </c>
      <c r="C190" s="7" t="str">
        <f t="shared" si="4"/>
        <v>PremiumSS5</v>
      </c>
      <c r="D190" s="7" t="str">
        <f t="shared" si="5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IFERROR(VLOOKUP(B190,input_358105!L:R,7,FALSE),VLOOKUP(tables_358105!C190,input_358105!A:H,8,FALSE))</f>
        <v>234</v>
      </c>
      <c r="P190" s="46">
        <f ca="1">O190/SUM(O:O)</f>
        <v>3.9473684210526316E-5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input_358105!A$2</f>
        <v>358105</v>
      </c>
      <c r="B191" s="6">
        <v>467</v>
      </c>
      <c r="C191" s="7" t="str">
        <f t="shared" si="4"/>
        <v>PremiumSS4</v>
      </c>
      <c r="D191" s="7" t="str">
        <f t="shared" si="5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IFERROR(VLOOKUP(B191,input_358105!L:R,7,FALSE),VLOOKUP(tables_358105!C191,input_358105!A:H,8,FALSE))</f>
        <v>4446</v>
      </c>
      <c r="P191" s="46">
        <f ca="1">O191/SUM(O:O)</f>
        <v>7.5000000000000002E-4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input_358105!A$2</f>
        <v>358105</v>
      </c>
      <c r="B192" s="6">
        <v>468</v>
      </c>
      <c r="C192" s="7" t="str">
        <f t="shared" si="4"/>
        <v>PremiumSS5</v>
      </c>
      <c r="D192" s="7" t="str">
        <f t="shared" si="5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IFERROR(VLOOKUP(B192,input_358105!L:R,7,FALSE),VLOOKUP(tables_358105!C192,input_358105!A:H,8,FALSE))</f>
        <v>234</v>
      </c>
      <c r="P192" s="46">
        <f ca="1">O192/SUM(O:O)</f>
        <v>3.9473684210526316E-5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input_358105!A$2</f>
        <v>358105</v>
      </c>
      <c r="B193" s="6">
        <v>469</v>
      </c>
      <c r="C193" s="7" t="str">
        <f t="shared" si="4"/>
        <v>Premium3</v>
      </c>
      <c r="D193" s="7" t="str">
        <f t="shared" si="5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IFERROR(VLOOKUP(B193,input_358105!L:R,7,FALSE),VLOOKUP(tables_358105!C193,input_358105!A:H,8,FALSE))</f>
        <v>0</v>
      </c>
      <c r="P193" s="46">
        <f ca="1">O193/SUM(O:O)</f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input_358105!A$2</f>
        <v>358105</v>
      </c>
      <c r="B194" s="6">
        <v>470</v>
      </c>
      <c r="C194" s="7" t="str">
        <f t="shared" ref="C194:C257" si="6">D194&amp;J194&amp;E194&amp;F194&amp;G194</f>
        <v>Premium4</v>
      </c>
      <c r="D194" s="7" t="str">
        <f t="shared" ref="D194:D257" si="7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IFERROR(VLOOKUP(B194,input_358105!L:R,7,FALSE),VLOOKUP(tables_358105!C194,input_358105!A:H,8,FALSE))</f>
        <v>69167.600000000006</v>
      </c>
      <c r="P194" s="46">
        <f ca="1">O194/SUM(O:O)</f>
        <v>1.1667948717948719E-2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input_358105!A$2</f>
        <v>358105</v>
      </c>
      <c r="B195" s="6">
        <v>471</v>
      </c>
      <c r="C195" s="7" t="str">
        <f t="shared" si="6"/>
        <v>Premium5</v>
      </c>
      <c r="D195" s="7" t="str">
        <f t="shared" si="7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IFERROR(VLOOKUP(B195,input_358105!L:R,7,FALSE),VLOOKUP(tables_358105!C195,input_358105!A:H,8,FALSE))</f>
        <v>3640.4</v>
      </c>
      <c r="P195" s="46">
        <f ca="1">O195/SUM(O:O)</f>
        <v>6.1410256410256408E-4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input_358105!A$2</f>
        <v>358105</v>
      </c>
      <c r="B196" s="6">
        <v>474</v>
      </c>
      <c r="C196" s="7" t="str">
        <f t="shared" si="6"/>
        <v>PremiumSS4</v>
      </c>
      <c r="D196" s="7" t="str">
        <f t="shared" si="7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IFERROR(VLOOKUP(B196,input_358105!L:R,7,FALSE),VLOOKUP(tables_358105!C196,input_358105!A:H,8,FALSE))</f>
        <v>4446</v>
      </c>
      <c r="P196" s="46">
        <f ca="1">O196/SUM(O:O)</f>
        <v>7.5000000000000002E-4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input_358105!A$2</f>
        <v>358105</v>
      </c>
      <c r="B197" s="6">
        <v>475</v>
      </c>
      <c r="C197" s="7" t="str">
        <f t="shared" si="6"/>
        <v>PremiumSS5</v>
      </c>
      <c r="D197" s="7" t="str">
        <f t="shared" si="7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IFERROR(VLOOKUP(B197,input_358105!L:R,7,FALSE),VLOOKUP(tables_358105!C197,input_358105!A:H,8,FALSE))</f>
        <v>234</v>
      </c>
      <c r="P197" s="46">
        <f ca="1">O197/SUM(O:O)</f>
        <v>3.9473684210526316E-5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input_358105!A$2</f>
        <v>358105</v>
      </c>
      <c r="B198" s="6">
        <v>476</v>
      </c>
      <c r="C198" s="7" t="str">
        <f t="shared" si="6"/>
        <v>Premium3</v>
      </c>
      <c r="D198" s="7" t="str">
        <f t="shared" si="7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IFERROR(VLOOKUP(B198,input_358105!L:R,7,FALSE),VLOOKUP(tables_358105!C198,input_358105!A:H,8,FALSE))</f>
        <v>0</v>
      </c>
      <c r="P198" s="46">
        <f ca="1">O198/SUM(O:O)</f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input_358105!A$2</f>
        <v>358105</v>
      </c>
      <c r="B199" s="6">
        <v>477</v>
      </c>
      <c r="C199" s="7" t="str">
        <f t="shared" si="6"/>
        <v>Premium4</v>
      </c>
      <c r="D199" s="7" t="str">
        <f t="shared" si="7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IFERROR(VLOOKUP(B199,input_358105!L:R,7,FALSE),VLOOKUP(tables_358105!C199,input_358105!A:H,8,FALSE))</f>
        <v>69167.600000000006</v>
      </c>
      <c r="P199" s="46">
        <f ca="1">O199/SUM(O:O)</f>
        <v>1.1667948717948719E-2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input_358105!A$2</f>
        <v>358105</v>
      </c>
      <c r="B200" s="6">
        <v>478</v>
      </c>
      <c r="C200" s="7" t="str">
        <f t="shared" si="6"/>
        <v>Premium5</v>
      </c>
      <c r="D200" s="7" t="str">
        <f t="shared" si="7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IFERROR(VLOOKUP(B200,input_358105!L:R,7,FALSE),VLOOKUP(tables_358105!C200,input_358105!A:H,8,FALSE))</f>
        <v>3640.4</v>
      </c>
      <c r="P200" s="46">
        <f ca="1">O200/SUM(O:O)</f>
        <v>6.1410256410256408E-4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input_358105!A$2</f>
        <v>358105</v>
      </c>
      <c r="B201" s="6">
        <v>479</v>
      </c>
      <c r="C201" s="7" t="str">
        <f t="shared" si="6"/>
        <v>PremiumSS4</v>
      </c>
      <c r="D201" s="7" t="str">
        <f t="shared" si="7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IFERROR(VLOOKUP(B201,input_358105!L:R,7,FALSE),VLOOKUP(tables_358105!C201,input_358105!A:H,8,FALSE))</f>
        <v>4446</v>
      </c>
      <c r="P201" s="46">
        <f ca="1">O201/SUM(O:O)</f>
        <v>7.5000000000000002E-4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input_358105!A$2</f>
        <v>358105</v>
      </c>
      <c r="B202" s="6">
        <v>480</v>
      </c>
      <c r="C202" s="7" t="str">
        <f t="shared" si="6"/>
        <v>PremiumSS5</v>
      </c>
      <c r="D202" s="7" t="str">
        <f t="shared" si="7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IFERROR(VLOOKUP(B202,input_358105!L:R,7,FALSE),VLOOKUP(tables_358105!C202,input_358105!A:H,8,FALSE))</f>
        <v>234</v>
      </c>
      <c r="P202" s="46">
        <f ca="1">O202/SUM(O:O)</f>
        <v>3.9473684210526316E-5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input_358105!A$2</f>
        <v>358105</v>
      </c>
      <c r="B203" s="6">
        <v>481</v>
      </c>
      <c r="C203" s="7" t="str">
        <f t="shared" si="6"/>
        <v>Premium3</v>
      </c>
      <c r="D203" s="7" t="str">
        <f t="shared" si="7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IFERROR(VLOOKUP(B203,input_358105!L:R,7,FALSE),VLOOKUP(tables_358105!C203,input_358105!A:H,8,FALSE))</f>
        <v>0</v>
      </c>
      <c r="P203" s="46">
        <f ca="1">O203/SUM(O:O)</f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input_358105!A$2</f>
        <v>358105</v>
      </c>
      <c r="B204" s="6">
        <v>482</v>
      </c>
      <c r="C204" s="7" t="str">
        <f t="shared" si="6"/>
        <v>Premium4</v>
      </c>
      <c r="D204" s="7" t="str">
        <f t="shared" si="7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IFERROR(VLOOKUP(B204,input_358105!L:R,7,FALSE),VLOOKUP(tables_358105!C204,input_358105!A:H,8,FALSE))</f>
        <v>69167.600000000006</v>
      </c>
      <c r="P204" s="46">
        <f ca="1">O204/SUM(O:O)</f>
        <v>1.1667948717948719E-2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input_358105!A$2</f>
        <v>358105</v>
      </c>
      <c r="B205" s="6">
        <v>483</v>
      </c>
      <c r="C205" s="7" t="str">
        <f t="shared" si="6"/>
        <v>Premium5</v>
      </c>
      <c r="D205" s="7" t="str">
        <f t="shared" si="7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IFERROR(VLOOKUP(B205,input_358105!L:R,7,FALSE),VLOOKUP(tables_358105!C205,input_358105!A:H,8,FALSE))</f>
        <v>3640.4</v>
      </c>
      <c r="P205" s="46">
        <f ca="1">O205/SUM(O:O)</f>
        <v>6.1410256410256408E-4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input_358105!A$2</f>
        <v>358105</v>
      </c>
      <c r="B206" s="6">
        <v>492</v>
      </c>
      <c r="C206" s="7" t="str">
        <f t="shared" si="6"/>
        <v>PremiumSS4</v>
      </c>
      <c r="D206" s="7" t="str">
        <f t="shared" si="7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IFERROR(VLOOKUP(B206,input_358105!L:R,7,FALSE),VLOOKUP(tables_358105!C206,input_358105!A:H,8,FALSE))</f>
        <v>4446</v>
      </c>
      <c r="P206" s="46">
        <f ca="1">O206/SUM(O:O)</f>
        <v>7.5000000000000002E-4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input_358105!A$2</f>
        <v>358105</v>
      </c>
      <c r="B207" s="6">
        <v>493</v>
      </c>
      <c r="C207" s="7" t="str">
        <f t="shared" si="6"/>
        <v>PremiumSS5</v>
      </c>
      <c r="D207" s="7" t="str">
        <f t="shared" si="7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IFERROR(VLOOKUP(B207,input_358105!L:R,7,FALSE),VLOOKUP(tables_358105!C207,input_358105!A:H,8,FALSE))</f>
        <v>234</v>
      </c>
      <c r="P207" s="46">
        <f ca="1">O207/SUM(O:O)</f>
        <v>3.9473684210526316E-5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input_358105!A$2</f>
        <v>358105</v>
      </c>
      <c r="B208" s="6">
        <v>494</v>
      </c>
      <c r="C208" s="7" t="str">
        <f t="shared" si="6"/>
        <v>PremiumSS4</v>
      </c>
      <c r="D208" s="7" t="str">
        <f t="shared" si="7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IFERROR(VLOOKUP(B208,input_358105!L:R,7,FALSE),VLOOKUP(tables_358105!C208,input_358105!A:H,8,FALSE))</f>
        <v>4446</v>
      </c>
      <c r="P208" s="46">
        <f ca="1">O208/SUM(O:O)</f>
        <v>7.5000000000000002E-4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input_358105!A$2</f>
        <v>358105</v>
      </c>
      <c r="B209" s="6">
        <v>495</v>
      </c>
      <c r="C209" s="7" t="str">
        <f t="shared" si="6"/>
        <v>PremiumSS5</v>
      </c>
      <c r="D209" s="7" t="str">
        <f t="shared" si="7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IFERROR(VLOOKUP(B209,input_358105!L:R,7,FALSE),VLOOKUP(tables_358105!C209,input_358105!A:H,8,FALSE))</f>
        <v>234</v>
      </c>
      <c r="P209" s="46">
        <f ca="1">O209/SUM(O:O)</f>
        <v>3.9473684210526316E-5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input_358105!A$2</f>
        <v>358105</v>
      </c>
      <c r="B210" s="6">
        <v>496</v>
      </c>
      <c r="C210" s="7" t="str">
        <f t="shared" si="6"/>
        <v>Premium3</v>
      </c>
      <c r="D210" s="7" t="str">
        <f t="shared" si="7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IFERROR(VLOOKUP(B210,input_358105!L:R,7,FALSE),VLOOKUP(tables_358105!C210,input_358105!A:H,8,FALSE))</f>
        <v>0</v>
      </c>
      <c r="P210" s="46">
        <f ca="1">O210/SUM(O:O)</f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input_358105!A$2</f>
        <v>358105</v>
      </c>
      <c r="B211" s="6">
        <v>497</v>
      </c>
      <c r="C211" s="7" t="str">
        <f t="shared" si="6"/>
        <v>Premium4</v>
      </c>
      <c r="D211" s="7" t="str">
        <f t="shared" si="7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IFERROR(VLOOKUP(B211,input_358105!L:R,7,FALSE),VLOOKUP(tables_358105!C211,input_358105!A:H,8,FALSE))</f>
        <v>69167.600000000006</v>
      </c>
      <c r="P211" s="46">
        <f ca="1">O211/SUM(O:O)</f>
        <v>1.1667948717948719E-2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input_358105!A$2</f>
        <v>358105</v>
      </c>
      <c r="B212" s="6">
        <v>498</v>
      </c>
      <c r="C212" s="7" t="str">
        <f t="shared" si="6"/>
        <v>Premium5</v>
      </c>
      <c r="D212" s="7" t="str">
        <f t="shared" si="7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IFERROR(VLOOKUP(B212,input_358105!L:R,7,FALSE),VLOOKUP(tables_358105!C212,input_358105!A:H,8,FALSE))</f>
        <v>3640.4</v>
      </c>
      <c r="P212" s="46">
        <f ca="1">O212/SUM(O:O)</f>
        <v>6.1410256410256408E-4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input_358105!A$2</f>
        <v>358105</v>
      </c>
      <c r="B213" s="6">
        <v>499</v>
      </c>
      <c r="C213" s="7" t="str">
        <f t="shared" si="6"/>
        <v>PremiumSS4</v>
      </c>
      <c r="D213" s="7" t="str">
        <f t="shared" si="7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IFERROR(VLOOKUP(B213,input_358105!L:R,7,FALSE),VLOOKUP(tables_358105!C213,input_358105!A:H,8,FALSE))</f>
        <v>4446</v>
      </c>
      <c r="P213" s="46">
        <f ca="1">O213/SUM(O:O)</f>
        <v>7.5000000000000002E-4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input_358105!A$2</f>
        <v>358105</v>
      </c>
      <c r="B214" s="6">
        <v>500</v>
      </c>
      <c r="C214" s="7" t="str">
        <f t="shared" si="6"/>
        <v>PremiumSS5</v>
      </c>
      <c r="D214" s="7" t="str">
        <f t="shared" si="7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IFERROR(VLOOKUP(B214,input_358105!L:R,7,FALSE),VLOOKUP(tables_358105!C214,input_358105!A:H,8,FALSE))</f>
        <v>234</v>
      </c>
      <c r="P214" s="46">
        <f ca="1">O214/SUM(O:O)</f>
        <v>3.9473684210526316E-5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input_358105!A$2</f>
        <v>358105</v>
      </c>
      <c r="B215" s="6">
        <v>586</v>
      </c>
      <c r="C215" s="7" t="str">
        <f t="shared" si="6"/>
        <v>PremiumSS4</v>
      </c>
      <c r="D215" s="7" t="str">
        <f t="shared" si="7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IFERROR(VLOOKUP(B215,input_358105!L:R,7,FALSE),VLOOKUP(tables_358105!C215,input_358105!A:H,8,FALSE))</f>
        <v>4446</v>
      </c>
      <c r="P215" s="46">
        <f ca="1">O215/SUM(O:O)</f>
        <v>7.5000000000000002E-4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input_358105!A$2</f>
        <v>358105</v>
      </c>
      <c r="B216" s="6">
        <v>587</v>
      </c>
      <c r="C216" s="7" t="str">
        <f t="shared" si="6"/>
        <v>PremiumSS5</v>
      </c>
      <c r="D216" s="7" t="str">
        <f t="shared" si="7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IFERROR(VLOOKUP(B216,input_358105!L:R,7,FALSE),VLOOKUP(tables_358105!C216,input_358105!A:H,8,FALSE))</f>
        <v>234</v>
      </c>
      <c r="P216" s="46">
        <f ca="1">O216/SUM(O:O)</f>
        <v>3.9473684210526316E-5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input_358105!A$2</f>
        <v>358105</v>
      </c>
      <c r="B217" s="6">
        <v>588</v>
      </c>
      <c r="C217" s="7" t="str">
        <f t="shared" si="6"/>
        <v>Premium3</v>
      </c>
      <c r="D217" s="7" t="str">
        <f t="shared" si="7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IFERROR(VLOOKUP(B217,input_358105!L:R,7,FALSE),VLOOKUP(tables_358105!C217,input_358105!A:H,8,FALSE))</f>
        <v>0</v>
      </c>
      <c r="P217" s="46">
        <f ca="1">O217/SUM(O:O)</f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input_358105!A$2</f>
        <v>358105</v>
      </c>
      <c r="B218" s="6">
        <v>589</v>
      </c>
      <c r="C218" s="7" t="str">
        <f t="shared" si="6"/>
        <v>Premium4</v>
      </c>
      <c r="D218" s="7" t="str">
        <f t="shared" si="7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IFERROR(VLOOKUP(B218,input_358105!L:R,7,FALSE),VLOOKUP(tables_358105!C218,input_358105!A:H,8,FALSE))</f>
        <v>69167.600000000006</v>
      </c>
      <c r="P218" s="46">
        <f ca="1">O218/SUM(O:O)</f>
        <v>1.1667948717948719E-2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input_358105!A$2</f>
        <v>358105</v>
      </c>
      <c r="B219" s="6">
        <v>590</v>
      </c>
      <c r="C219" s="7" t="str">
        <f t="shared" si="6"/>
        <v>Premium5</v>
      </c>
      <c r="D219" s="7" t="str">
        <f t="shared" si="7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IFERROR(VLOOKUP(B219,input_358105!L:R,7,FALSE),VLOOKUP(tables_358105!C219,input_358105!A:H,8,FALSE))</f>
        <v>3640.4</v>
      </c>
      <c r="P219" s="46">
        <f ca="1">O219/SUM(O:O)</f>
        <v>6.1410256410256408E-4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input_358105!A$2</f>
        <v>358105</v>
      </c>
      <c r="B220" s="6">
        <v>591</v>
      </c>
      <c r="C220" s="7" t="str">
        <f t="shared" si="6"/>
        <v>Premium3</v>
      </c>
      <c r="D220" s="7" t="str">
        <f t="shared" si="7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IFERROR(VLOOKUP(B220,input_358105!L:R,7,FALSE),VLOOKUP(tables_358105!C220,input_358105!A:H,8,FALSE))</f>
        <v>0</v>
      </c>
      <c r="P220" s="46">
        <f ca="1">O220/SUM(O:O)</f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input_358105!A$2</f>
        <v>358105</v>
      </c>
      <c r="B221" s="6">
        <v>592</v>
      </c>
      <c r="C221" s="7" t="str">
        <f t="shared" si="6"/>
        <v>Premium4</v>
      </c>
      <c r="D221" s="7" t="str">
        <f t="shared" si="7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IFERROR(VLOOKUP(B221,input_358105!L:R,7,FALSE),VLOOKUP(tables_358105!C221,input_358105!A:H,8,FALSE))</f>
        <v>69167.600000000006</v>
      </c>
      <c r="P221" s="46">
        <f ca="1">O221/SUM(O:O)</f>
        <v>1.1667948717948719E-2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input_358105!A$2</f>
        <v>358105</v>
      </c>
      <c r="B222" s="6">
        <v>593</v>
      </c>
      <c r="C222" s="7" t="str">
        <f t="shared" si="6"/>
        <v>Premium5</v>
      </c>
      <c r="D222" s="7" t="str">
        <f t="shared" si="7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IFERROR(VLOOKUP(B222,input_358105!L:R,7,FALSE),VLOOKUP(tables_358105!C222,input_358105!A:H,8,FALSE))</f>
        <v>3640.4</v>
      </c>
      <c r="P222" s="46">
        <f ca="1">O222/SUM(O:O)</f>
        <v>6.1410256410256408E-4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input_358105!A$2</f>
        <v>358105</v>
      </c>
      <c r="B223" s="6">
        <v>594</v>
      </c>
      <c r="C223" s="7" t="str">
        <f t="shared" si="6"/>
        <v>PremiumSS4</v>
      </c>
      <c r="D223" s="7" t="str">
        <f t="shared" si="7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IFERROR(VLOOKUP(B223,input_358105!L:R,7,FALSE),VLOOKUP(tables_358105!C223,input_358105!A:H,8,FALSE))</f>
        <v>4446</v>
      </c>
      <c r="P223" s="46">
        <f ca="1">O223/SUM(O:O)</f>
        <v>7.5000000000000002E-4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input_358105!A$2</f>
        <v>358105</v>
      </c>
      <c r="B224" s="6">
        <v>595</v>
      </c>
      <c r="C224" s="7" t="str">
        <f t="shared" si="6"/>
        <v>PremiumSS5</v>
      </c>
      <c r="D224" s="7" t="str">
        <f t="shared" si="7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IFERROR(VLOOKUP(B224,input_358105!L:R,7,FALSE),VLOOKUP(tables_358105!C224,input_358105!A:H,8,FALSE))</f>
        <v>234</v>
      </c>
      <c r="P224" s="46">
        <f ca="1">O224/SUM(O:O)</f>
        <v>3.9473684210526316E-5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input_358105!A$2</f>
        <v>358105</v>
      </c>
      <c r="B225" s="6">
        <v>596</v>
      </c>
      <c r="C225" s="7" t="str">
        <f t="shared" si="6"/>
        <v>Premium3</v>
      </c>
      <c r="D225" s="7" t="str">
        <f t="shared" si="7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IFERROR(VLOOKUP(B225,input_358105!L:R,7,FALSE),VLOOKUP(tables_358105!C225,input_358105!A:H,8,FALSE))</f>
        <v>0</v>
      </c>
      <c r="P225" s="46">
        <f ca="1">O225/SUM(O:O)</f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input_358105!A$2</f>
        <v>358105</v>
      </c>
      <c r="B226" s="6">
        <v>597</v>
      </c>
      <c r="C226" s="7" t="str">
        <f t="shared" si="6"/>
        <v>Premium4</v>
      </c>
      <c r="D226" s="7" t="str">
        <f t="shared" si="7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IFERROR(VLOOKUP(B226,input_358105!L:R,7,FALSE),VLOOKUP(tables_358105!C226,input_358105!A:H,8,FALSE))</f>
        <v>69167.600000000006</v>
      </c>
      <c r="P226" s="46">
        <f ca="1">O226/SUM(O:O)</f>
        <v>1.1667948717948719E-2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input_358105!A$2</f>
        <v>358105</v>
      </c>
      <c r="B227" s="6">
        <v>598</v>
      </c>
      <c r="C227" s="7" t="str">
        <f t="shared" si="6"/>
        <v>Premium5</v>
      </c>
      <c r="D227" s="7" t="str">
        <f t="shared" si="7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IFERROR(VLOOKUP(B227,input_358105!L:R,7,FALSE),VLOOKUP(tables_358105!C227,input_358105!A:H,8,FALSE))</f>
        <v>3640.4</v>
      </c>
      <c r="P227" s="46">
        <f ca="1">O227/SUM(O:O)</f>
        <v>6.1410256410256408E-4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input_358105!A$2</f>
        <v>358105</v>
      </c>
      <c r="B228" s="6">
        <v>599</v>
      </c>
      <c r="C228" s="7" t="str">
        <f t="shared" si="6"/>
        <v>Premium3</v>
      </c>
      <c r="D228" s="7" t="str">
        <f t="shared" si="7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IFERROR(VLOOKUP(B228,input_358105!L:R,7,FALSE),VLOOKUP(tables_358105!C228,input_358105!A:H,8,FALSE))</f>
        <v>0</v>
      </c>
      <c r="P228" s="46">
        <f ca="1">O228/SUM(O:O)</f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input_358105!A$2</f>
        <v>358105</v>
      </c>
      <c r="B229" s="6">
        <v>600</v>
      </c>
      <c r="C229" s="7" t="str">
        <f t="shared" si="6"/>
        <v>Premium4</v>
      </c>
      <c r="D229" s="7" t="str">
        <f t="shared" si="7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IFERROR(VLOOKUP(B229,input_358105!L:R,7,FALSE),VLOOKUP(tables_358105!C229,input_358105!A:H,8,FALSE))</f>
        <v>69167.600000000006</v>
      </c>
      <c r="P229" s="46">
        <f ca="1">O229/SUM(O:O)</f>
        <v>1.1667948717948719E-2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input_358105!A$2</f>
        <v>358105</v>
      </c>
      <c r="B230" s="6">
        <v>601</v>
      </c>
      <c r="C230" s="7" t="str">
        <f t="shared" si="6"/>
        <v>Premium5</v>
      </c>
      <c r="D230" s="7" t="str">
        <f t="shared" si="7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IFERROR(VLOOKUP(B230,input_358105!L:R,7,FALSE),VLOOKUP(tables_358105!C230,input_358105!A:H,8,FALSE))</f>
        <v>3640.4</v>
      </c>
      <c r="P230" s="46">
        <f ca="1">O230/SUM(O:O)</f>
        <v>6.1410256410256408E-4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input_358105!A$2</f>
        <v>358105</v>
      </c>
      <c r="B231" s="6">
        <v>602</v>
      </c>
      <c r="C231" s="7" t="str">
        <f t="shared" si="6"/>
        <v>PremiumSS4</v>
      </c>
      <c r="D231" s="7" t="str">
        <f t="shared" si="7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IFERROR(VLOOKUP(B231,input_358105!L:R,7,FALSE),VLOOKUP(tables_358105!C231,input_358105!A:H,8,FALSE))</f>
        <v>4446</v>
      </c>
      <c r="P231" s="46">
        <f ca="1">O231/SUM(O:O)</f>
        <v>7.5000000000000002E-4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input_358105!A$2</f>
        <v>358105</v>
      </c>
      <c r="B232" s="6">
        <v>603</v>
      </c>
      <c r="C232" s="7" t="str">
        <f t="shared" si="6"/>
        <v>PremiumSS5</v>
      </c>
      <c r="D232" s="7" t="str">
        <f t="shared" si="7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IFERROR(VLOOKUP(B232,input_358105!L:R,7,FALSE),VLOOKUP(tables_358105!C232,input_358105!A:H,8,FALSE))</f>
        <v>234</v>
      </c>
      <c r="P232" s="46">
        <f ca="1">O232/SUM(O:O)</f>
        <v>3.9473684210526316E-5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input_358105!A$2</f>
        <v>358105</v>
      </c>
      <c r="B233" s="6">
        <v>604</v>
      </c>
      <c r="C233" s="7" t="str">
        <f t="shared" si="6"/>
        <v>Premium3</v>
      </c>
      <c r="D233" s="7" t="str">
        <f t="shared" si="7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IFERROR(VLOOKUP(B233,input_358105!L:R,7,FALSE),VLOOKUP(tables_358105!C233,input_358105!A:H,8,FALSE))</f>
        <v>0</v>
      </c>
      <c r="P233" s="46">
        <f ca="1">O233/SUM(O:O)</f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input_358105!A$2</f>
        <v>358105</v>
      </c>
      <c r="B234" s="6">
        <v>605</v>
      </c>
      <c r="C234" s="7" t="str">
        <f t="shared" si="6"/>
        <v>Premium4</v>
      </c>
      <c r="D234" s="7" t="str">
        <f t="shared" si="7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IFERROR(VLOOKUP(B234,input_358105!L:R,7,FALSE),VLOOKUP(tables_358105!C234,input_358105!A:H,8,FALSE))</f>
        <v>69167.600000000006</v>
      </c>
      <c r="P234" s="46">
        <f ca="1">O234/SUM(O:O)</f>
        <v>1.1667948717948719E-2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input_358105!A$2</f>
        <v>358105</v>
      </c>
      <c r="B235" s="6">
        <v>606</v>
      </c>
      <c r="C235" s="7" t="str">
        <f t="shared" si="6"/>
        <v>Premium5</v>
      </c>
      <c r="D235" s="7" t="str">
        <f t="shared" si="7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IFERROR(VLOOKUP(B235,input_358105!L:R,7,FALSE),VLOOKUP(tables_358105!C235,input_358105!A:H,8,FALSE))</f>
        <v>3640.4</v>
      </c>
      <c r="P235" s="46">
        <f ca="1">O235/SUM(O:O)</f>
        <v>6.1410256410256408E-4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input_358105!A$2</f>
        <v>358105</v>
      </c>
      <c r="B236" s="6">
        <v>658</v>
      </c>
      <c r="C236" s="7" t="str">
        <f t="shared" si="6"/>
        <v>PremiumSS4</v>
      </c>
      <c r="D236" s="7" t="str">
        <f t="shared" si="7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IFERROR(VLOOKUP(B236,input_358105!L:R,7,FALSE),VLOOKUP(tables_358105!C236,input_358105!A:H,8,FALSE))</f>
        <v>4446</v>
      </c>
      <c r="P236" s="46">
        <f ca="1">O236/SUM(O:O)</f>
        <v>7.5000000000000002E-4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input_358105!A$2</f>
        <v>358105</v>
      </c>
      <c r="B237" s="6">
        <v>659</v>
      </c>
      <c r="C237" s="7" t="str">
        <f t="shared" si="6"/>
        <v>PremiumSS5</v>
      </c>
      <c r="D237" s="7" t="str">
        <f t="shared" si="7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IFERROR(VLOOKUP(B237,input_358105!L:R,7,FALSE),VLOOKUP(tables_358105!C237,input_358105!A:H,8,FALSE))</f>
        <v>234</v>
      </c>
      <c r="P237" s="46">
        <f ca="1">O237/SUM(O:O)</f>
        <v>3.9473684210526316E-5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input_358105!A$2</f>
        <v>358105</v>
      </c>
      <c r="B238" s="6">
        <v>660</v>
      </c>
      <c r="C238" s="7" t="str">
        <f t="shared" si="6"/>
        <v>PremiumSS4</v>
      </c>
      <c r="D238" s="7" t="str">
        <f t="shared" si="7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IFERROR(VLOOKUP(B238,input_358105!L:R,7,FALSE),VLOOKUP(tables_358105!C238,input_358105!A:H,8,FALSE))</f>
        <v>4446</v>
      </c>
      <c r="P238" s="46">
        <f ca="1">O238/SUM(O:O)</f>
        <v>7.5000000000000002E-4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input_358105!A$2</f>
        <v>358105</v>
      </c>
      <c r="B239" s="6">
        <v>661</v>
      </c>
      <c r="C239" s="7" t="str">
        <f t="shared" si="6"/>
        <v>PremiumSS5</v>
      </c>
      <c r="D239" s="7" t="str">
        <f t="shared" si="7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IFERROR(VLOOKUP(B239,input_358105!L:R,7,FALSE),VLOOKUP(tables_358105!C239,input_358105!A:H,8,FALSE))</f>
        <v>234</v>
      </c>
      <c r="P239" s="46">
        <f ca="1">O239/SUM(O:O)</f>
        <v>3.9473684210526316E-5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input_358105!A$2</f>
        <v>358105</v>
      </c>
      <c r="B240" s="6">
        <v>662</v>
      </c>
      <c r="C240" s="7" t="str">
        <f t="shared" si="6"/>
        <v>Premium3</v>
      </c>
      <c r="D240" s="7" t="str">
        <f t="shared" si="7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IFERROR(VLOOKUP(B240,input_358105!L:R,7,FALSE),VLOOKUP(tables_358105!C240,input_358105!A:H,8,FALSE))</f>
        <v>0</v>
      </c>
      <c r="P240" s="46">
        <f ca="1">O240/SUM(O:O)</f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input_358105!A$2</f>
        <v>358105</v>
      </c>
      <c r="B241" s="6">
        <v>663</v>
      </c>
      <c r="C241" s="7" t="str">
        <f t="shared" si="6"/>
        <v>Premium4</v>
      </c>
      <c r="D241" s="7" t="str">
        <f t="shared" si="7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IFERROR(VLOOKUP(B241,input_358105!L:R,7,FALSE),VLOOKUP(tables_358105!C241,input_358105!A:H,8,FALSE))</f>
        <v>69167.600000000006</v>
      </c>
      <c r="P241" s="46">
        <f ca="1">O241/SUM(O:O)</f>
        <v>1.1667948717948719E-2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input_358105!A$2</f>
        <v>358105</v>
      </c>
      <c r="B242" s="6">
        <v>664</v>
      </c>
      <c r="C242" s="7" t="str">
        <f t="shared" si="6"/>
        <v>Premium5</v>
      </c>
      <c r="D242" s="7" t="str">
        <f t="shared" si="7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IFERROR(VLOOKUP(B242,input_358105!L:R,7,FALSE),VLOOKUP(tables_358105!C242,input_358105!A:H,8,FALSE))</f>
        <v>3640.4</v>
      </c>
      <c r="P242" s="46">
        <f ca="1">O242/SUM(O:O)</f>
        <v>6.1410256410256408E-4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input_358105!A$2</f>
        <v>358105</v>
      </c>
      <c r="B243" s="6">
        <v>665</v>
      </c>
      <c r="C243" s="7" t="str">
        <f t="shared" si="6"/>
        <v>Premium3</v>
      </c>
      <c r="D243" s="7" t="str">
        <f t="shared" si="7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IFERROR(VLOOKUP(B243,input_358105!L:R,7,FALSE),VLOOKUP(tables_358105!C243,input_358105!A:H,8,FALSE))</f>
        <v>0</v>
      </c>
      <c r="P243" s="46">
        <f ca="1">O243/SUM(O:O)</f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input_358105!A$2</f>
        <v>358105</v>
      </c>
      <c r="B244" s="6">
        <v>666</v>
      </c>
      <c r="C244" s="7" t="str">
        <f t="shared" si="6"/>
        <v>Premium4</v>
      </c>
      <c r="D244" s="7" t="str">
        <f t="shared" si="7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IFERROR(VLOOKUP(B244,input_358105!L:R,7,FALSE),VLOOKUP(tables_358105!C244,input_358105!A:H,8,FALSE))</f>
        <v>69167.600000000006</v>
      </c>
      <c r="P244" s="46">
        <f ca="1">O244/SUM(O:O)</f>
        <v>1.1667948717948719E-2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input_358105!A$2</f>
        <v>358105</v>
      </c>
      <c r="B245" s="6">
        <v>667</v>
      </c>
      <c r="C245" s="7" t="str">
        <f t="shared" si="6"/>
        <v>Premium5</v>
      </c>
      <c r="D245" s="7" t="str">
        <f t="shared" si="7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IFERROR(VLOOKUP(B245,input_358105!L:R,7,FALSE),VLOOKUP(tables_358105!C245,input_358105!A:H,8,FALSE))</f>
        <v>3640.4</v>
      </c>
      <c r="P245" s="46">
        <f ca="1">O245/SUM(O:O)</f>
        <v>6.1410256410256408E-4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input_358105!A$2</f>
        <v>358105</v>
      </c>
      <c r="B246" s="60">
        <v>668</v>
      </c>
      <c r="C246" s="7" t="str">
        <f t="shared" si="6"/>
        <v>Premium3</v>
      </c>
      <c r="D246" s="7" t="str">
        <f t="shared" si="7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IFERROR(VLOOKUP(B246,input_358105!L:R,7,FALSE),VLOOKUP(tables_358105!C246,input_358105!A:H,8,FALSE))</f>
        <v>0</v>
      </c>
      <c r="P246" s="46">
        <f ca="1">O246/SUM(O:O)</f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input_358105!A$2</f>
        <v>358105</v>
      </c>
      <c r="B247" s="60">
        <v>669</v>
      </c>
      <c r="C247" s="7" t="str">
        <f t="shared" si="6"/>
        <v>Premium4</v>
      </c>
      <c r="D247" s="7" t="str">
        <f t="shared" si="7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IFERROR(VLOOKUP(B247,input_358105!L:R,7,FALSE),VLOOKUP(tables_358105!C247,input_358105!A:H,8,FALSE))</f>
        <v>69167.600000000006</v>
      </c>
      <c r="P247" s="46">
        <f ca="1">O247/SUM(O:O)</f>
        <v>1.1667948717948719E-2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input_358105!A$2</f>
        <v>358105</v>
      </c>
      <c r="B248" s="60">
        <v>670</v>
      </c>
      <c r="C248" s="7" t="str">
        <f t="shared" si="6"/>
        <v>Premium5</v>
      </c>
      <c r="D248" s="7" t="str">
        <f t="shared" si="7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IFERROR(VLOOKUP(B248,input_358105!L:R,7,FALSE),VLOOKUP(tables_358105!C248,input_358105!A:H,8,FALSE))</f>
        <v>3640.4</v>
      </c>
      <c r="P248" s="46">
        <f ca="1">O248/SUM(O:O)</f>
        <v>6.1410256410256408E-4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input_358105!A$2</f>
        <v>358105</v>
      </c>
      <c r="B249" s="60">
        <v>671</v>
      </c>
      <c r="C249" s="7" t="str">
        <f t="shared" si="6"/>
        <v>Premium3</v>
      </c>
      <c r="D249" s="7" t="str">
        <f t="shared" si="7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IFERROR(VLOOKUP(B249,input_358105!L:R,7,FALSE),VLOOKUP(tables_358105!C249,input_358105!A:H,8,FALSE))</f>
        <v>0</v>
      </c>
      <c r="P249" s="46">
        <f ca="1">O249/SUM(O:O)</f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input_358105!A$2</f>
        <v>358105</v>
      </c>
      <c r="B250" s="60">
        <v>672</v>
      </c>
      <c r="C250" s="7" t="str">
        <f t="shared" si="6"/>
        <v>Premium4</v>
      </c>
      <c r="D250" s="7" t="str">
        <f t="shared" si="7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IFERROR(VLOOKUP(B250,input_358105!L:R,7,FALSE),VLOOKUP(tables_358105!C250,input_358105!A:H,8,FALSE))</f>
        <v>69167.600000000006</v>
      </c>
      <c r="P250" s="46">
        <f ca="1">O250/SUM(O:O)</f>
        <v>1.1667948717948719E-2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input_358105!A$2</f>
        <v>358105</v>
      </c>
      <c r="B251" s="60">
        <v>673</v>
      </c>
      <c r="C251" s="7" t="str">
        <f t="shared" si="6"/>
        <v>Premium5</v>
      </c>
      <c r="D251" s="7" t="str">
        <f t="shared" si="7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IFERROR(VLOOKUP(B251,input_358105!L:R,7,FALSE),VLOOKUP(tables_358105!C251,input_358105!A:H,8,FALSE))</f>
        <v>3640.4</v>
      </c>
      <c r="P251" s="46">
        <f ca="1">O251/SUM(O:O)</f>
        <v>6.1410256410256408E-4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input_358105!A$2</f>
        <v>358105</v>
      </c>
      <c r="B252" s="60">
        <v>674</v>
      </c>
      <c r="C252" s="7" t="str">
        <f t="shared" si="6"/>
        <v>PremiumSS4</v>
      </c>
      <c r="D252" s="7" t="str">
        <f t="shared" si="7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IFERROR(VLOOKUP(B252,input_358105!L:R,7,FALSE),VLOOKUP(tables_358105!C252,input_358105!A:H,8,FALSE))</f>
        <v>4446</v>
      </c>
      <c r="P252" s="46">
        <f ca="1">O252/SUM(O:O)</f>
        <v>7.5000000000000002E-4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input_358105!A$2</f>
        <v>358105</v>
      </c>
      <c r="B253" s="60">
        <v>675</v>
      </c>
      <c r="C253" s="7" t="str">
        <f t="shared" si="6"/>
        <v>PremiumSS5</v>
      </c>
      <c r="D253" s="7" t="str">
        <f t="shared" si="7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IFERROR(VLOOKUP(B253,input_358105!L:R,7,FALSE),VLOOKUP(tables_358105!C253,input_358105!A:H,8,FALSE))</f>
        <v>234</v>
      </c>
      <c r="P253" s="46">
        <f ca="1">O253/SUM(O:O)</f>
        <v>3.9473684210526316E-5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input_358105!A$2</f>
        <v>358105</v>
      </c>
      <c r="B254" s="60">
        <v>676</v>
      </c>
      <c r="C254" s="7" t="str">
        <f t="shared" si="6"/>
        <v>PremiumSS4</v>
      </c>
      <c r="D254" s="7" t="str">
        <f t="shared" si="7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IFERROR(VLOOKUP(B254,input_358105!L:R,7,FALSE),VLOOKUP(tables_358105!C254,input_358105!A:H,8,FALSE))</f>
        <v>4446</v>
      </c>
      <c r="P254" s="46">
        <f ca="1">O254/SUM(O:O)</f>
        <v>7.5000000000000002E-4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input_358105!A$2</f>
        <v>358105</v>
      </c>
      <c r="B255" s="60">
        <v>677</v>
      </c>
      <c r="C255" s="7" t="str">
        <f t="shared" si="6"/>
        <v>PremiumSS5</v>
      </c>
      <c r="D255" s="7" t="str">
        <f t="shared" si="7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IFERROR(VLOOKUP(B255,input_358105!L:R,7,FALSE),VLOOKUP(tables_358105!C255,input_358105!A:H,8,FALSE))</f>
        <v>234</v>
      </c>
      <c r="P255" s="46">
        <f ca="1">O255/SUM(O:O)</f>
        <v>3.9473684210526316E-5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input_358105!A$2</f>
        <v>358105</v>
      </c>
      <c r="B256" s="60">
        <v>728</v>
      </c>
      <c r="C256" s="7" t="str">
        <f t="shared" si="6"/>
        <v>Premium4R3less</v>
      </c>
      <c r="D256" s="7" t="str">
        <f t="shared" si="7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IFERROR(VLOOKUP(B256,input_358105!L:R,7,FALSE),VLOOKUP(tables_358105!C256,input_358105!A:H,8,FALSE))</f>
        <v>60886.133329999997</v>
      </c>
      <c r="P256" s="46">
        <f ca="1">O256/SUM(O:O)</f>
        <v>1.0270940170377867E-2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input_358105!A$2</f>
        <v>358105</v>
      </c>
      <c r="B257" s="60">
        <v>729</v>
      </c>
      <c r="C257" s="7" t="str">
        <f t="shared" si="6"/>
        <v>Premium5R3less</v>
      </c>
      <c r="D257" s="7" t="str">
        <f t="shared" si="7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IFERROR(VLOOKUP(B257,input_358105!L:R,7,FALSE),VLOOKUP(tables_358105!C257,input_358105!A:H,8,FALSE))</f>
        <v>11921.866669999999</v>
      </c>
      <c r="P257" s="46">
        <f ca="1">O257/SUM(O:O)</f>
        <v>2.0111111116734143E-3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input_358105!A$2</f>
        <v>358105</v>
      </c>
      <c r="B258" s="60">
        <v>730</v>
      </c>
      <c r="C258" s="7" t="str">
        <f t="shared" ref="C258:C283" si="8">D258&amp;J258&amp;E258&amp;F258&amp;G258</f>
        <v>Premium4R3less</v>
      </c>
      <c r="D258" s="7" t="str">
        <f t="shared" ref="D258:D283" si="9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IFERROR(VLOOKUP(B258,input_358105!L:R,7,FALSE),VLOOKUP(tables_358105!C258,input_358105!A:H,8,FALSE))</f>
        <v>60886.133329999997</v>
      </c>
      <c r="P258" s="46">
        <f ca="1">O258/SUM(O:O)</f>
        <v>1.0270940170377867E-2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input_358105!A$2</f>
        <v>358105</v>
      </c>
      <c r="B259" s="60">
        <v>731</v>
      </c>
      <c r="C259" s="7" t="str">
        <f t="shared" si="8"/>
        <v>Premium5R3less</v>
      </c>
      <c r="D259" s="7" t="str">
        <f t="shared" si="9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IFERROR(VLOOKUP(B259,input_358105!L:R,7,FALSE),VLOOKUP(tables_358105!C259,input_358105!A:H,8,FALSE))</f>
        <v>11921.866669999999</v>
      </c>
      <c r="P259" s="46">
        <f ca="1">O259/SUM(O:O)</f>
        <v>2.0111111116734143E-3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input_358105!A$2</f>
        <v>358105</v>
      </c>
      <c r="B260" s="60">
        <v>732</v>
      </c>
      <c r="C260" s="7" t="str">
        <f t="shared" si="8"/>
        <v>PremiumSS5R5only</v>
      </c>
      <c r="D260" s="7" t="str">
        <f t="shared" si="9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IFERROR(VLOOKUP(B260,input_358105!L:R,7,FALSE),VLOOKUP(tables_358105!C260,input_358105!A:H,8,FALSE))</f>
        <v>4680</v>
      </c>
      <c r="P260" s="46">
        <f ca="1">O260/SUM(O:O)</f>
        <v>7.894736842105263E-4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input_358105!A$2</f>
        <v>358105</v>
      </c>
      <c r="B261" s="60">
        <v>734</v>
      </c>
      <c r="C261" s="7" t="str">
        <f t="shared" si="8"/>
        <v>PremiumSS5R5only</v>
      </c>
      <c r="D261" s="7" t="str">
        <f t="shared" si="9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IFERROR(VLOOKUP(B261,input_358105!L:R,7,FALSE),VLOOKUP(tables_358105!C261,input_358105!A:H,8,FALSE))</f>
        <v>4680</v>
      </c>
      <c r="P261" s="46">
        <f ca="1">O261/SUM(O:O)</f>
        <v>7.894736842105263E-4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input_358105!A$2</f>
        <v>358105</v>
      </c>
      <c r="B262" s="60">
        <v>770</v>
      </c>
      <c r="C262" s="7" t="str">
        <f t="shared" si="8"/>
        <v>PremiumSS4</v>
      </c>
      <c r="D262" s="7" t="str">
        <f t="shared" si="9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IFERROR(VLOOKUP(B262,input_358105!L:R,7,FALSE),VLOOKUP(tables_358105!C262,input_358105!A:H,8,FALSE))</f>
        <v>4446</v>
      </c>
      <c r="P262" s="46">
        <f ca="1">O262/SUM(O:O)</f>
        <v>7.5000000000000002E-4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input_358105!A$2</f>
        <v>358105</v>
      </c>
      <c r="B263" s="60">
        <v>771</v>
      </c>
      <c r="C263" s="7" t="str">
        <f t="shared" si="8"/>
        <v>PremiumSS5</v>
      </c>
      <c r="D263" s="7" t="str">
        <f t="shared" si="9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IFERROR(VLOOKUP(B263,input_358105!L:R,7,FALSE),VLOOKUP(tables_358105!C263,input_358105!A:H,8,FALSE))</f>
        <v>234</v>
      </c>
      <c r="P263" s="46">
        <f ca="1">O263/SUM(O:O)</f>
        <v>3.9473684210526316E-5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input_358105!A$2</f>
        <v>358105</v>
      </c>
      <c r="B264" s="60">
        <v>772</v>
      </c>
      <c r="C264" s="7" t="str">
        <f t="shared" si="8"/>
        <v>PremiumSS4</v>
      </c>
      <c r="D264" s="7" t="str">
        <f t="shared" si="9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IFERROR(VLOOKUP(B264,input_358105!L:R,7,FALSE),VLOOKUP(tables_358105!C264,input_358105!A:H,8,FALSE))</f>
        <v>4446</v>
      </c>
      <c r="P264" s="46">
        <f ca="1">O264/SUM(O:O)</f>
        <v>7.5000000000000002E-4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input_358105!A$2</f>
        <v>358105</v>
      </c>
      <c r="B265" s="60">
        <v>773</v>
      </c>
      <c r="C265" s="7" t="str">
        <f t="shared" si="8"/>
        <v>PremiumSS5</v>
      </c>
      <c r="D265" s="7" t="str">
        <f t="shared" si="9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IFERROR(VLOOKUP(B265,input_358105!L:R,7,FALSE),VLOOKUP(tables_358105!C265,input_358105!A:H,8,FALSE))</f>
        <v>234</v>
      </c>
      <c r="P265" s="46">
        <f ca="1">O265/SUM(O:O)</f>
        <v>3.9473684210526316E-5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input_358105!A$2</f>
        <v>358105</v>
      </c>
      <c r="B266" s="60">
        <v>774</v>
      </c>
      <c r="C266" s="7" t="str">
        <f t="shared" si="8"/>
        <v>Premium3</v>
      </c>
      <c r="D266" s="7" t="str">
        <f t="shared" si="9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IFERROR(VLOOKUP(B266,input_358105!L:R,7,FALSE),VLOOKUP(tables_358105!C266,input_358105!A:H,8,FALSE))</f>
        <v>0</v>
      </c>
      <c r="P266" s="46">
        <f ca="1">O266/SUM(O:O)</f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input_358105!A$2</f>
        <v>358105</v>
      </c>
      <c r="B267" s="60">
        <v>775</v>
      </c>
      <c r="C267" s="7" t="str">
        <f t="shared" si="8"/>
        <v>Premium4</v>
      </c>
      <c r="D267" s="7" t="str">
        <f t="shared" si="9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IFERROR(VLOOKUP(B267,input_358105!L:R,7,FALSE),VLOOKUP(tables_358105!C267,input_358105!A:H,8,FALSE))</f>
        <v>69167.600000000006</v>
      </c>
      <c r="P267" s="46">
        <f ca="1">O267/SUM(O:O)</f>
        <v>1.1667948717948719E-2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input_358105!A$2</f>
        <v>358105</v>
      </c>
      <c r="B268" s="60">
        <v>776</v>
      </c>
      <c r="C268" s="7" t="str">
        <f t="shared" si="8"/>
        <v>Premium5</v>
      </c>
      <c r="D268" s="7" t="str">
        <f t="shared" si="9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IFERROR(VLOOKUP(B268,input_358105!L:R,7,FALSE),VLOOKUP(tables_358105!C268,input_358105!A:H,8,FALSE))</f>
        <v>3640.4</v>
      </c>
      <c r="P268" s="46">
        <f ca="1">O268/SUM(O:O)</f>
        <v>6.1410256410256408E-4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input_358105!A$2</f>
        <v>358105</v>
      </c>
      <c r="B269" s="60">
        <v>777</v>
      </c>
      <c r="C269" s="7" t="str">
        <f t="shared" si="8"/>
        <v>Premium3</v>
      </c>
      <c r="D269" s="7" t="str">
        <f t="shared" si="9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IFERROR(VLOOKUP(B269,input_358105!L:R,7,FALSE),VLOOKUP(tables_358105!C269,input_358105!A:H,8,FALSE))</f>
        <v>0</v>
      </c>
      <c r="P269" s="46">
        <f ca="1">O269/SUM(O:O)</f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input_358105!A$2</f>
        <v>358105</v>
      </c>
      <c r="B270" s="60">
        <v>778</v>
      </c>
      <c r="C270" s="7" t="str">
        <f t="shared" si="8"/>
        <v>Premium4</v>
      </c>
      <c r="D270" s="7" t="str">
        <f t="shared" si="9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IFERROR(VLOOKUP(B270,input_358105!L:R,7,FALSE),VLOOKUP(tables_358105!C270,input_358105!A:H,8,FALSE))</f>
        <v>69167.600000000006</v>
      </c>
      <c r="P270" s="46">
        <f ca="1">O270/SUM(O:O)</f>
        <v>1.1667948717948719E-2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input_358105!A$2</f>
        <v>358105</v>
      </c>
      <c r="B271" s="60">
        <v>779</v>
      </c>
      <c r="C271" s="7" t="str">
        <f t="shared" si="8"/>
        <v>Premium5</v>
      </c>
      <c r="D271" s="7" t="str">
        <f t="shared" si="9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IFERROR(VLOOKUP(B271,input_358105!L:R,7,FALSE),VLOOKUP(tables_358105!C271,input_358105!A:H,8,FALSE))</f>
        <v>3640.4</v>
      </c>
      <c r="P271" s="46">
        <f ca="1">O271/SUM(O:O)</f>
        <v>6.1410256410256408E-4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input_358105!A$2</f>
        <v>358105</v>
      </c>
      <c r="B272" s="83">
        <v>848</v>
      </c>
      <c r="C272" s="7" t="str">
        <f t="shared" si="8"/>
        <v>PremiumSS5R5only</v>
      </c>
      <c r="D272" s="7" t="str">
        <f t="shared" si="9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IFERROR(VLOOKUP(B272,input_358105!L:R,7,FALSE),VLOOKUP(tables_358105!C272,input_358105!A:H,8,FALSE))</f>
        <v>4680</v>
      </c>
      <c r="P272" s="46">
        <f ca="1">O272/SUM(O:O)</f>
        <v>7.894736842105263E-4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input_358105!A$2</f>
        <v>358105</v>
      </c>
      <c r="B273" s="83">
        <v>850</v>
      </c>
      <c r="C273" s="7" t="str">
        <f t="shared" si="8"/>
        <v>PremiumSS5R5only</v>
      </c>
      <c r="D273" s="7" t="str">
        <f t="shared" si="9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IFERROR(VLOOKUP(B273,input_358105!L:R,7,FALSE),VLOOKUP(tables_358105!C273,input_358105!A:H,8,FALSE))</f>
        <v>4680</v>
      </c>
      <c r="P273" s="46">
        <f ca="1">O273/SUM(O:O)</f>
        <v>7.894736842105263E-4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input_358105!A$2</f>
        <v>358105</v>
      </c>
      <c r="B274" s="83">
        <v>852</v>
      </c>
      <c r="C274" s="7" t="str">
        <f t="shared" si="8"/>
        <v>Premium4R3less</v>
      </c>
      <c r="D274" s="7" t="str">
        <f t="shared" si="9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IFERROR(VLOOKUP(B274,input_358105!L:R,7,FALSE),VLOOKUP(tables_358105!C274,input_358105!A:H,8,FALSE))</f>
        <v>60886.133329999997</v>
      </c>
      <c r="P274" s="46">
        <f ca="1">O274/SUM(O:O)</f>
        <v>1.0270940170377867E-2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input_358105!A$2</f>
        <v>358105</v>
      </c>
      <c r="B275" s="83">
        <v>853</v>
      </c>
      <c r="C275" s="7" t="str">
        <f t="shared" si="8"/>
        <v>Premium5R3less</v>
      </c>
      <c r="D275" s="7" t="str">
        <f t="shared" si="9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IFERROR(VLOOKUP(B275,input_358105!L:R,7,FALSE),VLOOKUP(tables_358105!C275,input_358105!A:H,8,FALSE))</f>
        <v>11921.866669999999</v>
      </c>
      <c r="P275" s="46">
        <f ca="1">O275/SUM(O:O)</f>
        <v>2.0111111116734143E-3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input_358105!A$2</f>
        <v>358105</v>
      </c>
      <c r="B276" s="83">
        <v>854</v>
      </c>
      <c r="C276" s="7" t="str">
        <f t="shared" si="8"/>
        <v>Premium4R3less</v>
      </c>
      <c r="D276" s="7" t="str">
        <f t="shared" si="9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IFERROR(VLOOKUP(B276,input_358105!L:R,7,FALSE),VLOOKUP(tables_358105!C276,input_358105!A:H,8,FALSE))</f>
        <v>60886.133329999997</v>
      </c>
      <c r="P276" s="46">
        <f ca="1">O276/SUM(O:O)</f>
        <v>1.0270940170377867E-2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input_358105!A$2</f>
        <v>358105</v>
      </c>
      <c r="B277" s="83">
        <v>855</v>
      </c>
      <c r="C277" s="7" t="str">
        <f t="shared" si="8"/>
        <v>Premium5R3less</v>
      </c>
      <c r="D277" s="7" t="str">
        <f t="shared" si="9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IFERROR(VLOOKUP(B277,input_358105!L:R,7,FALSE),VLOOKUP(tables_358105!C277,input_358105!A:H,8,FALSE))</f>
        <v>11921.866669999999</v>
      </c>
      <c r="P277" s="46">
        <f ca="1">O277/SUM(O:O)</f>
        <v>2.0111111116734143E-3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input_358105!A$2</f>
        <v>358105</v>
      </c>
      <c r="B278" s="83">
        <v>862</v>
      </c>
      <c r="C278" s="7" t="str">
        <f t="shared" si="8"/>
        <v>Premium4R3less</v>
      </c>
      <c r="D278" s="7" t="str">
        <f t="shared" si="9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IFERROR(VLOOKUP(B278,input_358105!L:R,7,FALSE),VLOOKUP(tables_358105!C278,input_358105!A:H,8,FALSE))</f>
        <v>60886.133329999997</v>
      </c>
      <c r="P278" s="46">
        <f ca="1">O278/SUM(O:O)</f>
        <v>1.0270940170377867E-2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input_358105!A$2</f>
        <v>358105</v>
      </c>
      <c r="B279" s="83">
        <v>863</v>
      </c>
      <c r="C279" s="7" t="str">
        <f t="shared" si="8"/>
        <v>Premium5R3less</v>
      </c>
      <c r="D279" s="7" t="str">
        <f t="shared" si="9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IFERROR(VLOOKUP(B279,input_358105!L:R,7,FALSE),VLOOKUP(tables_358105!C279,input_358105!A:H,8,FALSE))</f>
        <v>11921.866669999999</v>
      </c>
      <c r="P279" s="46">
        <f ca="1">O279/SUM(O:O)</f>
        <v>2.0111111116734143E-3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input_358105!A$2</f>
        <v>358105</v>
      </c>
      <c r="B280" s="83">
        <v>864</v>
      </c>
      <c r="C280" s="7" t="str">
        <f t="shared" si="8"/>
        <v>Premium4R3less</v>
      </c>
      <c r="D280" s="7" t="str">
        <f t="shared" si="9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IFERROR(VLOOKUP(B280,input_358105!L:R,7,FALSE),VLOOKUP(tables_358105!C280,input_358105!A:H,8,FALSE))</f>
        <v>60886.133329999997</v>
      </c>
      <c r="P280" s="46">
        <f ca="1">O280/SUM(O:O)</f>
        <v>1.0270940170377867E-2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input_358105!A$2</f>
        <v>358105</v>
      </c>
      <c r="B281" s="83">
        <v>865</v>
      </c>
      <c r="C281" s="7" t="str">
        <f t="shared" si="8"/>
        <v>Premium5R3less</v>
      </c>
      <c r="D281" s="7" t="str">
        <f t="shared" si="9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IFERROR(VLOOKUP(B281,input_358105!L:R,7,FALSE),VLOOKUP(tables_358105!C281,input_358105!A:H,8,FALSE))</f>
        <v>11921.866669999999</v>
      </c>
      <c r="P281" s="46">
        <f ca="1">O281/SUM(O:O)</f>
        <v>2.0111111116734143E-3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input_358105!A$2</f>
        <v>358105</v>
      </c>
      <c r="B282" s="83">
        <v>866</v>
      </c>
      <c r="C282" s="7" t="str">
        <f t="shared" si="8"/>
        <v>PremiumSS5R5only</v>
      </c>
      <c r="D282" s="7" t="str">
        <f t="shared" si="9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IFERROR(VLOOKUP(B282,input_358105!L:R,7,FALSE),VLOOKUP(tables_358105!C282,input_358105!A:H,8,FALSE))</f>
        <v>4680</v>
      </c>
      <c r="P282" s="46">
        <f ca="1">O282/SUM(O:O)</f>
        <v>7.894736842105263E-4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input_358105!A$2</f>
        <v>358105</v>
      </c>
      <c r="B283" s="83">
        <v>868</v>
      </c>
      <c r="C283" s="7" t="str">
        <f t="shared" si="8"/>
        <v>PremiumSS5R5only</v>
      </c>
      <c r="D283" s="7" t="str">
        <f t="shared" si="9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IFERROR(VLOOKUP(B283,input_358105!L:R,7,FALSE),VLOOKUP(tables_358105!C283,input_358105!A:H,8,FALSE))</f>
        <v>4680</v>
      </c>
      <c r="P283" s="46">
        <f ca="1">O283/SUM(O:O)</f>
        <v>7.894736842105263E-4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input_358105!A$2</f>
        <v>358105</v>
      </c>
      <c r="B284" s="83">
        <v>623</v>
      </c>
      <c r="C284" s="7" t="str">
        <f t="shared" ref="C284" si="10">D284&amp;J284&amp;E284&amp;F284&amp;G284</f>
        <v>PremiumSSS5R3less</v>
      </c>
      <c r="D284" s="7" t="str">
        <f t="shared" ref="D284" si="11">IF(I284="PremiumSS",I284,IF(I284="PremiumSSS",I284,IF(I284="PremiumW",I284,"Premium")))</f>
        <v>PremiumSSS</v>
      </c>
      <c r="E284" s="7" t="str">
        <f>IF(COUNTIF('R6追加前'!A:A,B284)=0,IF(I284="PremiumSS","R5only","R3less"),"")</f>
        <v>R3less</v>
      </c>
      <c r="F284" s="7" t="str">
        <f>IF(COUNTIF('R6開放'!A:A,B284)&gt;0,"R6release","")</f>
        <v/>
      </c>
      <c r="G284" s="7"/>
      <c r="H284" s="7" t="str">
        <f>VLOOKUP(B284,[1]characters!$A:$C,3,FALSE)</f>
        <v>未踏の轍跡 フェルマー</v>
      </c>
      <c r="I284" s="7" t="str">
        <f>VLOOKUP(B284,[1]characters!$A:$J,10,FALSE)</f>
        <v>PremiumSSS</v>
      </c>
      <c r="J284" s="7">
        <f>VLOOKUP(B284,[1]characters!$A:$I,9,FALSE)</f>
        <v>5</v>
      </c>
      <c r="K284" s="7" t="str">
        <f>VLOOKUP(B284,[1]characters!$A:$H,8,FALSE)</f>
        <v>yellow</v>
      </c>
      <c r="L284" s="7" t="str">
        <f>VLOOKUP(B284,[1]characters!$A:$K,11,FALSE)</f>
        <v>attack</v>
      </c>
      <c r="M284" s="7" t="str">
        <f>VLOOKUP(B284,[1]characters!$A:$M,13,FALSE)</f>
        <v>academia</v>
      </c>
      <c r="N284" s="7" t="str">
        <f>VLOOKUP(B284,[1]characters!$A:$G,7,FALSE)</f>
        <v>女性</v>
      </c>
      <c r="O284" s="45">
        <f ca="1">IFERROR(VLOOKUP(B284,input_358105!L:R,7,FALSE),VLOOKUP(tables_358105!C284,input_358105!A:H,8,FALSE))</f>
        <v>71136</v>
      </c>
      <c r="P284" s="46">
        <f ca="1">O284/SUM(O:O)</f>
        <v>1.2E-2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</sheetData>
  <autoFilter ref="A1:V283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topLeftCell="A7" workbookViewId="0">
      <selection activeCell="B30" sqref="B3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358100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VLOOKUP(L3,tables_358100!B:C,2,FALSE)</f>
        <v>#N/A</v>
      </c>
      <c r="R3" s="62">
        <f t="shared" ref="R3:R20" si="1">N3*A$36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VLOOKUP(L4,tables_358100!B:C,2,FALSE)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(B11-H5)/(F5-I5)</f>
        <v>7.894736842105263E-4</v>
      </c>
      <c r="F5">
        <f>(COUNTIF(tables_358100!C:C,input_358100!A26)+COUNTIF(tables_358100!C:C,input_358100!A28)+COUNTIF(tables_358100!C:C,input_358100!A29))</f>
        <v>38</v>
      </c>
      <c r="H5" s="86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VLOOKUP(L5,tables_358100!B:C,2,FALSE)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208</v>
      </c>
      <c r="E6" s="77">
        <f>(B10-H6)/(F6-I6)</f>
        <v>1.217948717948718E-2</v>
      </c>
      <c r="F6">
        <f>(COUNTIF(tables_358100!C:C,input_358100!A18)+COUNTIF(tables_358100!C:C,input_358100!A20)+COUNTIF(tables_358100!C:C,input_358100!A22))</f>
        <v>78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VLOOKUP(L6,tables_358100!B:C,2,FALSE)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VLOOKUP(L7,tables_358100!B:C,2,FALSE)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E8" s="77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VLOOKUP(L8,tables_358100!B:C,2,FALSE)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VLOOKUP(L9,tables_358100!B:C,2,FALSE)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VLOOKUP(L10,tables_358100!B:C,2,FALSE)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79">
        <v>0.03</v>
      </c>
      <c r="C11" t="s">
        <v>221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VLOOKUP(L11,tables_358100!B:C,2,FALSE)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0.02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VLOOKUP(L12,tables_358100!B:C,2,FALSE)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VLOOKUP(L13,tables_358100!B:C,2,FALSE)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VLOOKUP(L14,tables_358100!B:C,2,FALSE)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VLOOKUP(L15,tables_358100!B:C,2,FALSE)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VLOOKUP(L16,tables_358100!B:C,2,FALSE)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4">
        <f>B$5-B19-B24</f>
        <v>0</v>
      </c>
      <c r="C17" s="87">
        <f t="shared" ref="C17:C31" si="2">SUMIF(Q:Q,A17,N:N)</f>
        <v>0</v>
      </c>
      <c r="D17" s="75">
        <f t="shared" ref="D17:D32" si="3">B17-C17</f>
        <v>0</v>
      </c>
      <c r="E17">
        <f>COUNTIF(tables_358100!C:C,input_358100!A17)-COUNTIF(Q:Q,A17)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VLOOKUP(L17,tables_358100!B:C,2,FALSE)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E$6*E18-B17</f>
        <v>0.24358974358974358</v>
      </c>
      <c r="C18" s="87">
        <f t="shared" si="2"/>
        <v>0</v>
      </c>
      <c r="D18" s="75">
        <f t="shared" si="3"/>
        <v>0.24358974358974358</v>
      </c>
      <c r="E18">
        <f>COUNTIF(tables_358100!C:C,input_358100!A18)-COUNTIF(Q:Q,A18)</f>
        <v>20</v>
      </c>
      <c r="F18" s="43">
        <f>IFERROR(B18/E18,0)</f>
        <v>1.217948717948718E-2</v>
      </c>
      <c r="G18">
        <f t="shared" si="4"/>
        <v>1444000</v>
      </c>
      <c r="H18">
        <f t="shared" si="5"/>
        <v>72200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VLOOKUP(L18,tables_358100!B:C,2,FALSE)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E$6*E19*B$5</f>
        <v>0</v>
      </c>
      <c r="C19" s="87">
        <f t="shared" si="2"/>
        <v>0</v>
      </c>
      <c r="D19" s="75">
        <f t="shared" si="3"/>
        <v>0</v>
      </c>
      <c r="E19">
        <f>COUNTIF(tables_358100!C:C,input_358100!A19)-COUNTIF(Q:Q,A19)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VLOOKUP(L19,tables_358100!B:C,2,FALSE)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E$6*E20*B$6</f>
        <v>0.60166666666666657</v>
      </c>
      <c r="C20" s="87">
        <f t="shared" si="2"/>
        <v>0</v>
      </c>
      <c r="D20" s="75">
        <f t="shared" si="3"/>
        <v>0.60166666666666657</v>
      </c>
      <c r="E20">
        <f>COUNTIF(tables_358100!C:C,input_358100!A20)-COUNTIF(Q:Q,A20)</f>
        <v>52</v>
      </c>
      <c r="F20" s="43">
        <f t="shared" si="8"/>
        <v>1.1570512820512819E-2</v>
      </c>
      <c r="G20">
        <f t="shared" si="4"/>
        <v>3566679.9999999995</v>
      </c>
      <c r="H20">
        <f t="shared" si="5"/>
        <v>68590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VLOOKUP(L20,tables_358100!B:C,2,FALSE)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E$6*E21*B$7</f>
        <v>3.1666666666666669E-2</v>
      </c>
      <c r="C21" s="87">
        <f t="shared" si="2"/>
        <v>0</v>
      </c>
      <c r="D21" s="75">
        <f t="shared" si="3"/>
        <v>3.1666666666666669E-2</v>
      </c>
      <c r="E21">
        <f>COUNTIF(tables_358100!C:C,input_358100!A21)-COUNTIF(Q:Q,A21)</f>
        <v>52</v>
      </c>
      <c r="F21" s="43">
        <f t="shared" si="8"/>
        <v>6.08974358974359E-4</v>
      </c>
      <c r="G21">
        <f t="shared" si="4"/>
        <v>187720.00000000003</v>
      </c>
      <c r="H21">
        <f t="shared" si="5"/>
        <v>3610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E$6*E22-B23</f>
        <v>6.0743589743589746E-2</v>
      </c>
      <c r="C22" s="87">
        <f t="shared" si="2"/>
        <v>0</v>
      </c>
      <c r="D22" s="75">
        <f t="shared" si="3"/>
        <v>6.0743589743589746E-2</v>
      </c>
      <c r="E22">
        <f>COUNTIF(tables_358100!C:C,input_358100!A22)-COUNTIF(Q:Q,A22)</f>
        <v>6</v>
      </c>
      <c r="F22" s="43">
        <f t="shared" si="8"/>
        <v>1.0123931623931624E-2</v>
      </c>
      <c r="G22">
        <f t="shared" si="4"/>
        <v>360088</v>
      </c>
      <c r="H22">
        <f t="shared" si="5"/>
        <v>60014.666669999999</v>
      </c>
      <c r="I22">
        <f t="shared" si="6"/>
        <v>0.66666999999870313</v>
      </c>
      <c r="J22">
        <f t="shared" si="7"/>
        <v>1.4999925000404177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B$7-B26-B28-B29-B21</f>
        <v>1.2333333333333335E-2</v>
      </c>
      <c r="C23" s="87">
        <f t="shared" si="2"/>
        <v>0</v>
      </c>
      <c r="D23" s="75">
        <f t="shared" si="3"/>
        <v>1.2333333333333335E-2</v>
      </c>
      <c r="E23">
        <f>COUNTIF(tables_358100!C:C,input_358100!A23)-COUNTIF(Q:Q,A23)</f>
        <v>6</v>
      </c>
      <c r="F23" s="43">
        <f t="shared" si="8"/>
        <v>2.0555555555555557E-3</v>
      </c>
      <c r="G23">
        <f t="shared" si="4"/>
        <v>73112.000000000015</v>
      </c>
      <c r="H23">
        <f t="shared" si="5"/>
        <v>12185.333329999999</v>
      </c>
      <c r="I23">
        <f t="shared" si="6"/>
        <v>0.33332999999947788</v>
      </c>
      <c r="J23">
        <f t="shared" si="7"/>
        <v>3.0000300003047022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E$5*E24*B$5</f>
        <v>0</v>
      </c>
      <c r="C24" s="87">
        <f t="shared" si="2"/>
        <v>0</v>
      </c>
      <c r="D24" s="75">
        <f t="shared" si="3"/>
        <v>0</v>
      </c>
      <c r="E24">
        <f>COUNTIF(tables_358100!C:C,input_358100!A24)-COUNTIF(Q:Q,A24)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E$5*B$6*E25</f>
        <v>2.9999999999999996E-3</v>
      </c>
      <c r="C25" s="87">
        <f t="shared" si="2"/>
        <v>0</v>
      </c>
      <c r="D25" s="75">
        <f t="shared" si="3"/>
        <v>2.9999999999999996E-3</v>
      </c>
      <c r="E25">
        <f>COUNTIF(tables_358100!C:C,input_358100!A25)-COUNTIF(Q:Q,A25)</f>
        <v>4</v>
      </c>
      <c r="F25" s="43">
        <f t="shared" si="8"/>
        <v>7.4999999999999991E-4</v>
      </c>
      <c r="G25">
        <f t="shared" si="4"/>
        <v>17783.999999999996</v>
      </c>
      <c r="H25">
        <f t="shared" si="5"/>
        <v>4446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E$5*B$7*E26</f>
        <v>1.5789473684210527E-4</v>
      </c>
      <c r="C26" s="87">
        <f t="shared" si="2"/>
        <v>0</v>
      </c>
      <c r="D26" s="75">
        <f t="shared" si="3"/>
        <v>1.5789473684210527E-4</v>
      </c>
      <c r="E26">
        <f>COUNTIF(tables_358100!C:C,input_358100!A26)-COUNTIF(Q:Q,A26)</f>
        <v>4</v>
      </c>
      <c r="F26" s="43">
        <f t="shared" si="8"/>
        <v>3.9473684210526316E-5</v>
      </c>
      <c r="G26">
        <f t="shared" si="4"/>
        <v>936</v>
      </c>
      <c r="H26">
        <f t="shared" si="5"/>
        <v>234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2.0999999999999998E-2</v>
      </c>
      <c r="C27" s="87">
        <f t="shared" si="2"/>
        <v>0</v>
      </c>
      <c r="D27" s="75">
        <f t="shared" si="3"/>
        <v>2.0999999999999998E-2</v>
      </c>
      <c r="E27">
        <f>COUNTIF(tables_358100!C:C,input_358100!A27)-COUNTIF(Q:Q,A27)</f>
        <v>28</v>
      </c>
      <c r="F27" s="43">
        <f>IFERROR(B27/E27,0)</f>
        <v>7.4999999999999991E-4</v>
      </c>
      <c r="G27">
        <f t="shared" si="4"/>
        <v>124487.99999999999</v>
      </c>
      <c r="H27">
        <f t="shared" si="5"/>
        <v>4446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1.1052631578947368E-3</v>
      </c>
      <c r="C28" s="87">
        <f t="shared" si="2"/>
        <v>0</v>
      </c>
      <c r="D28" s="75">
        <f t="shared" si="3"/>
        <v>1.1052631578947368E-3</v>
      </c>
      <c r="E28">
        <f>COUNTIF(tables_358100!C:C,input_358100!A28)-COUNTIF(Q:Q,A28)</f>
        <v>28</v>
      </c>
      <c r="F28" s="43">
        <f t="shared" si="8"/>
        <v>3.9473684210526316E-5</v>
      </c>
      <c r="G28">
        <f t="shared" si="4"/>
        <v>6552</v>
      </c>
      <c r="H28">
        <f t="shared" si="5"/>
        <v>234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4.7368421052631574E-3</v>
      </c>
      <c r="C29" s="87">
        <f t="shared" si="2"/>
        <v>0</v>
      </c>
      <c r="D29" s="75">
        <f t="shared" si="3"/>
        <v>4.7368421052631574E-3</v>
      </c>
      <c r="E29">
        <f>COUNTIF(tables_358100!C:C,input_358100!A29)-COUNTIF(Q:Q,A29)</f>
        <v>6</v>
      </c>
      <c r="F29" s="43">
        <f t="shared" si="8"/>
        <v>7.8947368421052619E-4</v>
      </c>
      <c r="G29">
        <f t="shared" si="4"/>
        <v>28079.999999999996</v>
      </c>
      <c r="H29">
        <f t="shared" si="5"/>
        <v>4680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250</v>
      </c>
      <c r="B30" s="56">
        <f>0</f>
        <v>0</v>
      </c>
      <c r="C30" s="87">
        <f t="shared" si="2"/>
        <v>0</v>
      </c>
      <c r="D30" s="75">
        <f t="shared" si="3"/>
        <v>0</v>
      </c>
      <c r="E30">
        <f>COUNTIF(tables_358100!C:C,input_358100!A30)-COUNTIF(Q:Q,A30)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251</v>
      </c>
      <c r="B31" s="56">
        <f>B12</f>
        <v>0.02</v>
      </c>
      <c r="C31" s="87">
        <f t="shared" si="2"/>
        <v>0</v>
      </c>
      <c r="D31" s="75">
        <f t="shared" si="3"/>
        <v>0.02</v>
      </c>
      <c r="E31">
        <f>COUNTIF(tables_358100!C:C,input_358100!A31)-COUNTIF(Q:Q,A31)</f>
        <v>1</v>
      </c>
      <c r="F31" s="43">
        <f t="shared" si="8"/>
        <v>0.02</v>
      </c>
      <c r="G31">
        <f t="shared" si="4"/>
        <v>118560</v>
      </c>
      <c r="H31">
        <f t="shared" si="5"/>
        <v>118560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60</v>
      </c>
      <c r="B32" s="40">
        <f>SUM(B17:B31)</f>
        <v>0.99999999999999989</v>
      </c>
      <c r="C32" s="41">
        <f>SUM(C19:C31)</f>
        <v>0</v>
      </c>
      <c r="D32" s="42">
        <f t="shared" si="3"/>
        <v>0.99999999999999989</v>
      </c>
      <c r="L32" s="57"/>
      <c r="M32" s="57"/>
      <c r="N32" s="57"/>
      <c r="O32" s="57"/>
      <c r="P32" s="57"/>
      <c r="Q32" s="57"/>
      <c r="R32" s="59"/>
    </row>
    <row r="35" spans="1:7" x14ac:dyDescent="0.15">
      <c r="A35" t="s">
        <v>74</v>
      </c>
    </row>
    <row r="36" spans="1:7" x14ac:dyDescent="0.15">
      <c r="A36" s="31">
        <f>LCM(F5-I5,F6-I6)*1000*2*2</f>
        <v>5928000</v>
      </c>
    </row>
    <row r="38" spans="1:7" x14ac:dyDescent="0.15">
      <c r="A38" s="47" t="s">
        <v>78</v>
      </c>
    </row>
    <row r="39" spans="1:7" x14ac:dyDescent="0.15">
      <c r="A39" s="33" t="s">
        <v>61</v>
      </c>
      <c r="B39" t="s">
        <v>75</v>
      </c>
      <c r="C39" t="s">
        <v>102</v>
      </c>
      <c r="E39" t="s">
        <v>103</v>
      </c>
      <c r="F39" t="s">
        <v>2</v>
      </c>
      <c r="G39" t="s">
        <v>64</v>
      </c>
    </row>
    <row r="40" spans="1:7" x14ac:dyDescent="0.15">
      <c r="A40" s="33" t="s">
        <v>106</v>
      </c>
      <c r="B40">
        <f ca="1">SUMIF(tables_358100!C:C,input_358100!A40,tables_358100!O:O)</f>
        <v>0</v>
      </c>
      <c r="C40" s="54">
        <f t="shared" ref="C40:C46" ca="1" si="9">B40/B$47</f>
        <v>0</v>
      </c>
      <c r="E40">
        <v>3</v>
      </c>
      <c r="F40">
        <f ca="1">SUMIF(tables_358100!J:J,input_358100!E40,tables_358100!O:O)</f>
        <v>0</v>
      </c>
      <c r="G40">
        <f ca="1">F40/A36</f>
        <v>0</v>
      </c>
    </row>
    <row r="41" spans="1:7" x14ac:dyDescent="0.15">
      <c r="A41" s="33" t="s">
        <v>107</v>
      </c>
      <c r="B41">
        <f ca="1">SUMIF(tables_358100!C:C,input_358100!A41,tables_358100!O:O)</f>
        <v>3566680</v>
      </c>
      <c r="C41" s="54">
        <f t="shared" ca="1" si="9"/>
        <v>0.91796038543897218</v>
      </c>
      <c r="E41">
        <v>4</v>
      </c>
      <c r="F41">
        <f ca="1">SUMIF(tables_358100!J:J,input_358100!E41,tables_358100!O:O)</f>
        <v>5513040.0000200011</v>
      </c>
      <c r="G41">
        <f ca="1">F41/A36</f>
        <v>0.93000000000337402</v>
      </c>
    </row>
    <row r="42" spans="1:7" x14ac:dyDescent="0.15">
      <c r="A42" s="33" t="s">
        <v>109</v>
      </c>
      <c r="B42">
        <f ca="1">SUMIF(tables_358100!C:C,input_358100!A42,tables_358100!O:O)</f>
        <v>124488</v>
      </c>
      <c r="C42" s="54">
        <f t="shared" ca="1" si="9"/>
        <v>3.2039614561027836E-2</v>
      </c>
      <c r="E42">
        <v>5</v>
      </c>
      <c r="F42">
        <f ca="1">SUMIF(tables_358100!J:J,input_358100!E42,tables_358100!O:O)</f>
        <v>414959.99997999996</v>
      </c>
      <c r="G42">
        <f ca="1">F42/A36</f>
        <v>6.9999999996626178E-2</v>
      </c>
    </row>
    <row r="43" spans="1:7" x14ac:dyDescent="0.15">
      <c r="A43" s="33" t="s">
        <v>113</v>
      </c>
      <c r="B43">
        <f>SUMIF(tables_358100!C:C,input_358100!A43,tables_358100!O:O)</f>
        <v>0</v>
      </c>
      <c r="C43" s="54">
        <f t="shared" ca="1" si="9"/>
        <v>0</v>
      </c>
      <c r="F43" s="55"/>
    </row>
    <row r="44" spans="1:7" x14ac:dyDescent="0.15">
      <c r="A44" s="33" t="s">
        <v>108</v>
      </c>
      <c r="B44">
        <f ca="1">SUMIF(tables_358100!C:C,input_358100!A44,tables_358100!O:O)</f>
        <v>187720</v>
      </c>
      <c r="C44" s="54">
        <f t="shared" ca="1" si="9"/>
        <v>4.8313704496788006E-2</v>
      </c>
      <c r="E44" t="s">
        <v>55</v>
      </c>
      <c r="F44" s="55"/>
    </row>
    <row r="45" spans="1:7" x14ac:dyDescent="0.15">
      <c r="A45" s="33" t="s">
        <v>110</v>
      </c>
      <c r="B45">
        <f ca="1">SUMIF(tables_358100!C:C,input_358100!A45,tables_358100!O:O)</f>
        <v>6552</v>
      </c>
      <c r="C45" s="54">
        <f t="shared" ca="1" si="9"/>
        <v>1.6862955032119914E-3</v>
      </c>
      <c r="E45" t="s">
        <v>210</v>
      </c>
      <c r="F45" s="55">
        <f ca="1">SUMIF(tables_358100!I:I,input_358100!E45,tables_358100!P:P)</f>
        <v>0.25151282051282065</v>
      </c>
    </row>
    <row r="46" spans="1:7" x14ac:dyDescent="0.15">
      <c r="A46" s="33" t="s">
        <v>111</v>
      </c>
      <c r="B46">
        <f>SUMIF(tables_358100!C:C,input_358100!A46,tables_358100!O:O)</f>
        <v>0</v>
      </c>
      <c r="C46" s="54">
        <f t="shared" ca="1" si="9"/>
        <v>0</v>
      </c>
      <c r="E46" t="s">
        <v>211</v>
      </c>
      <c r="F46" s="55">
        <f ca="1">SUMIF(tables_358100!I:I,input_358100!E46,tables_358100!P:P)</f>
        <v>0.20941970310391372</v>
      </c>
    </row>
    <row r="47" spans="1:7" x14ac:dyDescent="0.15">
      <c r="A47" s="39" t="s">
        <v>60</v>
      </c>
      <c r="B47">
        <f ca="1">SUM(B40:B46)</f>
        <v>3885440</v>
      </c>
      <c r="C47" s="55">
        <f ca="1">SUM(C40:C46)</f>
        <v>1</v>
      </c>
      <c r="E47" t="s">
        <v>212</v>
      </c>
      <c r="F47" s="55">
        <f ca="1">SUMIF(tables_358100!I:I,input_358100!E47,tables_358100!P:P)</f>
        <v>0.50014844804318437</v>
      </c>
    </row>
    <row r="48" spans="1:7" x14ac:dyDescent="0.15">
      <c r="E48" t="s">
        <v>213</v>
      </c>
      <c r="F48" s="55">
        <f ca="1">SUMIF(tables_358100!I:I,input_358100!E48,tables_358100!P:P)</f>
        <v>2.6842105263157921E-2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284"/>
  <sheetViews>
    <sheetView showGridLines="0" zoomScale="75" zoomScaleNormal="75" zoomScalePageLayoutView="75" workbookViewId="0">
      <pane ySplit="1" topLeftCell="A271" activePane="bottomLeft" state="frozen"/>
      <selection activeCell="Q291" sqref="Q291"/>
      <selection pane="bottomLeft" activeCell="P284" sqref="P28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input_358100!A$2</f>
        <v>358100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IFERROR(VLOOKUP(B2,input_358100!L:R,7,FALSE),VLOOKUP(tables_358100!C2,input_358100!A:H,8,FALSE))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input_358100!A$2</f>
        <v>358100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IFERROR(VLOOKUP(B3,input_358100!L:R,7,FALSE),VLOOKUP(tables_358100!C3,input_358100!A:H,8,FALSE))</f>
        <v>72200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input_358100!A$2</f>
        <v>358100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IFERROR(VLOOKUP(B4,input_358100!L:R,7,FALSE),VLOOKUP(tables_358100!C4,input_358100!A:H,8,FALSE))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input_358100!A$2</f>
        <v>358100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IFERROR(VLOOKUP(B5,input_358100!L:R,7,FALSE),VLOOKUP(tables_358100!C5,input_358100!A:H,8,FALSE))</f>
        <v>72200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input_358100!A$2</f>
        <v>358100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IFERROR(VLOOKUP(B6,input_358100!L:R,7,FALSE),VLOOKUP(tables_358100!C6,input_358100!A:H,8,FALSE))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input_358100!A$2</f>
        <v>358100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IFERROR(VLOOKUP(B7,input_358100!L:R,7,FALSE),VLOOKUP(tables_358100!C7,input_358100!A:H,8,FALSE))</f>
        <v>72200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input_358100!A$2</f>
        <v>358100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IFERROR(VLOOKUP(B8,input_358100!L:R,7,FALSE),VLOOKUP(tables_358100!C8,input_358100!A:H,8,FALSE))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input_358100!A$2</f>
        <v>358100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IFERROR(VLOOKUP(B9,input_358100!L:R,7,FALSE),VLOOKUP(tables_358100!C9,input_358100!A:H,8,FALSE))</f>
        <v>72200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input_358100!A$2</f>
        <v>358100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IFERROR(VLOOKUP(B10,input_358100!L:R,7,FALSE),VLOOKUP(tables_358100!C10,input_358100!A:H,8,FALSE))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input_358100!A$2</f>
        <v>358100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IFERROR(VLOOKUP(B11,input_358100!L:R,7,FALSE),VLOOKUP(tables_358100!C11,input_358100!A:H,8,FALSE))</f>
        <v>72200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input_358100!A$2</f>
        <v>358100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IFERROR(VLOOKUP(B12,input_358100!L:R,7,FALSE),VLOOKUP(tables_358100!C12,input_358100!A:H,8,FALSE))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input_358100!A$2</f>
        <v>358100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IFERROR(VLOOKUP(B13,input_358100!L:R,7,FALSE),VLOOKUP(tables_358100!C13,input_358100!A:H,8,FALSE))</f>
        <v>72200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input_358100!A$2</f>
        <v>358100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IFERROR(VLOOKUP(B14,input_358100!L:R,7,FALSE),VLOOKUP(tables_358100!C14,input_358100!A:H,8,FALSE))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input_358100!A$2</f>
        <v>358100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IFERROR(VLOOKUP(B15,input_358100!L:R,7,FALSE),VLOOKUP(tables_358100!C15,input_358100!A:H,8,FALSE))</f>
        <v>72200</v>
      </c>
      <c r="P15" s="46">
        <f ca="1">O15/SUM(O:O)</f>
        <v>1.217948717948718E-2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input_358100!A$2</f>
        <v>358100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IFERROR(VLOOKUP(B16,input_358100!L:R,7,FALSE),VLOOKUP(tables_358100!C16,input_358100!A:H,8,FALSE))</f>
        <v>0</v>
      </c>
      <c r="P16" s="46">
        <f ca="1">O16/SUM(O:O)</f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input_358100!A$2</f>
        <v>358100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IFERROR(VLOOKUP(B17,input_358100!L:R,7,FALSE),VLOOKUP(tables_358100!C17,input_358100!A:H,8,FALSE))</f>
        <v>72200</v>
      </c>
      <c r="P17" s="46">
        <f ca="1">O17/SUM(O:O)</f>
        <v>1.217948717948718E-2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input_358100!A$2</f>
        <v>358100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IFERROR(VLOOKUP(B18,input_358100!L:R,7,FALSE),VLOOKUP(tables_358100!C18,input_358100!A:H,8,FALSE))</f>
        <v>0</v>
      </c>
      <c r="P18" s="46">
        <f ca="1">O18/SUM(O:O)</f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input_358100!A$2</f>
        <v>358100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IFERROR(VLOOKUP(B19,input_358100!L:R,7,FALSE),VLOOKUP(tables_358100!C19,input_358100!A:H,8,FALSE))</f>
        <v>72200</v>
      </c>
      <c r="P19" s="46">
        <f ca="1">O19/SUM(O:O)</f>
        <v>1.217948717948718E-2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input_358100!A$2</f>
        <v>358100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IFERROR(VLOOKUP(B20,input_358100!L:R,7,FALSE),VLOOKUP(tables_358100!C20,input_358100!A:H,8,FALSE))</f>
        <v>0</v>
      </c>
      <c r="P20" s="46">
        <f ca="1">O20/SUM(O:O)</f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input_358100!A$2</f>
        <v>358100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IFERROR(VLOOKUP(B21,input_358100!L:R,7,FALSE),VLOOKUP(tables_358100!C21,input_358100!A:H,8,FALSE))</f>
        <v>72200</v>
      </c>
      <c r="P21" s="46">
        <f ca="1">O21/SUM(O:O)</f>
        <v>1.217948717948718E-2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input_358100!A$2</f>
        <v>358100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IFERROR(VLOOKUP(B22,input_358100!L:R,7,FALSE),VLOOKUP(tables_358100!C22,input_358100!A:H,8,FALSE))</f>
        <v>0</v>
      </c>
      <c r="P22" s="46">
        <f ca="1">O22/SUM(O:O)</f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input_358100!A$2</f>
        <v>358100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IFERROR(VLOOKUP(B23,input_358100!L:R,7,FALSE),VLOOKUP(tables_358100!C23,input_358100!A:H,8,FALSE))</f>
        <v>72200</v>
      </c>
      <c r="P23" s="46">
        <f ca="1">O23/SUM(O:O)</f>
        <v>1.217948717948718E-2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input_358100!A$2</f>
        <v>358100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IFERROR(VLOOKUP(B24,input_358100!L:R,7,FALSE),VLOOKUP(tables_358100!C24,input_358100!A:H,8,FALSE))</f>
        <v>0</v>
      </c>
      <c r="P24" s="46">
        <f ca="1">O24/SUM(O:O)</f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input_358100!A$2</f>
        <v>358100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IFERROR(VLOOKUP(B25,input_358100!L:R,7,FALSE),VLOOKUP(tables_358100!C25,input_358100!A:H,8,FALSE))</f>
        <v>72200</v>
      </c>
      <c r="P25" s="46">
        <f ca="1">O25/SUM(O:O)</f>
        <v>1.217948717948718E-2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input_358100!A$2</f>
        <v>358100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IFERROR(VLOOKUP(B26,input_358100!L:R,7,FALSE),VLOOKUP(tables_358100!C26,input_358100!A:H,8,FALSE))</f>
        <v>0</v>
      </c>
      <c r="P26" s="46">
        <f ca="1">O26/SUM(O:O)</f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input_358100!A$2</f>
        <v>358100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IFERROR(VLOOKUP(B27,input_358100!L:R,7,FALSE),VLOOKUP(tables_358100!C27,input_358100!A:H,8,FALSE))</f>
        <v>72200</v>
      </c>
      <c r="P27" s="46">
        <f ca="1">O27/SUM(O:O)</f>
        <v>1.217948717948718E-2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input_358100!A$2</f>
        <v>358100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IFERROR(VLOOKUP(B28,input_358100!L:R,7,FALSE),VLOOKUP(tables_358100!C28,input_358100!A:H,8,FALSE))</f>
        <v>0</v>
      </c>
      <c r="P28" s="46">
        <f ca="1">O28/SUM(O:O)</f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input_358100!A$2</f>
        <v>358100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IFERROR(VLOOKUP(B29,input_358100!L:R,7,FALSE),VLOOKUP(tables_358100!C29,input_358100!A:H,8,FALSE))</f>
        <v>72200</v>
      </c>
      <c r="P29" s="46">
        <f ca="1">O29/SUM(O:O)</f>
        <v>1.217948717948718E-2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input_358100!A$2</f>
        <v>358100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IFERROR(VLOOKUP(B30,input_358100!L:R,7,FALSE),VLOOKUP(tables_358100!C30,input_358100!A:H,8,FALSE))</f>
        <v>0</v>
      </c>
      <c r="P30" s="46">
        <f ca="1">O30/SUM(O:O)</f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input_358100!A$2</f>
        <v>358100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IFERROR(VLOOKUP(B31,input_358100!L:R,7,FALSE),VLOOKUP(tables_358100!C31,input_358100!A:H,8,FALSE))</f>
        <v>72200</v>
      </c>
      <c r="P31" s="46">
        <f ca="1">O31/SUM(O:O)</f>
        <v>1.217948717948718E-2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input_358100!A$2</f>
        <v>358100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IFERROR(VLOOKUP(B32,input_358100!L:R,7,FALSE),VLOOKUP(tables_358100!C32,input_358100!A:H,8,FALSE))</f>
        <v>0</v>
      </c>
      <c r="P32" s="46">
        <f ca="1">O32/SUM(O:O)</f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input_358100!A$2</f>
        <v>358100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IFERROR(VLOOKUP(B33,input_358100!L:R,7,FALSE),VLOOKUP(tables_358100!C33,input_358100!A:H,8,FALSE))</f>
        <v>72200</v>
      </c>
      <c r="P33" s="46">
        <f ca="1">O33/SUM(O:O)</f>
        <v>1.217948717948718E-2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input_358100!A$2</f>
        <v>358100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IFERROR(VLOOKUP(B34,input_358100!L:R,7,FALSE),VLOOKUP(tables_358100!C34,input_358100!A:H,8,FALSE))</f>
        <v>0</v>
      </c>
      <c r="P34" s="46">
        <f ca="1">O34/SUM(O:O)</f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input_358100!A$2</f>
        <v>358100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IFERROR(VLOOKUP(B35,input_358100!L:R,7,FALSE),VLOOKUP(tables_358100!C35,input_358100!A:H,8,FALSE))</f>
        <v>72200</v>
      </c>
      <c r="P35" s="46">
        <f ca="1">O35/SUM(O:O)</f>
        <v>1.217948717948718E-2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input_358100!A$2</f>
        <v>358100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IFERROR(VLOOKUP(B36,input_358100!L:R,7,FALSE),VLOOKUP(tables_358100!C36,input_358100!A:H,8,FALSE))</f>
        <v>0</v>
      </c>
      <c r="P36" s="46">
        <f ca="1">O36/SUM(O:O)</f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input_358100!A$2</f>
        <v>358100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IFERROR(VLOOKUP(B37,input_358100!L:R,7,FALSE),VLOOKUP(tables_358100!C37,input_358100!A:H,8,FALSE))</f>
        <v>72200</v>
      </c>
      <c r="P37" s="46">
        <f ca="1">O37/SUM(O:O)</f>
        <v>1.217948717948718E-2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input_358100!A$2</f>
        <v>358100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IFERROR(VLOOKUP(B38,input_358100!L:R,7,FALSE),VLOOKUP(tables_358100!C38,input_358100!A:H,8,FALSE))</f>
        <v>0</v>
      </c>
      <c r="P38" s="46">
        <f ca="1">O38/SUM(O:O)</f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input_358100!A$2</f>
        <v>358100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IFERROR(VLOOKUP(B39,input_358100!L:R,7,FALSE),VLOOKUP(tables_358100!C39,input_358100!A:H,8,FALSE))</f>
        <v>72200</v>
      </c>
      <c r="P39" s="46">
        <f ca="1">O39/SUM(O:O)</f>
        <v>1.217948717948718E-2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input_358100!A$2</f>
        <v>358100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IFERROR(VLOOKUP(B40,input_358100!L:R,7,FALSE),VLOOKUP(tables_358100!C40,input_358100!A:H,8,FALSE))</f>
        <v>0</v>
      </c>
      <c r="P40" s="46">
        <f ca="1">O40/SUM(O:O)</f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input_358100!A$2</f>
        <v>358100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IFERROR(VLOOKUP(B41,input_358100!L:R,7,FALSE),VLOOKUP(tables_358100!C41,input_358100!A:H,8,FALSE))</f>
        <v>72200</v>
      </c>
      <c r="P41" s="46">
        <f ca="1">O41/SUM(O:O)</f>
        <v>1.217948717948718E-2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input_358100!A$2</f>
        <v>358100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IFERROR(VLOOKUP(B42,input_358100!L:R,7,FALSE),VLOOKUP(tables_358100!C42,input_358100!A:H,8,FALSE))</f>
        <v>0</v>
      </c>
      <c r="P42" s="46">
        <f ca="1">O42/SUM(O:O)</f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input_358100!A$2</f>
        <v>358100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IFERROR(VLOOKUP(B43,input_358100!L:R,7,FALSE),VLOOKUP(tables_358100!C43,input_358100!A:H,8,FALSE))</f>
        <v>4446</v>
      </c>
      <c r="P43" s="46">
        <f ca="1">O43/SUM(O:O)</f>
        <v>7.5000000000000002E-4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input_358100!A$2</f>
        <v>358100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IFERROR(VLOOKUP(B44,input_358100!L:R,7,FALSE),VLOOKUP(tables_358100!C44,input_358100!A:H,8,FALSE))</f>
        <v>234</v>
      </c>
      <c r="P44" s="46">
        <f ca="1">O44/SUM(O:O)</f>
        <v>3.9473684210526316E-5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input_358100!A$2</f>
        <v>358100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IFERROR(VLOOKUP(B45,input_358100!L:R,7,FALSE),VLOOKUP(tables_358100!C45,input_358100!A:H,8,FALSE))</f>
        <v>0</v>
      </c>
      <c r="P45" s="46">
        <f ca="1">O45/SUM(O:O)</f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input_358100!A$2</f>
        <v>358100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IFERROR(VLOOKUP(B46,input_358100!L:R,7,FALSE),VLOOKUP(tables_358100!C46,input_358100!A:H,8,FALSE))</f>
        <v>4446</v>
      </c>
      <c r="P46" s="46">
        <f ca="1">O46/SUM(O:O)</f>
        <v>7.5000000000000002E-4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input_358100!A$2</f>
        <v>358100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IFERROR(VLOOKUP(B47,input_358100!L:R,7,FALSE),VLOOKUP(tables_358100!C47,input_358100!A:H,8,FALSE))</f>
        <v>234</v>
      </c>
      <c r="P47" s="46">
        <f ca="1">O47/SUM(O:O)</f>
        <v>3.9473684210526316E-5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input_358100!A$2</f>
        <v>358100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IFERROR(VLOOKUP(B48,input_358100!L:R,7,FALSE),VLOOKUP(tables_358100!C48,input_358100!A:H,8,FALSE))</f>
        <v>0</v>
      </c>
      <c r="P48" s="46">
        <f ca="1">O48/SUM(O:O)</f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input_358100!A$2</f>
        <v>358100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IFERROR(VLOOKUP(B49,input_358100!L:R,7,FALSE),VLOOKUP(tables_358100!C49,input_358100!A:H,8,FALSE))</f>
        <v>4446</v>
      </c>
      <c r="P49" s="46">
        <f ca="1">O49/SUM(O:O)</f>
        <v>7.5000000000000002E-4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input_358100!A$2</f>
        <v>358100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IFERROR(VLOOKUP(B50,input_358100!L:R,7,FALSE),VLOOKUP(tables_358100!C50,input_358100!A:H,8,FALSE))</f>
        <v>234</v>
      </c>
      <c r="P50" s="46">
        <f ca="1">O50/SUM(O:O)</f>
        <v>3.9473684210526316E-5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input_358100!A$2</f>
        <v>358100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IFERROR(VLOOKUP(B51,input_358100!L:R,7,FALSE),VLOOKUP(tables_358100!C51,input_358100!A:H,8,FALSE))</f>
        <v>0</v>
      </c>
      <c r="P51" s="46">
        <f ca="1">O51/SUM(O:O)</f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input_358100!A$2</f>
        <v>358100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IFERROR(VLOOKUP(B52,input_358100!L:R,7,FALSE),VLOOKUP(tables_358100!C52,input_358100!A:H,8,FALSE))</f>
        <v>68590</v>
      </c>
      <c r="P52" s="46">
        <f ca="1">O52/SUM(O:O)</f>
        <v>1.1570512820512821E-2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input_358100!A$2</f>
        <v>358100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IFERROR(VLOOKUP(B53,input_358100!L:R,7,FALSE),VLOOKUP(tables_358100!C53,input_358100!A:H,8,FALSE))</f>
        <v>3610</v>
      </c>
      <c r="P53" s="46">
        <f ca="1">O53/SUM(O:O)</f>
        <v>6.08974358974359E-4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input_358100!A$2</f>
        <v>358100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IFERROR(VLOOKUP(B54,input_358100!L:R,7,FALSE),VLOOKUP(tables_358100!C54,input_358100!A:H,8,FALSE))</f>
        <v>0</v>
      </c>
      <c r="P54" s="46">
        <f ca="1">O54/SUM(O:O)</f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input_358100!A$2</f>
        <v>358100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IFERROR(VLOOKUP(B55,input_358100!L:R,7,FALSE),VLOOKUP(tables_358100!C55,input_358100!A:H,8,FALSE))</f>
        <v>68590</v>
      </c>
      <c r="P55" s="46">
        <f ca="1">O55/SUM(O:O)</f>
        <v>1.1570512820512821E-2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input_358100!A$2</f>
        <v>358100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IFERROR(VLOOKUP(B56,input_358100!L:R,7,FALSE),VLOOKUP(tables_358100!C56,input_358100!A:H,8,FALSE))</f>
        <v>3610</v>
      </c>
      <c r="P56" s="46">
        <f ca="1">O56/SUM(O:O)</f>
        <v>6.08974358974359E-4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input_358100!A$2</f>
        <v>358100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IFERROR(VLOOKUP(B57,input_358100!L:R,7,FALSE),VLOOKUP(tables_358100!C57,input_358100!A:H,8,FALSE))</f>
        <v>0</v>
      </c>
      <c r="P57" s="46">
        <f ca="1">O57/SUM(O:O)</f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input_358100!A$2</f>
        <v>358100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IFERROR(VLOOKUP(B58,input_358100!L:R,7,FALSE),VLOOKUP(tables_358100!C58,input_358100!A:H,8,FALSE))</f>
        <v>68590</v>
      </c>
      <c r="P58" s="46">
        <f ca="1">O58/SUM(O:O)</f>
        <v>1.1570512820512821E-2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input_358100!A$2</f>
        <v>358100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IFERROR(VLOOKUP(B59,input_358100!L:R,7,FALSE),VLOOKUP(tables_358100!C59,input_358100!A:H,8,FALSE))</f>
        <v>3610</v>
      </c>
      <c r="P59" s="46">
        <f ca="1">O59/SUM(O:O)</f>
        <v>6.08974358974359E-4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input_358100!A$2</f>
        <v>358100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IFERROR(VLOOKUP(B60,input_358100!L:R,7,FALSE),VLOOKUP(tables_358100!C60,input_358100!A:H,8,FALSE))</f>
        <v>0</v>
      </c>
      <c r="P60" s="46">
        <f ca="1">O60/SUM(O:O)</f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input_358100!A$2</f>
        <v>358100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IFERROR(VLOOKUP(B61,input_358100!L:R,7,FALSE),VLOOKUP(tables_358100!C61,input_358100!A:H,8,FALSE))</f>
        <v>68590</v>
      </c>
      <c r="P61" s="46">
        <f ca="1">O61/SUM(O:O)</f>
        <v>1.1570512820512821E-2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input_358100!A$2</f>
        <v>358100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IFERROR(VLOOKUP(B62,input_358100!L:R,7,FALSE),VLOOKUP(tables_358100!C62,input_358100!A:H,8,FALSE))</f>
        <v>3610</v>
      </c>
      <c r="P62" s="46">
        <f ca="1">O62/SUM(O:O)</f>
        <v>6.08974358974359E-4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input_358100!A$2</f>
        <v>358100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IFERROR(VLOOKUP(B63,input_358100!L:R,7,FALSE),VLOOKUP(tables_358100!C63,input_358100!A:H,8,FALSE))</f>
        <v>0</v>
      </c>
      <c r="P63" s="46">
        <f ca="1">O63/SUM(O:O)</f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input_358100!A$2</f>
        <v>358100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IFERROR(VLOOKUP(B64,input_358100!L:R,7,FALSE),VLOOKUP(tables_358100!C64,input_358100!A:H,8,FALSE))</f>
        <v>68590</v>
      </c>
      <c r="P64" s="46">
        <f ca="1">O64/SUM(O:O)</f>
        <v>1.1570512820512821E-2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input_358100!A$2</f>
        <v>358100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IFERROR(VLOOKUP(B65,input_358100!L:R,7,FALSE),VLOOKUP(tables_358100!C65,input_358100!A:H,8,FALSE))</f>
        <v>3610</v>
      </c>
      <c r="P65" s="46">
        <f ca="1">O65/SUM(O:O)</f>
        <v>6.08974358974359E-4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input_358100!A$2</f>
        <v>358100</v>
      </c>
      <c r="B66" s="6">
        <v>190</v>
      </c>
      <c r="C66" s="7" t="str">
        <f t="shared" ref="C66:C129" si="2">D66&amp;J66&amp;E66&amp;F66&amp;G66</f>
        <v>Premium3</v>
      </c>
      <c r="D66" s="7" t="str">
        <f t="shared" ref="D66:D129" si="3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IFERROR(VLOOKUP(B66,input_358100!L:R,7,FALSE),VLOOKUP(tables_358100!C66,input_358100!A:H,8,FALSE))</f>
        <v>0</v>
      </c>
      <c r="P66" s="46">
        <f ca="1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input_358100!A$2</f>
        <v>358100</v>
      </c>
      <c r="B67" s="6">
        <v>191</v>
      </c>
      <c r="C67" s="7" t="str">
        <f t="shared" si="2"/>
        <v>Premium4</v>
      </c>
      <c r="D67" s="7" t="str">
        <f t="shared" si="3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IFERROR(VLOOKUP(B67,input_358100!L:R,7,FALSE),VLOOKUP(tables_358100!C67,input_358100!A:H,8,FALSE))</f>
        <v>68590</v>
      </c>
      <c r="P67" s="46">
        <f ca="1">O67/SUM(O:O)</f>
        <v>1.1570512820512821E-2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input_358100!A$2</f>
        <v>358100</v>
      </c>
      <c r="B68" s="6">
        <v>192</v>
      </c>
      <c r="C68" s="7" t="str">
        <f t="shared" si="2"/>
        <v>Premium5</v>
      </c>
      <c r="D68" s="7" t="str">
        <f t="shared" si="3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IFERROR(VLOOKUP(B68,input_358100!L:R,7,FALSE),VLOOKUP(tables_358100!C68,input_358100!A:H,8,FALSE))</f>
        <v>3610</v>
      </c>
      <c r="P68" s="46">
        <f ca="1">O68/SUM(O:O)</f>
        <v>6.08974358974359E-4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input_358100!A$2</f>
        <v>358100</v>
      </c>
      <c r="B69" s="6">
        <v>193</v>
      </c>
      <c r="C69" s="7" t="str">
        <f t="shared" si="2"/>
        <v>Premium3</v>
      </c>
      <c r="D69" s="7" t="str">
        <f t="shared" si="3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IFERROR(VLOOKUP(B69,input_358100!L:R,7,FALSE),VLOOKUP(tables_358100!C69,input_358100!A:H,8,FALSE))</f>
        <v>0</v>
      </c>
      <c r="P69" s="46">
        <f ca="1">O69/SUM(O:O)</f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input_358100!A$2</f>
        <v>358100</v>
      </c>
      <c r="B70" s="10">
        <v>194</v>
      </c>
      <c r="C70" s="7" t="str">
        <f t="shared" si="2"/>
        <v>Premium4</v>
      </c>
      <c r="D70" s="7" t="str">
        <f t="shared" si="3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IFERROR(VLOOKUP(B70,input_358100!L:R,7,FALSE),VLOOKUP(tables_358100!C70,input_358100!A:H,8,FALSE))</f>
        <v>68590</v>
      </c>
      <c r="P70" s="46">
        <f ca="1">O70/SUM(O:O)</f>
        <v>1.1570512820512821E-2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input_358100!A$2</f>
        <v>358100</v>
      </c>
      <c r="B71" s="6">
        <v>195</v>
      </c>
      <c r="C71" s="7" t="str">
        <f t="shared" si="2"/>
        <v>Premium5</v>
      </c>
      <c r="D71" s="7" t="str">
        <f t="shared" si="3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IFERROR(VLOOKUP(B71,input_358100!L:R,7,FALSE),VLOOKUP(tables_358100!C71,input_358100!A:H,8,FALSE))</f>
        <v>3610</v>
      </c>
      <c r="P71" s="46">
        <f ca="1">O71/SUM(O:O)</f>
        <v>6.08974358974359E-4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input_358100!A$2</f>
        <v>358100</v>
      </c>
      <c r="B72" s="10">
        <v>196</v>
      </c>
      <c r="C72" s="7" t="str">
        <f t="shared" si="2"/>
        <v>Premium3</v>
      </c>
      <c r="D72" s="7" t="str">
        <f t="shared" si="3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IFERROR(VLOOKUP(B72,input_358100!L:R,7,FALSE),VLOOKUP(tables_358100!C72,input_358100!A:H,8,FALSE))</f>
        <v>0</v>
      </c>
      <c r="P72" s="46">
        <f ca="1">O72/SUM(O:O)</f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input_358100!A$2</f>
        <v>358100</v>
      </c>
      <c r="B73" s="11">
        <v>197</v>
      </c>
      <c r="C73" s="7" t="str">
        <f t="shared" si="2"/>
        <v>Premium4</v>
      </c>
      <c r="D73" s="7" t="str">
        <f t="shared" si="3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IFERROR(VLOOKUP(B73,input_358100!L:R,7,FALSE),VLOOKUP(tables_358100!C73,input_358100!A:H,8,FALSE))</f>
        <v>68590</v>
      </c>
      <c r="P73" s="46">
        <f ca="1">O73/SUM(O:O)</f>
        <v>1.1570512820512821E-2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input_358100!A$2</f>
        <v>358100</v>
      </c>
      <c r="B74" s="6">
        <v>198</v>
      </c>
      <c r="C74" s="7" t="str">
        <f t="shared" si="2"/>
        <v>Premium5</v>
      </c>
      <c r="D74" s="7" t="str">
        <f t="shared" si="3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IFERROR(VLOOKUP(B74,input_358100!L:R,7,FALSE),VLOOKUP(tables_358100!C74,input_358100!A:H,8,FALSE))</f>
        <v>3610</v>
      </c>
      <c r="P74" s="46">
        <f ca="1">O74/SUM(O:O)</f>
        <v>6.08974358974359E-4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input_358100!A$2</f>
        <v>358100</v>
      </c>
      <c r="B75" s="6">
        <v>199</v>
      </c>
      <c r="C75" s="7" t="str">
        <f t="shared" si="2"/>
        <v>Premium3</v>
      </c>
      <c r="D75" s="7" t="str">
        <f t="shared" si="3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IFERROR(VLOOKUP(B75,input_358100!L:R,7,FALSE),VLOOKUP(tables_358100!C75,input_358100!A:H,8,FALSE))</f>
        <v>0</v>
      </c>
      <c r="P75" s="46">
        <f ca="1">O75/SUM(O:O)</f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input_358100!A$2</f>
        <v>358100</v>
      </c>
      <c r="B76" s="6">
        <v>200</v>
      </c>
      <c r="C76" s="7" t="str">
        <f t="shared" si="2"/>
        <v>Premium4</v>
      </c>
      <c r="D76" s="7" t="str">
        <f t="shared" si="3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IFERROR(VLOOKUP(B76,input_358100!L:R,7,FALSE),VLOOKUP(tables_358100!C76,input_358100!A:H,8,FALSE))</f>
        <v>68590</v>
      </c>
      <c r="P76" s="46">
        <f ca="1">O76/SUM(O:O)</f>
        <v>1.1570512820512821E-2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input_358100!A$2</f>
        <v>358100</v>
      </c>
      <c r="B77" s="5">
        <v>201</v>
      </c>
      <c r="C77" s="7" t="str">
        <f t="shared" si="2"/>
        <v>Premium5</v>
      </c>
      <c r="D77" s="7" t="str">
        <f t="shared" si="3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IFERROR(VLOOKUP(B77,input_358100!L:R,7,FALSE),VLOOKUP(tables_358100!C77,input_358100!A:H,8,FALSE))</f>
        <v>3610</v>
      </c>
      <c r="P77" s="46">
        <f ca="1">O77/SUM(O:O)</f>
        <v>6.08974358974359E-4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input_358100!A$2</f>
        <v>358100</v>
      </c>
      <c r="B78" s="5">
        <v>202</v>
      </c>
      <c r="C78" s="7" t="str">
        <f t="shared" si="2"/>
        <v>Premium3</v>
      </c>
      <c r="D78" s="7" t="str">
        <f t="shared" si="3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IFERROR(VLOOKUP(B78,input_358100!L:R,7,FALSE),VLOOKUP(tables_358100!C78,input_358100!A:H,8,FALSE))</f>
        <v>0</v>
      </c>
      <c r="P78" s="46">
        <f ca="1">O78/SUM(O:O)</f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input_358100!A$2</f>
        <v>358100</v>
      </c>
      <c r="B79" s="5">
        <v>203</v>
      </c>
      <c r="C79" s="7" t="str">
        <f t="shared" si="2"/>
        <v>Premium4</v>
      </c>
      <c r="D79" s="7" t="str">
        <f t="shared" si="3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IFERROR(VLOOKUP(B79,input_358100!L:R,7,FALSE),VLOOKUP(tables_358100!C79,input_358100!A:H,8,FALSE))</f>
        <v>68590</v>
      </c>
      <c r="P79" s="46">
        <f ca="1">O79/SUM(O:O)</f>
        <v>1.1570512820512821E-2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input_358100!A$2</f>
        <v>358100</v>
      </c>
      <c r="B80" s="5">
        <v>204</v>
      </c>
      <c r="C80" s="7" t="str">
        <f t="shared" si="2"/>
        <v>Premium5</v>
      </c>
      <c r="D80" s="7" t="str">
        <f t="shared" si="3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IFERROR(VLOOKUP(B80,input_358100!L:R,7,FALSE),VLOOKUP(tables_358100!C80,input_358100!A:H,8,FALSE))</f>
        <v>3610</v>
      </c>
      <c r="P80" s="46">
        <f ca="1">O80/SUM(O:O)</f>
        <v>6.08974358974359E-4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input_358100!A$2</f>
        <v>358100</v>
      </c>
      <c r="B81" s="5">
        <v>205</v>
      </c>
      <c r="C81" s="7" t="str">
        <f t="shared" si="2"/>
        <v>Premium3</v>
      </c>
      <c r="D81" s="7" t="str">
        <f t="shared" si="3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IFERROR(VLOOKUP(B81,input_358100!L:R,7,FALSE),VLOOKUP(tables_358100!C81,input_358100!A:H,8,FALSE))</f>
        <v>0</v>
      </c>
      <c r="P81" s="46">
        <f ca="1">O81/SUM(O:O)</f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input_358100!A$2</f>
        <v>358100</v>
      </c>
      <c r="B82" s="5">
        <v>206</v>
      </c>
      <c r="C82" s="7" t="str">
        <f t="shared" si="2"/>
        <v>Premium4</v>
      </c>
      <c r="D82" s="7" t="str">
        <f t="shared" si="3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IFERROR(VLOOKUP(B82,input_358100!L:R,7,FALSE),VLOOKUP(tables_358100!C82,input_358100!A:H,8,FALSE))</f>
        <v>68590</v>
      </c>
      <c r="P82" s="46">
        <f ca="1">O82/SUM(O:O)</f>
        <v>1.1570512820512821E-2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input_358100!A$2</f>
        <v>358100</v>
      </c>
      <c r="B83" s="5">
        <v>207</v>
      </c>
      <c r="C83" s="7" t="str">
        <f t="shared" si="2"/>
        <v>Premium5</v>
      </c>
      <c r="D83" s="7" t="str">
        <f t="shared" si="3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IFERROR(VLOOKUP(B83,input_358100!L:R,7,FALSE),VLOOKUP(tables_358100!C83,input_358100!A:H,8,FALSE))</f>
        <v>3610</v>
      </c>
      <c r="P83" s="46">
        <f ca="1">O83/SUM(O:O)</f>
        <v>6.08974358974359E-4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input_358100!A$2</f>
        <v>358100</v>
      </c>
      <c r="B84" s="5">
        <v>208</v>
      </c>
      <c r="C84" s="7" t="str">
        <f t="shared" si="2"/>
        <v>Premium3</v>
      </c>
      <c r="D84" s="7" t="str">
        <f t="shared" si="3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IFERROR(VLOOKUP(B84,input_358100!L:R,7,FALSE),VLOOKUP(tables_358100!C84,input_358100!A:H,8,FALSE))</f>
        <v>0</v>
      </c>
      <c r="P84" s="46">
        <f ca="1">O84/SUM(O:O)</f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input_358100!A$2</f>
        <v>358100</v>
      </c>
      <c r="B85" s="5">
        <v>209</v>
      </c>
      <c r="C85" s="7" t="str">
        <f t="shared" si="2"/>
        <v>Premium4</v>
      </c>
      <c r="D85" s="7" t="str">
        <f t="shared" si="3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IFERROR(VLOOKUP(B85,input_358100!L:R,7,FALSE),VLOOKUP(tables_358100!C85,input_358100!A:H,8,FALSE))</f>
        <v>68590</v>
      </c>
      <c r="P85" s="46">
        <f ca="1">O85/SUM(O:O)</f>
        <v>1.1570512820512821E-2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input_358100!A$2</f>
        <v>358100</v>
      </c>
      <c r="B86" s="5">
        <v>210</v>
      </c>
      <c r="C86" s="7" t="str">
        <f t="shared" si="2"/>
        <v>Premium5</v>
      </c>
      <c r="D86" s="7" t="str">
        <f t="shared" si="3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IFERROR(VLOOKUP(B86,input_358100!L:R,7,FALSE),VLOOKUP(tables_358100!C86,input_358100!A:H,8,FALSE))</f>
        <v>3610</v>
      </c>
      <c r="P86" s="46">
        <f ca="1">O86/SUM(O:O)</f>
        <v>6.08974358974359E-4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input_358100!A$2</f>
        <v>358100</v>
      </c>
      <c r="B87" s="5">
        <v>211</v>
      </c>
      <c r="C87" s="7" t="str">
        <f t="shared" si="2"/>
        <v>Premium3</v>
      </c>
      <c r="D87" s="7" t="str">
        <f t="shared" si="3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IFERROR(VLOOKUP(B87,input_358100!L:R,7,FALSE),VLOOKUP(tables_358100!C87,input_358100!A:H,8,FALSE))</f>
        <v>0</v>
      </c>
      <c r="P87" s="46">
        <f ca="1">O87/SUM(O:O)</f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input_358100!A$2</f>
        <v>358100</v>
      </c>
      <c r="B88" s="5">
        <v>212</v>
      </c>
      <c r="C88" s="7" t="str">
        <f t="shared" si="2"/>
        <v>Premium4</v>
      </c>
      <c r="D88" s="7" t="str">
        <f t="shared" si="3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IFERROR(VLOOKUP(B88,input_358100!L:R,7,FALSE),VLOOKUP(tables_358100!C88,input_358100!A:H,8,FALSE))</f>
        <v>68590</v>
      </c>
      <c r="P88" s="46">
        <f ca="1">O88/SUM(O:O)</f>
        <v>1.1570512820512821E-2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input_358100!A$2</f>
        <v>358100</v>
      </c>
      <c r="B89" s="5">
        <v>213</v>
      </c>
      <c r="C89" s="7" t="str">
        <f t="shared" si="2"/>
        <v>Premium5</v>
      </c>
      <c r="D89" s="7" t="str">
        <f t="shared" si="3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IFERROR(VLOOKUP(B89,input_358100!L:R,7,FALSE),VLOOKUP(tables_358100!C89,input_358100!A:H,8,FALSE))</f>
        <v>3610</v>
      </c>
      <c r="P89" s="46">
        <f ca="1">O89/SUM(O:O)</f>
        <v>6.08974358974359E-4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input_358100!A$2</f>
        <v>358100</v>
      </c>
      <c r="B90" s="5">
        <v>214</v>
      </c>
      <c r="C90" s="7" t="str">
        <f t="shared" si="2"/>
        <v>Premium3</v>
      </c>
      <c r="D90" s="7" t="str">
        <f t="shared" si="3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IFERROR(VLOOKUP(B90,input_358100!L:R,7,FALSE),VLOOKUP(tables_358100!C90,input_358100!A:H,8,FALSE))</f>
        <v>0</v>
      </c>
      <c r="P90" s="46">
        <f ca="1">O90/SUM(O:O)</f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input_358100!A$2</f>
        <v>358100</v>
      </c>
      <c r="B91" s="5">
        <v>215</v>
      </c>
      <c r="C91" s="7" t="str">
        <f t="shared" si="2"/>
        <v>Premium4</v>
      </c>
      <c r="D91" s="7" t="str">
        <f t="shared" si="3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IFERROR(VLOOKUP(B91,input_358100!L:R,7,FALSE),VLOOKUP(tables_358100!C91,input_358100!A:H,8,FALSE))</f>
        <v>68590</v>
      </c>
      <c r="P91" s="46">
        <f ca="1">O91/SUM(O:O)</f>
        <v>1.1570512820512821E-2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input_358100!A$2</f>
        <v>358100</v>
      </c>
      <c r="B92" s="5">
        <v>216</v>
      </c>
      <c r="C92" s="7" t="str">
        <f t="shared" si="2"/>
        <v>Premium5</v>
      </c>
      <c r="D92" s="7" t="str">
        <f t="shared" si="3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IFERROR(VLOOKUP(B92,input_358100!L:R,7,FALSE),VLOOKUP(tables_358100!C92,input_358100!A:H,8,FALSE))</f>
        <v>3610</v>
      </c>
      <c r="P92" s="46">
        <f ca="1">O92/SUM(O:O)</f>
        <v>6.08974358974359E-4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input_358100!A$2</f>
        <v>358100</v>
      </c>
      <c r="B93" s="5">
        <v>217</v>
      </c>
      <c r="C93" s="7" t="str">
        <f t="shared" si="2"/>
        <v>Premium3</v>
      </c>
      <c r="D93" s="7" t="str">
        <f t="shared" si="3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IFERROR(VLOOKUP(B93,input_358100!L:R,7,FALSE),VLOOKUP(tables_358100!C93,input_358100!A:H,8,FALSE))</f>
        <v>0</v>
      </c>
      <c r="P93" s="46">
        <f ca="1">O93/SUM(O:O)</f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input_358100!A$2</f>
        <v>358100</v>
      </c>
      <c r="B94" s="5">
        <v>218</v>
      </c>
      <c r="C94" s="7" t="str">
        <f t="shared" si="2"/>
        <v>Premium4</v>
      </c>
      <c r="D94" s="7" t="str">
        <f t="shared" si="3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IFERROR(VLOOKUP(B94,input_358100!L:R,7,FALSE),VLOOKUP(tables_358100!C94,input_358100!A:H,8,FALSE))</f>
        <v>68590</v>
      </c>
      <c r="P94" s="46">
        <f ca="1">O94/SUM(O:O)</f>
        <v>1.1570512820512821E-2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input_358100!A$2</f>
        <v>358100</v>
      </c>
      <c r="B95" s="5">
        <v>219</v>
      </c>
      <c r="C95" s="7" t="str">
        <f t="shared" si="2"/>
        <v>Premium5</v>
      </c>
      <c r="D95" s="7" t="str">
        <f t="shared" si="3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IFERROR(VLOOKUP(B95,input_358100!L:R,7,FALSE),VLOOKUP(tables_358100!C95,input_358100!A:H,8,FALSE))</f>
        <v>3610</v>
      </c>
      <c r="P95" s="46">
        <f ca="1">O95/SUM(O:O)</f>
        <v>6.08974358974359E-4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input_358100!A$2</f>
        <v>358100</v>
      </c>
      <c r="B96" s="5">
        <v>220</v>
      </c>
      <c r="C96" s="7" t="str">
        <f t="shared" si="2"/>
        <v>Premium3</v>
      </c>
      <c r="D96" s="7" t="str">
        <f t="shared" si="3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IFERROR(VLOOKUP(B96,input_358100!L:R,7,FALSE),VLOOKUP(tables_358100!C96,input_358100!A:H,8,FALSE))</f>
        <v>0</v>
      </c>
      <c r="P96" s="46">
        <f ca="1">O96/SUM(O:O)</f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input_358100!A$2</f>
        <v>358100</v>
      </c>
      <c r="B97" s="5">
        <v>221</v>
      </c>
      <c r="C97" s="7" t="str">
        <f t="shared" si="2"/>
        <v>Premium4</v>
      </c>
      <c r="D97" s="7" t="str">
        <f t="shared" si="3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IFERROR(VLOOKUP(B97,input_358100!L:R,7,FALSE),VLOOKUP(tables_358100!C97,input_358100!A:H,8,FALSE))</f>
        <v>68590</v>
      </c>
      <c r="P97" s="46">
        <f ca="1">O97/SUM(O:O)</f>
        <v>1.1570512820512821E-2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input_358100!A$2</f>
        <v>358100</v>
      </c>
      <c r="B98" s="5">
        <v>222</v>
      </c>
      <c r="C98" s="7" t="str">
        <f t="shared" si="2"/>
        <v>Premium5</v>
      </c>
      <c r="D98" s="7" t="str">
        <f t="shared" si="3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IFERROR(VLOOKUP(B98,input_358100!L:R,7,FALSE),VLOOKUP(tables_358100!C98,input_358100!A:H,8,FALSE))</f>
        <v>3610</v>
      </c>
      <c r="P98" s="46">
        <f ca="1">O98/SUM(O:O)</f>
        <v>6.08974358974359E-4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input_358100!A$2</f>
        <v>358100</v>
      </c>
      <c r="B99" s="5">
        <v>223</v>
      </c>
      <c r="C99" s="7" t="str">
        <f t="shared" si="2"/>
        <v>Premium3</v>
      </c>
      <c r="D99" s="7" t="str">
        <f t="shared" si="3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IFERROR(VLOOKUP(B99,input_358100!L:R,7,FALSE),VLOOKUP(tables_358100!C99,input_358100!A:H,8,FALSE))</f>
        <v>0</v>
      </c>
      <c r="P99" s="46">
        <f ca="1">O99/SUM(O:O)</f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input_358100!A$2</f>
        <v>358100</v>
      </c>
      <c r="B100" s="5">
        <v>224</v>
      </c>
      <c r="C100" s="7" t="str">
        <f t="shared" si="2"/>
        <v>Premium4</v>
      </c>
      <c r="D100" s="7" t="str">
        <f t="shared" si="3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IFERROR(VLOOKUP(B100,input_358100!L:R,7,FALSE),VLOOKUP(tables_358100!C100,input_358100!A:H,8,FALSE))</f>
        <v>68590</v>
      </c>
      <c r="P100" s="46">
        <f ca="1">O100/SUM(O:O)</f>
        <v>1.1570512820512821E-2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input_358100!A$2</f>
        <v>358100</v>
      </c>
      <c r="B101" s="5">
        <v>225</v>
      </c>
      <c r="C101" s="7" t="str">
        <f t="shared" si="2"/>
        <v>Premium5</v>
      </c>
      <c r="D101" s="7" t="str">
        <f t="shared" si="3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IFERROR(VLOOKUP(B101,input_358100!L:R,7,FALSE),VLOOKUP(tables_358100!C101,input_358100!A:H,8,FALSE))</f>
        <v>3610</v>
      </c>
      <c r="P101" s="46">
        <f ca="1">O101/SUM(O:O)</f>
        <v>6.08974358974359E-4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input_358100!A$2</f>
        <v>358100</v>
      </c>
      <c r="B102" s="5">
        <v>226</v>
      </c>
      <c r="C102" s="7" t="str">
        <f t="shared" si="2"/>
        <v>Premium3</v>
      </c>
      <c r="D102" s="7" t="str">
        <f t="shared" si="3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IFERROR(VLOOKUP(B102,input_358100!L:R,7,FALSE),VLOOKUP(tables_358100!C102,input_358100!A:H,8,FALSE))</f>
        <v>0</v>
      </c>
      <c r="P102" s="46">
        <f ca="1">O102/SUM(O:O)</f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input_358100!A$2</f>
        <v>358100</v>
      </c>
      <c r="B103" s="5">
        <v>227</v>
      </c>
      <c r="C103" s="7" t="str">
        <f t="shared" si="2"/>
        <v>Premium4</v>
      </c>
      <c r="D103" s="7" t="str">
        <f t="shared" si="3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IFERROR(VLOOKUP(B103,input_358100!L:R,7,FALSE),VLOOKUP(tables_358100!C103,input_358100!A:H,8,FALSE))</f>
        <v>68590</v>
      </c>
      <c r="P103" s="46">
        <f ca="1">O103/SUM(O:O)</f>
        <v>1.1570512820512821E-2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input_358100!A$2</f>
        <v>358100</v>
      </c>
      <c r="B104" s="5">
        <v>228</v>
      </c>
      <c r="C104" s="7" t="str">
        <f t="shared" si="2"/>
        <v>Premium5</v>
      </c>
      <c r="D104" s="7" t="str">
        <f t="shared" si="3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IFERROR(VLOOKUP(B104,input_358100!L:R,7,FALSE),VLOOKUP(tables_358100!C104,input_358100!A:H,8,FALSE))</f>
        <v>3610</v>
      </c>
      <c r="P104" s="46">
        <f ca="1">O104/SUM(O:O)</f>
        <v>6.08974358974359E-4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input_358100!A$2</f>
        <v>358100</v>
      </c>
      <c r="B105" s="5">
        <v>229</v>
      </c>
      <c r="C105" s="7" t="str">
        <f t="shared" si="2"/>
        <v>Premium3</v>
      </c>
      <c r="D105" s="7" t="str">
        <f t="shared" si="3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IFERROR(VLOOKUP(B105,input_358100!L:R,7,FALSE),VLOOKUP(tables_358100!C105,input_358100!A:H,8,FALSE))</f>
        <v>0</v>
      </c>
      <c r="P105" s="46">
        <f ca="1">O105/SUM(O:O)</f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input_358100!A$2</f>
        <v>358100</v>
      </c>
      <c r="B106" s="5">
        <v>230</v>
      </c>
      <c r="C106" s="7" t="str">
        <f t="shared" si="2"/>
        <v>Premium4</v>
      </c>
      <c r="D106" s="7" t="str">
        <f t="shared" si="3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IFERROR(VLOOKUP(B106,input_358100!L:R,7,FALSE),VLOOKUP(tables_358100!C106,input_358100!A:H,8,FALSE))</f>
        <v>68590</v>
      </c>
      <c r="P106" s="46">
        <f ca="1">O106/SUM(O:O)</f>
        <v>1.1570512820512821E-2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input_358100!A$2</f>
        <v>358100</v>
      </c>
      <c r="B107" s="5">
        <v>231</v>
      </c>
      <c r="C107" s="7" t="str">
        <f t="shared" si="2"/>
        <v>Premium5</v>
      </c>
      <c r="D107" s="7" t="str">
        <f t="shared" si="3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IFERROR(VLOOKUP(B107,input_358100!L:R,7,FALSE),VLOOKUP(tables_358100!C107,input_358100!A:H,8,FALSE))</f>
        <v>3610</v>
      </c>
      <c r="P107" s="46">
        <f ca="1">O107/SUM(O:O)</f>
        <v>6.08974358974359E-4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input_358100!A$2</f>
        <v>358100</v>
      </c>
      <c r="B108" s="5">
        <v>232</v>
      </c>
      <c r="C108" s="7" t="str">
        <f t="shared" si="2"/>
        <v>Premium3</v>
      </c>
      <c r="D108" s="7" t="str">
        <f t="shared" si="3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IFERROR(VLOOKUP(B108,input_358100!L:R,7,FALSE),VLOOKUP(tables_358100!C108,input_358100!A:H,8,FALSE))</f>
        <v>0</v>
      </c>
      <c r="P108" s="46">
        <f ca="1">O108/SUM(O:O)</f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input_358100!A$2</f>
        <v>358100</v>
      </c>
      <c r="B109" s="5">
        <v>233</v>
      </c>
      <c r="C109" s="7" t="str">
        <f t="shared" si="2"/>
        <v>Premium4</v>
      </c>
      <c r="D109" s="7" t="str">
        <f t="shared" si="3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IFERROR(VLOOKUP(B109,input_358100!L:R,7,FALSE),VLOOKUP(tables_358100!C109,input_358100!A:H,8,FALSE))</f>
        <v>68590</v>
      </c>
      <c r="P109" s="46">
        <f ca="1">O109/SUM(O:O)</f>
        <v>1.1570512820512821E-2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input_358100!A$2</f>
        <v>358100</v>
      </c>
      <c r="B110" s="5">
        <v>234</v>
      </c>
      <c r="C110" s="7" t="str">
        <f t="shared" si="2"/>
        <v>Premium5</v>
      </c>
      <c r="D110" s="7" t="str">
        <f t="shared" si="3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IFERROR(VLOOKUP(B110,input_358100!L:R,7,FALSE),VLOOKUP(tables_358100!C110,input_358100!A:H,8,FALSE))</f>
        <v>3610</v>
      </c>
      <c r="P110" s="46">
        <f ca="1">O110/SUM(O:O)</f>
        <v>6.08974358974359E-4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input_358100!A$2</f>
        <v>358100</v>
      </c>
      <c r="B111" s="5">
        <v>235</v>
      </c>
      <c r="C111" s="7" t="str">
        <f t="shared" si="2"/>
        <v>Premium3R6release</v>
      </c>
      <c r="D111" s="7" t="str">
        <f t="shared" si="3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IFERROR(VLOOKUP(B111,input_358100!L:R,7,FALSE),VLOOKUP(tables_358100!C111,input_358100!A:H,8,FALSE))</f>
        <v>0</v>
      </c>
      <c r="P111" s="46">
        <f ca="1">O111/SUM(O:O)</f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input_358100!A$2</f>
        <v>358100</v>
      </c>
      <c r="B112" s="5">
        <v>236</v>
      </c>
      <c r="C112" s="7" t="str">
        <f t="shared" si="2"/>
        <v>Premium4R6release</v>
      </c>
      <c r="D112" s="7" t="str">
        <f t="shared" si="3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IFERROR(VLOOKUP(B112,input_358100!L:R,7,FALSE),VLOOKUP(tables_358100!C112,input_358100!A:H,8,FALSE))</f>
        <v>4446</v>
      </c>
      <c r="P112" s="46">
        <f ca="1">O112/SUM(O:O)</f>
        <v>7.5000000000000002E-4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input_358100!A$2</f>
        <v>358100</v>
      </c>
      <c r="B113" s="5">
        <v>237</v>
      </c>
      <c r="C113" s="7" t="str">
        <f t="shared" si="2"/>
        <v>Premium5R6release</v>
      </c>
      <c r="D113" s="7" t="str">
        <f t="shared" si="3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IFERROR(VLOOKUP(B113,input_358100!L:R,7,FALSE),VLOOKUP(tables_358100!C113,input_358100!A:H,8,FALSE))</f>
        <v>234</v>
      </c>
      <c r="P113" s="46">
        <f ca="1">O113/SUM(O:O)</f>
        <v>3.9473684210526316E-5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input_358100!A$2</f>
        <v>358100</v>
      </c>
      <c r="B114" s="5">
        <v>238</v>
      </c>
      <c r="C114" s="7" t="str">
        <f t="shared" si="2"/>
        <v>Premium3</v>
      </c>
      <c r="D114" s="7" t="str">
        <f t="shared" si="3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IFERROR(VLOOKUP(B114,input_358100!L:R,7,FALSE),VLOOKUP(tables_358100!C114,input_358100!A:H,8,FALSE))</f>
        <v>0</v>
      </c>
      <c r="P114" s="46">
        <f ca="1">O114/SUM(O:O)</f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input_358100!A$2</f>
        <v>358100</v>
      </c>
      <c r="B115" s="5">
        <v>239</v>
      </c>
      <c r="C115" s="7" t="str">
        <f t="shared" si="2"/>
        <v>Premium4</v>
      </c>
      <c r="D115" s="7" t="str">
        <f t="shared" si="3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IFERROR(VLOOKUP(B115,input_358100!L:R,7,FALSE),VLOOKUP(tables_358100!C115,input_358100!A:H,8,FALSE))</f>
        <v>68590</v>
      </c>
      <c r="P115" s="46">
        <f ca="1">O115/SUM(O:O)</f>
        <v>1.1570512820512821E-2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input_358100!A$2</f>
        <v>358100</v>
      </c>
      <c r="B116" s="5">
        <v>240</v>
      </c>
      <c r="C116" s="7" t="str">
        <f t="shared" si="2"/>
        <v>Premium5</v>
      </c>
      <c r="D116" s="7" t="str">
        <f t="shared" si="3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IFERROR(VLOOKUP(B116,input_358100!L:R,7,FALSE),VLOOKUP(tables_358100!C116,input_358100!A:H,8,FALSE))</f>
        <v>3610</v>
      </c>
      <c r="P116" s="46">
        <f ca="1">O116/SUM(O:O)</f>
        <v>6.08974358974359E-4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input_358100!A$2</f>
        <v>358100</v>
      </c>
      <c r="B117" s="5">
        <v>241</v>
      </c>
      <c r="C117" s="7" t="str">
        <f t="shared" si="2"/>
        <v>Premium3</v>
      </c>
      <c r="D117" s="7" t="str">
        <f t="shared" si="3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IFERROR(VLOOKUP(B117,input_358100!L:R,7,FALSE),VLOOKUP(tables_358100!C117,input_358100!A:H,8,FALSE))</f>
        <v>0</v>
      </c>
      <c r="P117" s="46">
        <f ca="1">O117/SUM(O:O)</f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input_358100!A$2</f>
        <v>358100</v>
      </c>
      <c r="B118" s="5">
        <v>242</v>
      </c>
      <c r="C118" s="7" t="str">
        <f t="shared" si="2"/>
        <v>Premium4</v>
      </c>
      <c r="D118" s="7" t="str">
        <f t="shared" si="3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IFERROR(VLOOKUP(B118,input_358100!L:R,7,FALSE),VLOOKUP(tables_358100!C118,input_358100!A:H,8,FALSE))</f>
        <v>68590</v>
      </c>
      <c r="P118" s="46">
        <f ca="1">O118/SUM(O:O)</f>
        <v>1.1570512820512821E-2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input_358100!A$2</f>
        <v>358100</v>
      </c>
      <c r="B119" s="5">
        <v>243</v>
      </c>
      <c r="C119" s="7" t="str">
        <f t="shared" si="2"/>
        <v>Premium5</v>
      </c>
      <c r="D119" s="7" t="str">
        <f t="shared" si="3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IFERROR(VLOOKUP(B119,input_358100!L:R,7,FALSE),VLOOKUP(tables_358100!C119,input_358100!A:H,8,FALSE))</f>
        <v>3610</v>
      </c>
      <c r="P119" s="46">
        <f ca="1">O119/SUM(O:O)</f>
        <v>6.08974358974359E-4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input_358100!A$2</f>
        <v>358100</v>
      </c>
      <c r="B120" s="5">
        <v>244</v>
      </c>
      <c r="C120" s="7" t="str">
        <f t="shared" si="2"/>
        <v>Premium3</v>
      </c>
      <c r="D120" s="7" t="str">
        <f t="shared" si="3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IFERROR(VLOOKUP(B120,input_358100!L:R,7,FALSE),VLOOKUP(tables_358100!C120,input_358100!A:H,8,FALSE))</f>
        <v>0</v>
      </c>
      <c r="P120" s="46">
        <f ca="1">O120/SUM(O:O)</f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input_358100!A$2</f>
        <v>358100</v>
      </c>
      <c r="B121" s="5">
        <v>245</v>
      </c>
      <c r="C121" s="7" t="str">
        <f t="shared" si="2"/>
        <v>Premium4</v>
      </c>
      <c r="D121" s="7" t="str">
        <f t="shared" si="3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IFERROR(VLOOKUP(B121,input_358100!L:R,7,FALSE),VLOOKUP(tables_358100!C121,input_358100!A:H,8,FALSE))</f>
        <v>68590</v>
      </c>
      <c r="P121" s="46">
        <f ca="1">O121/SUM(O:O)</f>
        <v>1.1570512820512821E-2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input_358100!A$2</f>
        <v>358100</v>
      </c>
      <c r="B122" s="5">
        <v>246</v>
      </c>
      <c r="C122" s="7" t="str">
        <f t="shared" si="2"/>
        <v>Premium5</v>
      </c>
      <c r="D122" s="7" t="str">
        <f t="shared" si="3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IFERROR(VLOOKUP(B122,input_358100!L:R,7,FALSE),VLOOKUP(tables_358100!C122,input_358100!A:H,8,FALSE))</f>
        <v>3610</v>
      </c>
      <c r="P122" s="46">
        <f ca="1">O122/SUM(O:O)</f>
        <v>6.08974358974359E-4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input_358100!A$2</f>
        <v>358100</v>
      </c>
      <c r="B123" s="5">
        <v>247</v>
      </c>
      <c r="C123" s="7" t="str">
        <f t="shared" si="2"/>
        <v>Premium3</v>
      </c>
      <c r="D123" s="7" t="str">
        <f t="shared" si="3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IFERROR(VLOOKUP(B123,input_358100!L:R,7,FALSE),VLOOKUP(tables_358100!C123,input_358100!A:H,8,FALSE))</f>
        <v>0</v>
      </c>
      <c r="P123" s="46">
        <f ca="1">O123/SUM(O:O)</f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input_358100!A$2</f>
        <v>358100</v>
      </c>
      <c r="B124" s="5">
        <v>248</v>
      </c>
      <c r="C124" s="7" t="str">
        <f t="shared" si="2"/>
        <v>Premium4</v>
      </c>
      <c r="D124" s="7" t="str">
        <f t="shared" si="3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IFERROR(VLOOKUP(B124,input_358100!L:R,7,FALSE),VLOOKUP(tables_358100!C124,input_358100!A:H,8,FALSE))</f>
        <v>68590</v>
      </c>
      <c r="P124" s="46">
        <f ca="1">O124/SUM(O:O)</f>
        <v>1.1570512820512821E-2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input_358100!A$2</f>
        <v>358100</v>
      </c>
      <c r="B125" s="6">
        <v>249</v>
      </c>
      <c r="C125" s="7" t="str">
        <f t="shared" si="2"/>
        <v>Premium5</v>
      </c>
      <c r="D125" s="7" t="str">
        <f t="shared" si="3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IFERROR(VLOOKUP(B125,input_358100!L:R,7,FALSE),VLOOKUP(tables_358100!C125,input_358100!A:H,8,FALSE))</f>
        <v>3610</v>
      </c>
      <c r="P125" s="46">
        <f ca="1">O125/SUM(O:O)</f>
        <v>6.08974358974359E-4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input_358100!A$2</f>
        <v>358100</v>
      </c>
      <c r="B126" s="6">
        <v>250</v>
      </c>
      <c r="C126" s="7" t="str">
        <f t="shared" si="2"/>
        <v>Premium3</v>
      </c>
      <c r="D126" s="7" t="str">
        <f t="shared" si="3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IFERROR(VLOOKUP(B126,input_358100!L:R,7,FALSE),VLOOKUP(tables_358100!C126,input_358100!A:H,8,FALSE))</f>
        <v>0</v>
      </c>
      <c r="P126" s="46">
        <f ca="1">O126/SUM(O:O)</f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input_358100!A$2</f>
        <v>358100</v>
      </c>
      <c r="B127" s="6">
        <v>251</v>
      </c>
      <c r="C127" s="7" t="str">
        <f t="shared" si="2"/>
        <v>Premium4</v>
      </c>
      <c r="D127" s="7" t="str">
        <f t="shared" si="3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IFERROR(VLOOKUP(B127,input_358100!L:R,7,FALSE),VLOOKUP(tables_358100!C127,input_358100!A:H,8,FALSE))</f>
        <v>68590</v>
      </c>
      <c r="P127" s="46">
        <f ca="1">O127/SUM(O:O)</f>
        <v>1.1570512820512821E-2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input_358100!A$2</f>
        <v>358100</v>
      </c>
      <c r="B128" s="6">
        <v>252</v>
      </c>
      <c r="C128" s="7" t="str">
        <f t="shared" si="2"/>
        <v>Premium5</v>
      </c>
      <c r="D128" s="7" t="str">
        <f t="shared" si="3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IFERROR(VLOOKUP(B128,input_358100!L:R,7,FALSE),VLOOKUP(tables_358100!C128,input_358100!A:H,8,FALSE))</f>
        <v>3610</v>
      </c>
      <c r="P128" s="46">
        <f ca="1">O128/SUM(O:O)</f>
        <v>6.08974358974359E-4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input_358100!A$2</f>
        <v>358100</v>
      </c>
      <c r="B129" s="6">
        <v>253</v>
      </c>
      <c r="C129" s="7" t="str">
        <f t="shared" si="2"/>
        <v>Premium3</v>
      </c>
      <c r="D129" s="7" t="str">
        <f t="shared" si="3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IFERROR(VLOOKUP(B129,input_358100!L:R,7,FALSE),VLOOKUP(tables_358100!C129,input_358100!A:H,8,FALSE))</f>
        <v>0</v>
      </c>
      <c r="P129" s="46">
        <f ca="1">O129/SUM(O:O)</f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input_358100!A$2</f>
        <v>358100</v>
      </c>
      <c r="B130" s="6">
        <v>254</v>
      </c>
      <c r="C130" s="7" t="str">
        <f t="shared" ref="C130:C193" si="4">D130&amp;J130&amp;E130&amp;F130&amp;G130</f>
        <v>Premium4</v>
      </c>
      <c r="D130" s="7" t="str">
        <f t="shared" ref="D130:D193" si="5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IFERROR(VLOOKUP(B130,input_358100!L:R,7,FALSE),VLOOKUP(tables_358100!C130,input_358100!A:H,8,FALSE))</f>
        <v>68590</v>
      </c>
      <c r="P130" s="46">
        <f ca="1">O130/SUM(O:O)</f>
        <v>1.1570512820512821E-2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input_358100!A$2</f>
        <v>358100</v>
      </c>
      <c r="B131" s="6">
        <v>255</v>
      </c>
      <c r="C131" s="7" t="str">
        <f t="shared" si="4"/>
        <v>Premium5</v>
      </c>
      <c r="D131" s="7" t="str">
        <f t="shared" si="5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IFERROR(VLOOKUP(B131,input_358100!L:R,7,FALSE),VLOOKUP(tables_358100!C131,input_358100!A:H,8,FALSE))</f>
        <v>3610</v>
      </c>
      <c r="P131" s="46">
        <f ca="1">O131/SUM(O:O)</f>
        <v>6.08974358974359E-4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input_358100!A$2</f>
        <v>358100</v>
      </c>
      <c r="B132" s="6">
        <v>256</v>
      </c>
      <c r="C132" s="7" t="str">
        <f t="shared" si="4"/>
        <v>Premium3</v>
      </c>
      <c r="D132" s="7" t="str">
        <f t="shared" si="5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IFERROR(VLOOKUP(B132,input_358100!L:R,7,FALSE),VLOOKUP(tables_358100!C132,input_358100!A:H,8,FALSE))</f>
        <v>0</v>
      </c>
      <c r="P132" s="46">
        <f ca="1">O132/SUM(O:O)</f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input_358100!A$2</f>
        <v>358100</v>
      </c>
      <c r="B133" s="6">
        <v>257</v>
      </c>
      <c r="C133" s="7" t="str">
        <f t="shared" si="4"/>
        <v>Premium4</v>
      </c>
      <c r="D133" s="7" t="str">
        <f t="shared" si="5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IFERROR(VLOOKUP(B133,input_358100!L:R,7,FALSE),VLOOKUP(tables_358100!C133,input_358100!A:H,8,FALSE))</f>
        <v>68590</v>
      </c>
      <c r="P133" s="46">
        <f ca="1">O133/SUM(O:O)</f>
        <v>1.1570512820512821E-2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input_358100!A$2</f>
        <v>358100</v>
      </c>
      <c r="B134" s="6">
        <v>258</v>
      </c>
      <c r="C134" s="7" t="str">
        <f t="shared" si="4"/>
        <v>Premium5</v>
      </c>
      <c r="D134" s="7" t="str">
        <f t="shared" si="5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IFERROR(VLOOKUP(B134,input_358100!L:R,7,FALSE),VLOOKUP(tables_358100!C134,input_358100!A:H,8,FALSE))</f>
        <v>3610</v>
      </c>
      <c r="P134" s="46">
        <f ca="1">O134/SUM(O:O)</f>
        <v>6.08974358974359E-4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input_358100!A$2</f>
        <v>358100</v>
      </c>
      <c r="B135" s="6">
        <v>259</v>
      </c>
      <c r="C135" s="7" t="str">
        <f t="shared" si="4"/>
        <v>Premium3</v>
      </c>
      <c r="D135" s="7" t="str">
        <f t="shared" si="5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IFERROR(VLOOKUP(B135,input_358100!L:R,7,FALSE),VLOOKUP(tables_358100!C135,input_358100!A:H,8,FALSE))</f>
        <v>0</v>
      </c>
      <c r="P135" s="46">
        <f ca="1">O135/SUM(O:O)</f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input_358100!A$2</f>
        <v>358100</v>
      </c>
      <c r="B136" s="8">
        <v>260</v>
      </c>
      <c r="C136" s="7" t="str">
        <f t="shared" si="4"/>
        <v>Premium4</v>
      </c>
      <c r="D136" s="7" t="str">
        <f t="shared" si="5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IFERROR(VLOOKUP(B136,input_358100!L:R,7,FALSE),VLOOKUP(tables_358100!C136,input_358100!A:H,8,FALSE))</f>
        <v>68590</v>
      </c>
      <c r="P136" s="46">
        <f ca="1">O136/SUM(O:O)</f>
        <v>1.1570512820512821E-2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input_358100!A$2</f>
        <v>358100</v>
      </c>
      <c r="B137" s="8">
        <v>261</v>
      </c>
      <c r="C137" s="7" t="str">
        <f t="shared" si="4"/>
        <v>Premium5</v>
      </c>
      <c r="D137" s="7" t="str">
        <f t="shared" si="5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IFERROR(VLOOKUP(B137,input_358100!L:R,7,FALSE),VLOOKUP(tables_358100!C137,input_358100!A:H,8,FALSE))</f>
        <v>3610</v>
      </c>
      <c r="P137" s="46">
        <f ca="1">O137/SUM(O:O)</f>
        <v>6.08974358974359E-4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input_358100!A$2</f>
        <v>358100</v>
      </c>
      <c r="B138" s="6">
        <v>320</v>
      </c>
      <c r="C138" s="7" t="str">
        <f t="shared" si="4"/>
        <v>PremiumSS4</v>
      </c>
      <c r="D138" s="7" t="str">
        <f t="shared" si="5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IFERROR(VLOOKUP(B138,input_358100!L:R,7,FALSE),VLOOKUP(tables_358100!C138,input_358100!A:H,8,FALSE))</f>
        <v>4446</v>
      </c>
      <c r="P138" s="46">
        <f ca="1">O138/SUM(O:O)</f>
        <v>7.5000000000000002E-4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input_358100!A$2</f>
        <v>358100</v>
      </c>
      <c r="B139" s="6">
        <v>321</v>
      </c>
      <c r="C139" s="7" t="str">
        <f t="shared" si="4"/>
        <v>PremiumSS5</v>
      </c>
      <c r="D139" s="7" t="str">
        <f t="shared" si="5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IFERROR(VLOOKUP(B139,input_358100!L:R,7,FALSE),VLOOKUP(tables_358100!C139,input_358100!A:H,8,FALSE))</f>
        <v>234</v>
      </c>
      <c r="P139" s="46">
        <f ca="1">O139/SUM(O:O)</f>
        <v>3.9473684210526316E-5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input_358100!A$2</f>
        <v>358100</v>
      </c>
      <c r="B140" s="6">
        <v>322</v>
      </c>
      <c r="C140" s="7" t="str">
        <f t="shared" si="4"/>
        <v>PremiumSS4</v>
      </c>
      <c r="D140" s="7" t="str">
        <f t="shared" si="5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IFERROR(VLOOKUP(B140,input_358100!L:R,7,FALSE),VLOOKUP(tables_358100!C140,input_358100!A:H,8,FALSE))</f>
        <v>4446</v>
      </c>
      <c r="P140" s="46">
        <f ca="1">O140/SUM(O:O)</f>
        <v>7.5000000000000002E-4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input_358100!A$2</f>
        <v>358100</v>
      </c>
      <c r="B141" s="6">
        <v>323</v>
      </c>
      <c r="C141" s="7" t="str">
        <f t="shared" si="4"/>
        <v>PremiumSS5</v>
      </c>
      <c r="D141" s="7" t="str">
        <f t="shared" si="5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IFERROR(VLOOKUP(B141,input_358100!L:R,7,FALSE),VLOOKUP(tables_358100!C141,input_358100!A:H,8,FALSE))</f>
        <v>234</v>
      </c>
      <c r="P141" s="46">
        <f ca="1">O141/SUM(O:O)</f>
        <v>3.9473684210526316E-5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input_358100!A$2</f>
        <v>358100</v>
      </c>
      <c r="B142" s="6">
        <v>324</v>
      </c>
      <c r="C142" s="7" t="str">
        <f t="shared" si="4"/>
        <v>PremiumSS4</v>
      </c>
      <c r="D142" s="7" t="str">
        <f t="shared" si="5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IFERROR(VLOOKUP(B142,input_358100!L:R,7,FALSE),VLOOKUP(tables_358100!C142,input_358100!A:H,8,FALSE))</f>
        <v>4446</v>
      </c>
      <c r="P142" s="46">
        <f ca="1">O142/SUM(O:O)</f>
        <v>7.5000000000000002E-4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input_358100!A$2</f>
        <v>358100</v>
      </c>
      <c r="B143" s="6">
        <v>325</v>
      </c>
      <c r="C143" s="7" t="str">
        <f t="shared" si="4"/>
        <v>PremiumSS5</v>
      </c>
      <c r="D143" s="7" t="str">
        <f t="shared" si="5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IFERROR(VLOOKUP(B143,input_358100!L:R,7,FALSE),VLOOKUP(tables_358100!C143,input_358100!A:H,8,FALSE))</f>
        <v>234</v>
      </c>
      <c r="P143" s="46">
        <f ca="1">O143/SUM(O:O)</f>
        <v>3.9473684210526316E-5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input_358100!A$2</f>
        <v>358100</v>
      </c>
      <c r="B144" s="6">
        <v>326</v>
      </c>
      <c r="C144" s="7" t="str">
        <f t="shared" si="4"/>
        <v>PremiumSS4</v>
      </c>
      <c r="D144" s="7" t="str">
        <f t="shared" si="5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IFERROR(VLOOKUP(B144,input_358100!L:R,7,FALSE),VLOOKUP(tables_358100!C144,input_358100!A:H,8,FALSE))</f>
        <v>4446</v>
      </c>
      <c r="P144" s="46">
        <f ca="1">O144/SUM(O:O)</f>
        <v>7.5000000000000002E-4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input_358100!A$2</f>
        <v>358100</v>
      </c>
      <c r="B145" s="6">
        <v>327</v>
      </c>
      <c r="C145" s="7" t="str">
        <f t="shared" si="4"/>
        <v>PremiumSS5</v>
      </c>
      <c r="D145" s="7" t="str">
        <f t="shared" si="5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IFERROR(VLOOKUP(B145,input_358100!L:R,7,FALSE),VLOOKUP(tables_358100!C145,input_358100!A:H,8,FALSE))</f>
        <v>234</v>
      </c>
      <c r="P145" s="46">
        <f ca="1">O145/SUM(O:O)</f>
        <v>3.9473684210526316E-5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input_358100!A$2</f>
        <v>358100</v>
      </c>
      <c r="B146" s="6">
        <v>380</v>
      </c>
      <c r="C146" s="7" t="str">
        <f t="shared" si="4"/>
        <v>Premium3</v>
      </c>
      <c r="D146" s="7" t="str">
        <f t="shared" si="5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IFERROR(VLOOKUP(B146,input_358100!L:R,7,FALSE),VLOOKUP(tables_358100!C146,input_358100!A:H,8,FALSE))</f>
        <v>0</v>
      </c>
      <c r="P146" s="46">
        <f ca="1">O146/SUM(O:O)</f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input_358100!A$2</f>
        <v>358100</v>
      </c>
      <c r="B147" s="6">
        <v>381</v>
      </c>
      <c r="C147" s="7" t="str">
        <f t="shared" si="4"/>
        <v>Premium4</v>
      </c>
      <c r="D147" s="7" t="str">
        <f t="shared" si="5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IFERROR(VLOOKUP(B147,input_358100!L:R,7,FALSE),VLOOKUP(tables_358100!C147,input_358100!A:H,8,FALSE))</f>
        <v>68590</v>
      </c>
      <c r="P147" s="46">
        <f ca="1">O147/SUM(O:O)</f>
        <v>1.1570512820512821E-2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input_358100!A$2</f>
        <v>358100</v>
      </c>
      <c r="B148" s="6">
        <v>382</v>
      </c>
      <c r="C148" s="7" t="str">
        <f t="shared" si="4"/>
        <v>Premium5</v>
      </c>
      <c r="D148" s="7" t="str">
        <f t="shared" si="5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IFERROR(VLOOKUP(B148,input_358100!L:R,7,FALSE),VLOOKUP(tables_358100!C148,input_358100!A:H,8,FALSE))</f>
        <v>3610</v>
      </c>
      <c r="P148" s="46">
        <f ca="1">O148/SUM(O:O)</f>
        <v>6.08974358974359E-4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input_358100!A$2</f>
        <v>358100</v>
      </c>
      <c r="B149" s="6">
        <v>383</v>
      </c>
      <c r="C149" s="7" t="str">
        <f t="shared" si="4"/>
        <v>PremiumSS4</v>
      </c>
      <c r="D149" s="7" t="str">
        <f t="shared" si="5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IFERROR(VLOOKUP(B149,input_358100!L:R,7,FALSE),VLOOKUP(tables_358100!C149,input_358100!A:H,8,FALSE))</f>
        <v>4446</v>
      </c>
      <c r="P149" s="46">
        <f ca="1">O149/SUM(O:O)</f>
        <v>7.5000000000000002E-4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input_358100!A$2</f>
        <v>358100</v>
      </c>
      <c r="B150" s="6">
        <v>384</v>
      </c>
      <c r="C150" s="7" t="str">
        <f t="shared" si="4"/>
        <v>PremiumSS5</v>
      </c>
      <c r="D150" s="7" t="str">
        <f t="shared" si="5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IFERROR(VLOOKUP(B150,input_358100!L:R,7,FALSE),VLOOKUP(tables_358100!C150,input_358100!A:H,8,FALSE))</f>
        <v>234</v>
      </c>
      <c r="P150" s="46">
        <f ca="1">O150/SUM(O:O)</f>
        <v>3.9473684210526316E-5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input_358100!A$2</f>
        <v>358100</v>
      </c>
      <c r="B151" s="6">
        <v>385</v>
      </c>
      <c r="C151" s="7" t="str">
        <f t="shared" si="4"/>
        <v>PremiumSS4</v>
      </c>
      <c r="D151" s="7" t="str">
        <f t="shared" si="5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IFERROR(VLOOKUP(B151,input_358100!L:R,7,FALSE),VLOOKUP(tables_358100!C151,input_358100!A:H,8,FALSE))</f>
        <v>4446</v>
      </c>
      <c r="P151" s="46">
        <f ca="1">O151/SUM(O:O)</f>
        <v>7.5000000000000002E-4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input_358100!A$2</f>
        <v>358100</v>
      </c>
      <c r="B152" s="6">
        <v>386</v>
      </c>
      <c r="C152" s="7" t="str">
        <f t="shared" si="4"/>
        <v>PremiumSS5</v>
      </c>
      <c r="D152" s="7" t="str">
        <f t="shared" si="5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IFERROR(VLOOKUP(B152,input_358100!L:R,7,FALSE),VLOOKUP(tables_358100!C152,input_358100!A:H,8,FALSE))</f>
        <v>234</v>
      </c>
      <c r="P152" s="46">
        <f ca="1">O152/SUM(O:O)</f>
        <v>3.9473684210526316E-5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input_358100!A$2</f>
        <v>358100</v>
      </c>
      <c r="B153" s="6">
        <v>387</v>
      </c>
      <c r="C153" s="7" t="str">
        <f t="shared" si="4"/>
        <v>Premium3</v>
      </c>
      <c r="D153" s="7" t="str">
        <f t="shared" si="5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IFERROR(VLOOKUP(B153,input_358100!L:R,7,FALSE),VLOOKUP(tables_358100!C153,input_358100!A:H,8,FALSE))</f>
        <v>0</v>
      </c>
      <c r="P153" s="46">
        <f ca="1">O153/SUM(O:O)</f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input_358100!A$2</f>
        <v>358100</v>
      </c>
      <c r="B154" s="6">
        <v>388</v>
      </c>
      <c r="C154" s="7" t="str">
        <f t="shared" si="4"/>
        <v>Premium4</v>
      </c>
      <c r="D154" s="7" t="str">
        <f t="shared" si="5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IFERROR(VLOOKUP(B154,input_358100!L:R,7,FALSE),VLOOKUP(tables_358100!C154,input_358100!A:H,8,FALSE))</f>
        <v>68590</v>
      </c>
      <c r="P154" s="46">
        <f ca="1">O154/SUM(O:O)</f>
        <v>1.1570512820512821E-2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input_358100!A$2</f>
        <v>358100</v>
      </c>
      <c r="B155" s="6">
        <v>389</v>
      </c>
      <c r="C155" s="7" t="str">
        <f t="shared" si="4"/>
        <v>Premium5</v>
      </c>
      <c r="D155" s="7" t="str">
        <f t="shared" si="5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IFERROR(VLOOKUP(B155,input_358100!L:R,7,FALSE),VLOOKUP(tables_358100!C155,input_358100!A:H,8,FALSE))</f>
        <v>3610</v>
      </c>
      <c r="P155" s="46">
        <f ca="1">O155/SUM(O:O)</f>
        <v>6.08974358974359E-4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input_358100!A$2</f>
        <v>358100</v>
      </c>
      <c r="B156" s="6">
        <v>390</v>
      </c>
      <c r="C156" s="7" t="str">
        <f t="shared" si="4"/>
        <v>PremiumSS4</v>
      </c>
      <c r="D156" s="7" t="str">
        <f t="shared" si="5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IFERROR(VLOOKUP(B156,input_358100!L:R,7,FALSE),VLOOKUP(tables_358100!C156,input_358100!A:H,8,FALSE))</f>
        <v>4446</v>
      </c>
      <c r="P156" s="46">
        <f ca="1">O156/SUM(O:O)</f>
        <v>7.5000000000000002E-4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input_358100!A$2</f>
        <v>358100</v>
      </c>
      <c r="B157" s="6">
        <v>391</v>
      </c>
      <c r="C157" s="7" t="str">
        <f t="shared" si="4"/>
        <v>PremiumSS5</v>
      </c>
      <c r="D157" s="7" t="str">
        <f t="shared" si="5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IFERROR(VLOOKUP(B157,input_358100!L:R,7,FALSE),VLOOKUP(tables_358100!C157,input_358100!A:H,8,FALSE))</f>
        <v>234</v>
      </c>
      <c r="P157" s="46">
        <f ca="1">O157/SUM(O:O)</f>
        <v>3.9473684210526316E-5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input_358100!A$2</f>
        <v>358100</v>
      </c>
      <c r="B158" s="6">
        <v>392</v>
      </c>
      <c r="C158" s="7" t="str">
        <f t="shared" si="4"/>
        <v>Premium3</v>
      </c>
      <c r="D158" s="7" t="str">
        <f t="shared" si="5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IFERROR(VLOOKUP(B158,input_358100!L:R,7,FALSE),VLOOKUP(tables_358100!C158,input_358100!A:H,8,FALSE))</f>
        <v>0</v>
      </c>
      <c r="P158" s="46">
        <f ca="1">O158/SUM(O:O)</f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input_358100!A$2</f>
        <v>358100</v>
      </c>
      <c r="B159" s="6">
        <v>393</v>
      </c>
      <c r="C159" s="7" t="str">
        <f t="shared" si="4"/>
        <v>Premium4</v>
      </c>
      <c r="D159" s="7" t="str">
        <f t="shared" si="5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IFERROR(VLOOKUP(B159,input_358100!L:R,7,FALSE),VLOOKUP(tables_358100!C159,input_358100!A:H,8,FALSE))</f>
        <v>68590</v>
      </c>
      <c r="P159" s="46">
        <f ca="1">O159/SUM(O:O)</f>
        <v>1.1570512820512821E-2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input_358100!A$2</f>
        <v>358100</v>
      </c>
      <c r="B160" s="6">
        <v>394</v>
      </c>
      <c r="C160" s="7" t="str">
        <f t="shared" si="4"/>
        <v>Premium5</v>
      </c>
      <c r="D160" s="7" t="str">
        <f t="shared" si="5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IFERROR(VLOOKUP(B160,input_358100!L:R,7,FALSE),VLOOKUP(tables_358100!C160,input_358100!A:H,8,FALSE))</f>
        <v>3610</v>
      </c>
      <c r="P160" s="46">
        <f ca="1">O160/SUM(O:O)</f>
        <v>6.08974358974359E-4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input_358100!A$2</f>
        <v>358100</v>
      </c>
      <c r="B161" s="6">
        <v>395</v>
      </c>
      <c r="C161" s="7" t="str">
        <f t="shared" si="4"/>
        <v>Premium3</v>
      </c>
      <c r="D161" s="7" t="str">
        <f t="shared" si="5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IFERROR(VLOOKUP(B161,input_358100!L:R,7,FALSE),VLOOKUP(tables_358100!C161,input_358100!A:H,8,FALSE))</f>
        <v>0</v>
      </c>
      <c r="P161" s="46">
        <f ca="1">O161/SUM(O:O)</f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input_358100!A$2</f>
        <v>358100</v>
      </c>
      <c r="B162" s="6">
        <v>396</v>
      </c>
      <c r="C162" s="7" t="str">
        <f t="shared" si="4"/>
        <v>Premium4</v>
      </c>
      <c r="D162" s="7" t="str">
        <f t="shared" si="5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IFERROR(VLOOKUP(B162,input_358100!L:R,7,FALSE),VLOOKUP(tables_358100!C162,input_358100!A:H,8,FALSE))</f>
        <v>68590</v>
      </c>
      <c r="P162" s="46">
        <f ca="1">O162/SUM(O:O)</f>
        <v>1.1570512820512821E-2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input_358100!A$2</f>
        <v>358100</v>
      </c>
      <c r="B163" s="6">
        <v>397</v>
      </c>
      <c r="C163" s="7" t="str">
        <f t="shared" si="4"/>
        <v>Premium5</v>
      </c>
      <c r="D163" s="7" t="str">
        <f t="shared" si="5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IFERROR(VLOOKUP(B163,input_358100!L:R,7,FALSE),VLOOKUP(tables_358100!C163,input_358100!A:H,8,FALSE))</f>
        <v>3610</v>
      </c>
      <c r="P163" s="46">
        <f ca="1">O163/SUM(O:O)</f>
        <v>6.08974358974359E-4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input_358100!A$2</f>
        <v>358100</v>
      </c>
      <c r="B164" s="6">
        <v>398</v>
      </c>
      <c r="C164" s="7" t="str">
        <f t="shared" si="4"/>
        <v>PremiumSS4</v>
      </c>
      <c r="D164" s="7" t="str">
        <f t="shared" si="5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IFERROR(VLOOKUP(B164,input_358100!L:R,7,FALSE),VLOOKUP(tables_358100!C164,input_358100!A:H,8,FALSE))</f>
        <v>4446</v>
      </c>
      <c r="P164" s="46">
        <f ca="1">O164/SUM(O:O)</f>
        <v>7.5000000000000002E-4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input_358100!A$2</f>
        <v>358100</v>
      </c>
      <c r="B165" s="6">
        <v>399</v>
      </c>
      <c r="C165" s="7" t="str">
        <f t="shared" si="4"/>
        <v>PremiumSS5</v>
      </c>
      <c r="D165" s="7" t="str">
        <f t="shared" si="5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IFERROR(VLOOKUP(B165,input_358100!L:R,7,FALSE),VLOOKUP(tables_358100!C165,input_358100!A:H,8,FALSE))</f>
        <v>234</v>
      </c>
      <c r="P165" s="46">
        <f ca="1">O165/SUM(O:O)</f>
        <v>3.9473684210526316E-5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input_358100!A$2</f>
        <v>358100</v>
      </c>
      <c r="B166" s="6">
        <v>400</v>
      </c>
      <c r="C166" s="7" t="str">
        <f t="shared" si="4"/>
        <v>Premium3</v>
      </c>
      <c r="D166" s="7" t="str">
        <f t="shared" si="5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IFERROR(VLOOKUP(B166,input_358100!L:R,7,FALSE),VLOOKUP(tables_358100!C166,input_358100!A:H,8,FALSE))</f>
        <v>0</v>
      </c>
      <c r="P166" s="46">
        <f ca="1">O166/SUM(O:O)</f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input_358100!A$2</f>
        <v>358100</v>
      </c>
      <c r="B167" s="6">
        <v>401</v>
      </c>
      <c r="C167" s="7" t="str">
        <f t="shared" si="4"/>
        <v>Premium4</v>
      </c>
      <c r="D167" s="7" t="str">
        <f t="shared" si="5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IFERROR(VLOOKUP(B167,input_358100!L:R,7,FALSE),VLOOKUP(tables_358100!C167,input_358100!A:H,8,FALSE))</f>
        <v>68590</v>
      </c>
      <c r="P167" s="46">
        <f ca="1">O167/SUM(O:O)</f>
        <v>1.1570512820512821E-2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input_358100!A$2</f>
        <v>358100</v>
      </c>
      <c r="B168" s="6">
        <v>402</v>
      </c>
      <c r="C168" s="7" t="str">
        <f t="shared" si="4"/>
        <v>Premium5</v>
      </c>
      <c r="D168" s="7" t="str">
        <f t="shared" si="5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IFERROR(VLOOKUP(B168,input_358100!L:R,7,FALSE),VLOOKUP(tables_358100!C168,input_358100!A:H,8,FALSE))</f>
        <v>3610</v>
      </c>
      <c r="P168" s="46">
        <f ca="1">O168/SUM(O:O)</f>
        <v>6.08974358974359E-4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input_358100!A$2</f>
        <v>358100</v>
      </c>
      <c r="B169" s="6">
        <v>403</v>
      </c>
      <c r="C169" s="7" t="str">
        <f t="shared" si="4"/>
        <v>PremiumSS4</v>
      </c>
      <c r="D169" s="7" t="str">
        <f t="shared" si="5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IFERROR(VLOOKUP(B169,input_358100!L:R,7,FALSE),VLOOKUP(tables_358100!C169,input_358100!A:H,8,FALSE))</f>
        <v>4446</v>
      </c>
      <c r="P169" s="46">
        <f ca="1">O169/SUM(O:O)</f>
        <v>7.5000000000000002E-4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input_358100!A$2</f>
        <v>358100</v>
      </c>
      <c r="B170" s="6">
        <v>404</v>
      </c>
      <c r="C170" s="7" t="str">
        <f t="shared" si="4"/>
        <v>PremiumSS5</v>
      </c>
      <c r="D170" s="7" t="str">
        <f t="shared" si="5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IFERROR(VLOOKUP(B170,input_358100!L:R,7,FALSE),VLOOKUP(tables_358100!C170,input_358100!A:H,8,FALSE))</f>
        <v>234</v>
      </c>
      <c r="P170" s="46">
        <f ca="1">O170/SUM(O:O)</f>
        <v>3.9473684210526316E-5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input_358100!A$2</f>
        <v>358100</v>
      </c>
      <c r="B171" s="6">
        <v>405</v>
      </c>
      <c r="C171" s="7" t="str">
        <f t="shared" si="4"/>
        <v>Premium3</v>
      </c>
      <c r="D171" s="7" t="str">
        <f t="shared" si="5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IFERROR(VLOOKUP(B171,input_358100!L:R,7,FALSE),VLOOKUP(tables_358100!C171,input_358100!A:H,8,FALSE))</f>
        <v>0</v>
      </c>
      <c r="P171" s="46">
        <f ca="1">O171/SUM(O:O)</f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input_358100!A$2</f>
        <v>358100</v>
      </c>
      <c r="B172" s="6">
        <v>406</v>
      </c>
      <c r="C172" s="7" t="str">
        <f t="shared" si="4"/>
        <v>Premium4</v>
      </c>
      <c r="D172" s="7" t="str">
        <f t="shared" si="5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IFERROR(VLOOKUP(B172,input_358100!L:R,7,FALSE),VLOOKUP(tables_358100!C172,input_358100!A:H,8,FALSE))</f>
        <v>68590</v>
      </c>
      <c r="P172" s="46">
        <f ca="1">O172/SUM(O:O)</f>
        <v>1.1570512820512821E-2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input_358100!A$2</f>
        <v>358100</v>
      </c>
      <c r="B173" s="6">
        <v>407</v>
      </c>
      <c r="C173" s="7" t="str">
        <f t="shared" si="4"/>
        <v>Premium5</v>
      </c>
      <c r="D173" s="7" t="str">
        <f t="shared" si="5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IFERROR(VLOOKUP(B173,input_358100!L:R,7,FALSE),VLOOKUP(tables_358100!C173,input_358100!A:H,8,FALSE))</f>
        <v>3610</v>
      </c>
      <c r="P173" s="46">
        <f ca="1">O173/SUM(O:O)</f>
        <v>6.08974358974359E-4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input_358100!A$2</f>
        <v>358100</v>
      </c>
      <c r="B174" s="6">
        <v>408</v>
      </c>
      <c r="C174" s="7" t="str">
        <f t="shared" si="4"/>
        <v>PremiumSS4</v>
      </c>
      <c r="D174" s="7" t="str">
        <f t="shared" si="5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IFERROR(VLOOKUP(B174,input_358100!L:R,7,FALSE),VLOOKUP(tables_358100!C174,input_358100!A:H,8,FALSE))</f>
        <v>4446</v>
      </c>
      <c r="P174" s="46">
        <f ca="1">O174/SUM(O:O)</f>
        <v>7.5000000000000002E-4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input_358100!A$2</f>
        <v>358100</v>
      </c>
      <c r="B175" s="6">
        <v>409</v>
      </c>
      <c r="C175" s="7" t="str">
        <f t="shared" si="4"/>
        <v>PremiumSS5</v>
      </c>
      <c r="D175" s="7" t="str">
        <f t="shared" si="5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IFERROR(VLOOKUP(B175,input_358100!L:R,7,FALSE),VLOOKUP(tables_358100!C175,input_358100!A:H,8,FALSE))</f>
        <v>234</v>
      </c>
      <c r="P175" s="46">
        <f ca="1">O175/SUM(O:O)</f>
        <v>3.9473684210526316E-5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input_358100!A$2</f>
        <v>358100</v>
      </c>
      <c r="B176" s="6">
        <v>434</v>
      </c>
      <c r="C176" s="7" t="str">
        <f t="shared" si="4"/>
        <v>PremiumSS4</v>
      </c>
      <c r="D176" s="7" t="str">
        <f t="shared" si="5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IFERROR(VLOOKUP(B176,input_358100!L:R,7,FALSE),VLOOKUP(tables_358100!C176,input_358100!A:H,8,FALSE))</f>
        <v>4446</v>
      </c>
      <c r="P176" s="46">
        <f ca="1">O176/SUM(O:O)</f>
        <v>7.5000000000000002E-4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input_358100!A$2</f>
        <v>358100</v>
      </c>
      <c r="B177" s="6">
        <v>435</v>
      </c>
      <c r="C177" s="7" t="str">
        <f t="shared" si="4"/>
        <v>PremiumSS5</v>
      </c>
      <c r="D177" s="7" t="str">
        <f t="shared" si="5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IFERROR(VLOOKUP(B177,input_358100!L:R,7,FALSE),VLOOKUP(tables_358100!C177,input_358100!A:H,8,FALSE))</f>
        <v>234</v>
      </c>
      <c r="P177" s="46">
        <f ca="1">O177/SUM(O:O)</f>
        <v>3.9473684210526316E-5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input_358100!A$2</f>
        <v>358100</v>
      </c>
      <c r="B178" s="6">
        <v>436</v>
      </c>
      <c r="C178" s="7" t="str">
        <f t="shared" si="4"/>
        <v>Premium3</v>
      </c>
      <c r="D178" s="7" t="str">
        <f t="shared" si="5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IFERROR(VLOOKUP(B178,input_358100!L:R,7,FALSE),VLOOKUP(tables_358100!C178,input_358100!A:H,8,FALSE))</f>
        <v>0</v>
      </c>
      <c r="P178" s="46">
        <f ca="1">O178/SUM(O:O)</f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input_358100!A$2</f>
        <v>358100</v>
      </c>
      <c r="B179" s="6">
        <v>437</v>
      </c>
      <c r="C179" s="7" t="str">
        <f t="shared" si="4"/>
        <v>Premium4</v>
      </c>
      <c r="D179" s="7" t="str">
        <f t="shared" si="5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IFERROR(VLOOKUP(B179,input_358100!L:R,7,FALSE),VLOOKUP(tables_358100!C179,input_358100!A:H,8,FALSE))</f>
        <v>68590</v>
      </c>
      <c r="P179" s="46">
        <f ca="1">O179/SUM(O:O)</f>
        <v>1.1570512820512821E-2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input_358100!A$2</f>
        <v>358100</v>
      </c>
      <c r="B180" s="6">
        <v>438</v>
      </c>
      <c r="C180" s="7" t="str">
        <f t="shared" si="4"/>
        <v>Premium5</v>
      </c>
      <c r="D180" s="7" t="str">
        <f t="shared" si="5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IFERROR(VLOOKUP(B180,input_358100!L:R,7,FALSE),VLOOKUP(tables_358100!C180,input_358100!A:H,8,FALSE))</f>
        <v>3610</v>
      </c>
      <c r="P180" s="46">
        <f ca="1">O180/SUM(O:O)</f>
        <v>6.08974358974359E-4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input_358100!A$2</f>
        <v>358100</v>
      </c>
      <c r="B181" s="6">
        <v>439</v>
      </c>
      <c r="C181" s="7" t="str">
        <f t="shared" si="4"/>
        <v>Premium3</v>
      </c>
      <c r="D181" s="7" t="str">
        <f t="shared" si="5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IFERROR(VLOOKUP(B181,input_358100!L:R,7,FALSE),VLOOKUP(tables_358100!C181,input_358100!A:H,8,FALSE))</f>
        <v>0</v>
      </c>
      <c r="P181" s="46">
        <f ca="1">O181/SUM(O:O)</f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input_358100!A$2</f>
        <v>358100</v>
      </c>
      <c r="B182" s="6">
        <v>440</v>
      </c>
      <c r="C182" s="7" t="str">
        <f t="shared" si="4"/>
        <v>Premium4</v>
      </c>
      <c r="D182" s="7" t="str">
        <f t="shared" si="5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IFERROR(VLOOKUP(B182,input_358100!L:R,7,FALSE),VLOOKUP(tables_358100!C182,input_358100!A:H,8,FALSE))</f>
        <v>68590</v>
      </c>
      <c r="P182" s="46">
        <f ca="1">O182/SUM(O:O)</f>
        <v>1.1570512820512821E-2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input_358100!A$2</f>
        <v>358100</v>
      </c>
      <c r="B183" s="6">
        <v>441</v>
      </c>
      <c r="C183" s="7" t="str">
        <f t="shared" si="4"/>
        <v>Premium5</v>
      </c>
      <c r="D183" s="7" t="str">
        <f t="shared" si="5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IFERROR(VLOOKUP(B183,input_358100!L:R,7,FALSE),VLOOKUP(tables_358100!C183,input_358100!A:H,8,FALSE))</f>
        <v>3610</v>
      </c>
      <c r="P183" s="46">
        <f ca="1">O183/SUM(O:O)</f>
        <v>6.08974358974359E-4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input_358100!A$2</f>
        <v>358100</v>
      </c>
      <c r="B184" s="6">
        <v>442</v>
      </c>
      <c r="C184" s="7" t="str">
        <f t="shared" si="4"/>
        <v>PremiumSS4</v>
      </c>
      <c r="D184" s="7" t="str">
        <f t="shared" si="5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IFERROR(VLOOKUP(B184,input_358100!L:R,7,FALSE),VLOOKUP(tables_358100!C184,input_358100!A:H,8,FALSE))</f>
        <v>4446</v>
      </c>
      <c r="P184" s="46">
        <f ca="1">O184/SUM(O:O)</f>
        <v>7.5000000000000002E-4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input_358100!A$2</f>
        <v>358100</v>
      </c>
      <c r="B185" s="6">
        <v>443</v>
      </c>
      <c r="C185" s="7" t="str">
        <f t="shared" si="4"/>
        <v>PremiumSS5</v>
      </c>
      <c r="D185" s="7" t="str">
        <f t="shared" si="5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IFERROR(VLOOKUP(B185,input_358100!L:R,7,FALSE),VLOOKUP(tables_358100!C185,input_358100!A:H,8,FALSE))</f>
        <v>234</v>
      </c>
      <c r="P185" s="46">
        <f ca="1">O185/SUM(O:O)</f>
        <v>3.9473684210526316E-5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input_358100!A$2</f>
        <v>358100</v>
      </c>
      <c r="B186" s="8">
        <v>462</v>
      </c>
      <c r="C186" s="7" t="str">
        <f t="shared" si="4"/>
        <v>Premium3</v>
      </c>
      <c r="D186" s="7" t="str">
        <f t="shared" si="5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IFERROR(VLOOKUP(B186,input_358100!L:R,7,FALSE),VLOOKUP(tables_358100!C186,input_358100!A:H,8,FALSE))</f>
        <v>0</v>
      </c>
      <c r="P186" s="46">
        <f ca="1">O186/SUM(O:O)</f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input_358100!A$2</f>
        <v>358100</v>
      </c>
      <c r="B187" s="8">
        <v>463</v>
      </c>
      <c r="C187" s="7" t="str">
        <f t="shared" si="4"/>
        <v>Premium4</v>
      </c>
      <c r="D187" s="7" t="str">
        <f t="shared" si="5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IFERROR(VLOOKUP(B187,input_358100!L:R,7,FALSE),VLOOKUP(tables_358100!C187,input_358100!A:H,8,FALSE))</f>
        <v>68590</v>
      </c>
      <c r="P187" s="46">
        <f ca="1">O187/SUM(O:O)</f>
        <v>1.1570512820512821E-2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input_358100!A$2</f>
        <v>358100</v>
      </c>
      <c r="B188" s="8">
        <v>464</v>
      </c>
      <c r="C188" s="7" t="str">
        <f t="shared" si="4"/>
        <v>Premium5</v>
      </c>
      <c r="D188" s="7" t="str">
        <f t="shared" si="5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IFERROR(VLOOKUP(B188,input_358100!L:R,7,FALSE),VLOOKUP(tables_358100!C188,input_358100!A:H,8,FALSE))</f>
        <v>3610</v>
      </c>
      <c r="P188" s="46">
        <f ca="1">O188/SUM(O:O)</f>
        <v>6.08974358974359E-4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input_358100!A$2</f>
        <v>358100</v>
      </c>
      <c r="B189" s="8">
        <v>465</v>
      </c>
      <c r="C189" s="7" t="str">
        <f t="shared" si="4"/>
        <v>PremiumSS4</v>
      </c>
      <c r="D189" s="7" t="str">
        <f t="shared" si="5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IFERROR(VLOOKUP(B189,input_358100!L:R,7,FALSE),VLOOKUP(tables_358100!C189,input_358100!A:H,8,FALSE))</f>
        <v>4446</v>
      </c>
      <c r="P189" s="46">
        <f ca="1">O189/SUM(O:O)</f>
        <v>7.5000000000000002E-4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input_358100!A$2</f>
        <v>358100</v>
      </c>
      <c r="B190" s="6">
        <v>466</v>
      </c>
      <c r="C190" s="7" t="str">
        <f t="shared" si="4"/>
        <v>PremiumSS5</v>
      </c>
      <c r="D190" s="7" t="str">
        <f t="shared" si="5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IFERROR(VLOOKUP(B190,input_358100!L:R,7,FALSE),VLOOKUP(tables_358100!C190,input_358100!A:H,8,FALSE))</f>
        <v>234</v>
      </c>
      <c r="P190" s="46">
        <f ca="1">O190/SUM(O:O)</f>
        <v>3.9473684210526316E-5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input_358100!A$2</f>
        <v>358100</v>
      </c>
      <c r="B191" s="6">
        <v>467</v>
      </c>
      <c r="C191" s="7" t="str">
        <f t="shared" si="4"/>
        <v>PremiumSS4</v>
      </c>
      <c r="D191" s="7" t="str">
        <f t="shared" si="5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IFERROR(VLOOKUP(B191,input_358100!L:R,7,FALSE),VLOOKUP(tables_358100!C191,input_358100!A:H,8,FALSE))</f>
        <v>4446</v>
      </c>
      <c r="P191" s="46">
        <f ca="1">O191/SUM(O:O)</f>
        <v>7.5000000000000002E-4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input_358100!A$2</f>
        <v>358100</v>
      </c>
      <c r="B192" s="6">
        <v>468</v>
      </c>
      <c r="C192" s="7" t="str">
        <f t="shared" si="4"/>
        <v>PremiumSS5</v>
      </c>
      <c r="D192" s="7" t="str">
        <f t="shared" si="5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IFERROR(VLOOKUP(B192,input_358100!L:R,7,FALSE),VLOOKUP(tables_358100!C192,input_358100!A:H,8,FALSE))</f>
        <v>234</v>
      </c>
      <c r="P192" s="46">
        <f ca="1">O192/SUM(O:O)</f>
        <v>3.9473684210526316E-5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input_358100!A$2</f>
        <v>358100</v>
      </c>
      <c r="B193" s="6">
        <v>469</v>
      </c>
      <c r="C193" s="7" t="str">
        <f t="shared" si="4"/>
        <v>Premium3</v>
      </c>
      <c r="D193" s="7" t="str">
        <f t="shared" si="5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IFERROR(VLOOKUP(B193,input_358100!L:R,7,FALSE),VLOOKUP(tables_358100!C193,input_358100!A:H,8,FALSE))</f>
        <v>0</v>
      </c>
      <c r="P193" s="46">
        <f ca="1">O193/SUM(O:O)</f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input_358100!A$2</f>
        <v>358100</v>
      </c>
      <c r="B194" s="6">
        <v>470</v>
      </c>
      <c r="C194" s="7" t="str">
        <f t="shared" ref="C194:C257" si="6">D194&amp;J194&amp;E194&amp;F194&amp;G194</f>
        <v>Premium4</v>
      </c>
      <c r="D194" s="7" t="str">
        <f t="shared" ref="D194:D257" si="7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IFERROR(VLOOKUP(B194,input_358100!L:R,7,FALSE),VLOOKUP(tables_358100!C194,input_358100!A:H,8,FALSE))</f>
        <v>68590</v>
      </c>
      <c r="P194" s="46">
        <f ca="1">O194/SUM(O:O)</f>
        <v>1.1570512820512821E-2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input_358100!A$2</f>
        <v>358100</v>
      </c>
      <c r="B195" s="6">
        <v>471</v>
      </c>
      <c r="C195" s="7" t="str">
        <f t="shared" si="6"/>
        <v>Premium5</v>
      </c>
      <c r="D195" s="7" t="str">
        <f t="shared" si="7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IFERROR(VLOOKUP(B195,input_358100!L:R,7,FALSE),VLOOKUP(tables_358100!C195,input_358100!A:H,8,FALSE))</f>
        <v>3610</v>
      </c>
      <c r="P195" s="46">
        <f ca="1">O195/SUM(O:O)</f>
        <v>6.08974358974359E-4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input_358100!A$2</f>
        <v>358100</v>
      </c>
      <c r="B196" s="6">
        <v>474</v>
      </c>
      <c r="C196" s="7" t="str">
        <f t="shared" si="6"/>
        <v>PremiumSS4</v>
      </c>
      <c r="D196" s="7" t="str">
        <f t="shared" si="7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IFERROR(VLOOKUP(B196,input_358100!L:R,7,FALSE),VLOOKUP(tables_358100!C196,input_358100!A:H,8,FALSE))</f>
        <v>4446</v>
      </c>
      <c r="P196" s="46">
        <f ca="1">O196/SUM(O:O)</f>
        <v>7.5000000000000002E-4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input_358100!A$2</f>
        <v>358100</v>
      </c>
      <c r="B197" s="6">
        <v>475</v>
      </c>
      <c r="C197" s="7" t="str">
        <f t="shared" si="6"/>
        <v>PremiumSS5</v>
      </c>
      <c r="D197" s="7" t="str">
        <f t="shared" si="7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IFERROR(VLOOKUP(B197,input_358100!L:R,7,FALSE),VLOOKUP(tables_358100!C197,input_358100!A:H,8,FALSE))</f>
        <v>234</v>
      </c>
      <c r="P197" s="46">
        <f ca="1">O197/SUM(O:O)</f>
        <v>3.9473684210526316E-5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input_358100!A$2</f>
        <v>358100</v>
      </c>
      <c r="B198" s="6">
        <v>476</v>
      </c>
      <c r="C198" s="7" t="str">
        <f t="shared" si="6"/>
        <v>Premium3</v>
      </c>
      <c r="D198" s="7" t="str">
        <f t="shared" si="7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IFERROR(VLOOKUP(B198,input_358100!L:R,7,FALSE),VLOOKUP(tables_358100!C198,input_358100!A:H,8,FALSE))</f>
        <v>0</v>
      </c>
      <c r="P198" s="46">
        <f ca="1">O198/SUM(O:O)</f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input_358100!A$2</f>
        <v>358100</v>
      </c>
      <c r="B199" s="6">
        <v>477</v>
      </c>
      <c r="C199" s="7" t="str">
        <f t="shared" si="6"/>
        <v>Premium4</v>
      </c>
      <c r="D199" s="7" t="str">
        <f t="shared" si="7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IFERROR(VLOOKUP(B199,input_358100!L:R,7,FALSE),VLOOKUP(tables_358100!C199,input_358100!A:H,8,FALSE))</f>
        <v>68590</v>
      </c>
      <c r="P199" s="46">
        <f ca="1">O199/SUM(O:O)</f>
        <v>1.1570512820512821E-2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input_358100!A$2</f>
        <v>358100</v>
      </c>
      <c r="B200" s="6">
        <v>478</v>
      </c>
      <c r="C200" s="7" t="str">
        <f t="shared" si="6"/>
        <v>Premium5</v>
      </c>
      <c r="D200" s="7" t="str">
        <f t="shared" si="7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IFERROR(VLOOKUP(B200,input_358100!L:R,7,FALSE),VLOOKUP(tables_358100!C200,input_358100!A:H,8,FALSE))</f>
        <v>3610</v>
      </c>
      <c r="P200" s="46">
        <f ca="1">O200/SUM(O:O)</f>
        <v>6.08974358974359E-4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input_358100!A$2</f>
        <v>358100</v>
      </c>
      <c r="B201" s="6">
        <v>479</v>
      </c>
      <c r="C201" s="7" t="str">
        <f t="shared" si="6"/>
        <v>PremiumSS4</v>
      </c>
      <c r="D201" s="7" t="str">
        <f t="shared" si="7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IFERROR(VLOOKUP(B201,input_358100!L:R,7,FALSE),VLOOKUP(tables_358100!C201,input_358100!A:H,8,FALSE))</f>
        <v>4446</v>
      </c>
      <c r="P201" s="46">
        <f ca="1">O201/SUM(O:O)</f>
        <v>7.5000000000000002E-4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input_358100!A$2</f>
        <v>358100</v>
      </c>
      <c r="B202" s="6">
        <v>480</v>
      </c>
      <c r="C202" s="7" t="str">
        <f t="shared" si="6"/>
        <v>PremiumSS5</v>
      </c>
      <c r="D202" s="7" t="str">
        <f t="shared" si="7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IFERROR(VLOOKUP(B202,input_358100!L:R,7,FALSE),VLOOKUP(tables_358100!C202,input_358100!A:H,8,FALSE))</f>
        <v>234</v>
      </c>
      <c r="P202" s="46">
        <f ca="1">O202/SUM(O:O)</f>
        <v>3.9473684210526316E-5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input_358100!A$2</f>
        <v>358100</v>
      </c>
      <c r="B203" s="6">
        <v>481</v>
      </c>
      <c r="C203" s="7" t="str">
        <f t="shared" si="6"/>
        <v>Premium3</v>
      </c>
      <c r="D203" s="7" t="str">
        <f t="shared" si="7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IFERROR(VLOOKUP(B203,input_358100!L:R,7,FALSE),VLOOKUP(tables_358100!C203,input_358100!A:H,8,FALSE))</f>
        <v>0</v>
      </c>
      <c r="P203" s="46">
        <f ca="1">O203/SUM(O:O)</f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input_358100!A$2</f>
        <v>358100</v>
      </c>
      <c r="B204" s="6">
        <v>482</v>
      </c>
      <c r="C204" s="7" t="str">
        <f t="shared" si="6"/>
        <v>Premium4</v>
      </c>
      <c r="D204" s="7" t="str">
        <f t="shared" si="7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IFERROR(VLOOKUP(B204,input_358100!L:R,7,FALSE),VLOOKUP(tables_358100!C204,input_358100!A:H,8,FALSE))</f>
        <v>68590</v>
      </c>
      <c r="P204" s="46">
        <f ca="1">O204/SUM(O:O)</f>
        <v>1.1570512820512821E-2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input_358100!A$2</f>
        <v>358100</v>
      </c>
      <c r="B205" s="6">
        <v>483</v>
      </c>
      <c r="C205" s="7" t="str">
        <f t="shared" si="6"/>
        <v>Premium5</v>
      </c>
      <c r="D205" s="7" t="str">
        <f t="shared" si="7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IFERROR(VLOOKUP(B205,input_358100!L:R,7,FALSE),VLOOKUP(tables_358100!C205,input_358100!A:H,8,FALSE))</f>
        <v>3610</v>
      </c>
      <c r="P205" s="46">
        <f ca="1">O205/SUM(O:O)</f>
        <v>6.08974358974359E-4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input_358100!A$2</f>
        <v>358100</v>
      </c>
      <c r="B206" s="6">
        <v>492</v>
      </c>
      <c r="C206" s="7" t="str">
        <f t="shared" si="6"/>
        <v>PremiumSS4</v>
      </c>
      <c r="D206" s="7" t="str">
        <f t="shared" si="7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IFERROR(VLOOKUP(B206,input_358100!L:R,7,FALSE),VLOOKUP(tables_358100!C206,input_358100!A:H,8,FALSE))</f>
        <v>4446</v>
      </c>
      <c r="P206" s="46">
        <f ca="1">O206/SUM(O:O)</f>
        <v>7.5000000000000002E-4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input_358100!A$2</f>
        <v>358100</v>
      </c>
      <c r="B207" s="6">
        <v>493</v>
      </c>
      <c r="C207" s="7" t="str">
        <f t="shared" si="6"/>
        <v>PremiumSS5</v>
      </c>
      <c r="D207" s="7" t="str">
        <f t="shared" si="7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IFERROR(VLOOKUP(B207,input_358100!L:R,7,FALSE),VLOOKUP(tables_358100!C207,input_358100!A:H,8,FALSE))</f>
        <v>234</v>
      </c>
      <c r="P207" s="46">
        <f ca="1">O207/SUM(O:O)</f>
        <v>3.9473684210526316E-5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input_358100!A$2</f>
        <v>358100</v>
      </c>
      <c r="B208" s="6">
        <v>494</v>
      </c>
      <c r="C208" s="7" t="str">
        <f t="shared" si="6"/>
        <v>PremiumSS4</v>
      </c>
      <c r="D208" s="7" t="str">
        <f t="shared" si="7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IFERROR(VLOOKUP(B208,input_358100!L:R,7,FALSE),VLOOKUP(tables_358100!C208,input_358100!A:H,8,FALSE))</f>
        <v>4446</v>
      </c>
      <c r="P208" s="46">
        <f ca="1">O208/SUM(O:O)</f>
        <v>7.5000000000000002E-4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input_358100!A$2</f>
        <v>358100</v>
      </c>
      <c r="B209" s="6">
        <v>495</v>
      </c>
      <c r="C209" s="7" t="str">
        <f t="shared" si="6"/>
        <v>PremiumSS5</v>
      </c>
      <c r="D209" s="7" t="str">
        <f t="shared" si="7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IFERROR(VLOOKUP(B209,input_358100!L:R,7,FALSE),VLOOKUP(tables_358100!C209,input_358100!A:H,8,FALSE))</f>
        <v>234</v>
      </c>
      <c r="P209" s="46">
        <f ca="1">O209/SUM(O:O)</f>
        <v>3.9473684210526316E-5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input_358100!A$2</f>
        <v>358100</v>
      </c>
      <c r="B210" s="6">
        <v>496</v>
      </c>
      <c r="C210" s="7" t="str">
        <f t="shared" si="6"/>
        <v>Premium3</v>
      </c>
      <c r="D210" s="7" t="str">
        <f t="shared" si="7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IFERROR(VLOOKUP(B210,input_358100!L:R,7,FALSE),VLOOKUP(tables_358100!C210,input_358100!A:H,8,FALSE))</f>
        <v>0</v>
      </c>
      <c r="P210" s="46">
        <f ca="1">O210/SUM(O:O)</f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input_358100!A$2</f>
        <v>358100</v>
      </c>
      <c r="B211" s="6">
        <v>497</v>
      </c>
      <c r="C211" s="7" t="str">
        <f t="shared" si="6"/>
        <v>Premium4</v>
      </c>
      <c r="D211" s="7" t="str">
        <f t="shared" si="7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IFERROR(VLOOKUP(B211,input_358100!L:R,7,FALSE),VLOOKUP(tables_358100!C211,input_358100!A:H,8,FALSE))</f>
        <v>68590</v>
      </c>
      <c r="P211" s="46">
        <f ca="1">O211/SUM(O:O)</f>
        <v>1.1570512820512821E-2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input_358100!A$2</f>
        <v>358100</v>
      </c>
      <c r="B212" s="6">
        <v>498</v>
      </c>
      <c r="C212" s="7" t="str">
        <f t="shared" si="6"/>
        <v>Premium5</v>
      </c>
      <c r="D212" s="7" t="str">
        <f t="shared" si="7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IFERROR(VLOOKUP(B212,input_358100!L:R,7,FALSE),VLOOKUP(tables_358100!C212,input_358100!A:H,8,FALSE))</f>
        <v>3610</v>
      </c>
      <c r="P212" s="46">
        <f ca="1">O212/SUM(O:O)</f>
        <v>6.08974358974359E-4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input_358100!A$2</f>
        <v>358100</v>
      </c>
      <c r="B213" s="6">
        <v>499</v>
      </c>
      <c r="C213" s="7" t="str">
        <f t="shared" si="6"/>
        <v>PremiumSS4</v>
      </c>
      <c r="D213" s="7" t="str">
        <f t="shared" si="7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IFERROR(VLOOKUP(B213,input_358100!L:R,7,FALSE),VLOOKUP(tables_358100!C213,input_358100!A:H,8,FALSE))</f>
        <v>4446</v>
      </c>
      <c r="P213" s="46">
        <f ca="1">O213/SUM(O:O)</f>
        <v>7.5000000000000002E-4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input_358100!A$2</f>
        <v>358100</v>
      </c>
      <c r="B214" s="6">
        <v>500</v>
      </c>
      <c r="C214" s="7" t="str">
        <f t="shared" si="6"/>
        <v>PremiumSS5</v>
      </c>
      <c r="D214" s="7" t="str">
        <f t="shared" si="7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IFERROR(VLOOKUP(B214,input_358100!L:R,7,FALSE),VLOOKUP(tables_358100!C214,input_358100!A:H,8,FALSE))</f>
        <v>234</v>
      </c>
      <c r="P214" s="46">
        <f ca="1">O214/SUM(O:O)</f>
        <v>3.9473684210526316E-5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input_358100!A$2</f>
        <v>358100</v>
      </c>
      <c r="B215" s="6">
        <v>586</v>
      </c>
      <c r="C215" s="7" t="str">
        <f t="shared" si="6"/>
        <v>PremiumSS4</v>
      </c>
      <c r="D215" s="7" t="str">
        <f t="shared" si="7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IFERROR(VLOOKUP(B215,input_358100!L:R,7,FALSE),VLOOKUP(tables_358100!C215,input_358100!A:H,8,FALSE))</f>
        <v>4446</v>
      </c>
      <c r="P215" s="46">
        <f ca="1">O215/SUM(O:O)</f>
        <v>7.5000000000000002E-4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input_358100!A$2</f>
        <v>358100</v>
      </c>
      <c r="B216" s="6">
        <v>587</v>
      </c>
      <c r="C216" s="7" t="str">
        <f t="shared" si="6"/>
        <v>PremiumSS5</v>
      </c>
      <c r="D216" s="7" t="str">
        <f t="shared" si="7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IFERROR(VLOOKUP(B216,input_358100!L:R,7,FALSE),VLOOKUP(tables_358100!C216,input_358100!A:H,8,FALSE))</f>
        <v>234</v>
      </c>
      <c r="P216" s="46">
        <f ca="1">O216/SUM(O:O)</f>
        <v>3.9473684210526316E-5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input_358100!A$2</f>
        <v>358100</v>
      </c>
      <c r="B217" s="6">
        <v>588</v>
      </c>
      <c r="C217" s="7" t="str">
        <f t="shared" si="6"/>
        <v>Premium3</v>
      </c>
      <c r="D217" s="7" t="str">
        <f t="shared" si="7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IFERROR(VLOOKUP(B217,input_358100!L:R,7,FALSE),VLOOKUP(tables_358100!C217,input_358100!A:H,8,FALSE))</f>
        <v>0</v>
      </c>
      <c r="P217" s="46">
        <f ca="1">O217/SUM(O:O)</f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input_358100!A$2</f>
        <v>358100</v>
      </c>
      <c r="B218" s="6">
        <v>589</v>
      </c>
      <c r="C218" s="7" t="str">
        <f t="shared" si="6"/>
        <v>Premium4</v>
      </c>
      <c r="D218" s="7" t="str">
        <f t="shared" si="7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IFERROR(VLOOKUP(B218,input_358100!L:R,7,FALSE),VLOOKUP(tables_358100!C218,input_358100!A:H,8,FALSE))</f>
        <v>68590</v>
      </c>
      <c r="P218" s="46">
        <f ca="1">O218/SUM(O:O)</f>
        <v>1.1570512820512821E-2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input_358100!A$2</f>
        <v>358100</v>
      </c>
      <c r="B219" s="6">
        <v>590</v>
      </c>
      <c r="C219" s="7" t="str">
        <f t="shared" si="6"/>
        <v>Premium5</v>
      </c>
      <c r="D219" s="7" t="str">
        <f t="shared" si="7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IFERROR(VLOOKUP(B219,input_358100!L:R,7,FALSE),VLOOKUP(tables_358100!C219,input_358100!A:H,8,FALSE))</f>
        <v>3610</v>
      </c>
      <c r="P219" s="46">
        <f ca="1">O219/SUM(O:O)</f>
        <v>6.08974358974359E-4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input_358100!A$2</f>
        <v>358100</v>
      </c>
      <c r="B220" s="6">
        <v>591</v>
      </c>
      <c r="C220" s="7" t="str">
        <f t="shared" si="6"/>
        <v>Premium3</v>
      </c>
      <c r="D220" s="7" t="str">
        <f t="shared" si="7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IFERROR(VLOOKUP(B220,input_358100!L:R,7,FALSE),VLOOKUP(tables_358100!C220,input_358100!A:H,8,FALSE))</f>
        <v>0</v>
      </c>
      <c r="P220" s="46">
        <f ca="1">O220/SUM(O:O)</f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input_358100!A$2</f>
        <v>358100</v>
      </c>
      <c r="B221" s="6">
        <v>592</v>
      </c>
      <c r="C221" s="7" t="str">
        <f t="shared" si="6"/>
        <v>Premium4</v>
      </c>
      <c r="D221" s="7" t="str">
        <f t="shared" si="7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IFERROR(VLOOKUP(B221,input_358100!L:R,7,FALSE),VLOOKUP(tables_358100!C221,input_358100!A:H,8,FALSE))</f>
        <v>68590</v>
      </c>
      <c r="P221" s="46">
        <f ca="1">O221/SUM(O:O)</f>
        <v>1.1570512820512821E-2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input_358100!A$2</f>
        <v>358100</v>
      </c>
      <c r="B222" s="6">
        <v>593</v>
      </c>
      <c r="C222" s="7" t="str">
        <f t="shared" si="6"/>
        <v>Premium5</v>
      </c>
      <c r="D222" s="7" t="str">
        <f t="shared" si="7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IFERROR(VLOOKUP(B222,input_358100!L:R,7,FALSE),VLOOKUP(tables_358100!C222,input_358100!A:H,8,FALSE))</f>
        <v>3610</v>
      </c>
      <c r="P222" s="46">
        <f ca="1">O222/SUM(O:O)</f>
        <v>6.08974358974359E-4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input_358100!A$2</f>
        <v>358100</v>
      </c>
      <c r="B223" s="6">
        <v>594</v>
      </c>
      <c r="C223" s="7" t="str">
        <f t="shared" si="6"/>
        <v>PremiumSS4</v>
      </c>
      <c r="D223" s="7" t="str">
        <f t="shared" si="7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IFERROR(VLOOKUP(B223,input_358100!L:R,7,FALSE),VLOOKUP(tables_358100!C223,input_358100!A:H,8,FALSE))</f>
        <v>4446</v>
      </c>
      <c r="P223" s="46">
        <f ca="1">O223/SUM(O:O)</f>
        <v>7.5000000000000002E-4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input_358100!A$2</f>
        <v>358100</v>
      </c>
      <c r="B224" s="6">
        <v>595</v>
      </c>
      <c r="C224" s="7" t="str">
        <f t="shared" si="6"/>
        <v>PremiumSS5</v>
      </c>
      <c r="D224" s="7" t="str">
        <f t="shared" si="7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IFERROR(VLOOKUP(B224,input_358100!L:R,7,FALSE),VLOOKUP(tables_358100!C224,input_358100!A:H,8,FALSE))</f>
        <v>234</v>
      </c>
      <c r="P224" s="46">
        <f ca="1">O224/SUM(O:O)</f>
        <v>3.9473684210526316E-5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input_358100!A$2</f>
        <v>358100</v>
      </c>
      <c r="B225" s="6">
        <v>596</v>
      </c>
      <c r="C225" s="7" t="str">
        <f t="shared" si="6"/>
        <v>Premium3</v>
      </c>
      <c r="D225" s="7" t="str">
        <f t="shared" si="7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IFERROR(VLOOKUP(B225,input_358100!L:R,7,FALSE),VLOOKUP(tables_358100!C225,input_358100!A:H,8,FALSE))</f>
        <v>0</v>
      </c>
      <c r="P225" s="46">
        <f ca="1">O225/SUM(O:O)</f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input_358100!A$2</f>
        <v>358100</v>
      </c>
      <c r="B226" s="6">
        <v>597</v>
      </c>
      <c r="C226" s="7" t="str">
        <f t="shared" si="6"/>
        <v>Premium4</v>
      </c>
      <c r="D226" s="7" t="str">
        <f t="shared" si="7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IFERROR(VLOOKUP(B226,input_358100!L:R,7,FALSE),VLOOKUP(tables_358100!C226,input_358100!A:H,8,FALSE))</f>
        <v>68590</v>
      </c>
      <c r="P226" s="46">
        <f ca="1">O226/SUM(O:O)</f>
        <v>1.1570512820512821E-2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input_358100!A$2</f>
        <v>358100</v>
      </c>
      <c r="B227" s="6">
        <v>598</v>
      </c>
      <c r="C227" s="7" t="str">
        <f t="shared" si="6"/>
        <v>Premium5</v>
      </c>
      <c r="D227" s="7" t="str">
        <f t="shared" si="7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IFERROR(VLOOKUP(B227,input_358100!L:R,7,FALSE),VLOOKUP(tables_358100!C227,input_358100!A:H,8,FALSE))</f>
        <v>3610</v>
      </c>
      <c r="P227" s="46">
        <f ca="1">O227/SUM(O:O)</f>
        <v>6.08974358974359E-4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input_358100!A$2</f>
        <v>358100</v>
      </c>
      <c r="B228" s="6">
        <v>599</v>
      </c>
      <c r="C228" s="7" t="str">
        <f t="shared" si="6"/>
        <v>Premium3</v>
      </c>
      <c r="D228" s="7" t="str">
        <f t="shared" si="7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IFERROR(VLOOKUP(B228,input_358100!L:R,7,FALSE),VLOOKUP(tables_358100!C228,input_358100!A:H,8,FALSE))</f>
        <v>0</v>
      </c>
      <c r="P228" s="46">
        <f ca="1">O228/SUM(O:O)</f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input_358100!A$2</f>
        <v>358100</v>
      </c>
      <c r="B229" s="6">
        <v>600</v>
      </c>
      <c r="C229" s="7" t="str">
        <f t="shared" si="6"/>
        <v>Premium4</v>
      </c>
      <c r="D229" s="7" t="str">
        <f t="shared" si="7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IFERROR(VLOOKUP(B229,input_358100!L:R,7,FALSE),VLOOKUP(tables_358100!C229,input_358100!A:H,8,FALSE))</f>
        <v>68590</v>
      </c>
      <c r="P229" s="46">
        <f ca="1">O229/SUM(O:O)</f>
        <v>1.1570512820512821E-2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input_358100!A$2</f>
        <v>358100</v>
      </c>
      <c r="B230" s="6">
        <v>601</v>
      </c>
      <c r="C230" s="7" t="str">
        <f t="shared" si="6"/>
        <v>Premium5</v>
      </c>
      <c r="D230" s="7" t="str">
        <f t="shared" si="7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IFERROR(VLOOKUP(B230,input_358100!L:R,7,FALSE),VLOOKUP(tables_358100!C230,input_358100!A:H,8,FALSE))</f>
        <v>3610</v>
      </c>
      <c r="P230" s="46">
        <f ca="1">O230/SUM(O:O)</f>
        <v>6.08974358974359E-4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input_358100!A$2</f>
        <v>358100</v>
      </c>
      <c r="B231" s="6">
        <v>602</v>
      </c>
      <c r="C231" s="7" t="str">
        <f t="shared" si="6"/>
        <v>PremiumSS4</v>
      </c>
      <c r="D231" s="7" t="str">
        <f t="shared" si="7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IFERROR(VLOOKUP(B231,input_358100!L:R,7,FALSE),VLOOKUP(tables_358100!C231,input_358100!A:H,8,FALSE))</f>
        <v>4446</v>
      </c>
      <c r="P231" s="46">
        <f ca="1">O231/SUM(O:O)</f>
        <v>7.5000000000000002E-4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input_358100!A$2</f>
        <v>358100</v>
      </c>
      <c r="B232" s="6">
        <v>603</v>
      </c>
      <c r="C232" s="7" t="str">
        <f t="shared" si="6"/>
        <v>PremiumSS5</v>
      </c>
      <c r="D232" s="7" t="str">
        <f t="shared" si="7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IFERROR(VLOOKUP(B232,input_358100!L:R,7,FALSE),VLOOKUP(tables_358100!C232,input_358100!A:H,8,FALSE))</f>
        <v>234</v>
      </c>
      <c r="P232" s="46">
        <f ca="1">O232/SUM(O:O)</f>
        <v>3.9473684210526316E-5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input_358100!A$2</f>
        <v>358100</v>
      </c>
      <c r="B233" s="6">
        <v>604</v>
      </c>
      <c r="C233" s="7" t="str">
        <f t="shared" si="6"/>
        <v>Premium3</v>
      </c>
      <c r="D233" s="7" t="str">
        <f t="shared" si="7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IFERROR(VLOOKUP(B233,input_358100!L:R,7,FALSE),VLOOKUP(tables_358100!C233,input_358100!A:H,8,FALSE))</f>
        <v>0</v>
      </c>
      <c r="P233" s="46">
        <f ca="1">O233/SUM(O:O)</f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input_358100!A$2</f>
        <v>358100</v>
      </c>
      <c r="B234" s="6">
        <v>605</v>
      </c>
      <c r="C234" s="7" t="str">
        <f t="shared" si="6"/>
        <v>Premium4</v>
      </c>
      <c r="D234" s="7" t="str">
        <f t="shared" si="7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IFERROR(VLOOKUP(B234,input_358100!L:R,7,FALSE),VLOOKUP(tables_358100!C234,input_358100!A:H,8,FALSE))</f>
        <v>68590</v>
      </c>
      <c r="P234" s="46">
        <f ca="1">O234/SUM(O:O)</f>
        <v>1.1570512820512821E-2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input_358100!A$2</f>
        <v>358100</v>
      </c>
      <c r="B235" s="6">
        <v>606</v>
      </c>
      <c r="C235" s="7" t="str">
        <f t="shared" si="6"/>
        <v>Premium5</v>
      </c>
      <c r="D235" s="7" t="str">
        <f t="shared" si="7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IFERROR(VLOOKUP(B235,input_358100!L:R,7,FALSE),VLOOKUP(tables_358100!C235,input_358100!A:H,8,FALSE))</f>
        <v>3610</v>
      </c>
      <c r="P235" s="46">
        <f ca="1">O235/SUM(O:O)</f>
        <v>6.08974358974359E-4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input_358100!A$2</f>
        <v>358100</v>
      </c>
      <c r="B236" s="6">
        <v>658</v>
      </c>
      <c r="C236" s="7" t="str">
        <f t="shared" si="6"/>
        <v>PremiumSS4</v>
      </c>
      <c r="D236" s="7" t="str">
        <f t="shared" si="7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IFERROR(VLOOKUP(B236,input_358100!L:R,7,FALSE),VLOOKUP(tables_358100!C236,input_358100!A:H,8,FALSE))</f>
        <v>4446</v>
      </c>
      <c r="P236" s="46">
        <f ca="1">O236/SUM(O:O)</f>
        <v>7.5000000000000002E-4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input_358100!A$2</f>
        <v>358100</v>
      </c>
      <c r="B237" s="6">
        <v>659</v>
      </c>
      <c r="C237" s="7" t="str">
        <f t="shared" si="6"/>
        <v>PremiumSS5</v>
      </c>
      <c r="D237" s="7" t="str">
        <f t="shared" si="7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IFERROR(VLOOKUP(B237,input_358100!L:R,7,FALSE),VLOOKUP(tables_358100!C237,input_358100!A:H,8,FALSE))</f>
        <v>234</v>
      </c>
      <c r="P237" s="46">
        <f ca="1">O237/SUM(O:O)</f>
        <v>3.9473684210526316E-5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input_358100!A$2</f>
        <v>358100</v>
      </c>
      <c r="B238" s="6">
        <v>660</v>
      </c>
      <c r="C238" s="7" t="str">
        <f t="shared" si="6"/>
        <v>PremiumSS4</v>
      </c>
      <c r="D238" s="7" t="str">
        <f t="shared" si="7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IFERROR(VLOOKUP(B238,input_358100!L:R,7,FALSE),VLOOKUP(tables_358100!C238,input_358100!A:H,8,FALSE))</f>
        <v>4446</v>
      </c>
      <c r="P238" s="46">
        <f ca="1">O238/SUM(O:O)</f>
        <v>7.5000000000000002E-4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input_358100!A$2</f>
        <v>358100</v>
      </c>
      <c r="B239" s="6">
        <v>661</v>
      </c>
      <c r="C239" s="7" t="str">
        <f t="shared" si="6"/>
        <v>PremiumSS5</v>
      </c>
      <c r="D239" s="7" t="str">
        <f t="shared" si="7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IFERROR(VLOOKUP(B239,input_358100!L:R,7,FALSE),VLOOKUP(tables_358100!C239,input_358100!A:H,8,FALSE))</f>
        <v>234</v>
      </c>
      <c r="P239" s="46">
        <f ca="1">O239/SUM(O:O)</f>
        <v>3.9473684210526316E-5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input_358100!A$2</f>
        <v>358100</v>
      </c>
      <c r="B240" s="6">
        <v>662</v>
      </c>
      <c r="C240" s="7" t="str">
        <f t="shared" si="6"/>
        <v>Premium3</v>
      </c>
      <c r="D240" s="7" t="str">
        <f t="shared" si="7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IFERROR(VLOOKUP(B240,input_358100!L:R,7,FALSE),VLOOKUP(tables_358100!C240,input_358100!A:H,8,FALSE))</f>
        <v>0</v>
      </c>
      <c r="P240" s="46">
        <f ca="1">O240/SUM(O:O)</f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input_358100!A$2</f>
        <v>358100</v>
      </c>
      <c r="B241" s="6">
        <v>663</v>
      </c>
      <c r="C241" s="7" t="str">
        <f t="shared" si="6"/>
        <v>Premium4</v>
      </c>
      <c r="D241" s="7" t="str">
        <f t="shared" si="7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IFERROR(VLOOKUP(B241,input_358100!L:R,7,FALSE),VLOOKUP(tables_358100!C241,input_358100!A:H,8,FALSE))</f>
        <v>68590</v>
      </c>
      <c r="P241" s="46">
        <f ca="1">O241/SUM(O:O)</f>
        <v>1.1570512820512821E-2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input_358100!A$2</f>
        <v>358100</v>
      </c>
      <c r="B242" s="6">
        <v>664</v>
      </c>
      <c r="C242" s="7" t="str">
        <f t="shared" si="6"/>
        <v>Premium5</v>
      </c>
      <c r="D242" s="7" t="str">
        <f t="shared" si="7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IFERROR(VLOOKUP(B242,input_358100!L:R,7,FALSE),VLOOKUP(tables_358100!C242,input_358100!A:H,8,FALSE))</f>
        <v>3610</v>
      </c>
      <c r="P242" s="46">
        <f ca="1">O242/SUM(O:O)</f>
        <v>6.08974358974359E-4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input_358100!A$2</f>
        <v>358100</v>
      </c>
      <c r="B243" s="6">
        <v>665</v>
      </c>
      <c r="C243" s="7" t="str">
        <f t="shared" si="6"/>
        <v>Premium3</v>
      </c>
      <c r="D243" s="7" t="str">
        <f t="shared" si="7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IFERROR(VLOOKUP(B243,input_358100!L:R,7,FALSE),VLOOKUP(tables_358100!C243,input_358100!A:H,8,FALSE))</f>
        <v>0</v>
      </c>
      <c r="P243" s="46">
        <f ca="1">O243/SUM(O:O)</f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input_358100!A$2</f>
        <v>358100</v>
      </c>
      <c r="B244" s="6">
        <v>666</v>
      </c>
      <c r="C244" s="7" t="str">
        <f t="shared" si="6"/>
        <v>Premium4</v>
      </c>
      <c r="D244" s="7" t="str">
        <f t="shared" si="7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IFERROR(VLOOKUP(B244,input_358100!L:R,7,FALSE),VLOOKUP(tables_358100!C244,input_358100!A:H,8,FALSE))</f>
        <v>68590</v>
      </c>
      <c r="P244" s="46">
        <f ca="1">O244/SUM(O:O)</f>
        <v>1.1570512820512821E-2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input_358100!A$2</f>
        <v>358100</v>
      </c>
      <c r="B245" s="6">
        <v>667</v>
      </c>
      <c r="C245" s="7" t="str">
        <f t="shared" si="6"/>
        <v>Premium5</v>
      </c>
      <c r="D245" s="7" t="str">
        <f t="shared" si="7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IFERROR(VLOOKUP(B245,input_358100!L:R,7,FALSE),VLOOKUP(tables_358100!C245,input_358100!A:H,8,FALSE))</f>
        <v>3610</v>
      </c>
      <c r="P245" s="46">
        <f ca="1">O245/SUM(O:O)</f>
        <v>6.08974358974359E-4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input_358100!A$2</f>
        <v>358100</v>
      </c>
      <c r="B246" s="60">
        <v>668</v>
      </c>
      <c r="C246" s="7" t="str">
        <f t="shared" si="6"/>
        <v>Premium3</v>
      </c>
      <c r="D246" s="7" t="str">
        <f t="shared" si="7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IFERROR(VLOOKUP(B246,input_358100!L:R,7,FALSE),VLOOKUP(tables_358100!C246,input_358100!A:H,8,FALSE))</f>
        <v>0</v>
      </c>
      <c r="P246" s="46">
        <f ca="1">O246/SUM(O:O)</f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input_358100!A$2</f>
        <v>358100</v>
      </c>
      <c r="B247" s="60">
        <v>669</v>
      </c>
      <c r="C247" s="7" t="str">
        <f t="shared" si="6"/>
        <v>Premium4</v>
      </c>
      <c r="D247" s="7" t="str">
        <f t="shared" si="7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IFERROR(VLOOKUP(B247,input_358100!L:R,7,FALSE),VLOOKUP(tables_358100!C247,input_358100!A:H,8,FALSE))</f>
        <v>68590</v>
      </c>
      <c r="P247" s="46">
        <f ca="1">O247/SUM(O:O)</f>
        <v>1.1570512820512821E-2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input_358100!A$2</f>
        <v>358100</v>
      </c>
      <c r="B248" s="60">
        <v>670</v>
      </c>
      <c r="C248" s="7" t="str">
        <f t="shared" si="6"/>
        <v>Premium5</v>
      </c>
      <c r="D248" s="7" t="str">
        <f t="shared" si="7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IFERROR(VLOOKUP(B248,input_358100!L:R,7,FALSE),VLOOKUP(tables_358100!C248,input_358100!A:H,8,FALSE))</f>
        <v>3610</v>
      </c>
      <c r="P248" s="46">
        <f ca="1">O248/SUM(O:O)</f>
        <v>6.08974358974359E-4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input_358100!A$2</f>
        <v>358100</v>
      </c>
      <c r="B249" s="60">
        <v>671</v>
      </c>
      <c r="C249" s="7" t="str">
        <f t="shared" si="6"/>
        <v>Premium3</v>
      </c>
      <c r="D249" s="7" t="str">
        <f t="shared" si="7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IFERROR(VLOOKUP(B249,input_358100!L:R,7,FALSE),VLOOKUP(tables_358100!C249,input_358100!A:H,8,FALSE))</f>
        <v>0</v>
      </c>
      <c r="P249" s="46">
        <f ca="1">O249/SUM(O:O)</f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input_358100!A$2</f>
        <v>358100</v>
      </c>
      <c r="B250" s="60">
        <v>672</v>
      </c>
      <c r="C250" s="7" t="str">
        <f t="shared" si="6"/>
        <v>Premium4</v>
      </c>
      <c r="D250" s="7" t="str">
        <f t="shared" si="7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IFERROR(VLOOKUP(B250,input_358100!L:R,7,FALSE),VLOOKUP(tables_358100!C250,input_358100!A:H,8,FALSE))</f>
        <v>68590</v>
      </c>
      <c r="P250" s="46">
        <f ca="1">O250/SUM(O:O)</f>
        <v>1.1570512820512821E-2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input_358100!A$2</f>
        <v>358100</v>
      </c>
      <c r="B251" s="60">
        <v>673</v>
      </c>
      <c r="C251" s="7" t="str">
        <f t="shared" si="6"/>
        <v>Premium5</v>
      </c>
      <c r="D251" s="7" t="str">
        <f t="shared" si="7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IFERROR(VLOOKUP(B251,input_358100!L:R,7,FALSE),VLOOKUP(tables_358100!C251,input_358100!A:H,8,FALSE))</f>
        <v>3610</v>
      </c>
      <c r="P251" s="46">
        <f ca="1">O251/SUM(O:O)</f>
        <v>6.08974358974359E-4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input_358100!A$2</f>
        <v>358100</v>
      </c>
      <c r="B252" s="60">
        <v>674</v>
      </c>
      <c r="C252" s="7" t="str">
        <f t="shared" si="6"/>
        <v>PremiumSS4</v>
      </c>
      <c r="D252" s="7" t="str">
        <f t="shared" si="7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IFERROR(VLOOKUP(B252,input_358100!L:R,7,FALSE),VLOOKUP(tables_358100!C252,input_358100!A:H,8,FALSE))</f>
        <v>4446</v>
      </c>
      <c r="P252" s="46">
        <f ca="1">O252/SUM(O:O)</f>
        <v>7.5000000000000002E-4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input_358100!A$2</f>
        <v>358100</v>
      </c>
      <c r="B253" s="60">
        <v>675</v>
      </c>
      <c r="C253" s="7" t="str">
        <f t="shared" si="6"/>
        <v>PremiumSS5</v>
      </c>
      <c r="D253" s="7" t="str">
        <f t="shared" si="7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IFERROR(VLOOKUP(B253,input_358100!L:R,7,FALSE),VLOOKUP(tables_358100!C253,input_358100!A:H,8,FALSE))</f>
        <v>234</v>
      </c>
      <c r="P253" s="46">
        <f ca="1">O253/SUM(O:O)</f>
        <v>3.9473684210526316E-5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input_358100!A$2</f>
        <v>358100</v>
      </c>
      <c r="B254" s="60">
        <v>676</v>
      </c>
      <c r="C254" s="7" t="str">
        <f t="shared" si="6"/>
        <v>PremiumSS4</v>
      </c>
      <c r="D254" s="7" t="str">
        <f t="shared" si="7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IFERROR(VLOOKUP(B254,input_358100!L:R,7,FALSE),VLOOKUP(tables_358100!C254,input_358100!A:H,8,FALSE))</f>
        <v>4446</v>
      </c>
      <c r="P254" s="46">
        <f ca="1">O254/SUM(O:O)</f>
        <v>7.5000000000000002E-4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input_358100!A$2</f>
        <v>358100</v>
      </c>
      <c r="B255" s="60">
        <v>677</v>
      </c>
      <c r="C255" s="7" t="str">
        <f t="shared" si="6"/>
        <v>PremiumSS5</v>
      </c>
      <c r="D255" s="7" t="str">
        <f t="shared" si="7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IFERROR(VLOOKUP(B255,input_358100!L:R,7,FALSE),VLOOKUP(tables_358100!C255,input_358100!A:H,8,FALSE))</f>
        <v>234</v>
      </c>
      <c r="P255" s="46">
        <f ca="1">O255/SUM(O:O)</f>
        <v>3.9473684210526316E-5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input_358100!A$2</f>
        <v>358100</v>
      </c>
      <c r="B256" s="60">
        <v>728</v>
      </c>
      <c r="C256" s="7" t="str">
        <f t="shared" si="6"/>
        <v>Premium4R3less</v>
      </c>
      <c r="D256" s="7" t="str">
        <f t="shared" si="7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IFERROR(VLOOKUP(B256,input_358100!L:R,7,FALSE),VLOOKUP(tables_358100!C256,input_358100!A:H,8,FALSE))</f>
        <v>60014.666669999999</v>
      </c>
      <c r="P256" s="46">
        <f ca="1">O256/SUM(O:O)</f>
        <v>1.0123931624493926E-2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input_358100!A$2</f>
        <v>358100</v>
      </c>
      <c r="B257" s="60">
        <v>729</v>
      </c>
      <c r="C257" s="7" t="str">
        <f t="shared" si="6"/>
        <v>Premium5R3less</v>
      </c>
      <c r="D257" s="7" t="str">
        <f t="shared" si="7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IFERROR(VLOOKUP(B257,input_358100!L:R,7,FALSE),VLOOKUP(tables_358100!C257,input_358100!A:H,8,FALSE))</f>
        <v>12185.333329999999</v>
      </c>
      <c r="P257" s="46">
        <f ca="1">O257/SUM(O:O)</f>
        <v>2.0555555549932525E-3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input_358100!A$2</f>
        <v>358100</v>
      </c>
      <c r="B258" s="60">
        <v>730</v>
      </c>
      <c r="C258" s="7" t="str">
        <f t="shared" ref="C258:C283" si="8">D258&amp;J258&amp;E258&amp;F258&amp;G258</f>
        <v>Premium4R3less</v>
      </c>
      <c r="D258" s="7" t="str">
        <f t="shared" ref="D258:D283" si="9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IFERROR(VLOOKUP(B258,input_358100!L:R,7,FALSE),VLOOKUP(tables_358100!C258,input_358100!A:H,8,FALSE))</f>
        <v>60014.666669999999</v>
      </c>
      <c r="P258" s="46">
        <f ca="1">O258/SUM(O:O)</f>
        <v>1.0123931624493926E-2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input_358100!A$2</f>
        <v>358100</v>
      </c>
      <c r="B259" s="60">
        <v>731</v>
      </c>
      <c r="C259" s="7" t="str">
        <f t="shared" si="8"/>
        <v>Premium5R3less</v>
      </c>
      <c r="D259" s="7" t="str">
        <f t="shared" si="9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IFERROR(VLOOKUP(B259,input_358100!L:R,7,FALSE),VLOOKUP(tables_358100!C259,input_358100!A:H,8,FALSE))</f>
        <v>12185.333329999999</v>
      </c>
      <c r="P259" s="46">
        <f ca="1">O259/SUM(O:O)</f>
        <v>2.0555555549932525E-3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input_358100!A$2</f>
        <v>358100</v>
      </c>
      <c r="B260" s="60">
        <v>732</v>
      </c>
      <c r="C260" s="7" t="str">
        <f t="shared" si="8"/>
        <v>PremiumSS5R5only</v>
      </c>
      <c r="D260" s="7" t="str">
        <f t="shared" si="9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IFERROR(VLOOKUP(B260,input_358100!L:R,7,FALSE),VLOOKUP(tables_358100!C260,input_358100!A:H,8,FALSE))</f>
        <v>4680</v>
      </c>
      <c r="P260" s="46">
        <f ca="1">O260/SUM(O:O)</f>
        <v>7.894736842105263E-4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input_358100!A$2</f>
        <v>358100</v>
      </c>
      <c r="B261" s="60">
        <v>734</v>
      </c>
      <c r="C261" s="7" t="str">
        <f t="shared" si="8"/>
        <v>PremiumSS5R5only</v>
      </c>
      <c r="D261" s="7" t="str">
        <f t="shared" si="9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IFERROR(VLOOKUP(B261,input_358100!L:R,7,FALSE),VLOOKUP(tables_358100!C261,input_358100!A:H,8,FALSE))</f>
        <v>4680</v>
      </c>
      <c r="P261" s="46">
        <f ca="1">O261/SUM(O:O)</f>
        <v>7.894736842105263E-4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input_358100!A$2</f>
        <v>358100</v>
      </c>
      <c r="B262" s="60">
        <v>770</v>
      </c>
      <c r="C262" s="7" t="str">
        <f t="shared" si="8"/>
        <v>PremiumSS4</v>
      </c>
      <c r="D262" s="7" t="str">
        <f t="shared" si="9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IFERROR(VLOOKUP(B262,input_358100!L:R,7,FALSE),VLOOKUP(tables_358100!C262,input_358100!A:H,8,FALSE))</f>
        <v>4446</v>
      </c>
      <c r="P262" s="46">
        <f ca="1">O262/SUM(O:O)</f>
        <v>7.5000000000000002E-4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input_358100!A$2</f>
        <v>358100</v>
      </c>
      <c r="B263" s="60">
        <v>771</v>
      </c>
      <c r="C263" s="7" t="str">
        <f t="shared" si="8"/>
        <v>PremiumSS5</v>
      </c>
      <c r="D263" s="7" t="str">
        <f t="shared" si="9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IFERROR(VLOOKUP(B263,input_358100!L:R,7,FALSE),VLOOKUP(tables_358100!C263,input_358100!A:H,8,FALSE))</f>
        <v>234</v>
      </c>
      <c r="P263" s="46">
        <f ca="1">O263/SUM(O:O)</f>
        <v>3.9473684210526316E-5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input_358100!A$2</f>
        <v>358100</v>
      </c>
      <c r="B264" s="60">
        <v>772</v>
      </c>
      <c r="C264" s="7" t="str">
        <f t="shared" si="8"/>
        <v>PremiumSS4</v>
      </c>
      <c r="D264" s="7" t="str">
        <f t="shared" si="9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IFERROR(VLOOKUP(B264,input_358100!L:R,7,FALSE),VLOOKUP(tables_358100!C264,input_358100!A:H,8,FALSE))</f>
        <v>4446</v>
      </c>
      <c r="P264" s="46">
        <f ca="1">O264/SUM(O:O)</f>
        <v>7.5000000000000002E-4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input_358100!A$2</f>
        <v>358100</v>
      </c>
      <c r="B265" s="60">
        <v>773</v>
      </c>
      <c r="C265" s="7" t="str">
        <f t="shared" si="8"/>
        <v>PremiumSS5</v>
      </c>
      <c r="D265" s="7" t="str">
        <f t="shared" si="9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IFERROR(VLOOKUP(B265,input_358100!L:R,7,FALSE),VLOOKUP(tables_358100!C265,input_358100!A:H,8,FALSE))</f>
        <v>234</v>
      </c>
      <c r="P265" s="46">
        <f ca="1">O265/SUM(O:O)</f>
        <v>3.9473684210526316E-5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input_358100!A$2</f>
        <v>358100</v>
      </c>
      <c r="B266" s="60">
        <v>774</v>
      </c>
      <c r="C266" s="7" t="str">
        <f t="shared" si="8"/>
        <v>Premium3</v>
      </c>
      <c r="D266" s="7" t="str">
        <f t="shared" si="9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IFERROR(VLOOKUP(B266,input_358100!L:R,7,FALSE),VLOOKUP(tables_358100!C266,input_358100!A:H,8,FALSE))</f>
        <v>0</v>
      </c>
      <c r="P266" s="46">
        <f ca="1">O266/SUM(O:O)</f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input_358100!A$2</f>
        <v>358100</v>
      </c>
      <c r="B267" s="60">
        <v>775</v>
      </c>
      <c r="C267" s="7" t="str">
        <f t="shared" si="8"/>
        <v>Premium4</v>
      </c>
      <c r="D267" s="7" t="str">
        <f t="shared" si="9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IFERROR(VLOOKUP(B267,input_358100!L:R,7,FALSE),VLOOKUP(tables_358100!C267,input_358100!A:H,8,FALSE))</f>
        <v>68590</v>
      </c>
      <c r="P267" s="46">
        <f ca="1">O267/SUM(O:O)</f>
        <v>1.1570512820512821E-2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input_358100!A$2</f>
        <v>358100</v>
      </c>
      <c r="B268" s="60">
        <v>776</v>
      </c>
      <c r="C268" s="7" t="str">
        <f t="shared" si="8"/>
        <v>Premium5</v>
      </c>
      <c r="D268" s="7" t="str">
        <f t="shared" si="9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IFERROR(VLOOKUP(B268,input_358100!L:R,7,FALSE),VLOOKUP(tables_358100!C268,input_358100!A:H,8,FALSE))</f>
        <v>3610</v>
      </c>
      <c r="P268" s="46">
        <f ca="1">O268/SUM(O:O)</f>
        <v>6.08974358974359E-4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input_358100!A$2</f>
        <v>358100</v>
      </c>
      <c r="B269" s="60">
        <v>777</v>
      </c>
      <c r="C269" s="7" t="str">
        <f t="shared" si="8"/>
        <v>Premium3</v>
      </c>
      <c r="D269" s="7" t="str">
        <f t="shared" si="9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IFERROR(VLOOKUP(B269,input_358100!L:R,7,FALSE),VLOOKUP(tables_358100!C269,input_358100!A:H,8,FALSE))</f>
        <v>0</v>
      </c>
      <c r="P269" s="46">
        <f ca="1">O269/SUM(O:O)</f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input_358100!A$2</f>
        <v>358100</v>
      </c>
      <c r="B270" s="60">
        <v>778</v>
      </c>
      <c r="C270" s="7" t="str">
        <f t="shared" si="8"/>
        <v>Premium4</v>
      </c>
      <c r="D270" s="7" t="str">
        <f t="shared" si="9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IFERROR(VLOOKUP(B270,input_358100!L:R,7,FALSE),VLOOKUP(tables_358100!C270,input_358100!A:H,8,FALSE))</f>
        <v>68590</v>
      </c>
      <c r="P270" s="46">
        <f ca="1">O270/SUM(O:O)</f>
        <v>1.1570512820512821E-2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input_358100!A$2</f>
        <v>358100</v>
      </c>
      <c r="B271" s="60">
        <v>779</v>
      </c>
      <c r="C271" s="7" t="str">
        <f t="shared" si="8"/>
        <v>Premium5</v>
      </c>
      <c r="D271" s="7" t="str">
        <f t="shared" si="9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IFERROR(VLOOKUP(B271,input_358100!L:R,7,FALSE),VLOOKUP(tables_358100!C271,input_358100!A:H,8,FALSE))</f>
        <v>3610</v>
      </c>
      <c r="P271" s="46">
        <f ca="1">O271/SUM(O:O)</f>
        <v>6.08974358974359E-4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input_358100!A$2</f>
        <v>358100</v>
      </c>
      <c r="B272" s="83">
        <v>848</v>
      </c>
      <c r="C272" s="7" t="str">
        <f t="shared" si="8"/>
        <v>PremiumSS5R5only</v>
      </c>
      <c r="D272" s="7" t="str">
        <f t="shared" si="9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IFERROR(VLOOKUP(B272,input_358100!L:R,7,FALSE),VLOOKUP(tables_358100!C272,input_358100!A:H,8,FALSE))</f>
        <v>4680</v>
      </c>
      <c r="P272" s="46">
        <f ca="1">O272/SUM(O:O)</f>
        <v>7.894736842105263E-4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input_358100!A$2</f>
        <v>358100</v>
      </c>
      <c r="B273" s="83">
        <v>850</v>
      </c>
      <c r="C273" s="7" t="str">
        <f t="shared" si="8"/>
        <v>PremiumSS5R5only</v>
      </c>
      <c r="D273" s="7" t="str">
        <f t="shared" si="9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IFERROR(VLOOKUP(B273,input_358100!L:R,7,FALSE),VLOOKUP(tables_358100!C273,input_358100!A:H,8,FALSE))</f>
        <v>4680</v>
      </c>
      <c r="P273" s="46">
        <f ca="1">O273/SUM(O:O)</f>
        <v>7.894736842105263E-4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input_358100!A$2</f>
        <v>358100</v>
      </c>
      <c r="B274" s="83">
        <v>852</v>
      </c>
      <c r="C274" s="7" t="str">
        <f t="shared" si="8"/>
        <v>Premium4R3less</v>
      </c>
      <c r="D274" s="7" t="str">
        <f t="shared" si="9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IFERROR(VLOOKUP(B274,input_358100!L:R,7,FALSE),VLOOKUP(tables_358100!C274,input_358100!A:H,8,FALSE))</f>
        <v>60014.666669999999</v>
      </c>
      <c r="P274" s="46">
        <f ca="1">O274/SUM(O:O)</f>
        <v>1.0123931624493926E-2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input_358100!A$2</f>
        <v>358100</v>
      </c>
      <c r="B275" s="83">
        <v>853</v>
      </c>
      <c r="C275" s="7" t="str">
        <f t="shared" si="8"/>
        <v>Premium5R3less</v>
      </c>
      <c r="D275" s="7" t="str">
        <f t="shared" si="9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IFERROR(VLOOKUP(B275,input_358100!L:R,7,FALSE),VLOOKUP(tables_358100!C275,input_358100!A:H,8,FALSE))</f>
        <v>12185.333329999999</v>
      </c>
      <c r="P275" s="46">
        <f ca="1">O275/SUM(O:O)</f>
        <v>2.0555555549932525E-3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input_358100!A$2</f>
        <v>358100</v>
      </c>
      <c r="B276" s="83">
        <v>854</v>
      </c>
      <c r="C276" s="7" t="str">
        <f t="shared" si="8"/>
        <v>Premium4R3less</v>
      </c>
      <c r="D276" s="7" t="str">
        <f t="shared" si="9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IFERROR(VLOOKUP(B276,input_358100!L:R,7,FALSE),VLOOKUP(tables_358100!C276,input_358100!A:H,8,FALSE))</f>
        <v>60014.666669999999</v>
      </c>
      <c r="P276" s="46">
        <f ca="1">O276/SUM(O:O)</f>
        <v>1.0123931624493926E-2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input_358100!A$2</f>
        <v>358100</v>
      </c>
      <c r="B277" s="83">
        <v>855</v>
      </c>
      <c r="C277" s="7" t="str">
        <f t="shared" si="8"/>
        <v>Premium5R3less</v>
      </c>
      <c r="D277" s="7" t="str">
        <f t="shared" si="9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IFERROR(VLOOKUP(B277,input_358100!L:R,7,FALSE),VLOOKUP(tables_358100!C277,input_358100!A:H,8,FALSE))</f>
        <v>12185.333329999999</v>
      </c>
      <c r="P277" s="46">
        <f ca="1">O277/SUM(O:O)</f>
        <v>2.0555555549932525E-3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input_358100!A$2</f>
        <v>358100</v>
      </c>
      <c r="B278" s="83">
        <v>862</v>
      </c>
      <c r="C278" s="7" t="str">
        <f t="shared" si="8"/>
        <v>Premium4R3less</v>
      </c>
      <c r="D278" s="7" t="str">
        <f t="shared" si="9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IFERROR(VLOOKUP(B278,input_358100!L:R,7,FALSE),VLOOKUP(tables_358100!C278,input_358100!A:H,8,FALSE))</f>
        <v>60014.666669999999</v>
      </c>
      <c r="P278" s="46">
        <f ca="1">O278/SUM(O:O)</f>
        <v>1.0123931624493926E-2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input_358100!A$2</f>
        <v>358100</v>
      </c>
      <c r="B279" s="83">
        <v>863</v>
      </c>
      <c r="C279" s="7" t="str">
        <f t="shared" si="8"/>
        <v>Premium5R3less</v>
      </c>
      <c r="D279" s="7" t="str">
        <f t="shared" si="9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IFERROR(VLOOKUP(B279,input_358100!L:R,7,FALSE),VLOOKUP(tables_358100!C279,input_358100!A:H,8,FALSE))</f>
        <v>12185.333329999999</v>
      </c>
      <c r="P279" s="46">
        <f ca="1">O279/SUM(O:O)</f>
        <v>2.0555555549932525E-3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input_358100!A$2</f>
        <v>358100</v>
      </c>
      <c r="B280" s="83">
        <v>864</v>
      </c>
      <c r="C280" s="7" t="str">
        <f t="shared" si="8"/>
        <v>Premium4R3less</v>
      </c>
      <c r="D280" s="7" t="str">
        <f t="shared" si="9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IFERROR(VLOOKUP(B280,input_358100!L:R,7,FALSE),VLOOKUP(tables_358100!C280,input_358100!A:H,8,FALSE))</f>
        <v>60014.666669999999</v>
      </c>
      <c r="P280" s="46">
        <f ca="1">O280/SUM(O:O)</f>
        <v>1.0123931624493926E-2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input_358100!A$2</f>
        <v>358100</v>
      </c>
      <c r="B281" s="83">
        <v>865</v>
      </c>
      <c r="C281" s="7" t="str">
        <f t="shared" si="8"/>
        <v>Premium5R3less</v>
      </c>
      <c r="D281" s="7" t="str">
        <f t="shared" si="9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IFERROR(VLOOKUP(B281,input_358100!L:R,7,FALSE),VLOOKUP(tables_358100!C281,input_358100!A:H,8,FALSE))</f>
        <v>12185.333329999999</v>
      </c>
      <c r="P281" s="46">
        <f ca="1">O281/SUM(O:O)</f>
        <v>2.0555555549932525E-3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input_358100!A$2</f>
        <v>358100</v>
      </c>
      <c r="B282" s="83">
        <v>866</v>
      </c>
      <c r="C282" s="7" t="str">
        <f t="shared" si="8"/>
        <v>PremiumSS5R5only</v>
      </c>
      <c r="D282" s="7" t="str">
        <f t="shared" si="9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IFERROR(VLOOKUP(B282,input_358100!L:R,7,FALSE),VLOOKUP(tables_358100!C282,input_358100!A:H,8,FALSE))</f>
        <v>4680</v>
      </c>
      <c r="P282" s="46">
        <f ca="1">O282/SUM(O:O)</f>
        <v>7.894736842105263E-4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input_358100!A$2</f>
        <v>358100</v>
      </c>
      <c r="B283" s="83">
        <v>868</v>
      </c>
      <c r="C283" s="7" t="str">
        <f t="shared" si="8"/>
        <v>PremiumSS5R5only</v>
      </c>
      <c r="D283" s="7" t="str">
        <f t="shared" si="9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IFERROR(VLOOKUP(B283,input_358100!L:R,7,FALSE),VLOOKUP(tables_358100!C283,input_358100!A:H,8,FALSE))</f>
        <v>4680</v>
      </c>
      <c r="P283" s="46">
        <f ca="1">O283/SUM(O:O)</f>
        <v>7.894736842105263E-4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input_358100!A$2</f>
        <v>358100</v>
      </c>
      <c r="B284" s="83">
        <v>623</v>
      </c>
      <c r="C284" s="7" t="str">
        <f t="shared" ref="C284" si="10">D284&amp;J284&amp;E284&amp;F284&amp;G284</f>
        <v>PremiumSSS5R3less</v>
      </c>
      <c r="D284" s="7" t="str">
        <f t="shared" ref="D284" si="11">IF(I284="PremiumSS",I284,IF(I284="PremiumSSS",I284,IF(I284="PremiumW",I284,"Premium")))</f>
        <v>PremiumSSS</v>
      </c>
      <c r="E284" s="7" t="str">
        <f>IF(COUNTIF('R6追加前'!A:A,B284)=0,IF(I284="PremiumSS","R5only","R3less"),"")</f>
        <v>R3less</v>
      </c>
      <c r="F284" s="7" t="str">
        <f>IF(COUNTIF('R6開放'!A:A,B284)&gt;0,"R6release","")</f>
        <v/>
      </c>
      <c r="G284" s="7"/>
      <c r="H284" s="7" t="str">
        <f>VLOOKUP(B284,[1]characters!$A:$C,3,FALSE)</f>
        <v>未踏の轍跡 フェルマー</v>
      </c>
      <c r="I284" s="7" t="str">
        <f>VLOOKUP(B284,[1]characters!$A:$J,10,FALSE)</f>
        <v>PremiumSSS</v>
      </c>
      <c r="J284" s="7">
        <f>VLOOKUP(B284,[1]characters!$A:$I,9,FALSE)</f>
        <v>5</v>
      </c>
      <c r="K284" s="7" t="str">
        <f>VLOOKUP(B284,[1]characters!$A:$H,8,FALSE)</f>
        <v>yellow</v>
      </c>
      <c r="L284" s="7" t="str">
        <f>VLOOKUP(B284,[1]characters!$A:$K,11,FALSE)</f>
        <v>attack</v>
      </c>
      <c r="M284" s="7" t="str">
        <f>VLOOKUP(B284,[1]characters!$A:$M,13,FALSE)</f>
        <v>academia</v>
      </c>
      <c r="N284" s="7" t="str">
        <f>VLOOKUP(B284,[1]characters!$A:$G,7,FALSE)</f>
        <v>女性</v>
      </c>
      <c r="O284" s="45">
        <f ca="1">IFERROR(VLOOKUP(B284,input_358100!L:R,7,FALSE),VLOOKUP(tables_358100!C284,input_358100!A:H,8,FALSE))</f>
        <v>118560</v>
      </c>
      <c r="P284" s="46">
        <f ca="1">O284/SUM(O:O)</f>
        <v>0.02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</sheetData>
  <autoFilter ref="A1:V283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98"/>
  <sheetViews>
    <sheetView showGridLines="0" tabSelected="1" zoomScale="75" zoomScaleNormal="75" zoomScalePageLayoutView="75" workbookViewId="0">
      <pane ySplit="1" topLeftCell="A75" activePane="bottomLeft" state="frozen"/>
      <selection activeCell="L296" sqref="L296"/>
      <selection pane="bottomLeft" activeCell="G98" sqref="G9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3.5976562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89" t="s">
        <v>261</v>
      </c>
      <c r="B2" s="6">
        <v>168</v>
      </c>
      <c r="C2" s="7" t="str">
        <f t="shared" ref="C2:C3" si="0">D2&amp;J2&amp;E2&amp;F2&amp;G2</f>
        <v>Premium5R6release</v>
      </c>
      <c r="D2" s="7" t="str">
        <f t="shared" ref="D2:D3" si="1">IF(I2="PremiumSS",I2,IF(I2="PremiumSSS",I2,IF(I2="PremiumW",I2,"Premium")))</f>
        <v>Premium</v>
      </c>
      <c r="E2" s="7" t="str">
        <f>IF(COUNTIF('R6追加前'!A:A,B2)=0,IF(I2="PremiumSS","R5only","R3less"),"")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f>ROUND(100000*0.03/(COUNTIF(F$2:F$97,"=R6release")+COUNTIF(D$2:D$97,"=PremiumSS")),0)</f>
        <v>79</v>
      </c>
      <c r="P2" s="46">
        <f t="shared" ref="P2:P33" si="2">O2/SUM(O:O)</f>
        <v>7.8976307107867644E-4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89" t="s">
        <v>261</v>
      </c>
      <c r="B3" s="6">
        <v>171</v>
      </c>
      <c r="C3" s="7" t="str">
        <f t="shared" si="0"/>
        <v>Premium5R6release</v>
      </c>
      <c r="D3" s="7" t="str">
        <f t="shared" si="1"/>
        <v>Premium</v>
      </c>
      <c r="E3" s="7" t="str">
        <f>IF(COUNTIF('R6追加前'!A:A,B3)=0,IF(I3="PremiumSS","R5only","R3less"),"")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f>ROUND(100000*0.03/(COUNTIF(F$2:F$97,"=R6release")+COUNTIF(D$2:D$97,"=PremiumSS")),0)</f>
        <v>79</v>
      </c>
      <c r="P3" s="46">
        <f t="shared" si="2"/>
        <v>7.8976307107867644E-4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89" t="s">
        <v>261</v>
      </c>
      <c r="B4" s="6">
        <v>174</v>
      </c>
      <c r="C4" s="7" t="str">
        <f t="shared" ref="C4:C8" si="3">D4&amp;J4&amp;E4&amp;F4&amp;G4</f>
        <v>Premium5R6release</v>
      </c>
      <c r="D4" s="7" t="str">
        <f t="shared" ref="D4:D8" si="4">IF(I4="PremiumSS",I4,IF(I4="PremiumSSS",I4,IF(I4="PremiumW",I4,"Premium")))</f>
        <v>Premium</v>
      </c>
      <c r="E4" s="7" t="str">
        <f>IF(COUNTIF('R6追加前'!A:A,B4)=0,IF(I4="PremiumSS","R5only","R3less"),"")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f>ROUND(100000*0.03/(COUNTIF(F$2:F$97,"=R6release")+COUNTIF(D$2:D$97,"=PremiumSS")),0)</f>
        <v>79</v>
      </c>
      <c r="P4" s="46">
        <f t="shared" si="2"/>
        <v>7.8976307107867644E-4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89" t="s">
        <v>261</v>
      </c>
      <c r="B5" s="6">
        <v>177</v>
      </c>
      <c r="C5" s="7" t="str">
        <f t="shared" si="3"/>
        <v>Premium5</v>
      </c>
      <c r="D5" s="7" t="str">
        <f t="shared" si="4"/>
        <v>Premium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>ROUND(100000*(1-0.03-0.004)/COUNTIFS(F$2:F$97,"&lt;&gt;R6release",D$2:D$97,"&lt;&gt;PremiumSS",D$2:D$97,"&lt;&gt;PremiumSSS"),0)</f>
        <v>1666</v>
      </c>
      <c r="P5" s="46">
        <f t="shared" si="2"/>
        <v>1.6655003498950313E-2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89" t="s">
        <v>261</v>
      </c>
      <c r="B6" s="6">
        <v>180</v>
      </c>
      <c r="C6" s="7" t="str">
        <f t="shared" si="3"/>
        <v>Premium5</v>
      </c>
      <c r="D6" s="7" t="str">
        <f t="shared" si="4"/>
        <v>Premium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45">
        <f t="shared" ref="O6:O24" si="5">ROUND(100000*(1-0.03-0.004)/COUNTIFS(F$2:F$97,"&lt;&gt;R6release",D$2:D$97,"&lt;&gt;PremiumSS",D$2:D$97,"&lt;&gt;PremiumSSS"),0)</f>
        <v>1666</v>
      </c>
      <c r="P6" s="46">
        <f t="shared" si="2"/>
        <v>1.6655003498950313E-2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89" t="s">
        <v>261</v>
      </c>
      <c r="B7" s="6">
        <v>183</v>
      </c>
      <c r="C7" s="7" t="str">
        <f t="shared" si="3"/>
        <v>Premium5</v>
      </c>
      <c r="D7" s="7" t="str">
        <f t="shared" si="4"/>
        <v>Premium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45">
        <f t="shared" si="5"/>
        <v>1666</v>
      </c>
      <c r="P7" s="46">
        <f t="shared" si="2"/>
        <v>1.6655003498950313E-2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89" t="s">
        <v>261</v>
      </c>
      <c r="B8" s="8">
        <v>186</v>
      </c>
      <c r="C8" s="7" t="str">
        <f t="shared" si="3"/>
        <v>Premium5</v>
      </c>
      <c r="D8" s="7" t="str">
        <f t="shared" si="4"/>
        <v>Premium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45">
        <f t="shared" si="5"/>
        <v>1666</v>
      </c>
      <c r="P8" s="46">
        <f t="shared" si="2"/>
        <v>1.6655003498950313E-2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89" t="s">
        <v>261</v>
      </c>
      <c r="B9" s="8">
        <v>189</v>
      </c>
      <c r="C9" s="7" t="str">
        <f t="shared" ref="C9:C15" si="6">D9&amp;J9&amp;E9&amp;F9&amp;G9</f>
        <v>Premium5</v>
      </c>
      <c r="D9" s="7" t="str">
        <f t="shared" ref="D9:D15" si="7">IF(I9="PremiumSS",I9,IF(I9="PremiumSSS",I9,IF(I9="PremiumW",I9,"Premium")))</f>
        <v>Premium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f t="shared" si="5"/>
        <v>1666</v>
      </c>
      <c r="P9" s="46">
        <f t="shared" si="2"/>
        <v>1.6655003498950313E-2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s="12" customFormat="1" ht="21" customHeight="1" thickBot="1" x14ac:dyDescent="0.2">
      <c r="A10" s="89" t="s">
        <v>261</v>
      </c>
      <c r="B10" s="6">
        <v>192</v>
      </c>
      <c r="C10" s="7" t="str">
        <f t="shared" si="6"/>
        <v>Premium5</v>
      </c>
      <c r="D10" s="7" t="str">
        <f t="shared" si="7"/>
        <v>Premium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t="shared" si="5"/>
        <v>1666</v>
      </c>
      <c r="P10" s="46">
        <f t="shared" si="2"/>
        <v>1.6655003498950313E-2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89" t="s">
        <v>261</v>
      </c>
      <c r="B11" s="6">
        <v>195</v>
      </c>
      <c r="C11" s="7" t="str">
        <f t="shared" si="6"/>
        <v>Premium5</v>
      </c>
      <c r="D11" s="7" t="str">
        <f t="shared" si="7"/>
        <v>Premium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t="shared" si="5"/>
        <v>1666</v>
      </c>
      <c r="P11" s="46">
        <f t="shared" si="2"/>
        <v>1.6655003498950313E-2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89" t="s">
        <v>261</v>
      </c>
      <c r="B12" s="6">
        <v>198</v>
      </c>
      <c r="C12" s="7" t="str">
        <f t="shared" si="6"/>
        <v>Premium5</v>
      </c>
      <c r="D12" s="7" t="str">
        <f t="shared" si="7"/>
        <v>Premium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t="shared" si="5"/>
        <v>1666</v>
      </c>
      <c r="P12" s="46">
        <f t="shared" si="2"/>
        <v>1.6655003498950313E-2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89" t="s">
        <v>261</v>
      </c>
      <c r="B13" s="5">
        <v>201</v>
      </c>
      <c r="C13" s="7" t="str">
        <f t="shared" si="6"/>
        <v>Premium5</v>
      </c>
      <c r="D13" s="7" t="str">
        <f t="shared" si="7"/>
        <v>Premium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45">
        <f t="shared" si="5"/>
        <v>1666</v>
      </c>
      <c r="P13" s="46">
        <f t="shared" si="2"/>
        <v>1.6655003498950313E-2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89" t="s">
        <v>261</v>
      </c>
      <c r="B14" s="5">
        <v>204</v>
      </c>
      <c r="C14" s="7" t="str">
        <f t="shared" si="6"/>
        <v>Premium5</v>
      </c>
      <c r="D14" s="7" t="str">
        <f t="shared" si="7"/>
        <v>Premium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45">
        <f t="shared" si="5"/>
        <v>1666</v>
      </c>
      <c r="P14" s="46">
        <f t="shared" si="2"/>
        <v>1.6655003498950313E-2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89" t="s">
        <v>261</v>
      </c>
      <c r="B15" s="5">
        <v>207</v>
      </c>
      <c r="C15" s="7" t="str">
        <f t="shared" si="6"/>
        <v>Premium5</v>
      </c>
      <c r="D15" s="7" t="str">
        <f t="shared" si="7"/>
        <v>Premium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45">
        <f t="shared" si="5"/>
        <v>1666</v>
      </c>
      <c r="P15" s="46">
        <f t="shared" si="2"/>
        <v>1.6655003498950313E-2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89" t="s">
        <v>261</v>
      </c>
      <c r="B16" s="5">
        <v>210</v>
      </c>
      <c r="C16" s="7" t="str">
        <f t="shared" ref="C16:C21" si="8">D16&amp;J16&amp;E16&amp;F16&amp;G16</f>
        <v>Premium5</v>
      </c>
      <c r="D16" s="7" t="str">
        <f t="shared" ref="D16:D21" si="9">IF(I16="PremiumSS",I16,IF(I16="PremiumSSS",I16,IF(I16="PremiumW",I16,"Premium")))</f>
        <v>Premium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45">
        <f t="shared" si="5"/>
        <v>1666</v>
      </c>
      <c r="P16" s="46">
        <f t="shared" si="2"/>
        <v>1.6655003498950313E-2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89" t="s">
        <v>261</v>
      </c>
      <c r="B17" s="5">
        <v>213</v>
      </c>
      <c r="C17" s="7" t="str">
        <f t="shared" si="8"/>
        <v>Premium5</v>
      </c>
      <c r="D17" s="7" t="str">
        <f t="shared" si="9"/>
        <v>Premium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45">
        <f t="shared" si="5"/>
        <v>1666</v>
      </c>
      <c r="P17" s="46">
        <f t="shared" si="2"/>
        <v>1.6655003498950313E-2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89" t="s">
        <v>261</v>
      </c>
      <c r="B18" s="5">
        <v>216</v>
      </c>
      <c r="C18" s="7" t="str">
        <f t="shared" si="8"/>
        <v>Premium5</v>
      </c>
      <c r="D18" s="7" t="str">
        <f t="shared" si="9"/>
        <v>Premium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45">
        <f t="shared" si="5"/>
        <v>1666</v>
      </c>
      <c r="P18" s="46">
        <f t="shared" si="2"/>
        <v>1.6655003498950313E-2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89" t="s">
        <v>261</v>
      </c>
      <c r="B19" s="5">
        <v>219</v>
      </c>
      <c r="C19" s="7" t="str">
        <f t="shared" si="8"/>
        <v>Premium5</v>
      </c>
      <c r="D19" s="7" t="str">
        <f t="shared" si="9"/>
        <v>Premium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45">
        <f t="shared" si="5"/>
        <v>1666</v>
      </c>
      <c r="P19" s="46">
        <f t="shared" si="2"/>
        <v>1.6655003498950313E-2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89" t="s">
        <v>261</v>
      </c>
      <c r="B20" s="5">
        <v>222</v>
      </c>
      <c r="C20" s="7" t="str">
        <f t="shared" si="8"/>
        <v>Premium5</v>
      </c>
      <c r="D20" s="7" t="str">
        <f t="shared" si="9"/>
        <v>Premium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45">
        <f t="shared" si="5"/>
        <v>1666</v>
      </c>
      <c r="P20" s="46">
        <f t="shared" si="2"/>
        <v>1.6655003498950313E-2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89" t="s">
        <v>261</v>
      </c>
      <c r="B21" s="5">
        <v>225</v>
      </c>
      <c r="C21" s="7" t="str">
        <f t="shared" si="8"/>
        <v>Premium5</v>
      </c>
      <c r="D21" s="7" t="str">
        <f t="shared" si="9"/>
        <v>Premium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45">
        <f t="shared" si="5"/>
        <v>1666</v>
      </c>
      <c r="P21" s="46">
        <f t="shared" si="2"/>
        <v>1.6655003498950313E-2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89" t="s">
        <v>261</v>
      </c>
      <c r="B22" s="5">
        <v>228</v>
      </c>
      <c r="C22" s="7" t="str">
        <f t="shared" ref="C22:C26" si="10">D22&amp;J22&amp;E22&amp;F22&amp;G22</f>
        <v>Premium5</v>
      </c>
      <c r="D22" s="7" t="str">
        <f t="shared" ref="D22:D26" si="11">IF(I22="PremiumSS",I22,IF(I22="PremiumSSS",I22,IF(I22="PremiumW",I22,"Premium")))</f>
        <v>Premium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45">
        <f t="shared" si="5"/>
        <v>1666</v>
      </c>
      <c r="P22" s="46">
        <f t="shared" si="2"/>
        <v>1.6655003498950313E-2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89" t="s">
        <v>261</v>
      </c>
      <c r="B23" s="5">
        <v>231</v>
      </c>
      <c r="C23" s="7" t="str">
        <f t="shared" si="10"/>
        <v>Premium5</v>
      </c>
      <c r="D23" s="7" t="str">
        <f t="shared" si="11"/>
        <v>Premium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45">
        <f t="shared" si="5"/>
        <v>1666</v>
      </c>
      <c r="P23" s="46">
        <f t="shared" si="2"/>
        <v>1.6655003498950313E-2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89" t="s">
        <v>261</v>
      </c>
      <c r="B24" s="5">
        <v>234</v>
      </c>
      <c r="C24" s="7" t="str">
        <f t="shared" si="10"/>
        <v>Premium5</v>
      </c>
      <c r="D24" s="7" t="str">
        <f t="shared" si="11"/>
        <v>Premium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t="shared" si="5"/>
        <v>1666</v>
      </c>
      <c r="P24" s="46">
        <f t="shared" si="2"/>
        <v>1.6655003498950313E-2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89" t="s">
        <v>261</v>
      </c>
      <c r="B25" s="5">
        <v>237</v>
      </c>
      <c r="C25" s="7" t="str">
        <f t="shared" si="10"/>
        <v>Premium5R6release</v>
      </c>
      <c r="D25" s="7" t="str">
        <f t="shared" si="11"/>
        <v>Premium</v>
      </c>
      <c r="E25" s="7" t="str">
        <f>IF(COUNTIF('R6追加前'!A:A,B25)=0,IF(I25="PremiumSS","R5only","R3less"),"")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45">
        <f>ROUND(100000*0.03/(COUNTIF(F$2:F$97,"=R6release")+COUNTIF(D$2:D$97,"=PremiumSS")),0)</f>
        <v>79</v>
      </c>
      <c r="P25" s="46">
        <f t="shared" si="2"/>
        <v>7.8976307107867644E-4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89" t="s">
        <v>261</v>
      </c>
      <c r="B26" s="5">
        <v>240</v>
      </c>
      <c r="C26" s="7" t="str">
        <f t="shared" si="10"/>
        <v>Premium5</v>
      </c>
      <c r="D26" s="7" t="str">
        <f t="shared" si="11"/>
        <v>Premium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45">
        <f t="shared" ref="O26:O33" si="12">ROUND(100000*(1-0.03-0.004)/COUNTIFS(F$2:F$97,"&lt;&gt;R6release",D$2:D$97,"&lt;&gt;PremiumSS",D$2:D$97,"&lt;&gt;PremiumSSS"),0)</f>
        <v>1666</v>
      </c>
      <c r="P26" s="46">
        <f t="shared" si="2"/>
        <v>1.6655003498950313E-2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89" t="s">
        <v>261</v>
      </c>
      <c r="B27" s="5">
        <v>243</v>
      </c>
      <c r="C27" s="7" t="str">
        <f t="shared" ref="C27:C90" si="13">D27&amp;J27&amp;E27&amp;F27&amp;G27</f>
        <v>Premium5</v>
      </c>
      <c r="D27" s="7" t="str">
        <f t="shared" ref="D27:D90" si="14">IF(I27="PremiumSS",I27,IF(I27="PremiumSSS",I27,IF(I27="PremiumW",I27,"Premium")))</f>
        <v>Premium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45">
        <f t="shared" si="12"/>
        <v>1666</v>
      </c>
      <c r="P27" s="46">
        <f t="shared" si="2"/>
        <v>1.6655003498950313E-2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89" t="s">
        <v>261</v>
      </c>
      <c r="B28" s="5">
        <v>246</v>
      </c>
      <c r="C28" s="7" t="str">
        <f t="shared" si="13"/>
        <v>Premium5</v>
      </c>
      <c r="D28" s="7" t="str">
        <f t="shared" si="14"/>
        <v>Premium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45">
        <f t="shared" si="12"/>
        <v>1666</v>
      </c>
      <c r="P28" s="46">
        <f t="shared" si="2"/>
        <v>1.6655003498950313E-2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89" t="s">
        <v>261</v>
      </c>
      <c r="B29" s="6">
        <v>249</v>
      </c>
      <c r="C29" s="7" t="str">
        <f t="shared" si="13"/>
        <v>Premium5</v>
      </c>
      <c r="D29" s="7" t="str">
        <f t="shared" si="14"/>
        <v>Premium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45">
        <f t="shared" si="12"/>
        <v>1666</v>
      </c>
      <c r="P29" s="46">
        <f t="shared" si="2"/>
        <v>1.6655003498950313E-2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89" t="s">
        <v>261</v>
      </c>
      <c r="B30" s="6">
        <v>252</v>
      </c>
      <c r="C30" s="7" t="str">
        <f t="shared" si="13"/>
        <v>Premium5</v>
      </c>
      <c r="D30" s="7" t="str">
        <f t="shared" si="14"/>
        <v>Premium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45">
        <f t="shared" si="12"/>
        <v>1666</v>
      </c>
      <c r="P30" s="46">
        <f t="shared" si="2"/>
        <v>1.6655003498950313E-2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89" t="s">
        <v>261</v>
      </c>
      <c r="B31" s="6">
        <v>255</v>
      </c>
      <c r="C31" s="7" t="str">
        <f t="shared" si="13"/>
        <v>Premium5</v>
      </c>
      <c r="D31" s="7" t="str">
        <f t="shared" si="14"/>
        <v>Premium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45">
        <f t="shared" si="12"/>
        <v>1666</v>
      </c>
      <c r="P31" s="46">
        <f t="shared" si="2"/>
        <v>1.6655003498950313E-2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89" t="s">
        <v>261</v>
      </c>
      <c r="B32" s="6">
        <v>258</v>
      </c>
      <c r="C32" s="7" t="str">
        <f t="shared" si="13"/>
        <v>Premium5</v>
      </c>
      <c r="D32" s="7" t="str">
        <f t="shared" si="14"/>
        <v>Premium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45">
        <f t="shared" si="12"/>
        <v>1666</v>
      </c>
      <c r="P32" s="46">
        <f t="shared" si="2"/>
        <v>1.6655003498950313E-2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89" t="s">
        <v>261</v>
      </c>
      <c r="B33" s="8">
        <v>261</v>
      </c>
      <c r="C33" s="7" t="str">
        <f t="shared" si="13"/>
        <v>Premium5</v>
      </c>
      <c r="D33" s="7" t="str">
        <f t="shared" si="14"/>
        <v>Premium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45">
        <f t="shared" si="12"/>
        <v>1666</v>
      </c>
      <c r="P33" s="46">
        <f t="shared" si="2"/>
        <v>1.6655003498950313E-2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89" t="s">
        <v>261</v>
      </c>
      <c r="B34" s="6">
        <v>321</v>
      </c>
      <c r="C34" s="7" t="str">
        <f t="shared" si="13"/>
        <v>PremiumSS5</v>
      </c>
      <c r="D34" s="7" t="str">
        <f t="shared" si="14"/>
        <v>PremiumSS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f>ROUND(100000*0.03/(COUNTIF(F$2:F$97,"=R6release")+COUNTIF(D$2:D$97,"=PremiumSS")),0)</f>
        <v>79</v>
      </c>
      <c r="P34" s="46">
        <f t="shared" ref="P34:P65" si="15">O34/SUM(O:O)</f>
        <v>7.8976307107867644E-4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89" t="s">
        <v>261</v>
      </c>
      <c r="B35" s="6">
        <v>323</v>
      </c>
      <c r="C35" s="7" t="str">
        <f t="shared" si="13"/>
        <v>PremiumSS5</v>
      </c>
      <c r="D35" s="7" t="str">
        <f t="shared" si="14"/>
        <v>PremiumSS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>ROUND(100000*0.03/(COUNTIF(F$2:F$97,"=R6release")+COUNTIF(D$2:D$97,"=PremiumSS")),0)</f>
        <v>79</v>
      </c>
      <c r="P35" s="46">
        <f t="shared" si="15"/>
        <v>7.8976307107867644E-4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89" t="s">
        <v>261</v>
      </c>
      <c r="B36" s="6">
        <v>325</v>
      </c>
      <c r="C36" s="7" t="str">
        <f t="shared" si="13"/>
        <v>PremiumSS5</v>
      </c>
      <c r="D36" s="7" t="str">
        <f t="shared" si="14"/>
        <v>PremiumSS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>ROUND(100000*0.03/(COUNTIF(F$2:F$97,"=R6release")+COUNTIF(D$2:D$97,"=PremiumSS")),0)</f>
        <v>79</v>
      </c>
      <c r="P36" s="46">
        <f t="shared" si="15"/>
        <v>7.8976307107867644E-4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89" t="s">
        <v>261</v>
      </c>
      <c r="B37" s="6">
        <v>327</v>
      </c>
      <c r="C37" s="7" t="str">
        <f t="shared" si="13"/>
        <v>PremiumSS5</v>
      </c>
      <c r="D37" s="7" t="str">
        <f t="shared" si="14"/>
        <v>PremiumSS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>ROUND(100000*0.03/(COUNTIF(F$2:F$97,"=R6release")+COUNTIF(D$2:D$97,"=PremiumSS")),0)</f>
        <v>79</v>
      </c>
      <c r="P37" s="46">
        <f t="shared" si="15"/>
        <v>7.8976307107867644E-4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89" t="s">
        <v>261</v>
      </c>
      <c r="B38" s="6">
        <v>382</v>
      </c>
      <c r="C38" s="7" t="str">
        <f t="shared" si="13"/>
        <v>Premium5</v>
      </c>
      <c r="D38" s="7" t="str">
        <f t="shared" si="14"/>
        <v>Premium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45">
        <f>ROUND(100000*(1-0.03-0.004)/COUNTIFS(F$2:F$97,"&lt;&gt;R6release",D$2:D$97,"&lt;&gt;PremiumSS",D$2:D$97,"&lt;&gt;PremiumSSS"),0)</f>
        <v>1666</v>
      </c>
      <c r="P38" s="46">
        <f t="shared" si="15"/>
        <v>1.6655003498950313E-2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89" t="s">
        <v>261</v>
      </c>
      <c r="B39" s="6">
        <v>384</v>
      </c>
      <c r="C39" s="7" t="str">
        <f t="shared" si="13"/>
        <v>PremiumSS5</v>
      </c>
      <c r="D39" s="7" t="str">
        <f t="shared" si="14"/>
        <v>PremiumSS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45">
        <f>ROUND(100000*0.03/(COUNTIF(F$2:F$97,"=R6release")+COUNTIF(D$2:D$97,"=PremiumSS")),0)</f>
        <v>79</v>
      </c>
      <c r="P39" s="46">
        <f t="shared" si="15"/>
        <v>7.8976307107867644E-4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89" t="s">
        <v>261</v>
      </c>
      <c r="B40" s="6">
        <v>386</v>
      </c>
      <c r="C40" s="7" t="str">
        <f t="shared" si="13"/>
        <v>PremiumSS5</v>
      </c>
      <c r="D40" s="7" t="str">
        <f t="shared" si="14"/>
        <v>PremiumSS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45">
        <f>ROUND(100000*0.03/(COUNTIF(F$2:F$97,"=R6release")+COUNTIF(D$2:D$97,"=PremiumSS")),0)</f>
        <v>79</v>
      </c>
      <c r="P40" s="46">
        <f t="shared" si="15"/>
        <v>7.8976307107867644E-4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89" t="s">
        <v>261</v>
      </c>
      <c r="B41" s="6">
        <v>389</v>
      </c>
      <c r="C41" s="7" t="str">
        <f t="shared" si="13"/>
        <v>Premium5</v>
      </c>
      <c r="D41" s="7" t="str">
        <f t="shared" si="14"/>
        <v>Premium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45">
        <f>ROUND(100000*(1-0.03-0.004)/COUNTIFS(F$2:F$97,"&lt;&gt;R6release",D$2:D$97,"&lt;&gt;PremiumSS",D$2:D$97,"&lt;&gt;PremiumSSS"),0)</f>
        <v>1666</v>
      </c>
      <c r="P41" s="46">
        <f t="shared" si="15"/>
        <v>1.6655003498950313E-2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89" t="s">
        <v>261</v>
      </c>
      <c r="B42" s="6">
        <v>391</v>
      </c>
      <c r="C42" s="7" t="str">
        <f t="shared" si="13"/>
        <v>PremiumSS5</v>
      </c>
      <c r="D42" s="7" t="str">
        <f t="shared" si="14"/>
        <v>PremiumSS</v>
      </c>
      <c r="E42" s="7" t="str">
        <f>IF(COUNTIF('R6追加前'!A:A,B42)=0,IF(I42="PremiumSS","R5only","R3less"),"")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45">
        <f>ROUND(100000*0.03/(COUNTIF(F$2:F$97,"=R6release")+COUNTIF(D$2:D$97,"=PremiumSS")),0)</f>
        <v>79</v>
      </c>
      <c r="P42" s="46">
        <f t="shared" si="15"/>
        <v>7.8976307107867644E-4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89" t="s">
        <v>261</v>
      </c>
      <c r="B43" s="6">
        <v>394</v>
      </c>
      <c r="C43" s="7" t="str">
        <f t="shared" si="13"/>
        <v>Premium5</v>
      </c>
      <c r="D43" s="7" t="str">
        <f t="shared" si="14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f t="shared" ref="O43:O44" si="16">ROUND(100000*(1-0.03-0.004)/COUNTIFS(F$2:F$97,"&lt;&gt;R6release",D$2:D$97,"&lt;&gt;PremiumSS",D$2:D$97,"&lt;&gt;PremiumSSS"),0)</f>
        <v>1666</v>
      </c>
      <c r="P43" s="46">
        <f t="shared" si="15"/>
        <v>1.6655003498950313E-2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89" t="s">
        <v>261</v>
      </c>
      <c r="B44" s="6">
        <v>397</v>
      </c>
      <c r="C44" s="7" t="str">
        <f t="shared" si="13"/>
        <v>Premium5</v>
      </c>
      <c r="D44" s="7" t="str">
        <f t="shared" si="14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45">
        <f t="shared" si="16"/>
        <v>1666</v>
      </c>
      <c r="P44" s="46">
        <f t="shared" si="15"/>
        <v>1.6655003498950313E-2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89" t="s">
        <v>261</v>
      </c>
      <c r="B45" s="6">
        <v>399</v>
      </c>
      <c r="C45" s="7" t="str">
        <f t="shared" si="13"/>
        <v>PremiumSS5</v>
      </c>
      <c r="D45" s="7" t="str">
        <f t="shared" si="14"/>
        <v>PremiumSS</v>
      </c>
      <c r="E45" s="7" t="str">
        <f>IF(COUNTIF('R6追加前'!A:A,B45)=0,IF(I45="PremiumSS","R5only","R3less"),"")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45">
        <f>ROUND(100000*0.03/(COUNTIF(F$2:F$97,"=R6release")+COUNTIF(D$2:D$97,"=PremiumSS")),0)</f>
        <v>79</v>
      </c>
      <c r="P45" s="46">
        <f t="shared" si="15"/>
        <v>7.8976307107867644E-4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89" t="s">
        <v>261</v>
      </c>
      <c r="B46" s="6">
        <v>402</v>
      </c>
      <c r="C46" s="7" t="str">
        <f t="shared" si="13"/>
        <v>Premium5</v>
      </c>
      <c r="D46" s="7" t="str">
        <f t="shared" si="14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45">
        <f>ROUND(100000*(1-0.03-0.004)/COUNTIFS(F$2:F$97,"&lt;&gt;R6release",D$2:D$97,"&lt;&gt;PremiumSS",D$2:D$97,"&lt;&gt;PremiumSSS"),0)</f>
        <v>1666</v>
      </c>
      <c r="P46" s="46">
        <f t="shared" si="15"/>
        <v>1.6655003498950313E-2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89" t="s">
        <v>261</v>
      </c>
      <c r="B47" s="6">
        <v>404</v>
      </c>
      <c r="C47" s="7" t="str">
        <f t="shared" si="13"/>
        <v>PremiumSS5</v>
      </c>
      <c r="D47" s="7" t="str">
        <f t="shared" si="14"/>
        <v>PremiumSS</v>
      </c>
      <c r="E47" s="7" t="str">
        <f>IF(COUNTIF('R6追加前'!A:A,B47)=0,IF(I47="PremiumSS","R5only","R3less"),"")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45">
        <f>ROUND(100000*0.03/(COUNTIF(F$2:F$97,"=R6release")+COUNTIF(D$2:D$97,"=PremiumSS")),0)</f>
        <v>79</v>
      </c>
      <c r="P47" s="46">
        <f t="shared" si="15"/>
        <v>7.8976307107867644E-4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89" t="s">
        <v>261</v>
      </c>
      <c r="B48" s="6">
        <v>407</v>
      </c>
      <c r="C48" s="7" t="str">
        <f t="shared" si="13"/>
        <v>Premium5</v>
      </c>
      <c r="D48" s="7" t="str">
        <f t="shared" si="14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45">
        <f>ROUND(100000*(1-0.03-0.004)/COUNTIFS(F$2:F$97,"&lt;&gt;R6release",D$2:D$97,"&lt;&gt;PremiumSS",D$2:D$97,"&lt;&gt;PremiumSSS"),0)</f>
        <v>1666</v>
      </c>
      <c r="P48" s="46">
        <f t="shared" si="15"/>
        <v>1.6655003498950313E-2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89" t="s">
        <v>261</v>
      </c>
      <c r="B49" s="6">
        <v>409</v>
      </c>
      <c r="C49" s="7" t="str">
        <f t="shared" si="13"/>
        <v>PremiumSS5</v>
      </c>
      <c r="D49" s="7" t="str">
        <f t="shared" si="14"/>
        <v>PremiumSS</v>
      </c>
      <c r="E49" s="7" t="str">
        <f>IF(COUNTIF('R6追加前'!A:A,B49)=0,IF(I49="PremiumSS","R5only","R3less"),"")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f>ROUND(100000*0.03/(COUNTIF(F$2:F$97,"=R6release")+COUNTIF(D$2:D$97,"=PremiumSS")),0)</f>
        <v>79</v>
      </c>
      <c r="P49" s="46">
        <f t="shared" si="15"/>
        <v>7.8976307107867644E-4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89" t="s">
        <v>261</v>
      </c>
      <c r="B50" s="6">
        <v>435</v>
      </c>
      <c r="C50" s="7" t="str">
        <f t="shared" si="13"/>
        <v>PremiumSS5</v>
      </c>
      <c r="D50" s="7" t="str">
        <f t="shared" si="14"/>
        <v>PremiumSS</v>
      </c>
      <c r="E50" s="7" t="str">
        <f>IF(COUNTIF('R6追加前'!A:A,B50)=0,IF(I50="PremiumSS","R5only","R3less"),"")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45">
        <f>ROUND(100000*0.03/(COUNTIF(F$2:F$97,"=R6release")+COUNTIF(D$2:D$97,"=PremiumSS")),0)</f>
        <v>79</v>
      </c>
      <c r="P50" s="46">
        <f t="shared" si="15"/>
        <v>7.8976307107867644E-4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89" t="s">
        <v>261</v>
      </c>
      <c r="B51" s="6">
        <v>438</v>
      </c>
      <c r="C51" s="7" t="str">
        <f t="shared" si="13"/>
        <v>Premium5</v>
      </c>
      <c r="D51" s="7" t="str">
        <f t="shared" si="14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f t="shared" ref="O51:O52" si="17">ROUND(100000*(1-0.03-0.004)/COUNTIFS(F$2:F$97,"&lt;&gt;R6release",D$2:D$97,"&lt;&gt;PremiumSS",D$2:D$97,"&lt;&gt;PremiumSSS"),0)</f>
        <v>1666</v>
      </c>
      <c r="P51" s="46">
        <f t="shared" si="15"/>
        <v>1.6655003498950313E-2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89" t="s">
        <v>261</v>
      </c>
      <c r="B52" s="6">
        <v>441</v>
      </c>
      <c r="C52" s="7" t="str">
        <f t="shared" si="13"/>
        <v>Premium5</v>
      </c>
      <c r="D52" s="7" t="str">
        <f t="shared" si="14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45">
        <f t="shared" si="17"/>
        <v>1666</v>
      </c>
      <c r="P52" s="46">
        <f t="shared" si="15"/>
        <v>1.6655003498950313E-2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89" t="s">
        <v>261</v>
      </c>
      <c r="B53" s="6">
        <v>443</v>
      </c>
      <c r="C53" s="7" t="str">
        <f t="shared" si="13"/>
        <v>PremiumSS5</v>
      </c>
      <c r="D53" s="7" t="str">
        <f t="shared" si="14"/>
        <v>PremiumSS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45">
        <f>ROUND(100000*0.03/(COUNTIF(F$2:F$97,"=R6release")+COUNTIF(D$2:D$97,"=PremiumSS")),0)</f>
        <v>79</v>
      </c>
      <c r="P53" s="46">
        <f t="shared" si="15"/>
        <v>7.8976307107867644E-4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89" t="s">
        <v>261</v>
      </c>
      <c r="B54" s="8">
        <v>464</v>
      </c>
      <c r="C54" s="7" t="str">
        <f t="shared" si="13"/>
        <v>Premium5</v>
      </c>
      <c r="D54" s="7" t="str">
        <f t="shared" si="14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45">
        <f>ROUND(100000*(1-0.03-0.004)/COUNTIFS(F$2:F$97,"&lt;&gt;R6release",D$2:D$97,"&lt;&gt;PremiumSS",D$2:D$97,"&lt;&gt;PremiumSSS"),0)</f>
        <v>1666</v>
      </c>
      <c r="P54" s="46">
        <f t="shared" si="15"/>
        <v>1.6655003498950313E-2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89" t="s">
        <v>261</v>
      </c>
      <c r="B55" s="6">
        <v>466</v>
      </c>
      <c r="C55" s="7" t="str">
        <f t="shared" si="13"/>
        <v>PremiumSS5</v>
      </c>
      <c r="D55" s="7" t="str">
        <f t="shared" si="14"/>
        <v>PremiumSS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45">
        <f>ROUND(100000*0.03/(COUNTIF(F$2:F$97,"=R6release")+COUNTIF(D$2:D$97,"=PremiumSS")),0)</f>
        <v>79</v>
      </c>
      <c r="P55" s="46">
        <f t="shared" si="15"/>
        <v>7.8976307107867644E-4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89" t="s">
        <v>261</v>
      </c>
      <c r="B56" s="6">
        <v>468</v>
      </c>
      <c r="C56" s="7" t="str">
        <f t="shared" si="13"/>
        <v>PremiumSS5</v>
      </c>
      <c r="D56" s="7" t="str">
        <f t="shared" si="14"/>
        <v>PremiumSS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45">
        <f>ROUND(100000*0.03/(COUNTIF(F$2:F$97,"=R6release")+COUNTIF(D$2:D$97,"=PremiumSS")),0)</f>
        <v>79</v>
      </c>
      <c r="P56" s="46">
        <f t="shared" si="15"/>
        <v>7.8976307107867644E-4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89" t="s">
        <v>261</v>
      </c>
      <c r="B57" s="6">
        <v>471</v>
      </c>
      <c r="C57" s="7" t="str">
        <f t="shared" si="13"/>
        <v>Premium5</v>
      </c>
      <c r="D57" s="7" t="str">
        <f t="shared" si="14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f>ROUND(100000*(1-0.03-0.004)/COUNTIFS(F$2:F$97,"&lt;&gt;R6release",D$2:D$97,"&lt;&gt;PremiumSS",D$2:D$97,"&lt;&gt;PremiumSSS"),0)</f>
        <v>1666</v>
      </c>
      <c r="P57" s="46">
        <f t="shared" si="15"/>
        <v>1.6655003498950313E-2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89" t="s">
        <v>261</v>
      </c>
      <c r="B58" s="6">
        <v>475</v>
      </c>
      <c r="C58" s="7" t="str">
        <f t="shared" si="13"/>
        <v>PremiumSS5</v>
      </c>
      <c r="D58" s="7" t="str">
        <f t="shared" si="14"/>
        <v>PremiumSS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45">
        <f>ROUND(100000*0.03/(COUNTIF(F$2:F$97,"=R6release")+COUNTIF(D$2:D$97,"=PremiumSS")),0)</f>
        <v>79</v>
      </c>
      <c r="P58" s="46">
        <f t="shared" si="15"/>
        <v>7.8976307107867644E-4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89" t="s">
        <v>261</v>
      </c>
      <c r="B59" s="6">
        <v>478</v>
      </c>
      <c r="C59" s="7" t="str">
        <f t="shared" si="13"/>
        <v>Premium5</v>
      </c>
      <c r="D59" s="7" t="str">
        <f t="shared" si="14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45">
        <f>ROUND(100000*(1-0.03-0.004)/COUNTIFS(F$2:F$97,"&lt;&gt;R6release",D$2:D$97,"&lt;&gt;PremiumSS",D$2:D$97,"&lt;&gt;PremiumSSS"),0)</f>
        <v>1666</v>
      </c>
      <c r="P59" s="46">
        <f t="shared" si="15"/>
        <v>1.6655003498950313E-2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89" t="s">
        <v>261</v>
      </c>
      <c r="B60" s="6">
        <v>480</v>
      </c>
      <c r="C60" s="7" t="str">
        <f t="shared" si="13"/>
        <v>PremiumSS5</v>
      </c>
      <c r="D60" s="7" t="str">
        <f t="shared" si="14"/>
        <v>PremiumSS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45">
        <f>ROUND(100000*0.03/(COUNTIF(F$2:F$97,"=R6release")+COUNTIF(D$2:D$97,"=PremiumSS")),0)</f>
        <v>79</v>
      </c>
      <c r="P60" s="46">
        <f t="shared" si="15"/>
        <v>7.8976307107867644E-4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89" t="s">
        <v>261</v>
      </c>
      <c r="B61" s="6">
        <v>483</v>
      </c>
      <c r="C61" s="7" t="str">
        <f t="shared" si="13"/>
        <v>Premium5</v>
      </c>
      <c r="D61" s="7" t="str">
        <f t="shared" si="14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f>ROUND(100000*(1-0.03-0.004)/COUNTIFS(F$2:F$97,"&lt;&gt;R6release",D$2:D$97,"&lt;&gt;PremiumSS",D$2:D$97,"&lt;&gt;PremiumSSS"),0)</f>
        <v>1666</v>
      </c>
      <c r="P61" s="46">
        <f t="shared" si="15"/>
        <v>1.6655003498950313E-2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89" t="s">
        <v>261</v>
      </c>
      <c r="B62" s="6">
        <v>493</v>
      </c>
      <c r="C62" s="7" t="str">
        <f t="shared" si="13"/>
        <v>PremiumSS5</v>
      </c>
      <c r="D62" s="7" t="str">
        <f t="shared" si="14"/>
        <v>PremiumSS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45">
        <f>ROUND(100000*0.03/(COUNTIF(F$2:F$97,"=R6release")+COUNTIF(D$2:D$97,"=PremiumSS")),0)</f>
        <v>79</v>
      </c>
      <c r="P62" s="46">
        <f t="shared" si="15"/>
        <v>7.8976307107867644E-4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89" t="s">
        <v>261</v>
      </c>
      <c r="B63" s="6">
        <v>495</v>
      </c>
      <c r="C63" s="7" t="str">
        <f t="shared" si="13"/>
        <v>PremiumSS5</v>
      </c>
      <c r="D63" s="7" t="str">
        <f t="shared" si="14"/>
        <v>PremiumSS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45">
        <f>ROUND(100000*0.03/(COUNTIF(F$2:F$97,"=R6release")+COUNTIF(D$2:D$97,"=PremiumSS")),0)</f>
        <v>79</v>
      </c>
      <c r="P63" s="46">
        <f t="shared" si="15"/>
        <v>7.8976307107867644E-4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89" t="s">
        <v>261</v>
      </c>
      <c r="B64" s="6">
        <v>498</v>
      </c>
      <c r="C64" s="7" t="str">
        <f t="shared" si="13"/>
        <v>Premium5</v>
      </c>
      <c r="D64" s="7" t="str">
        <f t="shared" si="14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45">
        <f>ROUND(100000*(1-0.03-0.004)/COUNTIFS(F$2:F$97,"&lt;&gt;R6release",D$2:D$97,"&lt;&gt;PremiumSS",D$2:D$97,"&lt;&gt;PremiumSSS"),0)</f>
        <v>1666</v>
      </c>
      <c r="P64" s="46">
        <f t="shared" si="15"/>
        <v>1.6655003498950313E-2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89" t="s">
        <v>261</v>
      </c>
      <c r="B65" s="6">
        <v>500</v>
      </c>
      <c r="C65" s="7" t="str">
        <f t="shared" si="13"/>
        <v>PremiumSS5</v>
      </c>
      <c r="D65" s="7" t="str">
        <f t="shared" si="14"/>
        <v>PremiumSS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>ROUND(100000*0.03/(COUNTIF(F$2:F$97,"=R6release")+COUNTIF(D$2:D$97,"=PremiumSS")),0)</f>
        <v>79</v>
      </c>
      <c r="P65" s="46">
        <f t="shared" si="15"/>
        <v>7.8976307107867644E-4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89" t="s">
        <v>261</v>
      </c>
      <c r="B66" s="6">
        <v>587</v>
      </c>
      <c r="C66" s="7" t="str">
        <f t="shared" si="13"/>
        <v>PremiumSS5</v>
      </c>
      <c r="D66" s="7" t="str">
        <f t="shared" si="14"/>
        <v>PremiumSS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原初の煉鋼巨刃 ユミル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hp</v>
      </c>
      <c r="M66" s="7" t="str">
        <f>VLOOKUP(B66,[1]characters!$A:$M,13,FALSE)</f>
        <v>machine</v>
      </c>
      <c r="N66" s="7" t="str">
        <f>VLOOKUP(B66,[1]characters!$A:$G,7,FALSE)</f>
        <v>不明</v>
      </c>
      <c r="O66" s="45">
        <f>ROUND(100000*0.03/(COUNTIF(F$2:F$97,"=R6release")+COUNTIF(D$2:D$97,"=PremiumSS")),0)</f>
        <v>79</v>
      </c>
      <c r="P66" s="46">
        <f t="shared" ref="P66:P97" si="18">O66/SUM(O:O)</f>
        <v>7.8976307107867644E-4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89" t="s">
        <v>261</v>
      </c>
      <c r="B67" s="6">
        <v>590</v>
      </c>
      <c r="C67" s="7" t="str">
        <f t="shared" si="13"/>
        <v>Premium5</v>
      </c>
      <c r="D67" s="7" t="str">
        <f t="shared" si="1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永遠を廻る呪い ニーベルゲン</v>
      </c>
      <c r="I67" s="7" t="str">
        <f>VLOOKUP(B67,[1]characters!$A:$J,10,FALSE)</f>
        <v>PremiumS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balance</v>
      </c>
      <c r="M67" s="7" t="str">
        <f>VLOOKUP(B67,[1]characters!$A:$M,13,FALSE)</f>
        <v>unknown</v>
      </c>
      <c r="N67" s="7" t="str">
        <f>VLOOKUP(B67,[1]characters!$A:$G,7,FALSE)</f>
        <v>女性</v>
      </c>
      <c r="O67" s="45">
        <f t="shared" ref="O67:O68" si="19">ROUND(100000*(1-0.03-0.004)/COUNTIFS(F$2:F$97,"&lt;&gt;R6release",D$2:D$97,"&lt;&gt;PremiumSS",D$2:D$97,"&lt;&gt;PremiumSSS"),0)</f>
        <v>1666</v>
      </c>
      <c r="P67" s="46">
        <f t="shared" si="18"/>
        <v>1.6655003498950313E-2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89" t="s">
        <v>261</v>
      </c>
      <c r="B68" s="6">
        <v>593</v>
      </c>
      <c r="C68" s="7" t="str">
        <f t="shared" si="13"/>
        <v>Premium5</v>
      </c>
      <c r="D68" s="7" t="str">
        <f t="shared" si="1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妄執する邪毒龍 ファフニール</v>
      </c>
      <c r="I68" s="7" t="str">
        <f>VLOOKUP(B68,[1]characters!$A:$J,10,FALSE)</f>
        <v>PremiumS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technical</v>
      </c>
      <c r="M68" s="7" t="str">
        <f>VLOOKUP(B68,[1]characters!$A:$M,13,FALSE)</f>
        <v>dragon</v>
      </c>
      <c r="N68" s="7" t="str">
        <f>VLOOKUP(B68,[1]characters!$A:$G,7,FALSE)</f>
        <v>不明</v>
      </c>
      <c r="O68" s="45">
        <f t="shared" si="19"/>
        <v>1666</v>
      </c>
      <c r="P68" s="46">
        <f t="shared" si="18"/>
        <v>1.6655003498950313E-2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89" t="s">
        <v>261</v>
      </c>
      <c r="B69" s="6">
        <v>595</v>
      </c>
      <c r="C69" s="7" t="str">
        <f t="shared" si="13"/>
        <v>PremiumSS5</v>
      </c>
      <c r="D69" s="7" t="str">
        <f t="shared" si="14"/>
        <v>PremiumSS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光華なる神域 アルフヘイム</v>
      </c>
      <c r="I69" s="7" t="str">
        <f>VLOOKUP(B69,[1]characters!$A:$J,10,FALSE)</f>
        <v>PremiumSS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dragon</v>
      </c>
      <c r="N69" s="7" t="str">
        <f>VLOOKUP(B69,[1]characters!$A:$G,7,FALSE)</f>
        <v>不明</v>
      </c>
      <c r="O69" s="45">
        <f>ROUND(100000*0.03/(COUNTIF(F$2:F$97,"=R6release")+COUNTIF(D$2:D$97,"=PremiumSS")),0)</f>
        <v>79</v>
      </c>
      <c r="P69" s="46">
        <f t="shared" si="18"/>
        <v>7.8976307107867644E-4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89" t="s">
        <v>261</v>
      </c>
      <c r="B70" s="6">
        <v>598</v>
      </c>
      <c r="C70" s="7" t="str">
        <f t="shared" si="13"/>
        <v>Premium5</v>
      </c>
      <c r="D70" s="7" t="str">
        <f t="shared" si="1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焼燃の情熱 ムスペルヘイム</v>
      </c>
      <c r="I70" s="7" t="str">
        <f>VLOOKUP(B70,[1]characters!$A:$J,10,FALSE)</f>
        <v>PremiumS</v>
      </c>
      <c r="J70" s="7">
        <f>VLOOKUP(B70,[1]characters!$A:$I,9,FALSE)</f>
        <v>5</v>
      </c>
      <c r="K70" s="7" t="str">
        <f>VLOOKUP(B70,[1]characters!$A:$H,8,FALSE)</f>
        <v>red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男性</v>
      </c>
      <c r="O70" s="45">
        <f t="shared" ref="O70:O71" si="20">ROUND(100000*(1-0.03-0.004)/COUNTIFS(F$2:F$97,"&lt;&gt;R6release",D$2:D$97,"&lt;&gt;PremiumSS",D$2:D$97,"&lt;&gt;PremiumSSS"),0)</f>
        <v>1666</v>
      </c>
      <c r="P70" s="46">
        <f t="shared" si="18"/>
        <v>1.6655003498950313E-2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89" t="s">
        <v>261</v>
      </c>
      <c r="B71" s="6">
        <v>601</v>
      </c>
      <c r="C71" s="7" t="str">
        <f t="shared" si="13"/>
        <v>Premium5</v>
      </c>
      <c r="D71" s="7" t="str">
        <f t="shared" si="1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界根蝕む悪食 ニーズヘッグ</v>
      </c>
      <c r="I71" s="7" t="str">
        <f>VLOOKUP(B71,[1]characters!$A:$J,10,FALSE)</f>
        <v>PremiumS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attack</v>
      </c>
      <c r="M71" s="7" t="str">
        <f>VLOOKUP(B71,[1]characters!$A:$M,13,FALSE)</f>
        <v>dragon</v>
      </c>
      <c r="N71" s="7" t="str">
        <f>VLOOKUP(B71,[1]characters!$A:$G,7,FALSE)</f>
        <v>不明</v>
      </c>
      <c r="O71" s="45">
        <f t="shared" si="20"/>
        <v>1666</v>
      </c>
      <c r="P71" s="46">
        <f t="shared" si="18"/>
        <v>1.6655003498950313E-2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89" t="s">
        <v>261</v>
      </c>
      <c r="B72" s="6">
        <v>603</v>
      </c>
      <c r="C72" s="7" t="str">
        <f t="shared" si="13"/>
        <v>PremiumSS5</v>
      </c>
      <c r="D72" s="7" t="str">
        <f t="shared" si="14"/>
        <v>PremiumSS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掌愛の豊穣女神 フレイヤ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blue</v>
      </c>
      <c r="L72" s="7" t="str">
        <f>VLOOKUP(B72,[1]characters!$A:$K,11,FALSE)</f>
        <v>heal</v>
      </c>
      <c r="M72" s="7" t="str">
        <f>VLOOKUP(B72,[1]characters!$A:$M,13,FALSE)</f>
        <v>animal</v>
      </c>
      <c r="N72" s="7" t="str">
        <f>VLOOKUP(B72,[1]characters!$A:$G,7,FALSE)</f>
        <v>女性</v>
      </c>
      <c r="O72" s="45">
        <f>ROUND(100000*0.03/(COUNTIF(F$2:F$97,"=R6release")+COUNTIF(D$2:D$97,"=PremiumSS")),0)</f>
        <v>79</v>
      </c>
      <c r="P72" s="46">
        <f t="shared" si="18"/>
        <v>7.8976307107867644E-4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89" t="s">
        <v>261</v>
      </c>
      <c r="B73" s="6">
        <v>606</v>
      </c>
      <c r="C73" s="7" t="str">
        <f t="shared" si="13"/>
        <v>Premium5</v>
      </c>
      <c r="D73" s="7" t="str">
        <f t="shared" si="1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冀望の光芒 バルドル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yellow</v>
      </c>
      <c r="L73" s="7" t="str">
        <f>VLOOKUP(B73,[1]characters!$A:$K,11,FALSE)</f>
        <v>heal</v>
      </c>
      <c r="M73" s="7" t="str">
        <f>VLOOKUP(B73,[1]characters!$A:$M,13,FALSE)</f>
        <v>god</v>
      </c>
      <c r="N73" s="7" t="str">
        <f>VLOOKUP(B73,[1]characters!$A:$G,7,FALSE)</f>
        <v>男性</v>
      </c>
      <c r="O73" s="45">
        <f>ROUND(100000*(1-0.03-0.004)/COUNTIFS(F$2:F$97,"&lt;&gt;R6release",D$2:D$97,"&lt;&gt;PremiumSS",D$2:D$97,"&lt;&gt;PremiumSSS"),0)</f>
        <v>1666</v>
      </c>
      <c r="P73" s="46">
        <f t="shared" si="18"/>
        <v>1.6655003498950313E-2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89" t="s">
        <v>261</v>
      </c>
      <c r="B74" s="6">
        <v>659</v>
      </c>
      <c r="C74" s="7" t="str">
        <f t="shared" si="13"/>
        <v>PremiumSS5</v>
      </c>
      <c r="D74" s="7" t="str">
        <f t="shared" si="14"/>
        <v>PremiumSS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跳梁する化猫 クルミ</v>
      </c>
      <c r="I74" s="7" t="str">
        <f>VLOOKUP(B74,[1]characters!$A:$J,10,FALSE)</f>
        <v>PremiumSS</v>
      </c>
      <c r="J74" s="7">
        <f>VLOOKUP(B74,[1]characters!$A:$I,9,FALSE)</f>
        <v>5</v>
      </c>
      <c r="K74" s="7" t="str">
        <f>VLOOKUP(B74,[1]characters!$A:$H,8,FALSE)</f>
        <v>red</v>
      </c>
      <c r="L74" s="7" t="str">
        <f>VLOOKUP(B74,[1]characters!$A:$K,11,FALSE)</f>
        <v>attack</v>
      </c>
      <c r="M74" s="7" t="str">
        <f>VLOOKUP(B74,[1]characters!$A:$M,13,FALSE)</f>
        <v>animal</v>
      </c>
      <c r="N74" s="7" t="str">
        <f>VLOOKUP(B74,[1]characters!$A:$G,7,FALSE)</f>
        <v>女性</v>
      </c>
      <c r="O74" s="45">
        <f>ROUND(100000*0.03/(COUNTIF(F$2:F$97,"=R6release")+COUNTIF(D$2:D$97,"=PremiumSS")),0)</f>
        <v>79</v>
      </c>
      <c r="P74" s="46">
        <f t="shared" si="18"/>
        <v>7.8976307107867644E-4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89" t="s">
        <v>261</v>
      </c>
      <c r="B75" s="6">
        <v>661</v>
      </c>
      <c r="C75" s="7" t="str">
        <f t="shared" si="13"/>
        <v>PremiumSS5</v>
      </c>
      <c r="D75" s="7" t="str">
        <f t="shared" si="14"/>
        <v>PremiumSS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疾風の天狗礫 フウガ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green</v>
      </c>
      <c r="L75" s="7" t="str">
        <f>VLOOKUP(B75,[1]characters!$A:$K,11,FALSE)</f>
        <v>balance</v>
      </c>
      <c r="M75" s="7" t="str">
        <f>VLOOKUP(B75,[1]characters!$A:$M,13,FALSE)</f>
        <v>animal</v>
      </c>
      <c r="N75" s="7" t="str">
        <f>VLOOKUP(B75,[1]characters!$A:$G,7,FALSE)</f>
        <v>男性</v>
      </c>
      <c r="O75" s="45">
        <f>ROUND(100000*0.03/(COUNTIF(F$2:F$97,"=R6release")+COUNTIF(D$2:D$97,"=PremiumSS")),0)</f>
        <v>79</v>
      </c>
      <c r="P75" s="46">
        <f t="shared" si="18"/>
        <v>7.8976307107867644E-4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89" t="s">
        <v>261</v>
      </c>
      <c r="B76" s="6">
        <v>664</v>
      </c>
      <c r="C76" s="7" t="str">
        <f t="shared" si="13"/>
        <v>Premium5</v>
      </c>
      <c r="D76" s="7" t="str">
        <f t="shared" si="1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山掴み国造り ダイダラ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blue</v>
      </c>
      <c r="L76" s="7" t="str">
        <f>VLOOKUP(B76,[1]characters!$A:$K,11,FALSE)</f>
        <v>hp</v>
      </c>
      <c r="M76" s="7" t="str">
        <f>VLOOKUP(B76,[1]characters!$A:$M,13,FALSE)</f>
        <v>unknown</v>
      </c>
      <c r="N76" s="7" t="str">
        <f>VLOOKUP(B76,[1]characters!$A:$G,7,FALSE)</f>
        <v>不明</v>
      </c>
      <c r="O76" s="45">
        <f t="shared" ref="O76:O79" si="21">ROUND(100000*(1-0.03-0.004)/COUNTIFS(F$2:F$97,"&lt;&gt;R6release",D$2:D$97,"&lt;&gt;PremiumSS",D$2:D$97,"&lt;&gt;PremiumSSS"),0)</f>
        <v>1666</v>
      </c>
      <c r="P76" s="46">
        <f t="shared" si="18"/>
        <v>1.6655003498950313E-2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89" t="s">
        <v>261</v>
      </c>
      <c r="B77" s="6">
        <v>667</v>
      </c>
      <c r="C77" s="7" t="str">
        <f t="shared" si="13"/>
        <v>Premium5</v>
      </c>
      <c r="D77" s="7" t="str">
        <f t="shared" si="1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最幸運の妖童 テマリ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yellow</v>
      </c>
      <c r="L77" s="7" t="str">
        <f>VLOOKUP(B77,[1]characters!$A:$K,11,FALSE)</f>
        <v>balance</v>
      </c>
      <c r="M77" s="7" t="str">
        <f>VLOOKUP(B77,[1]characters!$A:$M,13,FALSE)</f>
        <v>unknown</v>
      </c>
      <c r="N77" s="7" t="str">
        <f>VLOOKUP(B77,[1]characters!$A:$G,7,FALSE)</f>
        <v>女性</v>
      </c>
      <c r="O77" s="45">
        <f t="shared" si="21"/>
        <v>1666</v>
      </c>
      <c r="P77" s="46">
        <f t="shared" si="18"/>
        <v>1.6655003498950313E-2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89" t="s">
        <v>261</v>
      </c>
      <c r="B78" s="60">
        <v>670</v>
      </c>
      <c r="C78" s="7" t="str">
        <f t="shared" si="13"/>
        <v>Premium5</v>
      </c>
      <c r="D78" s="7" t="str">
        <f t="shared" si="1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陽天の噴煙 アグニ</v>
      </c>
      <c r="I78" s="7" t="str">
        <f>VLOOKUP(B78,[1]characters!$A:$J,10,FALSE)</f>
        <v>PremiumS</v>
      </c>
      <c r="J78" s="7">
        <f>VLOOKUP(B78,[1]characters!$A:$I,9,FALSE)</f>
        <v>5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t="shared" si="21"/>
        <v>1666</v>
      </c>
      <c r="P78" s="46">
        <f t="shared" si="18"/>
        <v>1.6655003498950313E-2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89" t="s">
        <v>261</v>
      </c>
      <c r="B79" s="60">
        <v>673</v>
      </c>
      <c r="C79" s="7" t="str">
        <f t="shared" si="13"/>
        <v>Premium5</v>
      </c>
      <c r="D79" s="7" t="str">
        <f t="shared" si="1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変幻自在の猿王 ハヌマーン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green</v>
      </c>
      <c r="L79" s="7" t="str">
        <f>VLOOKUP(B79,[1]characters!$A:$K,11,FALSE)</f>
        <v>attack</v>
      </c>
      <c r="M79" s="7" t="str">
        <f>VLOOKUP(B79,[1]characters!$A:$M,13,FALSE)</f>
        <v>animal</v>
      </c>
      <c r="N79" s="7" t="str">
        <f>VLOOKUP(B79,[1]characters!$A:$G,7,FALSE)</f>
        <v>男性</v>
      </c>
      <c r="O79" s="45">
        <f t="shared" si="21"/>
        <v>1666</v>
      </c>
      <c r="P79" s="46">
        <f t="shared" si="18"/>
        <v>1.6655003498950313E-2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89" t="s">
        <v>261</v>
      </c>
      <c r="B80" s="60">
        <v>675</v>
      </c>
      <c r="C80" s="7" t="str">
        <f t="shared" si="13"/>
        <v>PremiumSS5</v>
      </c>
      <c r="D80" s="7" t="str">
        <f t="shared" si="14"/>
        <v>PremiumSS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芸楽の奔流 サラスヴァティ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blue</v>
      </c>
      <c r="L80" s="7" t="str">
        <f>VLOOKUP(B80,[1]characters!$A:$K,11,FALSE)</f>
        <v>balance</v>
      </c>
      <c r="M80" s="7" t="str">
        <f>VLOOKUP(B80,[1]characters!$A:$M,13,FALSE)</f>
        <v>god</v>
      </c>
      <c r="N80" s="7" t="str">
        <f>VLOOKUP(B80,[1]characters!$A:$G,7,FALSE)</f>
        <v>女性</v>
      </c>
      <c r="O80" s="45">
        <f>ROUND(100000*0.03/(COUNTIF(F$2:F$97,"=R6release")+COUNTIF(D$2:D$97,"=PremiumSS")),0)</f>
        <v>79</v>
      </c>
      <c r="P80" s="46">
        <f t="shared" si="18"/>
        <v>7.8976307107867644E-4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89" t="s">
        <v>261</v>
      </c>
      <c r="B81" s="60">
        <v>677</v>
      </c>
      <c r="C81" s="7" t="str">
        <f t="shared" si="13"/>
        <v>PremiumSS5</v>
      </c>
      <c r="D81" s="7" t="str">
        <f t="shared" si="14"/>
        <v>PremiumSS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武遊闊歩 ヴィシュヌ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yellow</v>
      </c>
      <c r="L81" s="7" t="str">
        <f>VLOOKUP(B81,[1]characters!$A:$K,11,FALSE)</f>
        <v>attack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>ROUND(100000*0.03/(COUNTIF(F$2:F$97,"=R6release")+COUNTIF(D$2:D$97,"=PremiumSS")),0)</f>
        <v>79</v>
      </c>
      <c r="P81" s="46">
        <f t="shared" si="18"/>
        <v>7.8976307107867644E-4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89" t="s">
        <v>261</v>
      </c>
      <c r="B82" s="60">
        <v>729</v>
      </c>
      <c r="C82" s="7" t="str">
        <f t="shared" si="13"/>
        <v>Premium5R3less</v>
      </c>
      <c r="D82" s="7" t="str">
        <f t="shared" si="14"/>
        <v>Premium</v>
      </c>
      <c r="E82" s="7" t="str">
        <f>IF(COUNTIF('R6追加前'!A:A,B82)=0,IF(I82="PremiumSS","R5only","R3less"),"")</f>
        <v>R3less</v>
      </c>
      <c r="F82" s="7" t="str">
        <f>IF(COUNTIF('R6開放'!A:A,B82)&gt;0,"R6release","")</f>
        <v/>
      </c>
      <c r="G82" s="7"/>
      <c r="H82" s="7" t="str">
        <f>VLOOKUP(B82,[1]characters!$A:$C,3,FALSE)</f>
        <v>暗厄の双刀 井伊直虎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red</v>
      </c>
      <c r="L82" s="7" t="str">
        <f>VLOOKUP(B82,[1]characters!$A:$K,11,FALSE)</f>
        <v>balance</v>
      </c>
      <c r="M82" s="7" t="str">
        <f>VLOOKUP(B82,[1]characters!$A:$M,13,FALSE)</f>
        <v>human</v>
      </c>
      <c r="N82" s="7" t="str">
        <f>VLOOKUP(B82,[1]characters!$A:$G,7,FALSE)</f>
        <v>女性</v>
      </c>
      <c r="O82" s="45">
        <f t="shared" ref="O82" si="22">ROUND(100000*(1-0.03-0.004)/COUNTIFS(F$2:F$97,"&lt;&gt;R6release",D$2:D$97,"&lt;&gt;PremiumSS",D$2:D$97,"&lt;&gt;PremiumSSS"),0)</f>
        <v>1666</v>
      </c>
      <c r="P82" s="46">
        <f t="shared" si="18"/>
        <v>1.6655003498950313E-2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89" t="s">
        <v>261</v>
      </c>
      <c r="B83" s="60">
        <v>731</v>
      </c>
      <c r="C83" s="7" t="str">
        <f t="shared" si="13"/>
        <v>Premium5R3less</v>
      </c>
      <c r="D83" s="7" t="str">
        <f t="shared" si="14"/>
        <v>Premium</v>
      </c>
      <c r="E83" s="7" t="str">
        <f>IF(COUNTIF('R6追加前'!A:A,B83)=0,IF(I83="PremiumSS","R5only","R3less"),"")</f>
        <v>R3less</v>
      </c>
      <c r="F83" s="7" t="str">
        <f>IF(COUNTIF('R6開放'!A:A,B83)&gt;0,"R6release","")</f>
        <v/>
      </c>
      <c r="G83" s="7"/>
      <c r="H83" s="7" t="str">
        <f>VLOOKUP(B83,[1]characters!$A:$C,3,FALSE)</f>
        <v>敬虔なる追銃 ガラシャ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heal</v>
      </c>
      <c r="M83" s="7" t="str">
        <f>VLOOKUP(B83,[1]characters!$A:$M,13,FALSE)</f>
        <v>human</v>
      </c>
      <c r="N83" s="7" t="str">
        <f>VLOOKUP(B83,[1]characters!$A:$G,7,FALSE)</f>
        <v>女性</v>
      </c>
      <c r="O83" s="45">
        <f>ROUND(100000*(1-0.03-0.004)/COUNTIFS(F$2:F$97,"&lt;&gt;R6release",D$2:D$97,"&lt;&gt;PremiumSS",D$2:D$97,"&lt;&gt;PremiumSSS"),0)</f>
        <v>1666</v>
      </c>
      <c r="P83" s="46">
        <f t="shared" si="18"/>
        <v>1.6655003498950313E-2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89" t="s">
        <v>261</v>
      </c>
      <c r="B84" s="60">
        <v>732</v>
      </c>
      <c r="C84" s="7" t="str">
        <f t="shared" si="13"/>
        <v>PremiumSS5R5only</v>
      </c>
      <c r="D84" s="7" t="str">
        <f t="shared" si="14"/>
        <v>PremiumSS</v>
      </c>
      <c r="E84" s="7" t="str">
        <f>IF(COUNTIF('R6追加前'!A:A,B84)=0,IF(I84="PremiumSS","R5only","R3less"),"")</f>
        <v>R5only</v>
      </c>
      <c r="F84" s="7" t="str">
        <f>IF(COUNTIF('R6開放'!A:A,B84)&gt;0,"R6release","")</f>
        <v/>
      </c>
      <c r="G84" s="7"/>
      <c r="H84" s="7" t="str">
        <f>VLOOKUP(B84,[1]characters!$A:$C,3,FALSE)</f>
        <v>上杉謙信</v>
      </c>
      <c r="I84" s="7" t="str">
        <f>VLOOKUP(B84,[1]characters!$A:$J,10,FALSE)</f>
        <v>PremiumSS</v>
      </c>
      <c r="J84" s="7">
        <f>VLOOKUP(B84,[1]characters!$A:$I,9,FALSE)</f>
        <v>5</v>
      </c>
      <c r="K84" s="7" t="str">
        <f>VLOOKUP(B84,[1]characters!$A:$H,8,FALSE)</f>
        <v>blue</v>
      </c>
      <c r="L84" s="7" t="str">
        <f>VLOOKUP(B84,[1]characters!$A:$K,11,FALSE)</f>
        <v>attack</v>
      </c>
      <c r="M84" s="7" t="str">
        <f>VLOOKUP(B84,[1]characters!$A:$M,13,FALSE)</f>
        <v>human</v>
      </c>
      <c r="N84" s="7" t="str">
        <f>VLOOKUP(B84,[1]characters!$A:$G,7,FALSE)</f>
        <v>女性</v>
      </c>
      <c r="O84" s="45">
        <f>ROUND(100000*0.03/(COUNTIF(F$2:F$97,"=R6release")+COUNTIF(D$2:D$97,"=PremiumSS")),0)</f>
        <v>79</v>
      </c>
      <c r="P84" s="46">
        <f t="shared" si="18"/>
        <v>7.8976307107867644E-4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89" t="s">
        <v>261</v>
      </c>
      <c r="B85" s="60">
        <v>734</v>
      </c>
      <c r="C85" s="7" t="str">
        <f t="shared" si="13"/>
        <v>PremiumSS5R5only</v>
      </c>
      <c r="D85" s="7" t="str">
        <f t="shared" si="14"/>
        <v>PremiumSS</v>
      </c>
      <c r="E85" s="7" t="str">
        <f>IF(COUNTIF('R6追加前'!A:A,B85)=0,IF(I85="PremiumSS","R5only","R3less"),"")</f>
        <v>R5only</v>
      </c>
      <c r="F85" s="7" t="str">
        <f>IF(COUNTIF('R6開放'!A:A,B85)&gt;0,"R6release","")</f>
        <v/>
      </c>
      <c r="G85" s="7"/>
      <c r="H85" s="7" t="str">
        <f>VLOOKUP(B85,[1]characters!$A:$C,3,FALSE)</f>
        <v>伊達政宗</v>
      </c>
      <c r="I85" s="7" t="str">
        <f>VLOOKUP(B85,[1]characters!$A:$J,10,FALSE)</f>
        <v>PremiumSS</v>
      </c>
      <c r="J85" s="7">
        <f>VLOOKUP(B85,[1]characters!$A:$I,9,FALSE)</f>
        <v>5</v>
      </c>
      <c r="K85" s="7" t="str">
        <f>VLOOKUP(B85,[1]characters!$A:$H,8,FALSE)</f>
        <v>yellow</v>
      </c>
      <c r="L85" s="7" t="str">
        <f>VLOOKUP(B85,[1]characters!$A:$K,11,FALSE)</f>
        <v>balance</v>
      </c>
      <c r="M85" s="7" t="str">
        <f>VLOOKUP(B85,[1]characters!$A:$M,13,FALSE)</f>
        <v>human</v>
      </c>
      <c r="N85" s="7" t="str">
        <f>VLOOKUP(B85,[1]characters!$A:$G,7,FALSE)</f>
        <v>男性</v>
      </c>
      <c r="O85" s="45">
        <f>ROUND(100000*0.03/(COUNTIF(F$2:F$97,"=R6release")+COUNTIF(D$2:D$97,"=PremiumSS")),0)</f>
        <v>79</v>
      </c>
      <c r="P85" s="46">
        <f t="shared" si="18"/>
        <v>7.8976307107867644E-4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89" t="s">
        <v>261</v>
      </c>
      <c r="B86" s="60">
        <v>771</v>
      </c>
      <c r="C86" s="7" t="str">
        <f t="shared" si="13"/>
        <v>PremiumSS5</v>
      </c>
      <c r="D86" s="7" t="str">
        <f t="shared" si="14"/>
        <v>PremiumSS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天織羽鶴 ハヅル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red</v>
      </c>
      <c r="L86" s="7" t="str">
        <f>VLOOKUP(B86,[1]characters!$A:$K,11,FALSE)</f>
        <v>balance</v>
      </c>
      <c r="M86" s="7" t="str">
        <f>VLOOKUP(B86,[1]characters!$A:$M,13,FALSE)</f>
        <v>animal</v>
      </c>
      <c r="N86" s="7" t="str">
        <f>VLOOKUP(B86,[1]characters!$A:$G,7,FALSE)</f>
        <v>女性</v>
      </c>
      <c r="O86" s="45">
        <f>ROUND(100000*0.03/(COUNTIF(F$2:F$97,"=R6release")+COUNTIF(D$2:D$97,"=PremiumSS")),0)</f>
        <v>79</v>
      </c>
      <c r="P86" s="46">
        <f t="shared" si="18"/>
        <v>7.8976307107867644E-4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89" t="s">
        <v>261</v>
      </c>
      <c r="B87" s="60">
        <v>773</v>
      </c>
      <c r="C87" s="7" t="str">
        <f t="shared" si="13"/>
        <v>PremiumSS5</v>
      </c>
      <c r="D87" s="7" t="str">
        <f t="shared" si="14"/>
        <v>PremiumSS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浮跳天兎 イナバ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green</v>
      </c>
      <c r="L87" s="7" t="str">
        <f>VLOOKUP(B87,[1]characters!$A:$K,11,FALSE)</f>
        <v>balance</v>
      </c>
      <c r="M87" s="7" t="str">
        <f>VLOOKUP(B87,[1]characters!$A:$M,13,FALSE)</f>
        <v>animal</v>
      </c>
      <c r="N87" s="7" t="str">
        <f>VLOOKUP(B87,[1]characters!$A:$G,7,FALSE)</f>
        <v>女性</v>
      </c>
      <c r="O87" s="45">
        <f>ROUND(100000*0.03/(COUNTIF(F$2:F$97,"=R6release")+COUNTIF(D$2:D$97,"=PremiumSS")),0)</f>
        <v>79</v>
      </c>
      <c r="P87" s="46">
        <f t="shared" si="18"/>
        <v>7.8976307107867644E-4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89" t="s">
        <v>261</v>
      </c>
      <c r="B88" s="60">
        <v>776</v>
      </c>
      <c r="C88" s="7" t="str">
        <f t="shared" si="13"/>
        <v>Premium5</v>
      </c>
      <c r="D88" s="7" t="str">
        <f t="shared" si="1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水竜底主 ミズチ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blue</v>
      </c>
      <c r="L88" s="7" t="str">
        <f>VLOOKUP(B88,[1]characters!$A:$K,11,FALSE)</f>
        <v>heal</v>
      </c>
      <c r="M88" s="7" t="str">
        <f>VLOOKUP(B88,[1]characters!$A:$M,13,FALSE)</f>
        <v>dragon</v>
      </c>
      <c r="N88" s="7" t="str">
        <f>VLOOKUP(B88,[1]characters!$A:$G,7,FALSE)</f>
        <v>不明</v>
      </c>
      <c r="O88" s="45">
        <f t="shared" ref="O88:O89" si="23">ROUND(100000*(1-0.03-0.004)/COUNTIFS(F$2:F$97,"&lt;&gt;R6release",D$2:D$97,"&lt;&gt;PremiumSS",D$2:D$97,"&lt;&gt;PremiumSSS"),0)</f>
        <v>1666</v>
      </c>
      <c r="P88" s="46">
        <f t="shared" si="18"/>
        <v>1.6655003498950313E-2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89" t="s">
        <v>261</v>
      </c>
      <c r="B89" s="60">
        <v>779</v>
      </c>
      <c r="C89" s="7" t="str">
        <f t="shared" si="13"/>
        <v>Premium5</v>
      </c>
      <c r="D89" s="7" t="str">
        <f t="shared" si="1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頑堅咬亀 ガメック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hp</v>
      </c>
      <c r="M89" s="7" t="str">
        <f>VLOOKUP(B89,[1]characters!$A:$M,13,FALSE)</f>
        <v>animal</v>
      </c>
      <c r="N89" s="7" t="str">
        <f>VLOOKUP(B89,[1]characters!$A:$G,7,FALSE)</f>
        <v>不明</v>
      </c>
      <c r="O89" s="45">
        <f t="shared" si="23"/>
        <v>1666</v>
      </c>
      <c r="P89" s="46">
        <f t="shared" si="18"/>
        <v>1.6655003498950313E-2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89" t="s">
        <v>261</v>
      </c>
      <c r="B90" s="83">
        <v>848</v>
      </c>
      <c r="C90" s="7" t="str">
        <f t="shared" si="13"/>
        <v>PremiumSS5R5only</v>
      </c>
      <c r="D90" s="7" t="str">
        <f t="shared" si="14"/>
        <v>PremiumSS</v>
      </c>
      <c r="E90" s="7" t="str">
        <f>IF(COUNTIF('R6追加前'!A:A,B90)=0,IF(I90="PremiumSS","R5only","R3less"),"")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メタトロン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男性</v>
      </c>
      <c r="O90" s="45">
        <f>ROUND(100000*0.03/(COUNTIF(F$2:F$97,"=R6release")+COUNTIF(D$2:D$97,"=PremiumSS")),0)</f>
        <v>79</v>
      </c>
      <c r="P90" s="46">
        <f t="shared" si="18"/>
        <v>7.8976307107867644E-4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89" t="s">
        <v>261</v>
      </c>
      <c r="B91" s="83">
        <v>850</v>
      </c>
      <c r="C91" s="7" t="str">
        <f t="shared" ref="C91:C97" si="24">D91&amp;J91&amp;E91&amp;F91&amp;G91</f>
        <v>PremiumSS5R5only</v>
      </c>
      <c r="D91" s="7" t="str">
        <f t="shared" ref="D91:D97" si="25">IF(I91="PremiumSS",I91,IF(I91="PremiumSSS",I91,IF(I91="PremiumW",I91,"Premium")))</f>
        <v>PremiumSS</v>
      </c>
      <c r="E91" s="7" t="str">
        <f>IF(COUNTIF('R6追加前'!A:A,B91)=0,IF(I91="PremiumSS","R5only","R3less"),"")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バアル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green</v>
      </c>
      <c r="L91" s="7" t="str">
        <f>VLOOKUP(B91,[1]characters!$A:$K,11,FALSE)</f>
        <v>technical</v>
      </c>
      <c r="M91" s="7" t="str">
        <f>VLOOKUP(B91,[1]characters!$A:$M,13,FALSE)</f>
        <v>god</v>
      </c>
      <c r="N91" s="7" t="str">
        <f>VLOOKUP(B91,[1]characters!$A:$G,7,FALSE)</f>
        <v>男性</v>
      </c>
      <c r="O91" s="45">
        <f>ROUND(100000*0.03/(COUNTIF(F$2:F$97,"=R6release")+COUNTIF(D$2:D$97,"=PremiumSS")),0)</f>
        <v>79</v>
      </c>
      <c r="P91" s="46">
        <f t="shared" si="18"/>
        <v>7.8976307107867644E-4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89" t="s">
        <v>261</v>
      </c>
      <c r="B92" s="83">
        <v>853</v>
      </c>
      <c r="C92" s="7" t="str">
        <f t="shared" si="24"/>
        <v>Premium5R3less</v>
      </c>
      <c r="D92" s="7" t="str">
        <f t="shared" si="25"/>
        <v>Premium</v>
      </c>
      <c r="E92" s="7" t="str">
        <f>IF(COUNTIF('R6追加前'!A:A,B92)=0,IF(I92="PremiumSS","R5only","R3less"),"")</f>
        <v>R3less</v>
      </c>
      <c r="F92" s="7" t="str">
        <f>IF(COUNTIF('R6開放'!A:A,B92)&gt;0,"R6release","")</f>
        <v/>
      </c>
      <c r="G92" s="7"/>
      <c r="H92" s="7" t="str">
        <f>VLOOKUP(B92,[1]characters!$A:$C,3,FALSE)</f>
        <v>裂爪の天使 サキエル・ティア</v>
      </c>
      <c r="I92" s="7" t="str">
        <f>VLOOKUP(B92,[1]characters!$A:$J,10,FALSE)</f>
        <v>PremiumS</v>
      </c>
      <c r="J92" s="7">
        <f>VLOOKUP(B92,[1]characters!$A:$I,9,FALSE)</f>
        <v>5</v>
      </c>
      <c r="K92" s="7" t="str">
        <f>VLOOKUP(B92,[1]characters!$A:$H,8,FALSE)</f>
        <v>blue</v>
      </c>
      <c r="L92" s="7" t="str">
        <f>VLOOKUP(B92,[1]characters!$A:$K,11,FALSE)</f>
        <v>hp</v>
      </c>
      <c r="M92" s="7" t="str">
        <f>VLOOKUP(B92,[1]characters!$A:$M,13,FALSE)</f>
        <v>god</v>
      </c>
      <c r="N92" s="7" t="str">
        <f>VLOOKUP(B92,[1]characters!$A:$G,7,FALSE)</f>
        <v>男性</v>
      </c>
      <c r="O92" s="45">
        <f t="shared" ref="O92:O94" si="26">ROUND(100000*(1-0.03-0.004)/COUNTIFS(F$2:F$97,"&lt;&gt;R6release",D$2:D$97,"&lt;&gt;PremiumSS",D$2:D$97,"&lt;&gt;PremiumSSS"),0)</f>
        <v>1666</v>
      </c>
      <c r="P92" s="46">
        <f t="shared" si="18"/>
        <v>1.6655003498950313E-2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89" t="s">
        <v>261</v>
      </c>
      <c r="B93" s="83">
        <v>855</v>
      </c>
      <c r="C93" s="7" t="str">
        <f t="shared" si="24"/>
        <v>Premium5R3less</v>
      </c>
      <c r="D93" s="7" t="str">
        <f t="shared" si="25"/>
        <v>Premium</v>
      </c>
      <c r="E93" s="7" t="str">
        <f>IF(COUNTIF('R6追加前'!A:A,B93)=0,IF(I93="PremiumSS","R5only","R3less"),"")</f>
        <v>R3less</v>
      </c>
      <c r="F93" s="7" t="str">
        <f>IF(COUNTIF('R6開放'!A:A,B93)&gt;0,"R6release","")</f>
        <v/>
      </c>
      <c r="G93" s="7"/>
      <c r="H93" s="7" t="str">
        <f>VLOOKUP(B93,[1]characters!$A:$C,3,FALSE)</f>
        <v>豹魔の侠客 フラウロス</v>
      </c>
      <c r="I93" s="7" t="str">
        <f>VLOOKUP(B93,[1]characters!$A:$J,10,FALSE)</f>
        <v>PremiumS</v>
      </c>
      <c r="J93" s="7">
        <f>VLOOKUP(B93,[1]characters!$A:$I,9,FALSE)</f>
        <v>5</v>
      </c>
      <c r="K93" s="7" t="str">
        <f>VLOOKUP(B93,[1]characters!$A:$H,8,FALSE)</f>
        <v>yellow</v>
      </c>
      <c r="L93" s="7" t="str">
        <f>VLOOKUP(B93,[1]characters!$A:$K,11,FALSE)</f>
        <v>attack</v>
      </c>
      <c r="M93" s="7" t="str">
        <f>VLOOKUP(B93,[1]characters!$A:$M,13,FALSE)</f>
        <v>animal</v>
      </c>
      <c r="N93" s="7" t="str">
        <f>VLOOKUP(B93,[1]characters!$A:$G,7,FALSE)</f>
        <v>男性</v>
      </c>
      <c r="O93" s="45">
        <f t="shared" si="26"/>
        <v>1666</v>
      </c>
      <c r="P93" s="46">
        <f t="shared" si="18"/>
        <v>1.6655003498950313E-2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89" t="s">
        <v>261</v>
      </c>
      <c r="B94" s="83">
        <v>863</v>
      </c>
      <c r="C94" s="7" t="str">
        <f t="shared" si="24"/>
        <v>Premium5R3less</v>
      </c>
      <c r="D94" s="7" t="str">
        <f t="shared" si="25"/>
        <v>Premium</v>
      </c>
      <c r="E94" s="7" t="str">
        <f>IF(COUNTIF('R6追加前'!A:A,B94)=0,IF(I94="PremiumSS","R5only","R3less"),"")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歓揮の楽団長 ブレーメン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red</v>
      </c>
      <c r="L94" s="7" t="str">
        <f>VLOOKUP(B94,[1]characters!$A:$K,11,FALSE)</f>
        <v>balance</v>
      </c>
      <c r="M94" s="7" t="str">
        <f>VLOOKUP(B94,[1]characters!$A:$M,13,FALSE)</f>
        <v>animal</v>
      </c>
      <c r="N94" s="7" t="str">
        <f>VLOOKUP(B94,[1]characters!$A:$G,7,FALSE)</f>
        <v>男性</v>
      </c>
      <c r="O94" s="45">
        <f t="shared" si="26"/>
        <v>1666</v>
      </c>
      <c r="P94" s="46">
        <f t="shared" si="18"/>
        <v>1.6655003498950313E-2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89" t="s">
        <v>261</v>
      </c>
      <c r="B95" s="83">
        <v>865</v>
      </c>
      <c r="C95" s="7" t="str">
        <f t="shared" si="24"/>
        <v>Premium5R3less</v>
      </c>
      <c r="D95" s="7" t="str">
        <f t="shared" si="25"/>
        <v>Premium</v>
      </c>
      <c r="E95" s="7" t="str">
        <f>IF(COUNTIF('R6追加前'!A:A,B95)=0,IF(I95="PremiumSS","R5only","R3less"),"")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無情の感線 ピノキオ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attack</v>
      </c>
      <c r="M95" s="7" t="str">
        <f>VLOOKUP(B95,[1]characters!$A:$M,13,FALSE)</f>
        <v>machine</v>
      </c>
      <c r="N95" s="7" t="str">
        <f>VLOOKUP(B95,[1]characters!$A:$G,7,FALSE)</f>
        <v>男性</v>
      </c>
      <c r="O95" s="45">
        <f>ROUND(100000*(1-0.03-0.004)/COUNTIFS(F$2:F$97,"&lt;&gt;R6release",D$2:D$97,"&lt;&gt;PremiumSS",D$2:D$97,"&lt;&gt;PremiumSSS"),0)</f>
        <v>1666</v>
      </c>
      <c r="P95" s="46">
        <f t="shared" si="18"/>
        <v>1.6655003498950313E-2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89" t="s">
        <v>261</v>
      </c>
      <c r="B96" s="83">
        <v>866</v>
      </c>
      <c r="C96" s="7" t="str">
        <f t="shared" si="24"/>
        <v>PremiumSS5R5only</v>
      </c>
      <c r="D96" s="7" t="str">
        <f t="shared" si="25"/>
        <v>PremiumSS</v>
      </c>
      <c r="E96" s="7" t="str">
        <f>IF(COUNTIF('R6追加前'!A:A,B96)=0,IF(I96="PremiumSS","R5only","R3less"),"")</f>
        <v>R5only</v>
      </c>
      <c r="F96" s="7" t="str">
        <f>IF(COUNTIF('R6開放'!A:A,B96)&gt;0,"R6release","")</f>
        <v/>
      </c>
      <c r="G96" s="7"/>
      <c r="H96" s="7" t="str">
        <f>VLOOKUP(B96,[1]characters!$A:$C,3,FALSE)</f>
        <v>無敗の司令姫 白雪姫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human</v>
      </c>
      <c r="N96" s="7" t="str">
        <f>VLOOKUP(B96,[1]characters!$A:$G,7,FALSE)</f>
        <v>男性</v>
      </c>
      <c r="O96" s="45">
        <f>ROUND(100000*0.03/(COUNTIF(F$2:F$97,"=R6release")+COUNTIF(D$2:D$97,"=PremiumSS")),0)</f>
        <v>79</v>
      </c>
      <c r="P96" s="46">
        <f t="shared" si="18"/>
        <v>7.8976307107867644E-4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89" t="s">
        <v>261</v>
      </c>
      <c r="B97" s="83">
        <v>868</v>
      </c>
      <c r="C97" s="7" t="str">
        <f t="shared" si="24"/>
        <v>PremiumSS5R5only</v>
      </c>
      <c r="D97" s="7" t="str">
        <f t="shared" si="25"/>
        <v>PremiumSS</v>
      </c>
      <c r="E97" s="7" t="str">
        <f>IF(COUNTIF('R6追加前'!A:A,B97)=0,IF(I97="PremiumSS","R5only","R3less"),"")</f>
        <v>R5only</v>
      </c>
      <c r="F97" s="7" t="str">
        <f>IF(COUNTIF('R6開放'!A:A,B97)&gt;0,"R6release","")</f>
        <v/>
      </c>
      <c r="G97" s="7"/>
      <c r="H97" s="7" t="str">
        <f>VLOOKUP(B97,[1]characters!$A:$C,3,FALSE)</f>
        <v>アラジンと殲滅機兵LAMP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yellow</v>
      </c>
      <c r="L97" s="7" t="str">
        <f>VLOOKUP(B97,[1]characters!$A:$K,11,FALSE)</f>
        <v>hp</v>
      </c>
      <c r="M97" s="7" t="str">
        <f>VLOOKUP(B97,[1]characters!$A:$M,13,FALSE)</f>
        <v>human</v>
      </c>
      <c r="N97" s="7" t="str">
        <f>VLOOKUP(B97,[1]characters!$A:$G,7,FALSE)</f>
        <v>男性</v>
      </c>
      <c r="O97" s="45">
        <f>ROUND(100000*0.03/(COUNTIF(F$2:F$97,"=R6release")+COUNTIF(D$2:D$97,"=PremiumSS")),0)</f>
        <v>79</v>
      </c>
      <c r="P97" s="46">
        <f t="shared" si="18"/>
        <v>7.8976307107867644E-4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89" t="s">
        <v>261</v>
      </c>
      <c r="B98" s="83">
        <v>623</v>
      </c>
      <c r="C98" s="7" t="str">
        <f t="shared" ref="C98" si="27">D98&amp;J98&amp;E98&amp;F98&amp;G98</f>
        <v>PremiumSSS5R3less</v>
      </c>
      <c r="D98" s="7" t="str">
        <f t="shared" ref="D98" si="28">IF(I98="PremiumSS",I98,IF(I98="PremiumSSS",I98,IF(I98="PremiumW",I98,"Premium")))</f>
        <v>PremiumSSS</v>
      </c>
      <c r="E98" s="7" t="str">
        <f>IF(COUNTIF('R6追加前'!A:A,B98)=0,IF(I98="PremiumSS","R5only","R3less"),"")</f>
        <v>R3less</v>
      </c>
      <c r="F98" s="7" t="str">
        <f>IF(COUNTIF('R6開放'!A:A,B98)&gt;0,"R6release","")</f>
        <v/>
      </c>
      <c r="G98" s="7"/>
      <c r="H98" s="7" t="str">
        <f>VLOOKUP(B98,[1]characters!$A:$C,3,FALSE)</f>
        <v>未踏の轍跡 フェルマー</v>
      </c>
      <c r="I98" s="7" t="str">
        <f>VLOOKUP(B98,[1]characters!$A:$J,10,FALSE)</f>
        <v>PremiumSSS</v>
      </c>
      <c r="J98" s="7">
        <f>VLOOKUP(B98,[1]characters!$A:$I,9,FALSE)</f>
        <v>5</v>
      </c>
      <c r="K98" s="7" t="str">
        <f>VLOOKUP(B98,[1]characters!$A:$H,8,FALSE)</f>
        <v>yellow</v>
      </c>
      <c r="L98" s="7" t="str">
        <f>VLOOKUP(B98,[1]characters!$A:$K,11,FALSE)</f>
        <v>attack</v>
      </c>
      <c r="M98" s="7" t="str">
        <f>VLOOKUP(B98,[1]characters!$A:$M,13,FALSE)</f>
        <v>academia</v>
      </c>
      <c r="N98" s="7" t="str">
        <f>VLOOKUP(B98,[1]characters!$A:$G,7,FALSE)</f>
        <v>女性</v>
      </c>
      <c r="O98" s="45">
        <f>100000*0.004</f>
        <v>400</v>
      </c>
      <c r="P98" s="46">
        <f t="shared" ref="P98" si="29">O98/SUM(O:O)</f>
        <v>3.9988003598920322E-3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</sheetData>
  <autoFilter ref="A1:V97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H20" sqref="H2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80" t="s">
        <v>263</v>
      </c>
      <c r="B2" s="80" t="s">
        <v>264</v>
      </c>
      <c r="C2" s="81" t="s">
        <v>252</v>
      </c>
      <c r="D2" s="81">
        <v>125</v>
      </c>
      <c r="E2" s="81">
        <v>1</v>
      </c>
      <c r="F2" s="81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1" t="s">
        <v>222</v>
      </c>
      <c r="O2" s="81" t="s">
        <v>254</v>
      </c>
      <c r="P2" s="81" t="s">
        <v>262</v>
      </c>
      <c r="Q2" s="82" t="s">
        <v>266</v>
      </c>
    </row>
    <row r="3" spans="1:17" ht="21" customHeight="1" x14ac:dyDescent="0.15">
      <c r="A3" s="80" t="s">
        <v>269</v>
      </c>
      <c r="B3" s="80" t="s">
        <v>265</v>
      </c>
      <c r="C3" s="1" t="s">
        <v>249</v>
      </c>
      <c r="D3" s="1">
        <v>125</v>
      </c>
      <c r="E3" s="1">
        <v>3</v>
      </c>
      <c r="F3" s="1">
        <v>1</v>
      </c>
      <c r="G3" s="88">
        <v>0</v>
      </c>
      <c r="H3" s="88">
        <v>0</v>
      </c>
      <c r="I3" s="88">
        <v>0</v>
      </c>
      <c r="J3" s="88">
        <v>0</v>
      </c>
      <c r="K3" s="88">
        <v>1</v>
      </c>
      <c r="L3" s="88">
        <v>1</v>
      </c>
      <c r="M3" s="88">
        <v>1</v>
      </c>
      <c r="N3" s="81" t="s">
        <v>222</v>
      </c>
      <c r="O3" s="81" t="s">
        <v>253</v>
      </c>
      <c r="P3" s="81" t="s">
        <v>262</v>
      </c>
      <c r="Q3" s="82" t="s">
        <v>267</v>
      </c>
    </row>
    <row r="4" spans="1:17" ht="21" customHeight="1" x14ac:dyDescent="0.15">
      <c r="A4" s="80"/>
      <c r="B4" s="80"/>
      <c r="G4" s="88"/>
      <c r="H4" s="88"/>
      <c r="I4" s="88"/>
      <c r="J4" s="88"/>
      <c r="K4" s="88"/>
      <c r="L4" s="88"/>
      <c r="M4" s="88"/>
      <c r="N4" s="81"/>
      <c r="O4" s="81"/>
      <c r="P4" s="81"/>
      <c r="Q4" s="82"/>
    </row>
    <row r="5" spans="1:17" ht="21" customHeight="1" x14ac:dyDescent="0.15">
      <c r="A5" s="80"/>
      <c r="B5" s="80"/>
      <c r="G5" s="88"/>
      <c r="H5" s="88"/>
      <c r="I5" s="88"/>
      <c r="J5" s="88"/>
      <c r="K5" s="88"/>
      <c r="L5" s="88"/>
      <c r="M5" s="88"/>
      <c r="N5" s="81"/>
      <c r="O5" s="81"/>
      <c r="P5" s="81"/>
      <c r="Q5" s="82"/>
    </row>
  </sheetData>
  <autoFilter ref="A1:F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3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確率の考え方</vt:lpstr>
      <vt:lpstr>Sheet1</vt:lpstr>
      <vt:lpstr>output</vt:lpstr>
      <vt:lpstr>input_358101</vt:lpstr>
      <vt:lpstr>tables_358101</vt:lpstr>
      <vt:lpstr>input_358103</vt:lpstr>
      <vt:lpstr>tables_358103</vt:lpstr>
      <vt:lpstr>input_358104</vt:lpstr>
      <vt:lpstr>tables_358104</vt:lpstr>
      <vt:lpstr>input_358105</vt:lpstr>
      <vt:lpstr>tables_358105</vt:lpstr>
      <vt:lpstr>input_358100</vt:lpstr>
      <vt:lpstr>tables_358100</vt:lpstr>
      <vt:lpstr>tables_settle_358103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2016-06-14T06:48:43Z</dcterms:modified>
</cp:coreProperties>
</file>