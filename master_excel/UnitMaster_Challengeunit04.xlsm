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560" yWindow="460" windowWidth="2770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2" i="53" l="1"/>
  <c r="I2" i="56"/>
  <c r="G5" i="58"/>
  <c r="U5" i="58"/>
  <c r="S3" i="58"/>
  <c r="S5" i="58"/>
  <c r="T5" i="58"/>
  <c r="R5" i="58"/>
  <c r="P5" i="58"/>
  <c r="O5" i="58"/>
  <c r="N5" i="58"/>
  <c r="M5" i="58"/>
  <c r="L5" i="58"/>
  <c r="J5" i="58"/>
  <c r="K5" i="58"/>
  <c r="I5" i="58"/>
  <c r="H5" i="58"/>
  <c r="F5" i="58"/>
  <c r="E5" i="58"/>
  <c r="D5" i="58"/>
  <c r="C5" i="58"/>
  <c r="B5" i="58"/>
  <c r="F5" i="57"/>
  <c r="E5" i="57"/>
  <c r="B5" i="57"/>
  <c r="F4" i="57"/>
  <c r="E4" i="57"/>
  <c r="B4" i="57"/>
  <c r="F3" i="57"/>
  <c r="E3" i="57"/>
  <c r="B3" i="57"/>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9" i="3"/>
  <c r="H9" i="3"/>
  <c r="C9" i="3"/>
  <c r="F9" i="3"/>
  <c r="E9" i="3"/>
  <c r="D9" i="3"/>
  <c r="A9" i="3"/>
  <c r="J8" i="3"/>
  <c r="H8" i="3"/>
  <c r="C8" i="3"/>
  <c r="F8" i="3"/>
  <c r="E8" i="3"/>
  <c r="D8" i="3"/>
  <c r="A8" i="3"/>
  <c r="J7" i="3"/>
  <c r="H7" i="3"/>
  <c r="C7" i="3"/>
  <c r="F7" i="3"/>
  <c r="E7" i="3"/>
  <c r="D7" i="3"/>
  <c r="A7" i="3"/>
  <c r="J6" i="3"/>
  <c r="H6" i="3"/>
  <c r="C6" i="3"/>
  <c r="F6" i="3"/>
  <c r="E6" i="3"/>
  <c r="D6" i="3"/>
  <c r="A6" i="3"/>
  <c r="G4" i="58"/>
  <c r="U4" i="58"/>
  <c r="S2" i="58"/>
  <c r="S4" i="58"/>
  <c r="T4" i="58"/>
  <c r="R4" i="58"/>
  <c r="P4" i="58"/>
  <c r="O4" i="58"/>
  <c r="N4" i="58"/>
  <c r="M4" i="58"/>
  <c r="L4" i="58"/>
  <c r="J4" i="58"/>
  <c r="K4" i="58"/>
  <c r="I4" i="58"/>
  <c r="H4" i="58"/>
  <c r="F4" i="58"/>
  <c r="E4" i="58"/>
  <c r="D4" i="58"/>
  <c r="C4" i="58"/>
  <c r="B4" i="58"/>
  <c r="G3" i="58"/>
  <c r="U3" i="58"/>
  <c r="T3" i="58"/>
  <c r="R3" i="58"/>
  <c r="P3" i="58"/>
  <c r="O3" i="58"/>
  <c r="N3" i="58"/>
  <c r="M3" i="58"/>
  <c r="L3" i="58"/>
  <c r="J3" i="58"/>
  <c r="K3" i="58"/>
  <c r="I3" i="58"/>
  <c r="H3" i="58"/>
  <c r="F3" i="58"/>
  <c r="E3" i="58"/>
  <c r="D3" i="58"/>
  <c r="C3" i="58"/>
  <c r="B3" i="58"/>
  <c r="E15" i="54"/>
  <c r="D15" i="54"/>
  <c r="B15" i="54"/>
  <c r="E14" i="54"/>
  <c r="D14" i="54"/>
  <c r="B14" i="54"/>
  <c r="E13" i="54"/>
  <c r="D13" i="54"/>
  <c r="B13" i="54"/>
  <c r="E12" i="54"/>
  <c r="D12" i="54"/>
  <c r="B12" i="54"/>
  <c r="E11" i="54"/>
  <c r="D11" i="54"/>
  <c r="B11" i="54"/>
  <c r="H4" i="53"/>
  <c r="G4" i="53"/>
  <c r="E4" i="53"/>
  <c r="K4" i="52"/>
  <c r="J4" i="52"/>
  <c r="H4" i="52"/>
  <c r="E4" i="52"/>
  <c r="H4" i="23"/>
  <c r="G4" i="23"/>
  <c r="BC4" i="23"/>
  <c r="BD4" i="23"/>
  <c r="Q4" i="23"/>
  <c r="V4" i="23"/>
  <c r="W4" i="23"/>
  <c r="AD4" i="23"/>
  <c r="I4" i="23"/>
  <c r="M4" i="23"/>
  <c r="BN4" i="23"/>
  <c r="U4" i="23"/>
  <c r="AC4" i="23"/>
  <c r="L4" i="23"/>
  <c r="BM4" i="23"/>
  <c r="T4" i="23"/>
  <c r="AB4" i="23"/>
  <c r="K4" i="23"/>
  <c r="BL4" i="23"/>
  <c r="S4" i="23"/>
  <c r="AA4" i="23"/>
  <c r="J4" i="23"/>
  <c r="BK4" i="23"/>
  <c r="H3" i="23"/>
  <c r="G3" i="23"/>
  <c r="BC3" i="23"/>
  <c r="BE4" i="23"/>
  <c r="BJ4" i="23"/>
  <c r="BI4" i="23"/>
  <c r="BH4" i="23"/>
  <c r="BG4" i="23"/>
  <c r="I3" i="23"/>
  <c r="J3" i="23"/>
  <c r="BF4" i="23"/>
  <c r="AX4" i="23"/>
  <c r="AW4" i="23"/>
  <c r="AV4" i="23"/>
  <c r="AU4" i="23"/>
  <c r="AS4" i="23"/>
  <c r="AR4" i="23"/>
  <c r="AQ4" i="23"/>
  <c r="AN4" i="23"/>
  <c r="AM4" i="23"/>
  <c r="AL4" i="23"/>
  <c r="AK4" i="23"/>
  <c r="AI4" i="23"/>
  <c r="AH4" i="23"/>
  <c r="AF4" i="23"/>
  <c r="Y4" i="23"/>
  <c r="Z4" i="23"/>
  <c r="X4" i="23"/>
  <c r="R4" i="23"/>
  <c r="P4" i="23"/>
  <c r="O4" i="23"/>
  <c r="G8" i="13"/>
  <c r="N4" i="23"/>
  <c r="F4" i="23"/>
  <c r="E4" i="23"/>
  <c r="D4" i="23"/>
  <c r="C4" i="23"/>
  <c r="B4" i="23"/>
  <c r="H2" i="23"/>
  <c r="E2" i="54"/>
  <c r="E10" i="54"/>
  <c r="E9" i="54"/>
  <c r="E8" i="54"/>
  <c r="E7" i="54"/>
  <c r="E6" i="54"/>
  <c r="E5" i="54"/>
  <c r="E4" i="54"/>
  <c r="E3" i="54"/>
  <c r="D10" i="54"/>
  <c r="B10" i="54"/>
  <c r="B4" i="54"/>
  <c r="D9" i="54"/>
  <c r="B9" i="54"/>
  <c r="D8" i="54"/>
  <c r="B8" i="54"/>
  <c r="D7" i="54"/>
  <c r="B7" i="54"/>
  <c r="D6" i="54"/>
  <c r="B6" i="54"/>
  <c r="D5" i="54"/>
  <c r="D4" i="54"/>
  <c r="D3" i="54"/>
  <c r="B3" i="54"/>
  <c r="G2" i="58"/>
  <c r="U2" i="58"/>
  <c r="G2" i="23"/>
  <c r="BC2" i="23"/>
  <c r="BD2" i="23"/>
  <c r="Q2" i="23"/>
  <c r="S2" i="23"/>
  <c r="W2" i="23"/>
  <c r="AA2" i="23"/>
  <c r="I2" i="23"/>
  <c r="J2" i="23"/>
  <c r="BK2" i="23"/>
  <c r="BD3" i="23"/>
  <c r="Q3" i="23"/>
  <c r="S3" i="23"/>
  <c r="W3" i="23"/>
  <c r="AA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T2" i="58"/>
  <c r="R2" i="58"/>
  <c r="B2" i="58"/>
  <c r="D2" i="54"/>
  <c r="B2" i="54"/>
  <c r="G2" i="53"/>
  <c r="AH3" i="23"/>
  <c r="AH2" i="23"/>
  <c r="G10" i="13"/>
  <c r="G11" i="13"/>
  <c r="G9" i="13"/>
  <c r="B2" i="23"/>
  <c r="B3" i="23"/>
  <c r="G3" i="13"/>
  <c r="G4" i="13"/>
  <c r="R3" i="23"/>
  <c r="R2" i="23"/>
  <c r="J2" i="52"/>
  <c r="AQ2" i="2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<sst xmlns="http://schemas.openxmlformats.org/spreadsheetml/2006/main" count="936" uniqueCount="378">
  <si>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</si>
  <si>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</si>
  <si>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</si>
  <si>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</si>
  <si>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</si>
  <si>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</si>
  <si>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</si>
  <si>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</si>
  <si>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</si>
  <si>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</si>
  <si>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</si>
  <si>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</si>
  <si>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</si>
  <si>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</si>
  <si>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</si>
  <si>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</si>
  <si>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</si>
  <si>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</si>
  <si>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</si>
  <si>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</si>
  <si>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</si>
  <si>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</si>
  <si>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</si>
  <si>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</si>
  <si>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</si>
  <si>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</si>
  <si>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</si>
  <si>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</si>
  <si>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</si>
  <si>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</si>
  <si>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</si>
  <si>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</si>
  <si>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</si>
  <si>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</si>
  <si>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</si>
  <si>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</si>
  <si>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</si>
  <si>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</si>
  <si>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</si>
  <si>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</si>
  <si>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</si>
  <si>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</si>
  <si>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</si>
  <si>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</si>
  <si>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</si>
  <si>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</si>
  <si>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</si>
  <si>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</si>
  <si>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</si>
  <si>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</si>
  <si>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</si>
  <si>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</si>
  <si>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</si>
  <si>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</si>
  <si>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</si>
  <si>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</si>
  <si>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</si>
  <si>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</si>
  <si>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</si>
  <si>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</si>
  <si>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</si>
  <si>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</si>
  <si>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</si>
  <si>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</si>
  <si>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</si>
  <si>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</si>
  <si>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</si>
  <si>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</si>
  <si>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</si>
  <si>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</si>
  <si>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</si>
  <si>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</si>
  <si>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</si>
  <si>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</si>
  <si>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</si>
  <si>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</si>
  <si>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</si>
  <si>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</si>
  <si>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</si>
  <si>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</si>
  <si>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</si>
  <si>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</si>
  <si>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</si>
  <si>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</si>
  <si>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</si>
  <si>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</si>
  <si>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</si>
  <si>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</si>
  <si>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</si>
  <si>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</si>
  <si>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</si>
  <si>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</si>
  <si>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</si>
  <si>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</si>
  <si>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</si>
  <si>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</si>
  <si>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</si>
  <si>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</si>
  <si>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</si>
  <si>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</si>
  <si>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</si>
  <si>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</si>
  <si>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</si>
  <si>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</si>
  <si>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</si>
  <si>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</si>
  <si>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</si>
  <si>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</si>
  <si>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</si>
  <si>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</si>
  <si>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</si>
  <si>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</si>
  <si>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</si>
  <si>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</si>
  <si>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</si>
  <si>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</si>
  <si>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</si>
  <si>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</si>
  <si>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</si>
  <si>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</si>
  <si>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</si>
  <si>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</si>
  <si>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</si>
  <si>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</si>
  <si>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</si>
  <si>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</si>
  <si>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</si>
  <si>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</si>
  <si>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</si>
  <si>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</si>
  <si>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</si>
  <si>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</si>
  <si>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</si>
  <si>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</si>
  <si>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</si>
  <si>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</si>
  <si>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</si>
  <si>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</si>
  <si>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</si>
  <si>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</si>
  <si>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</si>
  <si>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</si>
  <si>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</si>
  <si>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</si>
  <si>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</si>
  <si>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</si>
  <si>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</si>
  <si>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</si>
  <si>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</si>
  <si>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</si>
  <si>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</si>
  <si>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</si>
  <si>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</si>
  <si>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</si>
  <si>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</si>
  <si>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</si>
  <si>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</si>
  <si>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</si>
  <si>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</si>
  <si>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</si>
  <si>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</si>
  <si>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</si>
  <si>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</si>
  <si>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</si>
  <si>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</si>
  <si>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</si>
  <si>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</si>
  <si>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</si>
  <si>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</si>
  <si>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</si>
  <si>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</si>
  <si>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</si>
  <si>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</si>
  <si>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</si>
  <si>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</si>
  <si>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</si>
  <si>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</si>
  <si>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</si>
  <si>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</si>
  <si>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</si>
  <si>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</si>
  <si>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</si>
  <si>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</si>
  <si>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</si>
  <si>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</si>
  <si>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</si>
  <si>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</si>
  <si>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</si>
  <si>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</si>
  <si>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</si>
  <si>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</si>
  <si>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</si>
  <si>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</si>
  <si>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</si>
  <si>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</si>
  <si>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</si>
  <si>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</si>
  <si>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</si>
  <si>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</si>
  <si>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</si>
  <si>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</si>
  <si>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</si>
  <si>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</si>
  <si>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</si>
  <si>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</si>
  <si>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</si>
  <si>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</si>
  <si>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</si>
  <si>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</si>
  <si>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</si>
  <si>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</si>
  <si>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</si>
  <si>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</si>
  <si>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</si>
  <si>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</si>
  <si>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</si>
  <si>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</si>
  <si>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</si>
  <si>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</si>
  <si>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</si>
  <si>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</si>
  <si>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</si>
  <si>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</si>
  <si>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</si>
  <si>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</si>
  <si>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</si>
  <si>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</si>
  <si>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</si>
  <si>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</si>
  <si>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</si>
  <si>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</si>
  <si>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</si>
  <si>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</si>
  <si>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</si>
  <si>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</si>
  <si>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</si>
  <si>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</si>
  <si>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</si>
  <si>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</si>
  <si>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</si>
  <si>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</si>
  <si>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</si>
  <si>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</si>
  <si>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</si>
  <si>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</si>
  <si>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</si>
  <si>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</si>
  <si>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</si>
  <si>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</si>
  <si>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</si>
  <si>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</si>
  <si>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</si>
  <si>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</si>
  <si>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</si>
  <si>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</si>
  <si>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</si>
  <si>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</si>
  <si>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</si>
  <si>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</si>
  <si>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</si>
  <si>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</si>
  <si>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</si>
  <si>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</si>
  <si>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</si>
  <si>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</si>
  <si>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</si>
  <si>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</si>
  <si>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</si>
  <si>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</si>
  <si>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</si>
  <si>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</si>
  <si>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</si>
  <si>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</si>
  <si>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</si>
  <si>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</si>
  <si>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</si>
  <si>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</si>
  <si>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</si>
  <si>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</si>
  <si>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</si>
  <si>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</si>
  <si>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</si>
  <si>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</si>
  <si>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</si>
  <si>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</si>
  <si>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</si>
  <si>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</si>
  <si>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</si>
  <si>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</si>
  <si>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</si>
  <si>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</si>
  <si>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</si>
  <si>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</si>
  <si>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</si>
  <si>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</si>
  <si>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</si>
  <si>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</si>
  <si>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</si>
  <si>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</si>
  <si>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</si>
  <si>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</si>
  <si>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</si>
  <si>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</si>
  <si>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</si>
  <si>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</si>
  <si>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</si>
  <si>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</si>
  <si>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</si>
  <si>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</si>
  <si>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</si>
  <si>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</si>
  <si>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</si>
  <si>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</si>
  <si>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</si>
  <si>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</si>
  <si>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</si>
  <si>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</si>
  <si>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</si>
  <si>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</si>
  <si>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</si>
  <si>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</si>
  <si>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</si>
  <si>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</si>
  <si>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</si>
  <si>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</si>
  <si>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</si>
  <si>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</si>
  <si>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</si>
  <si>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</si>
  <si>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</si>
  <si>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</si>
  <si>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</si>
  <si>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</si>
  <si>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</si>
  <si>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</si>
  <si>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</si>
  <si>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</si>
  <si>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</si>
  <si>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challengeunit04</t>
  </si>
  <si>
    <t>challengeunit04</t>
    <phoneticPr fontId="22"/>
  </si>
  <si>
    <t>ビッグバンSTG</t>
  </si>
  <si>
    <t>ビッグバンSTG・セミオート</t>
  </si>
  <si>
    <t>ビッグバンSTG・フルオート</t>
  </si>
  <si>
    <t>原子的ホーミング</t>
  </si>
  <si>
    <t>原始的原子ホーミング</t>
  </si>
  <si>
    <t>原始的原子ホーミング弾幕</t>
  </si>
  <si>
    <t>[effect:damage, target:enemy_one, color:green, val:1.75, animation:damage_one_green02]</t>
    <phoneticPr fontId="22"/>
  </si>
  <si>
    <t>1体にダメージ</t>
    <phoneticPr fontId="22"/>
  </si>
  <si>
    <t>[effect:damage, target:enemy_one, color:green, val:2, animation:damage_one_green03]</t>
    <phoneticPr fontId="22"/>
  </si>
  <si>
    <t>1体に大ダメージ</t>
    <phoneticPr fontId="22"/>
  </si>
  <si>
    <t>私と対戦？身の程知らずゥ！</t>
  </si>
  <si>
    <t>んじゃ難易度上げてみるゥ？</t>
  </si>
  <si>
    <t>神レベルに挑むゥ〜？</t>
  </si>
  <si>
    <t>年季が違うからねェ〜</t>
  </si>
  <si>
    <t>giza</t>
  </si>
  <si>
    <t>画面埋め尽くす奴ゥ〜</t>
  </si>
  <si>
    <t>反射神経鈍すぎかなァ？</t>
  </si>
  <si>
    <t>残弾余裕すぎだよねェ〜</t>
  </si>
  <si>
    <t>kumo</t>
  </si>
  <si>
    <t>ファ〜片手で十分だなァ</t>
  </si>
  <si>
    <t>old</t>
  </si>
  <si>
    <t>1</t>
    <phoneticPr fontId="22"/>
  </si>
  <si>
    <t>1.7.0</t>
    <phoneticPr fontId="22"/>
  </si>
  <si>
    <t>0</t>
    <phoneticPr fontId="22"/>
  </si>
  <si>
    <t>ハップルチャレンジ ダメージ究極UP</t>
    <phoneticPr fontId="22"/>
  </si>
  <si>
    <t>[condition:enclose,[condition:quest_id,quest:60026],[condition:unit_attack_target],logic:and]</t>
    <phoneticPr fontId="22"/>
  </si>
  <si>
    <t>[effect:force_change_block, new_block:crash, target:block_heart, count:0, val:6, animation:change_block],[effect:change_panel_ratio, turn:1, block_type:green, val:0.6, animation:block_incidence04]</t>
    <phoneticPr fontId="22"/>
  </si>
  <si>
    <t>[effect:force_change_block, new_block:crash, target:block_heart, count:0, val:6, animation:change_block],[effect:change_panel_ratio, turn:1, block_type:green, val:1.2, animation:block_incidence04]</t>
    <phoneticPr fontId="22"/>
  </si>
  <si>
    <t>ハートパネルをCパネルに変換+1ターン緑パネルの出現率を大UP</t>
    <phoneticPr fontId="22"/>
  </si>
  <si>
    <t>ハートパネルをCパネルに変換+1ターン緑パネルの出現率を超大UP</t>
    <phoneticPr fontId="22"/>
  </si>
  <si>
    <t>[effect:force_change_block, new_block:crash, target:block_yellow, count:22, val:6, animation:change_block],[effect:break_enchance_unit, target:unit_all, val:20, lowest_val:800, count :-1, status:defense, turn:2, block01:jammer, block02:block_red, calc:add, animation:enhance_unit_all_defense02]</t>
    <phoneticPr fontId="22"/>
  </si>
  <si>
    <t>種族サムライに効果超大の単体大ダメージ+
種族マシンに効果超大の単体大ダメージ</t>
    <phoneticPr fontId="22"/>
  </si>
  <si>
    <t>ハップルチャレンジ内で自身の全ての攻撃の威力を究極UP</t>
    <phoneticPr fontId="22"/>
  </si>
  <si>
    <t>[effect:damage_up, target:myself, val:2.9, turn:1, type01:all, option:killer]</t>
    <phoneticPr fontId="22"/>
  </si>
  <si>
    <t>黄パネルを最大22個Cパネルに変換+2ターン全ユニットの防御力UP(お邪魔・赤パネルを吸収し効果UP)</t>
    <phoneticPr fontId="22"/>
  </si>
  <si>
    <t>[effect:damage_anti_tribe, target:enemy_one, tribe:samurai, val1:3.75, val2:1.2, animation:damage_one_green04],[effect:damage_anti_tribe, target:enemy_one, tribe:machine, val1:3.75, val2:1.2, animation:damage_one_green04]</t>
    <phoneticPr fontId="22"/>
  </si>
  <si>
    <t>category</t>
    <phoneticPr fontId="22"/>
  </si>
  <si>
    <t>クエスト特攻</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</si>
</sst>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49" fontId="12" fillId="0" borderId="4" xfId="0" applyNumberFormat="1" applyFont="1" applyFill="1" applyBorder="1" applyAlignment="1">
      <alignment vertical="center" wrapText="1"/>
    </xf>
    <xf numFmtId="0" fontId="25" fillId="0" borderId="7" xfId="0" applyFont="1" applyFill="1" applyBorder="1" applyAlignment="1">
      <alignment vertical="center" wrapText="1"/>
    </xf>
    <xf numFmtId="0" fontId="12" fillId="22" borderId="4" xfId="0" applyNumberFormat="1" applyFont="1" applyFill="1" applyBorder="1" applyAlignment="1">
      <alignment vertical="center"/>
    </xf>
    <xf numFmtId="0" fontId="12" fillId="0" borderId="4" xfId="0" applyFont="1" applyFill="1" applyBorder="1" applyAlignment="1">
      <alignment vertical="center"/>
    </xf>
    <xf numFmtId="0" fontId="16" fillId="14" borderId="4" xfId="0" applyFont="1" applyFill="1" applyBorder="1" applyAlignment="1">
      <alignment horizontal="left" vertical="center"/>
    </xf>
    <xf numFmtId="0" fontId="0" fillId="25" borderId="4" xfId="0" applyFill="1" applyBorder="1" applyAlignment="1">
      <alignment horizont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3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自身が先頭の時、1ターンの間に合計40個以上パネルを破壊した場合に攻撃力小UP</v>
          </cell>
        </row>
        <row r="130">
          <cell r="A130">
            <v>811</v>
          </cell>
          <cell r="B130" t="str">
            <v>ja</v>
          </cell>
          <cell r="C130" t="str">
            <v>パネルブレイク30 攻撃力小UP</v>
          </cell>
          <cell r="D130" t="str">
            <v>自身が先頭の時、1ターンの間に合計30個以上パネルを破壊した場合に攻撃力小UP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906</v>
          </cell>
          <cell r="B138" t="str">
            <v>ja</v>
          </cell>
          <cell r="C138" t="str">
            <v>チェイン14 回復力小UP</v>
          </cell>
          <cell r="D138" t="str">
            <v>自身が先頭の時、1タップで14個以上パネルを繋げた場合に回復力小UP</v>
          </cell>
        </row>
        <row r="139">
          <cell r="A139">
            <v>907</v>
          </cell>
          <cell r="B139" t="str">
            <v>ja</v>
          </cell>
          <cell r="C139" t="str">
            <v>チェイン14 攻撃力UP</v>
          </cell>
          <cell r="D139" t="str">
            <v>自身が先頭の時、1タップで14個以上パネルを繋げた場合に攻撃力UP</v>
          </cell>
        </row>
        <row r="140">
          <cell r="A140">
            <v>1100</v>
          </cell>
          <cell r="B140" t="str">
            <v>ja</v>
          </cell>
          <cell r="C140" t="str">
            <v>Cパネル生成短縮</v>
          </cell>
          <cell r="D140" t="str">
            <v>自身が先頭の時、Cパネル生成に必要なチェイン数を1短縮する</v>
          </cell>
        </row>
        <row r="141">
          <cell r="A141">
            <v>1101</v>
          </cell>
          <cell r="B141" t="str">
            <v>ja</v>
          </cell>
          <cell r="C141" t="str">
            <v>Cパネル生成短縮(大)</v>
          </cell>
          <cell r="D141" t="str">
            <v>自身が先頭の時、Cパネル生成に必要なチェイン数を2短縮する</v>
          </cell>
        </row>
        <row r="142">
          <cell r="A142">
            <v>1200</v>
          </cell>
          <cell r="B142" t="str">
            <v>ja</v>
          </cell>
          <cell r="C142" t="str">
            <v>フィーバー攻撃UP</v>
          </cell>
          <cell r="D142" t="str">
            <v>自身が先頭の時、フィーバー発動時に緑属性の攻撃力と回復力UP</v>
          </cell>
        </row>
        <row r="143">
          <cell r="A143">
            <v>1300</v>
          </cell>
          <cell r="B143" t="str">
            <v>ja</v>
          </cell>
          <cell r="C143" t="str">
            <v>チェイン12 HP回復</v>
          </cell>
          <cell r="D143" t="str">
            <v>自身が先頭の時、1タップで12個以上パネルを繋げた場合にHPを2000回復(1ターンに1度だけ発動)</v>
          </cell>
        </row>
        <row r="144">
          <cell r="A144">
            <v>1400</v>
          </cell>
          <cell r="B144" t="str">
            <v>ja</v>
          </cell>
          <cell r="C144" t="str">
            <v>カウンター威力UP</v>
          </cell>
          <cell r="D144" t="str">
            <v>4ターン毎に自身のカウンタースキルの威力が1ターンの間UP</v>
          </cell>
        </row>
        <row r="145">
          <cell r="A145">
            <v>1500</v>
          </cell>
          <cell r="B145" t="str">
            <v>ja</v>
          </cell>
          <cell r="C145" t="str">
            <v>バリア15000</v>
          </cell>
          <cell r="D145" t="str">
            <v>戦闘開始時に、自身への直接ダメージを15000まで防ぐバリアを一度だけ展開(バリアは破壊されると復活しない)</v>
          </cell>
        </row>
        <row r="146">
          <cell r="A146">
            <v>1501</v>
          </cell>
          <cell r="B146" t="str">
            <v>ja</v>
          </cell>
          <cell r="C146" t="str">
            <v>バリア</v>
          </cell>
          <cell r="D146" t="str">
            <v>戦闘開始時に、ダメージを25000まで防ぐバリアを一度だけ展開</v>
          </cell>
        </row>
        <row r="147">
          <cell r="A147">
            <v>1502</v>
          </cell>
          <cell r="B147" t="str">
            <v>ja</v>
          </cell>
          <cell r="C147" t="str">
            <v>バリア</v>
          </cell>
          <cell r="D147" t="str">
            <v>戦闘開始時に、ダメージを50000まで防ぐバリアを一度だけ展開</v>
          </cell>
        </row>
        <row r="148">
          <cell r="A148">
            <v>1503</v>
          </cell>
          <cell r="B148" t="str">
            <v>ja</v>
          </cell>
          <cell r="C148" t="str">
            <v>バリア8000</v>
          </cell>
          <cell r="D148" t="str">
            <v>戦闘開始時に、自身への直接ダメージを8000まで防ぐバリアを一度だけ展開(バリアは破壊されると復活しない)</v>
          </cell>
        </row>
        <row r="149">
          <cell r="A149">
            <v>1504</v>
          </cell>
          <cell r="B149" t="str">
            <v>ja</v>
          </cell>
          <cell r="C149" t="str">
            <v>バリア10000</v>
          </cell>
          <cell r="D149" t="str">
            <v>戦闘開始時に、自身への直接ダメージを10000まで防ぐバリアを一度だけ展開(バリアは破壊されると復活しない)</v>
          </cell>
        </row>
        <row r="150">
          <cell r="A150">
            <v>1505</v>
          </cell>
          <cell r="B150" t="str">
            <v>ja</v>
          </cell>
          <cell r="C150" t="str">
            <v>バリア3939</v>
          </cell>
          <cell r="D150" t="str">
            <v>戦闘開始時に、自身への直接ダメージを3939まで防ぐバリアを一度だけ展開(バリアは破壊されると復活しない)</v>
          </cell>
        </row>
        <row r="151">
          <cell r="A151">
            <v>1600</v>
          </cell>
          <cell r="B151" t="str">
            <v>ja</v>
          </cell>
          <cell r="C151" t="str">
            <v>攻撃力・回復力UP</v>
          </cell>
          <cell r="D151" t="str">
            <v>自身の攻撃力と回復力をUP</v>
          </cell>
        </row>
        <row r="152">
          <cell r="A152">
            <v>1700</v>
          </cell>
          <cell r="B152" t="str">
            <v>ja</v>
          </cell>
          <cell r="C152" t="str">
            <v>パネルブレイク30 ターンHP小回復</v>
          </cell>
          <cell r="D152" t="str">
            <v>自身が先頭の時、1ターンの間に合計30個以上パネルを破壊した場合に1ターン HP小回復</v>
          </cell>
        </row>
        <row r="153">
          <cell r="A153">
            <v>1800</v>
          </cell>
          <cell r="B153" t="str">
            <v>ja</v>
          </cell>
          <cell r="C153" t="str">
            <v>フィーバー強化</v>
          </cell>
          <cell r="D153" t="str">
            <v>フィーバー時自身の攻撃力、回復力を特大UP</v>
          </cell>
        </row>
        <row r="154">
          <cell r="A154">
            <v>1900</v>
          </cell>
          <cell r="B154" t="str">
            <v>ja</v>
          </cell>
          <cell r="C154" t="str">
            <v>ハート出現率UP</v>
          </cell>
          <cell r="D154" t="str">
            <v>自身が先頭の時、ハートパネルの出現率UP</v>
          </cell>
        </row>
        <row r="155">
          <cell r="A155">
            <v>2000</v>
          </cell>
          <cell r="B155" t="str">
            <v>ja</v>
          </cell>
          <cell r="C155" t="str">
            <v>赤パネル出現率UP</v>
          </cell>
          <cell r="D155" t="str">
            <v>自身が先頭の時、赤パネルの出現率UP</v>
          </cell>
        </row>
        <row r="156">
          <cell r="A156">
            <v>2100</v>
          </cell>
          <cell r="B156" t="str">
            <v>ja</v>
          </cell>
          <cell r="C156" t="str">
            <v>緑パネル出現率UP</v>
          </cell>
          <cell r="D156" t="str">
            <v>自身が先頭の時、緑パネルの出現率UP</v>
          </cell>
        </row>
        <row r="157">
          <cell r="A157">
            <v>2200</v>
          </cell>
          <cell r="B157" t="str">
            <v>ja</v>
          </cell>
          <cell r="C157" t="str">
            <v>青パネル出現率UP</v>
          </cell>
          <cell r="D157" t="str">
            <v>自身が先頭の時、青パネルの出現率UP</v>
          </cell>
        </row>
        <row r="158">
          <cell r="A158">
            <v>2300</v>
          </cell>
          <cell r="B158" t="str">
            <v>ja</v>
          </cell>
          <cell r="C158" t="str">
            <v>黄パネル出現率UP</v>
          </cell>
          <cell r="D158" t="str">
            <v>自身が先頭の時、黄パネルの出現率UP</v>
          </cell>
        </row>
        <row r="159">
          <cell r="A159">
            <v>2400</v>
          </cell>
          <cell r="B159" t="str">
            <v>ja</v>
          </cell>
          <cell r="C159" t="str">
            <v>ハートボムパネルドロップ</v>
          </cell>
          <cell r="D159" t="str">
            <v>自身が先頭の時、ハートパネルを確率でハートボムパネルに変換しドロップ</v>
          </cell>
        </row>
        <row r="160">
          <cell r="A160">
            <v>2500</v>
          </cell>
          <cell r="B160" t="str">
            <v>ja</v>
          </cell>
          <cell r="C160" t="str">
            <v>青パネルドロップ</v>
          </cell>
          <cell r="D160" t="str">
            <v>自身が先頭の時、緑パネルを確率で青パネルに変換しドロップ</v>
          </cell>
        </row>
        <row r="161">
          <cell r="A161">
            <v>2501</v>
          </cell>
          <cell r="B161" t="str">
            <v>ja</v>
          </cell>
          <cell r="C161" t="str">
            <v>黄パネルドロップ</v>
          </cell>
          <cell r="D161" t="str">
            <v>自身が先頭の時、青パネルを確率で黄パネルに変換しドロップ</v>
          </cell>
        </row>
        <row r="162">
          <cell r="A162">
            <v>2502</v>
          </cell>
          <cell r="B162" t="str">
            <v>ja</v>
          </cell>
          <cell r="C162" t="str">
            <v>赤パネルドロップ</v>
          </cell>
          <cell r="D162" t="str">
            <v>自身が先頭の時、黄パネルを確率で赤パネルに変換しドロップ</v>
          </cell>
        </row>
        <row r="163">
          <cell r="A163">
            <v>2503</v>
          </cell>
          <cell r="B163" t="str">
            <v>ja</v>
          </cell>
          <cell r="C163" t="str">
            <v>黄パネルドロップ</v>
          </cell>
          <cell r="D163" t="str">
            <v>自身が先頭の時、赤パネルを確率で黄パネルに変換しドロップ</v>
          </cell>
        </row>
        <row r="164">
          <cell r="A164">
            <v>2504</v>
          </cell>
          <cell r="B164" t="str">
            <v>ja</v>
          </cell>
          <cell r="C164" t="str">
            <v>SCパネルドロップ</v>
          </cell>
          <cell r="D164" t="str">
            <v>自身が先頭の時、緑パネルを確率でSCパネルに変換しドロップ</v>
          </cell>
        </row>
        <row r="165">
          <cell r="A165">
            <v>2505</v>
          </cell>
          <cell r="B165" t="str">
            <v>ja</v>
          </cell>
          <cell r="C165" t="str">
            <v>緑ボムパネル(大)ドロップ</v>
          </cell>
          <cell r="D165" t="str">
            <v>自身が先頭の時、低確率で緑ボムパネル(大)をドロップ</v>
          </cell>
        </row>
        <row r="166">
          <cell r="A166">
            <v>2600</v>
          </cell>
          <cell r="B166" t="str">
            <v>ja</v>
          </cell>
          <cell r="C166" t="str">
            <v>回復力400UP</v>
          </cell>
          <cell r="D166" t="str">
            <v>自身の回復力を400UP</v>
          </cell>
        </row>
        <row r="167">
          <cell r="A167">
            <v>2601</v>
          </cell>
          <cell r="B167" t="str">
            <v>ja</v>
          </cell>
          <cell r="C167" t="str">
            <v>回復力300UP</v>
          </cell>
          <cell r="D167" t="str">
            <v>自身の回復力を300UP</v>
          </cell>
        </row>
        <row r="168">
          <cell r="A168">
            <v>2700</v>
          </cell>
          <cell r="B168" t="str">
            <v>ja</v>
          </cell>
          <cell r="C168" t="str">
            <v>攻撃力UP</v>
          </cell>
          <cell r="D168" t="str">
            <v>自身の攻撃力を300UP</v>
          </cell>
        </row>
        <row r="169">
          <cell r="A169">
            <v>2701</v>
          </cell>
          <cell r="B169" t="str">
            <v>ja</v>
          </cell>
          <cell r="C169" t="str">
            <v>攻撃力UP</v>
          </cell>
          <cell r="D169" t="str">
            <v>自身の攻撃力を500UP</v>
          </cell>
        </row>
        <row r="170">
          <cell r="A170">
            <v>2800</v>
          </cell>
          <cell r="B170" t="str">
            <v>ja</v>
          </cell>
          <cell r="C170" t="str">
            <v>防御力UP</v>
          </cell>
          <cell r="D170" t="str">
            <v>自身の防御力を250UP</v>
          </cell>
        </row>
        <row r="171">
          <cell r="A171">
            <v>2801</v>
          </cell>
          <cell r="B171" t="str">
            <v>ja</v>
          </cell>
          <cell r="C171" t="str">
            <v>防御力UP</v>
          </cell>
          <cell r="D171" t="str">
            <v>自身の防御力を350UP</v>
          </cell>
        </row>
        <row r="172">
          <cell r="A172">
            <v>2900</v>
          </cell>
          <cell r="B172" t="str">
            <v>ja</v>
          </cell>
          <cell r="C172" t="str">
            <v>フィーバー50 攻撃力小UP</v>
          </cell>
          <cell r="D172" t="str">
            <v>フィーバーゲージが50％以上の時、自身の攻撃力小UP</v>
          </cell>
        </row>
        <row r="173">
          <cell r="A173">
            <v>2901</v>
          </cell>
          <cell r="B173" t="str">
            <v>ja</v>
          </cell>
          <cell r="C173" t="str">
            <v>フィーバー40 攻撃力UP</v>
          </cell>
          <cell r="D173" t="str">
            <v>フィーバーゲージが40％以上の時、自身の攻撃力UP</v>
          </cell>
        </row>
        <row r="174">
          <cell r="A174">
            <v>9000</v>
          </cell>
          <cell r="B174" t="str">
            <v>ja</v>
          </cell>
          <cell r="C174" t="str">
            <v>ハップルチャレンジ ダメージUP</v>
          </cell>
          <cell r="D174" t="str">
            <v>ハップルチャレンジ内で自身の全ての攻撃の威力をUP</v>
          </cell>
        </row>
        <row r="175">
          <cell r="A175">
            <v>119402</v>
          </cell>
          <cell r="B175" t="str">
            <v>ja</v>
          </cell>
          <cell r="C175" t="str">
            <v>ハロウィンナイトパニック！ 威力UP</v>
          </cell>
          <cell r="D175" t="str">
            <v>ハロウィンナイトパニック！内で自身の全ての攻撃の威力を究極UP</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K14" sqref="K14"/>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360</v>
      </c>
      <c r="B2" s="105" t="s">
        <v>129</v>
      </c>
      <c r="C2" s="162" t="s">
        <v>339</v>
      </c>
      <c r="D2" s="105" t="s">
        <v>128</v>
      </c>
      <c r="E2" s="104" t="str">
        <f>B2&amp;C2&amp;D2</f>
        <v>units_challengeunit04.tmp</v>
      </c>
      <c r="F2" s="105" t="s">
        <v>124</v>
      </c>
      <c r="G2" s="59" t="s">
        <v>17</v>
      </c>
      <c r="H2" s="60" t="s">
        <v>96</v>
      </c>
      <c r="I2" s="60" t="s">
        <v>1</v>
      </c>
      <c r="J2" s="60" t="s">
        <v>3</v>
      </c>
      <c r="K2" s="60" t="s">
        <v>2</v>
      </c>
      <c r="L2" s="60" t="s">
        <v>98</v>
      </c>
      <c r="M2" s="60" t="s">
        <v>20</v>
      </c>
      <c r="N2" s="60" t="s">
        <v>103</v>
      </c>
      <c r="O2" s="60" t="s">
        <v>101</v>
      </c>
      <c r="P2" s="60" t="s">
        <v>39</v>
      </c>
      <c r="Q2" s="60" t="s">
        <v>57</v>
      </c>
      <c r="R2" s="60" t="s">
        <v>316</v>
      </c>
      <c r="S2" s="105"/>
      <c r="T2" s="105"/>
      <c r="U2" s="105"/>
      <c r="V2" s="105"/>
      <c r="W2" s="105"/>
    </row>
    <row r="3" spans="1:29" x14ac:dyDescent="0.15">
      <c r="A3" s="105" t="s">
        <v>360</v>
      </c>
      <c r="B3" s="105" t="s">
        <v>293</v>
      </c>
      <c r="C3" s="162" t="s">
        <v>339</v>
      </c>
      <c r="D3" s="105" t="s">
        <v>128</v>
      </c>
      <c r="E3" s="104" t="str">
        <f>B3&amp;C3&amp;D3</f>
        <v>fork_awake_units_challengeunit04.tmp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360</v>
      </c>
      <c r="B4" s="105" t="s">
        <v>130</v>
      </c>
      <c r="C4" s="162" t="s">
        <v>338</v>
      </c>
      <c r="D4" s="105" t="s">
        <v>128</v>
      </c>
      <c r="E4" s="104" t="str">
        <f>B4&amp;C4&amp;D4</f>
        <v>awake_materials_challengeunit04.tmp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360</v>
      </c>
      <c r="B5" s="105" t="s">
        <v>292</v>
      </c>
      <c r="C5" s="162" t="s">
        <v>338</v>
      </c>
      <c r="D5" s="105" t="s">
        <v>128</v>
      </c>
      <c r="E5" s="104" t="str">
        <f>B5&amp;C5&amp;D5</f>
        <v>fork_awake_materials_challengeunit04.tmp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360</v>
      </c>
      <c r="B6" s="105" t="s">
        <v>131</v>
      </c>
      <c r="C6" s="162" t="s">
        <v>338</v>
      </c>
      <c r="D6" s="105" t="s">
        <v>132</v>
      </c>
      <c r="E6" s="104" t="str">
        <f t="shared" ref="E6" si="0">B6&amp;C6&amp;D6</f>
        <v>unit_levels_calc_challengeunit04.tmp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360</v>
      </c>
      <c r="B7" s="105" t="s">
        <v>143</v>
      </c>
      <c r="C7" s="162" t="s">
        <v>338</v>
      </c>
      <c r="D7" s="105" t="s">
        <v>144</v>
      </c>
      <c r="E7" s="104" t="str">
        <f>B7&amp;C7&amp;D7</f>
        <v>unit_skills_data_challengeunit04.tmp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360</v>
      </c>
      <c r="B8" s="105" t="s">
        <v>149</v>
      </c>
      <c r="C8" s="162" t="s">
        <v>338</v>
      </c>
      <c r="D8" s="105" t="s">
        <v>128</v>
      </c>
      <c r="E8" s="104" t="str">
        <f>B8&amp;C8&amp;D8</f>
        <v>unit_skills_i18n_challengeunit04.tmp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360</v>
      </c>
      <c r="B9" s="105" t="s">
        <v>153</v>
      </c>
      <c r="C9" s="162" t="s">
        <v>338</v>
      </c>
      <c r="D9" s="105" t="s">
        <v>154</v>
      </c>
      <c r="E9" s="104" t="str">
        <f>B9&amp;C9&amp;D9</f>
        <v>crash_skills_data_challengeunit04.tmp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360</v>
      </c>
      <c r="B10" s="105" t="s">
        <v>157</v>
      </c>
      <c r="C10" s="162" t="s">
        <v>338</v>
      </c>
      <c r="D10" s="105" t="s">
        <v>158</v>
      </c>
      <c r="E10" s="104" t="str">
        <f t="shared" ref="E10" si="1">B10&amp;C10&amp;D10</f>
        <v>crash_skills_i18n_challengeunit04.tmp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360</v>
      </c>
      <c r="B11" s="108" t="s">
        <v>135</v>
      </c>
      <c r="C11" s="162" t="s">
        <v>338</v>
      </c>
      <c r="D11" s="105" t="s">
        <v>158</v>
      </c>
      <c r="E11" s="104" t="str">
        <f t="shared" ref="E11:E12" si="2">B11&amp;C11&amp;D11</f>
        <v>unit_serifs_data_challengeunit04.tmp</v>
      </c>
      <c r="F11" s="108" t="s">
        <v>137</v>
      </c>
      <c r="G11" s="111" t="s">
        <v>138</v>
      </c>
      <c r="H11" s="112" t="s">
        <v>139</v>
      </c>
      <c r="I11" s="112" t="s">
        <v>133</v>
      </c>
      <c r="J11" s="110" t="s">
        <v>190</v>
      </c>
      <c r="K11" s="105"/>
      <c r="L11" s="105"/>
      <c r="M11" s="105"/>
      <c r="N11" s="105"/>
      <c r="O11" s="105"/>
      <c r="P11" s="105"/>
      <c r="Q11" s="105"/>
      <c r="R11" s="105"/>
      <c r="S11" s="105"/>
      <c r="T11" s="105"/>
      <c r="U11" s="105"/>
      <c r="V11" s="105"/>
      <c r="W11" s="105"/>
    </row>
    <row r="12" spans="1:29" x14ac:dyDescent="0.15">
      <c r="A12" s="105" t="s">
        <v>360</v>
      </c>
      <c r="B12" s="108" t="s">
        <v>136</v>
      </c>
      <c r="C12" s="162" t="s">
        <v>338</v>
      </c>
      <c r="D12" s="105" t="s">
        <v>158</v>
      </c>
      <c r="E12" s="104" t="str">
        <f t="shared" si="2"/>
        <v>unit_serifs_i18n_challengeunit04.tmp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360</v>
      </c>
      <c r="B13" s="105" t="s">
        <v>315</v>
      </c>
      <c r="C13" s="162" t="s">
        <v>338</v>
      </c>
      <c r="D13" s="105" t="s">
        <v>253</v>
      </c>
      <c r="E13" s="104" t="str">
        <f>B13&amp;C13&amp;D13</f>
        <v>abilities_tmp_challengeunit04.tmp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360</v>
      </c>
      <c r="B14" s="105" t="s">
        <v>258</v>
      </c>
      <c r="C14" s="162" t="s">
        <v>338</v>
      </c>
      <c r="D14" s="105" t="s">
        <v>128</v>
      </c>
      <c r="E14" s="104" t="str">
        <f>B14&amp;C14&amp;D14</f>
        <v>abilities_i18n_challengeunit04.tmp</v>
      </c>
      <c r="F14" s="105" t="s">
        <v>259</v>
      </c>
      <c r="G14" s="163" t="s">
        <v>255</v>
      </c>
      <c r="H14" s="163" t="s">
        <v>141</v>
      </c>
      <c r="I14" s="163" t="s">
        <v>260</v>
      </c>
      <c r="J14" s="163" t="s">
        <v>152</v>
      </c>
      <c r="K14" s="204" t="s">
        <v>376</v>
      </c>
      <c r="L14" s="105"/>
      <c r="M14" s="105"/>
      <c r="N14" s="105"/>
      <c r="O14" s="105"/>
      <c r="P14" s="105"/>
      <c r="Q14" s="105"/>
      <c r="R14" s="105"/>
      <c r="S14" s="105"/>
      <c r="T14" s="105"/>
      <c r="U14" s="105"/>
      <c r="V14" s="105"/>
      <c r="W14" s="105"/>
      <c r="X14" s="105"/>
      <c r="Y14" s="105"/>
      <c r="Z14" s="105"/>
      <c r="AA14" s="105"/>
      <c r="AB14" s="105"/>
      <c r="AC14" s="105"/>
    </row>
    <row r="15" spans="1:29" x14ac:dyDescent="0.15">
      <c r="A15" s="105" t="s">
        <v>360</v>
      </c>
      <c r="B15" s="105" t="s">
        <v>261</v>
      </c>
      <c r="C15" s="162" t="s">
        <v>338</v>
      </c>
      <c r="D15" s="105" t="s">
        <v>128</v>
      </c>
      <c r="E15" s="104" t="str">
        <f>B15&amp;C15&amp;D15</f>
        <v>unit_abilities_challengeunit04.tmp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4"/>
  <sheetViews>
    <sheetView showGridLines="0" workbookViewId="0">
      <pane xSplit="9" ySplit="1" topLeftCell="W2" activePane="bottomRight" state="frozen"/>
      <selection pane="topRight" activeCell="J1" sqref="J1"/>
      <selection pane="bottomLeft" activeCell="A3" sqref="A3"/>
      <selection pane="bottomRight" activeCell="P8" sqref="P8"/>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317</v>
      </c>
    </row>
    <row r="2" spans="1:70" ht="26" customHeight="1" x14ac:dyDescent="0.15">
      <c r="A2" s="186">
        <v>1085</v>
      </c>
      <c r="B2" s="53" t="str">
        <f ca="1">VLOOKUP($A2,OFFSET([1]characters!$A$1,0,0,COUNTA([1]characters!$A:$A),MATCH(B$1,[1]characters!$1:$1,0)-MATCH($A$1,[1]characters!$1:$1,0)+1),MATCH(B$1,[1]characters!$1:$1,0)-MATCH($A$1,[1]characters!$1:$1,0)+1,FALSE)</f>
        <v>ルメートル</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green</v>
      </c>
      <c r="J2" s="10">
        <f ca="1">VLOOKUP(I2,[1]属性!$A:$E,2,FALSE)</f>
        <v>1.02</v>
      </c>
      <c r="K2" s="10">
        <f ca="1">VLOOKUP(I2,[1]属性!$A:$E,3,FALSE)</f>
        <v>0.98</v>
      </c>
      <c r="L2" s="10">
        <f ca="1">VLOOKUP(I2,[1]属性!$A:$E,4,FALSE)</f>
        <v>1</v>
      </c>
      <c r="M2" s="10">
        <f ca="1">VLOOKUP(I2,[1]属性!$A:$E,5,FALSE)</f>
        <v>1</v>
      </c>
      <c r="N2" s="10">
        <f ca="1">INDEX(コスト!$A$1:$I$21,MATCH(H2,コスト!$A$1:$A$21,FALSE),MATCH(G2,コスト!$A$1:$I$1,FALSE))</f>
        <v>40</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technical</v>
      </c>
      <c r="R2" s="5" t="str">
        <f ca="1">VLOOKUP(Q2,[1]character_type_i18n!$A:$H,3,FALSE)</f>
        <v>テクニカルタイプ</v>
      </c>
      <c r="S2" s="10">
        <f ca="1">VLOOKUP(Q2,[1]character_type_i18n!$A:$H,4,FALSE)</f>
        <v>0.9</v>
      </c>
      <c r="T2" s="10">
        <f ca="1">VLOOKUP(Q2,[1]character_type_i18n!$A:$H,5,FALSE)</f>
        <v>0.9</v>
      </c>
      <c r="U2" s="10">
        <f ca="1">VLOOKUP(Q2,[1]character_type_i18n!$A:$H,6,FALSE)</f>
        <v>1</v>
      </c>
      <c r="V2" s="10">
        <f ca="1">VLOOKUP(Q2,[1]character_type_i18n!$A:$H,7,FALSE)</f>
        <v>0.9</v>
      </c>
      <c r="W2" s="53" t="str">
        <f ca="1">VLOOKUP($A2,OFFSET([1]characters!$A$1,0,0,COUNTA([1]characters!$A:$A),MATCH(W$1,[1]characters!$1:$1,0)-MATCH($A$1,[1]characters!$1:$1,0)+1),MATCH(W$1,[1]characters!$1:$1,0)-MATCH($A$1,[1]characters!$1:$1,0)+1,FALSE)</f>
        <v>academia</v>
      </c>
      <c r="X2" s="5" t="str">
        <f ca="1">VLOOKUP(W2,[1]character_tribe_i18n!$A:$H,3,FALSE)</f>
        <v>アカデミア</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v>1086</v>
      </c>
      <c r="AF2" s="58" t="str">
        <f ca="1">IF(AE2="NULL","",VLOOKUP($AE2,OFFSET([1]characters!$A$1,0,0,COUNTA([1]characters!$A:$A),MATCH(AF$1,[1]characters!$1:$1,0)-MATCH($A$1,[1]characters!$1:$1,0)+1),MATCH(AF$1,[1]characters!$1:$1,0)-MATCH($A$1,[1]characters!$1:$1,0)+1,FALSE))</f>
        <v>宇宙の線術家 ルメートル</v>
      </c>
      <c r="AG2" s="187">
        <v>1085</v>
      </c>
      <c r="AH2" s="58" t="str">
        <f ca="1">VLOOKUP($AG2,OFFSET([1]characters!$A$1,0,0,COUNTA([1]characters!$A:$A),MATCH(AH$1,[1]characters!$1:$1,0)-MATCH($A$1,[1]characters!$1:$1,0)+1),MATCH(AH$1,[1]characters!$1:$1,0)-MATCH($A$1,[1]characters!$1:$1,0)+1,FALSE)</f>
        <v>ルメートル</v>
      </c>
      <c r="AI2" s="10">
        <f ca="1">IF(AE2="NULL","NULL",VLOOKUP(G2,ビット!$A$2:$B$7,2))</f>
        <v>200000</v>
      </c>
      <c r="AJ2" s="6">
        <v>2</v>
      </c>
      <c r="AK2" s="7" t="str">
        <f t="shared" ref="AK2" si="1">IF(AJ2=1,"早熟",IF(AJ2=2,"普通",IF(AJ2=3,"晩成","")))</f>
        <v>普通</v>
      </c>
      <c r="AL2" s="10" t="str">
        <f ca="1">INDEX(経験値!$A$1:$I$21,MATCH(H2,経験値!$A$1:$A$21,FALSE),MATCH(G2,経験値!$A$1:$I$1,FALSE))</f>
        <v>required_exp_250</v>
      </c>
      <c r="AM2" s="8">
        <f ca="1">VLOOKUP(G2,経験値!$A$28:$B$32,2)</f>
        <v>6400</v>
      </c>
      <c r="AN2" s="16">
        <f ca="1">VLOOKUP(G2,ビット!$G$2:$H$7,2)</f>
        <v>900</v>
      </c>
      <c r="AO2" s="41"/>
      <c r="AP2" s="63">
        <v>1085</v>
      </c>
      <c r="AQ2" s="53" t="str">
        <f ca="1">VLOOKUP($AP2,OFFSET(unit_skills!$A$1,0,0,COUNTA(unit_skills!$A:$A),MATCH(AQ$1,unit_skills!$1:$1,0)-MATCH($AP$1,unit_skills!$1:$1,0)+1),MATCH(AQ$1,unit_skills!$1:$1,0)-MATCH($AP$1,unit_skills!$1:$1,0)+1,FALSE)</f>
        <v>ビッグバンSTG</v>
      </c>
      <c r="AR2" s="53" t="str">
        <f ca="1">VLOOKUP($AP2,OFFSET(unit_skills!$A$1,0,0,COUNTA(unit_skills!$A:$A),MATCH(AR$1,unit_skills!$1:$1,0)-MATCH($AP$1,unit_skills!$1:$1,0)+1),MATCH(AR$1,unit_skills!$1:$1,0)-MATCH($AP$1,unit_skills!$1:$1,0)+1,FALSE)</f>
        <v>ハートパネルをCパネルに変換+1ターン緑パネルの出現率を大UP</v>
      </c>
      <c r="AS2" s="53">
        <f ca="1">VLOOKUP($AP2,OFFSET(unit_skills!$A$1,0,0,COUNTA(unit_skills!$A:$A),MATCH(AS$1,unit_skills!$1:$1,0)-MATCH($AP$1,unit_skills!$1:$1,0)+1),MATCH(AS$1,unit_skills!$1:$1,0)-MATCH($AP$1,unit_skills!$1:$1,0)+1,FALSE)</f>
        <v>0</v>
      </c>
      <c r="AT2" s="63">
        <v>1085</v>
      </c>
      <c r="AU2" s="53" t="str">
        <f ca="1">VLOOKUP($AT2,OFFSET(crash_skills!$A$1,0,0,COUNTA(crash_skills!$A:$A),MATCH(AU$1,crash_skills!$1:$1,0)-MATCH($AT$1,crash_skills!$1:$1,0)+1),MATCH(AU$1,crash_skills!$1:$1,0)-MATCH($AT$1,crash_skills!$1:$1,0)+1,FALSE)</f>
        <v>原子的ホーミング</v>
      </c>
      <c r="AV2" s="53" t="str">
        <f ca="1">VLOOKUP($AT2,OFFSET(crash_skills!$A$1,0,0,COUNTA(crash_skills!$A:$A),MATCH(AV$1,crash_skills!$1:$1,0)-MATCH($AT$1,crash_skills!$1:$1,0)+1),MATCH(AV$1,crash_skills!$1:$1,0)-MATCH($AT$1,crash_skills!$1:$1,0)+1,FALSE)</f>
        <v>1体にダメージ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0.95399999999999996</v>
      </c>
      <c r="AZ2" s="64">
        <v>1.2450000000000001</v>
      </c>
      <c r="BA2" s="64">
        <v>0</v>
      </c>
      <c r="BB2" s="64">
        <v>0.7</v>
      </c>
      <c r="BC2" s="10">
        <f ca="1">INDEX('RC6SV'!$A$1:$G$21,MATCH(H2,'RC6SV'!$A$1:$A$21,FALSE),MATCH(G2,'RC6SV'!$A$1:$G$1,FALSE))</f>
        <v>10000</v>
      </c>
      <c r="BD2" s="44">
        <f t="shared" ref="BD2" ca="1" si="2">ROUND(BC2*IF(AJ2=1,0.95,IF(AJ2=2,1,IF(AJ2,1.05,0))),0)</f>
        <v>10000</v>
      </c>
      <c r="BE2" s="10">
        <f ca="1">ROUND(IFERROR(INDIRECT(ADDRESS(MATCH($A2,$AE:$AE,0),MATCH($BC$1,$1:$1,0))),0),0)</f>
        <v>0</v>
      </c>
      <c r="BF2" s="10">
        <f ca="1">ROUND(IFERROR(INDIRECT(ADDRESS(MATCH($A2,$AE:$AE,0),10)),INDIRECT(ADDRESS(MATCH($A2,$A:$A,0),10))),0)</f>
        <v>1</v>
      </c>
      <c r="BG2" s="15">
        <f ca="1">IF($BE2&lt;=0,ROUND(BK2*0.5,0), ROUND($BE2*S2*AA2*J2*AY2*0.8*[1]ステータス!$B$2,0))</f>
        <v>2190</v>
      </c>
      <c r="BH2" s="15">
        <f ca="1">IF($BE2&lt;=0,ROUND(BL2*0.5,0), ROUND($BE2*T2*AB2*K2*AZ2*0.8*[1]ステータス!$C$2,0))</f>
        <v>1647</v>
      </c>
      <c r="BI2" s="15">
        <f ca="1">IF($BE2&lt;=0,ROUND(BM2*0.5,0), ROUND($BE2*U2*AC2*L2*BA2*0.8*[1]ステータス!$D$2,0))</f>
        <v>0</v>
      </c>
      <c r="BJ2" s="15">
        <f ca="1">IF($BE2&lt;=0,ROUND(BN2*0.5,0), ROUND($BE2*V2*AD2*M2*BB2*0.8*[1]ステータス!$E$2,0))</f>
        <v>788</v>
      </c>
      <c r="BK2" s="10">
        <f ca="1">ROUND(BD2*S2*AA2*J2*AY2*[1]ステータス!$B$2,0)</f>
        <v>4379</v>
      </c>
      <c r="BL2" s="10">
        <f ca="1">ROUND(BD2*T2*AB2*K2*AZ2*[1]ステータス!$C$2,0)</f>
        <v>3294</v>
      </c>
      <c r="BM2" s="10">
        <f ca="1">ROUND(BD2*U2*AC2*L2*BA2*[1]ステータス!$D$2,0)</f>
        <v>0</v>
      </c>
      <c r="BN2" s="10">
        <f ca="1">ROUND(BD2*V2*AD2*M2*BB2*[1]ステータス!$E$2,0)</f>
        <v>1575</v>
      </c>
      <c r="BO2" s="9">
        <v>0</v>
      </c>
      <c r="BP2" s="9">
        <v>1</v>
      </c>
      <c r="BQ2" s="36" t="s">
        <v>47</v>
      </c>
      <c r="BR2" s="203">
        <v>5500</v>
      </c>
    </row>
    <row r="3" spans="1:70" ht="26" customHeight="1" x14ac:dyDescent="0.15">
      <c r="A3" s="186">
        <v>1086</v>
      </c>
      <c r="B3" s="53" t="str">
        <f ca="1">VLOOKUP($A3,OFFSET([1]characters!$A$1,0,0,COUNTA([1]characters!$A:$A),MATCH(B$1,[1]characters!$1:$1,0)-MATCH($A$1,[1]characters!$1:$1,0)+1),MATCH(B$1,[1]characters!$1:$1,0)-MATCH($A$1,[1]characters!$1:$1,0)+1,FALSE)</f>
        <v>宇宙の線術家 ルメートル</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green</v>
      </c>
      <c r="J3" s="10">
        <f ca="1">VLOOKUP(I3,[1]属性!$A:$E,2,FALSE)</f>
        <v>1.02</v>
      </c>
      <c r="K3" s="10">
        <f ca="1">VLOOKUP(I3,[1]属性!$A:$E,3,FALSE)</f>
        <v>0.98</v>
      </c>
      <c r="L3" s="10">
        <f ca="1">VLOOKUP(I3,[1]属性!$A:$E,4,FALSE)</f>
        <v>1</v>
      </c>
      <c r="M3" s="10">
        <f ca="1">VLOOKUP(I3,[1]属性!$A:$E,5,FALSE)</f>
        <v>1</v>
      </c>
      <c r="N3" s="10">
        <f ca="1">INDEX(コスト!$A$1:$I$21,MATCH(H3,コスト!$A$1:$A$21,FALSE),MATCH(G3,コスト!$A$1:$I$1,FALSE))</f>
        <v>55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technical</v>
      </c>
      <c r="R3" s="5" t="str">
        <f ca="1">VLOOKUP(Q3,[1]character_type_i18n!$A:$H,3,FALSE)</f>
        <v>テクニカルタイプ</v>
      </c>
      <c r="S3" s="10">
        <f ca="1">VLOOKUP(Q3,[1]character_type_i18n!$A:$H,4,FALSE)</f>
        <v>0.9</v>
      </c>
      <c r="T3" s="10">
        <f ca="1">VLOOKUP(Q3,[1]character_type_i18n!$A:$H,5,FALSE)</f>
        <v>0.9</v>
      </c>
      <c r="U3" s="10">
        <f ca="1">VLOOKUP(Q3,[1]character_type_i18n!$A:$H,6,FALSE)</f>
        <v>1</v>
      </c>
      <c r="V3" s="10">
        <f ca="1">VLOOKUP(Q3,[1]character_type_i18n!$A:$H,7,FALSE)</f>
        <v>0.9</v>
      </c>
      <c r="W3" s="53" t="str">
        <f ca="1">VLOOKUP($A3,OFFSET([1]characters!$A$1,0,0,COUNTA([1]characters!$A:$A),MATCH(W$1,[1]characters!$1:$1,0)-MATCH($A$1,[1]characters!$1:$1,0)+1),MATCH(W$1,[1]characters!$1:$1,0)-MATCH($A$1,[1]characters!$1:$1,0)+1,FALSE)</f>
        <v>academia</v>
      </c>
      <c r="X3" s="5" t="str">
        <f ca="1">VLOOKUP(W3,[1]character_tribe_i18n!$A:$H,3,FALSE)</f>
        <v>アカデミア</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v>1087</v>
      </c>
      <c r="AF3" s="58" t="str">
        <f ca="1">IF(AE3="NULL","",VLOOKUP($AE3,OFFSET([1]characters!$A$1,0,0,COUNTA([1]characters!$A:$A),MATCH(AF$1,[1]characters!$1:$1,0)-MATCH($A$1,[1]characters!$1:$1,0)+1),MATCH(AF$1,[1]characters!$1:$1,0)-MATCH($A$1,[1]characters!$1:$1,0)+1,FALSE))</f>
        <v>宇宙線の神業師 ルメートル</v>
      </c>
      <c r="AG3" s="187">
        <v>1085</v>
      </c>
      <c r="AH3" s="58" t="str">
        <f ca="1">VLOOKUP($AG3,OFFSET([1]characters!$A$1,0,0,COUNTA([1]characters!$A:$A),MATCH(AH$1,[1]characters!$1:$1,0)-MATCH($A$1,[1]characters!$1:$1,0)+1),MATCH(AH$1,[1]characters!$1:$1,0)-MATCH($A$1,[1]characters!$1:$1,0)+1,FALSE)</f>
        <v>ルメートル</v>
      </c>
      <c r="AI3" s="10">
        <f ca="1">IF(AE3="NULL","NULL",VLOOKUP(G3,ビット!$A$2:$B$7,2))</f>
        <v>200000</v>
      </c>
      <c r="AJ3" s="6">
        <v>2</v>
      </c>
      <c r="AK3" s="7" t="str">
        <f t="shared" ref="AK3" si="3">IF(AJ3=1,"早熟",IF(AJ3=2,"普通",IF(AJ3=3,"晩成","")))</f>
        <v>普通</v>
      </c>
      <c r="AL3" s="10" t="str">
        <f ca="1">INDEX(経験値!$A$1:$I$21,MATCH(H3,経験値!$A$1:$A$21,FALSE),MATCH(G3,経験値!$A$1:$I$1,FALSE))</f>
        <v>required_exp_300</v>
      </c>
      <c r="AM3" s="8">
        <f ca="1">VLOOKUP(G3,経験値!$A$28:$B$32,2)</f>
        <v>6400</v>
      </c>
      <c r="AN3" s="16">
        <f ca="1">VLOOKUP(G3,ビット!$G$2:$H$7,2)</f>
        <v>900</v>
      </c>
      <c r="AO3" s="41"/>
      <c r="AP3" s="63">
        <v>1086</v>
      </c>
      <c r="AQ3" s="53" t="str">
        <f ca="1">VLOOKUP($AP3,OFFSET(unit_skills!$A$1,0,0,COUNTA(unit_skills!$A:$A),MATCH(AQ$1,unit_skills!$1:$1,0)-MATCH($AP$1,unit_skills!$1:$1,0)+1),MATCH(AQ$1,unit_skills!$1:$1,0)-MATCH($AP$1,unit_skills!$1:$1,0)+1,FALSE)</f>
        <v>ビッグバンSTG・セミオート</v>
      </c>
      <c r="AR3" s="53" t="str">
        <f ca="1">VLOOKUP($AP3,OFFSET(unit_skills!$A$1,0,0,COUNTA(unit_skills!$A:$A),MATCH(AR$1,unit_skills!$1:$1,0)-MATCH($AP$1,unit_skills!$1:$1,0)+1),MATCH(AR$1,unit_skills!$1:$1,0)-MATCH($AP$1,unit_skills!$1:$1,0)+1,FALSE)</f>
        <v>ハートパネルをCパネルに変換+1ターン緑パネルの出現率を超大UP</v>
      </c>
      <c r="AS3" s="53">
        <f ca="1">VLOOKUP($AP3,OFFSET(unit_skills!$A$1,0,0,COUNTA(unit_skills!$A:$A),MATCH(AS$1,unit_skills!$1:$1,0)-MATCH($AP$1,unit_skills!$1:$1,0)+1),MATCH(AS$1,unit_skills!$1:$1,0)-MATCH($AP$1,unit_skills!$1:$1,0)+1,FALSE)</f>
        <v>0</v>
      </c>
      <c r="AT3" s="63">
        <v>1086</v>
      </c>
      <c r="AU3" s="53" t="str">
        <f ca="1">VLOOKUP($AT3,OFFSET(crash_skills!$A$1,0,0,COUNTA(crash_skills!$A:$A),MATCH(AU$1,crash_skills!$1:$1,0)-MATCH($AT$1,crash_skills!$1:$1,0)+1),MATCH(AU$1,crash_skills!$1:$1,0)-MATCH($AT$1,crash_skills!$1:$1,0)+1,FALSE)</f>
        <v>原始的原子ホーミング</v>
      </c>
      <c r="AV3" s="53" t="str">
        <f ca="1">VLOOKUP($AT3,OFFSET(crash_skills!$A$1,0,0,COUNTA(crash_skills!$A:$A),MATCH(AV$1,crash_skills!$1:$1,0)-MATCH($AT$1,crash_skills!$1:$1,0)+1),MATCH(AV$1,crash_skills!$1:$1,0)-MATCH($AT$1,crash_skills!$1:$1,0)+1,FALSE)</f>
        <v>1体に大ダメージ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0.95399999999999996</v>
      </c>
      <c r="AZ3" s="64">
        <v>1.2450000000000001</v>
      </c>
      <c r="BA3" s="64">
        <v>0</v>
      </c>
      <c r="BB3" s="64">
        <v>0.7</v>
      </c>
      <c r="BC3" s="10">
        <f ca="1">INDEX('RC6SV'!$A$1:$G$21,MATCH(H3,'RC6SV'!$A$1:$A$21,FALSE),MATCH(G3,'RC6SV'!$A$1:$G$1,FALSE))</f>
        <v>14000</v>
      </c>
      <c r="BD3" s="44">
        <f t="shared" ref="BD3" ca="1" si="4">ROUND(BC3*IF(AJ3=1,0.95,IF(AJ3=2,1,IF(AJ3,1.05,0))),0)</f>
        <v>14000</v>
      </c>
      <c r="BE3" s="10">
        <f ca="1">ROUND(IFERROR(INDIRECT(ADDRESS(MATCH($A3,$AE:$AE,0),MATCH($BC$1,$1:$1,0))),0),0)</f>
        <v>10000</v>
      </c>
      <c r="BF3" s="10">
        <f ca="1">ROUND(IFERROR(INDIRECT(ADDRESS(MATCH($A3,$AE:$AE,0),10)),INDIRECT(ADDRESS(MATCH($A3,$A:$A,0),10))),0)</f>
        <v>1</v>
      </c>
      <c r="BG3" s="15">
        <f ca="1">IF($BE3&lt;=0,ROUND(BK3*0.5,0), ROUND($BE3*S3*AA3*J3*AY3*0.8*[1]ステータス!$B$2,0))</f>
        <v>3503</v>
      </c>
      <c r="BH3" s="15">
        <f ca="1">IF($BE3&lt;=0,ROUND(BL3*0.5,0), ROUND($BE3*T3*AB3*K3*AZ3*0.8*[1]ステータス!$C$2,0))</f>
        <v>2635</v>
      </c>
      <c r="BI3" s="15">
        <f ca="1">IF($BE3&lt;=0,ROUND(BM3*0.5,0), ROUND($BE3*U3*AC3*L3*BA3*0.8*[1]ステータス!$D$2,0))</f>
        <v>0</v>
      </c>
      <c r="BJ3" s="15">
        <f ca="1">IF($BE3&lt;=0,ROUND(BN3*0.5,0), ROUND($BE3*V3*AD3*M3*BB3*0.8*[1]ステータス!$E$2,0))</f>
        <v>1260</v>
      </c>
      <c r="BK3" s="10">
        <f ca="1">ROUND(BD3*S3*AA3*J3*AY3*[1]ステータス!$B$2,0)</f>
        <v>6130</v>
      </c>
      <c r="BL3" s="10">
        <f ca="1">ROUND(BD3*T3*AB3*K3*AZ3*[1]ステータス!$C$2,0)</f>
        <v>4612</v>
      </c>
      <c r="BM3" s="10">
        <f ca="1">ROUND(BD3*U3*AC3*L3*BA3*[1]ステータス!$D$2,0)</f>
        <v>0</v>
      </c>
      <c r="BN3" s="10">
        <f ca="1">ROUND(BD3*V3*AD3*M3*BB3*[1]ステータス!$E$2,0)</f>
        <v>2205</v>
      </c>
      <c r="BO3" s="9">
        <v>0</v>
      </c>
      <c r="BP3" s="9">
        <v>1</v>
      </c>
      <c r="BQ3" s="9" t="s">
        <v>47</v>
      </c>
      <c r="BR3" s="203">
        <v>5500</v>
      </c>
    </row>
    <row r="4" spans="1:70" ht="26" customHeight="1" x14ac:dyDescent="0.15">
      <c r="A4" s="186">
        <v>1087</v>
      </c>
      <c r="B4" s="53" t="str">
        <f ca="1">VLOOKUP($A4,OFFSET([1]characters!$A$1,0,0,COUNTA([1]characters!$A:$A),MATCH(B$1,[1]characters!$1:$1,0)-MATCH($A$1,[1]characters!$1:$1,0)+1),MATCH(B$1,[1]characters!$1:$1,0)-MATCH($A$1,[1]characters!$1:$1,0)+1,FALSE)</f>
        <v>宇宙線の神業師 ルメートル</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55</v>
      </c>
      <c r="O4" s="10">
        <f ca="1">INDEX(レベル!$A$1:$I$22,MATCH(H4,レベル!$A$1:$A$22,FALSE),MATCH(G4,レベル!$A$1:$I$1,FALSE))</f>
        <v>99</v>
      </c>
      <c r="P4" s="44">
        <f t="shared" ref="P4" ca="1" si="5">IF(G4 &gt;= 6, 99,G4*15)</f>
        <v>99</v>
      </c>
      <c r="Q4" s="53" t="str">
        <f ca="1">VLOOKUP($A4,OFFSET([1]characters!$A$1,0,0,COUNTA([1]characters!$A:$A),MATCH(Q$1,[1]characters!$1:$1,0)-MATCH($A$1,[1]characters!$1:$1,0)+1),MATCH(Q$1,[1]characters!$1:$1,0)-MATCH($A$1,[1]characters!$1:$1,0)+1,FALSE)</f>
        <v>balance</v>
      </c>
      <c r="R4" s="5" t="str">
        <f ca="1">VLOOKUP(Q4,[1]character_type_i18n!$A:$H,3,FALSE)</f>
        <v>バランスタイプ</v>
      </c>
      <c r="S4" s="10">
        <f ca="1">VLOOKUP(Q4,[1]character_type_i18n!$A:$H,4,FALSE)</f>
        <v>1</v>
      </c>
      <c r="T4" s="10">
        <f ca="1">VLOOKUP(Q4,[1]character_type_i18n!$A:$H,5,FALSE)</f>
        <v>1</v>
      </c>
      <c r="U4" s="10">
        <f ca="1">VLOOKUP(Q4,[1]character_type_i18n!$A:$H,6,FALSE)</f>
        <v>1</v>
      </c>
      <c r="V4" s="10">
        <f ca="1">VLOOKUP(Q4,[1]character_type_i18n!$A:$H,7,FALSE)</f>
        <v>1</v>
      </c>
      <c r="W4" s="53" t="str">
        <f ca="1">VLOOKUP($A4,OFFSET([1]characters!$A$1,0,0,COUNTA([1]characters!$A:$A),MATCH(W$1,[1]characters!$1:$1,0)-MATCH($A$1,[1]characters!$1:$1,0)+1),MATCH(W$1,[1]characters!$1:$1,0)-MATCH($A$1,[1]characters!$1:$1,0)+1,FALSE)</f>
        <v>academia</v>
      </c>
      <c r="X4" s="5" t="str">
        <f ca="1">VLOOKUP(W4,[1]character_tribe_i18n!$A:$H,3,FALSE)</f>
        <v>アカデミア</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v>
      </c>
      <c r="AC4" s="10">
        <f ca="1">VLOOKUP(W4,[1]character_tribe_i18n!$A:$H,6,FALSE)</f>
        <v>1</v>
      </c>
      <c r="AD4" s="10">
        <f ca="1">VLOOKUP(W4,[1]character_tribe_i18n!$A:$H,7,FALSE)</f>
        <v>1</v>
      </c>
      <c r="AE4" s="187" t="s">
        <v>183</v>
      </c>
      <c r="AF4" s="58" t="str">
        <f ca="1">IF(AE4="NULL","",VLOOKUP($AE4,OFFSET([1]characters!$A$1,0,0,COUNTA([1]characters!$A:$A),MATCH(AF$1,[1]characters!$1:$1,0)-MATCH($A$1,[1]characters!$1:$1,0)+1),MATCH(AF$1,[1]characters!$1:$1,0)-MATCH($A$1,[1]characters!$1:$1,0)+1,FALSE))</f>
        <v/>
      </c>
      <c r="AG4" s="187">
        <v>1085</v>
      </c>
      <c r="AH4" s="58" t="str">
        <f ca="1">VLOOKUP($AG4,OFFSET([1]characters!$A$1,0,0,COUNTA([1]characters!$A:$A),MATCH(AH$1,[1]characters!$1:$1,0)-MATCH($A$1,[1]characters!$1:$1,0)+1),MATCH(AH$1,[1]characters!$1:$1,0)-MATCH($A$1,[1]characters!$1:$1,0)+1,FALSE)</f>
        <v>ルメートル</v>
      </c>
      <c r="AI4" s="10" t="str">
        <f>IF(AE4="NULL","NULL",VLOOKUP(G4,ビット!$A$2:$B$7,2))</f>
        <v>NULL</v>
      </c>
      <c r="AJ4" s="6">
        <v>2</v>
      </c>
      <c r="AK4" s="7" t="str">
        <f t="shared" ref="AK4" si="6">IF(AJ4=1,"早熟",IF(AJ4=2,"普通",IF(AJ4=3,"晩成","")))</f>
        <v>普通</v>
      </c>
      <c r="AL4" s="10" t="str">
        <f ca="1">INDEX(経験値!$A$1:$I$21,MATCH(H4,経験値!$A$1:$A$21,FALSE),MATCH(G4,経験値!$A$1:$I$1,FALSE))</f>
        <v>required_exp_300</v>
      </c>
      <c r="AM4" s="8">
        <f ca="1">VLOOKUP(G4,経験値!$A$28:$B$32,2)</f>
        <v>6400</v>
      </c>
      <c r="AN4" s="16">
        <f ca="1">VLOOKUP(G4,ビット!$G$2:$H$7,2)</f>
        <v>900</v>
      </c>
      <c r="AO4" s="41"/>
      <c r="AP4" s="63">
        <v>1087</v>
      </c>
      <c r="AQ4" s="53" t="str">
        <f ca="1">VLOOKUP($AP4,OFFSET(unit_skills!$A$1,0,0,COUNTA(unit_skills!$A:$A),MATCH(AQ$1,unit_skills!$1:$1,0)-MATCH($AP$1,unit_skills!$1:$1,0)+1),MATCH(AQ$1,unit_skills!$1:$1,0)-MATCH($AP$1,unit_skills!$1:$1,0)+1,FALSE)</f>
        <v>ビッグバンSTG・フルオート</v>
      </c>
      <c r="AR4" s="53" t="str">
        <f ca="1">VLOOKUP($AP4,OFFSET(unit_skills!$A$1,0,0,COUNTA(unit_skills!$A:$A),MATCH(AR$1,unit_skills!$1:$1,0)-MATCH($AP$1,unit_skills!$1:$1,0)+1),MATCH(AR$1,unit_skills!$1:$1,0)-MATCH($AP$1,unit_skills!$1:$1,0)+1,FALSE)</f>
        <v>黄パネルを最大22個Cパネルに変換+2ターン全ユニットの防御力UP(お邪魔・赤パネルを吸収し効果UP)</v>
      </c>
      <c r="AS4" s="53">
        <f ca="1">VLOOKUP($AP4,OFFSET(unit_skills!$A$1,0,0,COUNTA(unit_skills!$A:$A),MATCH(AS$1,unit_skills!$1:$1,0)-MATCH($AP$1,unit_skills!$1:$1,0)+1),MATCH(AS$1,unit_skills!$1:$1,0)-MATCH($AP$1,unit_skills!$1:$1,0)+1,FALSE)</f>
        <v>0</v>
      </c>
      <c r="AT4" s="63">
        <v>1087</v>
      </c>
      <c r="AU4" s="53" t="str">
        <f ca="1">VLOOKUP($AT4,OFFSET(crash_skills!$A$1,0,0,COUNTA(crash_skills!$A:$A),MATCH(AU$1,crash_skills!$1:$1,0)-MATCH($AT$1,crash_skills!$1:$1,0)+1),MATCH(AU$1,crash_skills!$1:$1,0)-MATCH($AT$1,crash_skills!$1:$1,0)+1,FALSE)</f>
        <v>原始的原子ホーミング弾幕</v>
      </c>
      <c r="AV4" s="53" t="str">
        <f ca="1">VLOOKUP($AT4,OFFSET(crash_skills!$A$1,0,0,COUNTA(crash_skills!$A:$A),MATCH(AV$1,crash_skills!$1:$1,0)-MATCH($AT$1,crash_skills!$1:$1,0)+1),MATCH(AV$1,crash_skills!$1:$1,0)-MATCH($AT$1,crash_skills!$1:$1,0)+1,FALSE)</f>
        <v>種族サムライに効果超大の単体大ダメージ+_x000D_種族マシンに効果超大の単体大ダメージ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0.88400000000000001</v>
      </c>
      <c r="AZ4" s="64">
        <v>1.1000000000000001</v>
      </c>
      <c r="BA4" s="64">
        <v>0</v>
      </c>
      <c r="BB4" s="64">
        <v>0.95699999999999996</v>
      </c>
      <c r="BC4" s="10">
        <f ca="1">INDEX('RC6SV'!$A$1:$G$21,MATCH(H4,'RC6SV'!$A$1:$A$21,FALSE),MATCH(G4,'RC6SV'!$A$1:$G$1,FALSE))</f>
        <v>14000</v>
      </c>
      <c r="BD4" s="44">
        <f t="shared" ref="BD4" ca="1" si="7">ROUND(BC4*IF(AJ4=1,0.95,IF(AJ4=2,1,IF(AJ4,1.05,0))),0)</f>
        <v>14000</v>
      </c>
      <c r="BE4" s="10">
        <f ca="1">ROUND(IFERROR(INDIRECT(ADDRESS(MATCH($A4,$AE:$AE,0),MATCH($BC$1,$1:$1,0))),0),0)</f>
        <v>14000</v>
      </c>
      <c r="BF4" s="10">
        <f ca="1">ROUND(IFERROR(INDIRECT(ADDRESS(MATCH($A4,$AE:$AE,0),10)),INDIRECT(ADDRESS(MATCH($A4,$A:$A,0),10))),0)</f>
        <v>1</v>
      </c>
      <c r="BG4" s="15">
        <f ca="1">IF($BE4&lt;=0,ROUND(BK4*0.5,0), ROUND($BE4*S4*AA4*J4*AY4*0.8*[1]ステータス!$B$2,0))</f>
        <v>5049</v>
      </c>
      <c r="BH4" s="15">
        <f ca="1">IF($BE4&lt;=0,ROUND(BL4*0.5,0), ROUND($BE4*T4*AB4*K4*AZ4*0.8*[1]ステータス!$C$2,0))</f>
        <v>3622</v>
      </c>
      <c r="BI4" s="15">
        <f ca="1">IF($BE4&lt;=0,ROUND(BM4*0.5,0), ROUND($BE4*U4*AC4*L4*BA4*0.8*[1]ステータス!$D$2,0))</f>
        <v>0</v>
      </c>
      <c r="BJ4" s="15">
        <f ca="1">IF($BE4&lt;=0,ROUND(BN4*0.5,0), ROUND($BE4*V4*AD4*M4*BB4*0.8*[1]ステータス!$E$2,0))</f>
        <v>2680</v>
      </c>
      <c r="BK4" s="10">
        <f ca="1">ROUND(BD4*S4*AA4*J4*AY4*[1]ステータス!$B$2,0)</f>
        <v>6312</v>
      </c>
      <c r="BL4" s="10">
        <f ca="1">ROUND(BD4*T4*AB4*K4*AZ4*[1]ステータス!$C$2,0)</f>
        <v>4528</v>
      </c>
      <c r="BM4" s="10">
        <f ca="1">ROUND(BD4*U4*AC4*L4*BA4*[1]ステータス!$D$2,0)</f>
        <v>0</v>
      </c>
      <c r="BN4" s="10">
        <f ca="1">ROUND(BD4*V4*AD4*M4*BB4*[1]ステータス!$E$2,0)</f>
        <v>3350</v>
      </c>
      <c r="BO4" s="9">
        <v>0</v>
      </c>
      <c r="BP4" s="9">
        <v>1</v>
      </c>
      <c r="BQ4" s="9" t="s">
        <v>47</v>
      </c>
      <c r="BR4" s="203">
        <v>5500</v>
      </c>
    </row>
  </sheetData>
  <autoFilter ref="A1:BQ1"/>
  <phoneticPr fontId="10"/>
  <conditionalFormatting sqref="BO1">
    <cfRule type="cellIs" dxfId="36" priority="120" stopIfTrue="1" operator="equal">
      <formula>1</formula>
    </cfRule>
  </conditionalFormatting>
  <conditionalFormatting sqref="BQ1">
    <cfRule type="cellIs" dxfId="3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4"/>
  <sheetViews>
    <sheetView showGridLines="0" zoomScale="115" workbookViewId="0">
      <pane xSplit="4" ySplit="1" topLeftCell="E2" activePane="bottomRight" state="frozen"/>
      <selection pane="topRight" activeCell="D1" sqref="D1"/>
      <selection pane="bottomLeft" activeCell="A2" sqref="A2"/>
      <selection pane="bottomRight" activeCell="D16" sqref="D16"/>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184</v>
      </c>
      <c r="K1" s="118" t="s">
        <v>4</v>
      </c>
      <c r="L1" s="120" t="s">
        <v>167</v>
      </c>
      <c r="M1" s="121" t="s">
        <v>168</v>
      </c>
      <c r="N1" s="121" t="s">
        <v>169</v>
      </c>
      <c r="O1" s="121" t="s">
        <v>170</v>
      </c>
      <c r="P1" s="121" t="s">
        <v>171</v>
      </c>
      <c r="Q1" s="122" t="s">
        <v>172</v>
      </c>
      <c r="R1" s="123" t="s">
        <v>173</v>
      </c>
      <c r="S1" s="124" t="s">
        <v>174</v>
      </c>
    </row>
    <row r="2" spans="1:19" ht="21" customHeight="1" x14ac:dyDescent="0.15">
      <c r="A2" s="186">
        <v>1085</v>
      </c>
      <c r="B2" s="129" t="s">
        <v>185</v>
      </c>
      <c r="C2" s="188" t="s">
        <v>340</v>
      </c>
      <c r="D2" s="188" t="s">
        <v>368</v>
      </c>
      <c r="E2" s="131">
        <f t="shared" ref="E2" si="0">LEN(D2)</f>
        <v>31</v>
      </c>
      <c r="F2" s="63">
        <v>14</v>
      </c>
      <c r="G2" s="113">
        <v>7</v>
      </c>
      <c r="H2" s="132">
        <f>2001</f>
        <v>2001</v>
      </c>
      <c r="I2" s="189" t="s">
        <v>366</v>
      </c>
      <c r="J2" s="53" t="str">
        <f ca="1">VLOOKUP($A2,OFFSET([1]characters!$A$1,0,0,COUNTA([1]characters!$A:$A),MATCH("name",[1]characters!$1:$1,0)-MATCH("character_id",[1]characters!$1:$1,0)+1),MATCH("name",[1]characters!$1:$1,0)-MATCH("character_id",[1]characters!$1:$1,0)+1,FALSE)</f>
        <v>ルメートル</v>
      </c>
      <c r="K2" s="133">
        <f>IFERROR(VLOOKUP(A2,[1]characters!$A:$R,18),0)</f>
        <v>3</v>
      </c>
      <c r="L2" s="134"/>
      <c r="M2" s="135"/>
      <c r="N2" s="135"/>
      <c r="O2" s="135"/>
      <c r="P2" s="135"/>
      <c r="Q2" s="135"/>
      <c r="R2" s="130"/>
      <c r="S2" s="136"/>
    </row>
    <row r="3" spans="1:19" ht="21" customHeight="1" x14ac:dyDescent="0.15">
      <c r="A3" s="186">
        <v>1086</v>
      </c>
      <c r="B3" s="129" t="s">
        <v>185</v>
      </c>
      <c r="C3" s="188" t="s">
        <v>341</v>
      </c>
      <c r="D3" s="188" t="s">
        <v>369</v>
      </c>
      <c r="E3" s="131">
        <f t="shared" ref="E3" si="1">LEN(D3)</f>
        <v>32</v>
      </c>
      <c r="F3" s="63">
        <v>13</v>
      </c>
      <c r="G3" s="113">
        <v>7</v>
      </c>
      <c r="H3" s="132">
        <f>2001</f>
        <v>2001</v>
      </c>
      <c r="I3" s="189" t="s">
        <v>367</v>
      </c>
      <c r="J3" s="53" t="str">
        <f ca="1">VLOOKUP($A3,OFFSET([1]characters!$A$1,0,0,COUNTA([1]characters!$A:$A),MATCH("name",[1]characters!$1:$1,0)-MATCH("character_id",[1]characters!$1:$1,0)+1),MATCH("name",[1]characters!$1:$1,0)-MATCH("character_id",[1]characters!$1:$1,0)+1,FALSE)</f>
        <v>宇宙の線術家 ルメートル</v>
      </c>
      <c r="K3" s="133">
        <f>IFERROR(VLOOKUP(A3,[1]characters!$A:$R,18),0)</f>
        <v>3</v>
      </c>
      <c r="L3" s="134"/>
      <c r="M3" s="135"/>
      <c r="N3" s="135"/>
      <c r="O3" s="135"/>
      <c r="P3" s="135"/>
      <c r="Q3" s="135"/>
      <c r="R3" s="130"/>
      <c r="S3" s="136"/>
    </row>
    <row r="4" spans="1:19" ht="21" customHeight="1" x14ac:dyDescent="0.15">
      <c r="A4" s="186">
        <v>1087</v>
      </c>
      <c r="B4" s="129" t="s">
        <v>185</v>
      </c>
      <c r="C4" s="188" t="s">
        <v>342</v>
      </c>
      <c r="D4" s="188" t="s">
        <v>374</v>
      </c>
      <c r="E4" s="131">
        <f t="shared" ref="E4" si="2">LEN(D4)</f>
        <v>51</v>
      </c>
      <c r="F4" s="63">
        <v>13</v>
      </c>
      <c r="G4" s="113">
        <v>7</v>
      </c>
      <c r="H4" s="132">
        <f>2001</f>
        <v>2001</v>
      </c>
      <c r="I4" s="189" t="s">
        <v>370</v>
      </c>
      <c r="J4" s="53" t="str">
        <f ca="1">VLOOKUP($A4,OFFSET([1]characters!$A$1,0,0,COUNTA([1]characters!$A:$A),MATCH("name",[1]characters!$1:$1,0)-MATCH("character_id",[1]characters!$1:$1,0)+1),MATCH("name",[1]characters!$1:$1,0)-MATCH("character_id",[1]characters!$1:$1,0)+1,FALSE)</f>
        <v>宇宙線の神業師 ルメートル</v>
      </c>
      <c r="K4" s="133">
        <f>IFERROR(VLOOKUP(A4,[1]characters!$A:$R,18),0)</f>
        <v>3</v>
      </c>
      <c r="L4" s="134"/>
      <c r="M4" s="135"/>
      <c r="N4" s="135"/>
      <c r="O4" s="135"/>
      <c r="P4" s="135"/>
      <c r="Q4" s="135"/>
      <c r="R4" s="130"/>
      <c r="S4" s="136"/>
    </row>
  </sheetData>
  <sheetProtection selectLockedCells="1" selectUnlockedCells="1"/>
  <autoFilter ref="A1:S1">
    <sortState ref="A2:T432">
      <sortCondition ref="A1:A432"/>
    </sortState>
  </autoFilter>
  <phoneticPr fontId="22"/>
  <conditionalFormatting sqref="E1 E5:E1048576">
    <cfRule type="cellIs" dxfId="34" priority="25" operator="greaterThan">
      <formula>41</formula>
    </cfRule>
  </conditionalFormatting>
  <conditionalFormatting sqref="E2">
    <cfRule type="cellIs" dxfId="33" priority="19" operator="greaterThan">
      <formula>41</formula>
    </cfRule>
  </conditionalFormatting>
  <conditionalFormatting sqref="E3">
    <cfRule type="cellIs" dxfId="32" priority="18" operator="greaterThan">
      <formula>41</formula>
    </cfRule>
  </conditionalFormatting>
  <conditionalFormatting sqref="E4">
    <cfRule type="cellIs" dxfId="31"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4"/>
  <sheetViews>
    <sheetView showGridLines="0" workbookViewId="0">
      <pane xSplit="4" ySplit="1" topLeftCell="G2" activePane="bottomRight" state="frozen"/>
      <selection pane="topRight" activeCell="D1" sqref="D1"/>
      <selection pane="bottomLeft" activeCell="A3" sqref="A3"/>
      <selection pane="bottomRight" activeCell="H14" sqref="H14"/>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184</v>
      </c>
      <c r="H1" s="118" t="s">
        <v>176</v>
      </c>
      <c r="I1" s="119" t="s">
        <v>175</v>
      </c>
      <c r="J1" s="123" t="s">
        <v>174</v>
      </c>
    </row>
    <row r="2" spans="1:19" ht="21" customHeight="1" x14ac:dyDescent="0.15">
      <c r="A2" s="186">
        <v>1085</v>
      </c>
      <c r="B2" s="129" t="s">
        <v>186</v>
      </c>
      <c r="C2" s="188" t="s">
        <v>343</v>
      </c>
      <c r="D2" s="188" t="s">
        <v>347</v>
      </c>
      <c r="E2" s="131">
        <f t="shared" ref="E2" si="0">LEN(D2)</f>
        <v>7</v>
      </c>
      <c r="F2" s="190" t="s">
        <v>346</v>
      </c>
      <c r="G2" s="53" t="str">
        <f ca="1">VLOOKUP($A2,OFFSET([1]characters!$A$1,0,0,COUNTA([1]characters!$A:$A),MATCH("name",[1]characters!$1:$1,0)-MATCH("character_id",[1]characters!$1:$1,0)+1),MATCH("name",[1]characters!$1:$1,0)-MATCH("character_id",[1]characters!$1:$1,0)+1,FALSE)</f>
        <v>ルメートル</v>
      </c>
      <c r="H2" s="132">
        <f>IFERROR(VLOOKUP(A2,[1]characters!$A:$R,18),0)</f>
        <v>3</v>
      </c>
      <c r="I2" s="132"/>
      <c r="J2" s="137"/>
      <c r="K2" s="133">
        <v>1</v>
      </c>
      <c r="L2" s="134"/>
      <c r="M2" s="135"/>
      <c r="N2" s="135"/>
      <c r="O2" s="135"/>
      <c r="P2" s="135"/>
      <c r="Q2" s="135"/>
      <c r="R2" s="130"/>
      <c r="S2" s="136"/>
    </row>
    <row r="3" spans="1:19" ht="21" customHeight="1" x14ac:dyDescent="0.15">
      <c r="A3" s="186">
        <v>1086</v>
      </c>
      <c r="B3" s="129" t="s">
        <v>186</v>
      </c>
      <c r="C3" s="188" t="s">
        <v>344</v>
      </c>
      <c r="D3" s="188" t="s">
        <v>349</v>
      </c>
      <c r="E3" s="131">
        <f t="shared" ref="E3" si="1">LEN(D3)</f>
        <v>8</v>
      </c>
      <c r="F3" s="190" t="s">
        <v>348</v>
      </c>
      <c r="G3" s="53" t="str">
        <f ca="1">VLOOKUP($A3,OFFSET([1]characters!$A$1,0,0,COUNTA([1]characters!$A:$A),MATCH("name",[1]characters!$1:$1,0)-MATCH("character_id",[1]characters!$1:$1,0)+1),MATCH("name",[1]characters!$1:$1,0)-MATCH("character_id",[1]characters!$1:$1,0)+1,FALSE)</f>
        <v>宇宙の線術家 ルメートル</v>
      </c>
      <c r="H3" s="132">
        <f>IFERROR(VLOOKUP(A3,[1]characters!$A:$R,18),0)</f>
        <v>3</v>
      </c>
      <c r="I3" s="132"/>
      <c r="J3" s="137"/>
      <c r="K3" s="133">
        <v>1</v>
      </c>
      <c r="L3" s="134"/>
      <c r="M3" s="135"/>
      <c r="N3" s="135"/>
      <c r="O3" s="135"/>
      <c r="P3" s="135"/>
      <c r="Q3" s="135"/>
      <c r="R3" s="130"/>
      <c r="S3" s="136"/>
    </row>
    <row r="4" spans="1:19" ht="21" customHeight="1" x14ac:dyDescent="0.15">
      <c r="A4" s="186">
        <v>1087</v>
      </c>
      <c r="B4" s="129" t="s">
        <v>185</v>
      </c>
      <c r="C4" s="188" t="s">
        <v>345</v>
      </c>
      <c r="D4" s="188" t="s">
        <v>371</v>
      </c>
      <c r="E4" s="131">
        <f t="shared" ref="E4" si="2">LEN(D4)</f>
        <v>39</v>
      </c>
      <c r="F4" s="190" t="s">
        <v>375</v>
      </c>
      <c r="G4" s="53" t="str">
        <f ca="1">VLOOKUP($A4,OFFSET([1]characters!$A$1,0,0,COUNTA([1]characters!$A:$A),MATCH("name",[1]characters!$1:$1,0)-MATCH("character_id",[1]characters!$1:$1,0)+1),MATCH("name",[1]characters!$1:$1,0)-MATCH("character_id",[1]characters!$1:$1,0)+1,FALSE)</f>
        <v>宇宙線の神業師 ルメートル</v>
      </c>
      <c r="H4" s="132">
        <f>IFERROR(VLOOKUP(A4,[1]characters!$A:$R,18),0)</f>
        <v>3</v>
      </c>
      <c r="I4" s="132"/>
      <c r="J4" s="137"/>
      <c r="K4" s="133">
        <v>1</v>
      </c>
      <c r="L4" s="134"/>
      <c r="M4" s="135"/>
      <c r="N4" s="135"/>
      <c r="O4" s="135"/>
      <c r="P4" s="135"/>
      <c r="Q4" s="135"/>
      <c r="R4" s="130"/>
      <c r="S4" s="136"/>
    </row>
  </sheetData>
  <sheetProtection selectLockedCells="1" selectUnlockedCells="1"/>
  <autoFilter ref="A1:J1"/>
  <phoneticPr fontId="22"/>
  <conditionalFormatting sqref="E2">
    <cfRule type="cellIs" dxfId="30" priority="19" operator="greaterThan">
      <formula>41</formula>
    </cfRule>
  </conditionalFormatting>
  <conditionalFormatting sqref="E3">
    <cfRule type="cellIs" dxfId="29" priority="18" operator="greaterThan">
      <formula>41</formula>
    </cfRule>
  </conditionalFormatting>
  <conditionalFormatting sqref="E4">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5"/>
  <sheetViews>
    <sheetView zoomScale="110" workbookViewId="0">
      <selection activeCell="G12" sqref="G12:H14"/>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187</v>
      </c>
      <c r="B1" s="138" t="s">
        <v>188</v>
      </c>
      <c r="C1" s="110" t="s">
        <v>189</v>
      </c>
      <c r="D1" s="138" t="s">
        <v>191</v>
      </c>
      <c r="E1" s="138" t="s">
        <v>192</v>
      </c>
      <c r="F1" s="109" t="s">
        <v>193</v>
      </c>
      <c r="G1" s="110" t="s">
        <v>190</v>
      </c>
      <c r="H1" s="109" t="s">
        <v>194</v>
      </c>
    </row>
    <row r="2" spans="1:8" x14ac:dyDescent="0.15">
      <c r="A2" s="105">
        <v>1085</v>
      </c>
      <c r="B2" s="138" t="str">
        <f>VLOOKUP(A2,[1]characters!$A:$C,3,FALSE)</f>
        <v>ルメートル</v>
      </c>
      <c r="C2" s="105" t="s">
        <v>195</v>
      </c>
      <c r="D2" s="138" t="str">
        <f t="shared" ref="D2" si="0">A2&amp;C2</f>
        <v>1085skill</v>
      </c>
      <c r="E2" s="138" t="str">
        <f>A2&amp;+(COUNTIF(A2:A$100,A2)-1)</f>
        <v>10853</v>
      </c>
      <c r="F2" s="105" t="s">
        <v>197</v>
      </c>
      <c r="G2" s="162" t="s">
        <v>196</v>
      </c>
      <c r="H2" s="162" t="s">
        <v>350</v>
      </c>
    </row>
    <row r="3" spans="1:8" x14ac:dyDescent="0.15">
      <c r="A3" s="105">
        <v>1085</v>
      </c>
      <c r="B3" s="138" t="str">
        <f>VLOOKUP(A3,[1]characters!$A:$C,3,FALSE)</f>
        <v>ルメートル</v>
      </c>
      <c r="C3" s="105" t="s">
        <v>198</v>
      </c>
      <c r="D3" s="138" t="str">
        <f>A3&amp;C3</f>
        <v>1085cskill</v>
      </c>
      <c r="E3" s="138" t="str">
        <f>A3&amp;+(COUNTIF(A3:A$100,A3)-1)</f>
        <v>10852</v>
      </c>
      <c r="F3" s="105" t="s">
        <v>186</v>
      </c>
      <c r="G3" s="162" t="s">
        <v>196</v>
      </c>
      <c r="H3" s="162" t="s">
        <v>356</v>
      </c>
    </row>
    <row r="4" spans="1:8" x14ac:dyDescent="0.15">
      <c r="A4" s="105">
        <v>1085</v>
      </c>
      <c r="B4" s="138" t="str">
        <f>VLOOKUP(A4,[1]characters!$A:$C,3,FALSE)</f>
        <v>ルメートル</v>
      </c>
      <c r="C4" s="105" t="s">
        <v>198</v>
      </c>
      <c r="D4" s="138" t="str">
        <f>A4&amp;C4</f>
        <v>1085cskill</v>
      </c>
      <c r="E4" s="138" t="str">
        <f>A4&amp;+(COUNTIF(A4:A$100,A4)-1)</f>
        <v>10851</v>
      </c>
      <c r="F4" s="105" t="s">
        <v>186</v>
      </c>
      <c r="G4" s="162" t="s">
        <v>196</v>
      </c>
      <c r="H4" s="162" t="s">
        <v>357</v>
      </c>
    </row>
    <row r="5" spans="1:8" x14ac:dyDescent="0.15">
      <c r="A5" s="105">
        <v>1085</v>
      </c>
      <c r="B5" s="138" t="str">
        <f>VLOOKUP(A5,[1]characters!$A:$C,3,FALSE)</f>
        <v>ルメートル</v>
      </c>
      <c r="C5" s="105" t="s">
        <v>198</v>
      </c>
      <c r="D5" s="138" t="str">
        <f>A5&amp;C5</f>
        <v>1085cskill</v>
      </c>
      <c r="E5" s="138" t="str">
        <f>A5&amp;+(COUNTIF(A5:A$100,A5)-1)</f>
        <v>10850</v>
      </c>
      <c r="F5" s="105" t="s">
        <v>197</v>
      </c>
      <c r="G5" s="162" t="s">
        <v>358</v>
      </c>
      <c r="H5" s="162" t="s">
        <v>359</v>
      </c>
    </row>
    <row r="6" spans="1:8" x14ac:dyDescent="0.15">
      <c r="A6" s="105">
        <v>1086</v>
      </c>
      <c r="B6" s="138" t="str">
        <f>VLOOKUP(A6,[1]characters!$A:$C,3,FALSE)</f>
        <v>宇宙の線術家 ルメートル</v>
      </c>
      <c r="C6" s="105" t="s">
        <v>195</v>
      </c>
      <c r="D6" s="138" t="str">
        <f t="shared" ref="D6" si="1">A6&amp;C6</f>
        <v>1086skill</v>
      </c>
      <c r="E6" s="138" t="str">
        <f>A6&amp;+(COUNTIF(A6:A$100,A6)-1)</f>
        <v>10864</v>
      </c>
      <c r="F6" s="105" t="s">
        <v>186</v>
      </c>
      <c r="G6" s="162" t="s">
        <v>196</v>
      </c>
      <c r="H6" s="162" t="s">
        <v>351</v>
      </c>
    </row>
    <row r="7" spans="1:8" x14ac:dyDescent="0.15">
      <c r="A7" s="105">
        <v>1086</v>
      </c>
      <c r="B7" s="138" t="str">
        <f>VLOOKUP(A7,[1]characters!$A:$C,3,FALSE)</f>
        <v>宇宙の線術家 ルメートル</v>
      </c>
      <c r="C7" s="105" t="s">
        <v>198</v>
      </c>
      <c r="D7" s="138" t="str">
        <f>A7&amp;C7</f>
        <v>1086cskill</v>
      </c>
      <c r="E7" s="138" t="str">
        <f>A7&amp;+(COUNTIF(A7:A$100,A7)-1)</f>
        <v>10863</v>
      </c>
      <c r="F7" s="105" t="s">
        <v>186</v>
      </c>
      <c r="G7" s="162" t="s">
        <v>196</v>
      </c>
      <c r="H7" s="162" t="s">
        <v>356</v>
      </c>
    </row>
    <row r="8" spans="1:8" x14ac:dyDescent="0.15">
      <c r="A8" s="105">
        <v>1086</v>
      </c>
      <c r="B8" s="138" t="str">
        <f>VLOOKUP(A8,[1]characters!$A:$C,3,FALSE)</f>
        <v>宇宙の線術家 ルメートル</v>
      </c>
      <c r="C8" s="105" t="s">
        <v>198</v>
      </c>
      <c r="D8" s="138" t="str">
        <f>A8&amp;C8</f>
        <v>1086cskill</v>
      </c>
      <c r="E8" s="138" t="str">
        <f>A8&amp;+(COUNTIF(A8:A$100,A8)-1)</f>
        <v>10862</v>
      </c>
      <c r="F8" s="105" t="s">
        <v>186</v>
      </c>
      <c r="G8" s="162" t="s">
        <v>196</v>
      </c>
      <c r="H8" s="162" t="s">
        <v>357</v>
      </c>
    </row>
    <row r="9" spans="1:8" x14ac:dyDescent="0.15">
      <c r="A9" s="105">
        <v>1086</v>
      </c>
      <c r="B9" s="138" t="str">
        <f>VLOOKUP(A9,[1]characters!$A:$C,3,FALSE)</f>
        <v>宇宙の線術家 ルメートル</v>
      </c>
      <c r="C9" s="105" t="s">
        <v>198</v>
      </c>
      <c r="D9" s="138" t="str">
        <f>A9&amp;C9</f>
        <v>1086cskill</v>
      </c>
      <c r="E9" s="138" t="str">
        <f>A9&amp;+(COUNTIF(A9:A$100,A9)-1)</f>
        <v>10861</v>
      </c>
      <c r="F9" s="105" t="s">
        <v>186</v>
      </c>
      <c r="G9" s="162" t="s">
        <v>358</v>
      </c>
      <c r="H9" s="162" t="s">
        <v>359</v>
      </c>
    </row>
    <row r="10" spans="1:8" x14ac:dyDescent="0.15">
      <c r="A10" s="105">
        <v>1086</v>
      </c>
      <c r="B10" s="138" t="str">
        <f>VLOOKUP(A10,[1]characters!$A:$C,3,FALSE)</f>
        <v>宇宙の線術家 ルメートル</v>
      </c>
      <c r="C10" s="105" t="s">
        <v>198</v>
      </c>
      <c r="D10" s="138" t="str">
        <f>A10&amp;C10</f>
        <v>1086cskill</v>
      </c>
      <c r="E10" s="138" t="str">
        <f>A10&amp;+(COUNTIF(A10:A$100,A10)-1)</f>
        <v>10860</v>
      </c>
      <c r="F10" s="105" t="s">
        <v>186</v>
      </c>
      <c r="G10" s="162" t="s">
        <v>196</v>
      </c>
      <c r="H10" s="162" t="s">
        <v>353</v>
      </c>
    </row>
    <row r="11" spans="1:8" x14ac:dyDescent="0.15">
      <c r="A11" s="105">
        <v>1087</v>
      </c>
      <c r="B11" s="138" t="str">
        <f>VLOOKUP(A11,[1]characters!$A:$C,3,FALSE)</f>
        <v>宇宙線の神業師 ルメートル</v>
      </c>
      <c r="C11" s="105" t="s">
        <v>195</v>
      </c>
      <c r="D11" s="138" t="str">
        <f t="shared" ref="D11" si="2">A11&amp;C11</f>
        <v>1087skill</v>
      </c>
      <c r="E11" s="138" t="str">
        <f>A11&amp;+(COUNTIF(A11:A$100,A11)-1)</f>
        <v>10874</v>
      </c>
      <c r="F11" s="105" t="s">
        <v>185</v>
      </c>
      <c r="G11" s="162" t="s">
        <v>196</v>
      </c>
      <c r="H11" s="162" t="s">
        <v>352</v>
      </c>
    </row>
    <row r="12" spans="1:8" x14ac:dyDescent="0.15">
      <c r="A12" s="105">
        <v>1087</v>
      </c>
      <c r="B12" s="138" t="str">
        <f>VLOOKUP(A12,[1]characters!$A:$C,3,FALSE)</f>
        <v>宇宙線の神業師 ルメートル</v>
      </c>
      <c r="C12" s="105" t="s">
        <v>198</v>
      </c>
      <c r="D12" s="138" t="str">
        <f>A12&amp;C12</f>
        <v>1087cskill</v>
      </c>
      <c r="E12" s="138" t="str">
        <f>A12&amp;+(COUNTIF(A12:A$100,A12)-1)</f>
        <v>10873</v>
      </c>
      <c r="F12" s="105" t="s">
        <v>185</v>
      </c>
      <c r="G12" s="162" t="s">
        <v>196</v>
      </c>
      <c r="H12" s="162" t="s">
        <v>356</v>
      </c>
    </row>
    <row r="13" spans="1:8" x14ac:dyDescent="0.15">
      <c r="A13" s="105">
        <v>1087</v>
      </c>
      <c r="B13" s="138" t="str">
        <f>VLOOKUP(A13,[1]characters!$A:$C,3,FALSE)</f>
        <v>宇宙線の神業師 ルメートル</v>
      </c>
      <c r="C13" s="105" t="s">
        <v>198</v>
      </c>
      <c r="D13" s="138" t="str">
        <f>A13&amp;C13</f>
        <v>1087cskill</v>
      </c>
      <c r="E13" s="138" t="str">
        <f>A13&amp;+(COUNTIF(A13:A$100,A13)-1)</f>
        <v>10872</v>
      </c>
      <c r="F13" s="105" t="s">
        <v>185</v>
      </c>
      <c r="G13" s="162" t="s">
        <v>196</v>
      </c>
      <c r="H13" s="162" t="s">
        <v>357</v>
      </c>
    </row>
    <row r="14" spans="1:8" x14ac:dyDescent="0.15">
      <c r="A14" s="105">
        <v>1087</v>
      </c>
      <c r="B14" s="138" t="str">
        <f>VLOOKUP(A14,[1]characters!$A:$C,3,FALSE)</f>
        <v>宇宙線の神業師 ルメートル</v>
      </c>
      <c r="C14" s="105" t="s">
        <v>198</v>
      </c>
      <c r="D14" s="138" t="str">
        <f>A14&amp;C14</f>
        <v>1087cskill</v>
      </c>
      <c r="E14" s="138" t="str">
        <f>A14&amp;+(COUNTIF(A14:A$100,A14)-1)</f>
        <v>10871</v>
      </c>
      <c r="F14" s="105" t="s">
        <v>185</v>
      </c>
      <c r="G14" s="162" t="s">
        <v>358</v>
      </c>
      <c r="H14" s="162" t="s">
        <v>359</v>
      </c>
    </row>
    <row r="15" spans="1:8" x14ac:dyDescent="0.15">
      <c r="A15" s="105">
        <v>1087</v>
      </c>
      <c r="B15" s="138" t="str">
        <f>VLOOKUP(A15,[1]characters!$A:$C,3,FALSE)</f>
        <v>宇宙線の神業師 ルメートル</v>
      </c>
      <c r="C15" s="105" t="s">
        <v>198</v>
      </c>
      <c r="D15" s="138" t="str">
        <f>A15&amp;C15</f>
        <v>1087cskill</v>
      </c>
      <c r="E15" s="138" t="str">
        <f>A15&amp;+(COUNTIF(A15:A$100,A15)-1)</f>
        <v>10870</v>
      </c>
      <c r="F15" s="105" t="s">
        <v>185</v>
      </c>
      <c r="G15" s="162" t="s">
        <v>354</v>
      </c>
      <c r="H15" s="162" t="s">
        <v>355</v>
      </c>
    </row>
  </sheetData>
  <phoneticPr fontId="22"/>
  <dataValidations count="2">
    <dataValidation type="list" allowBlank="1" showInputMessage="1" showErrorMessage="1" sqref="G2:G15">
      <formula1>"maru,giza,kumo"</formula1>
    </dataValidation>
    <dataValidation type="list" allowBlank="1" showInputMessage="1" showErrorMessage="1" sqref="C2:C15">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5"/>
  <sheetViews>
    <sheetView showGridLines="0" workbookViewId="0">
      <pane xSplit="9" ySplit="1" topLeftCell="P2" activePane="bottomRight" state="frozen"/>
      <selection pane="topRight" activeCell="J1" sqref="J1"/>
      <selection pane="bottomLeft" activeCell="A3" sqref="A3"/>
      <selection pane="bottomRight" activeCell="Q6" sqref="Q6"/>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1085</v>
      </c>
      <c r="B2" s="53" t="str">
        <f ca="1">VLOOKUP($A2,OFFSET([1]characters!$A$1,0,0,COUNTA([1]characters!$A:$A),MATCH(B$1,[1]characters!$1:$1,0)-MATCH($A$1,[1]characters!$1:$1,0)+1),MATCH(B$1,[1]characters!$1:$1,0)-MATCH($A$1,[1]characters!$1:$1,0)+1,FALSE)</f>
        <v>ルメートル</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アリス</v>
      </c>
      <c r="E2" s="53" t="str">
        <f ca="1">VLOOKUP($A2,OFFSET([1]characters!$A$1,0,0,COUNTA([1]characters!$A:$A),MATCH(E$1,[1]characters!$1:$1,0)-MATCH($A$1,[1]characters!$1:$1,0)+1),MATCH(E$1,[1]characters!$1:$1,0)-MATCH($A$1,[1]characters!$1:$1,0)+1,FALSE)</f>
        <v>世界観</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1086</v>
      </c>
      <c r="R2" s="58" t="str">
        <f ca="1">IF(Q2="NULL","",VLOOKUP($Q2,OFFSET([1]characters!$A$1,0,0,COUNTA([1]characters!$A:$A),MATCH(R$1,[1]characters!$1:$1,0)-MATCH($A$1,[1]characters!$1:$1,0)+1),MATCH(R$1,[1]characters!$1:$1,0)-MATCH($A$1,[1]characters!$1:$1,0)+1,FALSE))</f>
        <v>宇宙の線術家 ルメートル</v>
      </c>
      <c r="S2" s="5">
        <f ca="1">IF(ISNA(MATCH(A2,Q:Q,0)),A2,INDIRECT(ADDRESS(MATCH(A2,Q:Q,0),COLUMN())))</f>
        <v>1085</v>
      </c>
      <c r="T2" s="58" t="str">
        <f ca="1">VLOOKUP($S2,OFFSET([1]characters!$A$1,0,0,COUNTA([1]characters!$A:$A),MATCH(T$1,[1]characters!$1:$1,0)-MATCH($A$1,[1]characters!$1:$1,0)+1),MATCH(T$1,[1]characters!$1:$1,0)-MATCH($A$1,[1]characters!$1:$1,0)+1,FALSE)</f>
        <v>ルメートル</v>
      </c>
      <c r="U2" s="10">
        <f ca="1">IF(Q2="NULL","NULL",VLOOKUP(G2,[2]ビット!$A$2:$B$7,2))</f>
        <v>200000</v>
      </c>
    </row>
    <row r="3" spans="1:21" ht="21" customHeight="1" x14ac:dyDescent="0.15">
      <c r="A3" s="191">
        <v>1085</v>
      </c>
      <c r="B3" s="53" t="str">
        <f ca="1">VLOOKUP($A3,OFFSET([1]characters!$A$1,0,0,COUNTA([1]characters!$A:$A),MATCH(B$1,[1]characters!$1:$1,0)-MATCH($A$1,[1]characters!$1:$1,0)+1),MATCH(B$1,[1]characters!$1:$1,0)-MATCH($A$1,[1]characters!$1:$1,0)+1,FALSE)</f>
        <v>ルメートル</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super</v>
      </c>
      <c r="Q3" s="187">
        <v>1087</v>
      </c>
      <c r="R3" s="58" t="str">
        <f ca="1">IF(Q3="NULL","",VLOOKUP($Q3,OFFSET([1]characters!$A$1,0,0,COUNTA([1]characters!$A:$A),MATCH(R$1,[1]characters!$1:$1,0)-MATCH($A$1,[1]characters!$1:$1,0)+1),MATCH(R$1,[1]characters!$1:$1,0)-MATCH($A$1,[1]characters!$1:$1,0)+1,FALSE))</f>
        <v>宇宙線の神業師 ルメートル</v>
      </c>
      <c r="S3" s="5">
        <f ca="1">IF(ISNA(MATCH(A3,Q:Q,0)),A3,INDIRECT(ADDRESS(MATCH(A3,Q:Q,0),COLUMN())))</f>
        <v>1085</v>
      </c>
      <c r="T3" s="58" t="str">
        <f ca="1">VLOOKUP($S3,OFFSET([1]characters!$A$1,0,0,COUNTA([1]characters!$A:$A),MATCH(T$1,[1]characters!$1:$1,0)-MATCH($A$1,[1]characters!$1:$1,0)+1),MATCH(T$1,[1]characters!$1:$1,0)-MATCH($A$1,[1]characters!$1:$1,0)+1,FALSE)</f>
        <v>ルメートル</v>
      </c>
      <c r="U3" s="10">
        <f ca="1">IF(Q3="NULL","NULL",VLOOKUP(G3,[2]ビット!$A$2:$B$7,2))</f>
        <v>200000</v>
      </c>
    </row>
    <row r="4" spans="1:21" ht="21" customHeight="1" x14ac:dyDescent="0.15">
      <c r="A4" s="191">
        <v>1086</v>
      </c>
      <c r="B4" s="53" t="str">
        <f ca="1">VLOOKUP($A4,OFFSET([1]characters!$A$1,0,0,COUNTA([1]characters!$A:$A),MATCH(B$1,[1]characters!$1:$1,0)-MATCH($A$1,[1]characters!$1:$1,0)+1),MATCH(B$1,[1]characters!$1:$1,0)-MATCH($A$1,[1]characters!$1:$1,0)+1,FALSE)</f>
        <v>宇宙の線術家 ルメートル</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アリス</v>
      </c>
      <c r="E4" s="53" t="str">
        <f ca="1">VLOOKUP($A4,OFFSET([1]characters!$A$1,0,0,COUNTA([1]characters!$A:$A),MATCH(E$1,[1]characters!$1:$1,0)-MATCH($A$1,[1]characters!$1:$1,0)+1),MATCH(E$1,[1]characters!$1:$1,0)-MATCH($A$1,[1]characters!$1:$1,0)+1,FALSE)</f>
        <v>世界観</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PremiumSSS</v>
      </c>
      <c r="I4" s="53" t="str">
        <f ca="1">VLOOKUP($A4,OFFSET([1]characters!$A$1,0,0,COUNTA([1]characters!$A:$A),MATCH(I$1,[1]characters!$1:$1,0)-MATCH($A$1,[1]characters!$1:$1,0)+1),MATCH(I$1,[1]characters!$1:$1,0)-MATCH($A$1,[1]characters!$1:$1,0)+1,FALSE)</f>
        <v>green</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super</v>
      </c>
      <c r="Q4" s="187">
        <v>1087</v>
      </c>
      <c r="R4" s="58" t="str">
        <f ca="1">IF(Q4="NULL","",VLOOKUP($Q4,OFFSET([1]characters!$A$1,0,0,COUNTA([1]characters!$A:$A),MATCH(R$1,[1]characters!$1:$1,0)-MATCH($A$1,[1]characters!$1:$1,0)+1),MATCH(R$1,[1]characters!$1:$1,0)-MATCH($A$1,[1]characters!$1:$1,0)+1,FALSE))</f>
        <v>宇宙線の神業師 ルメートル</v>
      </c>
      <c r="S4" s="5">
        <f ca="1">IF(ISNA(MATCH(A4,Q:Q,0)),A4,INDIRECT(ADDRESS(MATCH(A4,Q:Q,0),COLUMN())))</f>
        <v>1085</v>
      </c>
      <c r="T4" s="58" t="str">
        <f ca="1">VLOOKUP($S4,OFFSET([1]characters!$A$1,0,0,COUNTA([1]characters!$A:$A),MATCH(T$1,[1]characters!$1:$1,0)-MATCH($A$1,[1]characters!$1:$1,0)+1),MATCH(T$1,[1]characters!$1:$1,0)-MATCH($A$1,[1]characters!$1:$1,0)+1,FALSE)</f>
        <v>ルメートル</v>
      </c>
      <c r="U4" s="10">
        <f ca="1">IF(Q4="NULL","NULL",VLOOKUP(G4,[2]ビット!$A$2:$B$7,2))</f>
        <v>200000</v>
      </c>
    </row>
    <row r="5" spans="1:21" ht="21" customHeight="1" x14ac:dyDescent="0.15">
      <c r="A5" s="191">
        <v>1087</v>
      </c>
      <c r="B5" s="53" t="str">
        <f ca="1">VLOOKUP($A5,OFFSET([1]characters!$A$1,0,0,COUNTA([1]characters!$A:$A),MATCH(B$1,[1]characters!$1:$1,0)-MATCH($A$1,[1]characters!$1:$1,0)+1),MATCH(B$1,[1]characters!$1:$1,0)-MATCH($A$1,[1]characters!$1:$1,0)+1,FALSE)</f>
        <v>宇宙線の神業師 ルメートル</v>
      </c>
      <c r="C5" s="53" t="str">
        <f ca="1">VLOOKUP($A5,OFFSET([1]characters!$A$1,0,0,COUNTA([1]characters!$A:$A),MATCH(C$1,[1]characters!$1:$1,0)-MATCH($A$1,[1]characters!$1:$1,0)+1),MATCH(C$1,[1]characters!$1:$1,0)-MATCH($A$1,[1]characters!$1:$1,0)+1,FALSE)</f>
        <v>未定</v>
      </c>
      <c r="D5" s="53" t="str">
        <f ca="1">VLOOKUP($A5,OFFSET([1]characters!$A$1,0,0,COUNTA([1]characters!$A:$A),MATCH(D$1,[1]characters!$1:$1,0)-MATCH($A$1,[1]characters!$1:$1,0)+1),MATCH(D$1,[1]characters!$1:$1,0)-MATCH($A$1,[1]characters!$1:$1,0)+1,FALSE)</f>
        <v>アリス</v>
      </c>
      <c r="E5" s="53" t="str">
        <f ca="1">VLOOKUP($A5,OFFSET([1]characters!$A$1,0,0,COUNTA([1]characters!$A:$A),MATCH(E$1,[1]characters!$1:$1,0)-MATCH($A$1,[1]characters!$1:$1,0)+1),MATCH(E$1,[1]characters!$1:$1,0)-MATCH($A$1,[1]characters!$1:$1,0)+1,FALSE)</f>
        <v>世界観</v>
      </c>
      <c r="F5" s="53" t="str">
        <f ca="1">VLOOKUP($A5,OFFSET([1]characters!$A$1,0,0,COUNTA([1]characters!$A:$A),MATCH(F$1,[1]characters!$1:$1,0)-MATCH($A$1,[1]characters!$1:$1,0)+1),MATCH(F$1,[1]characters!$1:$1,0)-MATCH($A$1,[1]characters!$1:$1,0)+1,FALSE)</f>
        <v>不明</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green</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1086</v>
      </c>
      <c r="R5" s="58" t="str">
        <f ca="1">IF(Q5="NULL","",VLOOKUP($Q5,OFFSET([1]characters!$A$1,0,0,COUNTA([1]characters!$A:$A),MATCH(R$1,[1]characters!$1:$1,0)-MATCH($A$1,[1]characters!$1:$1,0)+1),MATCH(R$1,[1]characters!$1:$1,0)-MATCH($A$1,[1]characters!$1:$1,0)+1,FALSE))</f>
        <v>宇宙の線術家 ルメートル</v>
      </c>
      <c r="S5" s="5">
        <f ca="1">IF(ISNA(MATCH(A5,Q:Q,0)),A5,INDIRECT(ADDRESS(MATCH(A5,Q:Q,0),COLUMN())))</f>
        <v>1085</v>
      </c>
      <c r="T5" s="58" t="str">
        <f ca="1">VLOOKUP($S5,OFFSET([1]characters!$A$1,0,0,COUNTA([1]characters!$A:$A),MATCH(T$1,[1]characters!$1:$1,0)-MATCH($A$1,[1]characters!$1:$1,0)+1),MATCH(T$1,[1]characters!$1:$1,0)-MATCH($A$1,[1]characters!$1:$1,0)+1,FALSE)</f>
        <v>ルメートル</v>
      </c>
      <c r="U5" s="10">
        <f ca="1">IF(Q5="NULL","NULL",VLOOKUP(G5,[2]ビット!$A$2:$B$7,2))</f>
        <v>200000</v>
      </c>
    </row>
  </sheetData>
  <autoFilter ref="A1:U2"/>
  <phoneticPr fontId="22"/>
  <conditionalFormatting sqref="W1:W2 W6:W1048576">
    <cfRule type="cellIs" dxfId="27" priority="9" operator="equal">
      <formula>"FALSE"</formula>
    </cfRule>
  </conditionalFormatting>
  <conditionalFormatting sqref="W3">
    <cfRule type="cellIs" dxfId="26" priority="3" operator="equal">
      <formula>"FALSE"</formula>
    </cfRule>
  </conditionalFormatting>
  <conditionalFormatting sqref="W4">
    <cfRule type="cellIs" dxfId="25" priority="2" operator="equal">
      <formula>"FALSE"</formula>
    </cfRule>
  </conditionalFormatting>
  <conditionalFormatting sqref="W5">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3"/>
  <sheetViews>
    <sheetView showGridLines="0" workbookViewId="0">
      <pane ySplit="1" topLeftCell="A2" activePane="bottomLeft" state="frozen"/>
      <selection pane="bottomLeft" activeCell="I9" sqref="I9:I10"/>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A13" si="0">B2&amp;"_"&amp;I2</f>
        <v>1085_106</v>
      </c>
      <c r="B2" s="195">
        <v>1085</v>
      </c>
      <c r="C2" s="178">
        <f t="shared" ref="C2:C13" si="1">B2</f>
        <v>1085</v>
      </c>
      <c r="D2" s="53" t="str">
        <f ca="1">VLOOKUP($C2,OFFSET([1]characters!$A$1,0,0,COUNTA([1]characters!$A:$A),MATCH(D$1,[1]characters!$1:$1,0)-MATCH($C$1,[1]characters!$1:$1,0)+1),MATCH(D$1,[1]characters!$1:$1,0)-MATCH($C$1,[1]characters!$1:$1,0)+1,FALSE)</f>
        <v>ルメートル</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1086</v>
      </c>
      <c r="H2" s="53" t="str">
        <f ca="1">VLOOKUP($G2,OFFSET([1]characters!$A$1,0,0,COUNTA([1]characters!$A:$A),MATCH(H$1,[1]characters!$1:$1,0)-MATCH($C$1,[1]characters!$1:$1,0)+1),MATCH(H$1,[1]characters!$1:$1,0)-MATCH($C$1,[1]characters!$1:$1,0)+1,FALSE)</f>
        <v>宇宙の線術家 ルメートル</v>
      </c>
      <c r="I2" s="194">
        <v>106</v>
      </c>
      <c r="J2" s="53" t="str">
        <f ca="1">VLOOKUP($I2,OFFSET([1]characters!$A$1,0,0,COUNTA([1]characters!$A:$A),MATCH(J$1,[1]characters!$1:$1,0)-MATCH($C$1,[1]characters!$1:$1,0)+1),MATCH(J$1,[1]characters!$1:$1,0)-MATCH($C$1,[1]characters!$1:$1,0)+1,FALSE)</f>
        <v>グリーンラビット</v>
      </c>
      <c r="K2" s="192">
        <v>1</v>
      </c>
      <c r="L2" s="193">
        <v>1</v>
      </c>
      <c r="M2" s="193">
        <v>10</v>
      </c>
      <c r="N2" s="2" t="s">
        <v>290</v>
      </c>
    </row>
    <row r="3" spans="1:14" ht="21" customHeight="1" x14ac:dyDescent="0.15">
      <c r="A3" s="61" t="str">
        <f t="shared" si="0"/>
        <v>1085_107</v>
      </c>
      <c r="B3" s="195">
        <v>1085</v>
      </c>
      <c r="C3" s="178">
        <f t="shared" si="1"/>
        <v>1085</v>
      </c>
      <c r="D3" s="53" t="str">
        <f ca="1">VLOOKUP($C3,OFFSET([1]characters!$A$1,0,0,COUNTA([1]characters!$A:$A),MATCH(D$1,[1]characters!$1:$1,0)-MATCH($C$1,[1]characters!$1:$1,0)+1),MATCH(D$1,[1]characters!$1:$1,0)-MATCH($C$1,[1]characters!$1:$1,0)+1,FALSE)</f>
        <v>ルメートル</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1086</v>
      </c>
      <c r="H3" s="53" t="str">
        <f ca="1">VLOOKUP($G3,OFFSET([1]characters!$A$1,0,0,COUNTA([1]characters!$A:$A),MATCH(H$1,[1]characters!$1:$1,0)-MATCH($C$1,[1]characters!$1:$1,0)+1),MATCH(H$1,[1]characters!$1:$1,0)-MATCH($C$1,[1]characters!$1:$1,0)+1,FALSE)</f>
        <v>宇宙の線術家 ルメートル</v>
      </c>
      <c r="I3" s="194">
        <v>107</v>
      </c>
      <c r="J3" s="53" t="str">
        <f ca="1">VLOOKUP($I3,OFFSET([1]characters!$A$1,0,0,COUNTA([1]characters!$A:$A),MATCH(J$1,[1]characters!$1:$1,0)-MATCH($C$1,[1]characters!$1:$1,0)+1),MATCH(J$1,[1]characters!$1:$1,0)-MATCH($C$1,[1]characters!$1:$1,0)+1,FALSE)</f>
        <v>グリーンキャタップ</v>
      </c>
      <c r="K3" s="192">
        <v>1</v>
      </c>
      <c r="L3" s="193">
        <v>1</v>
      </c>
      <c r="M3" s="193">
        <v>10</v>
      </c>
      <c r="N3" s="2" t="s">
        <v>290</v>
      </c>
    </row>
    <row r="4" spans="1:14" ht="21" customHeight="1" x14ac:dyDescent="0.15">
      <c r="A4" s="61" t="str">
        <f t="shared" si="0"/>
        <v>1085_357</v>
      </c>
      <c r="B4" s="195">
        <v>1085</v>
      </c>
      <c r="C4" s="178">
        <f t="shared" si="1"/>
        <v>1085</v>
      </c>
      <c r="D4" s="53" t="str">
        <f ca="1">VLOOKUP($C4,OFFSET([1]characters!$A$1,0,0,COUNTA([1]characters!$A:$A),MATCH(D$1,[1]characters!$1:$1,0)-MATCH($C$1,[1]characters!$1:$1,0)+1),MATCH(D$1,[1]characters!$1:$1,0)-MATCH($C$1,[1]characters!$1:$1,0)+1,FALSE)</f>
        <v>ルメートル</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1086</v>
      </c>
      <c r="H4" s="53" t="str">
        <f ca="1">VLOOKUP($G4,OFFSET([1]characters!$A$1,0,0,COUNTA([1]characters!$A:$A),MATCH(H$1,[1]characters!$1:$1,0)-MATCH($C$1,[1]characters!$1:$1,0)+1),MATCH(H$1,[1]characters!$1:$1,0)-MATCH($C$1,[1]characters!$1:$1,0)+1,FALSE)</f>
        <v>宇宙の線術家 ルメートル</v>
      </c>
      <c r="I4" s="194">
        <v>357</v>
      </c>
      <c r="J4" s="53" t="str">
        <f ca="1">VLOOKUP($I4,OFFSET([1]characters!$A$1,0,0,COUNTA([1]characters!$A:$A),MATCH(J$1,[1]characters!$1:$1,0)-MATCH($C$1,[1]characters!$1:$1,0)+1),MATCH(J$1,[1]characters!$1:$1,0)-MATCH($C$1,[1]characters!$1:$1,0)+1,FALSE)</f>
        <v>千風のグリフォン</v>
      </c>
      <c r="K4" s="192">
        <v>1</v>
      </c>
      <c r="L4" s="193">
        <v>1</v>
      </c>
      <c r="M4" s="193">
        <v>10</v>
      </c>
      <c r="N4" s="2" t="s">
        <v>290</v>
      </c>
    </row>
    <row r="5" spans="1:14" ht="21" customHeight="1" x14ac:dyDescent="0.15">
      <c r="A5" s="61" t="str">
        <f t="shared" si="0"/>
        <v>1085_837</v>
      </c>
      <c r="B5" s="195">
        <v>1085</v>
      </c>
      <c r="C5" s="178">
        <f t="shared" si="1"/>
        <v>1085</v>
      </c>
      <c r="D5" s="53" t="str">
        <f ca="1">VLOOKUP($C5,OFFSET([1]characters!$A$1,0,0,COUNTA([1]characters!$A:$A),MATCH(D$1,[1]characters!$1:$1,0)-MATCH($C$1,[1]characters!$1:$1,0)+1),MATCH(D$1,[1]characters!$1:$1,0)-MATCH($C$1,[1]characters!$1:$1,0)+1,FALSE)</f>
        <v>ルメートル</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1086</v>
      </c>
      <c r="H5" s="53" t="str">
        <f ca="1">VLOOKUP($G5,OFFSET([1]characters!$A$1,0,0,COUNTA([1]characters!$A:$A),MATCH(H$1,[1]characters!$1:$1,0)-MATCH($C$1,[1]characters!$1:$1,0)+1),MATCH(H$1,[1]characters!$1:$1,0)-MATCH($C$1,[1]characters!$1:$1,0)+1,FALSE)</f>
        <v>宇宙の線術家 ルメートル</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290</v>
      </c>
    </row>
    <row r="6" spans="1:14" ht="21" customHeight="1" x14ac:dyDescent="0.15">
      <c r="A6" s="61" t="str">
        <f t="shared" si="0"/>
        <v>1085_290</v>
      </c>
      <c r="B6" s="195">
        <v>1085</v>
      </c>
      <c r="C6" s="178">
        <f t="shared" si="1"/>
        <v>1085</v>
      </c>
      <c r="D6" s="53" t="str">
        <f ca="1">VLOOKUP($C6,OFFSET([1]characters!$A$1,0,0,COUNTA([1]characters!$A:$A),MATCH(D$1,[1]characters!$1:$1,0)-MATCH($C$1,[1]characters!$1:$1,0)+1),MATCH(D$1,[1]characters!$1:$1,0)-MATCH($C$1,[1]characters!$1:$1,0)+1,FALSE)</f>
        <v>ルメートル</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PremiumSSS</v>
      </c>
      <c r="G6" s="195">
        <v>1087</v>
      </c>
      <c r="H6" s="53" t="str">
        <f ca="1">VLOOKUP($G6,OFFSET([1]characters!$A$1,0,0,COUNTA([1]characters!$A:$A),MATCH(H$1,[1]characters!$1:$1,0)-MATCH($C$1,[1]characters!$1:$1,0)+1),MATCH(H$1,[1]characters!$1:$1,0)-MATCH($C$1,[1]characters!$1:$1,0)+1,FALSE)</f>
        <v>宇宙線の神業師 ルメートル</v>
      </c>
      <c r="I6" s="194">
        <v>290</v>
      </c>
      <c r="J6" s="53" t="str">
        <f ca="1">VLOOKUP($I6,OFFSET([1]characters!$A$1,0,0,COUNTA([1]characters!$A:$A),MATCH(J$1,[1]characters!$1:$1,0)-MATCH($C$1,[1]characters!$1:$1,0)+1),MATCH(J$1,[1]characters!$1:$1,0)-MATCH($C$1,[1]characters!$1:$1,0)+1,FALSE)</f>
        <v>ウィッチ・オクトパス</v>
      </c>
      <c r="K6" s="192">
        <v>1</v>
      </c>
      <c r="L6" s="193">
        <v>3</v>
      </c>
      <c r="M6" s="193">
        <v>100</v>
      </c>
      <c r="N6" s="2" t="s">
        <v>290</v>
      </c>
    </row>
    <row r="7" spans="1:14" ht="21" customHeight="1" x14ac:dyDescent="0.15">
      <c r="A7" s="61" t="str">
        <f t="shared" si="0"/>
        <v>1085_460</v>
      </c>
      <c r="B7" s="195">
        <v>1085</v>
      </c>
      <c r="C7" s="178">
        <f t="shared" si="1"/>
        <v>1085</v>
      </c>
      <c r="D7" s="53" t="str">
        <f ca="1">VLOOKUP($C7,OFFSET([1]characters!$A$1,0,0,COUNTA([1]characters!$A:$A),MATCH(D$1,[1]characters!$1:$1,0)-MATCH($C$1,[1]characters!$1:$1,0)+1),MATCH(D$1,[1]characters!$1:$1,0)-MATCH($C$1,[1]characters!$1:$1,0)+1,FALSE)</f>
        <v>ルメートル</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PremiumSSS</v>
      </c>
      <c r="G7" s="195">
        <v>1087</v>
      </c>
      <c r="H7" s="53" t="str">
        <f ca="1">VLOOKUP($G7,OFFSET([1]characters!$A$1,0,0,COUNTA([1]characters!$A:$A),MATCH(H$1,[1]characters!$1:$1,0)-MATCH($C$1,[1]characters!$1:$1,0)+1),MATCH(H$1,[1]characters!$1:$1,0)-MATCH($C$1,[1]characters!$1:$1,0)+1,FALSE)</f>
        <v>宇宙線の神業師 ルメートル</v>
      </c>
      <c r="I7" s="194">
        <v>460</v>
      </c>
      <c r="J7" s="53" t="str">
        <f ca="1">VLOOKUP($I7,OFFSET([1]characters!$A$1,0,0,COUNTA([1]characters!$A:$A),MATCH(J$1,[1]characters!$1:$1,0)-MATCH($C$1,[1]characters!$1:$1,0)+1),MATCH(J$1,[1]characters!$1:$1,0)-MATCH($C$1,[1]characters!$1:$1,0)+1,FALSE)</f>
        <v>オズ</v>
      </c>
      <c r="K7" s="192">
        <v>1</v>
      </c>
      <c r="L7" s="193">
        <v>3</v>
      </c>
      <c r="M7" s="193">
        <v>100</v>
      </c>
      <c r="N7" s="2" t="s">
        <v>290</v>
      </c>
    </row>
    <row r="8" spans="1:14" ht="21" customHeight="1" x14ac:dyDescent="0.15">
      <c r="A8" s="61" t="str">
        <f t="shared" si="0"/>
        <v>1085_278</v>
      </c>
      <c r="B8" s="195">
        <v>1085</v>
      </c>
      <c r="C8" s="178">
        <f t="shared" si="1"/>
        <v>1085</v>
      </c>
      <c r="D8" s="53" t="str">
        <f ca="1">VLOOKUP($C8,OFFSET([1]characters!$A$1,0,0,COUNTA([1]characters!$A:$A),MATCH(D$1,[1]characters!$1:$1,0)-MATCH($C$1,[1]characters!$1:$1,0)+1),MATCH(D$1,[1]characters!$1:$1,0)-MATCH($C$1,[1]characters!$1:$1,0)+1,FALSE)</f>
        <v>ルメートル</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PremiumSSS</v>
      </c>
      <c r="G8" s="195">
        <v>1087</v>
      </c>
      <c r="H8" s="53" t="str">
        <f ca="1">VLOOKUP($G8,OFFSET([1]characters!$A$1,0,0,COUNTA([1]characters!$A:$A),MATCH(H$1,[1]characters!$1:$1,0)-MATCH($C$1,[1]characters!$1:$1,0)+1),MATCH(H$1,[1]characters!$1:$1,0)-MATCH($C$1,[1]characters!$1:$1,0)+1,FALSE)</f>
        <v>宇宙線の神業師 ルメートル</v>
      </c>
      <c r="I8" s="194">
        <v>278</v>
      </c>
      <c r="J8" s="53" t="str">
        <f ca="1">VLOOKUP($I8,OFFSET([1]characters!$A$1,0,0,COUNTA([1]characters!$A:$A),MATCH(J$1,[1]characters!$1:$1,0)-MATCH($C$1,[1]characters!$1:$1,0)+1),MATCH(J$1,[1]characters!$1:$1,0)-MATCH($C$1,[1]characters!$1:$1,0)+1,FALSE)</f>
        <v>アマテラス</v>
      </c>
      <c r="K8" s="192">
        <v>1</v>
      </c>
      <c r="L8" s="193">
        <v>1</v>
      </c>
      <c r="M8" s="193">
        <v>100</v>
      </c>
      <c r="N8" s="2" t="s">
        <v>290</v>
      </c>
    </row>
    <row r="9" spans="1:14" ht="21" customHeight="1" x14ac:dyDescent="0.15">
      <c r="A9" s="61" t="str">
        <f t="shared" si="0"/>
        <v>1086_290</v>
      </c>
      <c r="B9" s="195">
        <v>1086</v>
      </c>
      <c r="C9" s="178">
        <f t="shared" si="1"/>
        <v>1086</v>
      </c>
      <c r="D9" s="53" t="str">
        <f ca="1">VLOOKUP($C9,OFFSET([1]characters!$A$1,0,0,COUNTA([1]characters!$A:$A),MATCH(D$1,[1]characters!$1:$1,0)-MATCH($C$1,[1]characters!$1:$1,0)+1),MATCH(D$1,[1]characters!$1:$1,0)-MATCH($C$1,[1]characters!$1:$1,0)+1,FALSE)</f>
        <v>宇宙の線術家 ルメートル</v>
      </c>
      <c r="E9" s="53">
        <f ca="1">VLOOKUP($C9,OFFSET([1]characters!$A$1,0,0,COUNTA([1]characters!$A:$A),MATCH(E$1,[1]characters!$1:$1,0)-MATCH($C$1,[1]characters!$1:$1,0)+1),MATCH(E$1,[1]characters!$1:$1,0)-MATCH($C$1,[1]characters!$1:$1,0)+1,FALSE)</f>
        <v>6</v>
      </c>
      <c r="F9" s="53" t="str">
        <f ca="1">VLOOKUP($C9,OFFSET([1]characters!$A$1,0,0,COUNTA([1]characters!$A:$A),MATCH(F$1,[1]characters!$1:$1,0)-MATCH($C$1,[1]characters!$1:$1,0)+1),MATCH(F$1,[1]characters!$1:$1,0)-MATCH($C$1,[1]characters!$1:$1,0)+1,FALSE)</f>
        <v>PremiumSSS</v>
      </c>
      <c r="G9" s="195">
        <v>1087</v>
      </c>
      <c r="H9" s="53" t="str">
        <f ca="1">VLOOKUP($G9,OFFSET([1]characters!$A$1,0,0,COUNTA([1]characters!$A:$A),MATCH(H$1,[1]characters!$1:$1,0)-MATCH($C$1,[1]characters!$1:$1,0)+1),MATCH(H$1,[1]characters!$1:$1,0)-MATCH($C$1,[1]characters!$1:$1,0)+1,FALSE)</f>
        <v>宇宙線の神業師 ルメートル</v>
      </c>
      <c r="I9" s="194">
        <v>290</v>
      </c>
      <c r="J9" s="53" t="str">
        <f ca="1">VLOOKUP($I9,OFFSET([1]characters!$A$1,0,0,COUNTA([1]characters!$A:$A),MATCH(J$1,[1]characters!$1:$1,0)-MATCH($C$1,[1]characters!$1:$1,0)+1),MATCH(J$1,[1]characters!$1:$1,0)-MATCH($C$1,[1]characters!$1:$1,0)+1,FALSE)</f>
        <v>ウィッチ・オクトパス</v>
      </c>
      <c r="K9" s="192">
        <v>1</v>
      </c>
      <c r="L9" s="193">
        <v>2</v>
      </c>
      <c r="M9" s="193">
        <v>100</v>
      </c>
      <c r="N9" s="2" t="s">
        <v>290</v>
      </c>
    </row>
    <row r="10" spans="1:14" ht="21" customHeight="1" x14ac:dyDescent="0.15">
      <c r="A10" s="61" t="str">
        <f t="shared" si="0"/>
        <v>1086_460</v>
      </c>
      <c r="B10" s="195">
        <v>1086</v>
      </c>
      <c r="C10" s="178">
        <f t="shared" si="1"/>
        <v>1086</v>
      </c>
      <c r="D10" s="53" t="str">
        <f ca="1">VLOOKUP($C10,OFFSET([1]characters!$A$1,0,0,COUNTA([1]characters!$A:$A),MATCH(D$1,[1]characters!$1:$1,0)-MATCH($C$1,[1]characters!$1:$1,0)+1),MATCH(D$1,[1]characters!$1:$1,0)-MATCH($C$1,[1]characters!$1:$1,0)+1,FALSE)</f>
        <v>宇宙の線術家 ルメートル</v>
      </c>
      <c r="E10" s="53">
        <f ca="1">VLOOKUP($C10,OFFSET([1]characters!$A$1,0,0,COUNTA([1]characters!$A:$A),MATCH(E$1,[1]characters!$1:$1,0)-MATCH($C$1,[1]characters!$1:$1,0)+1),MATCH(E$1,[1]characters!$1:$1,0)-MATCH($C$1,[1]characters!$1:$1,0)+1,FALSE)</f>
        <v>6</v>
      </c>
      <c r="F10" s="53" t="str">
        <f ca="1">VLOOKUP($C10,OFFSET([1]characters!$A$1,0,0,COUNTA([1]characters!$A:$A),MATCH(F$1,[1]characters!$1:$1,0)-MATCH($C$1,[1]characters!$1:$1,0)+1),MATCH(F$1,[1]characters!$1:$1,0)-MATCH($C$1,[1]characters!$1:$1,0)+1,FALSE)</f>
        <v>PremiumSSS</v>
      </c>
      <c r="G10" s="195">
        <v>1087</v>
      </c>
      <c r="H10" s="53" t="str">
        <f ca="1">VLOOKUP($G10,OFFSET([1]characters!$A$1,0,0,COUNTA([1]characters!$A:$A),MATCH(H$1,[1]characters!$1:$1,0)-MATCH($C$1,[1]characters!$1:$1,0)+1),MATCH(H$1,[1]characters!$1:$1,0)-MATCH($C$1,[1]characters!$1:$1,0)+1,FALSE)</f>
        <v>宇宙線の神業師 ルメートル</v>
      </c>
      <c r="I10" s="194">
        <v>460</v>
      </c>
      <c r="J10" s="53" t="str">
        <f ca="1">VLOOKUP($I10,OFFSET([1]characters!$A$1,0,0,COUNTA([1]characters!$A:$A),MATCH(J$1,[1]characters!$1:$1,0)-MATCH($C$1,[1]characters!$1:$1,0)+1),MATCH(J$1,[1]characters!$1:$1,0)-MATCH($C$1,[1]characters!$1:$1,0)+1,FALSE)</f>
        <v>オズ</v>
      </c>
      <c r="K10" s="192">
        <v>1</v>
      </c>
      <c r="L10" s="193">
        <v>2</v>
      </c>
      <c r="M10" s="193">
        <v>100</v>
      </c>
      <c r="N10" s="2" t="s">
        <v>290</v>
      </c>
    </row>
    <row r="11" spans="1:14" ht="21" customHeight="1" x14ac:dyDescent="0.15">
      <c r="A11" s="61" t="str">
        <f t="shared" si="0"/>
        <v>1087_357</v>
      </c>
      <c r="B11" s="195">
        <v>1087</v>
      </c>
      <c r="C11" s="178">
        <f t="shared" si="1"/>
        <v>1087</v>
      </c>
      <c r="D11" s="53" t="str">
        <f ca="1">VLOOKUP($C11,OFFSET([1]characters!$A$1,0,0,COUNTA([1]characters!$A:$A),MATCH(D$1,[1]characters!$1:$1,0)-MATCH($C$1,[1]characters!$1:$1,0)+1),MATCH(D$1,[1]characters!$1:$1,0)-MATCH($C$1,[1]characters!$1:$1,0)+1,FALSE)</f>
        <v>宇宙線の神業師 ルメートル</v>
      </c>
      <c r="E11" s="53">
        <f ca="1">VLOOKUP($C11,OFFSET([1]characters!$A$1,0,0,COUNTA([1]characters!$A:$A),MATCH(E$1,[1]characters!$1:$1,0)-MATCH($C$1,[1]characters!$1:$1,0)+1),MATCH(E$1,[1]characters!$1:$1,0)-MATCH($C$1,[1]characters!$1:$1,0)+1,FALSE)</f>
        <v>6</v>
      </c>
      <c r="F11" s="53" t="str">
        <f ca="1">VLOOKUP($C11,OFFSET([1]characters!$A$1,0,0,COUNTA([1]characters!$A:$A),MATCH(F$1,[1]characters!$1:$1,0)-MATCH($C$1,[1]characters!$1:$1,0)+1),MATCH(F$1,[1]characters!$1:$1,0)-MATCH($C$1,[1]characters!$1:$1,0)+1,FALSE)</f>
        <v>PremiumSSS</v>
      </c>
      <c r="G11" s="195">
        <v>1086</v>
      </c>
      <c r="H11" s="53" t="str">
        <f ca="1">VLOOKUP($G11,OFFSET([1]characters!$A$1,0,0,COUNTA([1]characters!$A:$A),MATCH(H$1,[1]characters!$1:$1,0)-MATCH($C$1,[1]characters!$1:$1,0)+1),MATCH(H$1,[1]characters!$1:$1,0)-MATCH($C$1,[1]characters!$1:$1,0)+1,FALSE)</f>
        <v>宇宙の線術家 ルメートル</v>
      </c>
      <c r="I11" s="194">
        <v>357</v>
      </c>
      <c r="J11" s="53" t="str">
        <f ca="1">VLOOKUP($I11,OFFSET([1]characters!$A$1,0,0,COUNTA([1]characters!$A:$A),MATCH(J$1,[1]characters!$1:$1,0)-MATCH($C$1,[1]characters!$1:$1,0)+1),MATCH(J$1,[1]characters!$1:$1,0)-MATCH($C$1,[1]characters!$1:$1,0)+1,FALSE)</f>
        <v>千風のグリフォン</v>
      </c>
      <c r="K11" s="192">
        <v>1</v>
      </c>
      <c r="L11" s="193">
        <v>1</v>
      </c>
      <c r="M11" s="193">
        <v>10</v>
      </c>
      <c r="N11" s="2" t="s">
        <v>290</v>
      </c>
    </row>
    <row r="12" spans="1:14" ht="21" customHeight="1" x14ac:dyDescent="0.15">
      <c r="A12" s="61" t="str">
        <f t="shared" si="0"/>
        <v>1087_106</v>
      </c>
      <c r="B12" s="195">
        <v>1087</v>
      </c>
      <c r="C12" s="178">
        <f t="shared" si="1"/>
        <v>1087</v>
      </c>
      <c r="D12" s="53" t="str">
        <f ca="1">VLOOKUP($C12,OFFSET([1]characters!$A$1,0,0,COUNTA([1]characters!$A:$A),MATCH(D$1,[1]characters!$1:$1,0)-MATCH($C$1,[1]characters!$1:$1,0)+1),MATCH(D$1,[1]characters!$1:$1,0)-MATCH($C$1,[1]characters!$1:$1,0)+1,FALSE)</f>
        <v>宇宙線の神業師 ルメートル</v>
      </c>
      <c r="E12" s="53">
        <f ca="1">VLOOKUP($C12,OFFSET([1]characters!$A$1,0,0,COUNTA([1]characters!$A:$A),MATCH(E$1,[1]characters!$1:$1,0)-MATCH($C$1,[1]characters!$1:$1,0)+1),MATCH(E$1,[1]characters!$1:$1,0)-MATCH($C$1,[1]characters!$1:$1,0)+1,FALSE)</f>
        <v>6</v>
      </c>
      <c r="F12" s="53" t="str">
        <f ca="1">VLOOKUP($C12,OFFSET([1]characters!$A$1,0,0,COUNTA([1]characters!$A:$A),MATCH(F$1,[1]characters!$1:$1,0)-MATCH($C$1,[1]characters!$1:$1,0)+1),MATCH(F$1,[1]characters!$1:$1,0)-MATCH($C$1,[1]characters!$1:$1,0)+1,FALSE)</f>
        <v>PremiumSSS</v>
      </c>
      <c r="G12" s="195">
        <v>1086</v>
      </c>
      <c r="H12" s="53" t="str">
        <f ca="1">VLOOKUP($G12,OFFSET([1]characters!$A$1,0,0,COUNTA([1]characters!$A:$A),MATCH(H$1,[1]characters!$1:$1,0)-MATCH($C$1,[1]characters!$1:$1,0)+1),MATCH(H$1,[1]characters!$1:$1,0)-MATCH($C$1,[1]characters!$1:$1,0)+1,FALSE)</f>
        <v>宇宙の線術家 ルメートル</v>
      </c>
      <c r="I12" s="194">
        <v>106</v>
      </c>
      <c r="J12" s="53" t="str">
        <f ca="1">VLOOKUP($I12,OFFSET([1]characters!$A$1,0,0,COUNTA([1]characters!$A:$A),MATCH(J$1,[1]characters!$1:$1,0)-MATCH($C$1,[1]characters!$1:$1,0)+1),MATCH(J$1,[1]characters!$1:$1,0)-MATCH($C$1,[1]characters!$1:$1,0)+1,FALSE)</f>
        <v>グリーンラビット</v>
      </c>
      <c r="K12" s="192">
        <v>1</v>
      </c>
      <c r="L12" s="193">
        <v>1</v>
      </c>
      <c r="M12" s="193">
        <v>10</v>
      </c>
      <c r="N12" s="2" t="s">
        <v>290</v>
      </c>
    </row>
    <row r="13" spans="1:14" ht="21" customHeight="1" x14ac:dyDescent="0.15">
      <c r="A13" s="61" t="str">
        <f t="shared" si="0"/>
        <v>1087_107</v>
      </c>
      <c r="B13" s="195">
        <v>1087</v>
      </c>
      <c r="C13" s="178">
        <f t="shared" si="1"/>
        <v>1087</v>
      </c>
      <c r="D13" s="53" t="str">
        <f ca="1">VLOOKUP($C13,OFFSET([1]characters!$A$1,0,0,COUNTA([1]characters!$A:$A),MATCH(D$1,[1]characters!$1:$1,0)-MATCH($C$1,[1]characters!$1:$1,0)+1),MATCH(D$1,[1]characters!$1:$1,0)-MATCH($C$1,[1]characters!$1:$1,0)+1,FALSE)</f>
        <v>宇宙線の神業師 ルメートル</v>
      </c>
      <c r="E13" s="53">
        <f ca="1">VLOOKUP($C13,OFFSET([1]characters!$A$1,0,0,COUNTA([1]characters!$A:$A),MATCH(E$1,[1]characters!$1:$1,0)-MATCH($C$1,[1]characters!$1:$1,0)+1),MATCH(E$1,[1]characters!$1:$1,0)-MATCH($C$1,[1]characters!$1:$1,0)+1,FALSE)</f>
        <v>6</v>
      </c>
      <c r="F13" s="53" t="str">
        <f ca="1">VLOOKUP($C13,OFFSET([1]characters!$A$1,0,0,COUNTA([1]characters!$A:$A),MATCH(F$1,[1]characters!$1:$1,0)-MATCH($C$1,[1]characters!$1:$1,0)+1),MATCH(F$1,[1]characters!$1:$1,0)-MATCH($C$1,[1]characters!$1:$1,0)+1,FALSE)</f>
        <v>PremiumSSS</v>
      </c>
      <c r="G13" s="195">
        <v>1086</v>
      </c>
      <c r="H13" s="53" t="str">
        <f ca="1">VLOOKUP($G13,OFFSET([1]characters!$A$1,0,0,COUNTA([1]characters!$A:$A),MATCH(H$1,[1]characters!$1:$1,0)-MATCH($C$1,[1]characters!$1:$1,0)+1),MATCH(H$1,[1]characters!$1:$1,0)-MATCH($C$1,[1]characters!$1:$1,0)+1,FALSE)</f>
        <v>宇宙の線術家 ルメートル</v>
      </c>
      <c r="I13" s="194">
        <v>107</v>
      </c>
      <c r="J13" s="53" t="str">
        <f ca="1">VLOOKUP($I13,OFFSET([1]characters!$A$1,0,0,COUNTA([1]characters!$A:$A),MATCH(J$1,[1]characters!$1:$1,0)-MATCH($C$1,[1]characters!$1:$1,0)+1),MATCH(J$1,[1]characters!$1:$1,0)-MATCH($C$1,[1]characters!$1:$1,0)+1,FALSE)</f>
        <v>グリーンキャタップ</v>
      </c>
      <c r="K13" s="192">
        <v>1</v>
      </c>
      <c r="L13" s="193">
        <v>1</v>
      </c>
      <c r="M13" s="193">
        <v>10</v>
      </c>
      <c r="N13"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topLeftCell="J1" workbookViewId="0">
      <selection activeCell="J3" sqref="J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 min="10" max="10" width="7.5" bestFit="1" customWidth="1"/>
  </cols>
  <sheetData>
    <row r="1" spans="1:11" s="21" customFormat="1" ht="21" customHeight="1" x14ac:dyDescent="0.15">
      <c r="A1" s="167" t="s">
        <v>302</v>
      </c>
      <c r="B1" s="115" t="s">
        <v>303</v>
      </c>
      <c r="C1" s="116" t="s">
        <v>304</v>
      </c>
      <c r="D1" s="117" t="s">
        <v>305</v>
      </c>
      <c r="E1" s="117" t="s">
        <v>306</v>
      </c>
      <c r="F1" s="117" t="s">
        <v>307</v>
      </c>
      <c r="G1" s="117" t="s">
        <v>308</v>
      </c>
      <c r="H1" s="117" t="s">
        <v>309</v>
      </c>
      <c r="I1" s="173" t="s">
        <v>310</v>
      </c>
      <c r="J1" s="173" t="s">
        <v>376</v>
      </c>
      <c r="K1" s="168" t="s">
        <v>311</v>
      </c>
    </row>
    <row r="2" spans="1:11" s="21" customFormat="1" ht="47" customHeight="1" x14ac:dyDescent="0.15">
      <c r="A2" s="62">
        <v>108601</v>
      </c>
      <c r="B2" s="169" t="s">
        <v>186</v>
      </c>
      <c r="C2" s="198" t="s">
        <v>364</v>
      </c>
      <c r="D2" s="198" t="s">
        <v>372</v>
      </c>
      <c r="E2" s="198" t="s">
        <v>362</v>
      </c>
      <c r="F2" s="199" t="s">
        <v>365</v>
      </c>
      <c r="G2" s="200" t="s">
        <v>373</v>
      </c>
      <c r="H2" s="198" t="s">
        <v>363</v>
      </c>
      <c r="I2" s="201" t="str">
        <f>"{"&amp;""""&amp;$E$1&amp;""""&amp;":"&amp;""""&amp;E2&amp;""""&amp;","&amp;""""&amp;"type"&amp;""""&amp;":"&amp;""""&amp;"ability"&amp;""""&amp;","&amp;""""&amp;$G$1&amp;""""&amp;":"&amp;""""&amp;G2&amp;""""&amp;","&amp;""""&amp;$F$1&amp;""""&amp;":"&amp;""""&amp;F2&amp;""""&amp;","&amp;""""&amp;$H$1&amp;""""&amp;":"&amp;H2&amp;"}"</f>
        <v>{"ver":"1.7.0","type":"ability","effects":"[effect:damage_up, target:myself, val:2.9, turn:1, type01:all, option:killer]","conditions":"[condition:enclose,[condition:quest_id,quest:60026],[condition:unit_attack_target],logic:and]","priority":0}</v>
      </c>
      <c r="J2" s="201" t="s">
        <v>377</v>
      </c>
      <c r="K2" s="202">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5"/>
  <sheetViews>
    <sheetView workbookViewId="0">
      <selection activeCell="E16" sqref="E16"/>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1086</v>
      </c>
      <c r="B2" s="172" t="str">
        <f>VLOOKUP(A2,[1]characters!$A:$C,3)</f>
        <v>宇宙の線術家 ルメートル</v>
      </c>
      <c r="C2" s="196">
        <v>1</v>
      </c>
      <c r="D2" s="196">
        <v>907</v>
      </c>
      <c r="E2" s="173" t="str">
        <f>IF(ISERROR(VLOOKUP(D2,[3]abilities!A:D,3,FALSE))=FALSE,VLOOKUP(D2,[3]abilities!A:D,3),IF(ISERROR(VLOOKUP(D2,abilities!A:D,3,FALSE))=FALSE,VLOOKUP(D2,abilities!A:D,3),"なし"))</f>
        <v>チェイン14 攻撃力UP</v>
      </c>
      <c r="F2" s="173" t="str">
        <f>IF(ISERROR(VLOOKUP(D2,[3]abilities!A:D,4,FALSE))=FALSE,VLOOKUP(D2,[3]abilities!A:D,4),IF(ISERROR(VLOOKUP(D2,abilities!A:D,4,FALSE))=FALSE,VLOOKUP(D2,abilities!A:D,4),"なし"))</f>
        <v>自身が先頭の時、1タップで14個以上パネルを繋げた場合に攻撃力UP</v>
      </c>
      <c r="G2" s="174" t="s">
        <v>274</v>
      </c>
      <c r="H2" s="197" t="s">
        <v>361</v>
      </c>
    </row>
    <row r="3" spans="1:8" s="4" customFormat="1" ht="21" customHeight="1" x14ac:dyDescent="0.15">
      <c r="A3" s="169">
        <v>1086</v>
      </c>
      <c r="B3" s="172" t="str">
        <f>VLOOKUP(A3,[1]characters!$A:$C,3)</f>
        <v>宇宙の線術家 ルメートル</v>
      </c>
      <c r="C3" s="196">
        <v>2</v>
      </c>
      <c r="D3" s="196">
        <v>108601</v>
      </c>
      <c r="E3" s="173" t="str">
        <f>IF(ISERROR(VLOOKUP(D3,[3]abilities!A:D,3,FALSE))=FALSE,VLOOKUP(D3,[3]abilities!A:D,3),IF(ISERROR(VLOOKUP(D3,abilities!A:D,3,FALSE))=FALSE,VLOOKUP(D3,abilities!A:D,3),"なし"))</f>
        <v>ハップルチャレンジ ダメージ究極UP</v>
      </c>
      <c r="F3" s="173" t="str">
        <f>IF(ISERROR(VLOOKUP(D3,[3]abilities!A:D,4,FALSE))=FALSE,VLOOKUP(D3,[3]abilities!A:D,4),IF(ISERROR(VLOOKUP(D3,abilities!A:D,4,FALSE))=FALSE,VLOOKUP(D3,abilities!A:D,4),"なし"))</f>
        <v>ハップルチャレンジ内で自身の全ての攻撃の威力を究極UP</v>
      </c>
      <c r="G3" s="174" t="s">
        <v>274</v>
      </c>
      <c r="H3" s="197" t="s">
        <v>361</v>
      </c>
    </row>
    <row r="4" spans="1:8" s="4" customFormat="1" ht="21" customHeight="1" x14ac:dyDescent="0.15">
      <c r="A4" s="169">
        <v>1087</v>
      </c>
      <c r="B4" s="172" t="str">
        <f>VLOOKUP(A4,[1]characters!$A:$C,3)</f>
        <v>宇宙線の神業師 ルメートル</v>
      </c>
      <c r="C4" s="196">
        <v>1</v>
      </c>
      <c r="D4" s="196">
        <v>100</v>
      </c>
      <c r="E4" s="173" t="str">
        <f>IF(ISERROR(VLOOKUP(D4,[3]abilities!A:D,3,FALSE))=FALSE,VLOOKUP(D4,[3]abilities!A:D,3),IF(ISERROR(VLOOKUP(D4,abilities!A:D,3,FALSE))=FALSE,VLOOKUP(D4,abilities!A:D,3),"なし"))</f>
        <v>プロテクトブレイク</v>
      </c>
      <c r="F4" s="173" t="str">
        <f>IF(ISERROR(VLOOKUP(D4,[3]abilities!A:D,4,FALSE))=FALSE,VLOOKUP(D4,[3]abilities!A:D,4),IF(ISERROR(VLOOKUP(D4,abilities!A:D,4,FALSE))=FALSE,VLOOKUP(D4,abilities!A:D,4),"なし"))</f>
        <v>自身が先頭の時、プロテクトを無視してパネル破壊できる</v>
      </c>
      <c r="G4" s="174" t="s">
        <v>274</v>
      </c>
      <c r="H4" s="197" t="s">
        <v>361</v>
      </c>
    </row>
    <row r="5" spans="1:8" s="4" customFormat="1" ht="21" customHeight="1" x14ac:dyDescent="0.15">
      <c r="A5" s="169">
        <v>1087</v>
      </c>
      <c r="B5" s="172" t="str">
        <f>VLOOKUP(A5,[1]characters!$A:$C,3)</f>
        <v>宇宙線の神業師 ルメートル</v>
      </c>
      <c r="C5" s="196">
        <v>2</v>
      </c>
      <c r="D5" s="196">
        <v>800</v>
      </c>
      <c r="E5" s="173" t="str">
        <f>IF(ISERROR(VLOOKUP(D5,[3]abilities!A:D,3,FALSE))=FALSE,VLOOKUP(D5,[3]abilities!A:D,3),IF(ISERROR(VLOOKUP(D5,abilities!A:D,3,FALSE))=FALSE,VLOOKUP(D5,abilities!A:D,3),"なし"))</f>
        <v>パネルブレイク30 攻撃力UP</v>
      </c>
      <c r="F5" s="173" t="str">
        <f>IF(ISERROR(VLOOKUP(D5,[3]abilities!A:D,4,FALSE))=FALSE,VLOOKUP(D5,[3]abilities!A:D,4),IF(ISERROR(VLOOKUP(D5,abilities!A:D,4,FALSE))=FALSE,VLOOKUP(D5,abilities!A:D,4),"なし"))</f>
        <v>自身が先頭の時、1ターンの間に合計30個以上パネルを破壊した場合に攻撃力UP</v>
      </c>
      <c r="G5" s="174" t="s">
        <v>274</v>
      </c>
      <c r="H5" s="197" t="s">
        <v>361</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318</v>
      </c>
      <c r="B1" t="s">
        <v>319</v>
      </c>
    </row>
    <row r="2" spans="1:2" x14ac:dyDescent="0.15">
      <c r="A2" t="s">
        <v>320</v>
      </c>
      <c r="B2">
        <v>1</v>
      </c>
    </row>
    <row r="3" spans="1:2" x14ac:dyDescent="0.15">
      <c r="A3" t="s">
        <v>321</v>
      </c>
      <c r="B3">
        <v>1</v>
      </c>
    </row>
    <row r="4" spans="1:2" x14ac:dyDescent="0.15">
      <c r="A4" t="s">
        <v>322</v>
      </c>
      <c r="B4">
        <v>1</v>
      </c>
    </row>
    <row r="5" spans="1:2" x14ac:dyDescent="0.15">
      <c r="A5" t="s">
        <v>323</v>
      </c>
      <c r="B5">
        <v>1</v>
      </c>
    </row>
    <row r="6" spans="1:2" x14ac:dyDescent="0.15">
      <c r="A6" t="s">
        <v>324</v>
      </c>
      <c r="B6">
        <v>1</v>
      </c>
    </row>
    <row r="7" spans="1:2" x14ac:dyDescent="0.15">
      <c r="A7" t="s">
        <v>325</v>
      </c>
      <c r="B7">
        <v>1</v>
      </c>
    </row>
    <row r="8" spans="1:2" x14ac:dyDescent="0.15">
      <c r="A8" t="s">
        <v>326</v>
      </c>
      <c r="B8">
        <v>1</v>
      </c>
    </row>
    <row r="9" spans="1:2" x14ac:dyDescent="0.15">
      <c r="A9" t="s">
        <v>327</v>
      </c>
      <c r="B9">
        <v>1</v>
      </c>
    </row>
    <row r="10" spans="1:2" x14ac:dyDescent="0.15">
      <c r="A10" t="s">
        <v>328</v>
      </c>
      <c r="B10">
        <v>1</v>
      </c>
    </row>
    <row r="11" spans="1:2" x14ac:dyDescent="0.15">
      <c r="A11" t="s">
        <v>329</v>
      </c>
      <c r="B11">
        <v>1</v>
      </c>
    </row>
    <row r="12" spans="1:2" x14ac:dyDescent="0.15">
      <c r="A12" t="s">
        <v>330</v>
      </c>
      <c r="B12">
        <v>1</v>
      </c>
    </row>
    <row r="13" spans="1:2" x14ac:dyDescent="0.15">
      <c r="A13" t="s">
        <v>331</v>
      </c>
      <c r="B13">
        <v>0</v>
      </c>
    </row>
    <row r="14" spans="1:2" x14ac:dyDescent="0.15">
      <c r="A14" t="s">
        <v>332</v>
      </c>
      <c r="B14">
        <v>500</v>
      </c>
    </row>
    <row r="15" spans="1:2" x14ac:dyDescent="0.15">
      <c r="A15" t="s">
        <v>333</v>
      </c>
      <c r="B15">
        <v>600</v>
      </c>
    </row>
    <row r="16" spans="1:2" x14ac:dyDescent="0.15">
      <c r="A16" t="s">
        <v>334</v>
      </c>
      <c r="B16">
        <v>700</v>
      </c>
    </row>
    <row r="17" spans="1:2" x14ac:dyDescent="0.15">
      <c r="A17" t="s">
        <v>335</v>
      </c>
      <c r="B17">
        <v>5500</v>
      </c>
    </row>
    <row r="18" spans="1:2" x14ac:dyDescent="0.15">
      <c r="A18" t="s">
        <v>336</v>
      </c>
      <c r="B18">
        <v>6000</v>
      </c>
    </row>
    <row r="19" spans="1:2" x14ac:dyDescent="0.15">
      <c r="A19" t="s">
        <v>337</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2017-06-06T07:35:16Z</dcterms:modified>
</cp:coreProperties>
</file>