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940" yWindow="460" windowWidth="26600" windowHeight="1668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8" l="1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G31" i="9"/>
  <c r="H31" i="9"/>
  <c r="I31" i="9"/>
  <c r="J31" i="9"/>
  <c r="K31" i="9"/>
  <c r="L31" i="9"/>
  <c r="M31" i="9"/>
  <c r="N31" i="9"/>
  <c r="J13" i="11"/>
  <c r="O31" i="9"/>
  <c r="G32" i="9"/>
  <c r="H32" i="9"/>
  <c r="I32" i="9"/>
  <c r="J32" i="9"/>
  <c r="K32" i="9"/>
  <c r="L32" i="9"/>
  <c r="M32" i="9"/>
  <c r="N32" i="9"/>
  <c r="O32" i="9"/>
  <c r="G33" i="9"/>
  <c r="H33" i="9"/>
  <c r="I33" i="9"/>
  <c r="J33" i="9"/>
  <c r="K33" i="9"/>
  <c r="L33" i="9"/>
  <c r="M33" i="9"/>
  <c r="N33" i="9"/>
  <c r="O33" i="9"/>
  <c r="G34" i="9"/>
  <c r="H34" i="9"/>
  <c r="I34" i="9"/>
  <c r="J34" i="9"/>
  <c r="K34" i="9"/>
  <c r="L34" i="9"/>
  <c r="M34" i="9"/>
  <c r="N34" i="9"/>
  <c r="O34" i="9"/>
  <c r="J21" i="11"/>
  <c r="O30" i="9"/>
  <c r="N30" i="9"/>
  <c r="M30" i="9"/>
  <c r="L30" i="9"/>
  <c r="K30" i="9"/>
  <c r="J30" i="9"/>
  <c r="I30" i="9"/>
  <c r="H30" i="9"/>
  <c r="G30" i="9"/>
  <c r="E30" i="9"/>
  <c r="D30" i="9"/>
  <c r="A30" i="9"/>
  <c r="J11" i="11"/>
  <c r="O29" i="9"/>
  <c r="N29" i="9"/>
  <c r="M29" i="9"/>
  <c r="L29" i="9"/>
  <c r="K29" i="9"/>
  <c r="J29" i="9"/>
  <c r="I29" i="9"/>
  <c r="H29" i="9"/>
  <c r="G29" i="9"/>
  <c r="E29" i="9"/>
  <c r="D29" i="9"/>
  <c r="A29" i="9"/>
  <c r="J10" i="11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J9" i="11"/>
  <c r="O24" i="9"/>
  <c r="N24" i="9"/>
  <c r="M24" i="9"/>
  <c r="L24" i="9"/>
  <c r="K24" i="9"/>
  <c r="J24" i="9"/>
  <c r="I24" i="9"/>
  <c r="H24" i="9"/>
  <c r="G24" i="9"/>
  <c r="E24" i="9"/>
  <c r="D24" i="9"/>
  <c r="A24" i="9"/>
  <c r="W3" i="7"/>
  <c r="R3" i="7"/>
  <c r="Q3" i="7"/>
  <c r="P3" i="7"/>
  <c r="O3" i="7"/>
  <c r="N3" i="7"/>
  <c r="H3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J3" i="7"/>
  <c r="I3" i="7"/>
  <c r="D3" i="7"/>
  <c r="F3" i="7"/>
  <c r="E3" i="7"/>
  <c r="A3" i="7"/>
  <c r="AB12" i="1"/>
  <c r="AB17" i="1"/>
  <c r="AB13" i="1"/>
  <c r="AB14" i="1"/>
  <c r="AD17" i="1"/>
  <c r="AG17" i="1"/>
  <c r="AE17" i="1"/>
  <c r="AC17" i="1"/>
  <c r="E16" i="9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AB15" i="1"/>
  <c r="AD15" i="1"/>
  <c r="AG15" i="1"/>
  <c r="AE15" i="1"/>
  <c r="AC15" i="1"/>
  <c r="E9" i="9"/>
  <c r="E10" i="9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G14" i="1"/>
  <c r="AE14" i="1"/>
  <c r="AC14" i="1"/>
  <c r="E3" i="9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G13" i="1"/>
  <c r="AE13" i="1"/>
  <c r="AC13" i="1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H10" i="1"/>
  <c r="H11" i="1"/>
  <c r="H12" i="1"/>
  <c r="H2" i="1"/>
  <c r="H3" i="1"/>
  <c r="H4" i="1"/>
  <c r="H5" i="1"/>
  <c r="H6" i="1"/>
  <c r="H7" i="1"/>
  <c r="H8" i="1"/>
  <c r="H9" i="1"/>
  <c r="B7" i="2"/>
  <c r="D7" i="2"/>
  <c r="E7" i="2"/>
  <c r="H7" i="2"/>
  <c r="AD12" i="1"/>
  <c r="AG12" i="1"/>
  <c r="AE12" i="1"/>
  <c r="AC12" i="1"/>
  <c r="V12" i="1"/>
  <c r="Q12" i="1"/>
  <c r="P12" i="1"/>
  <c r="O12" i="1"/>
  <c r="N12" i="1"/>
  <c r="M12" i="1"/>
  <c r="J12" i="1"/>
  <c r="I12" i="1"/>
  <c r="D12" i="1"/>
  <c r="F12" i="1"/>
  <c r="E12" i="1"/>
  <c r="A12" i="1"/>
  <c r="AB11" i="1"/>
  <c r="AD11" i="1"/>
  <c r="AG11" i="1"/>
  <c r="AE11" i="1"/>
  <c r="AC11" i="1"/>
  <c r="V11" i="1"/>
  <c r="Q11" i="1"/>
  <c r="P11" i="1"/>
  <c r="O11" i="1"/>
  <c r="N11" i="1"/>
  <c r="M11" i="1"/>
  <c r="J11" i="1"/>
  <c r="I11" i="1"/>
  <c r="D11" i="1"/>
  <c r="F11" i="1"/>
  <c r="E11" i="1"/>
  <c r="A11" i="1"/>
  <c r="AB10" i="1"/>
  <c r="AD10" i="1"/>
  <c r="AG10" i="1"/>
  <c r="AE10" i="1"/>
  <c r="AC10" i="1"/>
  <c r="V10" i="1"/>
  <c r="Q10" i="1"/>
  <c r="P10" i="1"/>
  <c r="O10" i="1"/>
  <c r="N10" i="1"/>
  <c r="M10" i="1"/>
  <c r="J10" i="1"/>
  <c r="I10" i="1"/>
  <c r="D10" i="1"/>
  <c r="F10" i="1"/>
  <c r="E10" i="1"/>
  <c r="A10" i="1"/>
  <c r="AD9" i="1"/>
  <c r="AG9" i="1"/>
  <c r="AE9" i="1"/>
  <c r="AC9" i="1"/>
  <c r="V9" i="1"/>
  <c r="Q9" i="1"/>
  <c r="P9" i="1"/>
  <c r="O9" i="1"/>
  <c r="N9" i="1"/>
  <c r="M9" i="1"/>
  <c r="J9" i="1"/>
  <c r="I9" i="1"/>
  <c r="D9" i="1"/>
  <c r="F9" i="1"/>
  <c r="E9" i="1"/>
  <c r="A9" i="1"/>
  <c r="AD8" i="1"/>
  <c r="AG8" i="1"/>
  <c r="AE8" i="1"/>
  <c r="AC8" i="1"/>
  <c r="V8" i="1"/>
  <c r="Q8" i="1"/>
  <c r="P8" i="1"/>
  <c r="O8" i="1"/>
  <c r="N8" i="1"/>
  <c r="M8" i="1"/>
  <c r="J8" i="1"/>
  <c r="I8" i="1"/>
  <c r="D8" i="1"/>
  <c r="F8" i="1"/>
  <c r="E8" i="1"/>
  <c r="A8" i="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J20" i="11"/>
  <c r="O23" i="9"/>
  <c r="N23" i="9"/>
  <c r="M23" i="9"/>
  <c r="L23" i="9"/>
  <c r="K23" i="9"/>
  <c r="J23" i="9"/>
  <c r="I23" i="9"/>
  <c r="H23" i="9"/>
  <c r="G23" i="9"/>
  <c r="E23" i="9"/>
  <c r="D23" i="9"/>
  <c r="A23" i="9"/>
  <c r="J18" i="11"/>
  <c r="J19" i="11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J17" i="11"/>
  <c r="O20" i="9"/>
  <c r="N20" i="9"/>
  <c r="M20" i="9"/>
  <c r="L20" i="9"/>
  <c r="K20" i="9"/>
  <c r="J20" i="9"/>
  <c r="I20" i="9"/>
  <c r="H20" i="9"/>
  <c r="G20" i="9"/>
  <c r="E20" i="9"/>
  <c r="D20" i="9"/>
  <c r="A20" i="9"/>
  <c r="J16" i="11"/>
  <c r="O19" i="9"/>
  <c r="N19" i="9"/>
  <c r="M19" i="9"/>
  <c r="L19" i="9"/>
  <c r="K19" i="9"/>
  <c r="J19" i="9"/>
  <c r="I19" i="9"/>
  <c r="H19" i="9"/>
  <c r="G19" i="9"/>
  <c r="E19" i="9"/>
  <c r="D19" i="9"/>
  <c r="A19" i="9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J15" i="11"/>
  <c r="O18" i="9"/>
  <c r="N18" i="9"/>
  <c r="M18" i="9"/>
  <c r="L18" i="9"/>
  <c r="K18" i="9"/>
  <c r="J18" i="9"/>
  <c r="I18" i="9"/>
  <c r="H18" i="9"/>
  <c r="G18" i="9"/>
  <c r="E18" i="9"/>
  <c r="D18" i="9"/>
  <c r="A18" i="9"/>
  <c r="J14" i="11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D16" i="9"/>
  <c r="A16" i="9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O14" i="9"/>
  <c r="N14" i="9"/>
  <c r="M14" i="9"/>
  <c r="L14" i="9"/>
  <c r="K14" i="9"/>
  <c r="J14" i="9"/>
  <c r="I14" i="9"/>
  <c r="H14" i="9"/>
  <c r="G14" i="9"/>
  <c r="E14" i="9"/>
  <c r="D14" i="9"/>
  <c r="A14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O15" i="9"/>
  <c r="N15" i="9"/>
  <c r="M15" i="9"/>
  <c r="L15" i="9"/>
  <c r="K15" i="9"/>
  <c r="J15" i="9"/>
  <c r="I15" i="9"/>
  <c r="H15" i="9"/>
  <c r="G15" i="9"/>
  <c r="E15" i="9"/>
  <c r="D15" i="9"/>
  <c r="A15" i="9"/>
  <c r="O13" i="9"/>
  <c r="N13" i="9"/>
  <c r="M13" i="9"/>
  <c r="L13" i="9"/>
  <c r="K13" i="9"/>
  <c r="J13" i="9"/>
  <c r="I13" i="9"/>
  <c r="H13" i="9"/>
  <c r="G13" i="9"/>
  <c r="E13" i="9"/>
  <c r="D13" i="9"/>
  <c r="A13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D10" i="9"/>
  <c r="A10" i="9"/>
  <c r="O9" i="9"/>
  <c r="N9" i="9"/>
  <c r="M9" i="9"/>
  <c r="L9" i="9"/>
  <c r="K9" i="9"/>
  <c r="J9" i="9"/>
  <c r="I9" i="9"/>
  <c r="H9" i="9"/>
  <c r="G9" i="9"/>
  <c r="D9" i="9"/>
  <c r="A9" i="9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J5" i="11"/>
  <c r="O5" i="9"/>
  <c r="J6" i="11"/>
  <c r="O6" i="9"/>
  <c r="J7" i="11"/>
  <c r="O7" i="9"/>
  <c r="J8" i="11"/>
  <c r="O8" i="9"/>
  <c r="N5" i="9"/>
  <c r="N6" i="9"/>
  <c r="N7" i="9"/>
  <c r="N8" i="9"/>
  <c r="M5" i="9"/>
  <c r="M6" i="9"/>
  <c r="M7" i="9"/>
  <c r="M8" i="9"/>
  <c r="L5" i="9"/>
  <c r="L6" i="9"/>
  <c r="L7" i="9"/>
  <c r="L8" i="9"/>
  <c r="K5" i="9"/>
  <c r="K6" i="9"/>
  <c r="K7" i="9"/>
  <c r="K8" i="9"/>
  <c r="J5" i="9"/>
  <c r="J6" i="9"/>
  <c r="J7" i="9"/>
  <c r="J8" i="9"/>
  <c r="I5" i="9"/>
  <c r="I6" i="9"/>
  <c r="I7" i="9"/>
  <c r="I8" i="9"/>
  <c r="H5" i="9"/>
  <c r="H6" i="9"/>
  <c r="H7" i="9"/>
  <c r="H8" i="9"/>
  <c r="G8" i="9"/>
  <c r="G5" i="9"/>
  <c r="G6" i="9"/>
  <c r="G7" i="9"/>
  <c r="E5" i="9"/>
  <c r="E6" i="9"/>
  <c r="E7" i="9"/>
  <c r="E8" i="9"/>
  <c r="D5" i="9"/>
  <c r="D6" i="9"/>
  <c r="D7" i="9"/>
  <c r="D8" i="9"/>
  <c r="A5" i="9"/>
  <c r="A6" i="9"/>
  <c r="A7" i="9"/>
  <c r="A8" i="9"/>
  <c r="J4" i="11"/>
  <c r="O4" i="9"/>
  <c r="N4" i="9"/>
  <c r="M4" i="9"/>
  <c r="L4" i="9"/>
  <c r="K4" i="9"/>
  <c r="J4" i="9"/>
  <c r="I4" i="9"/>
  <c r="H4" i="9"/>
  <c r="G4" i="9"/>
  <c r="E4" i="9"/>
  <c r="D4" i="9"/>
  <c r="A4" i="9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J3" i="11"/>
  <c r="O3" i="9"/>
  <c r="N3" i="9"/>
  <c r="M3" i="9"/>
  <c r="L3" i="9"/>
  <c r="K3" i="9"/>
  <c r="J3" i="9"/>
  <c r="I3" i="9"/>
  <c r="H3" i="9"/>
  <c r="G3" i="9"/>
  <c r="D3" i="9"/>
  <c r="A3" i="9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D7" i="1"/>
  <c r="AG7" i="1"/>
  <c r="AE7" i="1"/>
  <c r="AC7" i="1"/>
  <c r="E2" i="9"/>
  <c r="V7" i="1"/>
  <c r="Q7" i="1"/>
  <c r="P7" i="1"/>
  <c r="O7" i="1"/>
  <c r="N7" i="1"/>
  <c r="M7" i="1"/>
  <c r="J7" i="1"/>
  <c r="I7" i="1"/>
  <c r="D7" i="1"/>
  <c r="F7" i="1"/>
  <c r="E7" i="1"/>
  <c r="A7" i="1"/>
  <c r="AB6" i="1"/>
  <c r="AD6" i="1"/>
  <c r="AG6" i="1"/>
  <c r="AE6" i="1"/>
  <c r="AC6" i="1"/>
  <c r="V6" i="1"/>
  <c r="Q6" i="1"/>
  <c r="P6" i="1"/>
  <c r="O6" i="1"/>
  <c r="N6" i="1"/>
  <c r="M6" i="1"/>
  <c r="J6" i="1"/>
  <c r="I6" i="1"/>
  <c r="D6" i="1"/>
  <c r="F6" i="1"/>
  <c r="E6" i="1"/>
  <c r="A6" i="1"/>
  <c r="AB5" i="1"/>
  <c r="AD5" i="1"/>
  <c r="AG5" i="1"/>
  <c r="AE5" i="1"/>
  <c r="AC5" i="1"/>
  <c r="V5" i="1"/>
  <c r="Q5" i="1"/>
  <c r="P5" i="1"/>
  <c r="O5" i="1"/>
  <c r="N5" i="1"/>
  <c r="M5" i="1"/>
  <c r="J5" i="1"/>
  <c r="I5" i="1"/>
  <c r="D5" i="1"/>
  <c r="F5" i="1"/>
  <c r="E5" i="1"/>
  <c r="A5" i="1"/>
  <c r="AB4" i="1"/>
  <c r="AD4" i="1"/>
  <c r="AG4" i="1"/>
  <c r="AE4" i="1"/>
  <c r="AC4" i="1"/>
  <c r="V4" i="1"/>
  <c r="Q4" i="1"/>
  <c r="P4" i="1"/>
  <c r="O4" i="1"/>
  <c r="N4" i="1"/>
  <c r="M4" i="1"/>
  <c r="J4" i="1"/>
  <c r="I4" i="1"/>
  <c r="D4" i="1"/>
  <c r="F4" i="1"/>
  <c r="E4" i="1"/>
  <c r="A4" i="1"/>
  <c r="B5" i="2"/>
  <c r="D5" i="2"/>
  <c r="E5" i="2"/>
  <c r="H5" i="2"/>
  <c r="B6" i="2"/>
  <c r="D6" i="2"/>
  <c r="E6" i="2"/>
  <c r="H6" i="2"/>
  <c r="B8" i="2"/>
  <c r="D8" i="2"/>
  <c r="E8" i="2"/>
  <c r="H8" i="2"/>
  <c r="B9" i="2"/>
  <c r="D9" i="2"/>
  <c r="E9" i="2"/>
  <c r="H9" i="2"/>
  <c r="B10" i="2"/>
  <c r="D10" i="2"/>
  <c r="E10" i="2"/>
  <c r="H10" i="2"/>
  <c r="B11" i="2"/>
  <c r="D11" i="2"/>
  <c r="E11" i="2"/>
  <c r="H11" i="2"/>
  <c r="H4" i="2"/>
  <c r="E4" i="2"/>
  <c r="D4" i="2"/>
  <c r="B4" i="2"/>
  <c r="H3" i="2"/>
  <c r="E3" i="2"/>
  <c r="D3" i="2"/>
  <c r="B3" i="2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68" i="19"/>
  <c r="C68" i="19"/>
  <c r="D68" i="19"/>
  <c r="F68" i="19"/>
  <c r="G68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60" i="19"/>
  <c r="C60" i="19"/>
  <c r="D60" i="19"/>
  <c r="F60" i="19"/>
  <c r="G60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B34" i="19"/>
  <c r="C34" i="19"/>
  <c r="D34" i="19"/>
  <c r="F34" i="19"/>
  <c r="G34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B2" i="19"/>
  <c r="C2" i="19"/>
  <c r="D2" i="19"/>
  <c r="F2" i="19"/>
  <c r="G2" i="19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W2" i="7"/>
  <c r="V2" i="1"/>
  <c r="R2" i="7"/>
  <c r="Q2" i="7"/>
  <c r="P2" i="7"/>
  <c r="O2" i="7"/>
  <c r="N2" i="7"/>
  <c r="AE3" i="1"/>
  <c r="AD3" i="1"/>
  <c r="AC3" i="1"/>
  <c r="AE2" i="1"/>
  <c r="AD2" i="1"/>
  <c r="AC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<sst xmlns="http://schemas.openxmlformats.org/spreadsheetml/2006/main" count="925" uniqueCount="321">
  <si>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</si>
  <si>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</si>
  <si>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</si>
  <si>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</si>
  <si>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</si>
  <si>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</si>
  <si>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</si>
  <si>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</si>
  <si>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</si>
  <si>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</si>
  <si>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</si>
  <si>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</si>
  <si>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</si>
  <si>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</si>
  <si>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</si>
  <si>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</si>
  <si>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</si>
  <si>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</si>
  <si>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</si>
  <si>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</si>
  <si>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</si>
  <si>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</si>
  <si>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</si>
  <si>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</si>
  <si>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</si>
  <si>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</si>
  <si>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</si>
  <si>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</si>
  <si>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</si>
  <si>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</si>
  <si>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</si>
  <si>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</si>
  <si>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</si>
  <si>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</si>
  <si>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</si>
  <si>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</si>
  <si>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</si>
  <si>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</si>
  <si>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</si>
  <si>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</si>
  <si>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</si>
  <si>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</si>
  <si>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</si>
  <si>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</si>
  <si>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</si>
  <si>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</si>
  <si>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</si>
  <si>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</si>
  <si>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</si>
  <si>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</si>
  <si>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</si>
  <si>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</si>
  <si>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</si>
  <si>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</si>
  <si>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</si>
  <si>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</si>
  <si>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</si>
  <si>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</si>
  <si>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</si>
  <si>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</si>
  <si>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</si>
  <si>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</si>
  <si>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</si>
  <si>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</si>
  <si>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</si>
  <si>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</si>
  <si>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</si>
  <si>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</si>
  <si>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</si>
  <si>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</si>
  <si>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</si>
  <si>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</si>
  <si>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</si>
  <si>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</si>
  <si>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</si>
  <si>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</si>
  <si>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</si>
  <si>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</si>
  <si>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</si>
  <si>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</si>
  <si>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</si>
  <si>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</si>
  <si>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</si>
  <si>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</si>
  <si>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</si>
  <si>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</si>
  <si>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</si>
  <si>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</si>
  <si>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</si>
  <si>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</si>
  <si>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</si>
  <si>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</si>
  <si>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</si>
  <si>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</si>
  <si>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</si>
  <si>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</si>
  <si>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</si>
  <si>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</si>
  <si>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</si>
  <si>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</si>
  <si>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</si>
  <si>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</si>
  <si>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</si>
  <si>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</si>
  <si>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</si>
  <si>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</si>
  <si>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</si>
  <si>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</si>
  <si>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</si>
  <si>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</si>
  <si>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</si>
  <si>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</si>
  <si>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</si>
  <si>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</si>
  <si>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</si>
  <si>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</si>
  <si>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</si>
  <si>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</si>
  <si>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</si>
  <si>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</si>
  <si>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</si>
  <si>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</si>
  <si>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</si>
  <si>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</si>
  <si>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</si>
  <si>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</si>
  <si>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</si>
  <si>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</si>
  <si>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</si>
  <si>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</si>
  <si>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</si>
  <si>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</si>
  <si>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</si>
  <si>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</si>
  <si>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</si>
  <si>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</si>
  <si>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</si>
  <si>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</si>
  <si>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</si>
  <si>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</si>
  <si>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</si>
  <si>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</si>
  <si>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</si>
  <si>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</si>
  <si>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</si>
  <si>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</si>
  <si>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</si>
  <si>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</si>
  <si>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</si>
  <si>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</si>
  <si>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</si>
  <si>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</si>
  <si>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</si>
  <si>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</si>
  <si>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</si>
  <si>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</si>
  <si>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</si>
  <si>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</si>
  <si>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</si>
  <si>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</si>
  <si>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</si>
  <si>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</si>
  <si>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</si>
  <si>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</si>
  <si>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</si>
  <si>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</si>
  <si>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</si>
  <si>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</si>
  <si>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</si>
  <si>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</si>
  <si>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</si>
  <si>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</si>
  <si>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</si>
  <si>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</si>
  <si>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</si>
  <si>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</si>
  <si>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</si>
  <si>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</si>
  <si>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</si>
  <si>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</si>
  <si>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</si>
  <si>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</si>
  <si>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</si>
  <si>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</si>
  <si>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</si>
  <si>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</si>
  <si>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</si>
  <si>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</si>
  <si>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</si>
  <si>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</si>
  <si>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</si>
  <si>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</si>
  <si>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</si>
  <si>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</si>
  <si>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</si>
  <si>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</si>
  <si>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</si>
  <si>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</si>
  <si>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</si>
  <si>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</si>
  <si>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</si>
  <si>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</si>
  <si>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</si>
  <si>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</si>
  <si>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</si>
  <si>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</si>
  <si>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</si>
  <si>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</si>
  <si>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電光刹華</t>
    <phoneticPr fontId="5"/>
  </si>
  <si>
    <t>valid_flg</t>
    <phoneticPr fontId="5"/>
  </si>
  <si>
    <t>メイス・パニッシャー</t>
    <phoneticPr fontId="5"/>
  </si>
  <si>
    <t>null</t>
    <phoneticPr fontId="5"/>
  </si>
  <si>
    <t>null</t>
    <phoneticPr fontId="5"/>
  </si>
  <si>
    <t>null</t>
    <phoneticPr fontId="5"/>
  </si>
  <si>
    <t>[effect:degrade_unit, target:unit_all, turn:4, status:action, val:2, animation:enemy_tap_down]</t>
    <phoneticPr fontId="5"/>
  </si>
  <si>
    <t>アポカリプス・ロード</t>
    <phoneticPr fontId="5"/>
  </si>
  <si>
    <t>パラダイス・ロスト</t>
    <phoneticPr fontId="5"/>
  </si>
  <si>
    <t>因果応報</t>
    <rPh sb="0" eb="4">
      <t>インガオウホ</t>
    </rPh>
    <phoneticPr fontId="5"/>
  </si>
  <si>
    <t>六道輪廻</t>
    <phoneticPr fontId="5"/>
  </si>
  <si>
    <t>回復</t>
    <rPh sb="0" eb="2">
      <t>カ</t>
    </rPh>
    <phoneticPr fontId="5"/>
  </si>
  <si>
    <t>エルドラド</t>
    <phoneticPr fontId="5"/>
  </si>
  <si>
    <t>[effect:enemy_counter, target:myself, invoke_condition:unit_all, counter_target:attacker, turn:2, val:2, animation:enemy_counter]</t>
    <phoneticPr fontId="5"/>
  </si>
  <si>
    <t>[effect:change_panel_ratio, turn:4, block_type:heal, val:0, animation:block_incidence04]</t>
    <phoneticPr fontId="5"/>
  </si>
  <si>
    <t>[effect:nothing]</t>
    <phoneticPr fontId="5"/>
  </si>
  <si>
    <t>力ため</t>
    <rPh sb="0" eb="3">
      <t>チカr</t>
    </rPh>
    <phoneticPr fontId="5"/>
  </si>
  <si>
    <t>疾風刄雷</t>
    <rPh sb="0" eb="4">
      <t>シッp</t>
    </rPh>
    <phoneticPr fontId="5"/>
  </si>
  <si>
    <t>獅子奮迅の大号令</t>
    <rPh sb="0" eb="5">
      <t>シシフンジンン</t>
    </rPh>
    <rPh sb="5" eb="8">
      <t>ダ</t>
    </rPh>
    <phoneticPr fontId="5"/>
  </si>
  <si>
    <t>[effect:spread, val:0.3]</t>
    <phoneticPr fontId="5"/>
  </si>
  <si>
    <t>全体攻撃</t>
    <phoneticPr fontId="5"/>
  </si>
  <si>
    <t>null</t>
    <phoneticPr fontId="5"/>
  </si>
  <si>
    <t>[effect:panel_freeze, target:block_all, count:8, break_count:1]</t>
    <phoneticPr fontId="5"/>
  </si>
  <si>
    <t>[effect:panel_freeze, target:block_all, count:8, break_count:1]</t>
    <phoneticPr fontId="5"/>
  </si>
  <si>
    <t>[effect:critical, val:1.5]</t>
    <phoneticPr fontId="5"/>
  </si>
  <si>
    <t>全体攻撃</t>
    <phoneticPr fontId="5"/>
  </si>
  <si>
    <t>アナンタ・ブラスター</t>
    <phoneticPr fontId="5"/>
  </si>
  <si>
    <t>八卦神晶</t>
    <phoneticPr fontId="5"/>
  </si>
  <si>
    <t>アカシャの蛇</t>
    <rPh sb="5" eb="6">
      <t>ヘb</t>
    </rPh>
    <phoneticPr fontId="5"/>
  </si>
  <si>
    <t>old</t>
    <phoneticPr fontId="5"/>
  </si>
  <si>
    <t>null</t>
    <phoneticPr fontId="5"/>
  </si>
  <si>
    <t>null</t>
    <phoneticPr fontId="5"/>
  </si>
  <si>
    <t>[effect:critical, val:1.2],[effect:hungup, target:unit_one, turn:2, rate:1, animation:hungup01]</t>
    <phoneticPr fontId="5"/>
  </si>
  <si>
    <t>[effect:spread, val:0.5]</t>
    <phoneticPr fontId="5"/>
  </si>
  <si>
    <t>[effect:enhance_enemy, target:enemy_all, turn:-1, status:attack, val:0.2, animation:enemy_enhance_attack]</t>
    <phoneticPr fontId="5"/>
  </si>
  <si>
    <t>敵全体の攻撃力がUP</t>
    <rPh sb="0" eb="1">
      <t>テk</t>
    </rPh>
    <rPh sb="1" eb="4">
      <t>ゼン</t>
    </rPh>
    <rPh sb="4" eb="7">
      <t>コウゲk</t>
    </rPh>
    <phoneticPr fontId="5"/>
  </si>
  <si>
    <t>余計なマネはせんことじゃ</t>
    <rPh sb="0" eb="6">
      <t>ヨケ</t>
    </rPh>
    <phoneticPr fontId="5"/>
  </si>
  <si>
    <t>侵入者は通せん決まりじゃ</t>
    <rPh sb="0" eb="3">
      <t>シン</t>
    </rPh>
    <rPh sb="4" eb="10">
      <t>10s</t>
    </rPh>
    <phoneticPr fontId="5"/>
  </si>
  <si>
    <t>なかなかやるのぉ</t>
    <phoneticPr fontId="5"/>
  </si>
  <si>
    <t>[effect:break_attack, val:0.2, lowest_val:2000, count:6, block:block_yellow, target:unit_one]</t>
    <phoneticPr fontId="5"/>
  </si>
  <si>
    <t>！？</t>
    <phoneticPr fontId="5"/>
  </si>
  <si>
    <t>！？</t>
    <phoneticPr fontId="5"/>
  </si>
  <si>
    <t>[effect:spread, val:0.28]</t>
    <phoneticPr fontId="5"/>
  </si>
  <si>
    <t>[effect:rush, count:8, val:0.13],[effect:panel_freeze, target:block_red, count:1, break_count:1],[effect:panel_freeze, target:block_blue, count:1, break_count:1],[effect:panel_freeze, target:block_green, count:1, break_count:1],[effect:panel_freeze, target:block_yellow, count:1, break_count:1],[effect:panel_freeze, target:block_heart, count:1, break_count:1]</t>
    <phoneticPr fontId="5"/>
  </si>
  <si>
    <t>[effect:enhance_enemy, target:myself, turn:-1, status:attack, val:0.4, animation:enemy_enhance_attack]</t>
    <phoneticPr fontId="5"/>
  </si>
  <si>
    <t>まずは攻撃頻度の早い敵から倒しましょう</t>
    <rPh sb="3" eb="8">
      <t>コウゲキヒンd</t>
    </rPh>
    <rPh sb="8" eb="10">
      <t>ハy</t>
    </rPh>
    <rPh sb="10" eb="19">
      <t>オ</t>
    </rPh>
    <phoneticPr fontId="5"/>
  </si>
  <si>
    <t>old</t>
    <phoneticPr fontId="5"/>
  </si>
  <si>
    <t>null</t>
    <phoneticPr fontId="5"/>
  </si>
  <si>
    <t>null</t>
    <phoneticPr fontId="5"/>
  </si>
  <si>
    <t>[effect:heal, target:myself, val:0.2, animation:enemy_heal]</t>
    <phoneticPr fontId="5"/>
  </si>
  <si>
    <t>4ターンの間パネルタップ回数を1にする！</t>
    <rPh sb="5" eb="6">
      <t>アイd</t>
    </rPh>
    <phoneticPr fontId="5"/>
  </si>
  <si>
    <t>8連続攻撃&amp;各色パネルを1つづつプロテクト！</t>
  </si>
  <si>
    <t>ステータスUP&amp;全てのハートパネルにプロテクト！</t>
  </si>
  <si>
    <t>お前はわしが倒す！</t>
    <rPh sb="1" eb="2">
      <t>マ</t>
    </rPh>
    <rPh sb="6" eb="8">
      <t>タオs</t>
    </rPh>
    <phoneticPr fontId="5"/>
  </si>
  <si>
    <t>[effect:virus, turn:-1, rate:1, val:0.15, animation:enemy_virus],[effect:break_enchance_enemy, val:0.05, lowest_val:0.05, count :-1, status:attack, turn:-1, block:block_yellow, target:myself, calc:mul, animation:enemy_enhance_attack]</t>
    <phoneticPr fontId="5"/>
  </si>
  <si>
    <t>30030006_30030013</t>
  </si>
  <si>
    <t>侵入者は通せん決まりじゃ</t>
  </si>
  <si>
    <t>ランダムなパネル8個にプロテクトをかける！</t>
  </si>
  <si>
    <t>30030006_30030014</t>
  </si>
  <si>
    <t>なかなかやるのぉ</t>
  </si>
  <si>
    <t>30030007_30030017</t>
  </si>
  <si>
    <t>アナンタ・ブラスター</t>
  </si>
  <si>
    <t>全体攻撃</t>
  </si>
  <si>
    <t>30030007_30030018</t>
  </si>
  <si>
    <t>八卦神晶</t>
  </si>
  <si>
    <t>null</t>
    <phoneticPr fontId="5"/>
  </si>
  <si>
    <t>[effect:break_heal_ratio, val:0.05, lowest_val:5000, count:8, block:block_heart, target:enemy_all, animation:enemy_heal]</t>
    <phoneticPr fontId="5"/>
  </si>
  <si>
    <t>アナンタはHPが減ると頻繁に
パネルをプロテクト状態にしてきます
ボムパネルの爆風などで切り抜けましょう</t>
    <phoneticPr fontId="5"/>
  </si>
  <si>
    <t>タップ回数制限の対策をしましょう
体力が少なくなるとハートパネル出現率を
ゼロにしてくるので注意が必要です</t>
    <phoneticPr fontId="5"/>
  </si>
  <si>
    <t>攻撃が来るまでに時間があるので
1体は確実に倒しておきましょう</t>
    <phoneticPr fontId="5"/>
  </si>
  <si>
    <t>アナンタはHPが減ると頻繁に
パネルをプロテクト状態にしてきます
ボムパネルの爆風などで切り抜けましょう</t>
    <phoneticPr fontId="5"/>
  </si>
  <si>
    <t>[effect:enhance_enemy, target:myself, turn:-1, status:defense, val:1000, calc:add, animation:enemy_enhance_defense]</t>
    <phoneticPr fontId="5"/>
  </si>
  <si>
    <t>[effect:enhance_enemy, target:myself, turn:-1, status:attack, val:0.1, animation:enemy_enhance_attack],[effect:enhance_enemy, target:myself, turn:-1, status:defense, val:500, calc:add, animation:enemy_enhance_defense],[effect:panel_freeze, target:block_heart, color:block_heart, count:-1, break_count:1]</t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</si>
  <si>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</si>
  <si>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</si>
  <si>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</si>
  <si>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</si>
  <si>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</si>
  <si>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</si>
  <si>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</si>
  <si>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</si>
  <si>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</si>
  <si>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</si>
  <si>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</si>
  <si>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</si>
  <si>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</si>
  <si>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</si>
  <si>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</si>
  <si>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</si>
  <si>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</si>
  <si>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null</t>
    <phoneticPr fontId="5"/>
  </si>
  <si>
    <t>link</t>
    <phoneticPr fontId="5"/>
  </si>
  <si>
    <t>unit</t>
    <phoneticPr fontId="5"/>
  </si>
  <si>
    <t>unit</t>
    <phoneticPr fontId="5"/>
  </si>
  <si>
    <t>link</t>
    <phoneticPr fontId="5"/>
  </si>
  <si>
    <t>old</t>
    <phoneticPr fontId="5"/>
  </si>
  <si>
    <t>強力な全体攻撃</t>
    <rPh sb="0" eb="2">
      <t>キョウリョク</t>
    </rPh>
    <rPh sb="3" eb="5">
      <t>ゼンタイ</t>
    </rPh>
    <rPh sb="5" eb="7">
      <t>コウゲキ</t>
    </rPh>
    <phoneticPr fontId="5"/>
  </si>
  <si>
    <t>次のターン強力な全体攻撃</t>
    <rPh sb="0" eb="2">
      <t>ツg</t>
    </rPh>
    <rPh sb="5" eb="8">
      <t>チョウキョ</t>
    </rPh>
    <rPh sb="8" eb="12">
      <t>ゼン</t>
    </rPh>
    <phoneticPr fontId="5"/>
  </si>
  <si>
    <t>2ターン全属性カウンター</t>
    <rPh sb="4" eb="7">
      <t>ゼンゾクセイ</t>
    </rPh>
    <phoneticPr fontId="5"/>
  </si>
  <si>
    <t>黄パネル破壊攻撃（最大6個）</t>
    <rPh sb="4" eb="6">
      <t>ハカイ</t>
    </rPh>
    <rPh sb="6" eb="8">
      <t>タンタ</t>
    </rPh>
    <rPh sb="9" eb="11">
      <t>サイダイ</t>
    </rPh>
    <rPh sb="12" eb="13">
      <t>コ</t>
    </rPh>
    <phoneticPr fontId="5"/>
  </si>
  <si>
    <t>4ターンの間ハートパネル出現率を0にする！</t>
    <phoneticPr fontId="5"/>
  </si>
  <si>
    <t>クリティカル！</t>
    <phoneticPr fontId="5"/>
  </si>
  <si>
    <t>危機を察知して守りを固めたようだ</t>
    <rPh sb="0" eb="2">
      <t>キキ</t>
    </rPh>
    <rPh sb="3" eb="7">
      <t>サッt</t>
    </rPh>
    <rPh sb="7" eb="16">
      <t>マm</t>
    </rPh>
    <phoneticPr fontId="5"/>
  </si>
  <si>
    <t>怒りで攻撃力が上がったようだ</t>
    <rPh sb="0" eb="3">
      <t>イk</t>
    </rPh>
    <rPh sb="3" eb="5">
      <t>コウゲk</t>
    </rPh>
    <rPh sb="5" eb="7">
      <t>イリョk</t>
    </rPh>
    <rPh sb="7" eb="14">
      <t>アガッt</t>
    </rPh>
    <phoneticPr fontId="5"/>
  </si>
  <si>
    <t>ランダムで8個プロテクト</t>
    <phoneticPr fontId="5"/>
  </si>
  <si>
    <t>攻撃力＆防御力UP＋ハートプロテクト</t>
    <rPh sb="0" eb="3">
      <t>コウゲキリョク</t>
    </rPh>
    <rPh sb="4" eb="7">
      <t>ボウギョリョク</t>
    </rPh>
    <phoneticPr fontId="5"/>
  </si>
  <si>
    <t>お前には全力を出しとぉなった！</t>
    <rPh sb="1" eb="4">
      <t>マ</t>
    </rPh>
    <rPh sb="4" eb="6">
      <t>ゼン</t>
    </rPh>
    <rPh sb="6" eb="7">
      <t>スベt</t>
    </rPh>
    <rPh sb="7" eb="9">
      <t>ダs</t>
    </rPh>
    <phoneticPr fontId="5"/>
  </si>
  <si>
    <t>ランダムで8個プロテクト</t>
    <phoneticPr fontId="5"/>
  </si>
  <si>
    <t>8連続攻撃＋各色パネルを1個ずつプロテクト！</t>
    <rPh sb="0" eb="5">
      <t>ハッカイン</t>
    </rPh>
    <rPh sb="6" eb="7">
      <t>カクゾクセ</t>
    </rPh>
    <rPh sb="7" eb="8">
      <t>ショク</t>
    </rPh>
    <rPh sb="13" eb="14">
      <t>コ</t>
    </rPh>
    <phoneticPr fontId="5"/>
  </si>
  <si>
    <t>永続ウィルス＋黄パネルを吸収して攻撃力UP</t>
    <rPh sb="0" eb="2">
      <t>エイゾク</t>
    </rPh>
    <rPh sb="11" eb="12">
      <t>アオパネr</t>
    </rPh>
    <rPh sb="12" eb="16">
      <t>9sy</t>
    </rPh>
    <rPh sb="16" eb="18">
      <t>コウゲk</t>
    </rPh>
    <rPh sb="18" eb="19">
      <t>リョク</t>
    </rPh>
    <phoneticPr fontId="5"/>
  </si>
  <si>
    <t>ハートを吸収して回復（最大8個）</t>
    <rPh sb="4" eb="6">
      <t>キュウシュウ</t>
    </rPh>
    <rPh sb="8" eb="10">
      <t>9sy</t>
    </rPh>
    <rPh sb="11" eb="13">
      <t>サイダイ</t>
    </rPh>
    <rPh sb="14" eb="15">
      <t>コ</t>
    </rPh>
    <phoneticPr fontId="5"/>
  </si>
  <si>
    <t>2ターンスキルバインド＋攻撃</t>
    <rPh sb="12" eb="14">
      <t>コウゲキ</t>
    </rPh>
    <phoneticPr fontId="5"/>
  </si>
  <si>
    <t>valid_flg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</si>
</sst>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85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5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6" fillId="0" borderId="0" xfId="0" applyFont="1"/>
    <xf numFmtId="0" fontId="4" fillId="0" borderId="12" xfId="0" applyFont="1" applyFill="1" applyBorder="1" applyAlignment="1">
      <alignment vertical="center"/>
    </xf>
    <xf numFmtId="0" fontId="6" fillId="5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12" fillId="7" borderId="23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6" fillId="5" borderId="24" xfId="0" applyFont="1" applyFill="1" applyBorder="1" applyAlignment="1">
      <alignment vertical="center"/>
    </xf>
    <xf numFmtId="0" fontId="4" fillId="0" borderId="24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vertical="center"/>
    </xf>
    <xf numFmtId="0" fontId="4" fillId="3" borderId="24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12" fillId="7" borderId="25" xfId="0" applyFont="1" applyFill="1" applyBorder="1" applyAlignment="1">
      <alignment vertical="center"/>
    </xf>
    <xf numFmtId="0" fontId="12" fillId="7" borderId="26" xfId="0" applyFont="1" applyFill="1" applyBorder="1" applyAlignment="1">
      <alignment vertical="center"/>
    </xf>
    <xf numFmtId="0" fontId="4" fillId="0" borderId="27" xfId="0" applyFont="1" applyFill="1" applyBorder="1" applyAlignment="1">
      <alignment vertical="center"/>
    </xf>
    <xf numFmtId="0" fontId="6" fillId="5" borderId="27" xfId="0" applyFont="1" applyFill="1" applyBorder="1" applyAlignment="1">
      <alignment vertical="center"/>
    </xf>
    <xf numFmtId="0" fontId="4" fillId="0" borderId="27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vertical="center"/>
    </xf>
    <xf numFmtId="0" fontId="4" fillId="3" borderId="27" xfId="0" applyFont="1" applyFill="1" applyBorder="1" applyAlignment="1">
      <alignment horizontal="center" vertical="center"/>
    </xf>
    <xf numFmtId="0" fontId="6" fillId="0" borderId="27" xfId="0" applyFont="1" applyFill="1" applyBorder="1" applyAlignment="1">
      <alignment vertical="center"/>
    </xf>
    <xf numFmtId="0" fontId="6" fillId="0" borderId="28" xfId="0" applyFont="1" applyFill="1" applyBorder="1" applyAlignment="1">
      <alignment vertical="center"/>
    </xf>
    <xf numFmtId="0" fontId="12" fillId="7" borderId="29" xfId="0" applyFont="1" applyFill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6" fillId="0" borderId="30" xfId="0" applyFont="1" applyFill="1" applyBorder="1" applyAlignment="1">
      <alignment vertical="center"/>
    </xf>
    <xf numFmtId="0" fontId="12" fillId="7" borderId="31" xfId="0" applyFont="1" applyFill="1" applyBorder="1" applyAlignment="1">
      <alignment vertical="center"/>
    </xf>
    <xf numFmtId="0" fontId="6" fillId="0" borderId="32" xfId="0" applyFont="1" applyFill="1" applyBorder="1" applyAlignment="1">
      <alignment vertical="center"/>
    </xf>
    <xf numFmtId="0" fontId="6" fillId="0" borderId="33" xfId="0" applyFont="1" applyFill="1" applyBorder="1" applyAlignment="1">
      <alignment vertical="center"/>
    </xf>
    <xf numFmtId="0" fontId="6" fillId="31" borderId="9" xfId="0" applyFont="1" applyFill="1" applyBorder="1" applyAlignment="1">
      <alignment vertical="center"/>
    </xf>
    <xf numFmtId="0" fontId="6" fillId="31" borderId="11" xfId="0" applyFont="1" applyFill="1" applyBorder="1" applyAlignment="1">
      <alignment vertical="center"/>
    </xf>
    <xf numFmtId="177" fontId="8" fillId="32" borderId="4" xfId="0" applyNumberFormat="1" applyFont="1" applyFill="1" applyBorder="1" applyAlignment="1">
      <alignment vertical="center"/>
    </xf>
    <xf numFmtId="0" fontId="6" fillId="31" borderId="3" xfId="0" applyFont="1" applyFill="1" applyBorder="1" applyAlignment="1">
      <alignment vertical="center"/>
    </xf>
    <xf numFmtId="0" fontId="11" fillId="0" borderId="10" xfId="0" applyFont="1" applyBorder="1" applyAlignment="1">
      <alignment vertical="center"/>
    </xf>
    <xf numFmtId="0" fontId="6" fillId="13" borderId="3" xfId="0" applyFont="1" applyFill="1" applyBorder="1" applyAlignment="1">
      <alignment vertical="center"/>
    </xf>
    <xf numFmtId="0" fontId="16" fillId="0" borderId="7" xfId="0" applyFont="1" applyFill="1" applyBorder="1" applyAlignment="1">
      <alignment vertical="center" wrapText="1"/>
    </xf>
    <xf numFmtId="0" fontId="4" fillId="13" borderId="1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24" fillId="0" borderId="7" xfId="615" applyFont="1" applyBorder="1"/>
    <xf numFmtId="0" fontId="4" fillId="33" borderId="1" xfId="0" applyFont="1" applyFill="1" applyBorder="1" applyAlignment="1">
      <alignment horizontal="center" vertical="center"/>
    </xf>
    <xf numFmtId="0" fontId="4" fillId="34" borderId="1" xfId="0" applyFont="1" applyFill="1" applyBorder="1" applyAlignment="1">
      <alignment horizontal="center" vertical="center"/>
    </xf>
    <xf numFmtId="0" fontId="4" fillId="35" borderId="1" xfId="0" applyFont="1" applyFill="1" applyBorder="1" applyAlignment="1">
      <alignment horizontal="center" vertical="center"/>
    </xf>
    <xf numFmtId="176" fontId="4" fillId="32" borderId="3" xfId="0" applyNumberFormat="1" applyFont="1" applyFill="1" applyBorder="1" applyAlignment="1">
      <alignment horizontal="center" vertical="center"/>
    </xf>
    <xf numFmtId="0" fontId="4" fillId="36" borderId="1" xfId="0" applyFont="1" applyFill="1" applyBorder="1" applyAlignment="1">
      <alignment horizontal="center" vertical="center"/>
    </xf>
    <xf numFmtId="0" fontId="4" fillId="37" borderId="1" xfId="0" applyFont="1" applyFill="1" applyBorder="1" applyAlignment="1">
      <alignment horizontal="center" vertical="center"/>
    </xf>
    <xf numFmtId="0" fontId="4" fillId="38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0" fillId="0" borderId="12" xfId="0" applyBorder="1"/>
    <xf numFmtId="0" fontId="27" fillId="0" borderId="12" xfId="0" applyFont="1" applyFill="1" applyBorder="1"/>
    <xf numFmtId="0" fontId="0" fillId="3" borderId="12" xfId="0" applyFill="1" applyBorder="1"/>
    <xf numFmtId="0" fontId="0" fillId="0" borderId="34" xfId="0" applyBorder="1"/>
    <xf numFmtId="0" fontId="27" fillId="0" borderId="34" xfId="0" applyFont="1" applyFill="1" applyBorder="1"/>
    <xf numFmtId="0" fontId="0" fillId="3" borderId="34" xfId="0" applyFill="1" applyBorder="1"/>
    <xf numFmtId="0" fontId="6" fillId="5" borderId="34" xfId="0" applyFont="1" applyFill="1" applyBorder="1" applyAlignment="1">
      <alignment vertical="center"/>
    </xf>
  </cellXfs>
  <cellStyles count="85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赤字強調" xfId="431"/>
    <cellStyle name="青字強調" xfId="430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1456</v>
          </cell>
        </row>
        <row r="1408">
          <cell r="A1408">
            <v>1457</v>
          </cell>
        </row>
        <row r="1409">
          <cell r="A1409">
            <v>1458</v>
          </cell>
        </row>
        <row r="1410">
          <cell r="A1410">
            <v>1459</v>
          </cell>
        </row>
        <row r="1411">
          <cell r="A1411">
            <v>1460</v>
          </cell>
        </row>
        <row r="1412">
          <cell r="A1412">
            <v>1461</v>
          </cell>
        </row>
        <row r="1413">
          <cell r="A1413">
            <v>1462</v>
          </cell>
        </row>
        <row r="1414">
          <cell r="A1414">
            <v>1463</v>
          </cell>
        </row>
        <row r="1415">
          <cell r="A1415">
            <v>1464</v>
          </cell>
        </row>
        <row r="1416">
          <cell r="A1416">
            <v>1465</v>
          </cell>
        </row>
        <row r="1417">
          <cell r="A1417">
            <v>1466</v>
          </cell>
        </row>
        <row r="1418">
          <cell r="A1418">
            <v>1467</v>
          </cell>
        </row>
        <row r="1419">
          <cell r="A1419">
            <v>1468</v>
          </cell>
        </row>
        <row r="1420">
          <cell r="A1420">
            <v>1469</v>
          </cell>
        </row>
        <row r="1421">
          <cell r="A1421">
            <v>1470</v>
          </cell>
        </row>
        <row r="1422">
          <cell r="A1422">
            <v>1488</v>
          </cell>
        </row>
        <row r="1423">
          <cell r="A1423">
            <v>1489</v>
          </cell>
        </row>
        <row r="1424">
          <cell r="A1424">
            <v>1504</v>
          </cell>
        </row>
        <row r="1425">
          <cell r="A1425">
            <v>1505</v>
          </cell>
        </row>
        <row r="1426">
          <cell r="A1426">
            <v>1506</v>
          </cell>
        </row>
        <row r="1427">
          <cell r="A1427">
            <v>1507</v>
          </cell>
        </row>
        <row r="1428">
          <cell r="A1428">
            <v>1508</v>
          </cell>
        </row>
        <row r="1429">
          <cell r="A1429">
            <v>1509</v>
          </cell>
        </row>
        <row r="1430">
          <cell r="A1430">
            <v>1510</v>
          </cell>
        </row>
        <row r="1431">
          <cell r="A1431">
            <v>1511</v>
          </cell>
        </row>
        <row r="1432">
          <cell r="A1432">
            <v>1512</v>
          </cell>
        </row>
        <row r="1433">
          <cell r="A1433">
            <v>1513</v>
          </cell>
        </row>
        <row r="1434">
          <cell r="A1434">
            <v>1514</v>
          </cell>
        </row>
        <row r="1435">
          <cell r="A1435">
            <v>1515</v>
          </cell>
        </row>
        <row r="1436">
          <cell r="A1436">
            <v>1516</v>
          </cell>
        </row>
        <row r="1437">
          <cell r="A1437">
            <v>1517</v>
          </cell>
        </row>
        <row r="1438">
          <cell r="A1438">
            <v>1518</v>
          </cell>
        </row>
        <row r="1439">
          <cell r="A1439">
            <v>1519</v>
          </cell>
        </row>
        <row r="1440">
          <cell r="A1440">
            <v>1520</v>
          </cell>
        </row>
        <row r="1441">
          <cell r="A1441">
            <v>1521</v>
          </cell>
        </row>
        <row r="1442">
          <cell r="A1442">
            <v>1522</v>
          </cell>
        </row>
        <row r="1443">
          <cell r="A1443">
            <v>1523</v>
          </cell>
        </row>
        <row r="1444">
          <cell r="A1444">
            <v>1524</v>
          </cell>
        </row>
        <row r="1445">
          <cell r="A1445">
            <v>1525</v>
          </cell>
        </row>
        <row r="1446">
          <cell r="A1446">
            <v>1526</v>
          </cell>
        </row>
        <row r="1447">
          <cell r="A1447">
            <v>1527</v>
          </cell>
        </row>
        <row r="1448">
          <cell r="A1448">
            <v>1528</v>
          </cell>
        </row>
        <row r="1449">
          <cell r="A1449">
            <v>1529</v>
          </cell>
        </row>
        <row r="1450">
          <cell r="A1450">
            <v>1530</v>
          </cell>
        </row>
        <row r="1451">
          <cell r="A1451">
            <v>1531</v>
          </cell>
        </row>
        <row r="1452">
          <cell r="A1452">
            <v>1532</v>
          </cell>
        </row>
        <row r="1453">
          <cell r="A1453">
            <v>1533</v>
          </cell>
        </row>
        <row r="1454">
          <cell r="A1454">
            <v>1534</v>
          </cell>
        </row>
        <row r="1455">
          <cell r="A1455">
            <v>1535</v>
          </cell>
        </row>
        <row r="1456">
          <cell r="A1456">
            <v>1536</v>
          </cell>
        </row>
        <row r="1457">
          <cell r="A1457">
            <v>1537</v>
          </cell>
        </row>
        <row r="1458">
          <cell r="A1458">
            <v>1538</v>
          </cell>
        </row>
        <row r="1459">
          <cell r="A1459">
            <v>1539</v>
          </cell>
        </row>
        <row r="1460">
          <cell r="A1460">
            <v>1540</v>
          </cell>
        </row>
        <row r="1461">
          <cell r="A1461">
            <v>1541</v>
          </cell>
        </row>
        <row r="1462">
          <cell r="A1462">
            <v>1542</v>
          </cell>
        </row>
        <row r="1463">
          <cell r="A1463">
            <v>1543</v>
          </cell>
        </row>
        <row r="1464">
          <cell r="A1464">
            <v>1544</v>
          </cell>
        </row>
        <row r="1465">
          <cell r="A1465">
            <v>1545</v>
          </cell>
        </row>
        <row r="1466">
          <cell r="A1466">
            <v>1546</v>
          </cell>
        </row>
        <row r="1467">
          <cell r="A1467">
            <v>1547</v>
          </cell>
        </row>
        <row r="1468">
          <cell r="A1468">
            <v>1548</v>
          </cell>
        </row>
        <row r="1469">
          <cell r="A1469">
            <v>1549</v>
          </cell>
        </row>
        <row r="1470">
          <cell r="A1470">
            <v>1550</v>
          </cell>
        </row>
        <row r="1471">
          <cell r="A1471">
            <v>5001</v>
          </cell>
        </row>
        <row r="1472">
          <cell r="A1472">
            <v>5002</v>
          </cell>
        </row>
        <row r="1473">
          <cell r="A1473">
            <v>5003</v>
          </cell>
        </row>
        <row r="1474">
          <cell r="A1474">
            <v>5004</v>
          </cell>
        </row>
        <row r="1475">
          <cell r="A1475">
            <v>5005</v>
          </cell>
        </row>
        <row r="1476">
          <cell r="A1476">
            <v>5006</v>
          </cell>
        </row>
        <row r="1477">
          <cell r="A1477">
            <v>5007</v>
          </cell>
        </row>
        <row r="1478">
          <cell r="A1478">
            <v>5008</v>
          </cell>
        </row>
        <row r="1479">
          <cell r="A1479">
            <v>6001</v>
          </cell>
        </row>
        <row r="1480">
          <cell r="A1480">
            <v>6002</v>
          </cell>
        </row>
        <row r="1481">
          <cell r="A1481">
            <v>6003</v>
          </cell>
        </row>
        <row r="1482">
          <cell r="A1482">
            <v>6004</v>
          </cell>
        </row>
        <row r="1483">
          <cell r="A1483">
            <v>6005</v>
          </cell>
        </row>
        <row r="1484">
          <cell r="A1484">
            <v>6006</v>
          </cell>
        </row>
        <row r="1485">
          <cell r="A1485">
            <v>6007</v>
          </cell>
        </row>
        <row r="1486">
          <cell r="A1486">
            <v>6008</v>
          </cell>
        </row>
        <row r="1487">
          <cell r="A1487">
            <v>6009</v>
          </cell>
        </row>
        <row r="1488">
          <cell r="A1488">
            <v>6010</v>
          </cell>
        </row>
        <row r="1489">
          <cell r="A1489">
            <v>6011</v>
          </cell>
        </row>
        <row r="1490">
          <cell r="A1490">
            <v>6012</v>
          </cell>
        </row>
        <row r="1491">
          <cell r="A1491">
            <v>6013</v>
          </cell>
        </row>
        <row r="1492">
          <cell r="A1492">
            <v>6014</v>
          </cell>
        </row>
        <row r="1493">
          <cell r="A1493">
            <v>6015</v>
          </cell>
        </row>
        <row r="1494">
          <cell r="A1494">
            <v>6016</v>
          </cell>
        </row>
        <row r="1495">
          <cell r="A1495">
            <v>6017</v>
          </cell>
        </row>
        <row r="1496">
          <cell r="A1496">
            <v>6018</v>
          </cell>
        </row>
        <row r="1497">
          <cell r="A1497">
            <v>6019</v>
          </cell>
        </row>
        <row r="1498">
          <cell r="A1498">
            <v>6020</v>
          </cell>
        </row>
        <row r="1499">
          <cell r="A1499">
            <v>8001</v>
          </cell>
        </row>
        <row r="1500">
          <cell r="A1500">
            <v>8002</v>
          </cell>
        </row>
        <row r="1501">
          <cell r="A1501">
            <v>8003</v>
          </cell>
        </row>
        <row r="1502">
          <cell r="A1502">
            <v>8004</v>
          </cell>
        </row>
        <row r="1503">
          <cell r="A1503">
            <v>8005</v>
          </cell>
        </row>
        <row r="1504">
          <cell r="A1504">
            <v>8006</v>
          </cell>
        </row>
        <row r="1505">
          <cell r="A1505">
            <v>8007</v>
          </cell>
        </row>
        <row r="1506">
          <cell r="A1506">
            <v>8008</v>
          </cell>
        </row>
        <row r="1507">
          <cell r="A1507">
            <v>8009</v>
          </cell>
        </row>
        <row r="1508">
          <cell r="A1508">
            <v>8010</v>
          </cell>
        </row>
        <row r="1509">
          <cell r="A1509">
            <v>8011</v>
          </cell>
        </row>
        <row r="1510">
          <cell r="A1510">
            <v>8012</v>
          </cell>
        </row>
        <row r="1511">
          <cell r="A1511">
            <v>8013</v>
          </cell>
        </row>
        <row r="1512">
          <cell r="A1512">
            <v>8014</v>
          </cell>
        </row>
        <row r="1513">
          <cell r="A1513">
            <v>8015</v>
          </cell>
        </row>
        <row r="1514">
          <cell r="A1514">
            <v>8016</v>
          </cell>
        </row>
        <row r="1515">
          <cell r="A1515">
            <v>8017</v>
          </cell>
        </row>
        <row r="1516">
          <cell r="A1516">
            <v>8018</v>
          </cell>
        </row>
        <row r="1517">
          <cell r="A1517">
            <v>8019</v>
          </cell>
        </row>
        <row r="1518">
          <cell r="A1518">
            <v>8020</v>
          </cell>
        </row>
        <row r="1519">
          <cell r="A1519">
            <v>8021</v>
          </cell>
        </row>
        <row r="1520">
          <cell r="A1520">
            <v>8022</v>
          </cell>
        </row>
        <row r="1521">
          <cell r="A1521">
            <v>8023</v>
          </cell>
        </row>
        <row r="1522">
          <cell r="A1522">
            <v>8024</v>
          </cell>
        </row>
        <row r="1523">
          <cell r="A1523">
            <v>8025</v>
          </cell>
        </row>
        <row r="1524">
          <cell r="A1524">
            <v>8026</v>
          </cell>
        </row>
        <row r="1525">
          <cell r="A1525">
            <v>8027</v>
          </cell>
        </row>
        <row r="1526">
          <cell r="A1526">
            <v>8028</v>
          </cell>
        </row>
        <row r="1527">
          <cell r="A1527">
            <v>8029</v>
          </cell>
        </row>
        <row r="1528">
          <cell r="A1528">
            <v>8030</v>
          </cell>
        </row>
        <row r="1529">
          <cell r="A1529">
            <v>8031</v>
          </cell>
        </row>
        <row r="1530">
          <cell r="A1530">
            <v>8032</v>
          </cell>
        </row>
        <row r="1531">
          <cell r="A1531">
            <v>8033</v>
          </cell>
        </row>
        <row r="1532">
          <cell r="A1532">
            <v>8034</v>
          </cell>
        </row>
        <row r="1533">
          <cell r="A1533">
            <v>8035</v>
          </cell>
        </row>
        <row r="1534">
          <cell r="A1534">
            <v>8036</v>
          </cell>
        </row>
        <row r="1535">
          <cell r="A1535">
            <v>8037</v>
          </cell>
        </row>
        <row r="1536">
          <cell r="A1536">
            <v>8038</v>
          </cell>
        </row>
        <row r="1537">
          <cell r="A1537">
            <v>8039</v>
          </cell>
        </row>
        <row r="1538">
          <cell r="A1538">
            <v>8040</v>
          </cell>
        </row>
        <row r="1539">
          <cell r="A1539">
            <v>8041</v>
          </cell>
        </row>
        <row r="1540">
          <cell r="A1540">
            <v>8042</v>
          </cell>
        </row>
        <row r="1541">
          <cell r="A1541">
            <v>8043</v>
          </cell>
        </row>
        <row r="1542">
          <cell r="A1542">
            <v>8044</v>
          </cell>
        </row>
        <row r="1543">
          <cell r="A1543">
            <v>8045</v>
          </cell>
        </row>
        <row r="1544">
          <cell r="A1544">
            <v>8046</v>
          </cell>
        </row>
        <row r="1545">
          <cell r="A1545">
            <v>8047</v>
          </cell>
        </row>
        <row r="1546">
          <cell r="A1546">
            <v>8048</v>
          </cell>
        </row>
        <row r="1547">
          <cell r="A1547">
            <v>8049</v>
          </cell>
        </row>
        <row r="1548">
          <cell r="A1548">
            <v>8050</v>
          </cell>
        </row>
        <row r="1549">
          <cell r="A1549">
            <v>8051</v>
          </cell>
        </row>
        <row r="1550">
          <cell r="A1550">
            <v>8052</v>
          </cell>
        </row>
        <row r="1551">
          <cell r="A1551">
            <v>8053</v>
          </cell>
        </row>
        <row r="1552">
          <cell r="A1552">
            <v>8054</v>
          </cell>
        </row>
        <row r="1553">
          <cell r="A1553">
            <v>8055</v>
          </cell>
        </row>
        <row r="1554">
          <cell r="A1554">
            <v>8056</v>
          </cell>
        </row>
        <row r="1555">
          <cell r="A1555">
            <v>8057</v>
          </cell>
        </row>
        <row r="1556">
          <cell r="A1556">
            <v>8058</v>
          </cell>
        </row>
        <row r="1557">
          <cell r="A1557">
            <v>8059</v>
          </cell>
        </row>
        <row r="1558">
          <cell r="A1558">
            <v>8060</v>
          </cell>
        </row>
        <row r="1559">
          <cell r="A1559">
            <v>8061</v>
          </cell>
        </row>
        <row r="1560">
          <cell r="A1560">
            <v>8062</v>
          </cell>
        </row>
        <row r="1561">
          <cell r="A1561">
            <v>8063</v>
          </cell>
        </row>
        <row r="1562">
          <cell r="A1562">
            <v>8064</v>
          </cell>
        </row>
        <row r="1563">
          <cell r="A1563">
            <v>8065</v>
          </cell>
        </row>
        <row r="1564">
          <cell r="A1564">
            <v>8066</v>
          </cell>
        </row>
        <row r="1565">
          <cell r="A1565">
            <v>8067</v>
          </cell>
        </row>
        <row r="1566">
          <cell r="A1566">
            <v>8068</v>
          </cell>
        </row>
        <row r="1567">
          <cell r="A1567">
            <v>8069</v>
          </cell>
        </row>
        <row r="1568">
          <cell r="A1568">
            <v>8070</v>
          </cell>
        </row>
        <row r="1569">
          <cell r="A1569">
            <v>8071</v>
          </cell>
        </row>
        <row r="1570">
          <cell r="A1570">
            <v>8072</v>
          </cell>
        </row>
        <row r="1571">
          <cell r="A1571">
            <v>8073</v>
          </cell>
        </row>
        <row r="1572">
          <cell r="A1572">
            <v>8074</v>
          </cell>
        </row>
        <row r="1573">
          <cell r="A1573">
            <v>8075</v>
          </cell>
        </row>
        <row r="1574">
          <cell r="A1574">
            <v>8076</v>
          </cell>
        </row>
        <row r="1575">
          <cell r="A1575">
            <v>8077</v>
          </cell>
        </row>
        <row r="1576">
          <cell r="A1576">
            <v>8078</v>
          </cell>
        </row>
        <row r="1577">
          <cell r="A1577">
            <v>8079</v>
          </cell>
        </row>
        <row r="1578">
          <cell r="A1578">
            <v>8080</v>
          </cell>
        </row>
        <row r="1579">
          <cell r="A1579">
            <v>8081</v>
          </cell>
        </row>
        <row r="1580">
          <cell r="A1580">
            <v>8082</v>
          </cell>
        </row>
        <row r="1581">
          <cell r="A1581">
            <v>8083</v>
          </cell>
        </row>
        <row r="1582">
          <cell r="A1582">
            <v>8084</v>
          </cell>
        </row>
        <row r="1583">
          <cell r="A1583">
            <v>8087</v>
          </cell>
        </row>
        <row r="1584">
          <cell r="A1584">
            <v>8088</v>
          </cell>
        </row>
        <row r="1585">
          <cell r="A1585">
            <v>8089</v>
          </cell>
        </row>
        <row r="1586">
          <cell r="A1586">
            <v>8090</v>
          </cell>
        </row>
        <row r="1587">
          <cell r="A1587">
            <v>8095</v>
          </cell>
        </row>
        <row r="1588">
          <cell r="A1588">
            <v>8096</v>
          </cell>
        </row>
        <row r="1589">
          <cell r="A1589">
            <v>8097</v>
          </cell>
        </row>
        <row r="1590">
          <cell r="A1590">
            <v>8098</v>
          </cell>
        </row>
        <row r="1591">
          <cell r="A1591">
            <v>8099</v>
          </cell>
        </row>
        <row r="1592">
          <cell r="A1592">
            <v>9001</v>
          </cell>
        </row>
        <row r="1593">
          <cell r="A1593">
            <v>9002</v>
          </cell>
        </row>
        <row r="1594">
          <cell r="A1594">
            <v>9003</v>
          </cell>
        </row>
        <row r="1595">
          <cell r="A1595">
            <v>9004</v>
          </cell>
        </row>
        <row r="1596">
          <cell r="A1596">
            <v>10001</v>
          </cell>
        </row>
        <row r="1597">
          <cell r="A1597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C9" sqref="C9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7" t="s">
        <v>130</v>
      </c>
      <c r="B1" s="52" t="s">
        <v>100</v>
      </c>
      <c r="C1" s="52" t="s">
        <v>101</v>
      </c>
      <c r="D1" s="52" t="s">
        <v>102</v>
      </c>
      <c r="E1" s="52" t="s">
        <v>103</v>
      </c>
      <c r="F1" s="52" t="s">
        <v>104</v>
      </c>
      <c r="G1" s="52" t="s">
        <v>105</v>
      </c>
      <c r="H1" s="52"/>
      <c r="I1" s="52"/>
      <c r="J1" s="52"/>
      <c r="K1" s="52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</row>
    <row r="2" spans="1:30" x14ac:dyDescent="0.15">
      <c r="A2" s="58" t="s">
        <v>237</v>
      </c>
      <c r="B2" s="54" t="s">
        <v>106</v>
      </c>
      <c r="C2" s="59">
        <v>30030</v>
      </c>
      <c r="D2" s="54" t="s">
        <v>107</v>
      </c>
      <c r="E2" s="53" t="str">
        <f>B2&amp;C2&amp;D2</f>
        <v>floors_30030.tmp</v>
      </c>
      <c r="F2" s="54" t="s">
        <v>108</v>
      </c>
      <c r="G2" s="55" t="s">
        <v>0</v>
      </c>
      <c r="H2" s="55" t="s">
        <v>1</v>
      </c>
      <c r="I2" s="55" t="s">
        <v>13</v>
      </c>
      <c r="J2" s="55" t="s">
        <v>14</v>
      </c>
      <c r="K2" s="55" t="s">
        <v>15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</row>
    <row r="3" spans="1:30" x14ac:dyDescent="0.15">
      <c r="A3" s="58" t="s">
        <v>237</v>
      </c>
      <c r="B3" s="54" t="s">
        <v>109</v>
      </c>
      <c r="C3" s="59">
        <f>C$2</f>
        <v>30030</v>
      </c>
      <c r="D3" s="54" t="s">
        <v>107</v>
      </c>
      <c r="E3" s="53" t="str">
        <f>B3&amp;C3&amp;D3</f>
        <v>enemy_habitats_30030.tmp</v>
      </c>
      <c r="F3" s="54" t="s">
        <v>110</v>
      </c>
      <c r="G3" s="55" t="s">
        <v>0</v>
      </c>
      <c r="H3" s="55" t="s">
        <v>1</v>
      </c>
      <c r="I3" s="55" t="s">
        <v>13</v>
      </c>
      <c r="J3" s="55" t="s">
        <v>2</v>
      </c>
      <c r="K3" s="55" t="s">
        <v>3</v>
      </c>
      <c r="L3" s="55" t="s">
        <v>47</v>
      </c>
      <c r="M3" s="55" t="s">
        <v>49</v>
      </c>
      <c r="N3" s="55" t="s">
        <v>51</v>
      </c>
      <c r="O3" s="55" t="s">
        <v>22</v>
      </c>
      <c r="P3" s="55" t="s">
        <v>5</v>
      </c>
      <c r="Q3" s="55" t="s">
        <v>6</v>
      </c>
      <c r="R3" s="55" t="s">
        <v>7</v>
      </c>
      <c r="S3" s="55" t="s">
        <v>8</v>
      </c>
      <c r="T3" s="55" t="s">
        <v>9</v>
      </c>
      <c r="U3" s="55" t="s">
        <v>10</v>
      </c>
      <c r="V3" s="55" t="s">
        <v>11</v>
      </c>
      <c r="W3" s="55" t="s">
        <v>12</v>
      </c>
      <c r="X3" s="55" t="s">
        <v>37</v>
      </c>
      <c r="Y3" s="55" t="s">
        <v>39</v>
      </c>
      <c r="Z3" s="55" t="s">
        <v>41</v>
      </c>
      <c r="AA3" s="55" t="s">
        <v>43</v>
      </c>
      <c r="AB3" s="55" t="s">
        <v>45</v>
      </c>
      <c r="AC3" s="55" t="s">
        <v>54</v>
      </c>
      <c r="AD3" s="55" t="s">
        <v>173</v>
      </c>
    </row>
    <row r="4" spans="1:30" x14ac:dyDescent="0.15">
      <c r="A4" s="58" t="s">
        <v>237</v>
      </c>
      <c r="B4" s="54" t="s">
        <v>111</v>
      </c>
      <c r="C4" s="59">
        <f t="shared" ref="C4:C12" si="0">C$2</f>
        <v>30030</v>
      </c>
      <c r="D4" s="54" t="s">
        <v>107</v>
      </c>
      <c r="E4" s="53" t="str">
        <f>B4&amp;C4&amp;D4</f>
        <v>enemy_habitat_S_30030.tmp</v>
      </c>
      <c r="F4" s="54" t="s">
        <v>112</v>
      </c>
      <c r="G4" s="55" t="s">
        <v>0</v>
      </c>
      <c r="H4" s="55" t="s">
        <v>1</v>
      </c>
      <c r="I4" s="55" t="s">
        <v>13</v>
      </c>
      <c r="J4" s="55" t="s">
        <v>54</v>
      </c>
      <c r="K4" s="55" t="s">
        <v>55</v>
      </c>
      <c r="L4" s="55" t="s">
        <v>56</v>
      </c>
      <c r="M4" s="55" t="s">
        <v>57</v>
      </c>
      <c r="N4" s="55" t="s">
        <v>58</v>
      </c>
      <c r="O4" s="55" t="s">
        <v>59</v>
      </c>
      <c r="P4" s="55" t="s">
        <v>48</v>
      </c>
      <c r="Q4" s="55" t="s">
        <v>50</v>
      </c>
      <c r="R4" s="55" t="s">
        <v>52</v>
      </c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</row>
    <row r="5" spans="1:30" x14ac:dyDescent="0.15">
      <c r="A5" s="58" t="s">
        <v>237</v>
      </c>
      <c r="B5" s="54" t="s">
        <v>113</v>
      </c>
      <c r="C5" s="59">
        <f t="shared" si="0"/>
        <v>30030</v>
      </c>
      <c r="D5" s="54" t="s">
        <v>107</v>
      </c>
      <c r="E5" s="53" t="str">
        <f>B5&amp;C5&amp;D5</f>
        <v>enemy_skill_sets_30030.tmp</v>
      </c>
      <c r="F5" s="54" t="s">
        <v>114</v>
      </c>
      <c r="G5" s="56" t="s">
        <v>22</v>
      </c>
      <c r="H5" s="56" t="s">
        <v>99</v>
      </c>
      <c r="I5" s="56" t="s">
        <v>94</v>
      </c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</row>
    <row r="6" spans="1:30" x14ac:dyDescent="0.15">
      <c r="A6" s="58" t="s">
        <v>237</v>
      </c>
      <c r="B6" s="54" t="s">
        <v>115</v>
      </c>
      <c r="C6" s="59">
        <f t="shared" si="0"/>
        <v>30030</v>
      </c>
      <c r="D6" s="54" t="s">
        <v>116</v>
      </c>
      <c r="E6" s="53" t="str">
        <f t="shared" ref="E6:E10" si="1">B6&amp;C6&amp;D6</f>
        <v>enemy_skills_tmp_30030.tmp</v>
      </c>
      <c r="F6" s="54" t="s">
        <v>90</v>
      </c>
      <c r="G6" s="55" t="s">
        <v>79</v>
      </c>
      <c r="H6" s="55" t="s">
        <v>80</v>
      </c>
      <c r="I6" s="55" t="s">
        <v>320</v>
      </c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</row>
    <row r="7" spans="1:30" x14ac:dyDescent="0.15">
      <c r="A7" s="58" t="s">
        <v>237</v>
      </c>
      <c r="B7" s="54" t="s">
        <v>117</v>
      </c>
      <c r="C7" s="59">
        <f t="shared" si="0"/>
        <v>30030</v>
      </c>
      <c r="D7" s="54" t="s">
        <v>107</v>
      </c>
      <c r="E7" s="53" t="str">
        <f>B7&amp;C7&amp;D7</f>
        <v>enemy_skills_i18n_30030.tmp</v>
      </c>
      <c r="F7" s="54" t="s">
        <v>118</v>
      </c>
      <c r="G7" s="55" t="s">
        <v>79</v>
      </c>
      <c r="H7" s="55" t="s">
        <v>91</v>
      </c>
      <c r="I7" s="55" t="s">
        <v>92</v>
      </c>
      <c r="J7" s="55" t="s">
        <v>93</v>
      </c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</row>
    <row r="8" spans="1:30" x14ac:dyDescent="0.15">
      <c r="A8" s="58" t="s">
        <v>237</v>
      </c>
      <c r="B8" s="54" t="s">
        <v>119</v>
      </c>
      <c r="C8" s="59">
        <f t="shared" si="0"/>
        <v>30030</v>
      </c>
      <c r="D8" s="54" t="s">
        <v>120</v>
      </c>
      <c r="E8" s="53" t="str">
        <f t="shared" si="1"/>
        <v>enemy_skill_triggers_30030.tmp</v>
      </c>
      <c r="F8" s="54" t="s">
        <v>121</v>
      </c>
      <c r="G8" s="55" t="s">
        <v>94</v>
      </c>
      <c r="H8" s="55" t="s">
        <v>95</v>
      </c>
      <c r="I8" s="55" t="s">
        <v>96</v>
      </c>
      <c r="J8" s="55" t="s">
        <v>97</v>
      </c>
      <c r="K8" s="55" t="s">
        <v>122</v>
      </c>
      <c r="L8" s="55" t="s">
        <v>98</v>
      </c>
      <c r="M8" s="55" t="s">
        <v>123</v>
      </c>
      <c r="N8" s="55" t="s">
        <v>124</v>
      </c>
      <c r="O8" s="55" t="s">
        <v>125</v>
      </c>
      <c r="P8" s="55" t="s">
        <v>67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</row>
    <row r="9" spans="1:30" x14ac:dyDescent="0.15">
      <c r="A9" s="58" t="s">
        <v>303</v>
      </c>
      <c r="B9" s="64" t="s">
        <v>172</v>
      </c>
      <c r="C9" s="59">
        <f t="shared" si="0"/>
        <v>30030</v>
      </c>
      <c r="D9" s="64" t="s">
        <v>166</v>
      </c>
      <c r="E9" s="65" t="str">
        <f t="shared" si="1"/>
        <v>stage_bug_bonuses_30030.tmp</v>
      </c>
      <c r="F9" s="64" t="s">
        <v>167</v>
      </c>
      <c r="G9" s="61" t="s">
        <v>150</v>
      </c>
      <c r="H9" s="61" t="s">
        <v>168</v>
      </c>
      <c r="I9" s="61" t="s">
        <v>169</v>
      </c>
      <c r="J9" s="63" t="s">
        <v>170</v>
      </c>
      <c r="K9" s="61" t="s">
        <v>171</v>
      </c>
      <c r="L9" s="61" t="s">
        <v>151</v>
      </c>
      <c r="M9" s="61" t="s">
        <v>152</v>
      </c>
      <c r="N9" s="61" t="s">
        <v>153</v>
      </c>
      <c r="O9" s="61" t="s">
        <v>154</v>
      </c>
      <c r="P9" s="61" t="s">
        <v>155</v>
      </c>
      <c r="Q9" s="61" t="s">
        <v>156</v>
      </c>
      <c r="R9" s="61" t="s">
        <v>157</v>
      </c>
      <c r="S9" s="61" t="s">
        <v>158</v>
      </c>
      <c r="T9" s="61" t="s">
        <v>159</v>
      </c>
      <c r="U9" s="61" t="s">
        <v>160</v>
      </c>
      <c r="V9" s="61" t="s">
        <v>161</v>
      </c>
      <c r="W9" s="61" t="s">
        <v>162</v>
      </c>
    </row>
    <row r="10" spans="1:30" s="72" customFormat="1" x14ac:dyDescent="0.15">
      <c r="A10" s="58" t="s">
        <v>237</v>
      </c>
      <c r="B10" s="64" t="s">
        <v>196</v>
      </c>
      <c r="C10" s="59">
        <f>C$2</f>
        <v>30030</v>
      </c>
      <c r="D10" s="64" t="s">
        <v>175</v>
      </c>
      <c r="E10" s="65" t="str">
        <f t="shared" si="1"/>
        <v>stage_hints_data_c_30030.tmp</v>
      </c>
      <c r="F10" s="64" t="s">
        <v>204</v>
      </c>
      <c r="G10" s="69" t="s">
        <v>176</v>
      </c>
      <c r="H10" s="69" t="s">
        <v>168</v>
      </c>
      <c r="I10" s="70" t="s">
        <v>177</v>
      </c>
      <c r="J10" s="63" t="s">
        <v>178</v>
      </c>
      <c r="K10" s="71" t="s">
        <v>179</v>
      </c>
    </row>
    <row r="11" spans="1:30" s="72" customFormat="1" x14ac:dyDescent="0.15">
      <c r="A11" s="58" t="s">
        <v>237</v>
      </c>
      <c r="B11" s="64" t="s">
        <v>197</v>
      </c>
      <c r="C11" s="59">
        <f t="shared" si="0"/>
        <v>30030</v>
      </c>
      <c r="D11" s="64" t="s">
        <v>166</v>
      </c>
      <c r="E11" s="65" t="str">
        <f t="shared" ref="E11:E12" si="2">B11&amp;C11&amp;D11</f>
        <v>stage_hints_data_f_30030.tmp</v>
      </c>
      <c r="F11" s="64" t="s">
        <v>206</v>
      </c>
      <c r="G11" s="69" t="s">
        <v>176</v>
      </c>
      <c r="H11" s="69" t="s">
        <v>168</v>
      </c>
      <c r="I11" s="70" t="s">
        <v>177</v>
      </c>
      <c r="J11" s="63" t="s">
        <v>178</v>
      </c>
      <c r="K11" s="71" t="s">
        <v>179</v>
      </c>
    </row>
    <row r="12" spans="1:30" s="72" customFormat="1" x14ac:dyDescent="0.15">
      <c r="A12" s="137" t="s">
        <v>254</v>
      </c>
      <c r="B12" s="64" t="s">
        <v>198</v>
      </c>
      <c r="C12" s="59">
        <f t="shared" si="0"/>
        <v>30030</v>
      </c>
      <c r="D12" s="64" t="s">
        <v>166</v>
      </c>
      <c r="E12" s="65" t="str">
        <f t="shared" si="2"/>
        <v>stage_hints_i18n_30030.tmp</v>
      </c>
      <c r="F12" s="64" t="s">
        <v>207</v>
      </c>
      <c r="G12" s="70" t="s">
        <v>199</v>
      </c>
      <c r="H12" s="92" t="s">
        <v>200</v>
      </c>
      <c r="I12" s="69" t="s">
        <v>201</v>
      </c>
      <c r="J12" s="93" t="s">
        <v>202</v>
      </c>
      <c r="K12" s="71" t="s">
        <v>203</v>
      </c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V2" sqref="V2:X34"/>
      <selection pane="bottomLeft" activeCell="G18" sqref="G18"/>
    </sheetView>
  </sheetViews>
  <sheetFormatPr baseColWidth="12" defaultColWidth="13" defaultRowHeight="21" customHeight="1" outlineLevelCol="1" x14ac:dyDescent="0.15"/>
  <cols>
    <col min="1" max="1" width="8.83203125" style="16" bestFit="1" customWidth="1"/>
    <col min="2" max="2" width="5" style="16" bestFit="1" customWidth="1"/>
    <col min="3" max="3" width="7.1640625" style="2" bestFit="1" customWidth="1"/>
    <col min="4" max="5" width="10.33203125" style="2" customWidth="1" outlineLevel="1"/>
    <col min="6" max="6" width="7" style="2" bestFit="1" customWidth="1"/>
    <col min="7" max="7" width="8.83203125" style="16" customWidth="1" outlineLevel="1"/>
    <col min="8" max="8" width="16.1640625" style="2" customWidth="1" outlineLevel="1"/>
    <col min="9" max="9" width="6.5" style="2" bestFit="1" customWidth="1"/>
    <col min="10" max="10" width="11" style="2" bestFit="1" customWidth="1"/>
    <col min="11" max="11" width="11.33203125" style="2" bestFit="1" customWidth="1"/>
    <col min="12" max="16384" width="13" style="2"/>
  </cols>
  <sheetData>
    <row r="1" spans="1:11" ht="21" customHeight="1" thickBot="1" x14ac:dyDescent="0.2">
      <c r="A1" s="13" t="s">
        <v>30</v>
      </c>
      <c r="B1" s="13" t="s">
        <v>36</v>
      </c>
      <c r="C1" s="108" t="s">
        <v>0</v>
      </c>
      <c r="D1" s="109" t="s">
        <v>18</v>
      </c>
      <c r="E1" s="109" t="s">
        <v>33</v>
      </c>
      <c r="F1" s="108" t="s">
        <v>1</v>
      </c>
      <c r="G1" s="110" t="s">
        <v>32</v>
      </c>
      <c r="H1" s="109" t="s">
        <v>34</v>
      </c>
      <c r="I1" s="108" t="s">
        <v>13</v>
      </c>
      <c r="J1" s="108" t="s">
        <v>14</v>
      </c>
      <c r="K1" s="108" t="s">
        <v>15</v>
      </c>
    </row>
    <row r="2" spans="1:11" ht="21" customHeight="1" thickBot="1" x14ac:dyDescent="0.2">
      <c r="A2" s="111" t="str">
        <f>G2&amp;"-"&amp;I2</f>
        <v>30030_1-1</v>
      </c>
      <c r="B2" s="112" t="str">
        <f>IF(COUNTIF(enemy_habitats!$H:$H,A2),"OK","NG")</f>
        <v>OK</v>
      </c>
      <c r="C2" s="113">
        <v>30030</v>
      </c>
      <c r="D2" s="114" t="str">
        <f ca="1">VLOOKUP($C2,OFFSET([2]quests!$A$1,0,0,COUNTA([2]quests!$A:$A),MATCH(D$1,[2]quests!$1:$1,0)-MATCH($C$1,[2]quests!$1:$1,0)+1),MATCH(D$1,[2]quests!$1:$1,0)-MATCH($C$1,[2]quests!$1:$1,0)+1,FALSE)</f>
        <v>ここは誰の箱庭じゃ？</v>
      </c>
      <c r="E2" s="114" t="str">
        <f ca="1">VLOOKUP($C2,OFFSET([2]quests!$A$1,0,0,COUNTA([2]quests!$A:$A),MATCH(E$1,[2]quests!$1:$1,0)-MATCH($C$1,[2]quests!$1:$1,0)+1),MATCH(E$1,[2]quests!$1:$1,0)-MATCH($C$1,[2]quests!$1:$1,0)+1,FALSE)</f>
        <v>ドロップイベント9（マルチ専用）</v>
      </c>
      <c r="F2" s="115">
        <v>1</v>
      </c>
      <c r="G2" s="116" t="str">
        <f>C2&amp;"_"&amp;F2</f>
        <v>30030_1</v>
      </c>
      <c r="H2" s="117" t="str">
        <f ca="1">VLOOKUP($G2,OFFSET([2]stages!$A$1,0,0,COUNTA([2]stages!$A:$A),MATCH(H$1,[2]stages!$2:$2,0)-MATCH($G$1,[2]stages!$2:$2,0)+1),MATCH(H$1,[2]stages!$2:$2,0)-MATCH($G$1,[2]stages!$2:$2,0)+1,FALSE)</f>
        <v>【中級】ここは誰の箱庭じゃ？</v>
      </c>
      <c r="I2" s="115">
        <v>1</v>
      </c>
      <c r="J2" s="118">
        <v>30</v>
      </c>
      <c r="K2" s="119">
        <v>30</v>
      </c>
    </row>
    <row r="3" spans="1:11" ht="21" customHeight="1" thickBot="1" x14ac:dyDescent="0.2">
      <c r="A3" s="111" t="str">
        <f t="shared" ref="A3:A4" si="0">G3&amp;"-"&amp;I3</f>
        <v>30030_1-2</v>
      </c>
      <c r="B3" s="121" t="str">
        <f>IF(COUNTIF(enemy_habitats!$H:$H,A3),"OK","NG")</f>
        <v>OK</v>
      </c>
      <c r="C3" s="122">
        <v>30030</v>
      </c>
      <c r="D3" s="15" t="str">
        <f ca="1">VLOOKUP($C3,OFFSET([2]quests!$A$1,0,0,COUNTA([2]quests!$A:$A),MATCH(D$1,[2]quests!$1:$1,0)-MATCH($C$1,[2]quests!$1:$1,0)+1),MATCH(D$1,[2]quests!$1:$1,0)-MATCH($C$1,[2]quests!$1:$1,0)+1,FALSE)</f>
        <v>ここは誰の箱庭じゃ？</v>
      </c>
      <c r="E3" s="15" t="str">
        <f ca="1">VLOOKUP($C3,OFFSET([2]quests!$A$1,0,0,COUNTA([2]quests!$A:$A),MATCH(E$1,[2]quests!$1:$1,0)-MATCH($C$1,[2]quests!$1:$1,0)+1),MATCH(E$1,[2]quests!$1:$1,0)-MATCH($C$1,[2]quests!$1:$1,0)+1,FALSE)</f>
        <v>ドロップイベント9（マルチ専用）</v>
      </c>
      <c r="F3" s="123">
        <v>1</v>
      </c>
      <c r="G3" s="20" t="str">
        <f>C3&amp;"_"&amp;F3</f>
        <v>30030_1</v>
      </c>
      <c r="H3" s="12" t="str">
        <f ca="1">VLOOKUP($G3,OFFSET([2]stages!$A$1,0,0,COUNTA([2]stages!$A:$A),MATCH(H$1,[2]stages!$2:$2,0)-MATCH($G$1,[2]stages!$2:$2,0)+1),MATCH(H$1,[2]stages!$2:$2,0)-MATCH($G$1,[2]stages!$2:$2,0)+1,FALSE)</f>
        <v>【中級】ここは誰の箱庭じゃ？</v>
      </c>
      <c r="I3" s="123">
        <v>2</v>
      </c>
      <c r="J3" s="35">
        <v>40</v>
      </c>
      <c r="K3" s="124">
        <v>40</v>
      </c>
    </row>
    <row r="4" spans="1:11" ht="21" customHeight="1" thickBot="1" x14ac:dyDescent="0.2">
      <c r="A4" s="111" t="str">
        <f t="shared" si="0"/>
        <v>30030_1-3</v>
      </c>
      <c r="B4" s="101" t="str">
        <f>IF(COUNTIF(enemy_habitats!$H:$H,A4),"OK","NG")</f>
        <v>OK</v>
      </c>
      <c r="C4" s="102">
        <v>30030</v>
      </c>
      <c r="D4" s="103" t="str">
        <f ca="1">VLOOKUP($C4,OFFSET([2]quests!$A$1,0,0,COUNTA([2]quests!$A:$A),MATCH(D$1,[2]quests!$1:$1,0)-MATCH($C$1,[2]quests!$1:$1,0)+1),MATCH(D$1,[2]quests!$1:$1,0)-MATCH($C$1,[2]quests!$1:$1,0)+1,FALSE)</f>
        <v>ここは誰の箱庭じゃ？</v>
      </c>
      <c r="E4" s="103" t="str">
        <f ca="1">VLOOKUP($C4,OFFSET([2]quests!$A$1,0,0,COUNTA([2]quests!$A:$A),MATCH(E$1,[2]quests!$1:$1,0)-MATCH($C$1,[2]quests!$1:$1,0)+1),MATCH(E$1,[2]quests!$1:$1,0)-MATCH($C$1,[2]quests!$1:$1,0)+1,FALSE)</f>
        <v>ドロップイベント9（マルチ専用）</v>
      </c>
      <c r="F4" s="104">
        <v>1</v>
      </c>
      <c r="G4" s="105" t="str">
        <f>C4&amp;"_"&amp;F4</f>
        <v>30030_1</v>
      </c>
      <c r="H4" s="106" t="str">
        <f ca="1">VLOOKUP($G4,OFFSET([2]stages!$A$1,0,0,COUNTA([2]stages!$A:$A),MATCH(H$1,[2]stages!$2:$2,0)-MATCH($G$1,[2]stages!$2:$2,0)+1),MATCH(H$1,[2]stages!$2:$2,0)-MATCH($G$1,[2]stages!$2:$2,0)+1,FALSE)</f>
        <v>【中級】ここは誰の箱庭じゃ？</v>
      </c>
      <c r="I4" s="104">
        <v>3</v>
      </c>
      <c r="J4" s="107">
        <v>30</v>
      </c>
      <c r="K4" s="126">
        <v>30</v>
      </c>
    </row>
    <row r="5" spans="1:11" ht="21" customHeight="1" x14ac:dyDescent="0.15">
      <c r="A5" s="120" t="str">
        <f t="shared" ref="A5:A11" si="1">G5&amp;"-"&amp;I5</f>
        <v>30030_2-1</v>
      </c>
      <c r="B5" s="121" t="str">
        <f>IF(COUNTIF(enemy_habitats!$H:$H,A5),"OK","NG")</f>
        <v>OK</v>
      </c>
      <c r="C5" s="95">
        <v>30030</v>
      </c>
      <c r="D5" s="96" t="str">
        <f ca="1">VLOOKUP($C5,OFFSET([2]quests!$A$1,0,0,COUNTA([2]quests!$A:$A),MATCH(D$1,[2]quests!$1:$1,0)-MATCH($C$1,[2]quests!$1:$1,0)+1),MATCH(D$1,[2]quests!$1:$1,0)-MATCH($C$1,[2]quests!$1:$1,0)+1,FALSE)</f>
        <v>ここは誰の箱庭じゃ？</v>
      </c>
      <c r="E5" s="96" t="str">
        <f ca="1">VLOOKUP($C5,OFFSET([2]quests!$A$1,0,0,COUNTA([2]quests!$A:$A),MATCH(E$1,[2]quests!$1:$1,0)-MATCH($C$1,[2]quests!$1:$1,0)+1),MATCH(E$1,[2]quests!$1:$1,0)-MATCH($C$1,[2]quests!$1:$1,0)+1,FALSE)</f>
        <v>ドロップイベント9（マルチ専用）</v>
      </c>
      <c r="F5" s="97">
        <v>2</v>
      </c>
      <c r="G5" s="98" t="str">
        <f t="shared" ref="G5:G11" si="2">C5&amp;"_"&amp;F5</f>
        <v>30030_2</v>
      </c>
      <c r="H5" s="99" t="str">
        <f ca="1">VLOOKUP($G5,OFFSET([2]stages!$A$1,0,0,COUNTA([2]stages!$A:$A),MATCH(H$1,[2]stages!$2:$2,0)-MATCH($G$1,[2]stages!$2:$2,0)+1),MATCH(H$1,[2]stages!$2:$2,0)-MATCH($G$1,[2]stages!$2:$2,0)+1,FALSE)</f>
        <v>【上級】ここは誰の箱庭じゃ？</v>
      </c>
      <c r="I5" s="97">
        <v>1</v>
      </c>
      <c r="J5" s="100">
        <v>40</v>
      </c>
      <c r="K5" s="127">
        <v>40</v>
      </c>
    </row>
    <row r="6" spans="1:11" ht="21" customHeight="1" x14ac:dyDescent="0.15">
      <c r="A6" s="120" t="str">
        <f t="shared" si="1"/>
        <v>30030_2-2</v>
      </c>
      <c r="B6" s="121" t="str">
        <f>IF(COUNTIF(enemy_habitats!$H:$H,A6),"OK","NG")</f>
        <v>OK</v>
      </c>
      <c r="C6" s="122">
        <v>30030</v>
      </c>
      <c r="D6" s="15" t="str">
        <f ca="1">VLOOKUP($C6,OFFSET([2]quests!$A$1,0,0,COUNTA([2]quests!$A:$A),MATCH(D$1,[2]quests!$1:$1,0)-MATCH($C$1,[2]quests!$1:$1,0)+1),MATCH(D$1,[2]quests!$1:$1,0)-MATCH($C$1,[2]quests!$1:$1,0)+1,FALSE)</f>
        <v>ここは誰の箱庭じゃ？</v>
      </c>
      <c r="E6" s="15" t="str">
        <f ca="1">VLOOKUP($C6,OFFSET([2]quests!$A$1,0,0,COUNTA([2]quests!$A:$A),MATCH(E$1,[2]quests!$1:$1,0)-MATCH($C$1,[2]quests!$1:$1,0)+1),MATCH(E$1,[2]quests!$1:$1,0)-MATCH($C$1,[2]quests!$1:$1,0)+1,FALSE)</f>
        <v>ドロップイベント9（マルチ専用）</v>
      </c>
      <c r="F6" s="123">
        <v>2</v>
      </c>
      <c r="G6" s="20" t="str">
        <f t="shared" si="2"/>
        <v>30030_2</v>
      </c>
      <c r="H6" s="12" t="str">
        <f ca="1">VLOOKUP($G6,OFFSET([2]stages!$A$1,0,0,COUNTA([2]stages!$A:$A),MATCH(H$1,[2]stages!$2:$2,0)-MATCH($G$1,[2]stages!$2:$2,0)+1),MATCH(H$1,[2]stages!$2:$2,0)-MATCH($G$1,[2]stages!$2:$2,0)+1,FALSE)</f>
        <v>【上級】ここは誰の箱庭じゃ？</v>
      </c>
      <c r="I6" s="123">
        <v>2</v>
      </c>
      <c r="J6" s="35">
        <v>40</v>
      </c>
      <c r="K6" s="124">
        <v>40</v>
      </c>
    </row>
    <row r="7" spans="1:11" ht="21" customHeight="1" thickBot="1" x14ac:dyDescent="0.2">
      <c r="A7" s="125" t="str">
        <f t="shared" si="1"/>
        <v>30030_2-3</v>
      </c>
      <c r="B7" s="101" t="str">
        <f>IF(COUNTIF(enemy_habitats!$H:$H,A7),"OK","NG")</f>
        <v>OK</v>
      </c>
      <c r="C7" s="102">
        <v>30030</v>
      </c>
      <c r="D7" s="103" t="str">
        <f ca="1">VLOOKUP($C7,OFFSET([2]quests!$A$1,0,0,COUNTA([2]quests!$A:$A),MATCH(D$1,[2]quests!$1:$1,0)-MATCH($C$1,[2]quests!$1:$1,0)+1),MATCH(D$1,[2]quests!$1:$1,0)-MATCH($C$1,[2]quests!$1:$1,0)+1,FALSE)</f>
        <v>ここは誰の箱庭じゃ？</v>
      </c>
      <c r="E7" s="103" t="str">
        <f ca="1">VLOOKUP($C7,OFFSET([2]quests!$A$1,0,0,COUNTA([2]quests!$A:$A),MATCH(E$1,[2]quests!$1:$1,0)-MATCH($C$1,[2]quests!$1:$1,0)+1),MATCH(E$1,[2]quests!$1:$1,0)-MATCH($C$1,[2]quests!$1:$1,0)+1,FALSE)</f>
        <v>ドロップイベント9（マルチ専用）</v>
      </c>
      <c r="F7" s="104">
        <v>2</v>
      </c>
      <c r="G7" s="105" t="str">
        <f t="shared" si="2"/>
        <v>30030_2</v>
      </c>
      <c r="H7" s="106" t="str">
        <f ca="1">VLOOKUP($G7,OFFSET([2]stages!$A$1,0,0,COUNTA([2]stages!$A:$A),MATCH(H$1,[2]stages!$2:$2,0)-MATCH($G$1,[2]stages!$2:$2,0)+1),MATCH(H$1,[2]stages!$2:$2,0)-MATCH($G$1,[2]stages!$2:$2,0)+1,FALSE)</f>
        <v>【上級】ここは誰の箱庭じゃ？</v>
      </c>
      <c r="I7" s="104">
        <v>3</v>
      </c>
      <c r="J7" s="107">
        <v>60</v>
      </c>
      <c r="K7" s="126">
        <v>60</v>
      </c>
    </row>
    <row r="8" spans="1:11" ht="21" customHeight="1" x14ac:dyDescent="0.15">
      <c r="A8" s="120" t="str">
        <f t="shared" si="1"/>
        <v>30030_3-1</v>
      </c>
      <c r="B8" s="121" t="str">
        <f>IF(COUNTIF(enemy_habitats!$H:$H,A8),"OK","NG")</f>
        <v>OK</v>
      </c>
      <c r="C8" s="95">
        <v>30030</v>
      </c>
      <c r="D8" s="96" t="str">
        <f ca="1">VLOOKUP($C8,OFFSET([2]quests!$A$1,0,0,COUNTA([2]quests!$A:$A),MATCH(D$1,[2]quests!$1:$1,0)-MATCH($C$1,[2]quests!$1:$1,0)+1),MATCH(D$1,[2]quests!$1:$1,0)-MATCH($C$1,[2]quests!$1:$1,0)+1,FALSE)</f>
        <v>ここは誰の箱庭じゃ？</v>
      </c>
      <c r="E8" s="96" t="str">
        <f ca="1">VLOOKUP($C8,OFFSET([2]quests!$A$1,0,0,COUNTA([2]quests!$A:$A),MATCH(E$1,[2]quests!$1:$1,0)-MATCH($C$1,[2]quests!$1:$1,0)+1),MATCH(E$1,[2]quests!$1:$1,0)-MATCH($C$1,[2]quests!$1:$1,0)+1,FALSE)</f>
        <v>ドロップイベント9（マルチ専用）</v>
      </c>
      <c r="F8" s="97">
        <v>3</v>
      </c>
      <c r="G8" s="98" t="str">
        <f t="shared" si="2"/>
        <v>30030_3</v>
      </c>
      <c r="H8" s="99" t="str">
        <f ca="1">VLOOKUP($G8,OFFSET([2]stages!$A$1,0,0,COUNTA([2]stages!$A:$A),MATCH(H$1,[2]stages!$2:$2,0)-MATCH($G$1,[2]stages!$2:$2,0)+1),MATCH(H$1,[2]stages!$2:$2,0)-MATCH($G$1,[2]stages!$2:$2,0)+1,FALSE)</f>
        <v>【超級】ここは誰の箱庭じゃ？</v>
      </c>
      <c r="I8" s="97">
        <v>1</v>
      </c>
      <c r="J8" s="100">
        <v>40</v>
      </c>
      <c r="K8" s="127">
        <v>40</v>
      </c>
    </row>
    <row r="9" spans="1:11" ht="21" customHeight="1" x14ac:dyDescent="0.15">
      <c r="A9" s="120" t="str">
        <f t="shared" si="1"/>
        <v>30030_3-2</v>
      </c>
      <c r="B9" s="121" t="str">
        <f>IF(COUNTIF(enemy_habitats!$H:$H,A9),"OK","NG")</f>
        <v>OK</v>
      </c>
      <c r="C9" s="122">
        <v>30030</v>
      </c>
      <c r="D9" s="15" t="str">
        <f ca="1">VLOOKUP($C9,OFFSET([2]quests!$A$1,0,0,COUNTA([2]quests!$A:$A),MATCH(D$1,[2]quests!$1:$1,0)-MATCH($C$1,[2]quests!$1:$1,0)+1),MATCH(D$1,[2]quests!$1:$1,0)-MATCH($C$1,[2]quests!$1:$1,0)+1,FALSE)</f>
        <v>ここは誰の箱庭じゃ？</v>
      </c>
      <c r="E9" s="15" t="str">
        <f ca="1">VLOOKUP($C9,OFFSET([2]quests!$A$1,0,0,COUNTA([2]quests!$A:$A),MATCH(E$1,[2]quests!$1:$1,0)-MATCH($C$1,[2]quests!$1:$1,0)+1),MATCH(E$1,[2]quests!$1:$1,0)-MATCH($C$1,[2]quests!$1:$1,0)+1,FALSE)</f>
        <v>ドロップイベント9（マルチ専用）</v>
      </c>
      <c r="F9" s="123">
        <v>3</v>
      </c>
      <c r="G9" s="20" t="str">
        <f t="shared" si="2"/>
        <v>30030_3</v>
      </c>
      <c r="H9" s="12" t="str">
        <f ca="1">VLOOKUP($G9,OFFSET([2]stages!$A$1,0,0,COUNTA([2]stages!$A:$A),MATCH(H$1,[2]stages!$2:$2,0)-MATCH($G$1,[2]stages!$2:$2,0)+1),MATCH(H$1,[2]stages!$2:$2,0)-MATCH($G$1,[2]stages!$2:$2,0)+1,FALSE)</f>
        <v>【超級】ここは誰の箱庭じゃ？</v>
      </c>
      <c r="I9" s="123">
        <v>2</v>
      </c>
      <c r="J9" s="35">
        <v>60</v>
      </c>
      <c r="K9" s="124">
        <v>60</v>
      </c>
    </row>
    <row r="10" spans="1:11" ht="21" customHeight="1" x14ac:dyDescent="0.15">
      <c r="A10" s="120" t="str">
        <f t="shared" si="1"/>
        <v>30030_3-3</v>
      </c>
      <c r="B10" s="121" t="str">
        <f>IF(COUNTIF(enemy_habitats!$H:$H,A10),"OK","NG")</f>
        <v>OK</v>
      </c>
      <c r="C10" s="122">
        <v>30030</v>
      </c>
      <c r="D10" s="15" t="str">
        <f ca="1">VLOOKUP($C10,OFFSET([2]quests!$A$1,0,0,COUNTA([2]quests!$A:$A),MATCH(D$1,[2]quests!$1:$1,0)-MATCH($C$1,[2]quests!$1:$1,0)+1),MATCH(D$1,[2]quests!$1:$1,0)-MATCH($C$1,[2]quests!$1:$1,0)+1,FALSE)</f>
        <v>ここは誰の箱庭じゃ？</v>
      </c>
      <c r="E10" s="15" t="str">
        <f ca="1">VLOOKUP($C10,OFFSET([2]quests!$A$1,0,0,COUNTA([2]quests!$A:$A),MATCH(E$1,[2]quests!$1:$1,0)-MATCH($C$1,[2]quests!$1:$1,0)+1),MATCH(E$1,[2]quests!$1:$1,0)-MATCH($C$1,[2]quests!$1:$1,0)+1,FALSE)</f>
        <v>ドロップイベント9（マルチ専用）</v>
      </c>
      <c r="F10" s="123">
        <v>3</v>
      </c>
      <c r="G10" s="20" t="str">
        <f t="shared" si="2"/>
        <v>30030_3</v>
      </c>
      <c r="H10" s="12" t="str">
        <f ca="1">VLOOKUP($G10,OFFSET([2]stages!$A$1,0,0,COUNTA([2]stages!$A:$A),MATCH(H$1,[2]stages!$2:$2,0)-MATCH($G$1,[2]stages!$2:$2,0)+1),MATCH(H$1,[2]stages!$2:$2,0)-MATCH($G$1,[2]stages!$2:$2,0)+1,FALSE)</f>
        <v>【超級】ここは誰の箱庭じゃ？</v>
      </c>
      <c r="I10" s="123">
        <v>3</v>
      </c>
      <c r="J10" s="35">
        <v>60</v>
      </c>
      <c r="K10" s="124">
        <v>60</v>
      </c>
    </row>
    <row r="11" spans="1:11" ht="21" customHeight="1" thickBot="1" x14ac:dyDescent="0.2">
      <c r="A11" s="125" t="str">
        <f t="shared" si="1"/>
        <v>30030_3-4</v>
      </c>
      <c r="B11" s="101" t="str">
        <f>IF(COUNTIF(enemy_habitats!$H:$H,A11),"OK","NG")</f>
        <v>OK</v>
      </c>
      <c r="C11" s="102">
        <v>30030</v>
      </c>
      <c r="D11" s="103" t="str">
        <f ca="1">VLOOKUP($C11,OFFSET([2]quests!$A$1,0,0,COUNTA([2]quests!$A:$A),MATCH(D$1,[2]quests!$1:$1,0)-MATCH($C$1,[2]quests!$1:$1,0)+1),MATCH(D$1,[2]quests!$1:$1,0)-MATCH($C$1,[2]quests!$1:$1,0)+1,FALSE)</f>
        <v>ここは誰の箱庭じゃ？</v>
      </c>
      <c r="E11" s="103" t="str">
        <f ca="1">VLOOKUP($C11,OFFSET([2]quests!$A$1,0,0,COUNTA([2]quests!$A:$A),MATCH(E$1,[2]quests!$1:$1,0)-MATCH($C$1,[2]quests!$1:$1,0)+1),MATCH(E$1,[2]quests!$1:$1,0)-MATCH($C$1,[2]quests!$1:$1,0)+1,FALSE)</f>
        <v>ドロップイベント9（マルチ専用）</v>
      </c>
      <c r="F11" s="104">
        <v>3</v>
      </c>
      <c r="G11" s="105" t="str">
        <f t="shared" si="2"/>
        <v>30030_3</v>
      </c>
      <c r="H11" s="106" t="str">
        <f ca="1">VLOOKUP($G11,OFFSET([2]stages!$A$1,0,0,COUNTA([2]stages!$A:$A),MATCH(H$1,[2]stages!$2:$2,0)-MATCH($G$1,[2]stages!$2:$2,0)+1),MATCH(H$1,[2]stages!$2:$2,0)-MATCH($G$1,[2]stages!$2:$2,0)+1,FALSE)</f>
        <v>【超級】ここは誰の箱庭じゃ？</v>
      </c>
      <c r="I11" s="104">
        <v>4</v>
      </c>
      <c r="J11" s="107">
        <v>60</v>
      </c>
      <c r="K11" s="126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7"/>
  <sheetViews>
    <sheetView showGridLines="0" zoomScale="85" zoomScaleNormal="85" zoomScalePageLayoutView="85" workbookViewId="0">
      <pane xSplit="17" ySplit="1" topLeftCell="AE2" activePane="bottomRight" state="frozen"/>
      <selection pane="topRight" activeCell="N1" sqref="N1"/>
      <selection pane="bottomLeft" activeCell="A2" sqref="A2"/>
      <selection pane="bottomRight" activeCell="AH12" sqref="AH12"/>
    </sheetView>
  </sheetViews>
  <sheetFormatPr baseColWidth="12" defaultColWidth="13" defaultRowHeight="21" customHeight="1" outlineLevelCol="1" x14ac:dyDescent="0.15"/>
  <cols>
    <col min="1" max="1" width="15.83203125" style="16" bestFit="1" customWidth="1"/>
    <col min="2" max="2" width="10.83203125" style="2" bestFit="1" customWidth="1"/>
    <col min="3" max="3" width="10.6640625" style="2" bestFit="1" customWidth="1" collapsed="1"/>
    <col min="4" max="4" width="13" style="11" hidden="1" customWidth="1" outlineLevel="1"/>
    <col min="5" max="5" width="11.6640625" style="2" hidden="1" customWidth="1" outlineLevel="1"/>
    <col min="6" max="6" width="16.1640625" style="2" hidden="1" customWidth="1" outlineLevel="1"/>
    <col min="7" max="7" width="10" style="2" bestFit="1" customWidth="1" collapsed="1"/>
    <col min="8" max="10" width="12.33203125" style="2" hidden="1" customWidth="1" outlineLevel="1"/>
    <col min="11" max="11" width="12.33203125" style="2" customWidth="1"/>
    <col min="12" max="12" width="13.5" style="8" bestFit="1" customWidth="1"/>
    <col min="13" max="13" width="8.83203125" style="2" customWidth="1" outlineLevel="1"/>
    <col min="14" max="14" width="8.6640625" style="2" customWidth="1" outlineLevel="1"/>
    <col min="15" max="15" width="12" style="2" customWidth="1" outlineLevel="1"/>
    <col min="16" max="16" width="21" style="2" customWidth="1" outlineLevel="1"/>
    <col min="17" max="17" width="8" style="2" customWidth="1" outlineLevel="1"/>
    <col min="18" max="18" width="8.33203125" style="2" bestFit="1" customWidth="1"/>
    <col min="19" max="19" width="14.83203125" style="2" bestFit="1" customWidth="1"/>
    <col min="20" max="20" width="17.5" style="2" bestFit="1" customWidth="1"/>
    <col min="21" max="21" width="18.33203125" style="2" bestFit="1" customWidth="1"/>
    <col min="22" max="22" width="10" style="2" customWidth="1"/>
    <col min="23" max="23" width="12.1640625" style="2" customWidth="1" outlineLevel="1"/>
    <col min="24" max="24" width="11.33203125" style="2" bestFit="1" customWidth="1"/>
    <col min="25" max="25" width="11.6640625" style="2" bestFit="1" customWidth="1"/>
    <col min="26" max="26" width="10.6640625" style="2" bestFit="1" customWidth="1"/>
    <col min="27" max="27" width="9.33203125" style="2" bestFit="1" customWidth="1"/>
    <col min="28" max="28" width="13" style="2" bestFit="1" customWidth="1"/>
    <col min="29" max="29" width="8.83203125" style="10" bestFit="1" customWidth="1" outlineLevel="1"/>
    <col min="30" max="30" width="8" style="11" bestFit="1" customWidth="1" outlineLevel="1"/>
    <col min="31" max="31" width="12" style="11" bestFit="1" customWidth="1" outlineLevel="1"/>
    <col min="32" max="32" width="15" style="9" bestFit="1" customWidth="1" collapsed="1"/>
    <col min="33" max="34" width="14.83203125" style="2" bestFit="1" customWidth="1"/>
    <col min="35" max="35" width="6.6640625" style="2" bestFit="1" customWidth="1"/>
    <col min="36" max="36" width="9.33203125" style="2" bestFit="1" customWidth="1"/>
    <col min="37" max="37" width="10.33203125" style="2" bestFit="1" customWidth="1"/>
    <col min="38" max="38" width="7.6640625" style="2" bestFit="1" customWidth="1"/>
    <col min="39" max="39" width="4" style="2" bestFit="1" customWidth="1"/>
    <col min="40" max="16384" width="13" style="2"/>
  </cols>
  <sheetData>
    <row r="1" spans="1:40" s="32" customFormat="1" ht="21" customHeight="1" x14ac:dyDescent="0.15">
      <c r="A1" s="24" t="s">
        <v>29</v>
      </c>
      <c r="B1" s="25" t="s">
        <v>0</v>
      </c>
      <c r="C1" s="25" t="s">
        <v>1</v>
      </c>
      <c r="D1" s="26" t="s">
        <v>28</v>
      </c>
      <c r="E1" s="27" t="s">
        <v>20</v>
      </c>
      <c r="F1" s="27" t="s">
        <v>20</v>
      </c>
      <c r="G1" s="25" t="s">
        <v>19</v>
      </c>
      <c r="H1" s="26" t="s">
        <v>35</v>
      </c>
      <c r="I1" s="26" t="s">
        <v>14</v>
      </c>
      <c r="J1" s="26" t="s">
        <v>15</v>
      </c>
      <c r="K1" s="33" t="s">
        <v>54</v>
      </c>
      <c r="L1" s="34" t="s">
        <v>2</v>
      </c>
      <c r="M1" s="28" t="s">
        <v>21</v>
      </c>
      <c r="N1" s="26" t="s">
        <v>24</v>
      </c>
      <c r="O1" s="26" t="s">
        <v>23</v>
      </c>
      <c r="P1" s="29" t="s">
        <v>26</v>
      </c>
      <c r="Q1" s="27" t="s">
        <v>25</v>
      </c>
      <c r="R1" s="25" t="s">
        <v>3</v>
      </c>
      <c r="S1" s="23" t="s">
        <v>48</v>
      </c>
      <c r="T1" s="23" t="s">
        <v>50</v>
      </c>
      <c r="U1" s="23" t="s">
        <v>52</v>
      </c>
      <c r="V1" s="26" t="s">
        <v>31</v>
      </c>
      <c r="W1" s="25" t="s">
        <v>4</v>
      </c>
      <c r="X1" s="25" t="s">
        <v>5</v>
      </c>
      <c r="Y1" s="25" t="s">
        <v>6</v>
      </c>
      <c r="Z1" s="25" t="s">
        <v>7</v>
      </c>
      <c r="AA1" s="25" t="s">
        <v>8</v>
      </c>
      <c r="AB1" s="30" t="s">
        <v>9</v>
      </c>
      <c r="AC1" s="31" t="s">
        <v>16</v>
      </c>
      <c r="AD1" s="31" t="s">
        <v>17</v>
      </c>
      <c r="AE1" s="31" t="s">
        <v>27</v>
      </c>
      <c r="AF1" s="30" t="s">
        <v>10</v>
      </c>
      <c r="AG1" s="25" t="s">
        <v>11</v>
      </c>
      <c r="AH1" s="25" t="s">
        <v>12</v>
      </c>
      <c r="AI1" s="25" t="s">
        <v>38</v>
      </c>
      <c r="AJ1" s="25" t="s">
        <v>40</v>
      </c>
      <c r="AK1" s="25" t="s">
        <v>42</v>
      </c>
      <c r="AL1" s="25" t="s">
        <v>44</v>
      </c>
      <c r="AM1" s="25" t="s">
        <v>46</v>
      </c>
      <c r="AN1" s="33" t="s">
        <v>174</v>
      </c>
    </row>
    <row r="2" spans="1:40" ht="21" customHeight="1" x14ac:dyDescent="0.15">
      <c r="A2" s="13" t="str">
        <f t="shared" ref="A2:A7" si="0">B2&amp;"_"&amp;C2&amp;"-"&amp;G2&amp;"/"&amp;L2&amp;"&lt;lv"&amp;R2&amp;"&gt;s"&amp;AA2</f>
        <v>30030_3-1/48&lt;lv60&gt;s2</v>
      </c>
      <c r="B2" s="141">
        <v>30030</v>
      </c>
      <c r="C2" s="138">
        <v>3</v>
      </c>
      <c r="D2" s="1" t="str">
        <f t="shared" ref="D2:D7" si="1">B2&amp;"_"&amp;C2</f>
        <v>30030_3</v>
      </c>
      <c r="E2" s="3" t="str">
        <f ca="1">VLOOKUP($B2,OFFSET([2]quests!$A$1,0,0,COUNTA([2]quests!$A:$A),MATCH(E$1,[2]quests!$1:$1,0)-MATCH($B$1,[2]quests!$1:$1,0)+1),MATCH(E$1,[2]quests!$1:$1,0)-MATCH($B$1,[2]quests!$1:$1,0)+1,FALSE)</f>
        <v>ここは誰の箱庭じゃ？</v>
      </c>
      <c r="F2" s="3" t="str">
        <f ca="1">VLOOKUP($D2,OFFSET([2]stages!$A$1,0,0,COUNTA([2]stages!$A:$A),MATCH(F$1,[2]stages!$2:$2,0)-MATCH($D$1,[2]stages!$2:$2,0)+1),MATCH(F$1,[2]stages!$2:$2,0)-MATCH($D$1,[2]stages!$2:$2,0)+1,FALSE)</f>
        <v>【超級】ここは誰の箱庭じゃ？</v>
      </c>
      <c r="G2" s="145">
        <v>1</v>
      </c>
      <c r="H2" s="12" t="str">
        <f t="shared" ref="H2:H7" si="2">B2&amp;"_"&amp;C2&amp;"-"&amp;G2</f>
        <v>30030_3-1</v>
      </c>
      <c r="I2" s="3">
        <f ca="1">VLOOKUP($H2,OFFSET(floors!$A$1,0,0,COUNTA(floors!$A:$A),MATCH(I$1,floors!$1:$1,0)-MATCH($H$1,floors!$1:$1,0)+1),MATCH(I$1,floors!$1:$1,0)-MATCH($H$1,floors!$1:$1,0)+1,FALSE)</f>
        <v>40</v>
      </c>
      <c r="J2" s="3">
        <f ca="1">VLOOKUP($H2,OFFSET(floors!$A$1,0,0,COUNTA(floors!$A:$A),MATCH(J$1,floors!$1:$1,0)-MATCH($H$1,floors!$1:$1,0)+1),MATCH(J$1,floors!$1:$1,0)-MATCH($H$1,floors!$1:$1,0)+1,FALSE)</f>
        <v>40</v>
      </c>
      <c r="K2" s="35" t="s">
        <v>53</v>
      </c>
      <c r="L2" s="17">
        <v>48</v>
      </c>
      <c r="M2" s="14" t="str">
        <f ca="1">VLOOKUP($L2,OFFSET([3]enemies!$A$1,0,0,COUNTA([3]enemies!$A:$A),MATCH(M$1,[3]enemies!$1:$1,0)-MATCH($L$1,[3]enemies!$1:$1,0)+1),MATCH(M$1,[3]enemies!$1:$1,0)-MATCH($L$1,[3]enemies!$1:$1,0)+1,FALSE)</f>
        <v>サンダーステップのヒロ</v>
      </c>
      <c r="N2" s="14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4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4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4">
        <f ca="1">VLOOKUP($L2,OFFSET([3]enemies!$A$1,0,0,COUNTA([3]enemies!$A:$A),MATCH(Q$1,[3]enemies!$1:$1,0)-MATCH($L$1,[3]enemies!$1:$1,0)+1),MATCH(Q$1,[3]enemies!$1:$1,0)-MATCH($L$1,[3]enemies!$1:$1,0)+1,FALSE)</f>
        <v>20</v>
      </c>
      <c r="R2" s="4">
        <v>60</v>
      </c>
      <c r="S2" s="22">
        <v>1</v>
      </c>
      <c r="T2" s="22">
        <v>1</v>
      </c>
      <c r="U2" s="4">
        <v>0</v>
      </c>
      <c r="V2" s="3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131">
        <v>30030001</v>
      </c>
      <c r="X2" s="5">
        <v>1</v>
      </c>
      <c r="Y2" s="5">
        <v>100</v>
      </c>
      <c r="Z2" s="5">
        <v>0</v>
      </c>
      <c r="AA2" s="128">
        <v>2</v>
      </c>
      <c r="AB2" s="135">
        <v>47</v>
      </c>
      <c r="AC2" s="3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ヒロ</v>
      </c>
      <c r="AD2" s="3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3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" s="6">
        <v>1</v>
      </c>
      <c r="AG2" s="21">
        <f t="shared" ref="AG2:AG7" ca="1" si="3">AD2</f>
        <v>2</v>
      </c>
      <c r="AH2" s="7">
        <v>20</v>
      </c>
      <c r="AI2" s="6">
        <v>0</v>
      </c>
      <c r="AJ2" s="6">
        <v>0</v>
      </c>
      <c r="AK2" s="6">
        <v>0</v>
      </c>
      <c r="AL2" s="6">
        <v>0</v>
      </c>
      <c r="AM2" s="6">
        <v>1</v>
      </c>
      <c r="AN2" s="66">
        <v>1</v>
      </c>
    </row>
    <row r="3" spans="1:40" ht="21" customHeight="1" x14ac:dyDescent="0.15">
      <c r="A3" s="13" t="str">
        <f t="shared" si="0"/>
        <v>30030_3-1/56&lt;lv60&gt;s5</v>
      </c>
      <c r="B3" s="141">
        <v>30030</v>
      </c>
      <c r="C3" s="138">
        <v>3</v>
      </c>
      <c r="D3" s="1" t="str">
        <f t="shared" si="1"/>
        <v>30030_3</v>
      </c>
      <c r="E3" s="3" t="str">
        <f ca="1">VLOOKUP($B3,OFFSET([2]quests!$A$1,0,0,COUNTA([2]quests!$A:$A),MATCH(E$1,[2]quests!$1:$1,0)-MATCH($B$1,[2]quests!$1:$1,0)+1),MATCH(E$1,[2]quests!$1:$1,0)-MATCH($B$1,[2]quests!$1:$1,0)+1,FALSE)</f>
        <v>ここは誰の箱庭じゃ？</v>
      </c>
      <c r="F3" s="3" t="str">
        <f ca="1">VLOOKUP($D3,OFFSET([2]stages!$A$1,0,0,COUNTA([2]stages!$A:$A),MATCH(F$1,[2]stages!$2:$2,0)-MATCH($D$1,[2]stages!$2:$2,0)+1),MATCH(F$1,[2]stages!$2:$2,0)-MATCH($D$1,[2]stages!$2:$2,0)+1,FALSE)</f>
        <v>【超級】ここは誰の箱庭じゃ？</v>
      </c>
      <c r="G3" s="145">
        <v>1</v>
      </c>
      <c r="H3" s="12" t="str">
        <f t="shared" si="2"/>
        <v>30030_3-1</v>
      </c>
      <c r="I3" s="3">
        <f ca="1">VLOOKUP($H3,OFFSET(floors!$A$1,0,0,COUNTA(floors!$A:$A),MATCH(I$1,floors!$1:$1,0)-MATCH($H$1,floors!$1:$1,0)+1),MATCH(I$1,floors!$1:$1,0)-MATCH($H$1,floors!$1:$1,0)+1,FALSE)</f>
        <v>40</v>
      </c>
      <c r="J3" s="3">
        <f ca="1">VLOOKUP($H3,OFFSET(floors!$A$1,0,0,COUNTA(floors!$A:$A),MATCH(J$1,floors!$1:$1,0)-MATCH($H$1,floors!$1:$1,0)+1),MATCH(J$1,floors!$1:$1,0)-MATCH($H$1,floors!$1:$1,0)+1,FALSE)</f>
        <v>40</v>
      </c>
      <c r="K3" s="35" t="s">
        <v>53</v>
      </c>
      <c r="L3" s="17">
        <v>56</v>
      </c>
      <c r="M3" s="14" t="str">
        <f ca="1">VLOOKUP($L3,OFFSET([3]enemies!$A$1,0,0,COUNTA([3]enemies!$A:$A),MATCH(M$1,[3]enemies!$1:$1,0)-MATCH($L$1,[3]enemies!$1:$1,0)+1),MATCH(M$1,[3]enemies!$1:$1,0)-MATCH($L$1,[3]enemies!$1:$1,0)+1,FALSE)</f>
        <v>黄槌のレジスタンス マミコ</v>
      </c>
      <c r="N3" s="14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4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4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4">
        <f ca="1">VLOOKUP($L3,OFFSET([3]enemies!$A$1,0,0,COUNTA([3]enemies!$A:$A),MATCH(Q$1,[3]enemies!$1:$1,0)-MATCH($L$1,[3]enemies!$1:$1,0)+1),MATCH(Q$1,[3]enemies!$1:$1,0)-MATCH($L$1,[3]enemies!$1:$1,0)+1,FALSE)</f>
        <v>20</v>
      </c>
      <c r="R3" s="4">
        <v>60</v>
      </c>
      <c r="S3" s="22">
        <v>1</v>
      </c>
      <c r="T3" s="22">
        <v>1</v>
      </c>
      <c r="U3" s="4">
        <v>0</v>
      </c>
      <c r="V3" s="3" t="str">
        <f ca="1">VLOOKUP($W3,OFFSET(enemy_skill_sets!$B$1,0,0,COUNTA(enemy_skill_sets!$B:$B),MATCH(M$1,enemy_skill_sets!$1:$1,0)-MATCH($W$1,enemy_skill_sets!$1:$1,0)+2),MATCH(M$1,enemy_skill_sets!$1:$1,0)-MATCH($W$1,enemy_skill_sets!$1:$1,0)+2,FALSE)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3" s="131">
        <v>30030002</v>
      </c>
      <c r="X3" s="5">
        <v>1</v>
      </c>
      <c r="Y3" s="5">
        <v>100</v>
      </c>
      <c r="Z3" s="5">
        <v>0</v>
      </c>
      <c r="AA3" s="128">
        <v>5</v>
      </c>
      <c r="AB3" s="135">
        <v>55</v>
      </c>
      <c r="AC3" s="3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マミコ</v>
      </c>
      <c r="AD3" s="3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3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6">
        <v>1</v>
      </c>
      <c r="AG3" s="21">
        <f t="shared" ca="1" si="3"/>
        <v>2</v>
      </c>
      <c r="AH3" s="7">
        <v>20</v>
      </c>
      <c r="AI3" s="6">
        <v>0</v>
      </c>
      <c r="AJ3" s="6">
        <v>0</v>
      </c>
      <c r="AK3" s="6">
        <v>0</v>
      </c>
      <c r="AL3" s="6">
        <v>0</v>
      </c>
      <c r="AM3" s="6">
        <v>1</v>
      </c>
      <c r="AN3" s="66">
        <v>1</v>
      </c>
    </row>
    <row r="4" spans="1:40" ht="21" customHeight="1" x14ac:dyDescent="0.15">
      <c r="A4" s="13" t="str">
        <f t="shared" si="0"/>
        <v>30030_3-2/260&lt;lv60&gt;s1</v>
      </c>
      <c r="B4" s="141">
        <v>30030</v>
      </c>
      <c r="C4" s="138">
        <v>3</v>
      </c>
      <c r="D4" s="1" t="str">
        <f t="shared" si="1"/>
        <v>30030_3</v>
      </c>
      <c r="E4" s="3" t="str">
        <f ca="1">VLOOKUP($B4,OFFSET([2]quests!$A$1,0,0,COUNTA([2]quests!$A:$A),MATCH(E$1,[2]quests!$1:$1,0)-MATCH($B$1,[2]quests!$1:$1,0)+1),MATCH(E$1,[2]quests!$1:$1,0)-MATCH($B$1,[2]quests!$1:$1,0)+1,FALSE)</f>
        <v>ここは誰の箱庭じゃ？</v>
      </c>
      <c r="F4" s="3" t="str">
        <f ca="1">VLOOKUP($D4,OFFSET([2]stages!$A$1,0,0,COUNTA([2]stages!$A:$A),MATCH(F$1,[2]stages!$2:$2,0)-MATCH($D$1,[2]stages!$2:$2,0)+1),MATCH(F$1,[2]stages!$2:$2,0)-MATCH($D$1,[2]stages!$2:$2,0)+1,FALSE)</f>
        <v>【超級】ここは誰の箱庭じゃ？</v>
      </c>
      <c r="G4" s="142">
        <v>2</v>
      </c>
      <c r="H4" s="12" t="str">
        <f t="shared" si="2"/>
        <v>30030_3-2</v>
      </c>
      <c r="I4" s="3">
        <f ca="1">VLOOKUP($H4,OFFSET(floors!$A$1,0,0,COUNTA(floors!$A:$A),MATCH(I$1,floors!$1:$1,0)-MATCH($H$1,floors!$1:$1,0)+1),MATCH(I$1,floors!$1:$1,0)-MATCH($H$1,floors!$1:$1,0)+1,FALSE)</f>
        <v>60</v>
      </c>
      <c r="J4" s="3">
        <f ca="1">VLOOKUP($H4,OFFSET(floors!$A$1,0,0,COUNTA(floors!$A:$A),MATCH(J$1,floors!$1:$1,0)-MATCH($H$1,floors!$1:$1,0)+1),MATCH(J$1,floors!$1:$1,0)-MATCH($H$1,floors!$1:$1,0)+1,FALSE)</f>
        <v>60</v>
      </c>
      <c r="K4" s="35" t="s">
        <v>53</v>
      </c>
      <c r="L4" s="17">
        <v>260</v>
      </c>
      <c r="M4" s="14" t="str">
        <f ca="1">VLOOKUP($L4,OFFSET([3]enemies!$A$1,0,0,COUNTA([3]enemies!$A:$A),MATCH(M$1,[3]enemies!$1:$1,0)-MATCH($L$1,[3]enemies!$1:$1,0)+1),MATCH(M$1,[3]enemies!$1:$1,0)-MATCH($L$1,[3]enemies!$1:$1,0)+1,FALSE)</f>
        <v>輪廻 ウロボロス</v>
      </c>
      <c r="N4" s="14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4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4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4">
        <f ca="1">VLOOKUP($L4,OFFSET([3]enemies!$A$1,0,0,COUNTA([3]enemies!$A:$A),MATCH(Q$1,[3]enemies!$1:$1,0)-MATCH($L$1,[3]enemies!$1:$1,0)+1),MATCH(Q$1,[3]enemies!$1:$1,0)-MATCH($L$1,[3]enemies!$1:$1,0)+1,FALSE)</f>
        <v>30</v>
      </c>
      <c r="R4" s="4">
        <v>60</v>
      </c>
      <c r="S4" s="22">
        <v>1.8</v>
      </c>
      <c r="T4" s="22">
        <v>0.9</v>
      </c>
      <c r="U4" s="4">
        <v>0</v>
      </c>
      <c r="V4" s="3" t="e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" s="131">
        <v>30030003</v>
      </c>
      <c r="X4" s="5">
        <v>1</v>
      </c>
      <c r="Y4" s="5">
        <v>100</v>
      </c>
      <c r="Z4" s="5">
        <v>1</v>
      </c>
      <c r="AA4" s="128">
        <v>1</v>
      </c>
      <c r="AB4" s="21">
        <f t="shared" ref="AB4:AB6" si="4">L4</f>
        <v>260</v>
      </c>
      <c r="AC4" s="3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輪廻 ウロボロス</v>
      </c>
      <c r="AD4" s="3">
        <f ca="1">VLOOKUP($AB4,OFFSET([4]characters!$A$1,0,0,COUNTA([4]characters!$A:$A),MATCH(AD$1,[4]characters!$1:$1,0)-MATCH("character_id",[4]characters!$1:$1,0)+1),MATCH(AD$1,[4]characters!$1:$1,0)-MATCH("character_id",[4]characters!$1:$1,0)+1,FALSE)</f>
        <v>4</v>
      </c>
      <c r="AE4" s="3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4" s="6">
        <v>1</v>
      </c>
      <c r="AG4" s="21">
        <f t="shared" ca="1" si="3"/>
        <v>4</v>
      </c>
      <c r="AH4" s="7">
        <v>0</v>
      </c>
      <c r="AI4" s="6">
        <v>0</v>
      </c>
      <c r="AJ4" s="6">
        <v>0</v>
      </c>
      <c r="AK4" s="6">
        <v>0</v>
      </c>
      <c r="AL4" s="6">
        <v>0</v>
      </c>
      <c r="AM4" s="6">
        <v>1</v>
      </c>
      <c r="AN4" s="66">
        <v>1</v>
      </c>
    </row>
    <row r="5" spans="1:40" ht="21" customHeight="1" x14ac:dyDescent="0.15">
      <c r="A5" s="13" t="str">
        <f t="shared" si="0"/>
        <v>30030_3-3/76&lt;lv60&gt;s3</v>
      </c>
      <c r="B5" s="141">
        <v>30030</v>
      </c>
      <c r="C5" s="138">
        <v>3</v>
      </c>
      <c r="D5" s="1" t="str">
        <f t="shared" si="1"/>
        <v>30030_3</v>
      </c>
      <c r="E5" s="3" t="str">
        <f ca="1">VLOOKUP($B5,OFFSET([2]quests!$A$1,0,0,COUNTA([2]quests!$A:$A),MATCH(E$1,[2]quests!$1:$1,0)-MATCH($B$1,[2]quests!$1:$1,0)+1),MATCH(E$1,[2]quests!$1:$1,0)-MATCH($B$1,[2]quests!$1:$1,0)+1,FALSE)</f>
        <v>ここは誰の箱庭じゃ？</v>
      </c>
      <c r="F5" s="3" t="str">
        <f ca="1">VLOOKUP($D5,OFFSET([2]stages!$A$1,0,0,COUNTA([2]stages!$A:$A),MATCH(F$1,[2]stages!$2:$2,0)-MATCH($D$1,[2]stages!$2:$2,0)+1),MATCH(F$1,[2]stages!$2:$2,0)-MATCH($D$1,[2]stages!$2:$2,0)+1,FALSE)</f>
        <v>【超級】ここは誰の箱庭じゃ？</v>
      </c>
      <c r="G5" s="144">
        <v>3</v>
      </c>
      <c r="H5" s="12" t="str">
        <f t="shared" si="2"/>
        <v>30030_3-3</v>
      </c>
      <c r="I5" s="3">
        <f ca="1">VLOOKUP($H5,OFFSET(floors!$A$1,0,0,COUNTA(floors!$A:$A),MATCH(I$1,floors!$1:$1,0)-MATCH($H$1,floors!$1:$1,0)+1),MATCH(I$1,floors!$1:$1,0)-MATCH($H$1,floors!$1:$1,0)+1,FALSE)</f>
        <v>60</v>
      </c>
      <c r="J5" s="3">
        <f ca="1">VLOOKUP($H5,OFFSET(floors!$A$1,0,0,COUNTA(floors!$A:$A),MATCH(J$1,floors!$1:$1,0)-MATCH($H$1,floors!$1:$1,0)+1),MATCH(J$1,floors!$1:$1,0)-MATCH($H$1,floors!$1:$1,0)+1,FALSE)</f>
        <v>60</v>
      </c>
      <c r="K5" s="35" t="s">
        <v>53</v>
      </c>
      <c r="L5" s="17">
        <v>76</v>
      </c>
      <c r="M5" s="14" t="str">
        <f ca="1">VLOOKUP($L5,OFFSET([3]enemies!$A$1,0,0,COUNTA([3]enemies!$A:$A),MATCH(M$1,[3]enemies!$1:$1,0)-MATCH($L$1,[3]enemies!$1:$1,0)+1),MATCH(M$1,[3]enemies!$1:$1,0)-MATCH($L$1,[3]enemies!$1:$1,0)+1,FALSE)</f>
        <v>閃速の伝令者 サンダーバード</v>
      </c>
      <c r="N5" s="14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4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4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4">
        <f ca="1">VLOOKUP($L5,OFFSET([3]enemies!$A$1,0,0,COUNTA([3]enemies!$A:$A),MATCH(Q$1,[3]enemies!$1:$1,0)-MATCH($L$1,[3]enemies!$1:$1,0)+1),MATCH(Q$1,[3]enemies!$1:$1,0)-MATCH($L$1,[3]enemies!$1:$1,0)+1,FALSE)</f>
        <v>30</v>
      </c>
      <c r="R5" s="4">
        <v>60</v>
      </c>
      <c r="S5" s="22">
        <v>1.3</v>
      </c>
      <c r="T5" s="22">
        <v>1</v>
      </c>
      <c r="U5" s="4">
        <v>0</v>
      </c>
      <c r="V5" s="3" t="str">
        <f ca="1">VLOOKUP($W5,OFFSET(enemy_skill_sets!$B$1,0,0,COUNTA(enemy_skill_sets!$B:$B),MATCH(M$1,enemy_skill_sets!$1:$1,0)-MATCH($W$1,enemy_skill_sets!$1:$1,0)+2),MATCH(M$1,enemy_skill_sets!$1:$1,0)-MATCH($W$1,enemy_skill_sets!$1:$1,0)+2,FALSE)</f>
        <v>敵全体の攻撃力がUP</v>
      </c>
      <c r="W5" s="133">
        <v>30030004</v>
      </c>
      <c r="X5" s="5">
        <v>1</v>
      </c>
      <c r="Y5" s="5">
        <v>100</v>
      </c>
      <c r="Z5" s="5">
        <v>0</v>
      </c>
      <c r="AA5" s="128">
        <v>3</v>
      </c>
      <c r="AB5" s="21">
        <f t="shared" si="4"/>
        <v>76</v>
      </c>
      <c r="AC5" s="3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閃速の伝令者 サンダーバード</v>
      </c>
      <c r="AD5" s="3">
        <f ca="1">VLOOKUP($AB5,OFFSET([4]characters!$A$1,0,0,COUNTA([4]characters!$A:$A),MATCH(AD$1,[4]characters!$1:$1,0)-MATCH("character_id",[4]characters!$1:$1,0)+1),MATCH(AD$1,[4]characters!$1:$1,0)-MATCH("character_id",[4]characters!$1:$1,0)+1,FALSE)</f>
        <v>4</v>
      </c>
      <c r="AE5" s="3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Drop1S</v>
      </c>
      <c r="AF5" s="6">
        <v>1</v>
      </c>
      <c r="AG5" s="21">
        <f t="shared" ca="1" si="3"/>
        <v>4</v>
      </c>
      <c r="AH5" s="7">
        <v>10</v>
      </c>
      <c r="AI5" s="6">
        <v>0</v>
      </c>
      <c r="AJ5" s="6">
        <v>0</v>
      </c>
      <c r="AK5" s="6">
        <v>0</v>
      </c>
      <c r="AL5" s="6">
        <v>0</v>
      </c>
      <c r="AM5" s="6">
        <v>1</v>
      </c>
      <c r="AN5" s="66">
        <v>1</v>
      </c>
    </row>
    <row r="6" spans="1:40" ht="21" customHeight="1" x14ac:dyDescent="0.15">
      <c r="A6" s="13" t="str">
        <f t="shared" si="0"/>
        <v>30030_3-3/76&lt;lv59&gt;s3</v>
      </c>
      <c r="B6" s="141">
        <v>30030</v>
      </c>
      <c r="C6" s="138">
        <v>3</v>
      </c>
      <c r="D6" s="1" t="str">
        <f t="shared" si="1"/>
        <v>30030_3</v>
      </c>
      <c r="E6" s="3" t="str">
        <f ca="1">VLOOKUP($B6,OFFSET([2]quests!$A$1,0,0,COUNTA([2]quests!$A:$A),MATCH(E$1,[2]quests!$1:$1,0)-MATCH($B$1,[2]quests!$1:$1,0)+1),MATCH(E$1,[2]quests!$1:$1,0)-MATCH($B$1,[2]quests!$1:$1,0)+1,FALSE)</f>
        <v>ここは誰の箱庭じゃ？</v>
      </c>
      <c r="F6" s="3" t="str">
        <f ca="1">VLOOKUP($D6,OFFSET([2]stages!$A$1,0,0,COUNTA([2]stages!$A:$A),MATCH(F$1,[2]stages!$2:$2,0)-MATCH($D$1,[2]stages!$2:$2,0)+1),MATCH(F$1,[2]stages!$2:$2,0)-MATCH($D$1,[2]stages!$2:$2,0)+1,FALSE)</f>
        <v>【超級】ここは誰の箱庭じゃ？</v>
      </c>
      <c r="G6" s="144">
        <v>3</v>
      </c>
      <c r="H6" s="12" t="str">
        <f t="shared" si="2"/>
        <v>30030_3-3</v>
      </c>
      <c r="I6" s="3">
        <f ca="1">VLOOKUP($H6,OFFSET(floors!$A$1,0,0,COUNTA(floors!$A:$A),MATCH(I$1,floors!$1:$1,0)-MATCH($H$1,floors!$1:$1,0)+1),MATCH(I$1,floors!$1:$1,0)-MATCH($H$1,floors!$1:$1,0)+1,FALSE)</f>
        <v>60</v>
      </c>
      <c r="J6" s="3">
        <f ca="1">VLOOKUP($H6,OFFSET(floors!$A$1,0,0,COUNTA(floors!$A:$A),MATCH(J$1,floors!$1:$1,0)-MATCH($H$1,floors!$1:$1,0)+1),MATCH(J$1,floors!$1:$1,0)-MATCH($H$1,floors!$1:$1,0)+1,FALSE)</f>
        <v>60</v>
      </c>
      <c r="K6" s="35" t="s">
        <v>53</v>
      </c>
      <c r="L6" s="17">
        <v>76</v>
      </c>
      <c r="M6" s="14" t="str">
        <f ca="1">VLOOKUP($L6,OFFSET([3]enemies!$A$1,0,0,COUNTA([3]enemies!$A:$A),MATCH(M$1,[3]enemies!$1:$1,0)-MATCH($L$1,[3]enemies!$1:$1,0)+1),MATCH(M$1,[3]enemies!$1:$1,0)-MATCH($L$1,[3]enemies!$1:$1,0)+1,FALSE)</f>
        <v>閃速の伝令者 サンダーバード</v>
      </c>
      <c r="N6" s="14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4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4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4">
        <f ca="1">VLOOKUP($L6,OFFSET([3]enemies!$A$1,0,0,COUNTA([3]enemies!$A:$A),MATCH(Q$1,[3]enemies!$1:$1,0)-MATCH($L$1,[3]enemies!$1:$1,0)+1),MATCH(Q$1,[3]enemies!$1:$1,0)-MATCH($L$1,[3]enemies!$1:$1,0)+1,FALSE)</f>
        <v>30</v>
      </c>
      <c r="R6" s="4">
        <v>59</v>
      </c>
      <c r="S6" s="22">
        <v>1.3</v>
      </c>
      <c r="T6" s="22">
        <v>1</v>
      </c>
      <c r="U6" s="4">
        <v>0</v>
      </c>
      <c r="V6" s="3" t="e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6" s="131">
        <v>30030005</v>
      </c>
      <c r="X6" s="5">
        <v>1</v>
      </c>
      <c r="Y6" s="5">
        <v>100</v>
      </c>
      <c r="Z6" s="5">
        <v>0</v>
      </c>
      <c r="AA6" s="128">
        <v>3</v>
      </c>
      <c r="AB6" s="21">
        <f t="shared" si="4"/>
        <v>76</v>
      </c>
      <c r="AC6" s="3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閃速の伝令者 サンダーバード</v>
      </c>
      <c r="AD6" s="3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3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Drop1S</v>
      </c>
      <c r="AF6" s="6">
        <v>1</v>
      </c>
      <c r="AG6" s="21">
        <f t="shared" ca="1" si="3"/>
        <v>4</v>
      </c>
      <c r="AH6" s="7">
        <v>10</v>
      </c>
      <c r="AI6" s="6">
        <v>0</v>
      </c>
      <c r="AJ6" s="6">
        <v>0</v>
      </c>
      <c r="AK6" s="6">
        <v>0</v>
      </c>
      <c r="AL6" s="6">
        <v>0</v>
      </c>
      <c r="AM6" s="6">
        <v>1</v>
      </c>
      <c r="AN6" s="66">
        <v>1</v>
      </c>
    </row>
    <row r="7" spans="1:40" ht="21" customHeight="1" x14ac:dyDescent="0.15">
      <c r="A7" s="13" t="str">
        <f t="shared" si="0"/>
        <v>30030_3-4/653&lt;lv60&gt;s2</v>
      </c>
      <c r="B7" s="141">
        <v>30030</v>
      </c>
      <c r="C7" s="138">
        <v>3</v>
      </c>
      <c r="D7" s="1" t="str">
        <f t="shared" si="1"/>
        <v>30030_3</v>
      </c>
      <c r="E7" s="3" t="str">
        <f ca="1">VLOOKUP($B7,OFFSET([2]quests!$A$1,0,0,COUNTA([2]quests!$A:$A),MATCH(E$1,[2]quests!$1:$1,0)-MATCH($B$1,[2]quests!$1:$1,0)+1),MATCH(E$1,[2]quests!$1:$1,0)-MATCH($B$1,[2]quests!$1:$1,0)+1,FALSE)</f>
        <v>ここは誰の箱庭じゃ？</v>
      </c>
      <c r="F7" s="3" t="str">
        <f ca="1">VLOOKUP($D7,OFFSET([2]stages!$A$1,0,0,COUNTA([2]stages!$A:$A),MATCH(F$1,[2]stages!$2:$2,0)-MATCH($D$1,[2]stages!$2:$2,0)+1),MATCH(F$1,[2]stages!$2:$2,0)-MATCH($D$1,[2]stages!$2:$2,0)+1,FALSE)</f>
        <v>【超級】ここは誰の箱庭じゃ？</v>
      </c>
      <c r="G7" s="143">
        <v>4</v>
      </c>
      <c r="H7" s="12" t="str">
        <f t="shared" si="2"/>
        <v>30030_3-4</v>
      </c>
      <c r="I7" s="3">
        <f ca="1">VLOOKUP($H7,OFFSET(floors!$A$1,0,0,COUNTA(floors!$A:$A),MATCH(I$1,floors!$1:$1,0)-MATCH($H$1,floors!$1:$1,0)+1),MATCH(I$1,floors!$1:$1,0)-MATCH($H$1,floors!$1:$1,0)+1,FALSE)</f>
        <v>60</v>
      </c>
      <c r="J7" s="3">
        <f ca="1">VLOOKUP($H7,OFFSET(floors!$A$1,0,0,COUNTA(floors!$A:$A),MATCH(J$1,floors!$1:$1,0)-MATCH($H$1,floors!$1:$1,0)+1),MATCH(J$1,floors!$1:$1,0)-MATCH($H$1,floors!$1:$1,0)+1,FALSE)</f>
        <v>60</v>
      </c>
      <c r="K7" s="35">
        <v>1</v>
      </c>
      <c r="L7" s="17">
        <v>653</v>
      </c>
      <c r="M7" s="14" t="str">
        <f ca="1">VLOOKUP($L7,OFFSET([3]enemies!$A$1,0,0,COUNTA([3]enemies!$A:$A),MATCH(M$1,[3]enemies!$1:$1,0)-MATCH($L$1,[3]enemies!$1:$1,0)+1),MATCH(M$1,[3]enemies!$1:$1,0)-MATCH($L$1,[3]enemies!$1:$1,0)+1,FALSE)</f>
        <v>悠久の狡蛇 アナンタ</v>
      </c>
      <c r="N7" s="14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4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4" t="str">
        <f ca="1">VLOOKUP($L7,OFFSET([3]enemies!$A$1,0,0,COUNTA([3]enemies!$A:$A),MATCH(P$1,[3]enemies!$1:$1,0)-MATCH($L$1,[3]enemies!$1:$1,0)+1),MATCH(P$1,[3]enemies!$1:$1,0)-MATCH($L$1,[3]enemies!$1:$1,0)+1,FALSE)</f>
        <v>dragon</v>
      </c>
      <c r="Q7" s="14">
        <f ca="1">VLOOKUP($L7,OFFSET([3]enemies!$A$1,0,0,COUNTA([3]enemies!$A:$A),MATCH(Q$1,[3]enemies!$1:$1,0)-MATCH($L$1,[3]enemies!$1:$1,0)+1),MATCH(Q$1,[3]enemies!$1:$1,0)-MATCH($L$1,[3]enemies!$1:$1,0)+1,FALSE)</f>
        <v>60</v>
      </c>
      <c r="R7" s="4">
        <v>60</v>
      </c>
      <c r="S7" s="22">
        <v>2</v>
      </c>
      <c r="T7" s="22">
        <v>0.7</v>
      </c>
      <c r="U7" s="4">
        <v>0</v>
      </c>
      <c r="V7" s="3" t="str">
        <f ca="1">VLOOKUP($W7,OFFSET(enemy_skill_sets!$B$1,0,0,COUNTA(enemy_skill_sets!$B:$B),MATCH(M$1,enemy_skill_sets!$1:$1,0)-MATCH($W$1,enemy_skill_sets!$1:$1,0)+2),MATCH(M$1,enemy_skill_sets!$1:$1,0)-MATCH($W$1,enemy_skill_sets!$1:$1,0)+2,FALSE)</f>
        <v>ランダムで8個プロテクト</v>
      </c>
      <c r="W7" s="133">
        <v>30030006</v>
      </c>
      <c r="X7" s="5">
        <v>1</v>
      </c>
      <c r="Y7" s="5">
        <v>100</v>
      </c>
      <c r="Z7" s="5">
        <v>1</v>
      </c>
      <c r="AA7" s="128">
        <v>2</v>
      </c>
      <c r="AB7" s="135">
        <v>652</v>
      </c>
      <c r="AC7" s="3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アナンタ</v>
      </c>
      <c r="AD7" s="3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3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Drop2N</v>
      </c>
      <c r="AF7" s="6">
        <v>1</v>
      </c>
      <c r="AG7" s="21">
        <f t="shared" ca="1" si="3"/>
        <v>4</v>
      </c>
      <c r="AH7" s="7">
        <v>100</v>
      </c>
      <c r="AI7" s="6">
        <v>0</v>
      </c>
      <c r="AJ7" s="6">
        <v>0</v>
      </c>
      <c r="AK7" s="6">
        <v>0</v>
      </c>
      <c r="AL7" s="6">
        <v>0</v>
      </c>
      <c r="AM7" s="6">
        <v>1</v>
      </c>
      <c r="AN7" s="66">
        <v>1</v>
      </c>
    </row>
    <row r="8" spans="1:40" ht="21" customHeight="1" x14ac:dyDescent="0.15">
      <c r="A8" s="13" t="str">
        <f t="shared" ref="A8:A12" si="5">B8&amp;"_"&amp;C8&amp;"-"&amp;G8&amp;"/"&amp;L8&amp;"&lt;lv"&amp;R8&amp;"&gt;s"&amp;AA8</f>
        <v>30030_2-1/48&lt;lv40&gt;s2</v>
      </c>
      <c r="B8" s="141">
        <v>30030</v>
      </c>
      <c r="C8" s="139">
        <v>2</v>
      </c>
      <c r="D8" s="1" t="str">
        <f t="shared" ref="D8:D12" si="6">B8&amp;"_"&amp;C8</f>
        <v>30030_2</v>
      </c>
      <c r="E8" s="3" t="str">
        <f ca="1">VLOOKUP($B8,OFFSET([2]quests!$A$1,0,0,COUNTA([2]quests!$A:$A),MATCH(E$1,[2]quests!$1:$1,0)-MATCH($B$1,[2]quests!$1:$1,0)+1),MATCH(E$1,[2]quests!$1:$1,0)-MATCH($B$1,[2]quests!$1:$1,0)+1,FALSE)</f>
        <v>ここは誰の箱庭じゃ？</v>
      </c>
      <c r="F8" s="3" t="str">
        <f ca="1">VLOOKUP($D8,OFFSET([2]stages!$A$1,0,0,COUNTA([2]stages!$A:$A),MATCH(F$1,[2]stages!$2:$2,0)-MATCH($D$1,[2]stages!$2:$2,0)+1),MATCH(F$1,[2]stages!$2:$2,0)-MATCH($D$1,[2]stages!$2:$2,0)+1,FALSE)</f>
        <v>【上級】ここは誰の箱庭じゃ？</v>
      </c>
      <c r="G8" s="145">
        <v>1</v>
      </c>
      <c r="H8" s="12" t="str">
        <f t="shared" ref="H8:H12" si="7">B8&amp;"_"&amp;C8&amp;"-"&amp;G8</f>
        <v>30030_2-1</v>
      </c>
      <c r="I8" s="3">
        <f ca="1">VLOOKUP($H8,OFFSET(floors!$A$1,0,0,COUNTA(floors!$A:$A),MATCH(I$1,floors!$1:$1,0)-MATCH($H$1,floors!$1:$1,0)+1),MATCH(I$1,floors!$1:$1,0)-MATCH($H$1,floors!$1:$1,0)+1,FALSE)</f>
        <v>40</v>
      </c>
      <c r="J8" s="3">
        <f ca="1">VLOOKUP($H8,OFFSET(floors!$A$1,0,0,COUNTA(floors!$A:$A),MATCH(J$1,floors!$1:$1,0)-MATCH($H$1,floors!$1:$1,0)+1),MATCH(J$1,floors!$1:$1,0)-MATCH($H$1,floors!$1:$1,0)+1,FALSE)</f>
        <v>40</v>
      </c>
      <c r="K8" s="35" t="s">
        <v>53</v>
      </c>
      <c r="L8" s="17">
        <v>48</v>
      </c>
      <c r="M8" s="14" t="str">
        <f ca="1">VLOOKUP($L8,OFFSET([3]enemies!$A$1,0,0,COUNTA([3]enemies!$A:$A),MATCH(M$1,[3]enemies!$1:$1,0)-MATCH($L$1,[3]enemies!$1:$1,0)+1),MATCH(M$1,[3]enemies!$1:$1,0)-MATCH($L$1,[3]enemies!$1:$1,0)+1,FALSE)</f>
        <v>サンダーステップのヒロ</v>
      </c>
      <c r="N8" s="14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4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4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4">
        <f ca="1">VLOOKUP($L8,OFFSET([3]enemies!$A$1,0,0,COUNTA([3]enemies!$A:$A),MATCH(Q$1,[3]enemies!$1:$1,0)-MATCH($L$1,[3]enemies!$1:$1,0)+1),MATCH(Q$1,[3]enemies!$1:$1,0)-MATCH($L$1,[3]enemies!$1:$1,0)+1,FALSE)</f>
        <v>20</v>
      </c>
      <c r="R8" s="4">
        <v>40</v>
      </c>
      <c r="S8" s="22">
        <v>1</v>
      </c>
      <c r="T8" s="22">
        <v>1</v>
      </c>
      <c r="U8" s="4">
        <v>0</v>
      </c>
      <c r="V8" s="3" t="e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8" s="131">
        <v>30030001</v>
      </c>
      <c r="X8" s="5">
        <v>1</v>
      </c>
      <c r="Y8" s="5">
        <v>100</v>
      </c>
      <c r="Z8" s="5">
        <v>0</v>
      </c>
      <c r="AA8" s="128">
        <v>2</v>
      </c>
      <c r="AB8" s="135">
        <v>47</v>
      </c>
      <c r="AC8" s="3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ヒロ</v>
      </c>
      <c r="AD8" s="3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3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Drop1N</v>
      </c>
      <c r="AF8" s="6">
        <v>1</v>
      </c>
      <c r="AG8" s="21">
        <f t="shared" ref="AG8:AG12" ca="1" si="8">AD8</f>
        <v>2</v>
      </c>
      <c r="AH8" s="7">
        <v>20</v>
      </c>
      <c r="AI8" s="6">
        <v>0</v>
      </c>
      <c r="AJ8" s="6">
        <v>0</v>
      </c>
      <c r="AK8" s="6">
        <v>0</v>
      </c>
      <c r="AL8" s="6">
        <v>0</v>
      </c>
      <c r="AM8" s="6">
        <v>1</v>
      </c>
      <c r="AN8" s="66">
        <v>1</v>
      </c>
    </row>
    <row r="9" spans="1:40" ht="21" customHeight="1" x14ac:dyDescent="0.15">
      <c r="A9" s="13" t="str">
        <f t="shared" si="5"/>
        <v>30030_2-1/56&lt;lv40&gt;s5</v>
      </c>
      <c r="B9" s="141">
        <v>30030</v>
      </c>
      <c r="C9" s="139">
        <v>2</v>
      </c>
      <c r="D9" s="1" t="str">
        <f t="shared" si="6"/>
        <v>30030_2</v>
      </c>
      <c r="E9" s="3" t="str">
        <f ca="1">VLOOKUP($B9,OFFSET([2]quests!$A$1,0,0,COUNTA([2]quests!$A:$A),MATCH(E$1,[2]quests!$1:$1,0)-MATCH($B$1,[2]quests!$1:$1,0)+1),MATCH(E$1,[2]quests!$1:$1,0)-MATCH($B$1,[2]quests!$1:$1,0)+1,FALSE)</f>
        <v>ここは誰の箱庭じゃ？</v>
      </c>
      <c r="F9" s="3" t="str">
        <f ca="1">VLOOKUP($D9,OFFSET([2]stages!$A$1,0,0,COUNTA([2]stages!$A:$A),MATCH(F$1,[2]stages!$2:$2,0)-MATCH($D$1,[2]stages!$2:$2,0)+1),MATCH(F$1,[2]stages!$2:$2,0)-MATCH($D$1,[2]stages!$2:$2,0)+1,FALSE)</f>
        <v>【上級】ここは誰の箱庭じゃ？</v>
      </c>
      <c r="G9" s="145">
        <v>1</v>
      </c>
      <c r="H9" s="12" t="str">
        <f t="shared" si="7"/>
        <v>30030_2-1</v>
      </c>
      <c r="I9" s="3">
        <f ca="1">VLOOKUP($H9,OFFSET(floors!$A$1,0,0,COUNTA(floors!$A:$A),MATCH(I$1,floors!$1:$1,0)-MATCH($H$1,floors!$1:$1,0)+1),MATCH(I$1,floors!$1:$1,0)-MATCH($H$1,floors!$1:$1,0)+1,FALSE)</f>
        <v>40</v>
      </c>
      <c r="J9" s="3">
        <f ca="1">VLOOKUP($H9,OFFSET(floors!$A$1,0,0,COUNTA(floors!$A:$A),MATCH(J$1,floors!$1:$1,0)-MATCH($H$1,floors!$1:$1,0)+1),MATCH(J$1,floors!$1:$1,0)-MATCH($H$1,floors!$1:$1,0)+1,FALSE)</f>
        <v>40</v>
      </c>
      <c r="K9" s="35" t="s">
        <v>53</v>
      </c>
      <c r="L9" s="17">
        <v>56</v>
      </c>
      <c r="M9" s="14" t="str">
        <f ca="1">VLOOKUP($L9,OFFSET([3]enemies!$A$1,0,0,COUNTA([3]enemies!$A:$A),MATCH(M$1,[3]enemies!$1:$1,0)-MATCH($L$1,[3]enemies!$1:$1,0)+1),MATCH(M$1,[3]enemies!$1:$1,0)-MATCH($L$1,[3]enemies!$1:$1,0)+1,FALSE)</f>
        <v>黄槌のレジスタンス マミコ</v>
      </c>
      <c r="N9" s="14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4" t="str">
        <f ca="1">VLOOKUP($L9,OFFSET([4]characters!$A$1,0,0,COUNTA([4]characters!$A:$A),MATCH(O$1,[4]characters!$1:$1,0)-MATCH($L$1,[4]characters!$1:$1,0)+1),MATCH(O$1,[4]characters!$1:$1,0)-MATCH($L$1,[4]characters!$1:$1,0)+1,FALSE)</f>
        <v>Drop1N</v>
      </c>
      <c r="P9" s="14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4">
        <f ca="1">VLOOKUP($L9,OFFSET([3]enemies!$A$1,0,0,COUNTA([3]enemies!$A:$A),MATCH(Q$1,[3]enemies!$1:$1,0)-MATCH($L$1,[3]enemies!$1:$1,0)+1),MATCH(Q$1,[3]enemies!$1:$1,0)-MATCH($L$1,[3]enemies!$1:$1,0)+1,FALSE)</f>
        <v>20</v>
      </c>
      <c r="R9" s="4">
        <v>40</v>
      </c>
      <c r="S9" s="22">
        <v>1</v>
      </c>
      <c r="T9" s="22">
        <v>1</v>
      </c>
      <c r="U9" s="4">
        <v>0</v>
      </c>
      <c r="V9" s="3" t="str">
        <f ca="1">VLOOKUP($W9,OFFSET(enemy_skill_sets!$B$1,0,0,COUNTA(enemy_skill_sets!$B:$B),MATCH(M$1,enemy_skill_sets!$1:$1,0)-MATCH($W$1,enemy_skill_sets!$1:$1,0)+2),MATCH(M$1,enemy_skill_sets!$1:$1,0)-MATCH($W$1,enemy_skill_sets!$1:$1,0)+2,FALSE)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9" s="131">
        <v>30030002</v>
      </c>
      <c r="X9" s="5">
        <v>1</v>
      </c>
      <c r="Y9" s="5">
        <v>100</v>
      </c>
      <c r="Z9" s="5">
        <v>0</v>
      </c>
      <c r="AA9" s="128">
        <v>5</v>
      </c>
      <c r="AB9" s="135">
        <v>55</v>
      </c>
      <c r="AC9" s="3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マミコ</v>
      </c>
      <c r="AD9" s="3">
        <f ca="1">VLOOKUP($AB9,OFFSET([4]characters!$A$1,0,0,COUNTA([4]characters!$A:$A),MATCH(AD$1,[4]characters!$1:$1,0)-MATCH("character_id",[4]characters!$1:$1,0)+1),MATCH(AD$1,[4]characters!$1:$1,0)-MATCH("character_id",[4]characters!$1:$1,0)+1,FALSE)</f>
        <v>2</v>
      </c>
      <c r="AE9" s="3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Drop1N</v>
      </c>
      <c r="AF9" s="6">
        <v>1</v>
      </c>
      <c r="AG9" s="21">
        <f t="shared" ca="1" si="8"/>
        <v>2</v>
      </c>
      <c r="AH9" s="7">
        <v>20</v>
      </c>
      <c r="AI9" s="6">
        <v>0</v>
      </c>
      <c r="AJ9" s="6">
        <v>0</v>
      </c>
      <c r="AK9" s="6">
        <v>0</v>
      </c>
      <c r="AL9" s="6">
        <v>0</v>
      </c>
      <c r="AM9" s="6">
        <v>1</v>
      </c>
      <c r="AN9" s="66">
        <v>1</v>
      </c>
    </row>
    <row r="10" spans="1:40" ht="21" customHeight="1" x14ac:dyDescent="0.15">
      <c r="A10" s="13" t="str">
        <f t="shared" si="5"/>
        <v>30030_2-2/75&lt;lv40&gt;s3</v>
      </c>
      <c r="B10" s="141">
        <v>30030</v>
      </c>
      <c r="C10" s="139">
        <v>2</v>
      </c>
      <c r="D10" s="1" t="str">
        <f t="shared" si="6"/>
        <v>30030_2</v>
      </c>
      <c r="E10" s="3" t="str">
        <f ca="1">VLOOKUP($B10,OFFSET([2]quests!$A$1,0,0,COUNTA([2]quests!$A:$A),MATCH(E$1,[2]quests!$1:$1,0)-MATCH($B$1,[2]quests!$1:$1,0)+1),MATCH(E$1,[2]quests!$1:$1,0)-MATCH($B$1,[2]quests!$1:$1,0)+1,FALSE)</f>
        <v>ここは誰の箱庭じゃ？</v>
      </c>
      <c r="F10" s="3" t="str">
        <f ca="1">VLOOKUP($D10,OFFSET([2]stages!$A$1,0,0,COUNTA([2]stages!$A:$A),MATCH(F$1,[2]stages!$2:$2,0)-MATCH($D$1,[2]stages!$2:$2,0)+1),MATCH(F$1,[2]stages!$2:$2,0)-MATCH($D$1,[2]stages!$2:$2,0)+1,FALSE)</f>
        <v>【上級】ここは誰の箱庭じゃ？</v>
      </c>
      <c r="G10" s="144">
        <v>2</v>
      </c>
      <c r="H10" s="12" t="str">
        <f t="shared" si="7"/>
        <v>30030_2-2</v>
      </c>
      <c r="I10" s="3">
        <f ca="1">VLOOKUP($H10,OFFSET(floors!$A$1,0,0,COUNTA(floors!$A:$A),MATCH(I$1,floors!$1:$1,0)-MATCH($H$1,floors!$1:$1,0)+1),MATCH(I$1,floors!$1:$1,0)-MATCH($H$1,floors!$1:$1,0)+1,FALSE)</f>
        <v>40</v>
      </c>
      <c r="J10" s="3">
        <f ca="1">VLOOKUP($H10,OFFSET(floors!$A$1,0,0,COUNTA(floors!$A:$A),MATCH(J$1,floors!$1:$1,0)-MATCH($H$1,floors!$1:$1,0)+1),MATCH(J$1,floors!$1:$1,0)-MATCH($H$1,floors!$1:$1,0)+1,FALSE)</f>
        <v>40</v>
      </c>
      <c r="K10" s="35" t="s">
        <v>53</v>
      </c>
      <c r="L10" s="17">
        <v>75</v>
      </c>
      <c r="M10" s="14" t="str">
        <f ca="1">VLOOKUP($L10,OFFSET([3]enemies!$A$1,0,0,COUNTA([3]enemies!$A:$A),MATCH(M$1,[3]enemies!$1:$1,0)-MATCH($L$1,[3]enemies!$1:$1,0)+1),MATCH(M$1,[3]enemies!$1:$1,0)-MATCH($L$1,[3]enemies!$1:$1,0)+1,FALSE)</f>
        <v>伝令者 サンダーバード</v>
      </c>
      <c r="N10" s="14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4" t="str">
        <f ca="1">VLOOKUP($L10,OFFSET([4]characters!$A$1,0,0,COUNTA([4]characters!$A:$A),MATCH(O$1,[4]characters!$1:$1,0)-MATCH($L$1,[4]characters!$1:$1,0)+1),MATCH(O$1,[4]characters!$1:$1,0)-MATCH($L$1,[4]characters!$1:$1,0)+1,FALSE)</f>
        <v>Drop1S</v>
      </c>
      <c r="P10" s="14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4">
        <f ca="1">VLOOKUP($L10,OFFSET([3]enemies!$A$1,0,0,COUNTA([3]enemies!$A:$A),MATCH(Q$1,[3]enemies!$1:$1,0)-MATCH($L$1,[3]enemies!$1:$1,0)+1),MATCH(Q$1,[3]enemies!$1:$1,0)-MATCH($L$1,[3]enemies!$1:$1,0)+1,FALSE)</f>
        <v>20</v>
      </c>
      <c r="R10" s="4">
        <v>40</v>
      </c>
      <c r="S10" s="22">
        <v>1.4</v>
      </c>
      <c r="T10" s="22">
        <v>1.1000000000000001</v>
      </c>
      <c r="U10" s="4">
        <v>0</v>
      </c>
      <c r="V10" s="3" t="str">
        <f ca="1">VLOOKUP($W10,OFFSET(enemy_skill_sets!$B$1,0,0,COUNTA(enemy_skill_sets!$B:$B),MATCH(M$1,enemy_skill_sets!$1:$1,0)-MATCH($W$1,enemy_skill_sets!$1:$1,0)+2),MATCH(M$1,enemy_skill_sets!$1:$1,0)-MATCH($W$1,enemy_skill_sets!$1:$1,0)+2,FALSE)</f>
        <v>敵全体の攻撃力がUP</v>
      </c>
      <c r="W10" s="133">
        <v>30030008</v>
      </c>
      <c r="X10" s="5">
        <v>1</v>
      </c>
      <c r="Y10" s="5">
        <v>100</v>
      </c>
      <c r="Z10" s="5">
        <v>0</v>
      </c>
      <c r="AA10" s="128">
        <v>3</v>
      </c>
      <c r="AB10" s="21">
        <f t="shared" ref="AB10:AB12" si="9">L10</f>
        <v>75</v>
      </c>
      <c r="AC10" s="3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伝令者 サンダーバード</v>
      </c>
      <c r="AD10" s="3">
        <f ca="1">VLOOKUP($AB10,OFFSET([4]characters!$A$1,0,0,COUNTA([4]characters!$A:$A),MATCH(AD$1,[4]characters!$1:$1,0)-MATCH("character_id",[4]characters!$1:$1,0)+1),MATCH(AD$1,[4]characters!$1:$1,0)-MATCH("character_id",[4]characters!$1:$1,0)+1,FALSE)</f>
        <v>3</v>
      </c>
      <c r="AE10" s="3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Drop1S</v>
      </c>
      <c r="AF10" s="6">
        <v>1</v>
      </c>
      <c r="AG10" s="21">
        <f t="shared" ca="1" si="8"/>
        <v>3</v>
      </c>
      <c r="AH10" s="7">
        <v>10</v>
      </c>
      <c r="AI10" s="6">
        <v>0</v>
      </c>
      <c r="AJ10" s="6">
        <v>0</v>
      </c>
      <c r="AK10" s="6">
        <v>0</v>
      </c>
      <c r="AL10" s="6">
        <v>0</v>
      </c>
      <c r="AM10" s="6">
        <v>1</v>
      </c>
      <c r="AN10" s="66">
        <v>1</v>
      </c>
    </row>
    <row r="11" spans="1:40" ht="21" customHeight="1" x14ac:dyDescent="0.15">
      <c r="A11" s="13" t="str">
        <f t="shared" si="5"/>
        <v>30030_2-2/75&lt;lv39&gt;s3</v>
      </c>
      <c r="B11" s="141">
        <v>30030</v>
      </c>
      <c r="C11" s="139">
        <v>2</v>
      </c>
      <c r="D11" s="1" t="str">
        <f t="shared" si="6"/>
        <v>30030_2</v>
      </c>
      <c r="E11" s="3" t="str">
        <f ca="1">VLOOKUP($B11,OFFSET([2]quests!$A$1,0,0,COUNTA([2]quests!$A:$A),MATCH(E$1,[2]quests!$1:$1,0)-MATCH($B$1,[2]quests!$1:$1,0)+1),MATCH(E$1,[2]quests!$1:$1,0)-MATCH($B$1,[2]quests!$1:$1,0)+1,FALSE)</f>
        <v>ここは誰の箱庭じゃ？</v>
      </c>
      <c r="F11" s="3" t="str">
        <f ca="1">VLOOKUP($D11,OFFSET([2]stages!$A$1,0,0,COUNTA([2]stages!$A:$A),MATCH(F$1,[2]stages!$2:$2,0)-MATCH($D$1,[2]stages!$2:$2,0)+1),MATCH(F$1,[2]stages!$2:$2,0)-MATCH($D$1,[2]stages!$2:$2,0)+1,FALSE)</f>
        <v>【上級】ここは誰の箱庭じゃ？</v>
      </c>
      <c r="G11" s="144">
        <v>2</v>
      </c>
      <c r="H11" s="12" t="str">
        <f t="shared" si="7"/>
        <v>30030_2-2</v>
      </c>
      <c r="I11" s="3">
        <f ca="1">VLOOKUP($H11,OFFSET(floors!$A$1,0,0,COUNTA(floors!$A:$A),MATCH(I$1,floors!$1:$1,0)-MATCH($H$1,floors!$1:$1,0)+1),MATCH(I$1,floors!$1:$1,0)-MATCH($H$1,floors!$1:$1,0)+1,FALSE)</f>
        <v>40</v>
      </c>
      <c r="J11" s="3">
        <f ca="1">VLOOKUP($H11,OFFSET(floors!$A$1,0,0,COUNTA(floors!$A:$A),MATCH(J$1,floors!$1:$1,0)-MATCH($H$1,floors!$1:$1,0)+1),MATCH(J$1,floors!$1:$1,0)-MATCH($H$1,floors!$1:$1,0)+1,FALSE)</f>
        <v>40</v>
      </c>
      <c r="K11" s="35" t="s">
        <v>53</v>
      </c>
      <c r="L11" s="17">
        <v>75</v>
      </c>
      <c r="M11" s="14" t="str">
        <f ca="1">VLOOKUP($L11,OFFSET([3]enemies!$A$1,0,0,COUNTA([3]enemies!$A:$A),MATCH(M$1,[3]enemies!$1:$1,0)-MATCH($L$1,[3]enemies!$1:$1,0)+1),MATCH(M$1,[3]enemies!$1:$1,0)-MATCH($L$1,[3]enemies!$1:$1,0)+1,FALSE)</f>
        <v>伝令者 サンダーバード</v>
      </c>
      <c r="N11" s="14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4" t="str">
        <f ca="1">VLOOKUP($L11,OFFSET([4]characters!$A$1,0,0,COUNTA([4]characters!$A:$A),MATCH(O$1,[4]characters!$1:$1,0)-MATCH($L$1,[4]characters!$1:$1,0)+1),MATCH(O$1,[4]characters!$1:$1,0)-MATCH($L$1,[4]characters!$1:$1,0)+1,FALSE)</f>
        <v>Drop1S</v>
      </c>
      <c r="P11" s="14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4">
        <f ca="1">VLOOKUP($L11,OFFSET([3]enemies!$A$1,0,0,COUNTA([3]enemies!$A:$A),MATCH(Q$1,[3]enemies!$1:$1,0)-MATCH($L$1,[3]enemies!$1:$1,0)+1),MATCH(Q$1,[3]enemies!$1:$1,0)-MATCH($L$1,[3]enemies!$1:$1,0)+1,FALSE)</f>
        <v>20</v>
      </c>
      <c r="R11" s="4">
        <v>39</v>
      </c>
      <c r="S11" s="22">
        <v>1.4</v>
      </c>
      <c r="T11" s="22">
        <v>1.1000000000000001</v>
      </c>
      <c r="U11" s="4">
        <v>0</v>
      </c>
      <c r="V11" s="3" t="e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1" s="131">
        <v>30030009</v>
      </c>
      <c r="X11" s="5">
        <v>1</v>
      </c>
      <c r="Y11" s="5">
        <v>100</v>
      </c>
      <c r="Z11" s="5">
        <v>0</v>
      </c>
      <c r="AA11" s="128">
        <v>3</v>
      </c>
      <c r="AB11" s="21">
        <f t="shared" si="9"/>
        <v>75</v>
      </c>
      <c r="AC11" s="3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伝令者 サンダーバード</v>
      </c>
      <c r="AD11" s="3">
        <f ca="1">VLOOKUP($AB11,OFFSET([4]characters!$A$1,0,0,COUNTA([4]characters!$A:$A),MATCH(AD$1,[4]characters!$1:$1,0)-MATCH("character_id",[4]characters!$1:$1,0)+1),MATCH(AD$1,[4]characters!$1:$1,0)-MATCH("character_id",[4]characters!$1:$1,0)+1,FALSE)</f>
        <v>3</v>
      </c>
      <c r="AE11" s="3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Drop1S</v>
      </c>
      <c r="AF11" s="6">
        <v>1</v>
      </c>
      <c r="AG11" s="21">
        <f t="shared" ca="1" si="8"/>
        <v>3</v>
      </c>
      <c r="AH11" s="7">
        <v>10</v>
      </c>
      <c r="AI11" s="6">
        <v>0</v>
      </c>
      <c r="AJ11" s="6">
        <v>0</v>
      </c>
      <c r="AK11" s="6">
        <v>0</v>
      </c>
      <c r="AL11" s="6">
        <v>0</v>
      </c>
      <c r="AM11" s="6">
        <v>1</v>
      </c>
      <c r="AN11" s="66">
        <v>1</v>
      </c>
    </row>
    <row r="12" spans="1:40" ht="21" customHeight="1" x14ac:dyDescent="0.15">
      <c r="A12" s="13" t="str">
        <f t="shared" si="5"/>
        <v>30030_2-3/652&lt;lv40&gt;s2</v>
      </c>
      <c r="B12" s="141">
        <v>30030</v>
      </c>
      <c r="C12" s="139">
        <v>2</v>
      </c>
      <c r="D12" s="1" t="str">
        <f t="shared" si="6"/>
        <v>30030_2</v>
      </c>
      <c r="E12" s="3" t="str">
        <f ca="1">VLOOKUP($B12,OFFSET([2]quests!$A$1,0,0,COUNTA([2]quests!$A:$A),MATCH(E$1,[2]quests!$1:$1,0)-MATCH($B$1,[2]quests!$1:$1,0)+1),MATCH(E$1,[2]quests!$1:$1,0)-MATCH($B$1,[2]quests!$1:$1,0)+1,FALSE)</f>
        <v>ここは誰の箱庭じゃ？</v>
      </c>
      <c r="F12" s="3" t="str">
        <f ca="1">VLOOKUP($D12,OFFSET([2]stages!$A$1,0,0,COUNTA([2]stages!$A:$A),MATCH(F$1,[2]stages!$2:$2,0)-MATCH($D$1,[2]stages!$2:$2,0)+1),MATCH(F$1,[2]stages!$2:$2,0)-MATCH($D$1,[2]stages!$2:$2,0)+1,FALSE)</f>
        <v>【上級】ここは誰の箱庭じゃ？</v>
      </c>
      <c r="G12" s="143">
        <v>3</v>
      </c>
      <c r="H12" s="12" t="str">
        <f t="shared" si="7"/>
        <v>30030_2-3</v>
      </c>
      <c r="I12" s="3">
        <f ca="1">VLOOKUP($H12,OFFSET(floors!$A$1,0,0,COUNTA(floors!$A:$A),MATCH(I$1,floors!$1:$1,0)-MATCH($H$1,floors!$1:$1,0)+1),MATCH(I$1,floors!$1:$1,0)-MATCH($H$1,floors!$1:$1,0)+1,FALSE)</f>
        <v>60</v>
      </c>
      <c r="J12" s="3">
        <f ca="1">VLOOKUP($H12,OFFSET(floors!$A$1,0,0,COUNTA(floors!$A:$A),MATCH(J$1,floors!$1:$1,0)-MATCH($H$1,floors!$1:$1,0)+1),MATCH(J$1,floors!$1:$1,0)-MATCH($H$1,floors!$1:$1,0)+1,FALSE)</f>
        <v>60</v>
      </c>
      <c r="K12" s="35">
        <v>2</v>
      </c>
      <c r="L12" s="17">
        <v>652</v>
      </c>
      <c r="M12" s="14" t="str">
        <f ca="1">VLOOKUP($L12,OFFSET([3]enemies!$A$1,0,0,COUNTA([3]enemies!$A:$A),MATCH(M$1,[3]enemies!$1:$1,0)-MATCH($L$1,[3]enemies!$1:$1,0)+1),MATCH(M$1,[3]enemies!$1:$1,0)-MATCH($L$1,[3]enemies!$1:$1,0)+1,FALSE)</f>
        <v>アナンタ</v>
      </c>
      <c r="N12" s="14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4" t="str">
        <f ca="1">VLOOKUP($L12,OFFSET([4]characters!$A$1,0,0,COUNTA([4]characters!$A:$A),MATCH(O$1,[4]characters!$1:$1,0)-MATCH($L$1,[4]characters!$1:$1,0)+1),MATCH(O$1,[4]characters!$1:$1,0)-MATCH($L$1,[4]characters!$1:$1,0)+1,FALSE)</f>
        <v>Drop2N</v>
      </c>
      <c r="P12" s="14" t="str">
        <f ca="1">VLOOKUP($L12,OFFSET([3]enemies!$A$1,0,0,COUNTA([3]enemies!$A:$A),MATCH(P$1,[3]enemies!$1:$1,0)-MATCH($L$1,[3]enemies!$1:$1,0)+1),MATCH(P$1,[3]enemies!$1:$1,0)-MATCH($L$1,[3]enemies!$1:$1,0)+1,FALSE)</f>
        <v>dragon</v>
      </c>
      <c r="Q12" s="14">
        <f ca="1">VLOOKUP($L12,OFFSET([3]enemies!$A$1,0,0,COUNTA([3]enemies!$A:$A),MATCH(Q$1,[3]enemies!$1:$1,0)-MATCH($L$1,[3]enemies!$1:$1,0)+1),MATCH(Q$1,[3]enemies!$1:$1,0)-MATCH($L$1,[3]enemies!$1:$1,0)+1,FALSE)</f>
        <v>30</v>
      </c>
      <c r="R12" s="4">
        <v>40</v>
      </c>
      <c r="S12" s="22">
        <v>2.2000000000000002</v>
      </c>
      <c r="T12" s="22">
        <v>0.8</v>
      </c>
      <c r="U12" s="4">
        <v>0</v>
      </c>
      <c r="V12" s="3" t="str">
        <f ca="1">VLOOKUP($W12,OFFSET(enemy_skill_sets!$B$1,0,0,COUNTA(enemy_skill_sets!$B:$B),MATCH(M$1,enemy_skill_sets!$1:$1,0)-MATCH($W$1,enemy_skill_sets!$1:$1,0)+2),MATCH(M$1,enemy_skill_sets!$1:$1,0)-MATCH($W$1,enemy_skill_sets!$1:$1,0)+2,FALSE)</f>
        <v>ランダムで8個プロテクト</v>
      </c>
      <c r="W12" s="133">
        <v>30030006</v>
      </c>
      <c r="X12" s="5">
        <v>1</v>
      </c>
      <c r="Y12" s="5">
        <v>100</v>
      </c>
      <c r="Z12" s="5">
        <v>1</v>
      </c>
      <c r="AA12" s="128">
        <v>2</v>
      </c>
      <c r="AB12" s="21">
        <f t="shared" si="9"/>
        <v>652</v>
      </c>
      <c r="AC12" s="3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アナンタ</v>
      </c>
      <c r="AD12" s="3">
        <f ca="1">VLOOKUP($AB12,OFFSET([4]characters!$A$1,0,0,COUNTA([4]characters!$A:$A),MATCH(AD$1,[4]characters!$1:$1,0)-MATCH("character_id",[4]characters!$1:$1,0)+1),MATCH(AD$1,[4]characters!$1:$1,0)-MATCH("character_id",[4]characters!$1:$1,0)+1,FALSE)</f>
        <v>4</v>
      </c>
      <c r="AE12" s="3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Drop2N</v>
      </c>
      <c r="AF12" s="6">
        <v>1</v>
      </c>
      <c r="AG12" s="21">
        <f t="shared" ca="1" si="8"/>
        <v>4</v>
      </c>
      <c r="AH12" s="7">
        <v>50</v>
      </c>
      <c r="AI12" s="6">
        <v>0</v>
      </c>
      <c r="AJ12" s="6">
        <v>0</v>
      </c>
      <c r="AK12" s="6">
        <v>0</v>
      </c>
      <c r="AL12" s="6">
        <v>0</v>
      </c>
      <c r="AM12" s="6">
        <v>1</v>
      </c>
      <c r="AN12" s="66">
        <v>1</v>
      </c>
    </row>
    <row r="13" spans="1:40" ht="21" customHeight="1" x14ac:dyDescent="0.15">
      <c r="A13" s="13" t="str">
        <f t="shared" ref="A13:A17" si="10">B13&amp;"_"&amp;C13&amp;"-"&amp;G13&amp;"/"&amp;L13&amp;"&lt;lv"&amp;R13&amp;"&gt;s"&amp;AA13</f>
        <v>30030_1-1/47&lt;lv30&gt;s2</v>
      </c>
      <c r="B13" s="141">
        <v>30030</v>
      </c>
      <c r="C13" s="140">
        <v>1</v>
      </c>
      <c r="D13" s="1" t="str">
        <f t="shared" ref="D13:D17" si="11">B13&amp;"_"&amp;C13</f>
        <v>30030_1</v>
      </c>
      <c r="E13" s="3" t="str">
        <f ca="1">VLOOKUP($B13,OFFSET([2]quests!$A$1,0,0,COUNTA([2]quests!$A:$A),MATCH(E$1,[2]quests!$1:$1,0)-MATCH($B$1,[2]quests!$1:$1,0)+1),MATCH(E$1,[2]quests!$1:$1,0)-MATCH($B$1,[2]quests!$1:$1,0)+1,FALSE)</f>
        <v>ここは誰の箱庭じゃ？</v>
      </c>
      <c r="F13" s="3" t="str">
        <f ca="1">VLOOKUP($D13,OFFSET([2]stages!$A$1,0,0,COUNTA([2]stages!$A:$A),MATCH(F$1,[2]stages!$2:$2,0)-MATCH($D$1,[2]stages!$2:$2,0)+1),MATCH(F$1,[2]stages!$2:$2,0)-MATCH($D$1,[2]stages!$2:$2,0)+1,FALSE)</f>
        <v>【中級】ここは誰の箱庭じゃ？</v>
      </c>
      <c r="G13" s="145">
        <v>1</v>
      </c>
      <c r="H13" s="12" t="str">
        <f t="shared" ref="H13:H17" si="12">B13&amp;"_"&amp;C13&amp;"-"&amp;G13</f>
        <v>30030_1-1</v>
      </c>
      <c r="I13" s="3">
        <f ca="1">VLOOKUP($H13,OFFSET(floors!$A$1,0,0,COUNTA(floors!$A:$A),MATCH(I$1,floors!$1:$1,0)-MATCH($H$1,floors!$1:$1,0)+1),MATCH(I$1,floors!$1:$1,0)-MATCH($H$1,floors!$1:$1,0)+1,FALSE)</f>
        <v>30</v>
      </c>
      <c r="J13" s="3">
        <f ca="1">VLOOKUP($H13,OFFSET(floors!$A$1,0,0,COUNTA(floors!$A:$A),MATCH(J$1,floors!$1:$1,0)-MATCH($H$1,floors!$1:$1,0)+1),MATCH(J$1,floors!$1:$1,0)-MATCH($H$1,floors!$1:$1,0)+1,FALSE)</f>
        <v>30</v>
      </c>
      <c r="K13" s="35" t="s">
        <v>53</v>
      </c>
      <c r="L13" s="17">
        <v>47</v>
      </c>
      <c r="M13" s="14" t="str">
        <f ca="1">VLOOKUP($L13,OFFSET([3]enemies!$A$1,0,0,COUNTA([3]enemies!$A:$A),MATCH(M$1,[3]enemies!$1:$1,0)-MATCH($L$1,[3]enemies!$1:$1,0)+1),MATCH(M$1,[3]enemies!$1:$1,0)-MATCH($L$1,[3]enemies!$1:$1,0)+1,FALSE)</f>
        <v>ヒロ</v>
      </c>
      <c r="N13" s="14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4" t="str">
        <f ca="1">VLOOKUP($L13,OFFSET([4]characters!$A$1,0,0,COUNTA([4]characters!$A:$A),MATCH(O$1,[4]characters!$1:$1,0)-MATCH($L$1,[4]characters!$1:$1,0)+1),MATCH(O$1,[4]characters!$1:$1,0)-MATCH($L$1,[4]characters!$1:$1,0)+1,FALSE)</f>
        <v>Drop1N</v>
      </c>
      <c r="P13" s="14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4">
        <f ca="1">VLOOKUP($L13,OFFSET([3]enemies!$A$1,0,0,COUNTA([3]enemies!$A:$A),MATCH(Q$1,[3]enemies!$1:$1,0)-MATCH($L$1,[3]enemies!$1:$1,0)+1),MATCH(Q$1,[3]enemies!$1:$1,0)-MATCH($L$1,[3]enemies!$1:$1,0)+1,FALSE)</f>
        <v>15</v>
      </c>
      <c r="R13" s="4">
        <v>30</v>
      </c>
      <c r="S13" s="22">
        <v>1.2</v>
      </c>
      <c r="T13" s="22">
        <v>1</v>
      </c>
      <c r="U13" s="4">
        <v>0</v>
      </c>
      <c r="V13" s="3" t="e">
        <f ca="1">VLOOKUP($W13,OFFSET([5]enemy_skill_sets!$B$1,0,0,COUNTA([5]enemy_skill_sets!$B:$B),MATCH(M$1,[5]enemy_skill_sets!$1:$1,0)-MATCH($W$1,[5]enemy_skill_sets!$1:$1,0)+2),MATCH(M$1,[5]enemy_skill_sets!$1:$1,0)-MATCH($W$1,[5]enemy_skill_sets!$1:$1,0)+2,FALSE)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3" s="131">
        <v>30030001</v>
      </c>
      <c r="X13" s="5">
        <v>1</v>
      </c>
      <c r="Y13" s="5">
        <v>100</v>
      </c>
      <c r="Z13" s="5">
        <v>0</v>
      </c>
      <c r="AA13" s="128">
        <v>2</v>
      </c>
      <c r="AB13" s="21">
        <f t="shared" ref="AB13:AB17" si="13">L13</f>
        <v>47</v>
      </c>
      <c r="AC13" s="3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ヒロ</v>
      </c>
      <c r="AD13" s="3">
        <f ca="1">VLOOKUP($AB13,OFFSET([4]characters!$A$1,0,0,COUNTA([4]characters!$A:$A),MATCH(AD$1,[4]characters!$1:$1,0)-MATCH("character_id",[4]characters!$1:$1,0)+1),MATCH(AD$1,[4]characters!$1:$1,0)-MATCH("character_id",[4]characters!$1:$1,0)+1,FALSE)</f>
        <v>2</v>
      </c>
      <c r="AE13" s="3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Drop1N</v>
      </c>
      <c r="AF13" s="6">
        <v>1</v>
      </c>
      <c r="AG13" s="21">
        <f t="shared" ref="AG13:AG17" ca="1" si="14">AD13</f>
        <v>2</v>
      </c>
      <c r="AH13" s="7">
        <v>20</v>
      </c>
      <c r="AI13" s="6">
        <v>0</v>
      </c>
      <c r="AJ13" s="6">
        <v>0</v>
      </c>
      <c r="AK13" s="6">
        <v>0</v>
      </c>
      <c r="AL13" s="6">
        <v>0</v>
      </c>
      <c r="AM13" s="6">
        <v>1</v>
      </c>
      <c r="AN13" s="66">
        <v>1</v>
      </c>
    </row>
    <row r="14" spans="1:40" ht="21" customHeight="1" x14ac:dyDescent="0.15">
      <c r="A14" s="13" t="str">
        <f t="shared" si="10"/>
        <v>30030_1-1/55&lt;lv30&gt;s5</v>
      </c>
      <c r="B14" s="141">
        <v>30030</v>
      </c>
      <c r="C14" s="140">
        <v>1</v>
      </c>
      <c r="D14" s="1" t="str">
        <f t="shared" si="11"/>
        <v>30030_1</v>
      </c>
      <c r="E14" s="3" t="str">
        <f ca="1">VLOOKUP($B14,OFFSET([2]quests!$A$1,0,0,COUNTA([2]quests!$A:$A),MATCH(E$1,[2]quests!$1:$1,0)-MATCH($B$1,[2]quests!$1:$1,0)+1),MATCH(E$1,[2]quests!$1:$1,0)-MATCH($B$1,[2]quests!$1:$1,0)+1,FALSE)</f>
        <v>ここは誰の箱庭じゃ？</v>
      </c>
      <c r="F14" s="3" t="str">
        <f ca="1">VLOOKUP($D14,OFFSET([2]stages!$A$1,0,0,COUNTA([2]stages!$A:$A),MATCH(F$1,[2]stages!$2:$2,0)-MATCH($D$1,[2]stages!$2:$2,0)+1),MATCH(F$1,[2]stages!$2:$2,0)-MATCH($D$1,[2]stages!$2:$2,0)+1,FALSE)</f>
        <v>【中級】ここは誰の箱庭じゃ？</v>
      </c>
      <c r="G14" s="145">
        <v>1</v>
      </c>
      <c r="H14" s="12" t="str">
        <f t="shared" si="12"/>
        <v>30030_1-1</v>
      </c>
      <c r="I14" s="3">
        <f ca="1">VLOOKUP($H14,OFFSET(floors!$A$1,0,0,COUNTA(floors!$A:$A),MATCH(I$1,floors!$1:$1,0)-MATCH($H$1,floors!$1:$1,0)+1),MATCH(I$1,floors!$1:$1,0)-MATCH($H$1,floors!$1:$1,0)+1,FALSE)</f>
        <v>30</v>
      </c>
      <c r="J14" s="3">
        <f ca="1">VLOOKUP($H14,OFFSET(floors!$A$1,0,0,COUNTA(floors!$A:$A),MATCH(J$1,floors!$1:$1,0)-MATCH($H$1,floors!$1:$1,0)+1),MATCH(J$1,floors!$1:$1,0)-MATCH($H$1,floors!$1:$1,0)+1,FALSE)</f>
        <v>30</v>
      </c>
      <c r="K14" s="35" t="s">
        <v>53</v>
      </c>
      <c r="L14" s="17">
        <v>55</v>
      </c>
      <c r="M14" s="14" t="str">
        <f ca="1">VLOOKUP($L14,OFFSET([3]enemies!$A$1,0,0,COUNTA([3]enemies!$A:$A),MATCH(M$1,[3]enemies!$1:$1,0)-MATCH($L$1,[3]enemies!$1:$1,0)+1),MATCH(M$1,[3]enemies!$1:$1,0)-MATCH($L$1,[3]enemies!$1:$1,0)+1,FALSE)</f>
        <v>マミコ</v>
      </c>
      <c r="N14" s="14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4" t="str">
        <f ca="1">VLOOKUP($L14,OFFSET([4]characters!$A$1,0,0,COUNTA([4]characters!$A:$A),MATCH(O$1,[4]characters!$1:$1,0)-MATCH($L$1,[4]characters!$1:$1,0)+1),MATCH(O$1,[4]characters!$1:$1,0)-MATCH($L$1,[4]characters!$1:$1,0)+1,FALSE)</f>
        <v>Drop1N</v>
      </c>
      <c r="P14" s="14" t="str">
        <f ca="1">VLOOKUP($L14,OFFSET([3]enemies!$A$1,0,0,COUNTA([3]enemies!$A:$A),MATCH(P$1,[3]enemies!$1:$1,0)-MATCH($L$1,[3]enemies!$1:$1,0)+1),MATCH(P$1,[3]enemies!$1:$1,0)-MATCH($L$1,[3]enemies!$1:$1,0)+1,FALSE)</f>
        <v>human</v>
      </c>
      <c r="Q14" s="14">
        <f ca="1">VLOOKUP($L14,OFFSET([3]enemies!$A$1,0,0,COUNTA([3]enemies!$A:$A),MATCH(Q$1,[3]enemies!$1:$1,0)-MATCH($L$1,[3]enemies!$1:$1,0)+1),MATCH(Q$1,[3]enemies!$1:$1,0)-MATCH($L$1,[3]enemies!$1:$1,0)+1,FALSE)</f>
        <v>15</v>
      </c>
      <c r="R14" s="4">
        <v>30</v>
      </c>
      <c r="S14" s="22">
        <v>1.2</v>
      </c>
      <c r="T14" s="22">
        <v>1</v>
      </c>
      <c r="U14" s="4">
        <v>0</v>
      </c>
      <c r="V14" s="3" t="str">
        <f ca="1">VLOOKUP($W14,OFFSET(enemy_skill_sets!$B$1,0,0,COUNTA(enemy_skill_sets!$B:$B),MATCH(M$1,enemy_skill_sets!$1:$1,0)-MATCH($W$1,enemy_skill_sets!$1:$1,0)+2),MATCH(M$1,enemy_skill_sets!$1:$1,0)-MATCH($W$1,enemy_skill_sets!$1:$1,0)+2,FALSE)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14" s="131">
        <v>30030002</v>
      </c>
      <c r="X14" s="5">
        <v>1</v>
      </c>
      <c r="Y14" s="5">
        <v>100</v>
      </c>
      <c r="Z14" s="5">
        <v>0</v>
      </c>
      <c r="AA14" s="128">
        <v>5</v>
      </c>
      <c r="AB14" s="21">
        <f t="shared" si="13"/>
        <v>55</v>
      </c>
      <c r="AC14" s="3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マミコ</v>
      </c>
      <c r="AD14" s="3">
        <f ca="1">VLOOKUP($AB14,OFFSET([4]characters!$A$1,0,0,COUNTA([4]characters!$A:$A),MATCH(AD$1,[4]characters!$1:$1,0)-MATCH("character_id",[4]characters!$1:$1,0)+1),MATCH(AD$1,[4]characters!$1:$1,0)-MATCH("character_id",[4]characters!$1:$1,0)+1,FALSE)</f>
        <v>2</v>
      </c>
      <c r="AE14" s="3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Drop1N</v>
      </c>
      <c r="AF14" s="6">
        <v>1</v>
      </c>
      <c r="AG14" s="21">
        <f t="shared" ca="1" si="14"/>
        <v>2</v>
      </c>
      <c r="AH14" s="7">
        <v>20</v>
      </c>
      <c r="AI14" s="6">
        <v>0</v>
      </c>
      <c r="AJ14" s="6">
        <v>0</v>
      </c>
      <c r="AK14" s="6">
        <v>0</v>
      </c>
      <c r="AL14" s="6">
        <v>0</v>
      </c>
      <c r="AM14" s="6">
        <v>1</v>
      </c>
      <c r="AN14" s="66">
        <v>1</v>
      </c>
    </row>
    <row r="15" spans="1:40" ht="21" customHeight="1" x14ac:dyDescent="0.15">
      <c r="A15" s="13" t="str">
        <f t="shared" si="10"/>
        <v>30030_1-2/75&lt;lv30&gt;s3</v>
      </c>
      <c r="B15" s="141">
        <v>30030</v>
      </c>
      <c r="C15" s="140">
        <v>1</v>
      </c>
      <c r="D15" s="1" t="str">
        <f t="shared" si="11"/>
        <v>30030_1</v>
      </c>
      <c r="E15" s="3" t="str">
        <f ca="1">VLOOKUP($B15,OFFSET([2]quests!$A$1,0,0,COUNTA([2]quests!$A:$A),MATCH(E$1,[2]quests!$1:$1,0)-MATCH($B$1,[2]quests!$1:$1,0)+1),MATCH(E$1,[2]quests!$1:$1,0)-MATCH($B$1,[2]quests!$1:$1,0)+1,FALSE)</f>
        <v>ここは誰の箱庭じゃ？</v>
      </c>
      <c r="F15" s="3" t="str">
        <f ca="1">VLOOKUP($D15,OFFSET([2]stages!$A$1,0,0,COUNTA([2]stages!$A:$A),MATCH(F$1,[2]stages!$2:$2,0)-MATCH($D$1,[2]stages!$2:$2,0)+1),MATCH(F$1,[2]stages!$2:$2,0)-MATCH($D$1,[2]stages!$2:$2,0)+1,FALSE)</f>
        <v>【中級】ここは誰の箱庭じゃ？</v>
      </c>
      <c r="G15" s="144">
        <v>2</v>
      </c>
      <c r="H15" s="12" t="str">
        <f t="shared" si="12"/>
        <v>30030_1-2</v>
      </c>
      <c r="I15" s="3">
        <f ca="1">VLOOKUP($H15,OFFSET(floors!$A$1,0,0,COUNTA(floors!$A:$A),MATCH(I$1,floors!$1:$1,0)-MATCH($H$1,floors!$1:$1,0)+1),MATCH(I$1,floors!$1:$1,0)-MATCH($H$1,floors!$1:$1,0)+1,FALSE)</f>
        <v>40</v>
      </c>
      <c r="J15" s="3">
        <f ca="1">VLOOKUP($H15,OFFSET(floors!$A$1,0,0,COUNTA(floors!$A:$A),MATCH(J$1,floors!$1:$1,0)-MATCH($H$1,floors!$1:$1,0)+1),MATCH(J$1,floors!$1:$1,0)-MATCH($H$1,floors!$1:$1,0)+1,FALSE)</f>
        <v>40</v>
      </c>
      <c r="K15" s="35" t="s">
        <v>53</v>
      </c>
      <c r="L15" s="17">
        <v>75</v>
      </c>
      <c r="M15" s="14" t="str">
        <f ca="1">VLOOKUP($L15,OFFSET([3]enemies!$A$1,0,0,COUNTA([3]enemies!$A:$A),MATCH(M$1,[3]enemies!$1:$1,0)-MATCH($L$1,[3]enemies!$1:$1,0)+1),MATCH(M$1,[3]enemies!$1:$1,0)-MATCH($L$1,[3]enemies!$1:$1,0)+1,FALSE)</f>
        <v>伝令者 サンダーバード</v>
      </c>
      <c r="N15" s="14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4" t="str">
        <f ca="1">VLOOKUP($L15,OFFSET([4]characters!$A$1,0,0,COUNTA([4]characters!$A:$A),MATCH(O$1,[4]characters!$1:$1,0)-MATCH($L$1,[4]characters!$1:$1,0)+1),MATCH(O$1,[4]characters!$1:$1,0)-MATCH($L$1,[4]characters!$1:$1,0)+1,FALSE)</f>
        <v>Drop1S</v>
      </c>
      <c r="P15" s="14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4">
        <f ca="1">VLOOKUP($L15,OFFSET([3]enemies!$A$1,0,0,COUNTA([3]enemies!$A:$A),MATCH(Q$1,[3]enemies!$1:$1,0)-MATCH($L$1,[3]enemies!$1:$1,0)+1),MATCH(Q$1,[3]enemies!$1:$1,0)-MATCH($L$1,[3]enemies!$1:$1,0)+1,FALSE)</f>
        <v>20</v>
      </c>
      <c r="R15" s="4">
        <v>30</v>
      </c>
      <c r="S15" s="22">
        <v>1.4</v>
      </c>
      <c r="T15" s="22">
        <v>1.1000000000000001</v>
      </c>
      <c r="U15" s="4">
        <v>0</v>
      </c>
      <c r="V15" s="3" t="str">
        <f ca="1">VLOOKUP($W15,OFFSET(enemy_skill_sets!$B$1,0,0,COUNTA(enemy_skill_sets!$B:$B),MATCH(M$1,enemy_skill_sets!$1:$1,0)-MATCH($W$1,enemy_skill_sets!$1:$1,0)+2),MATCH(M$1,enemy_skill_sets!$1:$1,0)-MATCH($W$1,enemy_skill_sets!$1:$1,0)+2,FALSE)</f>
        <v>敵全体の攻撃力がUP</v>
      </c>
      <c r="W15" s="133">
        <v>30030008</v>
      </c>
      <c r="X15" s="5">
        <v>1</v>
      </c>
      <c r="Y15" s="5">
        <v>100</v>
      </c>
      <c r="Z15" s="5">
        <v>0</v>
      </c>
      <c r="AA15" s="128">
        <v>3</v>
      </c>
      <c r="AB15" s="21">
        <f t="shared" si="13"/>
        <v>75</v>
      </c>
      <c r="AC15" s="3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伝令者 サンダーバード</v>
      </c>
      <c r="AD15" s="3">
        <f ca="1">VLOOKUP($AB15,OFFSET([4]characters!$A$1,0,0,COUNTA([4]characters!$A:$A),MATCH(AD$1,[4]characters!$1:$1,0)-MATCH("character_id",[4]characters!$1:$1,0)+1),MATCH(AD$1,[4]characters!$1:$1,0)-MATCH("character_id",[4]characters!$1:$1,0)+1,FALSE)</f>
        <v>3</v>
      </c>
      <c r="AE15" s="3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Drop1S</v>
      </c>
      <c r="AF15" s="6">
        <v>1</v>
      </c>
      <c r="AG15" s="21">
        <f t="shared" ca="1" si="14"/>
        <v>3</v>
      </c>
      <c r="AH15" s="7">
        <v>10</v>
      </c>
      <c r="AI15" s="6">
        <v>0</v>
      </c>
      <c r="AJ15" s="6">
        <v>0</v>
      </c>
      <c r="AK15" s="6">
        <v>0</v>
      </c>
      <c r="AL15" s="6">
        <v>0</v>
      </c>
      <c r="AM15" s="6">
        <v>1</v>
      </c>
      <c r="AN15" s="66">
        <v>1</v>
      </c>
    </row>
    <row r="16" spans="1:40" ht="21" customHeight="1" x14ac:dyDescent="0.15">
      <c r="A16" s="13" t="str">
        <f t="shared" si="10"/>
        <v>30030_1-2/75&lt;lv29&gt;s3</v>
      </c>
      <c r="B16" s="141">
        <v>30030</v>
      </c>
      <c r="C16" s="140">
        <v>1</v>
      </c>
      <c r="D16" s="1" t="str">
        <f t="shared" si="11"/>
        <v>30030_1</v>
      </c>
      <c r="E16" s="3" t="str">
        <f ca="1">VLOOKUP($B16,OFFSET([2]quests!$A$1,0,0,COUNTA([2]quests!$A:$A),MATCH(E$1,[2]quests!$1:$1,0)-MATCH($B$1,[2]quests!$1:$1,0)+1),MATCH(E$1,[2]quests!$1:$1,0)-MATCH($B$1,[2]quests!$1:$1,0)+1,FALSE)</f>
        <v>ここは誰の箱庭じゃ？</v>
      </c>
      <c r="F16" s="3" t="str">
        <f ca="1">VLOOKUP($D16,OFFSET([2]stages!$A$1,0,0,COUNTA([2]stages!$A:$A),MATCH(F$1,[2]stages!$2:$2,0)-MATCH($D$1,[2]stages!$2:$2,0)+1),MATCH(F$1,[2]stages!$2:$2,0)-MATCH($D$1,[2]stages!$2:$2,0)+1,FALSE)</f>
        <v>【中級】ここは誰の箱庭じゃ？</v>
      </c>
      <c r="G16" s="144">
        <v>2</v>
      </c>
      <c r="H16" s="12" t="str">
        <f t="shared" si="12"/>
        <v>30030_1-2</v>
      </c>
      <c r="I16" s="3">
        <f ca="1">VLOOKUP($H16,OFFSET(floors!$A$1,0,0,COUNTA(floors!$A:$A),MATCH(I$1,floors!$1:$1,0)-MATCH($H$1,floors!$1:$1,0)+1),MATCH(I$1,floors!$1:$1,0)-MATCH($H$1,floors!$1:$1,0)+1,FALSE)</f>
        <v>40</v>
      </c>
      <c r="J16" s="3">
        <f ca="1">VLOOKUP($H16,OFFSET(floors!$A$1,0,0,COUNTA(floors!$A:$A),MATCH(J$1,floors!$1:$1,0)-MATCH($H$1,floors!$1:$1,0)+1),MATCH(J$1,floors!$1:$1,0)-MATCH($H$1,floors!$1:$1,0)+1,FALSE)</f>
        <v>40</v>
      </c>
      <c r="K16" s="35" t="s">
        <v>53</v>
      </c>
      <c r="L16" s="17">
        <v>75</v>
      </c>
      <c r="M16" s="14" t="str">
        <f ca="1">VLOOKUP($L16,OFFSET([3]enemies!$A$1,0,0,COUNTA([3]enemies!$A:$A),MATCH(M$1,[3]enemies!$1:$1,0)-MATCH($L$1,[3]enemies!$1:$1,0)+1),MATCH(M$1,[3]enemies!$1:$1,0)-MATCH($L$1,[3]enemies!$1:$1,0)+1,FALSE)</f>
        <v>伝令者 サンダーバード</v>
      </c>
      <c r="N16" s="14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14" t="str">
        <f ca="1">VLOOKUP($L16,OFFSET([4]characters!$A$1,0,0,COUNTA([4]characters!$A:$A),MATCH(O$1,[4]characters!$1:$1,0)-MATCH($L$1,[4]characters!$1:$1,0)+1),MATCH(O$1,[4]characters!$1:$1,0)-MATCH($L$1,[4]characters!$1:$1,0)+1,FALSE)</f>
        <v>Drop1S</v>
      </c>
      <c r="P16" s="14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4">
        <f ca="1">VLOOKUP($L16,OFFSET([3]enemies!$A$1,0,0,COUNTA([3]enemies!$A:$A),MATCH(Q$1,[3]enemies!$1:$1,0)-MATCH($L$1,[3]enemies!$1:$1,0)+1),MATCH(Q$1,[3]enemies!$1:$1,0)-MATCH($L$1,[3]enemies!$1:$1,0)+1,FALSE)</f>
        <v>20</v>
      </c>
      <c r="R16" s="4">
        <v>29</v>
      </c>
      <c r="S16" s="22">
        <v>1.4</v>
      </c>
      <c r="T16" s="22">
        <v>1.1000000000000001</v>
      </c>
      <c r="U16" s="4">
        <v>0</v>
      </c>
      <c r="V16" s="3" t="e">
        <f ca="1">VLOOKUP($W16,OFFSET([5]enemy_skill_sets!$B$1,0,0,COUNTA([5]enemy_skill_sets!$B:$B),MATCH(M$1,[5]enemy_skill_sets!$1:$1,0)-MATCH($W$1,[5]enemy_skill_sets!$1:$1,0)+2),MATCH(M$1,[5]enemy_skill_sets!$1:$1,0)-MATCH($W$1,[5]enemy_skill_sets!$1:$1,0)+2,FALSE)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6" s="131">
        <v>30030009</v>
      </c>
      <c r="X16" s="5">
        <v>1</v>
      </c>
      <c r="Y16" s="5">
        <v>100</v>
      </c>
      <c r="Z16" s="5">
        <v>0</v>
      </c>
      <c r="AA16" s="128">
        <v>3</v>
      </c>
      <c r="AB16" s="21">
        <f t="shared" si="13"/>
        <v>75</v>
      </c>
      <c r="AC16" s="3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伝令者 サンダーバード</v>
      </c>
      <c r="AD16" s="3">
        <f ca="1">VLOOKUP($AB16,OFFSET([4]characters!$A$1,0,0,COUNTA([4]characters!$A:$A),MATCH(AD$1,[4]characters!$1:$1,0)-MATCH("character_id",[4]characters!$1:$1,0)+1),MATCH(AD$1,[4]characters!$1:$1,0)-MATCH("character_id",[4]characters!$1:$1,0)+1,FALSE)</f>
        <v>3</v>
      </c>
      <c r="AE16" s="3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Drop1S</v>
      </c>
      <c r="AF16" s="6">
        <v>1</v>
      </c>
      <c r="AG16" s="21">
        <f t="shared" ca="1" si="14"/>
        <v>3</v>
      </c>
      <c r="AH16" s="7">
        <v>10</v>
      </c>
      <c r="AI16" s="6">
        <v>0</v>
      </c>
      <c r="AJ16" s="6">
        <v>0</v>
      </c>
      <c r="AK16" s="6">
        <v>0</v>
      </c>
      <c r="AL16" s="6">
        <v>0</v>
      </c>
      <c r="AM16" s="6">
        <v>1</v>
      </c>
      <c r="AN16" s="66">
        <v>1</v>
      </c>
    </row>
    <row r="17" spans="1:40" ht="21" customHeight="1" x14ac:dyDescent="0.15">
      <c r="A17" s="13" t="str">
        <f t="shared" si="10"/>
        <v>30030_1-3/652&lt;lv30&gt;s2</v>
      </c>
      <c r="B17" s="141">
        <v>30030</v>
      </c>
      <c r="C17" s="140">
        <v>1</v>
      </c>
      <c r="D17" s="1" t="str">
        <f t="shared" si="11"/>
        <v>30030_1</v>
      </c>
      <c r="E17" s="3" t="str">
        <f ca="1">VLOOKUP($B17,OFFSET([2]quests!$A$1,0,0,COUNTA([2]quests!$A:$A),MATCH(E$1,[2]quests!$1:$1,0)-MATCH($B$1,[2]quests!$1:$1,0)+1),MATCH(E$1,[2]quests!$1:$1,0)-MATCH($B$1,[2]quests!$1:$1,0)+1,FALSE)</f>
        <v>ここは誰の箱庭じゃ？</v>
      </c>
      <c r="F17" s="3" t="str">
        <f ca="1">VLOOKUP($D17,OFFSET([2]stages!$A$1,0,0,COUNTA([2]stages!$A:$A),MATCH(F$1,[2]stages!$2:$2,0)-MATCH($D$1,[2]stages!$2:$2,0)+1),MATCH(F$1,[2]stages!$2:$2,0)-MATCH($D$1,[2]stages!$2:$2,0)+1,FALSE)</f>
        <v>【中級】ここは誰の箱庭じゃ？</v>
      </c>
      <c r="G17" s="143">
        <v>3</v>
      </c>
      <c r="H17" s="12" t="str">
        <f t="shared" si="12"/>
        <v>30030_1-3</v>
      </c>
      <c r="I17" s="3">
        <f ca="1">VLOOKUP($H17,OFFSET(floors!$A$1,0,0,COUNTA(floors!$A:$A),MATCH(I$1,floors!$1:$1,0)-MATCH($H$1,floors!$1:$1,0)+1),MATCH(I$1,floors!$1:$1,0)-MATCH($H$1,floors!$1:$1,0)+1,FALSE)</f>
        <v>30</v>
      </c>
      <c r="J17" s="3">
        <f ca="1">VLOOKUP($H17,OFFSET(floors!$A$1,0,0,COUNTA(floors!$A:$A),MATCH(J$1,floors!$1:$1,0)-MATCH($H$1,floors!$1:$1,0)+1),MATCH(J$1,floors!$1:$1,0)-MATCH($H$1,floors!$1:$1,0)+1,FALSE)</f>
        <v>30</v>
      </c>
      <c r="K17" s="35" t="s">
        <v>255</v>
      </c>
      <c r="L17" s="17">
        <v>652</v>
      </c>
      <c r="M17" s="14" t="str">
        <f ca="1">VLOOKUP($L17,OFFSET([3]enemies!$A$1,0,0,COUNTA([3]enemies!$A:$A),MATCH(M$1,[3]enemies!$1:$1,0)-MATCH($L$1,[3]enemies!$1:$1,0)+1),MATCH(M$1,[3]enemies!$1:$1,0)-MATCH($L$1,[3]enemies!$1:$1,0)+1,FALSE)</f>
        <v>アナンタ</v>
      </c>
      <c r="N17" s="14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4" t="str">
        <f ca="1">VLOOKUP($L17,OFFSET([4]characters!$A$1,0,0,COUNTA([4]characters!$A:$A),MATCH(O$1,[4]characters!$1:$1,0)-MATCH($L$1,[4]characters!$1:$1,0)+1),MATCH(O$1,[4]characters!$1:$1,0)-MATCH($L$1,[4]characters!$1:$1,0)+1,FALSE)</f>
        <v>Drop2N</v>
      </c>
      <c r="P17" s="14" t="str">
        <f ca="1">VLOOKUP($L17,OFFSET([3]enemies!$A$1,0,0,COUNTA([3]enemies!$A:$A),MATCH(P$1,[3]enemies!$1:$1,0)-MATCH($L$1,[3]enemies!$1:$1,0)+1),MATCH(P$1,[3]enemies!$1:$1,0)-MATCH($L$1,[3]enemies!$1:$1,0)+1,FALSE)</f>
        <v>dragon</v>
      </c>
      <c r="Q17" s="14">
        <f ca="1">VLOOKUP($L17,OFFSET([3]enemies!$A$1,0,0,COUNTA([3]enemies!$A:$A),MATCH(Q$1,[3]enemies!$1:$1,0)-MATCH($L$1,[3]enemies!$1:$1,0)+1),MATCH(Q$1,[3]enemies!$1:$1,0)-MATCH($L$1,[3]enemies!$1:$1,0)+1,FALSE)</f>
        <v>30</v>
      </c>
      <c r="R17" s="4">
        <v>30</v>
      </c>
      <c r="S17" s="22">
        <v>2.2000000000000002</v>
      </c>
      <c r="T17" s="22">
        <v>0.8</v>
      </c>
      <c r="U17" s="4">
        <v>0</v>
      </c>
      <c r="V17" s="3" t="str">
        <f ca="1">VLOOKUP($W17,OFFSET(enemy_skill_sets!$B$1,0,0,COUNTA(enemy_skill_sets!$B:$B),MATCH(M$1,enemy_skill_sets!$1:$1,0)-MATCH($W$1,enemy_skill_sets!$1:$1,0)+2),MATCH(M$1,enemy_skill_sets!$1:$1,0)-MATCH($W$1,enemy_skill_sets!$1:$1,0)+2,FALSE)</f>
        <v>ランダムなパネル8個にプロテクトをかける！</v>
      </c>
      <c r="W17" s="133">
        <v>30030010</v>
      </c>
      <c r="X17" s="5">
        <v>1</v>
      </c>
      <c r="Y17" s="5">
        <v>100</v>
      </c>
      <c r="Z17" s="5">
        <v>1</v>
      </c>
      <c r="AA17" s="128">
        <v>2</v>
      </c>
      <c r="AB17" s="21">
        <f t="shared" si="13"/>
        <v>652</v>
      </c>
      <c r="AC17" s="3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アナンタ</v>
      </c>
      <c r="AD17" s="3">
        <f ca="1">VLOOKUP($AB17,OFFSET([4]characters!$A$1,0,0,COUNTA([4]characters!$A:$A),MATCH(AD$1,[4]characters!$1:$1,0)-MATCH("character_id",[4]characters!$1:$1,0)+1),MATCH(AD$1,[4]characters!$1:$1,0)-MATCH("character_id",[4]characters!$1:$1,0)+1,FALSE)</f>
        <v>4</v>
      </c>
      <c r="AE17" s="3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Drop2N</v>
      </c>
      <c r="AF17" s="6">
        <v>1</v>
      </c>
      <c r="AG17" s="21">
        <f t="shared" ca="1" si="14"/>
        <v>4</v>
      </c>
      <c r="AH17" s="7">
        <v>20</v>
      </c>
      <c r="AI17" s="6">
        <v>0</v>
      </c>
      <c r="AJ17" s="6">
        <v>0</v>
      </c>
      <c r="AK17" s="6">
        <v>0</v>
      </c>
      <c r="AL17" s="6">
        <v>0</v>
      </c>
      <c r="AM17" s="6">
        <v>1</v>
      </c>
      <c r="AN17" s="66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3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K4" sqref="K4"/>
    </sheetView>
  </sheetViews>
  <sheetFormatPr baseColWidth="12" defaultColWidth="13" defaultRowHeight="21" customHeight="1" outlineLevelCol="1" x14ac:dyDescent="0.15"/>
  <cols>
    <col min="1" max="1" width="17" style="16" bestFit="1" customWidth="1"/>
    <col min="2" max="2" width="10.83203125" style="2" bestFit="1" customWidth="1"/>
    <col min="3" max="3" width="10.6640625" style="2" bestFit="1" customWidth="1"/>
    <col min="4" max="4" width="13" style="11" bestFit="1" customWidth="1" outlineLevel="1"/>
    <col min="5" max="5" width="11.6640625" style="2" bestFit="1" customWidth="1" outlineLevel="1"/>
    <col min="6" max="6" width="16.1640625" style="2" bestFit="1" customWidth="1" outlineLevel="1"/>
    <col min="7" max="7" width="10" style="2" bestFit="1" customWidth="1"/>
    <col min="8" max="9" width="12.33203125" style="2" bestFit="1" customWidth="1" outlineLevel="1"/>
    <col min="10" max="10" width="12.33203125" style="2" customWidth="1" outlineLevel="1"/>
    <col min="11" max="11" width="12.33203125" style="2" customWidth="1"/>
    <col min="12" max="12" width="11" style="2" bestFit="1" customWidth="1"/>
    <col min="13" max="13" width="13.5" style="8" bestFit="1" customWidth="1"/>
    <col min="14" max="14" width="8.83203125" style="2" customWidth="1" outlineLevel="1"/>
    <col min="15" max="15" width="8.6640625" style="2" customWidth="1" outlineLevel="1"/>
    <col min="16" max="16" width="12" style="2" customWidth="1" outlineLevel="1"/>
    <col min="17" max="17" width="21" style="2" customWidth="1" outlineLevel="1"/>
    <col min="18" max="18" width="8" style="2" customWidth="1" outlineLevel="1"/>
    <col min="19" max="19" width="8.33203125" style="2" bestFit="1" customWidth="1"/>
    <col min="20" max="20" width="14.83203125" style="2" bestFit="1" customWidth="1"/>
    <col min="21" max="21" width="17.5" style="2" bestFit="1" customWidth="1"/>
    <col min="22" max="22" width="18.33203125" style="2" bestFit="1" customWidth="1"/>
    <col min="23" max="23" width="16.6640625" style="2" customWidth="1"/>
    <col min="24" max="24" width="10" style="2" bestFit="1" customWidth="1" outlineLevel="1"/>
    <col min="25" max="25" width="9.33203125" style="2" bestFit="1" customWidth="1"/>
    <col min="26" max="16384" width="13" style="2"/>
  </cols>
  <sheetData>
    <row r="1" spans="1:25" s="32" customFormat="1" ht="21" customHeight="1" x14ac:dyDescent="0.15">
      <c r="A1" s="24" t="s">
        <v>29</v>
      </c>
      <c r="B1" s="25" t="s">
        <v>0</v>
      </c>
      <c r="C1" s="25" t="s">
        <v>1</v>
      </c>
      <c r="D1" s="26" t="s">
        <v>28</v>
      </c>
      <c r="E1" s="27" t="s">
        <v>16</v>
      </c>
      <c r="F1" s="27" t="s">
        <v>16</v>
      </c>
      <c r="G1" s="25" t="s">
        <v>19</v>
      </c>
      <c r="H1" s="26" t="s">
        <v>30</v>
      </c>
      <c r="I1" s="26" t="s">
        <v>14</v>
      </c>
      <c r="J1" s="26" t="s">
        <v>15</v>
      </c>
      <c r="K1" s="33" t="s">
        <v>54</v>
      </c>
      <c r="L1" s="33" t="s">
        <v>55</v>
      </c>
      <c r="M1" s="34" t="s">
        <v>2</v>
      </c>
      <c r="N1" s="28" t="s">
        <v>16</v>
      </c>
      <c r="O1" s="26" t="s">
        <v>24</v>
      </c>
      <c r="P1" s="26" t="s">
        <v>23</v>
      </c>
      <c r="Q1" s="29" t="s">
        <v>26</v>
      </c>
      <c r="R1" s="27" t="s">
        <v>25</v>
      </c>
      <c r="S1" s="25" t="s">
        <v>3</v>
      </c>
      <c r="T1" s="23" t="s">
        <v>48</v>
      </c>
      <c r="U1" s="23" t="s">
        <v>50</v>
      </c>
      <c r="V1" s="23" t="s">
        <v>52</v>
      </c>
      <c r="W1" s="25" t="s">
        <v>129</v>
      </c>
      <c r="X1" s="26" t="s">
        <v>128</v>
      </c>
      <c r="Y1" s="25" t="s">
        <v>8</v>
      </c>
    </row>
    <row r="2" spans="1:25" ht="21" customHeight="1" x14ac:dyDescent="0.15">
      <c r="A2" s="13" t="str">
        <f>B2&amp;"_"&amp;C2&amp;"-"&amp;G2&amp;"/"&amp;M2&amp;"&lt;lv"&amp;S2&amp;"&gt;sq"&amp;K2&amp;"st"&amp;L2</f>
        <v>30030_3-4/653&lt;lv60&gt;sq1st2</v>
      </c>
      <c r="B2" s="19">
        <v>30030</v>
      </c>
      <c r="C2" s="18">
        <v>3</v>
      </c>
      <c r="D2" s="1" t="str">
        <f>B2&amp;"_"&amp;C2</f>
        <v>30030_3</v>
      </c>
      <c r="E2" s="3" t="str">
        <f ca="1">VLOOKUP($B2,OFFSET([2]quests!$A$1,0,0,COUNTA([2]quests!$A:$A),MATCH(E$1,[2]quests!$1:$1,0)-MATCH($B$1,[2]quests!$1:$1,0)+1),MATCH(E$1,[2]quests!$1:$1,0)-MATCH($B$1,[2]quests!$1:$1,0)+1,FALSE)</f>
        <v>ここは誰の箱庭じゃ？</v>
      </c>
      <c r="F2" s="3" t="str">
        <f ca="1">VLOOKUP($D2,OFFSET([2]stages!$A$1,0,0,COUNTA([2]stages!$A:$A),MATCH(F$1,[2]stages!$2:$2,0)-MATCH($D$1,[2]stages!$2:$2,0)+1),MATCH(F$1,[2]stages!$2:$2,0)-MATCH($D$1,[2]stages!$2:$2,0)+1,FALSE)</f>
        <v>【超級】ここは誰の箱庭じゃ？</v>
      </c>
      <c r="G2" s="18">
        <v>4</v>
      </c>
      <c r="H2" s="12" t="str">
        <f>B2&amp;"_"&amp;C2&amp;"-"&amp;G2</f>
        <v>30030_3-4</v>
      </c>
      <c r="I2" s="3">
        <f ca="1">VLOOKUP($H2,OFFSET(floors!$A$1,0,0,COUNTA(floors!$A:$A),MATCH(I$1,floors!$1:$1,0)-MATCH($H$1,floors!$1:$1,0)+1),MATCH(I$1,floors!$1:$1,0)-MATCH($H$1,floors!$1:$1,0)+1,FALSE)</f>
        <v>60</v>
      </c>
      <c r="J2" s="3">
        <f ca="1">VLOOKUP($H2,OFFSET(floors!$A$1,0,0,COUNTA(floors!$A:$A),MATCH(J$1,floors!$1:$1,0)-MATCH($H$1,floors!$1:$1,0)+1),MATCH(J$1,floors!$1:$1,0)-MATCH($H$1,floors!$1:$1,0)+1,FALSE)</f>
        <v>60</v>
      </c>
      <c r="K2" s="35">
        <v>1</v>
      </c>
      <c r="L2" s="35">
        <v>2</v>
      </c>
      <c r="M2" s="17">
        <v>653</v>
      </c>
      <c r="N2" s="14" t="str">
        <f ca="1">VLOOKUP($M2,OFFSET([3]enemies!$A$1,0,0,COUNTA([3]enemies!$A:$A),MATCH(N$1,[3]enemies!$1:$1,0)-MATCH($M$1,[3]enemies!$1:$1,0)+1),MATCH(N$1,[3]enemies!$1:$1,0)-MATCH($M$1,[3]enemies!$1:$1,0)+1,FALSE)</f>
        <v>悠久の狡蛇 アナンタ</v>
      </c>
      <c r="O2" s="14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4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4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4">
        <f ca="1">VLOOKUP($M2,OFFSET([3]enemies!$A$1,0,0,COUNTA([3]enemies!$A:$A),MATCH(R$1,[3]enemies!$1:$1,0)-MATCH($M$1,[3]enemies!$1:$1,0)+1),MATCH(R$1,[3]enemies!$1:$1,0)-MATCH($M$1,[3]enemies!$1:$1,0)+1,FALSE)</f>
        <v>60</v>
      </c>
      <c r="S2" s="4">
        <v>60</v>
      </c>
      <c r="T2" s="130">
        <v>3</v>
      </c>
      <c r="U2" s="22">
        <v>0.7</v>
      </c>
      <c r="V2" s="4">
        <v>0</v>
      </c>
      <c r="W2" s="3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131">
        <v>30030007</v>
      </c>
      <c r="Y2" s="129">
        <v>2</v>
      </c>
    </row>
    <row r="3" spans="1:25" ht="21" customHeight="1" x14ac:dyDescent="0.15">
      <c r="A3" s="13" t="str">
        <f>B3&amp;"_"&amp;C3&amp;"-"&amp;G3&amp;"/"&amp;M3&amp;"&lt;lv"&amp;S3&amp;"&gt;sq"&amp;K3&amp;"st"&amp;L3</f>
        <v>30030_2-3/653&lt;lv40&gt;sq2st2</v>
      </c>
      <c r="B3" s="19">
        <v>30030</v>
      </c>
      <c r="C3" s="18">
        <v>2</v>
      </c>
      <c r="D3" s="1" t="str">
        <f>B3&amp;"_"&amp;C3</f>
        <v>30030_2</v>
      </c>
      <c r="E3" s="3" t="str">
        <f ca="1">VLOOKUP($B3,OFFSET([2]quests!$A$1,0,0,COUNTA([2]quests!$A:$A),MATCH(E$1,[2]quests!$1:$1,0)-MATCH($B$1,[2]quests!$1:$1,0)+1),MATCH(E$1,[2]quests!$1:$1,0)-MATCH($B$1,[2]quests!$1:$1,0)+1,FALSE)</f>
        <v>ここは誰の箱庭じゃ？</v>
      </c>
      <c r="F3" s="3" t="str">
        <f ca="1">VLOOKUP($D3,OFFSET([2]stages!$A$1,0,0,COUNTA([2]stages!$A:$A),MATCH(F$1,[2]stages!$2:$2,0)-MATCH($D$1,[2]stages!$2:$2,0)+1),MATCH(F$1,[2]stages!$2:$2,0)-MATCH($D$1,[2]stages!$2:$2,0)+1,FALSE)</f>
        <v>【上級】ここは誰の箱庭じゃ？</v>
      </c>
      <c r="G3" s="18">
        <v>3</v>
      </c>
      <c r="H3" s="12" t="str">
        <f>B3&amp;"_"&amp;C3&amp;"-"&amp;G3</f>
        <v>30030_2-3</v>
      </c>
      <c r="I3" s="3">
        <f ca="1">VLOOKUP($H3,OFFSET(floors!$A$1,0,0,COUNTA(floors!$A:$A),MATCH(I$1,floors!$1:$1,0)-MATCH($H$1,floors!$1:$1,0)+1),MATCH(I$1,floors!$1:$1,0)-MATCH($H$1,floors!$1:$1,0)+1,FALSE)</f>
        <v>60</v>
      </c>
      <c r="J3" s="3">
        <f ca="1">VLOOKUP($H3,OFFSET(floors!$A$1,0,0,COUNTA(floors!$A:$A),MATCH(J$1,floors!$1:$1,0)-MATCH($H$1,floors!$1:$1,0)+1),MATCH(J$1,floors!$1:$1,0)-MATCH($H$1,floors!$1:$1,0)+1,FALSE)</f>
        <v>60</v>
      </c>
      <c r="K3" s="35">
        <v>2</v>
      </c>
      <c r="L3" s="35">
        <v>2</v>
      </c>
      <c r="M3" s="17">
        <v>653</v>
      </c>
      <c r="N3" s="14" t="str">
        <f ca="1">VLOOKUP($M3,OFFSET([3]enemies!$A$1,0,0,COUNTA([3]enemies!$A:$A),MATCH(N$1,[3]enemies!$1:$1,0)-MATCH($M$1,[3]enemies!$1:$1,0)+1),MATCH(N$1,[3]enemies!$1:$1,0)-MATCH($M$1,[3]enemies!$1:$1,0)+1,FALSE)</f>
        <v>悠久の狡蛇 アナンタ</v>
      </c>
      <c r="O3" s="14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4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4" t="str">
        <f ca="1">VLOOKUP($M3,OFFSET([3]enemies!$A$1,0,0,COUNTA([3]enemies!$A:$A),MATCH(Q$1,[3]enemies!$1:$1,0)-MATCH($M$1,[3]enemies!$1:$1,0)+1),MATCH(Q$1,[3]enemies!$1:$1,0)-MATCH($M$1,[3]enemies!$1:$1,0)+1,FALSE)</f>
        <v>dragon</v>
      </c>
      <c r="R3" s="14">
        <f ca="1">VLOOKUP($M3,OFFSET([3]enemies!$A$1,0,0,COUNTA([3]enemies!$A:$A),MATCH(R$1,[3]enemies!$1:$1,0)-MATCH($M$1,[3]enemies!$1:$1,0)+1),MATCH(R$1,[3]enemies!$1:$1,0)-MATCH($M$1,[3]enemies!$1:$1,0)+1,FALSE)</f>
        <v>60</v>
      </c>
      <c r="S3" s="4">
        <v>40</v>
      </c>
      <c r="T3" s="130">
        <v>3</v>
      </c>
      <c r="U3" s="22">
        <v>0.7</v>
      </c>
      <c r="V3" s="4">
        <v>0</v>
      </c>
      <c r="W3" s="3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131">
        <v>30030007</v>
      </c>
      <c r="Y3" s="129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1"/>
  <sheetViews>
    <sheetView showGridLines="0" zoomScale="85" zoomScaleNormal="85" zoomScalePageLayoutView="85" workbookViewId="0">
      <pane ySplit="1" topLeftCell="A2" activePane="bottomLeft" state="frozenSplit"/>
      <selection pane="bottomLeft" activeCell="C1" sqref="C1"/>
    </sheetView>
  </sheetViews>
  <sheetFormatPr baseColWidth="12" defaultColWidth="12.83203125" defaultRowHeight="21" customHeight="1" outlineLevelCol="1" x14ac:dyDescent="0.15"/>
  <cols>
    <col min="1" max="1" width="12.83203125" style="46"/>
    <col min="2" max="2" width="67.1640625" style="46" customWidth="1"/>
    <col min="3" max="4" width="12.83203125" style="46"/>
    <col min="5" max="5" width="23.6640625" style="46" bestFit="1" customWidth="1"/>
    <col min="6" max="6" width="44.1640625" style="46" bestFit="1" customWidth="1"/>
    <col min="7" max="7" width="52" style="46" hidden="1" customWidth="1" outlineLevel="1"/>
    <col min="8" max="8" width="18.33203125" style="46" hidden="1" customWidth="1" outlineLevel="1"/>
    <col min="9" max="11" width="18.6640625" style="46" hidden="1" customWidth="1" outlineLevel="1"/>
    <col min="12" max="12" width="23.6640625" style="46" customWidth="1" collapsed="1"/>
    <col min="13" max="18" width="23.6640625" style="46" hidden="1" customWidth="1" outlineLevel="1"/>
    <col min="19" max="19" width="23.6640625" style="46" customWidth="1" collapsed="1"/>
    <col min="20" max="24" width="23.6640625" style="46" hidden="1" customWidth="1" outlineLevel="1"/>
    <col min="25" max="25" width="23.6640625" style="46" customWidth="1" collapsed="1"/>
    <col min="26" max="27" width="12.83203125" style="46"/>
    <col min="28" max="28" width="44.5" style="46" customWidth="1"/>
    <col min="29" max="16384" width="12.83203125" style="46"/>
  </cols>
  <sheetData>
    <row r="1" spans="1:28" ht="21" customHeight="1" x14ac:dyDescent="0.15">
      <c r="A1" s="37" t="s">
        <v>79</v>
      </c>
      <c r="B1" s="37" t="s">
        <v>80</v>
      </c>
      <c r="C1" s="37" t="s">
        <v>209</v>
      </c>
      <c r="D1" s="37" t="s">
        <v>126</v>
      </c>
      <c r="E1" s="37" t="s">
        <v>81</v>
      </c>
      <c r="F1" s="37" t="s">
        <v>82</v>
      </c>
      <c r="G1" s="38" t="s">
        <v>132</v>
      </c>
      <c r="H1" s="38" t="s">
        <v>138</v>
      </c>
      <c r="I1" s="38" t="s">
        <v>140</v>
      </c>
      <c r="J1" s="38" t="s">
        <v>139</v>
      </c>
      <c r="K1" s="38" t="s">
        <v>141</v>
      </c>
      <c r="L1" s="38" t="s">
        <v>133</v>
      </c>
      <c r="M1" s="38" t="s">
        <v>131</v>
      </c>
      <c r="N1" s="38" t="s">
        <v>134</v>
      </c>
      <c r="O1" s="38" t="s">
        <v>142</v>
      </c>
      <c r="P1" s="38" t="s">
        <v>143</v>
      </c>
      <c r="Q1" s="38" t="s">
        <v>144</v>
      </c>
      <c r="R1" s="38" t="s">
        <v>145</v>
      </c>
      <c r="S1" s="38" t="s">
        <v>135</v>
      </c>
      <c r="T1" s="38" t="s">
        <v>136</v>
      </c>
      <c r="U1" s="38" t="s">
        <v>146</v>
      </c>
      <c r="V1" s="38" t="s">
        <v>147</v>
      </c>
      <c r="W1" s="38" t="s">
        <v>148</v>
      </c>
      <c r="X1" s="38" t="s">
        <v>149</v>
      </c>
      <c r="Y1" s="38" t="s">
        <v>137</v>
      </c>
      <c r="Z1" s="38" t="s">
        <v>76</v>
      </c>
      <c r="AA1" s="38" t="s">
        <v>77</v>
      </c>
      <c r="AB1" s="38" t="s">
        <v>78</v>
      </c>
    </row>
    <row r="2" spans="1:28" ht="21" customHeight="1" x14ac:dyDescent="0.15">
      <c r="A2" s="44">
        <v>30030001</v>
      </c>
      <c r="B2" s="44" t="s">
        <v>227</v>
      </c>
      <c r="C2" s="47">
        <v>3</v>
      </c>
      <c r="D2" s="47" t="s">
        <v>127</v>
      </c>
      <c r="E2" s="48" t="s">
        <v>208</v>
      </c>
      <c r="F2" s="48" t="s">
        <v>228</v>
      </c>
      <c r="G2" s="60" t="str">
        <f t="shared" ref="G2:G16" si="0">IFERROR(LEFT(B2,FIND("],",B2)),B2)</f>
        <v>[effect:spread, val:0.3]</v>
      </c>
      <c r="H2" s="60">
        <f t="shared" ref="H2:H21" si="1">FIND("effect:",G2)+7</f>
        <v>9</v>
      </c>
      <c r="I2" s="60">
        <f t="shared" ref="I2:I16" si="2">IFERROR(FIND(",",G2),LEN(G2))</f>
        <v>15</v>
      </c>
      <c r="J2" s="60" t="e">
        <f t="shared" ref="J2:J16" si="3">FIND("target:",G2)+7</f>
        <v>#VALUE!</v>
      </c>
      <c r="K2" s="60" t="e">
        <f t="shared" ref="K2:K16" si="4">FIND(",",G2,I2+1)</f>
        <v>#VALUE!</v>
      </c>
      <c r="L2" s="60" t="str">
        <f>IFERROR(VLOOKUP(MID(G2,J2,K2-J2),[6]skilldef!$C:$D,2,FALSE),"-") &amp; " / " &amp; IFERROR(VLOOKUP(MID(G2,H2,I2-H2),[6]skilldef!$A:$B,2,FALSE),"-")</f>
        <v>- / 全体攻撃</v>
      </c>
      <c r="M2" s="60" t="str">
        <f t="shared" ref="M2:M16" si="5">IFERROR(RIGHT(B2,LEN(B2)-FIND("],",B2)-1),"none")</f>
        <v>none</v>
      </c>
      <c r="N2" s="45" t="str">
        <f>IFERROR(LEFT(M2,FIND("],",M2)+S15),M2)</f>
        <v>none</v>
      </c>
      <c r="O2" s="60" t="e">
        <f t="shared" ref="O2:O21" si="6">FIND("effect:",N2)+7</f>
        <v>#VALUE!</v>
      </c>
      <c r="P2" s="60">
        <f t="shared" ref="P2:P16" si="7">IFERROR(FIND(",",N2),LEN(N2))</f>
        <v>4</v>
      </c>
      <c r="Q2" s="60" t="e">
        <f t="shared" ref="Q2:Q16" si="8">FIND("target:",N2)+7</f>
        <v>#VALUE!</v>
      </c>
      <c r="R2" s="60" t="e">
        <f t="shared" ref="R2:R16" si="9">FIND(",",N2,P2+1)</f>
        <v>#VALUE!</v>
      </c>
      <c r="S2" s="60" t="str">
        <f>IFERROR(VLOOKUP(MID(N2,Q2,R2-Q2),[6]skilldef!$C:$D,2,FALSE),"-") &amp; " / " &amp; IFERROR(VLOOKUP(MID(N2,O2,P2-O2),[6]skilldef!$A:$B,2,FALSE),"-")</f>
        <v>- / -</v>
      </c>
      <c r="T2" s="45" t="str">
        <f t="shared" ref="T2:T16" si="10">IFERROR(RIGHT(M2,LEN(M2)-FIND("],",M2)-1),"none")</f>
        <v>none</v>
      </c>
      <c r="U2" s="60" t="e">
        <f t="shared" ref="U2:U21" si="11">FIND("effect:",T2)+7</f>
        <v>#VALUE!</v>
      </c>
      <c r="V2" s="60">
        <f t="shared" ref="V2:V16" si="12">IFERROR(FIND(",",T2),LEN(T2))</f>
        <v>4</v>
      </c>
      <c r="W2" s="60" t="e">
        <f t="shared" ref="W2:W16" si="13">FIND("target:",T2)+7</f>
        <v>#VALUE!</v>
      </c>
      <c r="X2" s="60" t="e">
        <f t="shared" ref="X2:X16" si="14">FIND(",",T2,V2+1)</f>
        <v>#VALUE!</v>
      </c>
      <c r="Y2" s="60" t="str">
        <f>IFERROR(VLOOKUP(MID(T2,W2,X2-W2),[6]skilldef!$C:$D,2,FALSE),"-") &amp; " / " &amp; IFERROR(VLOOKUP(MID(T2,U2,V2-U2),[6]skilldef!$A:$B,2,FALSE),"-")</f>
        <v>- / -</v>
      </c>
      <c r="Z2" s="47"/>
      <c r="AA2" s="49"/>
      <c r="AB2" s="47"/>
    </row>
    <row r="3" spans="1:28" ht="21" customHeight="1" x14ac:dyDescent="0.15">
      <c r="A3" s="44">
        <v>30030002</v>
      </c>
      <c r="B3" s="44" t="s">
        <v>232</v>
      </c>
      <c r="C3" s="47">
        <v>3</v>
      </c>
      <c r="D3" s="47" t="s">
        <v>127</v>
      </c>
      <c r="E3" s="48" t="s">
        <v>210</v>
      </c>
      <c r="F3" s="48" t="s">
        <v>309</v>
      </c>
      <c r="G3" s="60" t="str">
        <f t="shared" si="0"/>
        <v>[effect:critical, val:1.5]</v>
      </c>
      <c r="H3" s="60">
        <f t="shared" si="1"/>
        <v>9</v>
      </c>
      <c r="I3" s="60">
        <f t="shared" si="2"/>
        <v>17</v>
      </c>
      <c r="J3" s="60" t="e">
        <f t="shared" si="3"/>
        <v>#VALUE!</v>
      </c>
      <c r="K3" s="60" t="e">
        <f t="shared" si="4"/>
        <v>#VALUE!</v>
      </c>
      <c r="L3" s="60" t="str">
        <f>IFERROR(VLOOKUP(MID(G3,J3,K3-J3),[6]skilldef!$C:$D,2,FALSE),"-") &amp; " / " &amp; IFERROR(VLOOKUP(MID(G3,H3,I3-H3),[6]skilldef!$A:$B,2,FALSE),"-")</f>
        <v>- / 大攻撃</v>
      </c>
      <c r="M3" s="60" t="str">
        <f t="shared" si="5"/>
        <v>none</v>
      </c>
      <c r="N3" s="45" t="str">
        <f>IFERROR(LEFT(M3,FIND("],",M3)+S16),M3)</f>
        <v>none</v>
      </c>
      <c r="O3" s="60" t="e">
        <f t="shared" si="6"/>
        <v>#VALUE!</v>
      </c>
      <c r="P3" s="60">
        <f t="shared" si="7"/>
        <v>4</v>
      </c>
      <c r="Q3" s="60" t="e">
        <f t="shared" si="8"/>
        <v>#VALUE!</v>
      </c>
      <c r="R3" s="60" t="e">
        <f t="shared" si="9"/>
        <v>#VALUE!</v>
      </c>
      <c r="S3" s="60" t="str">
        <f>IFERROR(VLOOKUP(MID(N3,Q3,R3-Q3),[6]skilldef!$C:$D,2,FALSE),"-") &amp; " / " &amp; IFERROR(VLOOKUP(MID(N3,O3,P3-O3),[6]skilldef!$A:$B,2,FALSE),"-")</f>
        <v>- / -</v>
      </c>
      <c r="T3" s="45" t="str">
        <f t="shared" si="10"/>
        <v>none</v>
      </c>
      <c r="U3" s="60" t="e">
        <f t="shared" si="11"/>
        <v>#VALUE!</v>
      </c>
      <c r="V3" s="60">
        <f t="shared" si="12"/>
        <v>4</v>
      </c>
      <c r="W3" s="60" t="e">
        <f t="shared" si="13"/>
        <v>#VALUE!</v>
      </c>
      <c r="X3" s="60" t="e">
        <f t="shared" si="14"/>
        <v>#VALUE!</v>
      </c>
      <c r="Y3" s="60" t="str">
        <f>IFERROR(VLOOKUP(MID(T3,W3,X3-W3),[6]skilldef!$C:$D,2,FALSE),"-") &amp; " / " &amp; IFERROR(VLOOKUP(MID(T3,U3,V3-U3),[6]skilldef!$A:$B,2,FALSE),"-")</f>
        <v>- / -</v>
      </c>
      <c r="Z3" s="47"/>
      <c r="AA3" s="49"/>
      <c r="AB3" s="47"/>
    </row>
    <row r="4" spans="1:28" ht="21" customHeight="1" x14ac:dyDescent="0.15">
      <c r="A4" s="44">
        <v>30030003</v>
      </c>
      <c r="B4" s="44" t="s">
        <v>214</v>
      </c>
      <c r="C4" s="47">
        <v>3</v>
      </c>
      <c r="D4" s="47" t="s">
        <v>127</v>
      </c>
      <c r="E4" s="48" t="s">
        <v>215</v>
      </c>
      <c r="F4" s="48" t="s">
        <v>258</v>
      </c>
      <c r="G4" s="60" t="str">
        <f t="shared" si="0"/>
        <v>[effect:degrade_unit, target:unit_all, turn:4, status:action, val:2, animation:enemy_tap_down]</v>
      </c>
      <c r="H4" s="60">
        <f t="shared" si="1"/>
        <v>9</v>
      </c>
      <c r="I4" s="60">
        <f t="shared" si="2"/>
        <v>21</v>
      </c>
      <c r="J4" s="60">
        <f t="shared" si="3"/>
        <v>30</v>
      </c>
      <c r="K4" s="60">
        <f t="shared" si="4"/>
        <v>38</v>
      </c>
      <c r="L4" s="60" t="str">
        <f>IFERROR(VLOOKUP(MID(G4,J4,K4-J4),[6]skilldef!$C:$D,2,FALSE),"-") &amp; " / " &amp; IFERROR(VLOOKUP(MID(G4,H4,I4-H4),[6]skilldef!$A:$B,2,FALSE),"-")</f>
        <v>味方全体に / ステータスDOWN</v>
      </c>
      <c r="M4" s="60" t="str">
        <f t="shared" si="5"/>
        <v>none</v>
      </c>
      <c r="N4" s="45" t="str">
        <f>IFERROR(LEFT(M4,FIND("],",M4)+S17),M4)</f>
        <v>none</v>
      </c>
      <c r="O4" s="60" t="e">
        <f t="shared" si="6"/>
        <v>#VALUE!</v>
      </c>
      <c r="P4" s="60">
        <f t="shared" si="7"/>
        <v>4</v>
      </c>
      <c r="Q4" s="60" t="e">
        <f t="shared" si="8"/>
        <v>#VALUE!</v>
      </c>
      <c r="R4" s="60" t="e">
        <f t="shared" si="9"/>
        <v>#VALUE!</v>
      </c>
      <c r="S4" s="60" t="str">
        <f>IFERROR(VLOOKUP(MID(N4,Q4,R4-Q4),[6]skilldef!$C:$D,2,FALSE),"-") &amp; " / " &amp; IFERROR(VLOOKUP(MID(N4,O4,P4-O4),[6]skilldef!$A:$B,2,FALSE),"-")</f>
        <v>- / -</v>
      </c>
      <c r="T4" s="45" t="str">
        <f t="shared" si="10"/>
        <v>none</v>
      </c>
      <c r="U4" s="60" t="e">
        <f t="shared" si="11"/>
        <v>#VALUE!</v>
      </c>
      <c r="V4" s="60">
        <f t="shared" si="12"/>
        <v>4</v>
      </c>
      <c r="W4" s="60" t="e">
        <f t="shared" si="13"/>
        <v>#VALUE!</v>
      </c>
      <c r="X4" s="60" t="e">
        <f t="shared" si="14"/>
        <v>#VALUE!</v>
      </c>
      <c r="Y4" s="60" t="str">
        <f>IFERROR(VLOOKUP(MID(T4,W4,X4-W4),[6]skilldef!$C:$D,2,FALSE),"-") &amp; " / " &amp; IFERROR(VLOOKUP(MID(T4,U4,V4-U4),[6]skilldef!$A:$B,2,FALSE),"-")</f>
        <v>- / -</v>
      </c>
      <c r="Z4" s="47"/>
      <c r="AA4" s="49"/>
      <c r="AB4" s="47"/>
    </row>
    <row r="5" spans="1:28" ht="21" customHeight="1" x14ac:dyDescent="0.15">
      <c r="A5" s="44">
        <v>30030004</v>
      </c>
      <c r="B5" s="44" t="s">
        <v>222</v>
      </c>
      <c r="C5" s="47">
        <v>3</v>
      </c>
      <c r="D5" s="47" t="s">
        <v>127</v>
      </c>
      <c r="E5" s="48" t="s">
        <v>216</v>
      </c>
      <c r="F5" s="48" t="s">
        <v>308</v>
      </c>
      <c r="G5" s="60" t="str">
        <f t="shared" si="0"/>
        <v>[effect:change_panel_ratio, turn:4, block_type:heal, val:0, animation:block_incidence04]</v>
      </c>
      <c r="H5" s="60">
        <f t="shared" si="1"/>
        <v>9</v>
      </c>
      <c r="I5" s="60">
        <f t="shared" si="2"/>
        <v>27</v>
      </c>
      <c r="J5" s="60" t="e">
        <f t="shared" si="3"/>
        <v>#VALUE!</v>
      </c>
      <c r="K5" s="60">
        <f t="shared" si="4"/>
        <v>35</v>
      </c>
      <c r="L5" s="60" t="str">
        <f>IFERROR(VLOOKUP(MID(G5,J5,K5-J5),[6]skilldef!$C:$D,2,FALSE),"-") &amp; " / " &amp; IFERROR(VLOOKUP(MID(G5,H5,I5-H5),[6]skilldef!$A:$B,2,FALSE),"-")</f>
        <v>- / -</v>
      </c>
      <c r="M5" s="60" t="str">
        <f t="shared" si="5"/>
        <v>none</v>
      </c>
      <c r="N5" s="45" t="str">
        <f>IFERROR(LEFT(M5,FIND("],",M5)+#REF!),M5)</f>
        <v>none</v>
      </c>
      <c r="O5" s="60" t="e">
        <f t="shared" si="6"/>
        <v>#VALUE!</v>
      </c>
      <c r="P5" s="60">
        <f t="shared" si="7"/>
        <v>4</v>
      </c>
      <c r="Q5" s="60" t="e">
        <f t="shared" si="8"/>
        <v>#VALUE!</v>
      </c>
      <c r="R5" s="60" t="e">
        <f t="shared" si="9"/>
        <v>#VALUE!</v>
      </c>
      <c r="S5" s="60" t="str">
        <f>IFERROR(VLOOKUP(MID(N5,Q5,R5-Q5),[6]skilldef!$C:$D,2,FALSE),"-") &amp; " / " &amp; IFERROR(VLOOKUP(MID(N5,O5,P5-O5),[6]skilldef!$A:$B,2,FALSE),"-")</f>
        <v>- / -</v>
      </c>
      <c r="T5" s="45" t="str">
        <f t="shared" si="10"/>
        <v>none</v>
      </c>
      <c r="U5" s="60" t="e">
        <f t="shared" si="11"/>
        <v>#VALUE!</v>
      </c>
      <c r="V5" s="60">
        <f t="shared" si="12"/>
        <v>4</v>
      </c>
      <c r="W5" s="60" t="e">
        <f t="shared" si="13"/>
        <v>#VALUE!</v>
      </c>
      <c r="X5" s="60" t="e">
        <f t="shared" si="14"/>
        <v>#VALUE!</v>
      </c>
      <c r="Y5" s="60" t="str">
        <f>IFERROR(VLOOKUP(MID(T5,W5,X5-W5),[6]skilldef!$C:$D,2,FALSE),"-") &amp; " / " &amp; IFERROR(VLOOKUP(MID(T5,U5,V5-U5),[6]skilldef!$A:$B,2,FALSE),"-")</f>
        <v>- / -</v>
      </c>
      <c r="Z5" s="47"/>
      <c r="AA5" s="49"/>
      <c r="AB5" s="47"/>
    </row>
    <row r="6" spans="1:28" ht="21" customHeight="1" x14ac:dyDescent="0.15">
      <c r="A6" s="44">
        <v>30030005</v>
      </c>
      <c r="B6" s="44" t="s">
        <v>247</v>
      </c>
      <c r="C6" s="47">
        <v>3</v>
      </c>
      <c r="D6" s="47" t="s">
        <v>127</v>
      </c>
      <c r="E6" s="48" t="s">
        <v>220</v>
      </c>
      <c r="F6" s="48" t="s">
        <v>307</v>
      </c>
      <c r="G6" s="60" t="str">
        <f t="shared" si="0"/>
        <v>[effect:break_attack, val:0.2, lowest_val:2000, count:6, block:block_yellow, target:unit_one]</v>
      </c>
      <c r="H6" s="60">
        <f t="shared" si="1"/>
        <v>9</v>
      </c>
      <c r="I6" s="60">
        <f t="shared" si="2"/>
        <v>21</v>
      </c>
      <c r="J6" s="60">
        <f t="shared" si="3"/>
        <v>85</v>
      </c>
      <c r="K6" s="60">
        <f t="shared" si="4"/>
        <v>30</v>
      </c>
      <c r="L6" s="60" t="str">
        <f>IFERROR(VLOOKUP(MID(G6,J6,K6-J6),[6]skilldef!$C:$D,2,FALSE),"-") &amp; " / " &amp; IFERROR(VLOOKUP(MID(G6,H6,I6-H6),[6]skilldef!$A:$B,2,FALSE),"-")</f>
        <v>- / -</v>
      </c>
      <c r="M6" s="60" t="str">
        <f t="shared" si="5"/>
        <v>none</v>
      </c>
      <c r="N6" s="45" t="str">
        <f>IFERROR(LEFT(M6,FIND("],",M6)+#REF!),M6)</f>
        <v>none</v>
      </c>
      <c r="O6" s="60" t="e">
        <f t="shared" si="6"/>
        <v>#VALUE!</v>
      </c>
      <c r="P6" s="60">
        <f t="shared" si="7"/>
        <v>4</v>
      </c>
      <c r="Q6" s="60" t="e">
        <f t="shared" si="8"/>
        <v>#VALUE!</v>
      </c>
      <c r="R6" s="60" t="e">
        <f t="shared" si="9"/>
        <v>#VALUE!</v>
      </c>
      <c r="S6" s="60" t="str">
        <f>IFERROR(VLOOKUP(MID(N6,Q6,R6-Q6),[6]skilldef!$C:$D,2,FALSE),"-") &amp; " / " &amp; IFERROR(VLOOKUP(MID(N6,O6,P6-O6),[6]skilldef!$A:$B,2,FALSE),"-")</f>
        <v>- / -</v>
      </c>
      <c r="T6" s="45" t="str">
        <f t="shared" si="10"/>
        <v>none</v>
      </c>
      <c r="U6" s="60" t="e">
        <f t="shared" si="11"/>
        <v>#VALUE!</v>
      </c>
      <c r="V6" s="60">
        <f t="shared" si="12"/>
        <v>4</v>
      </c>
      <c r="W6" s="60" t="e">
        <f t="shared" si="13"/>
        <v>#VALUE!</v>
      </c>
      <c r="X6" s="60" t="e">
        <f t="shared" si="14"/>
        <v>#VALUE!</v>
      </c>
      <c r="Y6" s="60" t="str">
        <f>IFERROR(VLOOKUP(MID(T6,W6,X6-W6),[6]skilldef!$C:$D,2,FALSE),"-") &amp; " / " &amp; IFERROR(VLOOKUP(MID(T6,U6,V6-U6),[6]skilldef!$A:$B,2,FALSE),"-")</f>
        <v>- / -</v>
      </c>
      <c r="Z6" s="47"/>
      <c r="AA6" s="49"/>
      <c r="AB6" s="47"/>
    </row>
    <row r="7" spans="1:28" ht="21" customHeight="1" x14ac:dyDescent="0.15">
      <c r="A7" s="44">
        <v>30030006</v>
      </c>
      <c r="B7" s="44" t="s">
        <v>257</v>
      </c>
      <c r="C7" s="47">
        <v>3</v>
      </c>
      <c r="D7" s="47" t="s">
        <v>127</v>
      </c>
      <c r="E7" s="48" t="s">
        <v>218</v>
      </c>
      <c r="F7" s="48" t="s">
        <v>219</v>
      </c>
      <c r="G7" s="60" t="str">
        <f t="shared" si="0"/>
        <v>[effect:heal, target:myself, val:0.2, animation:enemy_heal]</v>
      </c>
      <c r="H7" s="60">
        <f t="shared" si="1"/>
        <v>9</v>
      </c>
      <c r="I7" s="60">
        <f t="shared" si="2"/>
        <v>13</v>
      </c>
      <c r="J7" s="60">
        <f t="shared" si="3"/>
        <v>22</v>
      </c>
      <c r="K7" s="60">
        <f t="shared" si="4"/>
        <v>28</v>
      </c>
      <c r="L7" s="60" t="str">
        <f>IFERROR(VLOOKUP(MID(G7,J7,K7-J7),[6]skilldef!$C:$D,2,FALSE),"-") &amp; " / " &amp; IFERROR(VLOOKUP(MID(G7,H7,I7-H7),[6]skilldef!$A:$B,2,FALSE),"-")</f>
        <v>自分自身に / 回復</v>
      </c>
      <c r="M7" s="60" t="str">
        <f t="shared" si="5"/>
        <v>none</v>
      </c>
      <c r="N7" s="45" t="str">
        <f>IFERROR(LEFT(M7,FIND("],",M7)+S20),M7)</f>
        <v>none</v>
      </c>
      <c r="O7" s="60" t="e">
        <f t="shared" si="6"/>
        <v>#VALUE!</v>
      </c>
      <c r="P7" s="60">
        <f t="shared" si="7"/>
        <v>4</v>
      </c>
      <c r="Q7" s="60" t="e">
        <f t="shared" si="8"/>
        <v>#VALUE!</v>
      </c>
      <c r="R7" s="60" t="e">
        <f t="shared" si="9"/>
        <v>#VALUE!</v>
      </c>
      <c r="S7" s="60" t="str">
        <f>IFERROR(VLOOKUP(MID(N7,Q7,R7-Q7),[6]skilldef!$C:$D,2,FALSE),"-") &amp; " / " &amp; IFERROR(VLOOKUP(MID(N7,O7,P7-O7),[6]skilldef!$A:$B,2,FALSE),"-")</f>
        <v>- / -</v>
      </c>
      <c r="T7" s="45" t="str">
        <f t="shared" si="10"/>
        <v>none</v>
      </c>
      <c r="U7" s="60" t="e">
        <f t="shared" si="11"/>
        <v>#VALUE!</v>
      </c>
      <c r="V7" s="60">
        <f t="shared" si="12"/>
        <v>4</v>
      </c>
      <c r="W7" s="60" t="e">
        <f t="shared" si="13"/>
        <v>#VALUE!</v>
      </c>
      <c r="X7" s="60" t="e">
        <f t="shared" si="14"/>
        <v>#VALUE!</v>
      </c>
      <c r="Y7" s="60" t="str">
        <f>IFERROR(VLOOKUP(MID(T7,W7,X7-W7),[6]skilldef!$C:$D,2,FALSE),"-") &amp; " / " &amp; IFERROR(VLOOKUP(MID(T7,U7,V7-U7),[6]skilldef!$A:$B,2,FALSE),"-")</f>
        <v>- / -</v>
      </c>
      <c r="Z7" s="47"/>
      <c r="AA7" s="49"/>
      <c r="AB7" s="47"/>
    </row>
    <row r="8" spans="1:28" ht="21" customHeight="1" x14ac:dyDescent="0.15">
      <c r="A8" s="44">
        <v>30030007</v>
      </c>
      <c r="B8" s="44" t="s">
        <v>221</v>
      </c>
      <c r="C8" s="47">
        <v>3</v>
      </c>
      <c r="D8" s="47" t="s">
        <v>127</v>
      </c>
      <c r="E8" s="48" t="s">
        <v>217</v>
      </c>
      <c r="F8" s="48" t="s">
        <v>306</v>
      </c>
      <c r="G8" s="60" t="str">
        <f t="shared" si="0"/>
        <v>[effect:enemy_counter, target:myself, invoke_condition:unit_all, counter_target:attacker, turn:2, val:2, animation:enemy_counter]</v>
      </c>
      <c r="H8" s="60">
        <f t="shared" si="1"/>
        <v>9</v>
      </c>
      <c r="I8" s="60">
        <f t="shared" si="2"/>
        <v>22</v>
      </c>
      <c r="J8" s="60">
        <f t="shared" si="3"/>
        <v>31</v>
      </c>
      <c r="K8" s="60">
        <f t="shared" si="4"/>
        <v>37</v>
      </c>
      <c r="L8" s="60" t="str">
        <f>IFERROR(VLOOKUP(MID(G8,J8,K8-J8),[6]skilldef!$C:$D,2,FALSE),"-") &amp; " / " &amp; IFERROR(VLOOKUP(MID(G8,H8,I8-H8),[6]skilldef!$A:$B,2,FALSE),"-")</f>
        <v>自分自身に / カウンター</v>
      </c>
      <c r="M8" s="60" t="str">
        <f t="shared" si="5"/>
        <v>none</v>
      </c>
      <c r="N8" s="45" t="str">
        <f>IFERROR(LEFT(M8,FIND("],",M8)+S18),M8)</f>
        <v>none</v>
      </c>
      <c r="O8" s="60" t="e">
        <f t="shared" si="6"/>
        <v>#VALUE!</v>
      </c>
      <c r="P8" s="60">
        <f t="shared" si="7"/>
        <v>4</v>
      </c>
      <c r="Q8" s="60" t="e">
        <f t="shared" si="8"/>
        <v>#VALUE!</v>
      </c>
      <c r="R8" s="60" t="e">
        <f t="shared" si="9"/>
        <v>#VALUE!</v>
      </c>
      <c r="S8" s="60" t="str">
        <f>IFERROR(VLOOKUP(MID(N8,Q8,R8-Q8),[6]skilldef!$C:$D,2,FALSE),"-") &amp; " / " &amp; IFERROR(VLOOKUP(MID(N8,O8,P8-O8),[6]skilldef!$A:$B,2,FALSE),"-")</f>
        <v>- / -</v>
      </c>
      <c r="T8" s="45" t="str">
        <f t="shared" si="10"/>
        <v>none</v>
      </c>
      <c r="U8" s="60" t="e">
        <f t="shared" si="11"/>
        <v>#VALUE!</v>
      </c>
      <c r="V8" s="60">
        <f t="shared" si="12"/>
        <v>4</v>
      </c>
      <c r="W8" s="60" t="e">
        <f t="shared" si="13"/>
        <v>#VALUE!</v>
      </c>
      <c r="X8" s="60" t="e">
        <f t="shared" si="14"/>
        <v>#VALUE!</v>
      </c>
      <c r="Y8" s="60" t="str">
        <f>IFERROR(VLOOKUP(MID(T8,W8,X8-W8),[6]skilldef!$C:$D,2,FALSE),"-") &amp; " / " &amp; IFERROR(VLOOKUP(MID(T8,U8,V8-U8),[6]skilldef!$A:$B,2,FALSE),"-")</f>
        <v>- / -</v>
      </c>
      <c r="Z8" s="47"/>
      <c r="AA8" s="49"/>
      <c r="AB8" s="47"/>
    </row>
    <row r="9" spans="1:28" ht="21" customHeight="1" x14ac:dyDescent="0.15">
      <c r="A9" s="44">
        <v>30030008</v>
      </c>
      <c r="B9" s="44" t="s">
        <v>242</v>
      </c>
      <c r="C9" s="47">
        <v>3</v>
      </c>
      <c r="D9" s="47" t="s">
        <v>127</v>
      </c>
      <c r="E9" s="48" t="s">
        <v>226</v>
      </c>
      <c r="F9" s="48" t="s">
        <v>243</v>
      </c>
      <c r="G9" s="60" t="str">
        <f t="shared" si="0"/>
        <v>[effect:enhance_enemy, target:enemy_all, turn:-1, status:attack, val:0.2, animation:enemy_enhance_attack]</v>
      </c>
      <c r="H9" s="60">
        <f t="shared" si="1"/>
        <v>9</v>
      </c>
      <c r="I9" s="60">
        <f t="shared" si="2"/>
        <v>22</v>
      </c>
      <c r="J9" s="60">
        <f t="shared" si="3"/>
        <v>31</v>
      </c>
      <c r="K9" s="60">
        <f t="shared" si="4"/>
        <v>40</v>
      </c>
      <c r="L9" s="60" t="str">
        <f>IFERROR(VLOOKUP(MID(G9,J9,K9-J9),[6]skilldef!$C:$D,2,FALSE),"-") &amp; " / " &amp; IFERROR(VLOOKUP(MID(G9,H9,I9-H9),[6]skilldef!$A:$B,2,FALSE),"-")</f>
        <v>敵全体に / ステータス強化</v>
      </c>
      <c r="M9" s="60" t="str">
        <f t="shared" si="5"/>
        <v>none</v>
      </c>
      <c r="N9" s="45" t="str">
        <f>IFERROR(LEFT(M9,FIND("],",M9)+S18),M9)</f>
        <v>none</v>
      </c>
      <c r="O9" s="60" t="e">
        <f t="shared" si="6"/>
        <v>#VALUE!</v>
      </c>
      <c r="P9" s="60">
        <f t="shared" si="7"/>
        <v>4</v>
      </c>
      <c r="Q9" s="60" t="e">
        <f t="shared" si="8"/>
        <v>#VALUE!</v>
      </c>
      <c r="R9" s="60" t="e">
        <f t="shared" si="9"/>
        <v>#VALUE!</v>
      </c>
      <c r="S9" s="60" t="str">
        <f>IFERROR(VLOOKUP(MID(N9,Q9,R9-Q9),[6]skilldef!$C:$D,2,FALSE),"-") &amp; " / " &amp; IFERROR(VLOOKUP(MID(N9,O9,P9-O9),[6]skilldef!$A:$B,2,FALSE),"-")</f>
        <v>- / -</v>
      </c>
      <c r="T9" s="45" t="str">
        <f t="shared" si="10"/>
        <v>none</v>
      </c>
      <c r="U9" s="60" t="e">
        <f t="shared" si="11"/>
        <v>#VALUE!</v>
      </c>
      <c r="V9" s="60">
        <f t="shared" si="12"/>
        <v>4</v>
      </c>
      <c r="W9" s="60" t="e">
        <f t="shared" si="13"/>
        <v>#VALUE!</v>
      </c>
      <c r="X9" s="60" t="e">
        <f t="shared" si="14"/>
        <v>#VALUE!</v>
      </c>
      <c r="Y9" s="60" t="str">
        <f>IFERROR(VLOOKUP(MID(T9,W9,X9-W9),[6]skilldef!$C:$D,2,FALSE),"-") &amp; " / " &amp; IFERROR(VLOOKUP(MID(T9,U9,V9-U9),[6]skilldef!$A:$B,2,FALSE),"-")</f>
        <v>- / -</v>
      </c>
      <c r="Z9" s="47"/>
      <c r="AA9" s="49"/>
      <c r="AB9" s="47"/>
    </row>
    <row r="10" spans="1:28" ht="21" customHeight="1" x14ac:dyDescent="0.15">
      <c r="A10" s="44">
        <v>30030009</v>
      </c>
      <c r="B10" s="44" t="s">
        <v>223</v>
      </c>
      <c r="C10" s="47">
        <v>3</v>
      </c>
      <c r="D10" s="47" t="s">
        <v>127</v>
      </c>
      <c r="E10" s="48" t="s">
        <v>224</v>
      </c>
      <c r="F10" s="48" t="s">
        <v>305</v>
      </c>
      <c r="G10" s="60" t="str">
        <f t="shared" si="0"/>
        <v>[effect:nothing]</v>
      </c>
      <c r="H10" s="60">
        <f t="shared" si="1"/>
        <v>9</v>
      </c>
      <c r="I10" s="60">
        <f t="shared" si="2"/>
        <v>16</v>
      </c>
      <c r="J10" s="60" t="e">
        <f t="shared" si="3"/>
        <v>#VALUE!</v>
      </c>
      <c r="K10" s="60" t="e">
        <f t="shared" si="4"/>
        <v>#VALUE!</v>
      </c>
      <c r="L10" s="60" t="str">
        <f>IFERROR(VLOOKUP(MID(G10,J10,K10-J10),[6]skilldef!$C:$D,2,FALSE),"-") &amp; " / " &amp; IFERROR(VLOOKUP(MID(G10,H10,I10-H10),[6]skilldef!$A:$B,2,FALSE),"-")</f>
        <v>- / 何もしない</v>
      </c>
      <c r="M10" s="60" t="str">
        <f t="shared" si="5"/>
        <v>none</v>
      </c>
      <c r="N10" s="45" t="str">
        <f>IFERROR(LEFT(M10,FIND("],",M10)+S20),M10)</f>
        <v>none</v>
      </c>
      <c r="O10" s="60" t="e">
        <f t="shared" si="6"/>
        <v>#VALUE!</v>
      </c>
      <c r="P10" s="60">
        <f t="shared" si="7"/>
        <v>4</v>
      </c>
      <c r="Q10" s="60" t="e">
        <f t="shared" si="8"/>
        <v>#VALUE!</v>
      </c>
      <c r="R10" s="60" t="e">
        <f t="shared" si="9"/>
        <v>#VALUE!</v>
      </c>
      <c r="S10" s="60" t="str">
        <f>IFERROR(VLOOKUP(MID(N10,Q10,R10-Q10),[6]skilldef!$C:$D,2,FALSE),"-") &amp; " / " &amp; IFERROR(VLOOKUP(MID(N10,O10,P10-O10),[6]skilldef!$A:$B,2,FALSE),"-")</f>
        <v>- / -</v>
      </c>
      <c r="T10" s="45" t="str">
        <f t="shared" si="10"/>
        <v>none</v>
      </c>
      <c r="U10" s="60" t="e">
        <f t="shared" si="11"/>
        <v>#VALUE!</v>
      </c>
      <c r="V10" s="60">
        <f t="shared" si="12"/>
        <v>4</v>
      </c>
      <c r="W10" s="60" t="e">
        <f t="shared" si="13"/>
        <v>#VALUE!</v>
      </c>
      <c r="X10" s="60" t="e">
        <f t="shared" si="14"/>
        <v>#VALUE!</v>
      </c>
      <c r="Y10" s="60" t="str">
        <f>IFERROR(VLOOKUP(MID(T10,W10,X10-W10),[6]skilldef!$C:$D,2,FALSE),"-") &amp; " / " &amp; IFERROR(VLOOKUP(MID(T10,U10,V10-U10),[6]skilldef!$A:$B,2,FALSE),"-")</f>
        <v>- / -</v>
      </c>
      <c r="Z10" s="47"/>
      <c r="AA10" s="49"/>
      <c r="AB10" s="47"/>
    </row>
    <row r="11" spans="1:28" ht="21" customHeight="1" x14ac:dyDescent="0.15">
      <c r="A11" s="44">
        <v>30030010</v>
      </c>
      <c r="B11" s="44" t="s">
        <v>241</v>
      </c>
      <c r="C11" s="47">
        <v>3</v>
      </c>
      <c r="D11" s="47" t="s">
        <v>127</v>
      </c>
      <c r="E11" s="48" t="s">
        <v>225</v>
      </c>
      <c r="F11" s="48" t="s">
        <v>304</v>
      </c>
      <c r="G11" s="60" t="str">
        <f t="shared" si="0"/>
        <v>[effect:spread, val:0.5]</v>
      </c>
      <c r="H11" s="60">
        <f t="shared" si="1"/>
        <v>9</v>
      </c>
      <c r="I11" s="60">
        <f t="shared" si="2"/>
        <v>15</v>
      </c>
      <c r="J11" s="60" t="e">
        <f t="shared" si="3"/>
        <v>#VALUE!</v>
      </c>
      <c r="K11" s="60" t="e">
        <f t="shared" si="4"/>
        <v>#VALUE!</v>
      </c>
      <c r="L11" s="60" t="str">
        <f>IFERROR(VLOOKUP(MID(G11,J11,K11-J11),[6]skilldef!$C:$D,2,FALSE),"-") &amp; " / " &amp; IFERROR(VLOOKUP(MID(G11,H11,I11-H11),[6]skilldef!$A:$B,2,FALSE),"-")</f>
        <v>- / 全体攻撃</v>
      </c>
      <c r="M11" s="60" t="str">
        <f t="shared" si="5"/>
        <v>none</v>
      </c>
      <c r="N11" s="45" t="str">
        <f>IFERROR(LEFT(M11,FIND("],",M11)+S20),M11)</f>
        <v>none</v>
      </c>
      <c r="O11" s="60" t="e">
        <f t="shared" si="6"/>
        <v>#VALUE!</v>
      </c>
      <c r="P11" s="60">
        <f t="shared" si="7"/>
        <v>4</v>
      </c>
      <c r="Q11" s="60" t="e">
        <f t="shared" si="8"/>
        <v>#VALUE!</v>
      </c>
      <c r="R11" s="60" t="e">
        <f t="shared" si="9"/>
        <v>#VALUE!</v>
      </c>
      <c r="S11" s="60" t="str">
        <f>IFERROR(VLOOKUP(MID(N11,Q11,R11-Q11),[6]skilldef!$C:$D,2,FALSE),"-") &amp; " / " &amp; IFERROR(VLOOKUP(MID(N11,O11,P11-O11),[6]skilldef!$A:$B,2,FALSE),"-")</f>
        <v>- / -</v>
      </c>
      <c r="T11" s="45" t="str">
        <f t="shared" si="10"/>
        <v>none</v>
      </c>
      <c r="U11" s="60" t="e">
        <f t="shared" si="11"/>
        <v>#VALUE!</v>
      </c>
      <c r="V11" s="60">
        <f t="shared" si="12"/>
        <v>4</v>
      </c>
      <c r="W11" s="60" t="e">
        <f t="shared" si="13"/>
        <v>#VALUE!</v>
      </c>
      <c r="X11" s="60" t="e">
        <f t="shared" si="14"/>
        <v>#VALUE!</v>
      </c>
      <c r="Y11" s="60" t="str">
        <f>IFERROR(VLOOKUP(MID(T11,W11,X11-W11),[6]skilldef!$C:$D,2,FALSE),"-") &amp; " / " &amp; IFERROR(VLOOKUP(MID(T11,U11,V11-U11),[6]skilldef!$A:$B,2,FALSE),"-")</f>
        <v>- / -</v>
      </c>
      <c r="Z11" s="47"/>
      <c r="AA11" s="49"/>
      <c r="AB11" s="47"/>
    </row>
    <row r="12" spans="1:28" ht="21" customHeight="1" x14ac:dyDescent="0.15">
      <c r="A12" s="44">
        <v>30030011</v>
      </c>
      <c r="B12" s="44" t="s">
        <v>252</v>
      </c>
      <c r="C12" s="47">
        <v>3</v>
      </c>
      <c r="D12" s="47" t="s">
        <v>127</v>
      </c>
      <c r="E12" s="48" t="s">
        <v>248</v>
      </c>
      <c r="F12" s="48" t="s">
        <v>311</v>
      </c>
      <c r="G12" s="60" t="str">
        <f t="shared" si="0"/>
        <v>[effect:enhance_enemy, target:myself, turn:-1, status:attack, val:0.4, animation:enemy_enhance_attack]</v>
      </c>
      <c r="H12" s="60">
        <f t="shared" si="1"/>
        <v>9</v>
      </c>
      <c r="I12" s="60">
        <f t="shared" si="2"/>
        <v>22</v>
      </c>
      <c r="J12" s="60">
        <f t="shared" si="3"/>
        <v>31</v>
      </c>
      <c r="K12" s="60">
        <f t="shared" si="4"/>
        <v>37</v>
      </c>
      <c r="L12" s="60" t="str">
        <f>IFERROR(VLOOKUP(MID(G12,J12,K12-J12),[6]skilldef!$C:$D,2,FALSE),"-") &amp; " / " &amp; IFERROR(VLOOKUP(MID(G12,H12,I12-H12),[6]skilldef!$A:$B,2,FALSE),"-")</f>
        <v>自分自身に / ステータス強化</v>
      </c>
      <c r="M12" s="60" t="str">
        <f t="shared" si="5"/>
        <v>none</v>
      </c>
      <c r="N12" s="45" t="str">
        <f>IFERROR(LEFT(M12,FIND("],",M12)+S19),M12)</f>
        <v>none</v>
      </c>
      <c r="O12" s="60" t="e">
        <f t="shared" si="6"/>
        <v>#VALUE!</v>
      </c>
      <c r="P12" s="60">
        <f t="shared" si="7"/>
        <v>4</v>
      </c>
      <c r="Q12" s="60" t="e">
        <f t="shared" si="8"/>
        <v>#VALUE!</v>
      </c>
      <c r="R12" s="60" t="e">
        <f t="shared" si="9"/>
        <v>#VALUE!</v>
      </c>
      <c r="S12" s="60" t="str">
        <f>IFERROR(VLOOKUP(MID(N12,Q12,R12-Q12),[6]skilldef!$C:$D,2,FALSE),"-") &amp; " / " &amp; IFERROR(VLOOKUP(MID(N12,O12,P12-O12),[6]skilldef!$A:$B,2,FALSE),"-")</f>
        <v>- / -</v>
      </c>
      <c r="T12" s="45" t="str">
        <f t="shared" si="10"/>
        <v>none</v>
      </c>
      <c r="U12" s="60" t="e">
        <f t="shared" si="11"/>
        <v>#VALUE!</v>
      </c>
      <c r="V12" s="60">
        <f t="shared" si="12"/>
        <v>4</v>
      </c>
      <c r="W12" s="60" t="e">
        <f t="shared" si="13"/>
        <v>#VALUE!</v>
      </c>
      <c r="X12" s="60" t="e">
        <f t="shared" si="14"/>
        <v>#VALUE!</v>
      </c>
      <c r="Y12" s="60" t="str">
        <f>IFERROR(VLOOKUP(MID(T12,W12,X12-W12),[6]skilldef!$C:$D,2,FALSE),"-") &amp; " / " &amp; IFERROR(VLOOKUP(MID(T12,U12,V12-U12),[6]skilldef!$A:$B,2,FALSE),"-")</f>
        <v>- / -</v>
      </c>
      <c r="Z12" s="47"/>
      <c r="AA12" s="49"/>
      <c r="AB12" s="47"/>
    </row>
    <row r="13" spans="1:28" ht="21" customHeight="1" x14ac:dyDescent="0.15">
      <c r="A13" s="44">
        <v>30030012</v>
      </c>
      <c r="B13" s="44" t="s">
        <v>279</v>
      </c>
      <c r="C13" s="47">
        <v>3</v>
      </c>
      <c r="D13" s="47" t="s">
        <v>127</v>
      </c>
      <c r="E13" s="48" t="s">
        <v>249</v>
      </c>
      <c r="F13" s="48" t="s">
        <v>310</v>
      </c>
      <c r="G13" s="60" t="str">
        <f t="shared" si="0"/>
        <v>[effect:enhance_enemy, target:myself, turn:-1, status:defense, val:1000, calc:add, animation:enemy_enhance_defense]</v>
      </c>
      <c r="H13" s="60">
        <f t="shared" si="1"/>
        <v>9</v>
      </c>
      <c r="I13" s="60">
        <f t="shared" si="2"/>
        <v>22</v>
      </c>
      <c r="J13" s="60">
        <f t="shared" si="3"/>
        <v>31</v>
      </c>
      <c r="K13" s="60">
        <f t="shared" si="4"/>
        <v>37</v>
      </c>
      <c r="L13" s="60" t="str">
        <f>IFERROR(VLOOKUP(MID(G13,J13,K13-J13),[6]skilldef!$C:$D,2,FALSE),"-") &amp; " / " &amp; IFERROR(VLOOKUP(MID(G13,H13,I13-H13),[6]skilldef!$A:$B,2,FALSE),"-")</f>
        <v>自分自身に / ステータス強化</v>
      </c>
      <c r="M13" s="60" t="str">
        <f t="shared" si="5"/>
        <v>none</v>
      </c>
      <c r="N13" s="45" t="str">
        <f>IFERROR(LEFT(M13,FIND("],",M13)+S21),M13)</f>
        <v>none</v>
      </c>
      <c r="O13" s="60" t="e">
        <f t="shared" si="6"/>
        <v>#VALUE!</v>
      </c>
      <c r="P13" s="60">
        <f t="shared" si="7"/>
        <v>4</v>
      </c>
      <c r="Q13" s="60" t="e">
        <f t="shared" si="8"/>
        <v>#VALUE!</v>
      </c>
      <c r="R13" s="60" t="e">
        <f t="shared" si="9"/>
        <v>#VALUE!</v>
      </c>
      <c r="S13" s="60" t="str">
        <f>IFERROR(VLOOKUP(MID(N13,Q13,R13-Q13),[6]skilldef!$C:$D,2,FALSE),"-") &amp; " / " &amp; IFERROR(VLOOKUP(MID(N13,O13,P13-O13),[6]skilldef!$A:$B,2,FALSE),"-")</f>
        <v>- / -</v>
      </c>
      <c r="T13" s="45" t="str">
        <f t="shared" si="10"/>
        <v>none</v>
      </c>
      <c r="U13" s="60" t="e">
        <f t="shared" si="11"/>
        <v>#VALUE!</v>
      </c>
      <c r="V13" s="60">
        <f t="shared" si="12"/>
        <v>4</v>
      </c>
      <c r="W13" s="60" t="e">
        <f t="shared" si="13"/>
        <v>#VALUE!</v>
      </c>
      <c r="X13" s="60" t="e">
        <f t="shared" si="14"/>
        <v>#VALUE!</v>
      </c>
      <c r="Y13" s="60" t="str">
        <f>IFERROR(VLOOKUP(MID(T13,W13,X13-W13),[6]skilldef!$C:$D,2,FALSE),"-") &amp; " / " &amp; IFERROR(VLOOKUP(MID(T13,U13,V13-U13),[6]skilldef!$A:$B,2,FALSE),"-")</f>
        <v>- / -</v>
      </c>
      <c r="Z13" s="47"/>
      <c r="AA13" s="49"/>
      <c r="AB13" s="47"/>
    </row>
    <row r="14" spans="1:28" ht="21" customHeight="1" x14ac:dyDescent="0.15">
      <c r="A14" s="44">
        <v>30030013</v>
      </c>
      <c r="B14" s="44" t="s">
        <v>230</v>
      </c>
      <c r="C14" s="47">
        <v>3</v>
      </c>
      <c r="D14" s="47" t="s">
        <v>127</v>
      </c>
      <c r="E14" s="48" t="s">
        <v>245</v>
      </c>
      <c r="F14" s="48" t="s">
        <v>312</v>
      </c>
      <c r="G14" s="60" t="str">
        <f t="shared" si="0"/>
        <v>[effect:panel_freeze, target:block_all, count:8, break_count:1]</v>
      </c>
      <c r="H14" s="60">
        <f t="shared" si="1"/>
        <v>9</v>
      </c>
      <c r="I14" s="60">
        <f t="shared" si="2"/>
        <v>21</v>
      </c>
      <c r="J14" s="60">
        <f t="shared" si="3"/>
        <v>30</v>
      </c>
      <c r="K14" s="60">
        <f t="shared" si="4"/>
        <v>39</v>
      </c>
      <c r="L14" s="60" t="str">
        <f>IFERROR(VLOOKUP(MID(G14,J14,K14-J14),[6]skilldef!$C:$D,2,FALSE),"-") &amp; " / " &amp; IFERROR(VLOOKUP(MID(G14,H14,I14-H14),[6]skilldef!$A:$B,2,FALSE),"-")</f>
        <v>- / -</v>
      </c>
      <c r="M14" s="60" t="str">
        <f t="shared" si="5"/>
        <v>none</v>
      </c>
      <c r="N14" s="45" t="str">
        <f>IFERROR(LEFT(M14,FIND("],",M14)+S22),M14)</f>
        <v>none</v>
      </c>
      <c r="O14" s="60" t="e">
        <f t="shared" si="6"/>
        <v>#VALUE!</v>
      </c>
      <c r="P14" s="60">
        <f t="shared" si="7"/>
        <v>4</v>
      </c>
      <c r="Q14" s="60" t="e">
        <f t="shared" si="8"/>
        <v>#VALUE!</v>
      </c>
      <c r="R14" s="60" t="e">
        <f t="shared" si="9"/>
        <v>#VALUE!</v>
      </c>
      <c r="S14" s="60" t="str">
        <f>IFERROR(VLOOKUP(MID(N14,Q14,R14-Q14),[6]skilldef!$C:$D,2,FALSE),"-") &amp; " / " &amp; IFERROR(VLOOKUP(MID(N14,O14,P14-O14),[6]skilldef!$A:$B,2,FALSE),"-")</f>
        <v>- / -</v>
      </c>
      <c r="T14" s="45" t="str">
        <f t="shared" si="10"/>
        <v>none</v>
      </c>
      <c r="U14" s="60" t="e">
        <f t="shared" si="11"/>
        <v>#VALUE!</v>
      </c>
      <c r="V14" s="60">
        <f t="shared" si="12"/>
        <v>4</v>
      </c>
      <c r="W14" s="60" t="e">
        <f t="shared" si="13"/>
        <v>#VALUE!</v>
      </c>
      <c r="X14" s="60" t="e">
        <f t="shared" si="14"/>
        <v>#VALUE!</v>
      </c>
      <c r="Y14" s="60" t="str">
        <f>IFERROR(VLOOKUP(MID(T14,W14,X14-W14),[6]skilldef!$C:$D,2,FALSE),"-") &amp; " / " &amp; IFERROR(VLOOKUP(MID(T14,U14,V14-U14),[6]skilldef!$A:$B,2,FALSE),"-")</f>
        <v>- / -</v>
      </c>
      <c r="Z14" s="47"/>
      <c r="AA14" s="49"/>
      <c r="AB14" s="47"/>
    </row>
    <row r="15" spans="1:28" ht="21" customHeight="1" x14ac:dyDescent="0.15">
      <c r="A15" s="44">
        <v>30030014</v>
      </c>
      <c r="B15" s="134" t="s">
        <v>280</v>
      </c>
      <c r="C15" s="47">
        <v>3</v>
      </c>
      <c r="D15" s="47" t="s">
        <v>127</v>
      </c>
      <c r="E15" s="48" t="s">
        <v>246</v>
      </c>
      <c r="F15" s="48" t="s">
        <v>313</v>
      </c>
      <c r="G15" s="60" t="str">
        <f t="shared" si="0"/>
        <v>[effect:enhance_enemy, target:myself, turn:-1, status:attack, val:0.1, animation:enemy_enhance_attack]</v>
      </c>
      <c r="H15" s="60">
        <f t="shared" si="1"/>
        <v>9</v>
      </c>
      <c r="I15" s="60">
        <f t="shared" si="2"/>
        <v>22</v>
      </c>
      <c r="J15" s="60">
        <f t="shared" si="3"/>
        <v>31</v>
      </c>
      <c r="K15" s="60">
        <f t="shared" si="4"/>
        <v>37</v>
      </c>
      <c r="L15" s="60" t="str">
        <f>IFERROR(VLOOKUP(MID(G15,J15,K15-J15),[6]skilldef!$C:$D,2,FALSE),"-") &amp; " / " &amp; IFERROR(VLOOKUP(MID(G15,H15,I15-H15),[6]skilldef!$A:$B,2,FALSE),"-")</f>
        <v>自分自身に / ステータス強化</v>
      </c>
      <c r="M15" s="60" t="str">
        <f t="shared" si="5"/>
        <v>[effect:enhance_enemy, target:myself, turn:-1, status:defense, val:500, calc:add, animation:enemy_enhance_defense],[effect:panel_freeze, target:block_heart, color:block_heart, count:-1, break_count:1]</v>
      </c>
      <c r="N15" s="45" t="str">
        <f>IFERROR(LEFT(M15,FIND("],",M15)+S23),M15)</f>
        <v>[effect:enhance_enemy, target:myself, turn:-1, status:defense, val:500, calc:add, animation:enemy_enhance_defense]</v>
      </c>
      <c r="O15" s="60">
        <f t="shared" si="6"/>
        <v>9</v>
      </c>
      <c r="P15" s="60">
        <f t="shared" si="7"/>
        <v>22</v>
      </c>
      <c r="Q15" s="60">
        <f t="shared" si="8"/>
        <v>31</v>
      </c>
      <c r="R15" s="60">
        <f t="shared" si="9"/>
        <v>37</v>
      </c>
      <c r="S15" s="60" t="str">
        <f>IFERROR(VLOOKUP(MID(N15,Q15,R15-Q15),[6]skilldef!$C:$D,2,FALSE),"-") &amp; " / " &amp; IFERROR(VLOOKUP(MID(N15,O15,P15-O15),[6]skilldef!$A:$B,2,FALSE),"-")</f>
        <v>自分自身に / ステータス強化</v>
      </c>
      <c r="T15" s="45" t="str">
        <f t="shared" si="10"/>
        <v>[effect:panel_freeze, target:block_heart, color:block_heart, count:-1, break_count:1]</v>
      </c>
      <c r="U15" s="60">
        <f t="shared" si="11"/>
        <v>9</v>
      </c>
      <c r="V15" s="60">
        <f t="shared" si="12"/>
        <v>21</v>
      </c>
      <c r="W15" s="60">
        <f t="shared" si="13"/>
        <v>30</v>
      </c>
      <c r="X15" s="60">
        <f t="shared" si="14"/>
        <v>41</v>
      </c>
      <c r="Y15" s="60" t="str">
        <f>IFERROR(VLOOKUP(MID(T15,W15,X15-W15),[6]skilldef!$C:$D,2,FALSE),"-") &amp; " / " &amp; IFERROR(VLOOKUP(MID(T15,U15,V15-U15),[6]skilldef!$A:$B,2,FALSE),"-")</f>
        <v>ハートパネルを / -</v>
      </c>
      <c r="Z15" s="47"/>
      <c r="AA15" s="49"/>
      <c r="AB15" s="47"/>
    </row>
    <row r="16" spans="1:28" ht="21" customHeight="1" x14ac:dyDescent="0.15">
      <c r="A16" s="44">
        <v>30030015</v>
      </c>
      <c r="B16" s="134" t="s">
        <v>240</v>
      </c>
      <c r="C16" s="47">
        <v>3</v>
      </c>
      <c r="D16" s="47" t="s">
        <v>127</v>
      </c>
      <c r="E16" s="48" t="s">
        <v>244</v>
      </c>
      <c r="F16" s="48" t="s">
        <v>319</v>
      </c>
      <c r="G16" s="60" t="str">
        <f t="shared" si="0"/>
        <v>[effect:critical, val:1.2]</v>
      </c>
      <c r="H16" s="60">
        <f t="shared" si="1"/>
        <v>9</v>
      </c>
      <c r="I16" s="60">
        <f t="shared" si="2"/>
        <v>17</v>
      </c>
      <c r="J16" s="60" t="e">
        <f t="shared" si="3"/>
        <v>#VALUE!</v>
      </c>
      <c r="K16" s="60" t="e">
        <f t="shared" si="4"/>
        <v>#VALUE!</v>
      </c>
      <c r="L16" s="60" t="str">
        <f>IFERROR(VLOOKUP(MID(G16,J16,K16-J16),[6]skilldef!$C:$D,2,FALSE),"-") &amp; " / " &amp; IFERROR(VLOOKUP(MID(G16,H16,I16-H16),[6]skilldef!$A:$B,2,FALSE),"-")</f>
        <v>- / 大攻撃</v>
      </c>
      <c r="M16" s="60" t="str">
        <f t="shared" si="5"/>
        <v>[effect:hungup, target:unit_one, turn:2, rate:1, animation:hungup01]</v>
      </c>
      <c r="N16" s="45" t="str">
        <f>IFERROR(LEFT(M16,FIND("],",M16)+S24),M16)</f>
        <v>[effect:hungup, target:unit_one, turn:2, rate:1, animation:hungup01]</v>
      </c>
      <c r="O16" s="60">
        <f t="shared" si="6"/>
        <v>9</v>
      </c>
      <c r="P16" s="60">
        <f t="shared" si="7"/>
        <v>15</v>
      </c>
      <c r="Q16" s="60">
        <f t="shared" si="8"/>
        <v>24</v>
      </c>
      <c r="R16" s="60">
        <f t="shared" si="9"/>
        <v>32</v>
      </c>
      <c r="S16" s="60" t="str">
        <f>IFERROR(VLOOKUP(MID(N16,Q16,R16-Q16),[6]skilldef!$C:$D,2,FALSE),"-") &amp; " / " &amp; IFERROR(VLOOKUP(MID(N16,O16,P16-O16),[6]skilldef!$A:$B,2,FALSE),"-")</f>
        <v>味方単体に / ハングアップ</v>
      </c>
      <c r="T16" s="45" t="str">
        <f t="shared" si="10"/>
        <v>none</v>
      </c>
      <c r="U16" s="60" t="e">
        <f t="shared" si="11"/>
        <v>#VALUE!</v>
      </c>
      <c r="V16" s="60">
        <f t="shared" si="12"/>
        <v>4</v>
      </c>
      <c r="W16" s="60" t="e">
        <f t="shared" si="13"/>
        <v>#VALUE!</v>
      </c>
      <c r="X16" s="60" t="e">
        <f t="shared" si="14"/>
        <v>#VALUE!</v>
      </c>
      <c r="Y16" s="60" t="str">
        <f>IFERROR(VLOOKUP(MID(T16,W16,X16-W16),[6]skilldef!$C:$D,2,FALSE),"-") &amp; " / " &amp; IFERROR(VLOOKUP(MID(T16,U16,V16-U16),[6]skilldef!$A:$B,2,FALSE),"-")</f>
        <v>- / -</v>
      </c>
      <c r="Z16" s="47"/>
      <c r="AA16" s="49"/>
      <c r="AB16" s="47"/>
    </row>
    <row r="17" spans="1:28" ht="21" customHeight="1" x14ac:dyDescent="0.15">
      <c r="A17" s="44">
        <v>30030016</v>
      </c>
      <c r="B17" s="134" t="s">
        <v>231</v>
      </c>
      <c r="C17" s="47">
        <v>3</v>
      </c>
      <c r="D17" s="47" t="s">
        <v>127</v>
      </c>
      <c r="E17" s="48" t="s">
        <v>314</v>
      </c>
      <c r="F17" s="48" t="s">
        <v>315</v>
      </c>
      <c r="G17" s="60" t="str">
        <f t="shared" ref="G17" si="15">IFERROR(LEFT(B17,FIND("],",B17)),B17)</f>
        <v>[effect:panel_freeze, target:block_all, count:8, break_count:1]</v>
      </c>
      <c r="H17" s="60">
        <f t="shared" si="1"/>
        <v>9</v>
      </c>
      <c r="I17" s="60">
        <f t="shared" ref="I17" si="16">IFERROR(FIND(",",G17),LEN(G17))</f>
        <v>21</v>
      </c>
      <c r="J17" s="60">
        <f t="shared" ref="J17" si="17">FIND("target:",G17)+7</f>
        <v>30</v>
      </c>
      <c r="K17" s="60">
        <f t="shared" ref="K17" si="18">FIND(",",G17,I17+1)</f>
        <v>39</v>
      </c>
      <c r="L17" s="60" t="str">
        <f>IFERROR(VLOOKUP(MID(G17,J17,K17-J17),[6]skilldef!$C:$D,2,FALSE),"-") &amp; " / " &amp; IFERROR(VLOOKUP(MID(G17,H17,I17-H17),[6]skilldef!$A:$B,2,FALSE),"-")</f>
        <v>- / -</v>
      </c>
      <c r="M17" s="60" t="str">
        <f t="shared" ref="M17" si="19">IFERROR(RIGHT(B17,LEN(B17)-FIND("],",B17)-1),"none")</f>
        <v>none</v>
      </c>
      <c r="N17" s="45" t="str">
        <f>IFERROR(LEFT(M17,FIND("],",M17)+S25),M17)</f>
        <v>none</v>
      </c>
      <c r="O17" s="60" t="e">
        <f t="shared" si="6"/>
        <v>#VALUE!</v>
      </c>
      <c r="P17" s="60">
        <f t="shared" ref="P17" si="20">IFERROR(FIND(",",N17),LEN(N17))</f>
        <v>4</v>
      </c>
      <c r="Q17" s="60" t="e">
        <f t="shared" ref="Q17" si="21">FIND("target:",N17)+7</f>
        <v>#VALUE!</v>
      </c>
      <c r="R17" s="60" t="e">
        <f t="shared" ref="R17" si="22">FIND(",",N17,P17+1)</f>
        <v>#VALUE!</v>
      </c>
      <c r="S17" s="60" t="str">
        <f>IFERROR(VLOOKUP(MID(N17,Q17,R17-Q17),[6]skilldef!$C:$D,2,FALSE),"-") &amp; " / " &amp; IFERROR(VLOOKUP(MID(N17,O17,P17-O17),[6]skilldef!$A:$B,2,FALSE),"-")</f>
        <v>- / -</v>
      </c>
      <c r="T17" s="45" t="str">
        <f t="shared" ref="T17" si="23">IFERROR(RIGHT(M17,LEN(M17)-FIND("],",M17)-1),"none")</f>
        <v>none</v>
      </c>
      <c r="U17" s="60" t="e">
        <f t="shared" si="11"/>
        <v>#VALUE!</v>
      </c>
      <c r="V17" s="60">
        <f t="shared" ref="V17" si="24">IFERROR(FIND(",",T17),LEN(T17))</f>
        <v>4</v>
      </c>
      <c r="W17" s="60" t="e">
        <f t="shared" ref="W17" si="25">FIND("target:",T17)+7</f>
        <v>#VALUE!</v>
      </c>
      <c r="X17" s="60" t="e">
        <f t="shared" ref="X17" si="26">FIND(",",T17,V17+1)</f>
        <v>#VALUE!</v>
      </c>
      <c r="Y17" s="60" t="str">
        <f>IFERROR(VLOOKUP(MID(T17,W17,X17-W17),[6]skilldef!$C:$D,2,FALSE),"-") &amp; " / " &amp; IFERROR(VLOOKUP(MID(T17,U17,V17-U17),[6]skilldef!$A:$B,2,FALSE),"-")</f>
        <v>- / -</v>
      </c>
      <c r="Z17" s="47"/>
      <c r="AA17" s="49"/>
      <c r="AB17" s="47"/>
    </row>
    <row r="18" spans="1:28" ht="21" customHeight="1" x14ac:dyDescent="0.15">
      <c r="A18" s="44">
        <v>30030017</v>
      </c>
      <c r="B18" s="134" t="s">
        <v>250</v>
      </c>
      <c r="C18" s="47">
        <v>3</v>
      </c>
      <c r="D18" s="47" t="s">
        <v>127</v>
      </c>
      <c r="E18" s="48" t="s">
        <v>234</v>
      </c>
      <c r="F18" s="48" t="s">
        <v>233</v>
      </c>
      <c r="G18" s="60" t="str">
        <f t="shared" ref="G18" si="27">IFERROR(LEFT(B18,FIND("],",B18)),B18)</f>
        <v>[effect:spread, val:0.28]</v>
      </c>
      <c r="H18" s="60">
        <f t="shared" si="1"/>
        <v>9</v>
      </c>
      <c r="I18" s="60">
        <f t="shared" ref="I18" si="28">IFERROR(FIND(",",G18),LEN(G18))</f>
        <v>15</v>
      </c>
      <c r="J18" s="60" t="e">
        <f t="shared" ref="J18" si="29">FIND("target:",G18)+7</f>
        <v>#VALUE!</v>
      </c>
      <c r="K18" s="60" t="e">
        <f t="shared" ref="K18" si="30">FIND(",",G18,I18+1)</f>
        <v>#VALUE!</v>
      </c>
      <c r="L18" s="60" t="str">
        <f>IFERROR(VLOOKUP(MID(G18,J18,K18-J18),[6]skilldef!$C:$D,2,FALSE),"-") &amp; " / " &amp; IFERROR(VLOOKUP(MID(G18,H18,I18-H18),[6]skilldef!$A:$B,2,FALSE),"-")</f>
        <v>- / 全体攻撃</v>
      </c>
      <c r="M18" s="60" t="str">
        <f t="shared" ref="M18" si="31">IFERROR(RIGHT(B18,LEN(B18)-FIND("],",B18)-1),"none")</f>
        <v>none</v>
      </c>
      <c r="N18" s="45" t="str">
        <f>IFERROR(LEFT(M18,FIND("],",M18)+S27),M18)</f>
        <v>none</v>
      </c>
      <c r="O18" s="60" t="e">
        <f t="shared" si="6"/>
        <v>#VALUE!</v>
      </c>
      <c r="P18" s="60">
        <f t="shared" ref="P18" si="32">IFERROR(FIND(",",N18),LEN(N18))</f>
        <v>4</v>
      </c>
      <c r="Q18" s="60" t="e">
        <f t="shared" ref="Q18" si="33">FIND("target:",N18)+7</f>
        <v>#VALUE!</v>
      </c>
      <c r="R18" s="60" t="e">
        <f t="shared" ref="R18" si="34">FIND(",",N18,P18+1)</f>
        <v>#VALUE!</v>
      </c>
      <c r="S18" s="60" t="str">
        <f>IFERROR(VLOOKUP(MID(N18,Q18,R18-Q18),[6]skilldef!$C:$D,2,FALSE),"-") &amp; " / " &amp; IFERROR(VLOOKUP(MID(N18,O18,P18-O18),[6]skilldef!$A:$B,2,FALSE),"-")</f>
        <v>- / -</v>
      </c>
      <c r="T18" s="45" t="str">
        <f t="shared" ref="T18" si="35">IFERROR(RIGHT(M18,LEN(M18)-FIND("],",M18)-1),"none")</f>
        <v>none</v>
      </c>
      <c r="U18" s="60" t="e">
        <f t="shared" si="11"/>
        <v>#VALUE!</v>
      </c>
      <c r="V18" s="60">
        <f t="shared" ref="V18" si="36">IFERROR(FIND(",",T18),LEN(T18))</f>
        <v>4</v>
      </c>
      <c r="W18" s="60" t="e">
        <f t="shared" ref="W18" si="37">FIND("target:",T18)+7</f>
        <v>#VALUE!</v>
      </c>
      <c r="X18" s="60" t="e">
        <f t="shared" ref="X18" si="38">FIND(",",T18,V18+1)</f>
        <v>#VALUE!</v>
      </c>
      <c r="Y18" s="60" t="str">
        <f>IFERROR(VLOOKUP(MID(T18,W18,X18-W18),[6]skilldef!$C:$D,2,FALSE),"-") &amp; " / " &amp; IFERROR(VLOOKUP(MID(T18,U18,V18-U18),[6]skilldef!$A:$B,2,FALSE),"-")</f>
        <v>- / -</v>
      </c>
      <c r="Z18" s="47"/>
      <c r="AA18" s="49"/>
      <c r="AB18" s="47"/>
    </row>
    <row r="19" spans="1:28" ht="21" customHeight="1" x14ac:dyDescent="0.15">
      <c r="A19" s="44">
        <v>30030018</v>
      </c>
      <c r="B19" s="134" t="s">
        <v>251</v>
      </c>
      <c r="C19" s="47">
        <v>3</v>
      </c>
      <c r="D19" s="47" t="s">
        <v>127</v>
      </c>
      <c r="E19" s="48" t="s">
        <v>235</v>
      </c>
      <c r="F19" s="48" t="s">
        <v>316</v>
      </c>
      <c r="G19" s="60" t="str">
        <f t="shared" ref="G19" si="39">IFERROR(LEFT(B19,FIND("],",B19)),B19)</f>
        <v>[effect:rush, count:8, val:0.13]</v>
      </c>
      <c r="H19" s="60">
        <f>FIND("effect:",G19)+7</f>
        <v>9</v>
      </c>
      <c r="I19" s="60">
        <f t="shared" ref="I19" si="40">IFERROR(FIND(",",G19),LEN(G19))</f>
        <v>13</v>
      </c>
      <c r="J19" s="60" t="e">
        <f t="shared" ref="J19" si="41">FIND("target:",G19)+7</f>
        <v>#VALUE!</v>
      </c>
      <c r="K19" s="60">
        <f t="shared" ref="K19" si="42">FIND(",",G19,I19+1)</f>
        <v>22</v>
      </c>
      <c r="L19" s="60" t="str">
        <f>IFERROR(VLOOKUP(MID(G19,J19,K19-J19),[6]skilldef!$C:$D,2,FALSE),"-") &amp; " / " &amp; IFERROR(VLOOKUP(MID(G19,H19,I19-H19),[6]skilldef!$A:$B,2,FALSE),"-")</f>
        <v>- / 連続攻撃</v>
      </c>
      <c r="M19" s="60" t="str">
        <f t="shared" ref="M19" si="43">IFERROR(RIGHT(B19,LEN(B19)-FIND("],",B19)-1),"none")</f>
        <v>[effect:panel_freeze, target:block_red, count:1, break_count:1],[effect:panel_freeze, target:block_blue, count:1, break_count:1],[effect:panel_freeze, target:block_green, count:1, break_count:1],[effect:panel_freeze, target:block_yellow, count:1, break_count:1],[effect:panel_freeze, target:block_heart, count:1, break_count:1]</v>
      </c>
      <c r="N19" s="45" t="str">
        <f>IFERROR(LEFT(M19,FIND("],",M19)+S29),M19)</f>
        <v>[effect:panel_freeze, target:block_red, count:1, break_count:1]</v>
      </c>
      <c r="O19" s="60">
        <f>FIND("effect:",N19)+7</f>
        <v>9</v>
      </c>
      <c r="P19" s="60">
        <f t="shared" ref="P19" si="44">IFERROR(FIND(",",N19),LEN(N19))</f>
        <v>21</v>
      </c>
      <c r="Q19" s="60">
        <f t="shared" ref="Q19" si="45">FIND("target:",N19)+7</f>
        <v>30</v>
      </c>
      <c r="R19" s="60">
        <f t="shared" ref="R19" si="46">FIND(",",N19,P19+1)</f>
        <v>39</v>
      </c>
      <c r="S19" s="60" t="str">
        <f>IFERROR(VLOOKUP(MID(N19,Q19,R19-Q19),[6]skilldef!$C:$D,2,FALSE),"-") &amp; " / " &amp; IFERROR(VLOOKUP(MID(N19,O19,P19-O19),[6]skilldef!$A:$B,2,FALSE),"-")</f>
        <v>赤パネルを / -</v>
      </c>
      <c r="T19" s="45" t="str">
        <f t="shared" ref="T19" si="47">IFERROR(RIGHT(M19,LEN(M19)-FIND("],",M19)-1),"none")</f>
        <v>[effect:panel_freeze, target:block_blue, count:1, break_count:1],[effect:panel_freeze, target:block_green, count:1, break_count:1],[effect:panel_freeze, target:block_yellow, count:1, break_count:1],[effect:panel_freeze, target:block_heart, count:1, break_count:1]</v>
      </c>
      <c r="U19" s="60">
        <f>FIND("effect:",T19)+7</f>
        <v>9</v>
      </c>
      <c r="V19" s="60">
        <f t="shared" ref="V19" si="48">IFERROR(FIND(",",T19),LEN(T19))</f>
        <v>21</v>
      </c>
      <c r="W19" s="60">
        <f t="shared" ref="W19" si="49">FIND("target:",T19)+7</f>
        <v>30</v>
      </c>
      <c r="X19" s="60">
        <f t="shared" ref="X19" si="50">FIND(",",T19,V19+1)</f>
        <v>40</v>
      </c>
      <c r="Y19" s="60" t="str">
        <f>IFERROR(VLOOKUP(MID(T19,W19,X19-W19),[6]skilldef!$C:$D,2,FALSE),"-") &amp; " / " &amp; IFERROR(VLOOKUP(MID(T19,U19,V19-U19),[6]skilldef!$A:$B,2,FALSE),"-")</f>
        <v>青パネルを / -</v>
      </c>
      <c r="Z19" s="47"/>
      <c r="AA19" s="49"/>
      <c r="AB19" s="47"/>
    </row>
    <row r="20" spans="1:28" ht="21" customHeight="1" x14ac:dyDescent="0.15">
      <c r="A20" s="44">
        <v>30030019</v>
      </c>
      <c r="B20" s="134" t="s">
        <v>262</v>
      </c>
      <c r="C20" s="47">
        <v>3</v>
      </c>
      <c r="D20" s="47" t="s">
        <v>127</v>
      </c>
      <c r="E20" s="48" t="s">
        <v>261</v>
      </c>
      <c r="F20" s="48" t="s">
        <v>317</v>
      </c>
      <c r="G20" s="60" t="str">
        <f t="shared" ref="G20" si="51">IFERROR(LEFT(B20,FIND("],",B20)),B20)</f>
        <v>[effect:virus, turn:-1, rate:1, val:0.15, animation:enemy_virus]</v>
      </c>
      <c r="H20" s="60">
        <f t="shared" si="1"/>
        <v>9</v>
      </c>
      <c r="I20" s="60">
        <f t="shared" ref="I20" si="52">IFERROR(FIND(",",G20),LEN(G20))</f>
        <v>14</v>
      </c>
      <c r="J20" s="60" t="e">
        <f t="shared" ref="J20" si="53">FIND("target:",G20)+7</f>
        <v>#VALUE!</v>
      </c>
      <c r="K20" s="60">
        <f t="shared" ref="K20" si="54">FIND(",",G20,I20+1)</f>
        <v>23</v>
      </c>
      <c r="L20" s="60" t="str">
        <f>IFERROR(VLOOKUP(MID(G20,J20,K20-J20),[6]skilldef!$C:$D,2,FALSE),"-") &amp; " / " &amp; IFERROR(VLOOKUP(MID(G20,H20,I20-H20),[6]skilldef!$A:$B,2,FALSE),"-")</f>
        <v>- / ウィルス</v>
      </c>
      <c r="M20" s="60" t="str">
        <f t="shared" ref="M20" si="55">IFERROR(RIGHT(B20,LEN(B20)-FIND("],",B20)-1),"none")</f>
        <v>[effect:break_enchance_enemy, val:0.05, lowest_val:0.05, count :-1, status:attack, turn:-1, block:block_yellow, target:myself, calc:mul, animation:enemy_enhance_attack]</v>
      </c>
      <c r="N20" s="45" t="str">
        <f>IFERROR(LEFT(M20,FIND("],",M20)+S28),M20)</f>
        <v>[effect:break_enchance_enemy, val:0.05, lowest_val:0.05, count :-1, status:attack, turn:-1, block:block_yellow, target:myself, calc:mul, animation:enemy_enhance_attack]</v>
      </c>
      <c r="O20" s="60">
        <f t="shared" si="6"/>
        <v>9</v>
      </c>
      <c r="P20" s="60">
        <f t="shared" ref="P20" si="56">IFERROR(FIND(",",N20),LEN(N20))</f>
        <v>29</v>
      </c>
      <c r="Q20" s="60">
        <f t="shared" ref="Q20" si="57">FIND("target:",N20)+7</f>
        <v>120</v>
      </c>
      <c r="R20" s="60">
        <f t="shared" ref="R20" si="58">FIND(",",N20,P20+1)</f>
        <v>39</v>
      </c>
      <c r="S20" s="60" t="str">
        <f>IFERROR(VLOOKUP(MID(N20,Q20,R20-Q20),[6]skilldef!$C:$D,2,FALSE),"-") &amp; " / " &amp; IFERROR(VLOOKUP(MID(N20,O20,P20-O20),[6]skilldef!$A:$B,2,FALSE),"-")</f>
        <v>- / -</v>
      </c>
      <c r="T20" s="45" t="str">
        <f t="shared" ref="T20" si="59">IFERROR(RIGHT(M20,LEN(M20)-FIND("],",M20)-1),"none")</f>
        <v>none</v>
      </c>
      <c r="U20" s="60" t="e">
        <f t="shared" si="11"/>
        <v>#VALUE!</v>
      </c>
      <c r="V20" s="60">
        <f t="shared" ref="V20" si="60">IFERROR(FIND(",",T20),LEN(T20))</f>
        <v>4</v>
      </c>
      <c r="W20" s="60" t="e">
        <f t="shared" ref="W20" si="61">FIND("target:",T20)+7</f>
        <v>#VALUE!</v>
      </c>
      <c r="X20" s="60" t="e">
        <f t="shared" ref="X20" si="62">FIND(",",T20,V20+1)</f>
        <v>#VALUE!</v>
      </c>
      <c r="Y20" s="60" t="str">
        <f>IFERROR(VLOOKUP(MID(T20,W20,X20-W20),[6]skilldef!$C:$D,2,FALSE),"-") &amp; " / " &amp; IFERROR(VLOOKUP(MID(T20,U20,V20-U20),[6]skilldef!$A:$B,2,FALSE),"-")</f>
        <v>- / -</v>
      </c>
      <c r="Z20" s="47"/>
      <c r="AA20" s="49"/>
      <c r="AB20" s="47"/>
    </row>
    <row r="21" spans="1:28" ht="21" customHeight="1" x14ac:dyDescent="0.15">
      <c r="A21" s="44">
        <v>30030020</v>
      </c>
      <c r="B21" s="134" t="s">
        <v>274</v>
      </c>
      <c r="C21" s="47">
        <v>3</v>
      </c>
      <c r="D21" s="47" t="s">
        <v>127</v>
      </c>
      <c r="E21" s="48" t="s">
        <v>236</v>
      </c>
      <c r="F21" s="48" t="s">
        <v>318</v>
      </c>
      <c r="G21" s="60" t="str">
        <f t="shared" ref="G21" si="63">IFERROR(LEFT(B21,FIND("],",B21)),B21)</f>
        <v>[effect:break_heal_ratio, val:0.05, lowest_val:5000, count:8, block:block_heart, target:enemy_all, animation:enemy_heal]</v>
      </c>
      <c r="H21" s="60">
        <f t="shared" si="1"/>
        <v>9</v>
      </c>
      <c r="I21" s="60">
        <f t="shared" ref="I21" si="64">IFERROR(FIND(",",G21),LEN(G21))</f>
        <v>25</v>
      </c>
      <c r="J21" s="60">
        <f t="shared" ref="J21" si="65">FIND("target:",G21)+7</f>
        <v>89</v>
      </c>
      <c r="K21" s="60">
        <f t="shared" ref="K21" si="66">FIND(",",G21,I21+1)</f>
        <v>35</v>
      </c>
      <c r="L21" s="60" t="str">
        <f>IFERROR(VLOOKUP(MID(G21,J21,K21-J21),[6]skilldef!$C:$D,2,FALSE),"-") &amp; " / " &amp; IFERROR(VLOOKUP(MID(G21,H21,I21-H21),[6]skilldef!$A:$B,2,FALSE),"-")</f>
        <v>- / -</v>
      </c>
      <c r="M21" s="60" t="str">
        <f t="shared" ref="M21" si="67">IFERROR(RIGHT(B21,LEN(B21)-FIND("],",B21)-1),"none")</f>
        <v>none</v>
      </c>
      <c r="N21" s="45" t="str">
        <f t="shared" ref="N21" si="68">IFERROR(LEFT(M21,FIND("],",M21)+S30),M21)</f>
        <v>none</v>
      </c>
      <c r="O21" s="60" t="e">
        <f t="shared" si="6"/>
        <v>#VALUE!</v>
      </c>
      <c r="P21" s="60">
        <f t="shared" ref="P21" si="69">IFERROR(FIND(",",N21),LEN(N21))</f>
        <v>4</v>
      </c>
      <c r="Q21" s="60" t="e">
        <f t="shared" ref="Q21" si="70">FIND("target:",N21)+7</f>
        <v>#VALUE!</v>
      </c>
      <c r="R21" s="60" t="e">
        <f t="shared" ref="R21" si="71">FIND(",",N21,P21+1)</f>
        <v>#VALUE!</v>
      </c>
      <c r="S21" s="60" t="str">
        <f>IFERROR(VLOOKUP(MID(N21,Q21,R21-Q21),[6]skilldef!$C:$D,2,FALSE),"-") &amp; " / " &amp; IFERROR(VLOOKUP(MID(N21,O21,P21-O21),[6]skilldef!$A:$B,2,FALSE),"-")</f>
        <v>- / -</v>
      </c>
      <c r="T21" s="45" t="str">
        <f t="shared" ref="T21" si="72">IFERROR(RIGHT(M21,LEN(M21)-FIND("],",M21)-1),"none")</f>
        <v>none</v>
      </c>
      <c r="U21" s="60" t="e">
        <f t="shared" si="11"/>
        <v>#VALUE!</v>
      </c>
      <c r="V21" s="60">
        <f t="shared" ref="V21" si="73">IFERROR(FIND(",",T21),LEN(T21))</f>
        <v>4</v>
      </c>
      <c r="W21" s="60" t="e">
        <f t="shared" ref="W21" si="74">FIND("target:",T21)+7</f>
        <v>#VALUE!</v>
      </c>
      <c r="X21" s="60" t="e">
        <f t="shared" ref="X21" si="75">FIND(",",T21,V21+1)</f>
        <v>#VALUE!</v>
      </c>
      <c r="Y21" s="60" t="str">
        <f>IFERROR(VLOOKUP(MID(T21,W21,X21-W21),[6]skilldef!$C:$D,2,FALSE),"-") &amp; " / " &amp; IFERROR(VLOOKUP(MID(T21,U21,V21-U21),[6]skilldef!$A:$B,2,FALSE),"-")</f>
        <v>- / -</v>
      </c>
      <c r="Z21" s="47"/>
      <c r="AA21" s="49"/>
      <c r="AB21" s="47"/>
    </row>
  </sheetData>
  <autoFilter ref="A1:AB1"/>
  <phoneticPr fontId="5"/>
  <pageMargins left="0.75" right="0.75" top="1" bottom="1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4"/>
  <sheetViews>
    <sheetView showGridLines="0" zoomScale="85" zoomScaleNormal="85" zoomScalePageLayoutView="85" workbookViewId="0">
      <pane ySplit="1" topLeftCell="A2" activePane="bottomLeft" state="frozenSplit"/>
      <selection pane="bottomLeft" activeCell="D26" sqref="D26"/>
    </sheetView>
  </sheetViews>
  <sheetFormatPr baseColWidth="12" defaultColWidth="12.83203125" defaultRowHeight="21" customHeight="1" x14ac:dyDescent="0.15"/>
  <cols>
    <col min="1" max="1" width="16.1640625" style="46" bestFit="1" customWidth="1"/>
    <col min="2" max="2" width="13.33203125" style="46" bestFit="1" customWidth="1"/>
    <col min="3" max="3" width="11.83203125" style="46" bestFit="1" customWidth="1"/>
    <col min="4" max="4" width="14.6640625" style="46" bestFit="1" customWidth="1"/>
    <col min="5" max="5" width="15.6640625" style="46" bestFit="1" customWidth="1"/>
    <col min="6" max="6" width="17" style="46" bestFit="1" customWidth="1"/>
    <col min="7" max="7" width="15.6640625" style="46" bestFit="1" customWidth="1"/>
    <col min="8" max="9" width="14.6640625" style="46" customWidth="1"/>
    <col min="10" max="10" width="14.6640625" style="46" bestFit="1" customWidth="1"/>
    <col min="11" max="11" width="22.83203125" style="36" bestFit="1" customWidth="1"/>
    <col min="12" max="16384" width="12.83203125" style="42"/>
  </cols>
  <sheetData>
    <row r="1" spans="1:11" ht="21" customHeight="1" x14ac:dyDescent="0.15">
      <c r="A1" s="39" t="s">
        <v>83</v>
      </c>
      <c r="B1" s="39" t="s">
        <v>84</v>
      </c>
      <c r="C1" s="39" t="s">
        <v>85</v>
      </c>
      <c r="D1" s="39" t="s">
        <v>86</v>
      </c>
      <c r="E1" s="39" t="s">
        <v>70</v>
      </c>
      <c r="F1" s="50" t="s">
        <v>71</v>
      </c>
      <c r="G1" s="50" t="s">
        <v>72</v>
      </c>
      <c r="H1" s="39" t="s">
        <v>73</v>
      </c>
      <c r="I1" s="39" t="s">
        <v>74</v>
      </c>
      <c r="J1" s="39" t="s">
        <v>75</v>
      </c>
      <c r="K1" s="51" t="s">
        <v>87</v>
      </c>
    </row>
    <row r="2" spans="1:11" ht="21" customHeight="1" x14ac:dyDescent="0.15">
      <c r="A2" s="44">
        <v>30030001</v>
      </c>
      <c r="B2" s="44">
        <v>0</v>
      </c>
      <c r="C2" s="44" t="s">
        <v>88</v>
      </c>
      <c r="D2" s="44">
        <v>100</v>
      </c>
      <c r="E2" s="44" t="s">
        <v>211</v>
      </c>
      <c r="F2" s="44" t="s">
        <v>89</v>
      </c>
      <c r="G2" s="44" t="s">
        <v>213</v>
      </c>
      <c r="H2" s="44">
        <v>3</v>
      </c>
      <c r="I2" s="44" t="s">
        <v>89</v>
      </c>
      <c r="J2" s="45">
        <f t="shared" ref="J2" si="0">D2</f>
        <v>100</v>
      </c>
    </row>
    <row r="3" spans="1:11" ht="21" customHeight="1" x14ac:dyDescent="0.15">
      <c r="A3" s="44">
        <v>30030002</v>
      </c>
      <c r="B3" s="44">
        <v>0</v>
      </c>
      <c r="C3" s="44" t="s">
        <v>88</v>
      </c>
      <c r="D3" s="44">
        <v>50</v>
      </c>
      <c r="E3" s="44" t="s">
        <v>211</v>
      </c>
      <c r="F3" s="44" t="s">
        <v>53</v>
      </c>
      <c r="G3" s="44" t="s">
        <v>213</v>
      </c>
      <c r="H3" s="44" t="s">
        <v>53</v>
      </c>
      <c r="I3" s="44" t="s">
        <v>53</v>
      </c>
      <c r="J3" s="45">
        <f t="shared" ref="J3" si="1">D3</f>
        <v>50</v>
      </c>
    </row>
    <row r="4" spans="1:11" ht="21" customHeight="1" x14ac:dyDescent="0.15">
      <c r="A4" s="44">
        <v>30030003</v>
      </c>
      <c r="B4" s="44">
        <v>1</v>
      </c>
      <c r="C4" s="44" t="s">
        <v>88</v>
      </c>
      <c r="D4" s="44">
        <v>100</v>
      </c>
      <c r="E4" s="44" t="s">
        <v>211</v>
      </c>
      <c r="F4" s="44" t="s">
        <v>53</v>
      </c>
      <c r="G4" s="44">
        <v>1</v>
      </c>
      <c r="H4" s="44" t="s">
        <v>53</v>
      </c>
      <c r="I4" s="44" t="s">
        <v>53</v>
      </c>
      <c r="J4" s="45">
        <f t="shared" ref="J4:J8" si="2">D4</f>
        <v>100</v>
      </c>
    </row>
    <row r="5" spans="1:11" ht="21" customHeight="1" x14ac:dyDescent="0.15">
      <c r="A5" s="44">
        <v>30030004</v>
      </c>
      <c r="B5" s="44">
        <v>0</v>
      </c>
      <c r="C5" s="44">
        <v>3</v>
      </c>
      <c r="D5" s="44">
        <v>100</v>
      </c>
      <c r="E5" s="44">
        <v>25</v>
      </c>
      <c r="F5" s="44" t="s">
        <v>53</v>
      </c>
      <c r="G5" s="44">
        <v>1</v>
      </c>
      <c r="H5" s="44" t="s">
        <v>53</v>
      </c>
      <c r="I5" s="44" t="s">
        <v>53</v>
      </c>
      <c r="J5" s="45">
        <f t="shared" si="2"/>
        <v>100</v>
      </c>
    </row>
    <row r="6" spans="1:11" ht="21" customHeight="1" x14ac:dyDescent="0.15">
      <c r="A6" s="44">
        <v>30030005</v>
      </c>
      <c r="B6" s="44">
        <v>0</v>
      </c>
      <c r="C6" s="44">
        <v>1</v>
      </c>
      <c r="D6" s="44">
        <v>50</v>
      </c>
      <c r="E6" s="44" t="s">
        <v>211</v>
      </c>
      <c r="F6" s="44" t="s">
        <v>53</v>
      </c>
      <c r="G6" s="44" t="s">
        <v>213</v>
      </c>
      <c r="H6" s="44" t="s">
        <v>53</v>
      </c>
      <c r="I6" s="44" t="s">
        <v>53</v>
      </c>
      <c r="J6" s="45">
        <f t="shared" si="2"/>
        <v>50</v>
      </c>
    </row>
    <row r="7" spans="1:11" ht="21" customHeight="1" x14ac:dyDescent="0.15">
      <c r="A7" s="44">
        <v>30030006</v>
      </c>
      <c r="B7" s="44">
        <v>0</v>
      </c>
      <c r="C7" s="44">
        <v>2</v>
      </c>
      <c r="D7" s="44">
        <v>30</v>
      </c>
      <c r="E7" s="44">
        <v>25</v>
      </c>
      <c r="F7" s="44" t="s">
        <v>53</v>
      </c>
      <c r="G7" s="44" t="s">
        <v>213</v>
      </c>
      <c r="H7" s="44" t="s">
        <v>53</v>
      </c>
      <c r="I7" s="44" t="s">
        <v>53</v>
      </c>
      <c r="J7" s="45">
        <f t="shared" si="2"/>
        <v>30</v>
      </c>
    </row>
    <row r="8" spans="1:11" ht="21" customHeight="1" x14ac:dyDescent="0.15">
      <c r="A8" s="44">
        <v>30030007</v>
      </c>
      <c r="B8" s="44">
        <v>0</v>
      </c>
      <c r="C8" s="44" t="s">
        <v>238</v>
      </c>
      <c r="D8" s="44">
        <v>100</v>
      </c>
      <c r="E8" s="44">
        <v>25</v>
      </c>
      <c r="F8" s="44" t="s">
        <v>53</v>
      </c>
      <c r="G8" s="44" t="s">
        <v>213</v>
      </c>
      <c r="H8" s="44">
        <v>2</v>
      </c>
      <c r="I8" s="44" t="s">
        <v>53</v>
      </c>
      <c r="J8" s="45">
        <f t="shared" si="2"/>
        <v>100</v>
      </c>
    </row>
    <row r="9" spans="1:11" ht="21" customHeight="1" x14ac:dyDescent="0.15">
      <c r="A9" s="44">
        <v>30030008</v>
      </c>
      <c r="B9" s="44">
        <v>1</v>
      </c>
      <c r="C9" s="44" t="s">
        <v>212</v>
      </c>
      <c r="D9" s="44">
        <v>100</v>
      </c>
      <c r="E9" s="44" t="s">
        <v>211</v>
      </c>
      <c r="F9" s="44" t="s">
        <v>53</v>
      </c>
      <c r="G9" s="44">
        <v>1</v>
      </c>
      <c r="H9" s="44" t="s">
        <v>212</v>
      </c>
      <c r="I9" s="44" t="s">
        <v>53</v>
      </c>
      <c r="J9" s="45">
        <f t="shared" ref="J9:J12" si="3">D9</f>
        <v>100</v>
      </c>
    </row>
    <row r="10" spans="1:11" ht="21" customHeight="1" x14ac:dyDescent="0.15">
      <c r="A10" s="44">
        <v>30030009</v>
      </c>
      <c r="B10" s="44">
        <v>0</v>
      </c>
      <c r="C10" s="44">
        <v>1</v>
      </c>
      <c r="D10" s="44">
        <v>100</v>
      </c>
      <c r="E10" s="44" t="s">
        <v>212</v>
      </c>
      <c r="F10" s="44" t="s">
        <v>53</v>
      </c>
      <c r="G10" s="44" t="s">
        <v>212</v>
      </c>
      <c r="H10" s="44">
        <v>1</v>
      </c>
      <c r="I10" s="44" t="s">
        <v>53</v>
      </c>
      <c r="J10" s="45">
        <f t="shared" si="3"/>
        <v>100</v>
      </c>
    </row>
    <row r="11" spans="1:11" ht="21" customHeight="1" x14ac:dyDescent="0.15">
      <c r="A11" s="44">
        <v>30030010</v>
      </c>
      <c r="B11" s="44">
        <v>0</v>
      </c>
      <c r="C11" s="44">
        <v>2</v>
      </c>
      <c r="D11" s="44">
        <v>100</v>
      </c>
      <c r="E11" s="44" t="s">
        <v>213</v>
      </c>
      <c r="F11" s="44" t="s">
        <v>53</v>
      </c>
      <c r="G11" s="44" t="s">
        <v>213</v>
      </c>
      <c r="H11" s="44">
        <v>2</v>
      </c>
      <c r="I11" s="44" t="s">
        <v>53</v>
      </c>
      <c r="J11" s="45">
        <f t="shared" si="3"/>
        <v>100</v>
      </c>
    </row>
    <row r="12" spans="1:11" ht="21" customHeight="1" x14ac:dyDescent="0.15">
      <c r="A12" s="44">
        <v>30030011</v>
      </c>
      <c r="B12" s="44">
        <v>0</v>
      </c>
      <c r="C12" s="44" t="s">
        <v>238</v>
      </c>
      <c r="D12" s="44">
        <v>100</v>
      </c>
      <c r="E12" s="44" t="s">
        <v>213</v>
      </c>
      <c r="F12" s="44" t="s">
        <v>53</v>
      </c>
      <c r="G12" s="44">
        <v>1</v>
      </c>
      <c r="H12" s="44" t="s">
        <v>53</v>
      </c>
      <c r="I12" s="44">
        <v>76</v>
      </c>
      <c r="J12" s="45">
        <f t="shared" si="3"/>
        <v>100</v>
      </c>
    </row>
    <row r="13" spans="1:11" ht="21" customHeight="1" x14ac:dyDescent="0.15">
      <c r="A13" s="44">
        <v>30030012</v>
      </c>
      <c r="B13" s="44">
        <v>1</v>
      </c>
      <c r="C13" s="44" t="s">
        <v>212</v>
      </c>
      <c r="D13" s="44">
        <v>100</v>
      </c>
      <c r="E13" s="44" t="s">
        <v>211</v>
      </c>
      <c r="F13" s="44" t="s">
        <v>53</v>
      </c>
      <c r="G13" s="44">
        <v>1</v>
      </c>
      <c r="H13" s="44" t="s">
        <v>212</v>
      </c>
      <c r="I13" s="44" t="s">
        <v>229</v>
      </c>
      <c r="J13" s="45">
        <f t="shared" ref="J13:J15" si="4">D13</f>
        <v>100</v>
      </c>
    </row>
    <row r="14" spans="1:11" ht="21" customHeight="1" x14ac:dyDescent="0.15">
      <c r="A14" s="44">
        <v>30030013</v>
      </c>
      <c r="B14" s="44">
        <v>0</v>
      </c>
      <c r="C14" s="44" t="s">
        <v>213</v>
      </c>
      <c r="D14" s="44">
        <v>100</v>
      </c>
      <c r="E14" s="44">
        <v>50</v>
      </c>
      <c r="F14" s="44" t="s">
        <v>53</v>
      </c>
      <c r="G14" s="44">
        <v>1</v>
      </c>
      <c r="H14" s="44" t="s">
        <v>53</v>
      </c>
      <c r="I14" s="44" t="s">
        <v>229</v>
      </c>
      <c r="J14" s="45">
        <f t="shared" si="4"/>
        <v>100</v>
      </c>
    </row>
    <row r="15" spans="1:11" ht="21" customHeight="1" x14ac:dyDescent="0.15">
      <c r="A15" s="44">
        <v>30030014</v>
      </c>
      <c r="B15" s="44">
        <v>0</v>
      </c>
      <c r="C15" s="44" t="s">
        <v>213</v>
      </c>
      <c r="D15" s="44">
        <v>100</v>
      </c>
      <c r="E15" s="44" t="s">
        <v>213</v>
      </c>
      <c r="F15" s="44" t="s">
        <v>53</v>
      </c>
      <c r="G15" s="44" t="s">
        <v>213</v>
      </c>
      <c r="H15" s="44" t="s">
        <v>53</v>
      </c>
      <c r="I15" s="44" t="s">
        <v>229</v>
      </c>
      <c r="J15" s="45">
        <f t="shared" si="4"/>
        <v>100</v>
      </c>
    </row>
    <row r="16" spans="1:11" ht="21" customHeight="1" x14ac:dyDescent="0.15">
      <c r="A16" s="44">
        <v>30030015</v>
      </c>
      <c r="B16" s="44">
        <v>1</v>
      </c>
      <c r="C16" s="44" t="s">
        <v>53</v>
      </c>
      <c r="D16" s="44">
        <v>100</v>
      </c>
      <c r="E16" s="44" t="s">
        <v>53</v>
      </c>
      <c r="F16" s="44" t="s">
        <v>53</v>
      </c>
      <c r="G16" s="44">
        <v>1</v>
      </c>
      <c r="H16" s="44" t="s">
        <v>53</v>
      </c>
      <c r="I16" s="44" t="s">
        <v>229</v>
      </c>
      <c r="J16" s="45">
        <f t="shared" ref="J16:J19" si="5">D16</f>
        <v>100</v>
      </c>
    </row>
    <row r="17" spans="1:10" ht="21" customHeight="1" x14ac:dyDescent="0.15">
      <c r="A17" s="44">
        <v>30030016</v>
      </c>
      <c r="B17" s="44">
        <v>0</v>
      </c>
      <c r="C17" s="44">
        <v>1</v>
      </c>
      <c r="D17" s="44">
        <v>50</v>
      </c>
      <c r="E17" s="44" t="s">
        <v>53</v>
      </c>
      <c r="F17" s="44" t="s">
        <v>53</v>
      </c>
      <c r="G17" s="44" t="s">
        <v>53</v>
      </c>
      <c r="H17" s="44" t="s">
        <v>53</v>
      </c>
      <c r="I17" s="44" t="s">
        <v>229</v>
      </c>
      <c r="J17" s="45">
        <f t="shared" si="5"/>
        <v>50</v>
      </c>
    </row>
    <row r="18" spans="1:10" ht="21" customHeight="1" x14ac:dyDescent="0.15">
      <c r="A18" s="44">
        <v>30030017</v>
      </c>
      <c r="B18" s="44">
        <v>0</v>
      </c>
      <c r="C18" s="44">
        <v>2</v>
      </c>
      <c r="D18" s="44">
        <v>50</v>
      </c>
      <c r="E18" s="44">
        <v>50</v>
      </c>
      <c r="F18" s="44" t="s">
        <v>53</v>
      </c>
      <c r="G18" s="44" t="s">
        <v>53</v>
      </c>
      <c r="H18" s="44" t="s">
        <v>53</v>
      </c>
      <c r="I18" s="44" t="s">
        <v>229</v>
      </c>
      <c r="J18" s="45">
        <f>D18</f>
        <v>50</v>
      </c>
    </row>
    <row r="19" spans="1:10" ht="21" customHeight="1" x14ac:dyDescent="0.15">
      <c r="A19" s="44">
        <v>30030018</v>
      </c>
      <c r="B19" s="44">
        <v>0</v>
      </c>
      <c r="C19" s="44">
        <v>3</v>
      </c>
      <c r="D19" s="44">
        <v>100</v>
      </c>
      <c r="E19" s="44">
        <v>50</v>
      </c>
      <c r="F19" s="44" t="s">
        <v>53</v>
      </c>
      <c r="G19" s="44">
        <v>1</v>
      </c>
      <c r="H19" s="44" t="s">
        <v>53</v>
      </c>
      <c r="I19" s="44" t="s">
        <v>229</v>
      </c>
      <c r="J19" s="45">
        <f t="shared" si="5"/>
        <v>100</v>
      </c>
    </row>
    <row r="20" spans="1:10" ht="21" customHeight="1" x14ac:dyDescent="0.15">
      <c r="A20" s="44">
        <v>30030019</v>
      </c>
      <c r="B20" s="44">
        <v>0</v>
      </c>
      <c r="C20" s="44">
        <v>4</v>
      </c>
      <c r="D20" s="44">
        <v>100</v>
      </c>
      <c r="E20" s="44">
        <v>25</v>
      </c>
      <c r="F20" s="44" t="s">
        <v>53</v>
      </c>
      <c r="G20" s="44">
        <v>6</v>
      </c>
      <c r="H20" s="44" t="s">
        <v>256</v>
      </c>
      <c r="I20" s="44" t="s">
        <v>229</v>
      </c>
      <c r="J20" s="45">
        <f t="shared" ref="J20" si="6">D20</f>
        <v>100</v>
      </c>
    </row>
    <row r="21" spans="1:10" ht="21" customHeight="1" x14ac:dyDescent="0.15">
      <c r="A21" s="44">
        <v>30030020</v>
      </c>
      <c r="B21" s="44">
        <v>0</v>
      </c>
      <c r="C21" s="44" t="s">
        <v>239</v>
      </c>
      <c r="D21" s="44">
        <v>100</v>
      </c>
      <c r="E21" s="44" t="s">
        <v>213</v>
      </c>
      <c r="F21" s="44" t="s">
        <v>53</v>
      </c>
      <c r="G21" s="44">
        <v>1</v>
      </c>
      <c r="H21" s="44" t="s">
        <v>53</v>
      </c>
      <c r="I21" s="44">
        <v>75</v>
      </c>
      <c r="J21" s="45">
        <f>D21</f>
        <v>100</v>
      </c>
    </row>
    <row r="22" spans="1:10" ht="21" customHeight="1" x14ac:dyDescent="0.15">
      <c r="A22" s="44">
        <v>30030021</v>
      </c>
      <c r="B22" s="44">
        <v>0</v>
      </c>
      <c r="C22" s="44" t="s">
        <v>255</v>
      </c>
      <c r="D22" s="44">
        <v>100</v>
      </c>
      <c r="E22" s="44">
        <v>50</v>
      </c>
      <c r="F22" s="44" t="s">
        <v>53</v>
      </c>
      <c r="G22" s="44">
        <v>1</v>
      </c>
      <c r="H22" s="44" t="s">
        <v>53</v>
      </c>
      <c r="I22" s="44" t="s">
        <v>53</v>
      </c>
      <c r="J22" s="45">
        <v>100</v>
      </c>
    </row>
    <row r="23" spans="1:10" ht="21" customHeight="1" x14ac:dyDescent="0.15">
      <c r="A23" s="44">
        <v>30030022</v>
      </c>
      <c r="B23" s="44">
        <v>0</v>
      </c>
      <c r="C23" s="44" t="s">
        <v>273</v>
      </c>
      <c r="D23" s="44">
        <v>100</v>
      </c>
      <c r="E23" s="44" t="s">
        <v>53</v>
      </c>
      <c r="F23" s="44" t="s">
        <v>53</v>
      </c>
      <c r="G23" s="44" t="s">
        <v>53</v>
      </c>
      <c r="H23" s="44">
        <v>2</v>
      </c>
      <c r="I23" s="44" t="s">
        <v>53</v>
      </c>
      <c r="J23" s="45">
        <v>50</v>
      </c>
    </row>
    <row r="24" spans="1:10" ht="21" customHeight="1" x14ac:dyDescent="0.15">
      <c r="A24" s="44">
        <v>30030023</v>
      </c>
      <c r="B24" s="44">
        <v>0</v>
      </c>
      <c r="C24" s="44" t="s">
        <v>273</v>
      </c>
      <c r="D24" s="44">
        <v>70</v>
      </c>
      <c r="E24" s="44">
        <v>25</v>
      </c>
      <c r="F24" s="44" t="s">
        <v>53</v>
      </c>
      <c r="G24" s="44" t="s">
        <v>53</v>
      </c>
      <c r="H24" s="44" t="s">
        <v>53</v>
      </c>
      <c r="I24" s="44" t="s">
        <v>53</v>
      </c>
      <c r="J24" s="45">
        <v>50</v>
      </c>
    </row>
  </sheetData>
  <autoFilter ref="A1:G1"/>
  <phoneticPr fontId="5"/>
  <conditionalFormatting sqref="K25:K1048576 K1:K2">
    <cfRule type="duplicateValues" dxfId="22" priority="27"/>
  </conditionalFormatting>
  <conditionalFormatting sqref="K3">
    <cfRule type="duplicateValues" dxfId="21" priority="26"/>
  </conditionalFormatting>
  <conditionalFormatting sqref="K4">
    <cfRule type="duplicateValues" dxfId="20" priority="25"/>
  </conditionalFormatting>
  <conditionalFormatting sqref="K5">
    <cfRule type="duplicateValues" dxfId="19" priority="24"/>
  </conditionalFormatting>
  <conditionalFormatting sqref="K6">
    <cfRule type="duplicateValues" dxfId="18" priority="23"/>
  </conditionalFormatting>
  <conditionalFormatting sqref="K7">
    <cfRule type="duplicateValues" dxfId="17" priority="22"/>
  </conditionalFormatting>
  <conditionalFormatting sqref="K8">
    <cfRule type="duplicateValues" dxfId="16" priority="21"/>
  </conditionalFormatting>
  <conditionalFormatting sqref="K9">
    <cfRule type="duplicateValues" dxfId="15" priority="20"/>
  </conditionalFormatting>
  <conditionalFormatting sqref="K10">
    <cfRule type="duplicateValues" dxfId="14" priority="19"/>
  </conditionalFormatting>
  <conditionalFormatting sqref="K11">
    <cfRule type="duplicateValues" dxfId="13" priority="18"/>
  </conditionalFormatting>
  <conditionalFormatting sqref="K12">
    <cfRule type="duplicateValues" dxfId="12" priority="17"/>
  </conditionalFormatting>
  <conditionalFormatting sqref="K21">
    <cfRule type="duplicateValues" dxfId="11" priority="16"/>
  </conditionalFormatting>
  <conditionalFormatting sqref="K13">
    <cfRule type="duplicateValues" dxfId="10" priority="14"/>
  </conditionalFormatting>
  <conditionalFormatting sqref="K14">
    <cfRule type="duplicateValues" dxfId="9" priority="13"/>
  </conditionalFormatting>
  <conditionalFormatting sqref="K15">
    <cfRule type="duplicateValues" dxfId="8" priority="12"/>
  </conditionalFormatting>
  <conditionalFormatting sqref="K16">
    <cfRule type="duplicateValues" dxfId="7" priority="11"/>
  </conditionalFormatting>
  <conditionalFormatting sqref="K17">
    <cfRule type="duplicateValues" dxfId="6" priority="10"/>
  </conditionalFormatting>
  <conditionalFormatting sqref="K19">
    <cfRule type="duplicateValues" dxfId="5" priority="9"/>
  </conditionalFormatting>
  <conditionalFormatting sqref="K18">
    <cfRule type="duplicateValues" dxfId="4" priority="8"/>
  </conditionalFormatting>
  <conditionalFormatting sqref="K20">
    <cfRule type="duplicateValues" dxfId="3" priority="7"/>
  </conditionalFormatting>
  <conditionalFormatting sqref="K22">
    <cfRule type="duplicateValues" dxfId="2" priority="3"/>
  </conditionalFormatting>
  <conditionalFormatting sqref="K23">
    <cfRule type="duplicateValues" dxfId="1" priority="2"/>
  </conditionalFormatting>
  <conditionalFormatting sqref="K24">
    <cfRule type="duplicateValues" dxfId="0" priority="1"/>
  </conditionalFormatting>
  <printOptions gridLines="1"/>
  <pageMargins left="0.75" right="0.75" top="1" bottom="1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4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B28" sqref="B28"/>
    </sheetView>
  </sheetViews>
  <sheetFormatPr baseColWidth="12" defaultColWidth="12.83203125" defaultRowHeight="21" customHeight="1" outlineLevelCol="1" x14ac:dyDescent="0.15"/>
  <cols>
    <col min="1" max="1" width="11.33203125" style="36" bestFit="1" customWidth="1"/>
    <col min="2" max="2" width="9.5" style="46" bestFit="1" customWidth="1"/>
    <col min="3" max="3" width="9.6640625" style="46" customWidth="1"/>
    <col min="4" max="4" width="18.5" style="46" customWidth="1" outlineLevel="1"/>
    <col min="5" max="5" width="44.1640625" style="46" bestFit="1" customWidth="1" outlineLevel="1"/>
    <col min="6" max="6" width="10.83203125" style="46" bestFit="1" customWidth="1"/>
    <col min="7" max="7" width="8.33203125" style="46" bestFit="1" customWidth="1" outlineLevel="1"/>
    <col min="8" max="9" width="12.83203125" style="46" outlineLevel="1"/>
    <col min="10" max="10" width="17.6640625" style="46" bestFit="1" customWidth="1" outlineLevel="1"/>
    <col min="11" max="15" width="12.83203125" style="46" outlineLevel="1"/>
    <col min="16" max="16" width="8.33203125" style="42" bestFit="1" customWidth="1"/>
    <col min="17" max="17" width="9.6640625" style="42" customWidth="1"/>
    <col min="18" max="18" width="56.5" style="42" bestFit="1" customWidth="1"/>
    <col min="19" max="16384" width="12.83203125" style="42"/>
  </cols>
  <sheetData>
    <row r="1" spans="1:18" ht="21" customHeight="1" x14ac:dyDescent="0.15">
      <c r="A1" s="36" t="s">
        <v>60</v>
      </c>
      <c r="B1" s="37" t="s">
        <v>61</v>
      </c>
      <c r="C1" s="37" t="s">
        <v>62</v>
      </c>
      <c r="D1" s="38" t="s">
        <v>63</v>
      </c>
      <c r="E1" s="38" t="s">
        <v>64</v>
      </c>
      <c r="F1" s="39" t="s">
        <v>65</v>
      </c>
      <c r="G1" s="40" t="s">
        <v>66</v>
      </c>
      <c r="H1" s="40" t="s">
        <v>68</v>
      </c>
      <c r="I1" s="40" t="s">
        <v>69</v>
      </c>
      <c r="J1" s="40" t="s">
        <v>70</v>
      </c>
      <c r="K1" s="41" t="s">
        <v>71</v>
      </c>
      <c r="L1" s="41" t="s">
        <v>72</v>
      </c>
      <c r="M1" s="40" t="s">
        <v>73</v>
      </c>
      <c r="N1" s="40" t="s">
        <v>74</v>
      </c>
      <c r="O1" s="40" t="s">
        <v>75</v>
      </c>
      <c r="P1" s="38" t="s">
        <v>76</v>
      </c>
      <c r="Q1" s="38" t="s">
        <v>77</v>
      </c>
      <c r="R1" s="38" t="s">
        <v>78</v>
      </c>
    </row>
    <row r="2" spans="1:18" ht="21" customHeight="1" x14ac:dyDescent="0.15">
      <c r="A2" s="36" t="str">
        <f t="shared" ref="A2" si="0">B2&amp;"_"&amp;C2</f>
        <v>30030001_30030001</v>
      </c>
      <c r="B2" s="44">
        <v>30030001</v>
      </c>
      <c r="C2" s="44">
        <v>30030001</v>
      </c>
      <c r="D2" s="43" t="str">
        <f ca="1">VLOOKUP($C2,OFFSET(enemy_skills!$A$1,0,0,COUNTA(enemy_skills!$A:$A),MATCH(D$1,enemy_skills!$1:$1,0)-MATCH("enemy_skill_id",enemy_skills!$1:$1,0)+1),MATCH(D$1,enemy_skills!$1:$1,0)-MATCH("enemy_skill_id",enemy_skills!$1:$1,0)+1,FALSE)</f>
        <v>電光刹華</v>
      </c>
      <c r="E2" s="43" t="str">
        <f ca="1">VLOOKUP($C2,OFFSET(enemy_skills!$A$1,0,0,COUNTA(enemy_skills!$A:$A),MATCH(E$1,enemy_skills!$1:$1,0)-MATCH("enemy_skill_id",enemy_skills!$1:$1,0)+1),MATCH(E$1,enemy_skills!$1:$1,0)-MATCH("enemy_skill_id",enemy_skills!$1:$1,0)+1,FALSE)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" s="44">
        <v>30030001</v>
      </c>
      <c r="G2" s="45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5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5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5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5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5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5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" s="45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5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4"/>
      <c r="Q2" s="44"/>
      <c r="R2" s="44"/>
    </row>
    <row r="3" spans="1:18" ht="21" customHeight="1" x14ac:dyDescent="0.15">
      <c r="A3" s="36" t="str">
        <f t="shared" ref="A3" si="1">B3&amp;"_"&amp;C3</f>
        <v>30030002_30030002</v>
      </c>
      <c r="B3" s="44">
        <v>30030002</v>
      </c>
      <c r="C3" s="44">
        <v>30030002</v>
      </c>
      <c r="D3" s="43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メイス・パニッシャー</v>
      </c>
      <c r="E3" s="43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" s="44">
        <v>30030002</v>
      </c>
      <c r="G3" s="45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5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5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" s="45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5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5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5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5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5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" s="44"/>
      <c r="Q3" s="44"/>
      <c r="R3" s="44"/>
    </row>
    <row r="4" spans="1:18" ht="21" customHeight="1" x14ac:dyDescent="0.15">
      <c r="A4" s="36" t="str">
        <f t="shared" ref="A4:A8" si="2">B4&amp;"_"&amp;C4</f>
        <v>30030003_30030003</v>
      </c>
      <c r="B4" s="44">
        <v>30030003</v>
      </c>
      <c r="C4" s="44">
        <v>30030003</v>
      </c>
      <c r="D4" s="43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アポカリプス・ロード</v>
      </c>
      <c r="E4" s="43" t="str">
        <f ca="1">VLOOKUP($C4,OFFSET(enemy_skills!$A$1,0,0,COUNTA(enemy_skills!$A:$A),MATCH(E$1,enemy_skills!$1:$1,0)-MATCH("enemy_skill_id",enemy_skills!$1:$1,0)+1),MATCH(E$1,enemy_skills!$1:$1,0)-MATCH("enemy_skill_id",enemy_skills!$1:$1,0)+1,FALSE)</f>
        <v>4ターンの間パネルタップ回数を1にする！</v>
      </c>
      <c r="F4" s="44">
        <v>30030003</v>
      </c>
      <c r="G4" s="45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5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5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5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5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5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5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5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5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4"/>
      <c r="Q4" s="44"/>
      <c r="R4" s="44"/>
    </row>
    <row r="5" spans="1:18" ht="21" customHeight="1" x14ac:dyDescent="0.15">
      <c r="A5" s="36" t="str">
        <f t="shared" si="2"/>
        <v>30030003_30030004</v>
      </c>
      <c r="B5" s="44">
        <v>30030003</v>
      </c>
      <c r="C5" s="44">
        <v>30030004</v>
      </c>
      <c r="D5" s="43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パラダイス・ロスト</v>
      </c>
      <c r="E5" s="43" t="str">
        <f ca="1">VLOOKUP($C5,OFFSET(enemy_skills!$A$1,0,0,COUNTA(enemy_skills!$A:$A),MATCH(E$1,enemy_skills!$1:$1,0)-MATCH("enemy_skill_id",enemy_skills!$1:$1,0)+1),MATCH(E$1,enemy_skills!$1:$1,0)-MATCH("enemy_skill_id",enemy_skills!$1:$1,0)+1,FALSE)</f>
        <v>4ターンの間ハートパネル出現率を0にする！</v>
      </c>
      <c r="F5" s="44">
        <v>30030004</v>
      </c>
      <c r="G5" s="45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5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" s="45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5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5" s="45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5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5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5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5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132"/>
      <c r="Q5" s="132"/>
      <c r="R5" s="132"/>
    </row>
    <row r="6" spans="1:18" ht="21" customHeight="1" x14ac:dyDescent="0.15">
      <c r="A6" s="36" t="str">
        <f t="shared" si="2"/>
        <v>30030003_30030005</v>
      </c>
      <c r="B6" s="44">
        <v>30030003</v>
      </c>
      <c r="C6" s="44">
        <v>30030005</v>
      </c>
      <c r="D6" s="43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エルドラド</v>
      </c>
      <c r="E6" s="43" t="str">
        <f ca="1">VLOOKUP($C6,OFFSET(enemy_skills!$A$1,0,0,COUNTA(enemy_skills!$A:$A),MATCH(E$1,enemy_skills!$1:$1,0)-MATCH("enemy_skill_id",enemy_skills!$1:$1,0)+1),MATCH(E$1,enemy_skills!$1:$1,0)-MATCH("enemy_skill_id",enemy_skills!$1:$1,0)+1,FALSE)</f>
        <v>黄パネル破壊攻撃（最大6個）</v>
      </c>
      <c r="F6" s="44">
        <v>30030005</v>
      </c>
      <c r="G6" s="45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5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" s="45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" s="45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5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5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5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5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5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" s="132"/>
      <c r="Q6" s="132"/>
      <c r="R6" s="132"/>
    </row>
    <row r="7" spans="1:18" ht="21" customHeight="1" x14ac:dyDescent="0.15">
      <c r="A7" s="36" t="str">
        <f t="shared" si="2"/>
        <v>30030003_30030006</v>
      </c>
      <c r="B7" s="44">
        <v>30030003</v>
      </c>
      <c r="C7" s="44">
        <v>30030006</v>
      </c>
      <c r="D7" s="43" t="str">
        <f ca="1">VLOOKUP($C7,OFFSET(enemy_skills!$A$1,0,0,COUNTA(enemy_skills!$A:$A),MATCH(D$1,enemy_skills!$1:$1,0)-MATCH("enemy_skill_id",enemy_skills!$1:$1,0)+1),MATCH(D$1,enemy_skills!$1:$1,0)-MATCH("enemy_skill_id",enemy_skills!$1:$1,0)+1,FALSE)</f>
        <v>六道輪廻</v>
      </c>
      <c r="E7" s="43" t="str">
        <f ca="1">VLOOKUP($C7,OFFSET(enemy_skills!$A$1,0,0,COUNTA(enemy_skills!$A:$A),MATCH(E$1,enemy_skills!$1:$1,0)-MATCH("enemy_skill_id",enemy_skills!$1:$1,0)+1),MATCH(E$1,enemy_skills!$1:$1,0)-MATCH("enemy_skill_id",enemy_skills!$1:$1,0)+1,FALSE)</f>
        <v>回復</v>
      </c>
      <c r="F7" s="44">
        <v>30030006</v>
      </c>
      <c r="G7" s="45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5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" s="45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7" s="45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7" s="45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5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5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5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5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7" s="132"/>
      <c r="Q7" s="132"/>
      <c r="R7" s="132"/>
    </row>
    <row r="8" spans="1:18" ht="21" customHeight="1" x14ac:dyDescent="0.15">
      <c r="A8" s="36" t="str">
        <f t="shared" si="2"/>
        <v>30030003_30030007</v>
      </c>
      <c r="B8" s="44">
        <v>30030003</v>
      </c>
      <c r="C8" s="44">
        <v>30030007</v>
      </c>
      <c r="D8" s="43" t="str">
        <f ca="1">VLOOKUP($C8,OFFSET(enemy_skills!$A$1,0,0,COUNTA(enemy_skills!$A:$A),MATCH(D$1,enemy_skills!$1:$1,0)-MATCH("enemy_skill_id",enemy_skills!$1:$1,0)+1),MATCH(D$1,enemy_skills!$1:$1,0)-MATCH("enemy_skill_id",enemy_skills!$1:$1,0)+1,FALSE)</f>
        <v>因果応報</v>
      </c>
      <c r="E8" s="43" t="str">
        <f ca="1">VLOOKUP($C8,OFFSET(enemy_skills!$A$1,0,0,COUNTA(enemy_skills!$A:$A),MATCH(E$1,enemy_skills!$1:$1,0)-MATCH("enemy_skill_id",enemy_skills!$1:$1,0)+1),MATCH(E$1,enemy_skills!$1:$1,0)-MATCH("enemy_skill_id",enemy_skills!$1:$1,0)+1,FALSE)</f>
        <v>2ターン全属性カウンター</v>
      </c>
      <c r="F8" s="44">
        <v>30030007</v>
      </c>
      <c r="G8" s="45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5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5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5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8" s="45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5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5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45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5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132"/>
      <c r="Q8" s="132"/>
      <c r="R8" s="132"/>
    </row>
    <row r="9" spans="1:18" ht="21" customHeight="1" x14ac:dyDescent="0.15">
      <c r="A9" s="36" t="str">
        <f t="shared" ref="A9:A12" si="3">B9&amp;"_"&amp;C9</f>
        <v>30030004_30030008</v>
      </c>
      <c r="B9" s="44">
        <v>30030004</v>
      </c>
      <c r="C9" s="44">
        <v>30030008</v>
      </c>
      <c r="D9" s="43" t="str">
        <f ca="1">VLOOKUP($C9,OFFSET(enemy_skills!$A$1,0,0,COUNTA(enemy_skills!$A:$A),MATCH(D$1,enemy_skills!$1:$1,0)-MATCH("enemy_skill_id",enemy_skills!$1:$1,0)+1),MATCH(D$1,enemy_skills!$1:$1,0)-MATCH("enemy_skill_id",enemy_skills!$1:$1,0)+1,FALSE)</f>
        <v>獅子奮迅の大号令</v>
      </c>
      <c r="E9" s="43" t="str">
        <f ca="1">VLOOKUP($C9,OFFSET(enemy_skills!$A$1,0,0,COUNTA(enemy_skills!$A:$A),MATCH(E$1,enemy_skills!$1:$1,0)-MATCH("enemy_skill_id",enemy_skills!$1:$1,0)+1),MATCH(E$1,enemy_skills!$1:$1,0)-MATCH("enemy_skill_id",enemy_skills!$1:$1,0)+1,FALSE)</f>
        <v>敵全体の攻撃力がUP</v>
      </c>
      <c r="F9" s="44">
        <v>30030008</v>
      </c>
      <c r="G9" s="45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5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5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5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5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5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5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5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5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132"/>
      <c r="Q9" s="132"/>
      <c r="R9" s="132"/>
    </row>
    <row r="10" spans="1:18" ht="21" customHeight="1" x14ac:dyDescent="0.15">
      <c r="A10" s="36" t="str">
        <f t="shared" si="3"/>
        <v>30030004_30030009</v>
      </c>
      <c r="B10" s="44">
        <v>30030004</v>
      </c>
      <c r="C10" s="44">
        <v>30030009</v>
      </c>
      <c r="D10" s="43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力ため</v>
      </c>
      <c r="E10" s="43" t="str">
        <f ca="1">VLOOKUP($C10,OFFSET(enemy_skills!$A$1,0,0,COUNTA(enemy_skills!$A:$A),MATCH(E$1,enemy_skills!$1:$1,0)-MATCH("enemy_skill_id",enemy_skills!$1:$1,0)+1),MATCH(E$1,enemy_skills!$1:$1,0)-MATCH("enemy_skill_id",enemy_skills!$1:$1,0)+1,FALSE)</f>
        <v>次のターン強力な全体攻撃</v>
      </c>
      <c r="F10" s="44">
        <v>30030009</v>
      </c>
      <c r="G10" s="45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5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" s="45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5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5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5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5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5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5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132"/>
      <c r="Q10" s="132"/>
      <c r="R10" s="132"/>
    </row>
    <row r="11" spans="1:18" ht="21" customHeight="1" x14ac:dyDescent="0.15">
      <c r="A11" s="36" t="str">
        <f t="shared" si="3"/>
        <v>30030004_30030010</v>
      </c>
      <c r="B11" s="44">
        <v>30030004</v>
      </c>
      <c r="C11" s="44">
        <v>30030010</v>
      </c>
      <c r="D11" s="43" t="str">
        <f ca="1">VLOOKUP($C11,OFFSET(enemy_skills!$A$1,0,0,COUNTA(enemy_skills!$A:$A),MATCH(D$1,enemy_skills!$1:$1,0)-MATCH("enemy_skill_id",enemy_skills!$1:$1,0)+1),MATCH(D$1,enemy_skills!$1:$1,0)-MATCH("enemy_skill_id",enemy_skills!$1:$1,0)+1,FALSE)</f>
        <v>疾風刄雷</v>
      </c>
      <c r="E11" s="43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11" s="44">
        <v>30030010</v>
      </c>
      <c r="G11" s="45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5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1" s="45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5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5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5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5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5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5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132"/>
      <c r="Q11" s="132"/>
      <c r="R11" s="132"/>
    </row>
    <row r="12" spans="1:18" ht="21" customHeight="1" x14ac:dyDescent="0.15">
      <c r="A12" s="36" t="str">
        <f t="shared" si="3"/>
        <v>30030004_30030011</v>
      </c>
      <c r="B12" s="44">
        <v>30030004</v>
      </c>
      <c r="C12" s="44">
        <v>30030011</v>
      </c>
      <c r="D12" s="43" t="str">
        <f ca="1">VLOOKUP($C12,OFFSET(enemy_skills!$A$1,0,0,COUNTA(enemy_skills!$A:$A),MATCH(D$1,enemy_skills!$1:$1,0)-MATCH("enemy_skill_id",enemy_skills!$1:$1,0)+1),MATCH(D$1,enemy_skills!$1:$1,0)-MATCH("enemy_skill_id",enemy_skills!$1:$1,0)+1,FALSE)</f>
        <v>！？</v>
      </c>
      <c r="E12" s="43" t="str">
        <f ca="1">VLOOKUP($C12,OFFSET(enemy_skills!$A$1,0,0,COUNTA(enemy_skills!$A:$A),MATCH(E$1,enemy_skills!$1:$1,0)-MATCH("enemy_skill_id",enemy_skills!$1:$1,0)+1),MATCH(E$1,enemy_skills!$1:$1,0)-MATCH("enemy_skill_id",enemy_skills!$1:$1,0)+1,FALSE)</f>
        <v>怒りで攻撃力が上がったようだ</v>
      </c>
      <c r="F12" s="44">
        <v>30030011</v>
      </c>
      <c r="G12" s="45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5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5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5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5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5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5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5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76</v>
      </c>
      <c r="O12" s="45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132"/>
      <c r="Q12" s="132"/>
      <c r="R12" s="132"/>
    </row>
    <row r="13" spans="1:18" ht="21" customHeight="1" x14ac:dyDescent="0.15">
      <c r="A13" s="36" t="str">
        <f t="shared" ref="A13:A14" si="4">B13&amp;"_"&amp;C13</f>
        <v>30030005_30030009</v>
      </c>
      <c r="B13" s="44">
        <v>30030005</v>
      </c>
      <c r="C13" s="44">
        <v>30030009</v>
      </c>
      <c r="D13" s="43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力ため</v>
      </c>
      <c r="E13" s="43" t="str">
        <f ca="1">VLOOKUP($C13,OFFSET(enemy_skills!$A$1,0,0,COUNTA(enemy_skills!$A:$A),MATCH(E$1,enemy_skills!$1:$1,0)-MATCH("enemy_skill_id",enemy_skills!$1:$1,0)+1),MATCH(E$1,enemy_skills!$1:$1,0)-MATCH("enemy_skill_id",enemy_skills!$1:$1,0)+1,FALSE)</f>
        <v>次のターン強力な全体攻撃</v>
      </c>
      <c r="F13" s="44">
        <v>30030009</v>
      </c>
      <c r="G13" s="45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5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3" s="45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5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5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5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5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5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5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132"/>
      <c r="Q13" s="132"/>
      <c r="R13" s="132"/>
    </row>
    <row r="14" spans="1:18" ht="21" customHeight="1" x14ac:dyDescent="0.15">
      <c r="A14" s="36" t="str">
        <f t="shared" si="4"/>
        <v>30030005_30030010</v>
      </c>
      <c r="B14" s="44">
        <v>30030005</v>
      </c>
      <c r="C14" s="44">
        <v>30030010</v>
      </c>
      <c r="D14" s="43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疾風刄雷</v>
      </c>
      <c r="E14" s="43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14" s="44">
        <v>30030010</v>
      </c>
      <c r="G14" s="45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5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4" s="45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5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5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5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5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" s="45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5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132"/>
      <c r="Q14" s="132"/>
      <c r="R14" s="132"/>
    </row>
    <row r="15" spans="1:18" ht="21" customHeight="1" x14ac:dyDescent="0.15">
      <c r="A15" s="36" t="str">
        <f t="shared" ref="A15" si="5">B15&amp;"_"&amp;C15</f>
        <v>30030005_30030012</v>
      </c>
      <c r="B15" s="44">
        <v>30030005</v>
      </c>
      <c r="C15" s="44">
        <v>30030012</v>
      </c>
      <c r="D15" s="43" t="str">
        <f ca="1">VLOOKUP($C15,OFFSET(enemy_skills!$A$1,0,0,COUNTA(enemy_skills!$A:$A),MATCH(D$1,enemy_skills!$1:$1,0)-MATCH("enemy_skill_id",enemy_skills!$1:$1,0)+1),MATCH(D$1,enemy_skills!$1:$1,0)-MATCH("enemy_skill_id",enemy_skills!$1:$1,0)+1,FALSE)</f>
        <v>！？</v>
      </c>
      <c r="E15" s="43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危機を察知して守りを固めたようだ</v>
      </c>
      <c r="F15" s="44">
        <v>30030011</v>
      </c>
      <c r="G15" s="45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5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5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5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5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5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5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5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76</v>
      </c>
      <c r="O15" s="45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132"/>
      <c r="Q15" s="132"/>
      <c r="R15" s="132"/>
    </row>
    <row r="16" spans="1:18" ht="21" customHeight="1" x14ac:dyDescent="0.15">
      <c r="A16" s="36" t="str">
        <f t="shared" ref="A16:A18" si="6">B16&amp;"_"&amp;C16</f>
        <v>30030006_30030013</v>
      </c>
      <c r="B16" s="44">
        <v>30030006</v>
      </c>
      <c r="C16" s="44">
        <v>30030013</v>
      </c>
      <c r="D16" s="43" t="str">
        <f ca="1">VLOOKUP($C16,OFFSET(enemy_skills!$A$1,0,0,COUNTA(enemy_skills!$A:$A),MATCH(D$1,enemy_skills!$1:$1,0)-MATCH("enemy_skill_id",enemy_skills!$1:$1,0)+1),MATCH(D$1,enemy_skills!$1:$1,0)-MATCH("enemy_skill_id",enemy_skills!$1:$1,0)+1,FALSE)</f>
        <v>侵入者は通せん決まりじゃ</v>
      </c>
      <c r="E16" s="43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ランダムで8個プロテクト</v>
      </c>
      <c r="F16" s="44">
        <v>30030012</v>
      </c>
      <c r="G16" s="45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5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5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5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5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5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5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5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5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132"/>
      <c r="Q16" s="132"/>
      <c r="R16" s="132"/>
    </row>
    <row r="17" spans="1:18" ht="21" customHeight="1" x14ac:dyDescent="0.15">
      <c r="A17" s="36" t="str">
        <f t="shared" si="6"/>
        <v>30030006_30030014</v>
      </c>
      <c r="B17" s="44">
        <v>30030006</v>
      </c>
      <c r="C17" s="44">
        <v>30030014</v>
      </c>
      <c r="D17" s="43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なかなかやるのぉ</v>
      </c>
      <c r="E17" s="43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攻撃力＆防御力UP＋ハートプロテクト</v>
      </c>
      <c r="F17" s="44">
        <v>30030013</v>
      </c>
      <c r="G17" s="45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5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5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5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5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5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5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5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5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132"/>
      <c r="Q17" s="132"/>
      <c r="R17" s="132"/>
    </row>
    <row r="18" spans="1:18" ht="21" customHeight="1" x14ac:dyDescent="0.15">
      <c r="A18" s="36" t="str">
        <f t="shared" si="6"/>
        <v>30030006_30030015</v>
      </c>
      <c r="B18" s="44">
        <v>30030006</v>
      </c>
      <c r="C18" s="44">
        <v>30030015</v>
      </c>
      <c r="D18" s="43" t="str">
        <f ca="1">VLOOKUP($C18,OFFSET(enemy_skills!$A$1,0,0,COUNTA(enemy_skills!$A:$A),MATCH(D$1,enemy_skills!$1:$1,0)-MATCH("enemy_skill_id",enemy_skills!$1:$1,0)+1),MATCH(D$1,enemy_skills!$1:$1,0)-MATCH("enemy_skill_id",enemy_skills!$1:$1,0)+1,FALSE)</f>
        <v>余計なマネはせんことじゃ</v>
      </c>
      <c r="E18" s="43" t="str">
        <f ca="1">VLOOKUP($C18,OFFSET(enemy_skills!$A$1,0,0,COUNTA(enemy_skills!$A:$A),MATCH(E$1,enemy_skills!$1:$1,0)-MATCH("enemy_skill_id",enemy_skills!$1:$1,0)+1),MATCH(E$1,enemy_skills!$1:$1,0)-MATCH("enemy_skill_id",enemy_skills!$1:$1,0)+1,FALSE)</f>
        <v>2ターンスキルバインド＋攻撃</v>
      </c>
      <c r="F18" s="44">
        <v>30030014</v>
      </c>
      <c r="G18" s="45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5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5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5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5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5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5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5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5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132"/>
      <c r="Q18" s="132"/>
      <c r="R18" s="132"/>
    </row>
    <row r="19" spans="1:18" ht="21" customHeight="1" x14ac:dyDescent="0.15">
      <c r="A19" s="36" t="str">
        <f t="shared" ref="A19:A30" si="7">B19&amp;"_"&amp;C19</f>
        <v>30030007_30030016</v>
      </c>
      <c r="B19" s="44">
        <v>30030007</v>
      </c>
      <c r="C19" s="44">
        <v>30030016</v>
      </c>
      <c r="D19" s="43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お前には全力を出しとぉなった！</v>
      </c>
      <c r="E19" s="43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ランダムで8個プロテクト</v>
      </c>
      <c r="F19" s="44">
        <v>30030015</v>
      </c>
      <c r="G19" s="45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5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5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5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5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5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5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5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5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132"/>
      <c r="Q19" s="132"/>
      <c r="R19" s="132"/>
    </row>
    <row r="20" spans="1:18" ht="21" customHeight="1" x14ac:dyDescent="0.15">
      <c r="A20" s="36" t="str">
        <f t="shared" si="7"/>
        <v>30030007_30030017</v>
      </c>
      <c r="B20" s="44">
        <v>30030007</v>
      </c>
      <c r="C20" s="44">
        <v>30030017</v>
      </c>
      <c r="D20" s="43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アナンタ・ブラスター</v>
      </c>
      <c r="E20" s="43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0" s="44">
        <v>30030016</v>
      </c>
      <c r="G20" s="45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5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0" s="45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0" s="45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5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5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5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5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5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0" s="132"/>
      <c r="Q20" s="132"/>
      <c r="R20" s="132"/>
    </row>
    <row r="21" spans="1:18" ht="21" customHeight="1" x14ac:dyDescent="0.15">
      <c r="A21" s="36" t="str">
        <f t="shared" si="7"/>
        <v>30030007_30030018</v>
      </c>
      <c r="B21" s="44">
        <v>30030007</v>
      </c>
      <c r="C21" s="44">
        <v>30030018</v>
      </c>
      <c r="D21" s="43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八卦神晶</v>
      </c>
      <c r="E21" s="43" t="str">
        <f ca="1">VLOOKUP($C21,OFFSET(enemy_skills!$A$1,0,0,COUNTA(enemy_skills!$A:$A),MATCH(E$1,enemy_skills!$1:$1,0)-MATCH("enemy_skill_id",enemy_skills!$1:$1,0)+1),MATCH(E$1,enemy_skills!$1:$1,0)-MATCH("enemy_skill_id",enemy_skills!$1:$1,0)+1,FALSE)</f>
        <v>8連続攻撃＋各色パネルを1個ずつプロテクト！</v>
      </c>
      <c r="F21" s="44">
        <v>30030017</v>
      </c>
      <c r="G21" s="45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5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1" s="45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1" s="45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45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5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5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5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5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1" s="132"/>
      <c r="Q21" s="132"/>
      <c r="R21" s="132"/>
    </row>
    <row r="22" spans="1:18" ht="21" customHeight="1" x14ac:dyDescent="0.15">
      <c r="A22" s="36" t="str">
        <f t="shared" si="7"/>
        <v>30030007_30030019</v>
      </c>
      <c r="B22" s="44">
        <v>30030007</v>
      </c>
      <c r="C22" s="44">
        <v>30030019</v>
      </c>
      <c r="D22" s="43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お前はわしが倒す！</v>
      </c>
      <c r="E22" s="43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永続ウィルス＋黄パネルを吸収して攻撃力UP</v>
      </c>
      <c r="F22" s="44">
        <v>30030018</v>
      </c>
      <c r="G22" s="45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5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2" s="45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5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2" s="45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5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5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5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5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132"/>
      <c r="Q22" s="132"/>
      <c r="R22" s="132"/>
    </row>
    <row r="23" spans="1:18" ht="21" customHeight="1" x14ac:dyDescent="0.15">
      <c r="A23" s="36" t="str">
        <f t="shared" si="7"/>
        <v>30030007_30030020</v>
      </c>
      <c r="B23" s="44">
        <v>30030007</v>
      </c>
      <c r="C23" s="44">
        <v>30030020</v>
      </c>
      <c r="D23" s="43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アカシャの蛇</v>
      </c>
      <c r="E23" s="43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ハートを吸収して回復（最大8個）</v>
      </c>
      <c r="F23" s="44">
        <v>30030019</v>
      </c>
      <c r="G23" s="45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5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3" s="45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5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23" s="45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5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6</v>
      </c>
      <c r="M23" s="45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5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5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132"/>
      <c r="Q23" s="132"/>
      <c r="R23" s="132"/>
    </row>
    <row r="24" spans="1:18" ht="21" customHeight="1" x14ac:dyDescent="0.15">
      <c r="A24" s="36" t="str">
        <f t="shared" si="7"/>
        <v>30030008_30030008</v>
      </c>
      <c r="B24" s="44">
        <v>30030008</v>
      </c>
      <c r="C24" s="44">
        <v>30030008</v>
      </c>
      <c r="D24" s="43" t="str">
        <f ca="1">VLOOKUP($C24,OFFSET(enemy_skills!$A$1,0,0,COUNTA(enemy_skills!$A:$A),MATCH(D$1,enemy_skills!$1:$1,0)-MATCH("enemy_skill_id",enemy_skills!$1:$1,0)+1),MATCH(D$1,enemy_skills!$1:$1,0)-MATCH("enemy_skill_id",enemy_skills!$1:$1,0)+1,FALSE)</f>
        <v>獅子奮迅の大号令</v>
      </c>
      <c r="E24" s="43" t="str">
        <f ca="1">VLOOKUP($C24,OFFSET(enemy_skills!$A$1,0,0,COUNTA(enemy_skills!$A:$A),MATCH(E$1,enemy_skills!$1:$1,0)-MATCH("enemy_skill_id",enemy_skills!$1:$1,0)+1),MATCH(E$1,enemy_skills!$1:$1,0)-MATCH("enemy_skill_id",enemy_skills!$1:$1,0)+1,FALSE)</f>
        <v>敵全体の攻撃力がUP</v>
      </c>
      <c r="F24" s="44">
        <v>30030008</v>
      </c>
      <c r="G24" s="45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5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5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5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5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5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5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5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5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132"/>
      <c r="Q24" s="132"/>
      <c r="R24" s="132"/>
    </row>
    <row r="25" spans="1:18" ht="21" customHeight="1" x14ac:dyDescent="0.15">
      <c r="A25" s="36" t="str">
        <f t="shared" si="7"/>
        <v>30030008_30030009</v>
      </c>
      <c r="B25" s="44">
        <v>30030008</v>
      </c>
      <c r="C25" s="44">
        <v>30030009</v>
      </c>
      <c r="D25" s="43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力ため</v>
      </c>
      <c r="E25" s="43" t="str">
        <f ca="1">VLOOKUP($C25,OFFSET(enemy_skills!$A$1,0,0,COUNTA(enemy_skills!$A:$A),MATCH(E$1,enemy_skills!$1:$1,0)-MATCH("enemy_skill_id",enemy_skills!$1:$1,0)+1),MATCH(E$1,enemy_skills!$1:$1,0)-MATCH("enemy_skill_id",enemy_skills!$1:$1,0)+1,FALSE)</f>
        <v>次のターン強力な全体攻撃</v>
      </c>
      <c r="F25" s="44">
        <v>30030009</v>
      </c>
      <c r="G25" s="45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5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5" s="45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5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5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5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5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5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5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132"/>
      <c r="Q25" s="132"/>
      <c r="R25" s="132"/>
    </row>
    <row r="26" spans="1:18" ht="21" customHeight="1" x14ac:dyDescent="0.15">
      <c r="A26" s="36" t="str">
        <f t="shared" si="7"/>
        <v>30030008_30030010</v>
      </c>
      <c r="B26" s="44">
        <v>30030008</v>
      </c>
      <c r="C26" s="44">
        <v>30030010</v>
      </c>
      <c r="D26" s="43" t="str">
        <f ca="1">VLOOKUP($C26,OFFSET(enemy_skills!$A$1,0,0,COUNTA(enemy_skills!$A:$A),MATCH(D$1,enemy_skills!$1:$1,0)-MATCH("enemy_skill_id",enemy_skills!$1:$1,0)+1),MATCH(D$1,enemy_skills!$1:$1,0)-MATCH("enemy_skill_id",enemy_skills!$1:$1,0)+1,FALSE)</f>
        <v>疾風刄雷</v>
      </c>
      <c r="E26" s="43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26" s="44">
        <v>30030010</v>
      </c>
      <c r="G26" s="45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5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6" s="45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5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5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5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5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6" s="45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5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132"/>
      <c r="Q26" s="132"/>
      <c r="R26" s="132"/>
    </row>
    <row r="27" spans="1:18" ht="21" customHeight="1" x14ac:dyDescent="0.15">
      <c r="A27" s="36" t="str">
        <f t="shared" si="7"/>
        <v>30030008_30030011</v>
      </c>
      <c r="B27" s="44">
        <v>30030008</v>
      </c>
      <c r="C27" s="44">
        <v>30030011</v>
      </c>
      <c r="D27" s="43" t="str">
        <f ca="1">VLOOKUP($C27,OFFSET(enemy_skills!$A$1,0,0,COUNTA(enemy_skills!$A:$A),MATCH(D$1,enemy_skills!$1:$1,0)-MATCH("enemy_skill_id",enemy_skills!$1:$1,0)+1),MATCH(D$1,enemy_skills!$1:$1,0)-MATCH("enemy_skill_id",enemy_skills!$1:$1,0)+1,FALSE)</f>
        <v>！？</v>
      </c>
      <c r="E27" s="43" t="str">
        <f ca="1">VLOOKUP($C27,OFFSET(enemy_skills!$A$1,0,0,COUNTA(enemy_skills!$A:$A),MATCH(E$1,enemy_skills!$1:$1,0)-MATCH("enemy_skill_id",enemy_skills!$1:$1,0)+1),MATCH(E$1,enemy_skills!$1:$1,0)-MATCH("enemy_skill_id",enemy_skills!$1:$1,0)+1,FALSE)</f>
        <v>怒りで攻撃力が上がったようだ</v>
      </c>
      <c r="F27" s="44">
        <v>30030020</v>
      </c>
      <c r="G27" s="45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5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5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5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5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5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5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5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75</v>
      </c>
      <c r="O27" s="45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132"/>
      <c r="Q27" s="132"/>
      <c r="R27" s="132"/>
    </row>
    <row r="28" spans="1:18" ht="21" customHeight="1" x14ac:dyDescent="0.15">
      <c r="A28" s="36" t="str">
        <f t="shared" si="7"/>
        <v>30030009_30030009</v>
      </c>
      <c r="B28" s="44">
        <v>30030009</v>
      </c>
      <c r="C28" s="44">
        <v>30030009</v>
      </c>
      <c r="D28" s="43" t="str">
        <f ca="1">VLOOKUP($C28,OFFSET(enemy_skills!$A$1,0,0,COUNTA(enemy_skills!$A:$A),MATCH(D$1,enemy_skills!$1:$1,0)-MATCH("enemy_skill_id",enemy_skills!$1:$1,0)+1),MATCH(D$1,enemy_skills!$1:$1,0)-MATCH("enemy_skill_id",enemy_skills!$1:$1,0)+1,FALSE)</f>
        <v>力ため</v>
      </c>
      <c r="E28" s="43" t="str">
        <f ca="1">VLOOKUP($C28,OFFSET(enemy_skills!$A$1,0,0,COUNTA(enemy_skills!$A:$A),MATCH(E$1,enemy_skills!$1:$1,0)-MATCH("enemy_skill_id",enemy_skills!$1:$1,0)+1),MATCH(E$1,enemy_skills!$1:$1,0)-MATCH("enemy_skill_id",enemy_skills!$1:$1,0)+1,FALSE)</f>
        <v>次のターン強力な全体攻撃</v>
      </c>
      <c r="F28" s="44">
        <v>30030009</v>
      </c>
      <c r="G28" s="45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5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8" s="45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5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5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5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5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5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5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132"/>
      <c r="Q28" s="132"/>
      <c r="R28" s="132"/>
    </row>
    <row r="29" spans="1:18" ht="21" customHeight="1" x14ac:dyDescent="0.15">
      <c r="A29" s="36" t="str">
        <f t="shared" si="7"/>
        <v>30030009_30030010</v>
      </c>
      <c r="B29" s="44">
        <v>30030009</v>
      </c>
      <c r="C29" s="44">
        <v>30030010</v>
      </c>
      <c r="D29" s="43" t="str">
        <f ca="1">VLOOKUP($C29,OFFSET(enemy_skills!$A$1,0,0,COUNTA(enemy_skills!$A:$A),MATCH(D$1,enemy_skills!$1:$1,0)-MATCH("enemy_skill_id",enemy_skills!$1:$1,0)+1),MATCH(D$1,enemy_skills!$1:$1,0)-MATCH("enemy_skill_id",enemy_skills!$1:$1,0)+1,FALSE)</f>
        <v>疾風刄雷</v>
      </c>
      <c r="E29" s="43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29" s="44">
        <v>30030010</v>
      </c>
      <c r="G29" s="45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5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9" s="45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5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5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5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5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9" s="45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5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132"/>
      <c r="Q29" s="132"/>
      <c r="R29" s="132"/>
    </row>
    <row r="30" spans="1:18" ht="21" customHeight="1" x14ac:dyDescent="0.15">
      <c r="A30" s="36" t="str">
        <f t="shared" si="7"/>
        <v>30030009_30030012</v>
      </c>
      <c r="B30" s="44">
        <v>30030009</v>
      </c>
      <c r="C30" s="44">
        <v>30030012</v>
      </c>
      <c r="D30" s="43" t="str">
        <f ca="1">VLOOKUP($C30,OFFSET(enemy_skills!$A$1,0,0,COUNTA(enemy_skills!$A:$A),MATCH(D$1,enemy_skills!$1:$1,0)-MATCH("enemy_skill_id",enemy_skills!$1:$1,0)+1),MATCH(D$1,enemy_skills!$1:$1,0)-MATCH("enemy_skill_id",enemy_skills!$1:$1,0)+1,FALSE)</f>
        <v>！？</v>
      </c>
      <c r="E30" s="43" t="str">
        <f ca="1">VLOOKUP($C30,OFFSET(enemy_skills!$A$1,0,0,COUNTA(enemy_skills!$A:$A),MATCH(E$1,enemy_skills!$1:$1,0)-MATCH("enemy_skill_id",enemy_skills!$1:$1,0)+1),MATCH(E$1,enemy_skills!$1:$1,0)-MATCH("enemy_skill_id",enemy_skills!$1:$1,0)+1,FALSE)</f>
        <v>危機を察知して守りを固めたようだ</v>
      </c>
      <c r="F30" s="44">
        <v>30030020</v>
      </c>
      <c r="G30" s="45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5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5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5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5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5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5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5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75</v>
      </c>
      <c r="O30" s="45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132"/>
      <c r="Q30" s="132"/>
      <c r="R30" s="132"/>
    </row>
    <row r="31" spans="1:18" ht="21" customHeight="1" x14ac:dyDescent="0.15">
      <c r="A31" s="36" t="s">
        <v>263</v>
      </c>
      <c r="B31" s="44">
        <v>30030010</v>
      </c>
      <c r="C31" s="44">
        <v>30030013</v>
      </c>
      <c r="D31" s="43" t="s">
        <v>264</v>
      </c>
      <c r="E31" s="43" t="s">
        <v>265</v>
      </c>
      <c r="F31" s="44">
        <v>30030012</v>
      </c>
      <c r="G31" s="45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5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5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5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5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5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5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5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5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132"/>
      <c r="Q31" s="132"/>
      <c r="R31" s="132"/>
    </row>
    <row r="32" spans="1:18" ht="21" customHeight="1" x14ac:dyDescent="0.15">
      <c r="A32" s="36" t="s">
        <v>266</v>
      </c>
      <c r="B32" s="44">
        <v>30030010</v>
      </c>
      <c r="C32" s="44">
        <v>30030014</v>
      </c>
      <c r="D32" s="43" t="s">
        <v>267</v>
      </c>
      <c r="E32" s="43" t="s">
        <v>260</v>
      </c>
      <c r="F32" s="44">
        <v>30030021</v>
      </c>
      <c r="G32" s="45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5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5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5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" s="45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5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5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5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5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132"/>
      <c r="Q32" s="132"/>
      <c r="R32" s="132"/>
    </row>
    <row r="33" spans="1:18" ht="21" customHeight="1" x14ac:dyDescent="0.15">
      <c r="A33" s="36" t="s">
        <v>268</v>
      </c>
      <c r="B33" s="44">
        <v>30030010</v>
      </c>
      <c r="C33" s="44">
        <v>30030017</v>
      </c>
      <c r="D33" s="43" t="s">
        <v>269</v>
      </c>
      <c r="E33" s="43" t="s">
        <v>270</v>
      </c>
      <c r="F33" s="44">
        <v>30030022</v>
      </c>
      <c r="G33" s="45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5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5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5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5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5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5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3" s="45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5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3" s="132"/>
      <c r="Q33" s="132"/>
      <c r="R33" s="132"/>
    </row>
    <row r="34" spans="1:18" ht="21" customHeight="1" x14ac:dyDescent="0.15">
      <c r="A34" s="36" t="s">
        <v>271</v>
      </c>
      <c r="B34" s="44">
        <v>30030010</v>
      </c>
      <c r="C34" s="44">
        <v>30030018</v>
      </c>
      <c r="D34" s="43" t="s">
        <v>272</v>
      </c>
      <c r="E34" s="43" t="s">
        <v>259</v>
      </c>
      <c r="F34" s="44">
        <v>30030023</v>
      </c>
      <c r="G34" s="45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5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5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34" s="45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34" s="45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5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5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5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5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4" s="132"/>
      <c r="Q34" s="132"/>
      <c r="R34" s="132"/>
    </row>
  </sheetData>
  <autoFilter ref="A1:R1"/>
  <phoneticPr fontId="5"/>
  <pageMargins left="0.75" right="0.75" top="1" bottom="1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tabSelected="1" workbookViewId="0">
      <selection activeCell="G17" sqref="G17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1" t="s">
        <v>281</v>
      </c>
      <c r="B1" s="61" t="s">
        <v>282</v>
      </c>
      <c r="C1" s="62" t="s">
        <v>283</v>
      </c>
      <c r="D1" s="68" t="s">
        <v>284</v>
      </c>
      <c r="E1" s="63" t="s">
        <v>285</v>
      </c>
      <c r="F1" s="61" t="s">
        <v>286</v>
      </c>
      <c r="G1" s="61" t="s">
        <v>287</v>
      </c>
      <c r="H1" s="61" t="s">
        <v>288</v>
      </c>
      <c r="I1" s="61" t="s">
        <v>289</v>
      </c>
      <c r="J1" s="61" t="s">
        <v>290</v>
      </c>
      <c r="K1" s="61" t="s">
        <v>291</v>
      </c>
      <c r="L1" s="61" t="s">
        <v>292</v>
      </c>
      <c r="M1" s="61" t="s">
        <v>293</v>
      </c>
      <c r="N1" s="61" t="s">
        <v>294</v>
      </c>
      <c r="O1" s="61" t="s">
        <v>295</v>
      </c>
      <c r="P1" s="61" t="s">
        <v>296</v>
      </c>
      <c r="Q1" s="61" t="s">
        <v>297</v>
      </c>
      <c r="R1" s="61" t="s">
        <v>162</v>
      </c>
    </row>
    <row r="2" spans="1:18" x14ac:dyDescent="0.15">
      <c r="A2" s="54">
        <v>30030</v>
      </c>
      <c r="B2" s="78">
        <v>1</v>
      </c>
      <c r="C2" s="67" t="str">
        <f>A2&amp; "_"&amp;B2</f>
        <v>30030_1</v>
      </c>
      <c r="D2" s="15" t="str">
        <f ca="1">VLOOKUP($C2,OFFSET([2]stages!$A$1,0,0,COUNTA([2]stages!$A:$A),MATCH(D$1,[2]stages!$2:$2,0)-MATCH($C$1,[2]stages!$2:$2,0)+1),MATCH(D$1,[2]stages!$2:$2,0)-MATCH($C$1,[2]stages!$2:$2,0)+1,FALSE)</f>
        <v>everyone</v>
      </c>
      <c r="E2" s="78">
        <v>1</v>
      </c>
      <c r="F2" s="78" t="s">
        <v>163</v>
      </c>
      <c r="G2" s="78">
        <v>3200</v>
      </c>
      <c r="H2" s="78" t="s">
        <v>298</v>
      </c>
      <c r="I2" s="78">
        <v>1</v>
      </c>
      <c r="J2" s="78">
        <v>1</v>
      </c>
      <c r="K2" s="78">
        <v>0</v>
      </c>
      <c r="L2" s="78">
        <v>0</v>
      </c>
      <c r="M2" s="78">
        <v>0</v>
      </c>
      <c r="N2" s="78">
        <v>0</v>
      </c>
      <c r="O2" s="78">
        <v>1</v>
      </c>
      <c r="P2" s="78">
        <v>200</v>
      </c>
      <c r="Q2" s="78" t="s">
        <v>164</v>
      </c>
      <c r="R2" s="78" t="s">
        <v>165</v>
      </c>
    </row>
    <row r="3" spans="1:18" x14ac:dyDescent="0.15">
      <c r="A3" s="54">
        <v>30030</v>
      </c>
      <c r="B3" s="78">
        <v>1</v>
      </c>
      <c r="C3" s="67" t="str">
        <f t="shared" ref="C3:C33" si="0">A3&amp; "_"&amp;B3</f>
        <v>30030_1</v>
      </c>
      <c r="D3" s="15" t="str">
        <f ca="1">VLOOKUP($C3,OFFSET([2]stages!$A$1,0,0,COUNTA([2]stages!$A:$A),MATCH(D$1,[2]stages!$2:$2,0)-MATCH($C$1,[2]stages!$2:$2,0)+1),MATCH(D$1,[2]stages!$2:$2,0)-MATCH($C$1,[2]stages!$2:$2,0)+1,FALSE)</f>
        <v>everyone</v>
      </c>
      <c r="E3" s="78">
        <v>2</v>
      </c>
      <c r="F3" s="78" t="s">
        <v>299</v>
      </c>
      <c r="G3" s="78">
        <v>20</v>
      </c>
      <c r="H3" s="78" t="s">
        <v>298</v>
      </c>
      <c r="I3" s="78">
        <v>1</v>
      </c>
      <c r="J3" s="78">
        <v>1</v>
      </c>
      <c r="K3" s="78">
        <v>0</v>
      </c>
      <c r="L3" s="78">
        <v>0</v>
      </c>
      <c r="M3" s="78">
        <v>0</v>
      </c>
      <c r="N3" s="78">
        <v>0</v>
      </c>
      <c r="O3" s="78">
        <v>1</v>
      </c>
      <c r="P3" s="78">
        <v>200</v>
      </c>
      <c r="Q3" s="78" t="s">
        <v>164</v>
      </c>
      <c r="R3" s="78" t="s">
        <v>165</v>
      </c>
    </row>
    <row r="4" spans="1:18" x14ac:dyDescent="0.15">
      <c r="A4" s="54">
        <v>30030</v>
      </c>
      <c r="B4" s="78">
        <v>1</v>
      </c>
      <c r="C4" s="67" t="str">
        <f t="shared" si="0"/>
        <v>30030_1</v>
      </c>
      <c r="D4" s="15" t="str">
        <f ca="1">VLOOKUP($C4,OFFSET([2]stages!$A$1,0,0,COUNTA([2]stages!$A:$A),MATCH(D$1,[2]stages!$2:$2,0)-MATCH($C$1,[2]stages!$2:$2,0)+1),MATCH(D$1,[2]stages!$2:$2,0)-MATCH($C$1,[2]stages!$2:$2,0)+1,FALSE)</f>
        <v>everyone</v>
      </c>
      <c r="E4" s="78">
        <v>3</v>
      </c>
      <c r="F4" s="78" t="s">
        <v>300</v>
      </c>
      <c r="G4" s="78">
        <v>344</v>
      </c>
      <c r="H4" s="78">
        <v>1</v>
      </c>
      <c r="I4" s="78">
        <v>1</v>
      </c>
      <c r="J4" s="78">
        <v>1</v>
      </c>
      <c r="K4" s="78">
        <v>0</v>
      </c>
      <c r="L4" s="78">
        <v>0</v>
      </c>
      <c r="M4" s="78">
        <v>0</v>
      </c>
      <c r="N4" s="78">
        <v>0</v>
      </c>
      <c r="O4" s="78">
        <v>1</v>
      </c>
      <c r="P4" s="78">
        <v>70</v>
      </c>
      <c r="Q4" s="78" t="s">
        <v>164</v>
      </c>
      <c r="R4" s="78" t="s">
        <v>165</v>
      </c>
    </row>
    <row r="5" spans="1:18" x14ac:dyDescent="0.15">
      <c r="A5" s="54">
        <v>30030</v>
      </c>
      <c r="B5" s="78">
        <v>1</v>
      </c>
      <c r="C5" s="67" t="str">
        <f t="shared" si="0"/>
        <v>30030_1</v>
      </c>
      <c r="D5" s="15" t="str">
        <f ca="1">VLOOKUP($C5,OFFSET([2]stages!$A$1,0,0,COUNTA([2]stages!$A:$A),MATCH(D$1,[2]stages!$2:$2,0)-MATCH($C$1,[2]stages!$2:$2,0)+1),MATCH(D$1,[2]stages!$2:$2,0)-MATCH($C$1,[2]stages!$2:$2,0)+1,FALSE)</f>
        <v>everyone</v>
      </c>
      <c r="E5" s="78">
        <v>4</v>
      </c>
      <c r="F5" s="78" t="s">
        <v>301</v>
      </c>
      <c r="G5" s="78">
        <v>345</v>
      </c>
      <c r="H5" s="78">
        <v>1</v>
      </c>
      <c r="I5" s="78">
        <v>1</v>
      </c>
      <c r="J5" s="78">
        <v>1</v>
      </c>
      <c r="K5" s="78">
        <v>0</v>
      </c>
      <c r="L5" s="78">
        <v>0</v>
      </c>
      <c r="M5" s="78">
        <v>0</v>
      </c>
      <c r="N5" s="78">
        <v>0</v>
      </c>
      <c r="O5" s="78">
        <v>1</v>
      </c>
      <c r="P5" s="78">
        <v>70</v>
      </c>
      <c r="Q5" s="78" t="s">
        <v>164</v>
      </c>
      <c r="R5" s="78" t="s">
        <v>165</v>
      </c>
    </row>
    <row r="6" spans="1:18" x14ac:dyDescent="0.15">
      <c r="A6" s="54">
        <v>30030</v>
      </c>
      <c r="B6" s="78">
        <v>1</v>
      </c>
      <c r="C6" s="67" t="str">
        <f t="shared" si="0"/>
        <v>30030_1</v>
      </c>
      <c r="D6" s="15" t="str">
        <f ca="1">VLOOKUP($C6,OFFSET([2]stages!$A$1,0,0,COUNTA([2]stages!$A:$A),MATCH(D$1,[2]stages!$2:$2,0)-MATCH($C$1,[2]stages!$2:$2,0)+1),MATCH(D$1,[2]stages!$2:$2,0)-MATCH($C$1,[2]stages!$2:$2,0)+1,FALSE)</f>
        <v>everyone</v>
      </c>
      <c r="E6" s="78">
        <v>5</v>
      </c>
      <c r="F6" s="78" t="s">
        <v>301</v>
      </c>
      <c r="G6" s="78">
        <v>121</v>
      </c>
      <c r="H6" s="78">
        <v>1</v>
      </c>
      <c r="I6" s="78">
        <v>1</v>
      </c>
      <c r="J6" s="78">
        <v>1</v>
      </c>
      <c r="K6" s="78">
        <v>0</v>
      </c>
      <c r="L6" s="78">
        <v>0</v>
      </c>
      <c r="M6" s="78">
        <v>0</v>
      </c>
      <c r="N6" s="78">
        <v>0</v>
      </c>
      <c r="O6" s="78">
        <v>1</v>
      </c>
      <c r="P6" s="78">
        <v>50</v>
      </c>
      <c r="Q6" s="78" t="s">
        <v>164</v>
      </c>
      <c r="R6" s="78" t="s">
        <v>165</v>
      </c>
    </row>
    <row r="7" spans="1:18" x14ac:dyDescent="0.15">
      <c r="A7" s="54">
        <v>30030</v>
      </c>
      <c r="B7" s="78">
        <v>1</v>
      </c>
      <c r="C7" s="67" t="str">
        <f t="shared" si="0"/>
        <v>30030_1</v>
      </c>
      <c r="D7" s="15" t="str">
        <f ca="1">VLOOKUP($C7,OFFSET([2]stages!$A$1,0,0,COUNTA([2]stages!$A:$A),MATCH(D$1,[2]stages!$2:$2,0)-MATCH($C$1,[2]stages!$2:$2,0)+1),MATCH(D$1,[2]stages!$2:$2,0)-MATCH($C$1,[2]stages!$2:$2,0)+1,FALSE)</f>
        <v>everyone</v>
      </c>
      <c r="E7" s="78">
        <v>6</v>
      </c>
      <c r="F7" s="78" t="s">
        <v>301</v>
      </c>
      <c r="G7" s="78">
        <v>122</v>
      </c>
      <c r="H7" s="78">
        <v>1</v>
      </c>
      <c r="I7" s="78">
        <v>1</v>
      </c>
      <c r="J7" s="78">
        <v>1</v>
      </c>
      <c r="K7" s="78">
        <v>0</v>
      </c>
      <c r="L7" s="78">
        <v>0</v>
      </c>
      <c r="M7" s="78">
        <v>0</v>
      </c>
      <c r="N7" s="78">
        <v>0</v>
      </c>
      <c r="O7" s="78">
        <v>1</v>
      </c>
      <c r="P7" s="78">
        <v>50</v>
      </c>
      <c r="Q7" s="78" t="s">
        <v>164</v>
      </c>
      <c r="R7" s="78" t="s">
        <v>165</v>
      </c>
    </row>
    <row r="8" spans="1:18" x14ac:dyDescent="0.15">
      <c r="A8" s="54">
        <v>30030</v>
      </c>
      <c r="B8" s="78">
        <v>1</v>
      </c>
      <c r="C8" s="67" t="str">
        <f t="shared" si="0"/>
        <v>30030_1</v>
      </c>
      <c r="D8" s="15" t="str">
        <f ca="1">VLOOKUP($C8,OFFSET([2]stages!$A$1,0,0,COUNTA([2]stages!$A:$A),MATCH(D$1,[2]stages!$2:$2,0)-MATCH($C$1,[2]stages!$2:$2,0)+1),MATCH(D$1,[2]stages!$2:$2,0)-MATCH($C$1,[2]stages!$2:$2,0)+1,FALSE)</f>
        <v>everyone</v>
      </c>
      <c r="E8" s="78">
        <v>7</v>
      </c>
      <c r="F8" s="78" t="s">
        <v>301</v>
      </c>
      <c r="G8" s="78">
        <v>123</v>
      </c>
      <c r="H8" s="78">
        <v>1</v>
      </c>
      <c r="I8" s="78">
        <v>1</v>
      </c>
      <c r="J8" s="78">
        <v>1</v>
      </c>
      <c r="K8" s="78">
        <v>0</v>
      </c>
      <c r="L8" s="78">
        <v>0</v>
      </c>
      <c r="M8" s="78">
        <v>0</v>
      </c>
      <c r="N8" s="78">
        <v>0</v>
      </c>
      <c r="O8" s="78">
        <v>1</v>
      </c>
      <c r="P8" s="78">
        <v>50</v>
      </c>
      <c r="Q8" s="78" t="s">
        <v>164</v>
      </c>
      <c r="R8" s="78" t="s">
        <v>165</v>
      </c>
    </row>
    <row r="9" spans="1:18" x14ac:dyDescent="0.15">
      <c r="A9" s="54">
        <v>30030</v>
      </c>
      <c r="B9" s="78">
        <v>1</v>
      </c>
      <c r="C9" s="67" t="str">
        <f t="shared" si="0"/>
        <v>30030_1</v>
      </c>
      <c r="D9" s="15" t="str">
        <f ca="1">VLOOKUP($C9,OFFSET([2]stages!$A$1,0,0,COUNTA([2]stages!$A:$A),MATCH(D$1,[2]stages!$2:$2,0)-MATCH($C$1,[2]stages!$2:$2,0)+1),MATCH(D$1,[2]stages!$2:$2,0)-MATCH($C$1,[2]stages!$2:$2,0)+1,FALSE)</f>
        <v>everyone</v>
      </c>
      <c r="E9" s="78">
        <v>8</v>
      </c>
      <c r="F9" s="78" t="s">
        <v>301</v>
      </c>
      <c r="G9" s="78">
        <v>125</v>
      </c>
      <c r="H9" s="78">
        <v>1</v>
      </c>
      <c r="I9" s="78">
        <v>1</v>
      </c>
      <c r="J9" s="78">
        <v>1</v>
      </c>
      <c r="K9" s="78">
        <v>0</v>
      </c>
      <c r="L9" s="78">
        <v>0</v>
      </c>
      <c r="M9" s="78">
        <v>0</v>
      </c>
      <c r="N9" s="78">
        <v>0</v>
      </c>
      <c r="O9" s="78">
        <v>1</v>
      </c>
      <c r="P9" s="78">
        <v>10</v>
      </c>
      <c r="Q9" s="78" t="s">
        <v>164</v>
      </c>
      <c r="R9" s="78" t="s">
        <v>165</v>
      </c>
    </row>
    <row r="10" spans="1:18" x14ac:dyDescent="0.15">
      <c r="A10" s="54">
        <v>30030</v>
      </c>
      <c r="B10" s="78">
        <v>1</v>
      </c>
      <c r="C10" s="67" t="str">
        <f t="shared" si="0"/>
        <v>30030_1</v>
      </c>
      <c r="D10" s="15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78">
        <v>9</v>
      </c>
      <c r="F10" s="78" t="s">
        <v>301</v>
      </c>
      <c r="G10" s="78">
        <v>652</v>
      </c>
      <c r="H10" s="78">
        <v>1</v>
      </c>
      <c r="I10" s="78">
        <v>1</v>
      </c>
      <c r="J10" s="78">
        <v>1</v>
      </c>
      <c r="K10" s="78">
        <v>0</v>
      </c>
      <c r="L10" s="78">
        <v>0</v>
      </c>
      <c r="M10" s="78">
        <v>0</v>
      </c>
      <c r="N10" s="78">
        <v>0</v>
      </c>
      <c r="O10" s="78">
        <v>1</v>
      </c>
      <c r="P10" s="78">
        <v>200</v>
      </c>
      <c r="Q10" s="78" t="s">
        <v>164</v>
      </c>
      <c r="R10" s="78" t="s">
        <v>165</v>
      </c>
    </row>
    <row r="11" spans="1:18" ht="16" thickBot="1" x14ac:dyDescent="0.2">
      <c r="A11" s="149">
        <v>30030</v>
      </c>
      <c r="B11" s="150">
        <v>1</v>
      </c>
      <c r="C11" s="151" t="str">
        <f t="shared" si="0"/>
        <v>30030_1</v>
      </c>
      <c r="D11" s="152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50">
        <v>10</v>
      </c>
      <c r="F11" s="150" t="s">
        <v>301</v>
      </c>
      <c r="G11" s="150">
        <v>354</v>
      </c>
      <c r="H11" s="150">
        <v>1</v>
      </c>
      <c r="I11" s="150">
        <v>1</v>
      </c>
      <c r="J11" s="150">
        <v>1</v>
      </c>
      <c r="K11" s="150">
        <v>0</v>
      </c>
      <c r="L11" s="150">
        <v>0</v>
      </c>
      <c r="M11" s="150">
        <v>0</v>
      </c>
      <c r="N11" s="150">
        <v>0</v>
      </c>
      <c r="O11" s="150">
        <v>1</v>
      </c>
      <c r="P11" s="150">
        <v>100</v>
      </c>
      <c r="Q11" s="150" t="s">
        <v>164</v>
      </c>
      <c r="R11" s="150" t="s">
        <v>165</v>
      </c>
    </row>
    <row r="12" spans="1:18" ht="16" thickTop="1" x14ac:dyDescent="0.15">
      <c r="A12" s="146">
        <v>30030</v>
      </c>
      <c r="B12" s="147">
        <v>2</v>
      </c>
      <c r="C12" s="148" t="str">
        <f t="shared" si="0"/>
        <v>30030_2</v>
      </c>
      <c r="D12" s="96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47">
        <v>11</v>
      </c>
      <c r="F12" s="147" t="s">
        <v>163</v>
      </c>
      <c r="G12" s="147">
        <v>5000</v>
      </c>
      <c r="H12" s="147" t="s">
        <v>298</v>
      </c>
      <c r="I12" s="147">
        <v>1</v>
      </c>
      <c r="J12" s="147">
        <v>1</v>
      </c>
      <c r="K12" s="147">
        <v>0</v>
      </c>
      <c r="L12" s="147">
        <v>0</v>
      </c>
      <c r="M12" s="147">
        <v>0</v>
      </c>
      <c r="N12" s="147">
        <v>0</v>
      </c>
      <c r="O12" s="147">
        <v>1</v>
      </c>
      <c r="P12" s="147">
        <v>200</v>
      </c>
      <c r="Q12" s="147" t="s">
        <v>164</v>
      </c>
      <c r="R12" s="147" t="s">
        <v>165</v>
      </c>
    </row>
    <row r="13" spans="1:18" x14ac:dyDescent="0.15">
      <c r="A13" s="54">
        <v>30030</v>
      </c>
      <c r="B13" s="78">
        <v>2</v>
      </c>
      <c r="C13" s="67" t="str">
        <f t="shared" si="0"/>
        <v>30030_2</v>
      </c>
      <c r="D13" s="15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78">
        <v>12</v>
      </c>
      <c r="F13" s="78" t="s">
        <v>302</v>
      </c>
      <c r="G13" s="78">
        <v>25</v>
      </c>
      <c r="H13" s="78" t="s">
        <v>298</v>
      </c>
      <c r="I13" s="78">
        <v>1</v>
      </c>
      <c r="J13" s="78">
        <v>1</v>
      </c>
      <c r="K13" s="78">
        <v>0</v>
      </c>
      <c r="L13" s="78">
        <v>0</v>
      </c>
      <c r="M13" s="78">
        <v>0</v>
      </c>
      <c r="N13" s="78">
        <v>0</v>
      </c>
      <c r="O13" s="78">
        <v>1</v>
      </c>
      <c r="P13" s="78">
        <v>150</v>
      </c>
      <c r="Q13" s="78" t="s">
        <v>164</v>
      </c>
      <c r="R13" s="78" t="s">
        <v>165</v>
      </c>
    </row>
    <row r="14" spans="1:18" x14ac:dyDescent="0.15">
      <c r="A14" s="54">
        <v>30030</v>
      </c>
      <c r="B14" s="78">
        <v>2</v>
      </c>
      <c r="C14" s="67" t="str">
        <f t="shared" si="0"/>
        <v>30030_2</v>
      </c>
      <c r="D14" s="15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78">
        <v>13</v>
      </c>
      <c r="F14" s="78" t="s">
        <v>301</v>
      </c>
      <c r="G14" s="78">
        <v>344</v>
      </c>
      <c r="H14" s="78">
        <v>1</v>
      </c>
      <c r="I14" s="78">
        <v>1</v>
      </c>
      <c r="J14" s="78">
        <v>1</v>
      </c>
      <c r="K14" s="78">
        <v>0</v>
      </c>
      <c r="L14" s="78">
        <v>0</v>
      </c>
      <c r="M14" s="78">
        <v>0</v>
      </c>
      <c r="N14" s="78">
        <v>0</v>
      </c>
      <c r="O14" s="78">
        <v>1</v>
      </c>
      <c r="P14" s="78">
        <v>56</v>
      </c>
      <c r="Q14" s="78" t="s">
        <v>164</v>
      </c>
      <c r="R14" s="78" t="s">
        <v>165</v>
      </c>
    </row>
    <row r="15" spans="1:18" x14ac:dyDescent="0.15">
      <c r="A15" s="54">
        <v>30030</v>
      </c>
      <c r="B15" s="78">
        <v>2</v>
      </c>
      <c r="C15" s="67" t="str">
        <f t="shared" si="0"/>
        <v>30030_2</v>
      </c>
      <c r="D15" s="15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78">
        <v>14</v>
      </c>
      <c r="F15" s="78" t="s">
        <v>301</v>
      </c>
      <c r="G15" s="78">
        <v>345</v>
      </c>
      <c r="H15" s="78">
        <v>1</v>
      </c>
      <c r="I15" s="78">
        <v>1</v>
      </c>
      <c r="J15" s="78">
        <v>1</v>
      </c>
      <c r="K15" s="78">
        <v>0</v>
      </c>
      <c r="L15" s="78">
        <v>0</v>
      </c>
      <c r="M15" s="78">
        <v>0</v>
      </c>
      <c r="N15" s="78">
        <v>0</v>
      </c>
      <c r="O15" s="78">
        <v>1</v>
      </c>
      <c r="P15" s="78">
        <v>56</v>
      </c>
      <c r="Q15" s="78" t="s">
        <v>164</v>
      </c>
      <c r="R15" s="78" t="s">
        <v>165</v>
      </c>
    </row>
    <row r="16" spans="1:18" x14ac:dyDescent="0.15">
      <c r="A16" s="54">
        <v>30030</v>
      </c>
      <c r="B16" s="78">
        <v>2</v>
      </c>
      <c r="C16" s="67" t="str">
        <f t="shared" si="0"/>
        <v>30030_2</v>
      </c>
      <c r="D16" s="15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78">
        <v>15</v>
      </c>
      <c r="F16" s="78" t="s">
        <v>301</v>
      </c>
      <c r="G16" s="78">
        <v>346</v>
      </c>
      <c r="H16" s="78">
        <v>1</v>
      </c>
      <c r="I16" s="78">
        <v>1</v>
      </c>
      <c r="J16" s="78">
        <v>1</v>
      </c>
      <c r="K16" s="78">
        <v>0</v>
      </c>
      <c r="L16" s="78">
        <v>0</v>
      </c>
      <c r="M16" s="78">
        <v>0</v>
      </c>
      <c r="N16" s="78">
        <v>0</v>
      </c>
      <c r="O16" s="78">
        <v>1</v>
      </c>
      <c r="P16" s="78">
        <v>28</v>
      </c>
      <c r="Q16" s="78" t="s">
        <v>164</v>
      </c>
      <c r="R16" s="78" t="s">
        <v>165</v>
      </c>
    </row>
    <row r="17" spans="1:18" x14ac:dyDescent="0.15">
      <c r="A17" s="54">
        <v>30030</v>
      </c>
      <c r="B17" s="78">
        <v>2</v>
      </c>
      <c r="C17" s="67" t="str">
        <f t="shared" si="0"/>
        <v>30030_2</v>
      </c>
      <c r="D17" s="15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78">
        <v>16</v>
      </c>
      <c r="F17" s="78" t="s">
        <v>301</v>
      </c>
      <c r="G17" s="78">
        <v>121</v>
      </c>
      <c r="H17" s="78">
        <v>1</v>
      </c>
      <c r="I17" s="78">
        <v>1</v>
      </c>
      <c r="J17" s="78">
        <v>1</v>
      </c>
      <c r="K17" s="78">
        <v>0</v>
      </c>
      <c r="L17" s="78">
        <v>0</v>
      </c>
      <c r="M17" s="78">
        <v>0</v>
      </c>
      <c r="N17" s="78">
        <v>0</v>
      </c>
      <c r="O17" s="78">
        <v>1</v>
      </c>
      <c r="P17" s="78">
        <v>50</v>
      </c>
      <c r="Q17" s="78" t="s">
        <v>164</v>
      </c>
      <c r="R17" s="78" t="s">
        <v>165</v>
      </c>
    </row>
    <row r="18" spans="1:18" x14ac:dyDescent="0.15">
      <c r="A18" s="54">
        <v>30030</v>
      </c>
      <c r="B18" s="78">
        <v>2</v>
      </c>
      <c r="C18" s="67" t="str">
        <f t="shared" si="0"/>
        <v>30030_2</v>
      </c>
      <c r="D18" s="15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78">
        <v>17</v>
      </c>
      <c r="F18" s="78" t="s">
        <v>301</v>
      </c>
      <c r="G18" s="78">
        <v>122</v>
      </c>
      <c r="H18" s="78">
        <v>1</v>
      </c>
      <c r="I18" s="78">
        <v>1</v>
      </c>
      <c r="J18" s="78">
        <v>1</v>
      </c>
      <c r="K18" s="78">
        <v>0</v>
      </c>
      <c r="L18" s="78">
        <v>0</v>
      </c>
      <c r="M18" s="78">
        <v>0</v>
      </c>
      <c r="N18" s="78">
        <v>0</v>
      </c>
      <c r="O18" s="78">
        <v>1</v>
      </c>
      <c r="P18" s="78">
        <v>50</v>
      </c>
      <c r="Q18" s="78" t="s">
        <v>164</v>
      </c>
      <c r="R18" s="78" t="s">
        <v>165</v>
      </c>
    </row>
    <row r="19" spans="1:18" x14ac:dyDescent="0.15">
      <c r="A19" s="54">
        <v>30030</v>
      </c>
      <c r="B19" s="78">
        <v>2</v>
      </c>
      <c r="C19" s="67" t="str">
        <f t="shared" si="0"/>
        <v>30030_2</v>
      </c>
      <c r="D19" s="15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78">
        <v>18</v>
      </c>
      <c r="F19" s="78" t="s">
        <v>301</v>
      </c>
      <c r="G19" s="78">
        <v>123</v>
      </c>
      <c r="H19" s="78">
        <v>1</v>
      </c>
      <c r="I19" s="78">
        <v>1</v>
      </c>
      <c r="J19" s="78">
        <v>1</v>
      </c>
      <c r="K19" s="78">
        <v>0</v>
      </c>
      <c r="L19" s="78">
        <v>0</v>
      </c>
      <c r="M19" s="78">
        <v>0</v>
      </c>
      <c r="N19" s="78">
        <v>0</v>
      </c>
      <c r="O19" s="78">
        <v>1</v>
      </c>
      <c r="P19" s="78">
        <v>50</v>
      </c>
      <c r="Q19" s="78" t="s">
        <v>164</v>
      </c>
      <c r="R19" s="78" t="s">
        <v>165</v>
      </c>
    </row>
    <row r="20" spans="1:18" x14ac:dyDescent="0.15">
      <c r="A20" s="54">
        <v>30030</v>
      </c>
      <c r="B20" s="78">
        <v>2</v>
      </c>
      <c r="C20" s="67" t="str">
        <f t="shared" si="0"/>
        <v>30030_2</v>
      </c>
      <c r="D20" s="15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78">
        <v>19</v>
      </c>
      <c r="F20" s="78" t="s">
        <v>301</v>
      </c>
      <c r="G20" s="78">
        <v>125</v>
      </c>
      <c r="H20" s="78">
        <v>1</v>
      </c>
      <c r="I20" s="78">
        <v>1</v>
      </c>
      <c r="J20" s="78">
        <v>1</v>
      </c>
      <c r="K20" s="78">
        <v>0</v>
      </c>
      <c r="L20" s="78">
        <v>0</v>
      </c>
      <c r="M20" s="78">
        <v>0</v>
      </c>
      <c r="N20" s="78">
        <v>0</v>
      </c>
      <c r="O20" s="78">
        <v>1</v>
      </c>
      <c r="P20" s="78">
        <v>10</v>
      </c>
      <c r="Q20" s="78" t="s">
        <v>164</v>
      </c>
      <c r="R20" s="78" t="s">
        <v>165</v>
      </c>
    </row>
    <row r="21" spans="1:18" x14ac:dyDescent="0.15">
      <c r="A21" s="54">
        <v>30030</v>
      </c>
      <c r="B21" s="78">
        <v>2</v>
      </c>
      <c r="C21" s="67" t="str">
        <f t="shared" si="0"/>
        <v>30030_2</v>
      </c>
      <c r="D21" s="15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78">
        <v>20</v>
      </c>
      <c r="F21" s="78" t="s">
        <v>301</v>
      </c>
      <c r="G21" s="78">
        <v>652</v>
      </c>
      <c r="H21" s="78">
        <v>1</v>
      </c>
      <c r="I21" s="78">
        <v>1</v>
      </c>
      <c r="J21" s="78">
        <v>1</v>
      </c>
      <c r="K21" s="78">
        <v>0</v>
      </c>
      <c r="L21" s="78">
        <v>0</v>
      </c>
      <c r="M21" s="78">
        <v>0</v>
      </c>
      <c r="N21" s="78">
        <v>0</v>
      </c>
      <c r="O21" s="78">
        <v>1</v>
      </c>
      <c r="P21" s="78">
        <v>250</v>
      </c>
      <c r="Q21" s="78" t="s">
        <v>164</v>
      </c>
      <c r="R21" s="78" t="s">
        <v>165</v>
      </c>
    </row>
    <row r="22" spans="1:18" ht="16" thickBot="1" x14ac:dyDescent="0.2">
      <c r="A22" s="149">
        <v>30030</v>
      </c>
      <c r="B22" s="150">
        <v>2</v>
      </c>
      <c r="C22" s="151" t="str">
        <f t="shared" si="0"/>
        <v>30030_2</v>
      </c>
      <c r="D22" s="152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50">
        <v>21</v>
      </c>
      <c r="F22" s="150" t="s">
        <v>301</v>
      </c>
      <c r="G22" s="150">
        <v>354</v>
      </c>
      <c r="H22" s="150">
        <v>1</v>
      </c>
      <c r="I22" s="150">
        <v>1</v>
      </c>
      <c r="J22" s="150">
        <v>1</v>
      </c>
      <c r="K22" s="150">
        <v>0</v>
      </c>
      <c r="L22" s="150">
        <v>0</v>
      </c>
      <c r="M22" s="150">
        <v>0</v>
      </c>
      <c r="N22" s="150">
        <v>0</v>
      </c>
      <c r="O22" s="150">
        <v>1</v>
      </c>
      <c r="P22" s="150">
        <v>100</v>
      </c>
      <c r="Q22" s="150" t="s">
        <v>164</v>
      </c>
      <c r="R22" s="150" t="s">
        <v>165</v>
      </c>
    </row>
    <row r="23" spans="1:18" ht="16" thickTop="1" x14ac:dyDescent="0.15">
      <c r="A23" s="146">
        <v>30030</v>
      </c>
      <c r="B23" s="147">
        <v>3</v>
      </c>
      <c r="C23" s="148" t="str">
        <f t="shared" si="0"/>
        <v>30030_3</v>
      </c>
      <c r="D23" s="96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47">
        <v>22</v>
      </c>
      <c r="F23" s="147" t="s">
        <v>163</v>
      </c>
      <c r="G23" s="147">
        <v>6500</v>
      </c>
      <c r="H23" s="147" t="s">
        <v>298</v>
      </c>
      <c r="I23" s="147">
        <v>1</v>
      </c>
      <c r="J23" s="147">
        <v>1</v>
      </c>
      <c r="K23" s="147">
        <v>0</v>
      </c>
      <c r="L23" s="147">
        <v>0</v>
      </c>
      <c r="M23" s="147">
        <v>0</v>
      </c>
      <c r="N23" s="147">
        <v>0</v>
      </c>
      <c r="O23" s="147">
        <v>1</v>
      </c>
      <c r="P23" s="147">
        <v>100</v>
      </c>
      <c r="Q23" s="147" t="s">
        <v>164</v>
      </c>
      <c r="R23" s="147" t="s">
        <v>165</v>
      </c>
    </row>
    <row r="24" spans="1:18" x14ac:dyDescent="0.15">
      <c r="A24" s="54">
        <v>30030</v>
      </c>
      <c r="B24" s="78">
        <v>3</v>
      </c>
      <c r="C24" s="67" t="str">
        <f t="shared" si="0"/>
        <v>30030_3</v>
      </c>
      <c r="D24" s="15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78">
        <v>23</v>
      </c>
      <c r="F24" s="78" t="s">
        <v>302</v>
      </c>
      <c r="G24" s="78">
        <v>25</v>
      </c>
      <c r="H24" s="78" t="s">
        <v>298</v>
      </c>
      <c r="I24" s="78">
        <v>1</v>
      </c>
      <c r="J24" s="78">
        <v>1</v>
      </c>
      <c r="K24" s="78">
        <v>0</v>
      </c>
      <c r="L24" s="78">
        <v>0</v>
      </c>
      <c r="M24" s="78">
        <v>0</v>
      </c>
      <c r="N24" s="78">
        <v>0</v>
      </c>
      <c r="O24" s="78">
        <v>1</v>
      </c>
      <c r="P24" s="78">
        <v>100</v>
      </c>
      <c r="Q24" s="78" t="s">
        <v>164</v>
      </c>
      <c r="R24" s="78" t="s">
        <v>165</v>
      </c>
    </row>
    <row r="25" spans="1:18" x14ac:dyDescent="0.15">
      <c r="A25" s="54">
        <v>30030</v>
      </c>
      <c r="B25" s="78">
        <v>3</v>
      </c>
      <c r="C25" s="67" t="str">
        <f t="shared" si="0"/>
        <v>30030_3</v>
      </c>
      <c r="D25" s="15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78">
        <v>24</v>
      </c>
      <c r="F25" s="78" t="s">
        <v>301</v>
      </c>
      <c r="G25" s="78">
        <v>344</v>
      </c>
      <c r="H25" s="78">
        <v>1</v>
      </c>
      <c r="I25" s="78">
        <v>1</v>
      </c>
      <c r="J25" s="78">
        <v>1</v>
      </c>
      <c r="K25" s="78">
        <v>0</v>
      </c>
      <c r="L25" s="78">
        <v>0</v>
      </c>
      <c r="M25" s="78">
        <v>0</v>
      </c>
      <c r="N25" s="78">
        <v>0</v>
      </c>
      <c r="O25" s="78">
        <v>1</v>
      </c>
      <c r="P25" s="78">
        <v>28</v>
      </c>
      <c r="Q25" s="78" t="s">
        <v>164</v>
      </c>
      <c r="R25" s="78" t="s">
        <v>165</v>
      </c>
    </row>
    <row r="26" spans="1:18" x14ac:dyDescent="0.15">
      <c r="A26" s="54">
        <v>30030</v>
      </c>
      <c r="B26" s="78">
        <v>3</v>
      </c>
      <c r="C26" s="67" t="str">
        <f t="shared" si="0"/>
        <v>30030_3</v>
      </c>
      <c r="D26" s="15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78">
        <v>25</v>
      </c>
      <c r="F26" s="78" t="s">
        <v>301</v>
      </c>
      <c r="G26" s="78">
        <v>345</v>
      </c>
      <c r="H26" s="78">
        <v>1</v>
      </c>
      <c r="I26" s="78">
        <v>1</v>
      </c>
      <c r="J26" s="78">
        <v>1</v>
      </c>
      <c r="K26" s="78">
        <v>0</v>
      </c>
      <c r="L26" s="78">
        <v>0</v>
      </c>
      <c r="M26" s="78">
        <v>0</v>
      </c>
      <c r="N26" s="78">
        <v>0</v>
      </c>
      <c r="O26" s="78">
        <v>1</v>
      </c>
      <c r="P26" s="78">
        <v>56</v>
      </c>
      <c r="Q26" s="78" t="s">
        <v>164</v>
      </c>
      <c r="R26" s="78" t="s">
        <v>165</v>
      </c>
    </row>
    <row r="27" spans="1:18" x14ac:dyDescent="0.15">
      <c r="A27" s="54">
        <v>30030</v>
      </c>
      <c r="B27" s="78">
        <v>3</v>
      </c>
      <c r="C27" s="67" t="str">
        <f t="shared" si="0"/>
        <v>30030_3</v>
      </c>
      <c r="D27" s="15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78">
        <v>26</v>
      </c>
      <c r="F27" s="78" t="s">
        <v>301</v>
      </c>
      <c r="G27" s="78">
        <v>346</v>
      </c>
      <c r="H27" s="78">
        <v>1</v>
      </c>
      <c r="I27" s="78">
        <v>1</v>
      </c>
      <c r="J27" s="78">
        <v>1</v>
      </c>
      <c r="K27" s="78">
        <v>0</v>
      </c>
      <c r="L27" s="78">
        <v>0</v>
      </c>
      <c r="M27" s="78">
        <v>0</v>
      </c>
      <c r="N27" s="78">
        <v>0</v>
      </c>
      <c r="O27" s="78">
        <v>1</v>
      </c>
      <c r="P27" s="78">
        <v>56</v>
      </c>
      <c r="Q27" s="78" t="s">
        <v>164</v>
      </c>
      <c r="R27" s="78" t="s">
        <v>165</v>
      </c>
    </row>
    <row r="28" spans="1:18" x14ac:dyDescent="0.15">
      <c r="A28" s="54">
        <v>30030</v>
      </c>
      <c r="B28" s="78">
        <v>3</v>
      </c>
      <c r="C28" s="67" t="str">
        <f t="shared" si="0"/>
        <v>30030_3</v>
      </c>
      <c r="D28" s="15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78">
        <v>27</v>
      </c>
      <c r="F28" s="78" t="s">
        <v>301</v>
      </c>
      <c r="G28" s="78">
        <v>121</v>
      </c>
      <c r="H28" s="78">
        <v>1</v>
      </c>
      <c r="I28" s="78">
        <v>1</v>
      </c>
      <c r="J28" s="78">
        <v>1</v>
      </c>
      <c r="K28" s="78">
        <v>0</v>
      </c>
      <c r="L28" s="78">
        <v>0</v>
      </c>
      <c r="M28" s="78">
        <v>0</v>
      </c>
      <c r="N28" s="78">
        <v>0</v>
      </c>
      <c r="O28" s="78">
        <v>1</v>
      </c>
      <c r="P28" s="78">
        <v>50</v>
      </c>
      <c r="Q28" s="78" t="s">
        <v>164</v>
      </c>
      <c r="R28" s="78" t="s">
        <v>165</v>
      </c>
    </row>
    <row r="29" spans="1:18" x14ac:dyDescent="0.15">
      <c r="A29" s="54">
        <v>30030</v>
      </c>
      <c r="B29" s="78">
        <v>3</v>
      </c>
      <c r="C29" s="67" t="str">
        <f t="shared" si="0"/>
        <v>30030_3</v>
      </c>
      <c r="D29" s="15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78">
        <v>28</v>
      </c>
      <c r="F29" s="78" t="s">
        <v>301</v>
      </c>
      <c r="G29" s="78">
        <v>122</v>
      </c>
      <c r="H29" s="78">
        <v>1</v>
      </c>
      <c r="I29" s="78">
        <v>1</v>
      </c>
      <c r="J29" s="78">
        <v>1</v>
      </c>
      <c r="K29" s="78">
        <v>0</v>
      </c>
      <c r="L29" s="78">
        <v>0</v>
      </c>
      <c r="M29" s="78">
        <v>0</v>
      </c>
      <c r="N29" s="78">
        <v>0</v>
      </c>
      <c r="O29" s="78">
        <v>1</v>
      </c>
      <c r="P29" s="78">
        <v>50</v>
      </c>
      <c r="Q29" s="78" t="s">
        <v>164</v>
      </c>
      <c r="R29" s="78" t="s">
        <v>165</v>
      </c>
    </row>
    <row r="30" spans="1:18" x14ac:dyDescent="0.15">
      <c r="A30" s="54">
        <v>30030</v>
      </c>
      <c r="B30" s="78">
        <v>3</v>
      </c>
      <c r="C30" s="67" t="str">
        <f t="shared" si="0"/>
        <v>30030_3</v>
      </c>
      <c r="D30" s="15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78">
        <v>29</v>
      </c>
      <c r="F30" s="78" t="s">
        <v>301</v>
      </c>
      <c r="G30" s="78">
        <v>123</v>
      </c>
      <c r="H30" s="78">
        <v>1</v>
      </c>
      <c r="I30" s="78">
        <v>1</v>
      </c>
      <c r="J30" s="78">
        <v>1</v>
      </c>
      <c r="K30" s="78">
        <v>0</v>
      </c>
      <c r="L30" s="78">
        <v>0</v>
      </c>
      <c r="M30" s="78">
        <v>0</v>
      </c>
      <c r="N30" s="78">
        <v>0</v>
      </c>
      <c r="O30" s="78">
        <v>1</v>
      </c>
      <c r="P30" s="78">
        <v>50</v>
      </c>
      <c r="Q30" s="78" t="s">
        <v>164</v>
      </c>
      <c r="R30" s="78" t="s">
        <v>165</v>
      </c>
    </row>
    <row r="31" spans="1:18" x14ac:dyDescent="0.15">
      <c r="A31" s="54">
        <v>30030</v>
      </c>
      <c r="B31" s="78">
        <v>3</v>
      </c>
      <c r="C31" s="67" t="str">
        <f t="shared" si="0"/>
        <v>30030_3</v>
      </c>
      <c r="D31" s="15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78">
        <v>30</v>
      </c>
      <c r="F31" s="78" t="s">
        <v>301</v>
      </c>
      <c r="G31" s="78">
        <v>125</v>
      </c>
      <c r="H31" s="78">
        <v>1</v>
      </c>
      <c r="I31" s="78">
        <v>1</v>
      </c>
      <c r="J31" s="78">
        <v>1</v>
      </c>
      <c r="K31" s="78">
        <v>0</v>
      </c>
      <c r="L31" s="78">
        <v>0</v>
      </c>
      <c r="M31" s="78">
        <v>0</v>
      </c>
      <c r="N31" s="78">
        <v>0</v>
      </c>
      <c r="O31" s="78">
        <v>1</v>
      </c>
      <c r="P31" s="78">
        <v>10</v>
      </c>
      <c r="Q31" s="78" t="s">
        <v>164</v>
      </c>
      <c r="R31" s="78" t="s">
        <v>165</v>
      </c>
    </row>
    <row r="32" spans="1:18" x14ac:dyDescent="0.15">
      <c r="A32" s="54">
        <v>30030</v>
      </c>
      <c r="B32" s="78">
        <v>3</v>
      </c>
      <c r="C32" s="67" t="str">
        <f t="shared" si="0"/>
        <v>30030_3</v>
      </c>
      <c r="D32" s="15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78">
        <v>31</v>
      </c>
      <c r="F32" s="78" t="s">
        <v>301</v>
      </c>
      <c r="G32" s="78">
        <v>652</v>
      </c>
      <c r="H32" s="78">
        <v>1</v>
      </c>
      <c r="I32" s="78">
        <v>1</v>
      </c>
      <c r="J32" s="78">
        <v>1</v>
      </c>
      <c r="K32" s="78">
        <v>0</v>
      </c>
      <c r="L32" s="78">
        <v>0</v>
      </c>
      <c r="M32" s="78">
        <v>0</v>
      </c>
      <c r="N32" s="78">
        <v>0</v>
      </c>
      <c r="O32" s="78">
        <v>1</v>
      </c>
      <c r="P32" s="78">
        <v>400</v>
      </c>
      <c r="Q32" s="78" t="s">
        <v>164</v>
      </c>
      <c r="R32" s="78" t="s">
        <v>165</v>
      </c>
    </row>
    <row r="33" spans="1:18" x14ac:dyDescent="0.15">
      <c r="A33" s="54">
        <v>30030</v>
      </c>
      <c r="B33" s="78">
        <v>3</v>
      </c>
      <c r="C33" s="67" t="str">
        <f t="shared" si="0"/>
        <v>30030_3</v>
      </c>
      <c r="D33" s="15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78">
        <v>32</v>
      </c>
      <c r="F33" s="78" t="s">
        <v>301</v>
      </c>
      <c r="G33" s="78">
        <v>354</v>
      </c>
      <c r="H33" s="78">
        <v>1</v>
      </c>
      <c r="I33" s="78">
        <v>1</v>
      </c>
      <c r="J33" s="78">
        <v>1</v>
      </c>
      <c r="K33" s="78">
        <v>0</v>
      </c>
      <c r="L33" s="78">
        <v>0</v>
      </c>
      <c r="M33" s="78">
        <v>0</v>
      </c>
      <c r="N33" s="78">
        <v>0</v>
      </c>
      <c r="O33" s="78">
        <v>1</v>
      </c>
      <c r="P33" s="78">
        <v>100</v>
      </c>
      <c r="Q33" s="78" t="s">
        <v>164</v>
      </c>
      <c r="R33" s="78" t="s">
        <v>165</v>
      </c>
    </row>
  </sheetData>
  <phoneticPr fontId="5"/>
  <dataValidations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66" activePane="bottomLeft" state="frozen"/>
      <selection pane="bottomLeft" activeCell="I82" sqref="I82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182</v>
      </c>
      <c r="B1" s="69" t="s">
        <v>183</v>
      </c>
      <c r="C1" s="74" t="s">
        <v>184</v>
      </c>
      <c r="D1" s="74" t="s">
        <v>33</v>
      </c>
      <c r="E1" s="69" t="s">
        <v>185</v>
      </c>
      <c r="F1" s="74" t="s">
        <v>186</v>
      </c>
      <c r="G1" s="74" t="s">
        <v>33</v>
      </c>
      <c r="H1" s="69" t="s">
        <v>187</v>
      </c>
      <c r="I1" s="88" t="s">
        <v>189</v>
      </c>
      <c r="J1" s="76" t="s">
        <v>126</v>
      </c>
      <c r="K1" s="75" t="s">
        <v>181</v>
      </c>
      <c r="L1" s="89" t="s">
        <v>180</v>
      </c>
      <c r="M1" s="77" t="s">
        <v>190</v>
      </c>
    </row>
    <row r="2" spans="1:13" x14ac:dyDescent="0.15">
      <c r="A2" s="78" t="s">
        <v>195</v>
      </c>
      <c r="B2" s="79">
        <f>floors!$C$2</f>
        <v>30030</v>
      </c>
      <c r="C2" s="80" t="str">
        <f ca="1">VLOOKUP($B2,OFFSET([2]quests!$A$1,0,0,COUNTA([2]quests!$A:$A),MATCH(C$1,[2]quests!$1:$1,0)-MATCH($B$1,[2]quests!$1:$1,0)+1),MATCH(C$1,[2]quests!$1:$1,0)-MATCH($B$1,[2]quests!$1:$1,0)+1,FALSE)</f>
        <v>ここは誰の箱庭じゃ？</v>
      </c>
      <c r="D2" s="80" t="str">
        <f ca="1">VLOOKUP($B2,OFFSET([2]quests!$A$1,0,0,COUNTA([2]quests!$A:$A),MATCH(D$1,[2]quests!$1:$1,0)-MATCH($B$1,[2]quests!$1:$1,0)+1),MATCH(D$1,[2]quests!$1:$1,0)-MATCH($B$1,[2]quests!$1:$1,0)+1,FALSE)</f>
        <v>ドロップイベント9（マルチ専用）</v>
      </c>
      <c r="E2" s="84">
        <v>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2" s="82">
        <v>0</v>
      </c>
      <c r="I2">
        <v>3</v>
      </c>
      <c r="J2" s="81" t="s">
        <v>192</v>
      </c>
      <c r="K2" s="90" t="str">
        <f>VLOOKUP(I2,[7]stage_hints!$A:$C,3,FALSE)</f>
        <v>ターゲット</v>
      </c>
      <c r="L2" s="91" t="str">
        <f>VLOOKUP(I2,[7]stage_hints!$A:$D,4,FALSE)</f>
        <v>敵ユニットをタップすると_x000D_その敵を狙い撃ちできます</v>
      </c>
      <c r="M2" s="54" t="s">
        <v>205</v>
      </c>
    </row>
    <row r="3" spans="1:13" x14ac:dyDescent="0.15">
      <c r="A3" s="78" t="s">
        <v>195</v>
      </c>
      <c r="B3" s="79">
        <f>floors!$C$2</f>
        <v>30030</v>
      </c>
      <c r="C3" s="80" t="str">
        <f ca="1">VLOOKUP($B3,OFFSET([2]quests!$A$1,0,0,COUNTA([2]quests!$A:$A),MATCH(C$1,[2]quests!$1:$1,0)-MATCH($B$1,[2]quests!$1:$1,0)+1),MATCH(C$1,[2]quests!$1:$1,0)-MATCH($B$1,[2]quests!$1:$1,0)+1,FALSE)</f>
        <v>ここは誰の箱庭じゃ？</v>
      </c>
      <c r="D3" s="80" t="str">
        <f ca="1">VLOOKUP($B3,OFFSET([2]quests!$A$1,0,0,COUNTA([2]quests!$A:$A),MATCH(D$1,[2]quests!$1:$1,0)-MATCH($B$1,[2]quests!$1:$1,0)+1),MATCH(D$1,[2]quests!$1:$1,0)-MATCH($B$1,[2]quests!$1:$1,0)+1,FALSE)</f>
        <v>ドロップイベント9（マルチ専用）</v>
      </c>
      <c r="E3" s="84">
        <v>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3" s="82">
        <v>0</v>
      </c>
      <c r="I3">
        <v>6</v>
      </c>
      <c r="J3" s="81" t="s">
        <v>192</v>
      </c>
      <c r="K3" s="90" t="str">
        <f>VLOOKUP(I3,[7]stage_hints!$A:$C,3,FALSE)</f>
        <v>ユニット強化の属性ボーナス</v>
      </c>
      <c r="L3" s="91" t="str">
        <f>VLOOKUP(I3,[7]stage_hints!$A:$D,4,FALSE)</f>
        <v>同属性ユニットを強化素材にすると_x000D_経験値が多くもらえます</v>
      </c>
      <c r="M3" s="54" t="s">
        <v>205</v>
      </c>
    </row>
    <row r="4" spans="1:13" x14ac:dyDescent="0.15">
      <c r="A4" s="78" t="s">
        <v>195</v>
      </c>
      <c r="B4" s="79">
        <f>floors!$C$2</f>
        <v>30030</v>
      </c>
      <c r="C4" s="80" t="str">
        <f ca="1">VLOOKUP($B4,OFFSET([2]quests!$A$1,0,0,COUNTA([2]quests!$A:$A),MATCH(C$1,[2]quests!$1:$1,0)-MATCH($B$1,[2]quests!$1:$1,0)+1),MATCH(C$1,[2]quests!$1:$1,0)-MATCH($B$1,[2]quests!$1:$1,0)+1,FALSE)</f>
        <v>ここは誰の箱庭じゃ？</v>
      </c>
      <c r="D4" s="80" t="str">
        <f ca="1">VLOOKUP($B4,OFFSET([2]quests!$A$1,0,0,COUNTA([2]quests!$A:$A),MATCH(D$1,[2]quests!$1:$1,0)-MATCH($B$1,[2]quests!$1:$1,0)+1),MATCH(D$1,[2]quests!$1:$1,0)-MATCH($B$1,[2]quests!$1:$1,0)+1,FALSE)</f>
        <v>ドロップイベント9（マルチ専用）</v>
      </c>
      <c r="E4" s="84">
        <v>1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4" s="82">
        <v>0</v>
      </c>
      <c r="I4">
        <v>7</v>
      </c>
      <c r="J4" s="81" t="s">
        <v>192</v>
      </c>
      <c r="K4" s="90" t="str">
        <f>VLOOKUP(I4,[7]stage_hints!$A:$C,3,FALSE)</f>
        <v>メタルダックで経験値を獲得</v>
      </c>
      <c r="L4" s="91" t="str">
        <f>VLOOKUP(I4,[7]stage_hints!$A:$D,4,FALSE)</f>
        <v>「メタルなアヒル」を強化素材にすると_x000D_大量の経験値がもらえます</v>
      </c>
      <c r="M4" s="54" t="s">
        <v>205</v>
      </c>
    </row>
    <row r="5" spans="1:13" x14ac:dyDescent="0.15">
      <c r="A5" s="78" t="s">
        <v>195</v>
      </c>
      <c r="B5" s="79">
        <f>floors!$C$2</f>
        <v>30030</v>
      </c>
      <c r="C5" s="80" t="str">
        <f ca="1">VLOOKUP($B5,OFFSET([2]quests!$A$1,0,0,COUNTA([2]quests!$A:$A),MATCH(C$1,[2]quests!$1:$1,0)-MATCH($B$1,[2]quests!$1:$1,0)+1),MATCH(C$1,[2]quests!$1:$1,0)-MATCH($B$1,[2]quests!$1:$1,0)+1,FALSE)</f>
        <v>ここは誰の箱庭じゃ？</v>
      </c>
      <c r="D5" s="80" t="str">
        <f ca="1">VLOOKUP($B5,OFFSET([2]quests!$A$1,0,0,COUNTA([2]quests!$A:$A),MATCH(D$1,[2]quests!$1:$1,0)-MATCH($B$1,[2]quests!$1:$1,0)+1),MATCH(D$1,[2]quests!$1:$1,0)-MATCH($B$1,[2]quests!$1:$1,0)+1,FALSE)</f>
        <v>ドロップイベント9（マルチ専用）</v>
      </c>
      <c r="E5" s="84">
        <v>1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5" s="82">
        <v>0</v>
      </c>
      <c r="I5">
        <v>8</v>
      </c>
      <c r="J5" s="81" t="s">
        <v>192</v>
      </c>
      <c r="K5" s="90" t="str">
        <f>VLOOKUP(I5,[7]stage_hints!$A:$C,3,FALSE)</f>
        <v>ゲリラクエストは要チェック</v>
      </c>
      <c r="L5" s="91" t="str">
        <f>VLOOKUP(I5,[7]stage_hints!$A:$D,4,FALSE)</f>
        <v>時間限定の「アヒル捕獲作戦」では_x000D_経験値素材ユニットが多く手に入ります</v>
      </c>
      <c r="M5" s="54" t="s">
        <v>205</v>
      </c>
    </row>
    <row r="6" spans="1:13" x14ac:dyDescent="0.15">
      <c r="A6" s="78" t="s">
        <v>195</v>
      </c>
      <c r="B6" s="79">
        <f>floors!$C$2</f>
        <v>30030</v>
      </c>
      <c r="C6" s="80" t="str">
        <f ca="1">VLOOKUP($B6,OFFSET([2]quests!$A$1,0,0,COUNTA([2]quests!$A:$A),MATCH(C$1,[2]quests!$1:$1,0)-MATCH($B$1,[2]quests!$1:$1,0)+1),MATCH(C$1,[2]quests!$1:$1,0)-MATCH($B$1,[2]quests!$1:$1,0)+1,FALSE)</f>
        <v>ここは誰の箱庭じゃ？</v>
      </c>
      <c r="D6" s="80" t="str">
        <f ca="1">VLOOKUP($B6,OFFSET([2]quests!$A$1,0,0,COUNTA([2]quests!$A:$A),MATCH(D$1,[2]quests!$1:$1,0)-MATCH($B$1,[2]quests!$1:$1,0)+1),MATCH(D$1,[2]quests!$1:$1,0)-MATCH($B$1,[2]quests!$1:$1,0)+1,FALSE)</f>
        <v>ドロップイベント9（マルチ専用）</v>
      </c>
      <c r="E6" s="84">
        <v>1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6" s="82">
        <v>0</v>
      </c>
      <c r="I6">
        <v>9</v>
      </c>
      <c r="J6" s="81" t="s">
        <v>192</v>
      </c>
      <c r="K6" s="90" t="str">
        <f>VLOOKUP(I6,[7]stage_hints!$A:$C,3,FALSE)</f>
        <v>ゴールドダックでビットを獲得</v>
      </c>
      <c r="L6" s="91" t="str">
        <f>VLOOKUP(I6,[7]stage_hints!$A:$D,4,FALSE)</f>
        <v>「ゴールドなアヒル」を売却すると_x000D_大量のビットがもらえます</v>
      </c>
      <c r="M6" s="54" t="s">
        <v>205</v>
      </c>
    </row>
    <row r="7" spans="1:13" x14ac:dyDescent="0.15">
      <c r="A7" s="78" t="s">
        <v>195</v>
      </c>
      <c r="B7" s="79">
        <f>floors!$C$2</f>
        <v>30030</v>
      </c>
      <c r="C7" s="80" t="str">
        <f ca="1">VLOOKUP($B7,OFFSET([2]quests!$A$1,0,0,COUNTA([2]quests!$A:$A),MATCH(C$1,[2]quests!$1:$1,0)-MATCH($B$1,[2]quests!$1:$1,0)+1),MATCH(C$1,[2]quests!$1:$1,0)-MATCH($B$1,[2]quests!$1:$1,0)+1,FALSE)</f>
        <v>ここは誰の箱庭じゃ？</v>
      </c>
      <c r="D7" s="80" t="str">
        <f ca="1">VLOOKUP($B7,OFFSET([2]quests!$A$1,0,0,COUNTA([2]quests!$A:$A),MATCH(D$1,[2]quests!$1:$1,0)-MATCH($B$1,[2]quests!$1:$1,0)+1),MATCH(D$1,[2]quests!$1:$1,0)-MATCH($B$1,[2]quests!$1:$1,0)+1,FALSE)</f>
        <v>ドロップイベント9（マルチ専用）</v>
      </c>
      <c r="E7" s="84">
        <v>1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7" s="82">
        <v>0</v>
      </c>
      <c r="I7">
        <v>10</v>
      </c>
      <c r="J7" s="81" t="s">
        <v>192</v>
      </c>
      <c r="K7" s="90" t="str">
        <f>VLOOKUP(I7,[7]stage_hints!$A:$C,3,FALSE)</f>
        <v>土日に大量のビットを獲得</v>
      </c>
      <c r="L7" s="91" t="str">
        <f>VLOOKUP(I7,[7]stage_hints!$A:$D,4,FALSE)</f>
        <v>土日限定の「ゴールドカジノ」では_x000D_売却素材ユニットが多く手に入ります</v>
      </c>
      <c r="M7" s="54" t="s">
        <v>205</v>
      </c>
    </row>
    <row r="8" spans="1:13" x14ac:dyDescent="0.15">
      <c r="A8" s="78" t="s">
        <v>195</v>
      </c>
      <c r="B8" s="79">
        <f>floors!$C$2</f>
        <v>30030</v>
      </c>
      <c r="C8" s="80" t="str">
        <f ca="1">VLOOKUP($B8,OFFSET([2]quests!$A$1,0,0,COUNTA([2]quests!$A:$A),MATCH(C$1,[2]quests!$1:$1,0)-MATCH($B$1,[2]quests!$1:$1,0)+1),MATCH(C$1,[2]quests!$1:$1,0)-MATCH($B$1,[2]quests!$1:$1,0)+1,FALSE)</f>
        <v>ここは誰の箱庭じゃ？</v>
      </c>
      <c r="D8" s="80" t="str">
        <f ca="1">VLOOKUP($B8,OFFSET([2]quests!$A$1,0,0,COUNTA([2]quests!$A:$A),MATCH(D$1,[2]quests!$1:$1,0)-MATCH($B$1,[2]quests!$1:$1,0)+1),MATCH(D$1,[2]quests!$1:$1,0)-MATCH($B$1,[2]quests!$1:$1,0)+1,FALSE)</f>
        <v>ドロップイベント9（マルチ専用）</v>
      </c>
      <c r="E8" s="84">
        <v>1</v>
      </c>
      <c r="F8" s="80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8" s="80" t="str">
        <f ca="1">VLOOKUP($B8&amp;"_"&amp;$E8,OFFSET([2]stages!$A$1,0,0,COUNTA([2]stages!$A:$A),MATCH(G$1,[2]stages!$2:$2,0)-MATCH("temp_stage",[2]stages!$2:$2,0)+1),MATCH(G$1,[2]stages!$2:$2,0)-MATCH("temp_stage",[2]stages!$2:$2,0)+1,FALSE)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8" s="82">
        <v>0</v>
      </c>
      <c r="I8">
        <v>11</v>
      </c>
      <c r="J8" s="81" t="s">
        <v>192</v>
      </c>
      <c r="K8" s="90" t="str">
        <f>VLOOKUP(I8,[7]stage_hints!$A:$C,3,FALSE)</f>
        <v>ランク解放クエスト</v>
      </c>
      <c r="L8" s="91" t="str">
        <f>VLOOKUP(I8,[7]stage_hints!$A:$D,4,FALSE)</f>
        <v>一定ランクに到達すると_x000D_報酬付きのランク開放クエストが現れます</v>
      </c>
      <c r="M8" s="54" t="s">
        <v>205</v>
      </c>
    </row>
    <row r="9" spans="1:13" x14ac:dyDescent="0.15">
      <c r="A9" s="78" t="s">
        <v>195</v>
      </c>
      <c r="B9" s="79">
        <f>floors!$C$2</f>
        <v>30030</v>
      </c>
      <c r="C9" s="80" t="str">
        <f ca="1">VLOOKUP($B9,OFFSET([2]quests!$A$1,0,0,COUNTA([2]quests!$A:$A),MATCH(C$1,[2]quests!$1:$1,0)-MATCH($B$1,[2]quests!$1:$1,0)+1),MATCH(C$1,[2]quests!$1:$1,0)-MATCH($B$1,[2]quests!$1:$1,0)+1,FALSE)</f>
        <v>ここは誰の箱庭じゃ？</v>
      </c>
      <c r="D9" s="80" t="str">
        <f ca="1">VLOOKUP($B9,OFFSET([2]quests!$A$1,0,0,COUNTA([2]quests!$A:$A),MATCH(D$1,[2]quests!$1:$1,0)-MATCH($B$1,[2]quests!$1:$1,0)+1),MATCH(D$1,[2]quests!$1:$1,0)-MATCH($B$1,[2]quests!$1:$1,0)+1,FALSE)</f>
        <v>ドロップイベント9（マルチ専用）</v>
      </c>
      <c r="E9" s="84">
        <v>1</v>
      </c>
      <c r="F9" s="80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9" s="80" t="str">
        <f ca="1">VLOOKUP($B9&amp;"_"&amp;$E9,OFFSET([2]stages!$A$1,0,0,COUNTA([2]stages!$A:$A),MATCH(G$1,[2]stages!$2:$2,0)-MATCH("temp_stage",[2]stages!$2:$2,0)+1),MATCH(G$1,[2]stages!$2:$2,0)-MATCH("temp_stage",[2]stages!$2:$2,0)+1,FALSE)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9" s="82">
        <v>0</v>
      </c>
      <c r="I9">
        <v>12</v>
      </c>
      <c r="J9" s="81" t="s">
        <v>192</v>
      </c>
      <c r="K9" s="90" t="str">
        <f>VLOOKUP(I9,[7]stage_hints!$A:$C,3,FALSE)</f>
        <v>ユニットのお気に入り登録</v>
      </c>
      <c r="L9" s="91" t="str">
        <f>VLOOKUP(I9,[7]stage_hints!$A:$D,4,FALSE)</f>
        <v>大事なユニットを誤って消さないように_x000D_フォルダから「お気に入り登録」しましょう</v>
      </c>
      <c r="M9" s="54" t="s">
        <v>205</v>
      </c>
    </row>
    <row r="10" spans="1:13" x14ac:dyDescent="0.15">
      <c r="A10" s="78" t="s">
        <v>195</v>
      </c>
      <c r="B10" s="79">
        <f>floors!$C$2</f>
        <v>30030</v>
      </c>
      <c r="C10" s="80" t="str">
        <f ca="1">VLOOKUP($B10,OFFSET([2]quests!$A$1,0,0,COUNTA([2]quests!$A:$A),MATCH(C$1,[2]quests!$1:$1,0)-MATCH($B$1,[2]quests!$1:$1,0)+1),MATCH(C$1,[2]quests!$1:$1,0)-MATCH($B$1,[2]quests!$1:$1,0)+1,FALSE)</f>
        <v>ここは誰の箱庭じゃ？</v>
      </c>
      <c r="D10" s="80" t="str">
        <f ca="1">VLOOKUP($B10,OFFSET([2]quests!$A$1,0,0,COUNTA([2]quests!$A:$A),MATCH(D$1,[2]quests!$1:$1,0)-MATCH($B$1,[2]quests!$1:$1,0)+1),MATCH(D$1,[2]quests!$1:$1,0)-MATCH($B$1,[2]quests!$1:$1,0)+1,FALSE)</f>
        <v>ドロップイベント9（マルチ専用）</v>
      </c>
      <c r="E10" s="84">
        <v>1</v>
      </c>
      <c r="F10" s="80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10" s="80" t="str">
        <f ca="1">VLOOKUP($B10&amp;"_"&amp;$E10,OFFSET([2]stages!$A$1,0,0,COUNTA([2]stages!$A:$A),MATCH(G$1,[2]stages!$2:$2,0)-MATCH("temp_stage",[2]stages!$2:$2,0)+1),MATCH(G$1,[2]stages!$2:$2,0)-MATCH("temp_stage",[2]stages!$2:$2,0)+1,FALSE)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10" s="82">
        <v>0</v>
      </c>
      <c r="I10">
        <v>13</v>
      </c>
      <c r="J10" s="81" t="s">
        <v>192</v>
      </c>
      <c r="K10" s="90" t="str">
        <f>VLOOKUP(I10,[7]stage_hints!$A:$C,3,FALSE)</f>
        <v>ユニットの覚醒</v>
      </c>
      <c r="L10" s="91" t="str">
        <f>VLOOKUP(I10,[7]stage_hints!$A:$D,4,FALSE)</f>
        <v>ユニットを覚醒させると_x000D_比べものにならない強さが手に入ります</v>
      </c>
      <c r="M10" s="54" t="s">
        <v>205</v>
      </c>
    </row>
    <row r="11" spans="1:13" x14ac:dyDescent="0.15">
      <c r="A11" s="78" t="s">
        <v>195</v>
      </c>
      <c r="B11" s="79">
        <f>floors!$C$2</f>
        <v>30030</v>
      </c>
      <c r="C11" s="80" t="str">
        <f ca="1">VLOOKUP($B11,OFFSET([2]quests!$A$1,0,0,COUNTA([2]quests!$A:$A),MATCH(C$1,[2]quests!$1:$1,0)-MATCH($B$1,[2]quests!$1:$1,0)+1),MATCH(C$1,[2]quests!$1:$1,0)-MATCH($B$1,[2]quests!$1:$1,0)+1,FALSE)</f>
        <v>ここは誰の箱庭じゃ？</v>
      </c>
      <c r="D11" s="80" t="str">
        <f ca="1">VLOOKUP($B11,OFFSET([2]quests!$A$1,0,0,COUNTA([2]quests!$A:$A),MATCH(D$1,[2]quests!$1:$1,0)-MATCH($B$1,[2]quests!$1:$1,0)+1),MATCH(D$1,[2]quests!$1:$1,0)-MATCH($B$1,[2]quests!$1:$1,0)+1,FALSE)</f>
        <v>ドロップイベント9（マルチ専用）</v>
      </c>
      <c r="E11" s="84">
        <v>1</v>
      </c>
      <c r="F11" s="80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11" s="80" t="str">
        <f ca="1">VLOOKUP($B11&amp;"_"&amp;$E11,OFFSET([2]stages!$A$1,0,0,COUNTA([2]stages!$A:$A),MATCH(G$1,[2]stages!$2:$2,0)-MATCH("temp_stage",[2]stages!$2:$2,0)+1),MATCH(G$1,[2]stages!$2:$2,0)-MATCH("temp_stage",[2]stages!$2:$2,0)+1,FALSE)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11" s="82">
        <v>0</v>
      </c>
      <c r="I11">
        <v>14</v>
      </c>
      <c r="J11" s="81" t="s">
        <v>192</v>
      </c>
      <c r="K11" s="90" t="str">
        <f>VLOOKUP(I11,[7]stage_hints!$A:$C,3,FALSE)</f>
        <v>覚醒するにはレベルを最大に</v>
      </c>
      <c r="L11" s="91" t="str">
        <f>VLOOKUP(I11,[7]stage_hints!$A:$D,4,FALSE)</f>
        <v>覚醒するにはユニットのレベルを_x000D_最大まで上げる必要があります</v>
      </c>
      <c r="M11" s="54" t="s">
        <v>205</v>
      </c>
    </row>
    <row r="12" spans="1:13" x14ac:dyDescent="0.15">
      <c r="A12" s="78" t="s">
        <v>195</v>
      </c>
      <c r="B12" s="79">
        <f>floors!$C$2</f>
        <v>30030</v>
      </c>
      <c r="C12" s="80" t="str">
        <f ca="1">VLOOKUP($B12,OFFSET([2]quests!$A$1,0,0,COUNTA([2]quests!$A:$A),MATCH(C$1,[2]quests!$1:$1,0)-MATCH($B$1,[2]quests!$1:$1,0)+1),MATCH(C$1,[2]quests!$1:$1,0)-MATCH($B$1,[2]quests!$1:$1,0)+1,FALSE)</f>
        <v>ここは誰の箱庭じゃ？</v>
      </c>
      <c r="D12" s="80" t="str">
        <f ca="1">VLOOKUP($B12,OFFSET([2]quests!$A$1,0,0,COUNTA([2]quests!$A:$A),MATCH(D$1,[2]quests!$1:$1,0)-MATCH($B$1,[2]quests!$1:$1,0)+1),MATCH(D$1,[2]quests!$1:$1,0)-MATCH($B$1,[2]quests!$1:$1,0)+1,FALSE)</f>
        <v>ドロップイベント9（マルチ専用）</v>
      </c>
      <c r="E12" s="84">
        <v>1</v>
      </c>
      <c r="F12" s="80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12" s="80" t="str">
        <f ca="1">VLOOKUP($B12&amp;"_"&amp;$E12,OFFSET([2]stages!$A$1,0,0,COUNTA([2]stages!$A:$A),MATCH(G$1,[2]stages!$2:$2,0)-MATCH("temp_stage",[2]stages!$2:$2,0)+1),MATCH(G$1,[2]stages!$2:$2,0)-MATCH("temp_stage",[2]stages!$2:$2,0)+1,FALSE)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12" s="82">
        <v>0</v>
      </c>
      <c r="I12">
        <v>15</v>
      </c>
      <c r="J12" s="81" t="s">
        <v>192</v>
      </c>
      <c r="K12" s="90" t="str">
        <f>VLOOKUP(I12,[7]stage_hints!$A:$C,3,FALSE)</f>
        <v>覚醒素材を獲得</v>
      </c>
      <c r="L12" s="91" t="str">
        <f>VLOOKUP(I12,[7]stage_hints!$A:$D,4,FALSE)</f>
        <v>「曜日クエスト」では_x000D_ユニットの覚醒に必要な素材が手に入ります</v>
      </c>
      <c r="M12" s="54" t="s">
        <v>205</v>
      </c>
    </row>
    <row r="13" spans="1:13" x14ac:dyDescent="0.15">
      <c r="A13" s="78" t="s">
        <v>195</v>
      </c>
      <c r="B13" s="79">
        <f>floors!$C$2</f>
        <v>30030</v>
      </c>
      <c r="C13" s="80" t="str">
        <f ca="1">VLOOKUP($B13,OFFSET([2]quests!$A$1,0,0,COUNTA([2]quests!$A:$A),MATCH(C$1,[2]quests!$1:$1,0)-MATCH($B$1,[2]quests!$1:$1,0)+1),MATCH(C$1,[2]quests!$1:$1,0)-MATCH($B$1,[2]quests!$1:$1,0)+1,FALSE)</f>
        <v>ここは誰の箱庭じゃ？</v>
      </c>
      <c r="D13" s="80" t="str">
        <f ca="1">VLOOKUP($B13,OFFSET([2]quests!$A$1,0,0,COUNTA([2]quests!$A:$A),MATCH(D$1,[2]quests!$1:$1,0)-MATCH($B$1,[2]quests!$1:$1,0)+1),MATCH(D$1,[2]quests!$1:$1,0)-MATCH($B$1,[2]quests!$1:$1,0)+1,FALSE)</f>
        <v>ドロップイベント9（マルチ専用）</v>
      </c>
      <c r="E13" s="84">
        <v>1</v>
      </c>
      <c r="F13" s="80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13" s="80" t="str">
        <f ca="1">VLOOKUP($B13&amp;"_"&amp;$E13,OFFSET([2]stages!$A$1,0,0,COUNTA([2]stages!$A:$A),MATCH(G$1,[2]stages!$2:$2,0)-MATCH("temp_stage",[2]stages!$2:$2,0)+1),MATCH(G$1,[2]stages!$2:$2,0)-MATCH("temp_stage",[2]stages!$2:$2,0)+1,FALSE)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13" s="82">
        <v>0</v>
      </c>
      <c r="I13">
        <v>16</v>
      </c>
      <c r="J13" s="81" t="s">
        <v>192</v>
      </c>
      <c r="K13" s="90" t="str">
        <f>VLOOKUP(I13,[7]stage_hints!$A:$C,3,FALSE)</f>
        <v>マルチプレイのメリット（その1）</v>
      </c>
      <c r="L13" s="91" t="str">
        <f>VLOOKUP(I13,[7]stage_hints!$A:$D,4,FALSE)</f>
        <v>他のプレイヤーとマルチプレイで遊ぶと_x000D_ポリゴンがもらえます（100人まで）</v>
      </c>
      <c r="M13" s="54" t="s">
        <v>205</v>
      </c>
    </row>
    <row r="14" spans="1:13" x14ac:dyDescent="0.15">
      <c r="A14" s="78" t="s">
        <v>195</v>
      </c>
      <c r="B14" s="79">
        <f>floors!$C$2</f>
        <v>30030</v>
      </c>
      <c r="C14" s="80" t="str">
        <f ca="1">VLOOKUP($B14,OFFSET([2]quests!$A$1,0,0,COUNTA([2]quests!$A:$A),MATCH(C$1,[2]quests!$1:$1,0)-MATCH($B$1,[2]quests!$1:$1,0)+1),MATCH(C$1,[2]quests!$1:$1,0)-MATCH($B$1,[2]quests!$1:$1,0)+1,FALSE)</f>
        <v>ここは誰の箱庭じゃ？</v>
      </c>
      <c r="D14" s="80" t="str">
        <f ca="1">VLOOKUP($B14,OFFSET([2]quests!$A$1,0,0,COUNTA([2]quests!$A:$A),MATCH(D$1,[2]quests!$1:$1,0)-MATCH($B$1,[2]quests!$1:$1,0)+1),MATCH(D$1,[2]quests!$1:$1,0)-MATCH($B$1,[2]quests!$1:$1,0)+1,FALSE)</f>
        <v>ドロップイベント9（マルチ専用）</v>
      </c>
      <c r="E14" s="84">
        <v>1</v>
      </c>
      <c r="F14" s="80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14" s="80" t="str">
        <f ca="1">VLOOKUP($B14&amp;"_"&amp;$E14,OFFSET([2]stages!$A$1,0,0,COUNTA([2]stages!$A:$A),MATCH(G$1,[2]stages!$2:$2,0)-MATCH("temp_stage",[2]stages!$2:$2,0)+1),MATCH(G$1,[2]stages!$2:$2,0)-MATCH("temp_stage",[2]stages!$2:$2,0)+1,FALSE)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14" s="82">
        <v>0</v>
      </c>
      <c r="I14">
        <v>17</v>
      </c>
      <c r="J14" s="81" t="s">
        <v>192</v>
      </c>
      <c r="K14" s="90" t="str">
        <f>VLOOKUP(I14,[7]stage_hints!$A:$C,3,FALSE)</f>
        <v>リンクガチャ</v>
      </c>
      <c r="L14" s="91" t="str">
        <f>VLOOKUP(I14,[7]stage_hints!$A:$D,4,FALSE)</f>
        <v>無料のリンクガチャを回して_x000D_経験値素材や売却素材を獲得しましょう</v>
      </c>
      <c r="M14" s="54" t="s">
        <v>205</v>
      </c>
    </row>
    <row r="15" spans="1:13" x14ac:dyDescent="0.15">
      <c r="A15" s="78" t="s">
        <v>195</v>
      </c>
      <c r="B15" s="79">
        <f>floors!$C$2</f>
        <v>30030</v>
      </c>
      <c r="C15" s="80" t="str">
        <f ca="1">VLOOKUP($B15,OFFSET([2]quests!$A$1,0,0,COUNTA([2]quests!$A:$A),MATCH(C$1,[2]quests!$1:$1,0)-MATCH($B$1,[2]quests!$1:$1,0)+1),MATCH(C$1,[2]quests!$1:$1,0)-MATCH($B$1,[2]quests!$1:$1,0)+1,FALSE)</f>
        <v>ここは誰の箱庭じゃ？</v>
      </c>
      <c r="D15" s="80" t="str">
        <f ca="1">VLOOKUP($B15,OFFSET([2]quests!$A$1,0,0,COUNTA([2]quests!$A:$A),MATCH(D$1,[2]quests!$1:$1,0)-MATCH($B$1,[2]quests!$1:$1,0)+1),MATCH(D$1,[2]quests!$1:$1,0)-MATCH($B$1,[2]quests!$1:$1,0)+1,FALSE)</f>
        <v>ドロップイベント9（マルチ専用）</v>
      </c>
      <c r="E15" s="84">
        <v>1</v>
      </c>
      <c r="F15" s="80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15" s="80" t="str">
        <f ca="1">VLOOKUP($B15&amp;"_"&amp;$E15,OFFSET([2]stages!$A$1,0,0,COUNTA([2]stages!$A:$A),MATCH(G$1,[2]stages!$2:$2,0)-MATCH("temp_stage",[2]stages!$2:$2,0)+1),MATCH(G$1,[2]stages!$2:$2,0)-MATCH("temp_stage",[2]stages!$2:$2,0)+1,FALSE)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15" s="82">
        <v>0</v>
      </c>
      <c r="I15">
        <v>18</v>
      </c>
      <c r="J15" s="81" t="s">
        <v>192</v>
      </c>
      <c r="K15" s="90" t="str">
        <f>VLOOKUP(I15,[7]stage_hints!$A:$C,3,FALSE)</f>
        <v>マルチプレイのメリット（その2）</v>
      </c>
      <c r="L15" s="91" t="str">
        <f>VLOOKUP(I15,[7]stage_hints!$A:$D,4,FALSE)</f>
        <v>マルチプレイならリンクが2倍もらえます_x000D_リンクガチャをたくさん回しましょう</v>
      </c>
      <c r="M15" s="54" t="s">
        <v>205</v>
      </c>
    </row>
    <row r="16" spans="1:13" x14ac:dyDescent="0.15">
      <c r="A16" s="78" t="s">
        <v>195</v>
      </c>
      <c r="B16" s="79">
        <f>floors!$C$2</f>
        <v>30030</v>
      </c>
      <c r="C16" s="80" t="str">
        <f ca="1">VLOOKUP($B16,OFFSET([2]quests!$A$1,0,0,COUNTA([2]quests!$A:$A),MATCH(C$1,[2]quests!$1:$1,0)-MATCH($B$1,[2]quests!$1:$1,0)+1),MATCH(C$1,[2]quests!$1:$1,0)-MATCH($B$1,[2]quests!$1:$1,0)+1,FALSE)</f>
        <v>ここは誰の箱庭じゃ？</v>
      </c>
      <c r="D16" s="80" t="str">
        <f ca="1">VLOOKUP($B16,OFFSET([2]quests!$A$1,0,0,COUNTA([2]quests!$A:$A),MATCH(D$1,[2]quests!$1:$1,0)-MATCH($B$1,[2]quests!$1:$1,0)+1),MATCH(D$1,[2]quests!$1:$1,0)-MATCH($B$1,[2]quests!$1:$1,0)+1,FALSE)</f>
        <v>ドロップイベント9（マルチ専用）</v>
      </c>
      <c r="E16" s="84">
        <v>1</v>
      </c>
      <c r="F16" s="80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16" s="80" t="str">
        <f ca="1">VLOOKUP($B16&amp;"_"&amp;$E16,OFFSET([2]stages!$A$1,0,0,COUNTA([2]stages!$A:$A),MATCH(G$1,[2]stages!$2:$2,0)-MATCH("temp_stage",[2]stages!$2:$2,0)+1),MATCH(G$1,[2]stages!$2:$2,0)-MATCH("temp_stage",[2]stages!$2:$2,0)+1,FALSE)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16" s="82">
        <v>0</v>
      </c>
      <c r="I16">
        <v>19</v>
      </c>
      <c r="J16" s="81" t="s">
        <v>192</v>
      </c>
      <c r="K16" s="90" t="str">
        <f>VLOOKUP(I16,[7]stage_hints!$A:$C,3,FALSE)</f>
        <v>ソロ専用タワーオブザクイーン</v>
      </c>
      <c r="L16" s="91" t="str">
        <f>VLOOKUP(I16,[7]stage_hints!$A:$D,4,FALSE)</f>
        <v>ソロ専用の「タワーオブザクイーン」は_x000D_期間限定で定期的に開催されます_x000D_ここでしか獲得できない報酬もあるようです</v>
      </c>
      <c r="M16" s="54" t="s">
        <v>205</v>
      </c>
    </row>
    <row r="17" spans="1:13" x14ac:dyDescent="0.15">
      <c r="A17" s="78" t="s">
        <v>195</v>
      </c>
      <c r="B17" s="79">
        <f>floors!$C$2</f>
        <v>30030</v>
      </c>
      <c r="C17" s="80" t="str">
        <f ca="1">VLOOKUP($B17,OFFSET([2]quests!$A$1,0,0,COUNTA([2]quests!$A:$A),MATCH(C$1,[2]quests!$1:$1,0)-MATCH($B$1,[2]quests!$1:$1,0)+1),MATCH(C$1,[2]quests!$1:$1,0)-MATCH($B$1,[2]quests!$1:$1,0)+1,FALSE)</f>
        <v>ここは誰の箱庭じゃ？</v>
      </c>
      <c r="D17" s="80" t="str">
        <f ca="1">VLOOKUP($B17,OFFSET([2]quests!$A$1,0,0,COUNTA([2]quests!$A:$A),MATCH(D$1,[2]quests!$1:$1,0)-MATCH($B$1,[2]quests!$1:$1,0)+1),MATCH(D$1,[2]quests!$1:$1,0)-MATCH($B$1,[2]quests!$1:$1,0)+1,FALSE)</f>
        <v>ドロップイベント9（マルチ専用）</v>
      </c>
      <c r="E17" s="84">
        <v>1</v>
      </c>
      <c r="F17" s="80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17" s="80" t="str">
        <f ca="1">VLOOKUP($B17&amp;"_"&amp;$E17,OFFSET([2]stages!$A$1,0,0,COUNTA([2]stages!$A:$A),MATCH(G$1,[2]stages!$2:$2,0)-MATCH("temp_stage",[2]stages!$2:$2,0)+1),MATCH(G$1,[2]stages!$2:$2,0)-MATCH("temp_stage",[2]stages!$2:$2,0)+1,FALSE)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17" s="82">
        <v>0</v>
      </c>
      <c r="I17">
        <v>20</v>
      </c>
      <c r="J17" s="81" t="s">
        <v>192</v>
      </c>
      <c r="K17" s="90" t="str">
        <f>VLOOKUP(I17,[7]stage_hints!$A:$C,3,FALSE)</f>
        <v>マルチプレイのメリット（その3）</v>
      </c>
      <c r="L17" s="91" t="str">
        <f>VLOOKUP(I17,[7]stage_hints!$A:$D,4,FALSE)</f>
        <v>マルチプレイへの参加はエナジー消費ゼロ_x000D_いつでも好きなだけ遊ぶことができます</v>
      </c>
      <c r="M17" s="54" t="s">
        <v>205</v>
      </c>
    </row>
    <row r="18" spans="1:13" x14ac:dyDescent="0.15">
      <c r="A18" s="78" t="s">
        <v>195</v>
      </c>
      <c r="B18" s="79">
        <f>floors!$C$2</f>
        <v>30030</v>
      </c>
      <c r="C18" s="80" t="str">
        <f ca="1">VLOOKUP($B18,OFFSET([2]quests!$A$1,0,0,COUNTA([2]quests!$A:$A),MATCH(C$1,[2]quests!$1:$1,0)-MATCH($B$1,[2]quests!$1:$1,0)+1),MATCH(C$1,[2]quests!$1:$1,0)-MATCH($B$1,[2]quests!$1:$1,0)+1,FALSE)</f>
        <v>ここは誰の箱庭じゃ？</v>
      </c>
      <c r="D18" s="80" t="str">
        <f ca="1">VLOOKUP($B18,OFFSET([2]quests!$A$1,0,0,COUNTA([2]quests!$A:$A),MATCH(D$1,[2]quests!$1:$1,0)-MATCH($B$1,[2]quests!$1:$1,0)+1),MATCH(D$1,[2]quests!$1:$1,0)-MATCH($B$1,[2]quests!$1:$1,0)+1,FALSE)</f>
        <v>ドロップイベント9（マルチ専用）</v>
      </c>
      <c r="E18" s="84">
        <v>1</v>
      </c>
      <c r="F18" s="80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18" s="80" t="str">
        <f ca="1">VLOOKUP($B18&amp;"_"&amp;$E18,OFFSET([2]stages!$A$1,0,0,COUNTA([2]stages!$A:$A),MATCH(G$1,[2]stages!$2:$2,0)-MATCH("temp_stage",[2]stages!$2:$2,0)+1),MATCH(G$1,[2]stages!$2:$2,0)-MATCH("temp_stage",[2]stages!$2:$2,0)+1,FALSE)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18" s="82">
        <v>0</v>
      </c>
      <c r="I18">
        <v>21</v>
      </c>
      <c r="J18" s="81" t="s">
        <v>192</v>
      </c>
      <c r="K18" s="90" t="str">
        <f>VLOOKUP(I18,[7]stage_hints!$A:$C,3,FALSE)</f>
        <v>スキルを有効に</v>
      </c>
      <c r="L18" s="91" t="str">
        <f>VLOOKUP(I18,[7]stage_hints!$A:$D,4,FALSE)</f>
        <v>ターン経過でユニットのスキルが使えます_x000D_強力スキルでバトルを有利に進めましょう</v>
      </c>
      <c r="M18" s="54" t="s">
        <v>205</v>
      </c>
    </row>
    <row r="19" spans="1:13" x14ac:dyDescent="0.15">
      <c r="A19" s="78" t="s">
        <v>195</v>
      </c>
      <c r="B19" s="79">
        <f>floors!$C$2</f>
        <v>30030</v>
      </c>
      <c r="C19" s="80" t="str">
        <f ca="1">VLOOKUP($B19,OFFSET([2]quests!$A$1,0,0,COUNTA([2]quests!$A:$A),MATCH(C$1,[2]quests!$1:$1,0)-MATCH($B$1,[2]quests!$1:$1,0)+1),MATCH(C$1,[2]quests!$1:$1,0)-MATCH($B$1,[2]quests!$1:$1,0)+1,FALSE)</f>
        <v>ここは誰の箱庭じゃ？</v>
      </c>
      <c r="D19" s="80" t="str">
        <f ca="1">VLOOKUP($B19,OFFSET([2]quests!$A$1,0,0,COUNTA([2]quests!$A:$A),MATCH(D$1,[2]quests!$1:$1,0)-MATCH($B$1,[2]quests!$1:$1,0)+1),MATCH(D$1,[2]quests!$1:$1,0)-MATCH($B$1,[2]quests!$1:$1,0)+1,FALSE)</f>
        <v>ドロップイベント9（マルチ専用）</v>
      </c>
      <c r="E19" s="84">
        <v>1</v>
      </c>
      <c r="F19" s="80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19" s="80" t="str">
        <f ca="1">VLOOKUP($B19&amp;"_"&amp;$E19,OFFSET([2]stages!$A$1,0,0,COUNTA([2]stages!$A:$A),MATCH(G$1,[2]stages!$2:$2,0)-MATCH("temp_stage",[2]stages!$2:$2,0)+1),MATCH(G$1,[2]stages!$2:$2,0)-MATCH("temp_stage",[2]stages!$2:$2,0)+1,FALSE)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19" s="82">
        <v>0</v>
      </c>
      <c r="I19">
        <v>22</v>
      </c>
      <c r="J19" s="81" t="s">
        <v>192</v>
      </c>
      <c r="K19" s="90" t="str">
        <f>VLOOKUP(I19,[7]stage_hints!$A:$C,3,FALSE)</f>
        <v>フィーバーで一発逆転（その1）</v>
      </c>
      <c r="L19" s="91" t="str">
        <f>VLOOKUP(I19,[7]stage_hints!$A:$D,4,FALSE)</f>
        <v>フィーバーは攻撃と回復を兼ね備えます_x000D_ピンチからの一発逆転を狙いましょう</v>
      </c>
      <c r="M19" s="54" t="s">
        <v>205</v>
      </c>
    </row>
    <row r="20" spans="1:13" x14ac:dyDescent="0.15">
      <c r="A20" s="78" t="s">
        <v>195</v>
      </c>
      <c r="B20" s="79">
        <f>floors!$C$2</f>
        <v>30030</v>
      </c>
      <c r="C20" s="80" t="str">
        <f ca="1">VLOOKUP($B20,OFFSET([2]quests!$A$1,0,0,COUNTA([2]quests!$A:$A),MATCH(C$1,[2]quests!$1:$1,0)-MATCH($B$1,[2]quests!$1:$1,0)+1),MATCH(C$1,[2]quests!$1:$1,0)-MATCH($B$1,[2]quests!$1:$1,0)+1,FALSE)</f>
        <v>ここは誰の箱庭じゃ？</v>
      </c>
      <c r="D20" s="80" t="str">
        <f ca="1">VLOOKUP($B20,OFFSET([2]quests!$A$1,0,0,COUNTA([2]quests!$A:$A),MATCH(D$1,[2]quests!$1:$1,0)-MATCH($B$1,[2]quests!$1:$1,0)+1),MATCH(D$1,[2]quests!$1:$1,0)-MATCH($B$1,[2]quests!$1:$1,0)+1,FALSE)</f>
        <v>ドロップイベント9（マルチ専用）</v>
      </c>
      <c r="E20" s="84">
        <v>1</v>
      </c>
      <c r="F20" s="80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20" s="80" t="str">
        <f ca="1">VLOOKUP($B20&amp;"_"&amp;$E20,OFFSET([2]stages!$A$1,0,0,COUNTA([2]stages!$A:$A),MATCH(G$1,[2]stages!$2:$2,0)-MATCH("temp_stage",[2]stages!$2:$2,0)+1),MATCH(G$1,[2]stages!$2:$2,0)-MATCH("temp_stage",[2]stages!$2:$2,0)+1,FALSE)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20" s="82">
        <v>0</v>
      </c>
      <c r="I20">
        <v>23</v>
      </c>
      <c r="J20" s="81" t="s">
        <v>192</v>
      </c>
      <c r="K20" s="90" t="str">
        <f>VLOOKUP(I20,[7]stage_hints!$A:$C,3,FALSE)</f>
        <v>フィーバーで一発逆転（その2）</v>
      </c>
      <c r="L20" s="91" t="str">
        <f>VLOOKUP(I20,[7]stage_hints!$A:$D,4,FALSE)</f>
        <v>フィーバー中は虹色のボムパネルを狙って_x000D_画面上のパネルを一気に破壊しましょう</v>
      </c>
      <c r="M20" s="54" t="s">
        <v>205</v>
      </c>
    </row>
    <row r="21" spans="1:13" x14ac:dyDescent="0.15">
      <c r="A21" s="78" t="s">
        <v>195</v>
      </c>
      <c r="B21" s="79">
        <f>floors!$C$2</f>
        <v>30030</v>
      </c>
      <c r="C21" s="80" t="str">
        <f ca="1">VLOOKUP($B21,OFFSET([2]quests!$A$1,0,0,COUNTA([2]quests!$A:$A),MATCH(C$1,[2]quests!$1:$1,0)-MATCH($B$1,[2]quests!$1:$1,0)+1),MATCH(C$1,[2]quests!$1:$1,0)-MATCH($B$1,[2]quests!$1:$1,0)+1,FALSE)</f>
        <v>ここは誰の箱庭じゃ？</v>
      </c>
      <c r="D21" s="80" t="str">
        <f ca="1">VLOOKUP($B21,OFFSET([2]quests!$A$1,0,0,COUNTA([2]quests!$A:$A),MATCH(D$1,[2]quests!$1:$1,0)-MATCH($B$1,[2]quests!$1:$1,0)+1),MATCH(D$1,[2]quests!$1:$1,0)-MATCH($B$1,[2]quests!$1:$1,0)+1,FALSE)</f>
        <v>ドロップイベント9（マルチ専用）</v>
      </c>
      <c r="E21" s="84">
        <v>1</v>
      </c>
      <c r="F21" s="80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21" s="80" t="str">
        <f ca="1">VLOOKUP($B21&amp;"_"&amp;$E21,OFFSET([2]stages!$A$1,0,0,COUNTA([2]stages!$A:$A),MATCH(G$1,[2]stages!$2:$2,0)-MATCH("temp_stage",[2]stages!$2:$2,0)+1),MATCH(G$1,[2]stages!$2:$2,0)-MATCH("temp_stage",[2]stages!$2:$2,0)+1,FALSE)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21" s="82">
        <v>0</v>
      </c>
      <c r="I21">
        <v>24</v>
      </c>
      <c r="J21" s="81" t="s">
        <v>192</v>
      </c>
      <c r="K21" s="90" t="str">
        <f>VLOOKUP(I21,[7]stage_hints!$A:$C,3,FALSE)</f>
        <v>果実を使って限界突破</v>
      </c>
      <c r="L21" s="91" t="str">
        <f>VLOOKUP(I21,[7]stage_hints!$A:$D,4,FALSE)</f>
        <v>攻めの果実 癒しの果実_x000D_生命の果実をユニット強化に使うと_x000D_ステータスが限界突破します（計99個迄）</v>
      </c>
      <c r="M21" s="54" t="s">
        <v>205</v>
      </c>
    </row>
    <row r="22" spans="1:13" x14ac:dyDescent="0.15">
      <c r="A22" s="78" t="s">
        <v>195</v>
      </c>
      <c r="B22" s="79">
        <f>floors!$C$2</f>
        <v>30030</v>
      </c>
      <c r="C22" s="80" t="str">
        <f ca="1">VLOOKUP($B22,OFFSET([2]quests!$A$1,0,0,COUNTA([2]quests!$A:$A),MATCH(C$1,[2]quests!$1:$1,0)-MATCH($B$1,[2]quests!$1:$1,0)+1),MATCH(C$1,[2]quests!$1:$1,0)-MATCH($B$1,[2]quests!$1:$1,0)+1,FALSE)</f>
        <v>ここは誰の箱庭じゃ？</v>
      </c>
      <c r="D22" s="80" t="str">
        <f ca="1">VLOOKUP($B22,OFFSET([2]quests!$A$1,0,0,COUNTA([2]quests!$A:$A),MATCH(D$1,[2]quests!$1:$1,0)-MATCH($B$1,[2]quests!$1:$1,0)+1),MATCH(D$1,[2]quests!$1:$1,0)-MATCH($B$1,[2]quests!$1:$1,0)+1,FALSE)</f>
        <v>ドロップイベント9（マルチ専用）</v>
      </c>
      <c r="E22" s="84">
        <v>1</v>
      </c>
      <c r="F22" s="80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22" s="80" t="str">
        <f ca="1">VLOOKUP($B22&amp;"_"&amp;$E22,OFFSET([2]stages!$A$1,0,0,COUNTA([2]stages!$A:$A),MATCH(G$1,[2]stages!$2:$2,0)-MATCH("temp_stage",[2]stages!$2:$2,0)+1),MATCH(G$1,[2]stages!$2:$2,0)-MATCH("temp_stage",[2]stages!$2:$2,0)+1,FALSE)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22" s="82">
        <v>0</v>
      </c>
      <c r="I22">
        <v>25</v>
      </c>
      <c r="J22" s="81" t="s">
        <v>192</v>
      </c>
      <c r="K22" s="90" t="str">
        <f>VLOOKUP(I22,[7]stage_hints!$A:$C,3,FALSE)</f>
        <v>スキルレベルアップ</v>
      </c>
      <c r="L22" s="91" t="str">
        <f>VLOOKUP(I22,[7]stage_hints!$A:$D,4,FALSE)</f>
        <v>「秘術の果実」を強化に使うと_x000D_スキルレベルを上げることができます</v>
      </c>
      <c r="M22" s="54" t="s">
        <v>205</v>
      </c>
    </row>
    <row r="23" spans="1:13" x14ac:dyDescent="0.15">
      <c r="A23" s="78" t="s">
        <v>195</v>
      </c>
      <c r="B23" s="79">
        <f>floors!$C$2</f>
        <v>30030</v>
      </c>
      <c r="C23" s="80" t="str">
        <f ca="1">VLOOKUP($B23,OFFSET([2]quests!$A$1,0,0,COUNTA([2]quests!$A:$A),MATCH(C$1,[2]quests!$1:$1,0)-MATCH($B$1,[2]quests!$1:$1,0)+1),MATCH(C$1,[2]quests!$1:$1,0)-MATCH($B$1,[2]quests!$1:$1,0)+1,FALSE)</f>
        <v>ここは誰の箱庭じゃ？</v>
      </c>
      <c r="D23" s="80" t="str">
        <f ca="1">VLOOKUP($B23,OFFSET([2]quests!$A$1,0,0,COUNTA([2]quests!$A:$A),MATCH(D$1,[2]quests!$1:$1,0)-MATCH($B$1,[2]quests!$1:$1,0)+1),MATCH(D$1,[2]quests!$1:$1,0)-MATCH($B$1,[2]quests!$1:$1,0)+1,FALSE)</f>
        <v>ドロップイベント9（マルチ専用）</v>
      </c>
      <c r="E23" s="84">
        <v>1</v>
      </c>
      <c r="F23" s="80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23" s="80" t="str">
        <f ca="1">VLOOKUP($B23&amp;"_"&amp;$E23,OFFSET([2]stages!$A$1,0,0,COUNTA([2]stages!$A:$A),MATCH(G$1,[2]stages!$2:$2,0)-MATCH("temp_stage",[2]stages!$2:$2,0)+1),MATCH(G$1,[2]stages!$2:$2,0)-MATCH("temp_stage",[2]stages!$2:$2,0)+1,FALSE)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23" s="82">
        <v>0</v>
      </c>
      <c r="I23">
        <v>26</v>
      </c>
      <c r="J23" s="81" t="s">
        <v>192</v>
      </c>
      <c r="K23" s="90" t="str">
        <f>VLOOKUP(I23,[7]stage_hints!$A:$C,3,FALSE)</f>
        <v>スキルレベルの効果</v>
      </c>
      <c r="L23" s="91" t="str">
        <f>VLOOKUP(I23,[7]stage_hints!$A:$D,4,FALSE)</f>
        <v>スキルレベルが上がると_x000D_短いターンでスキルを使うことができます</v>
      </c>
      <c r="M23" s="54" t="s">
        <v>205</v>
      </c>
    </row>
    <row r="24" spans="1:13" x14ac:dyDescent="0.15">
      <c r="A24" s="78" t="s">
        <v>195</v>
      </c>
      <c r="B24" s="79">
        <f>floors!$C$2</f>
        <v>30030</v>
      </c>
      <c r="C24" s="80" t="str">
        <f ca="1">VLOOKUP($B24,OFFSET([2]quests!$A$1,0,0,COUNTA([2]quests!$A:$A),MATCH(C$1,[2]quests!$1:$1,0)-MATCH($B$1,[2]quests!$1:$1,0)+1),MATCH(C$1,[2]quests!$1:$1,0)-MATCH($B$1,[2]quests!$1:$1,0)+1,FALSE)</f>
        <v>ここは誰の箱庭じゃ？</v>
      </c>
      <c r="D24" s="80" t="str">
        <f ca="1">VLOOKUP($B24,OFFSET([2]quests!$A$1,0,0,COUNTA([2]quests!$A:$A),MATCH(D$1,[2]quests!$1:$1,0)-MATCH($B$1,[2]quests!$1:$1,0)+1),MATCH(D$1,[2]quests!$1:$1,0)-MATCH($B$1,[2]quests!$1:$1,0)+1,FALSE)</f>
        <v>ドロップイベント9（マルチ専用）</v>
      </c>
      <c r="E24" s="84">
        <v>1</v>
      </c>
      <c r="F24" s="80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24" s="80" t="str">
        <f ca="1">VLOOKUP($B24&amp;"_"&amp;$E24,OFFSET([2]stages!$A$1,0,0,COUNTA([2]stages!$A:$A),MATCH(G$1,[2]stages!$2:$2,0)-MATCH("temp_stage",[2]stages!$2:$2,0)+1),MATCH(G$1,[2]stages!$2:$2,0)-MATCH("temp_stage",[2]stages!$2:$2,0)+1,FALSE)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24" s="82">
        <v>0</v>
      </c>
      <c r="I24">
        <v>27</v>
      </c>
      <c r="J24" s="81" t="s">
        <v>192</v>
      </c>
      <c r="K24" s="90" t="str">
        <f>VLOOKUP(I24,[7]stage_hints!$A:$C,3,FALSE)</f>
        <v>ホーム画面からデッキを編成</v>
      </c>
      <c r="L24" s="91" t="str">
        <f>VLOOKUP(I24,[7]stage_hints!$A:$D,4,FALSE)</f>
        <v>ホーム画面でユニットを長押しすると_x000D_すぐにパーティ編成に移動できます</v>
      </c>
      <c r="M24" s="54" t="s">
        <v>205</v>
      </c>
    </row>
    <row r="25" spans="1:13" x14ac:dyDescent="0.15">
      <c r="A25" s="78" t="s">
        <v>195</v>
      </c>
      <c r="B25" s="79">
        <f>floors!$C$2</f>
        <v>30030</v>
      </c>
      <c r="C25" s="80" t="str">
        <f ca="1">VLOOKUP($B25,OFFSET([2]quests!$A$1,0,0,COUNTA([2]quests!$A:$A),MATCH(C$1,[2]quests!$1:$1,0)-MATCH($B$1,[2]quests!$1:$1,0)+1),MATCH(C$1,[2]quests!$1:$1,0)-MATCH($B$1,[2]quests!$1:$1,0)+1,FALSE)</f>
        <v>ここは誰の箱庭じゃ？</v>
      </c>
      <c r="D25" s="80" t="str">
        <f ca="1">VLOOKUP($B25,OFFSET([2]quests!$A$1,0,0,COUNTA([2]quests!$A:$A),MATCH(D$1,[2]quests!$1:$1,0)-MATCH($B$1,[2]quests!$1:$1,0)+1),MATCH(D$1,[2]quests!$1:$1,0)-MATCH($B$1,[2]quests!$1:$1,0)+1,FALSE)</f>
        <v>ドロップイベント9（マルチ専用）</v>
      </c>
      <c r="E25" s="84">
        <v>1</v>
      </c>
      <c r="F25" s="80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25" s="80" t="str">
        <f ca="1">VLOOKUP($B25&amp;"_"&amp;$E25,OFFSET([2]stages!$A$1,0,0,COUNTA([2]stages!$A:$A),MATCH(G$1,[2]stages!$2:$2,0)-MATCH("temp_stage",[2]stages!$2:$2,0)+1),MATCH(G$1,[2]stages!$2:$2,0)-MATCH("temp_stage",[2]stages!$2:$2,0)+1,FALSE)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25" s="82">
        <v>0</v>
      </c>
      <c r="I25">
        <v>28</v>
      </c>
      <c r="J25" s="81" t="s">
        <v>192</v>
      </c>
      <c r="K25" s="90" t="str">
        <f>VLOOKUP(I25,[7]stage_hints!$A:$C,3,FALSE)</f>
        <v>ステータス情報は長押しで</v>
      </c>
      <c r="L25" s="91" t="str">
        <f>VLOOKUP(I25,[7]stage_hints!$A:$D,4,FALSE)</f>
        <v>ユニットのアイコンを長押しすると_x000D_ステータス情報を確認することができます</v>
      </c>
      <c r="M25" s="54" t="s">
        <v>205</v>
      </c>
    </row>
    <row r="26" spans="1:13" x14ac:dyDescent="0.15">
      <c r="A26" s="78" t="s">
        <v>195</v>
      </c>
      <c r="B26" s="79">
        <f>floors!$C$2</f>
        <v>30030</v>
      </c>
      <c r="C26" s="80" t="str">
        <f ca="1">VLOOKUP($B26,OFFSET([2]quests!$A$1,0,0,COUNTA([2]quests!$A:$A),MATCH(C$1,[2]quests!$1:$1,0)-MATCH($B$1,[2]quests!$1:$1,0)+1),MATCH(C$1,[2]quests!$1:$1,0)-MATCH($B$1,[2]quests!$1:$1,0)+1,FALSE)</f>
        <v>ここは誰の箱庭じゃ？</v>
      </c>
      <c r="D26" s="80" t="str">
        <f ca="1">VLOOKUP($B26,OFFSET([2]quests!$A$1,0,0,COUNTA([2]quests!$A:$A),MATCH(D$1,[2]quests!$1:$1,0)-MATCH($B$1,[2]quests!$1:$1,0)+1),MATCH(D$1,[2]quests!$1:$1,0)-MATCH($B$1,[2]quests!$1:$1,0)+1,FALSE)</f>
        <v>ドロップイベント9（マルチ専用）</v>
      </c>
      <c r="E26" s="84">
        <v>1</v>
      </c>
      <c r="F26" s="80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26" s="80" t="str">
        <f ca="1">VLOOKUP($B26&amp;"_"&amp;$E26,OFFSET([2]stages!$A$1,0,0,COUNTA([2]stages!$A:$A),MATCH(G$1,[2]stages!$2:$2,0)-MATCH("temp_stage",[2]stages!$2:$2,0)+1),MATCH(G$1,[2]stages!$2:$2,0)-MATCH("temp_stage",[2]stages!$2:$2,0)+1,FALSE)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26" s="82">
        <v>0</v>
      </c>
      <c r="I26">
        <v>29</v>
      </c>
      <c r="J26" s="81" t="s">
        <v>192</v>
      </c>
      <c r="K26" s="90" t="str">
        <f>VLOOKUP(I26,[7]stage_hints!$A:$C,3,FALSE)</f>
        <v>「バグ」のメリット</v>
      </c>
      <c r="L26" s="91" t="str">
        <f>VLOOKUP(I26,[7]stage_hints!$A:$D,4,FALSE)</f>
        <v>ユニットの「バグ」を増やすと_x000D_報酬をもらえる確率がアップします</v>
      </c>
      <c r="M26" s="54" t="s">
        <v>205</v>
      </c>
    </row>
    <row r="27" spans="1:13" x14ac:dyDescent="0.15">
      <c r="A27" s="78" t="s">
        <v>195</v>
      </c>
      <c r="B27" s="79">
        <f>floors!$C$2</f>
        <v>30030</v>
      </c>
      <c r="C27" s="80" t="str">
        <f ca="1">VLOOKUP($B27,OFFSET([2]quests!$A$1,0,0,COUNTA([2]quests!$A:$A),MATCH(C$1,[2]quests!$1:$1,0)-MATCH($B$1,[2]quests!$1:$1,0)+1),MATCH(C$1,[2]quests!$1:$1,0)-MATCH($B$1,[2]quests!$1:$1,0)+1,FALSE)</f>
        <v>ここは誰の箱庭じゃ？</v>
      </c>
      <c r="D27" s="80" t="str">
        <f ca="1">VLOOKUP($B27,OFFSET([2]quests!$A$1,0,0,COUNTA([2]quests!$A:$A),MATCH(D$1,[2]quests!$1:$1,0)-MATCH($B$1,[2]quests!$1:$1,0)+1),MATCH(D$1,[2]quests!$1:$1,0)-MATCH($B$1,[2]quests!$1:$1,0)+1,FALSE)</f>
        <v>ドロップイベント9（マルチ専用）</v>
      </c>
      <c r="E27" s="84">
        <v>1</v>
      </c>
      <c r="F27" s="80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27" s="80" t="str">
        <f ca="1">VLOOKUP($B27&amp;"_"&amp;$E27,OFFSET([2]stages!$A$1,0,0,COUNTA([2]stages!$A:$A),MATCH(G$1,[2]stages!$2:$2,0)-MATCH("temp_stage",[2]stages!$2:$2,0)+1),MATCH(G$1,[2]stages!$2:$2,0)-MATCH("temp_stage",[2]stages!$2:$2,0)+1,FALSE)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27" s="82">
        <v>0</v>
      </c>
      <c r="I27">
        <v>30</v>
      </c>
      <c r="J27" s="81" t="s">
        <v>192</v>
      </c>
      <c r="K27" s="90" t="str">
        <f>VLOOKUP(I27,[7]stage_hints!$A:$C,3,FALSE)</f>
        <v>「バグ」の増やし方</v>
      </c>
      <c r="L27" s="91" t="str">
        <f>VLOOKUP(I27,[7]stage_hints!$A:$D,4,FALSE)</f>
        <v>同じユニット同士を強化で合成すると_x000D_「バグ」を増やすことができます</v>
      </c>
      <c r="M27" s="54" t="s">
        <v>205</v>
      </c>
    </row>
    <row r="28" spans="1:13" x14ac:dyDescent="0.15">
      <c r="A28" s="78" t="s">
        <v>195</v>
      </c>
      <c r="B28" s="79">
        <f>floors!$C$2</f>
        <v>30030</v>
      </c>
      <c r="C28" s="80" t="str">
        <f ca="1">VLOOKUP($B28,OFFSET([2]quests!$A$1,0,0,COUNTA([2]quests!$A:$A),MATCH(C$1,[2]quests!$1:$1,0)-MATCH($B$1,[2]quests!$1:$1,0)+1),MATCH(C$1,[2]quests!$1:$1,0)-MATCH($B$1,[2]quests!$1:$1,0)+1,FALSE)</f>
        <v>ここは誰の箱庭じゃ？</v>
      </c>
      <c r="D28" s="80" t="str">
        <f ca="1">VLOOKUP($B28,OFFSET([2]quests!$A$1,0,0,COUNTA([2]quests!$A:$A),MATCH(D$1,[2]quests!$1:$1,0)-MATCH($B$1,[2]quests!$1:$1,0)+1),MATCH(D$1,[2]quests!$1:$1,0)-MATCH($B$1,[2]quests!$1:$1,0)+1,FALSE)</f>
        <v>ドロップイベント9（マルチ専用）</v>
      </c>
      <c r="E28" s="84">
        <v>1</v>
      </c>
      <c r="F28" s="80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28" s="80" t="str">
        <f ca="1">VLOOKUP($B28&amp;"_"&amp;$E28,OFFSET([2]stages!$A$1,0,0,COUNTA([2]stages!$A:$A),MATCH(G$1,[2]stages!$2:$2,0)-MATCH("temp_stage",[2]stages!$2:$2,0)+1),MATCH(G$1,[2]stages!$2:$2,0)-MATCH("temp_stage",[2]stages!$2:$2,0)+1,FALSE)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28" s="82">
        <v>0</v>
      </c>
      <c r="I28">
        <v>31</v>
      </c>
      <c r="J28" s="81" t="s">
        <v>192</v>
      </c>
      <c r="K28" s="90" t="str">
        <f>VLOOKUP(I28,[7]stage_hints!$A:$C,3,FALSE)</f>
        <v>イベントはお知らせでチェック</v>
      </c>
      <c r="L28" s="91" t="str">
        <f>VLOOKUP(I28,[7]stage_hints!$A:$D,4,FALSE)</f>
        <v>イベント限定ユニットを取り忘れないように_x000D_お知らせをこまめにチェックしましょう</v>
      </c>
      <c r="M28" s="54" t="s">
        <v>205</v>
      </c>
    </row>
    <row r="29" spans="1:13" x14ac:dyDescent="0.15">
      <c r="A29" s="78" t="s">
        <v>195</v>
      </c>
      <c r="B29" s="79">
        <f>floors!$C$2</f>
        <v>30030</v>
      </c>
      <c r="C29" s="80" t="str">
        <f ca="1">VLOOKUP($B29,OFFSET([2]quests!$A$1,0,0,COUNTA([2]quests!$A:$A),MATCH(C$1,[2]quests!$1:$1,0)-MATCH($B$1,[2]quests!$1:$1,0)+1),MATCH(C$1,[2]quests!$1:$1,0)-MATCH($B$1,[2]quests!$1:$1,0)+1,FALSE)</f>
        <v>ここは誰の箱庭じゃ？</v>
      </c>
      <c r="D29" s="80" t="str">
        <f ca="1">VLOOKUP($B29,OFFSET([2]quests!$A$1,0,0,COUNTA([2]quests!$A:$A),MATCH(D$1,[2]quests!$1:$1,0)-MATCH($B$1,[2]quests!$1:$1,0)+1),MATCH(D$1,[2]quests!$1:$1,0)-MATCH($B$1,[2]quests!$1:$1,0)+1,FALSE)</f>
        <v>ドロップイベント9（マルチ専用）</v>
      </c>
      <c r="E29" s="84">
        <v>1</v>
      </c>
      <c r="F29" s="80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29" s="80" t="str">
        <f ca="1">VLOOKUP($B29&amp;"_"&amp;$E29,OFFSET([2]stages!$A$1,0,0,COUNTA([2]stages!$A:$A),MATCH(G$1,[2]stages!$2:$2,0)-MATCH("temp_stage",[2]stages!$2:$2,0)+1),MATCH(G$1,[2]stages!$2:$2,0)-MATCH("temp_stage",[2]stages!$2:$2,0)+1,FALSE)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29" s="82">
        <v>0</v>
      </c>
      <c r="I29">
        <v>32</v>
      </c>
      <c r="J29" s="81" t="s">
        <v>192</v>
      </c>
      <c r="K29" s="90" t="str">
        <f>VLOOKUP(I29,[7]stage_hints!$A:$C,3,FALSE)</f>
        <v>敵の連続攻撃には</v>
      </c>
      <c r="L29" s="91" t="str">
        <f>VLOOKUP(I29,[7]stage_hints!$A:$D,4,FALSE)</f>
        <v>カウンタースキルを持つユニットがいれば_x000D_ダメージ回数分の反撃ができます</v>
      </c>
      <c r="M29" s="54" t="s">
        <v>205</v>
      </c>
    </row>
    <row r="30" spans="1:13" x14ac:dyDescent="0.15">
      <c r="A30" s="78" t="s">
        <v>195</v>
      </c>
      <c r="B30" s="79">
        <f>floors!$C$2</f>
        <v>30030</v>
      </c>
      <c r="C30" s="80" t="str">
        <f ca="1">VLOOKUP($B30,OFFSET([2]quests!$A$1,0,0,COUNTA([2]quests!$A:$A),MATCH(C$1,[2]quests!$1:$1,0)-MATCH($B$1,[2]quests!$1:$1,0)+1),MATCH(C$1,[2]quests!$1:$1,0)-MATCH($B$1,[2]quests!$1:$1,0)+1,FALSE)</f>
        <v>ここは誰の箱庭じゃ？</v>
      </c>
      <c r="D30" s="80" t="str">
        <f ca="1">VLOOKUP($B30,OFFSET([2]quests!$A$1,0,0,COUNTA([2]quests!$A:$A),MATCH(D$1,[2]quests!$1:$1,0)-MATCH($B$1,[2]quests!$1:$1,0)+1),MATCH(D$1,[2]quests!$1:$1,0)-MATCH($B$1,[2]quests!$1:$1,0)+1,FALSE)</f>
        <v>ドロップイベント9（マルチ専用）</v>
      </c>
      <c r="E30" s="84">
        <v>1</v>
      </c>
      <c r="F30" s="80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30" s="80" t="str">
        <f ca="1">VLOOKUP($B30&amp;"_"&amp;$E30,OFFSET([2]stages!$A$1,0,0,COUNTA([2]stages!$A:$A),MATCH(G$1,[2]stages!$2:$2,0)-MATCH("temp_stage",[2]stages!$2:$2,0)+1),MATCH(G$1,[2]stages!$2:$2,0)-MATCH("temp_stage",[2]stages!$2:$2,0)+1,FALSE)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30" s="82">
        <v>0</v>
      </c>
      <c r="I30">
        <v>33</v>
      </c>
      <c r="J30" s="81" t="s">
        <v>192</v>
      </c>
      <c r="K30" s="90" t="str">
        <f>VLOOKUP(I30,[7]stage_hints!$A:$C,3,FALSE)</f>
        <v>敵のカウンター攻撃には</v>
      </c>
      <c r="L30" s="91" t="str">
        <f>VLOOKUP(I30,[7]stage_hints!$A:$D,4,FALSE)</f>
        <v>カウンターブレイクスキルを持っていれば_x000D_敵のカウンターを解除して攻撃ができます</v>
      </c>
      <c r="M30" s="54" t="s">
        <v>205</v>
      </c>
    </row>
    <row r="31" spans="1:13" x14ac:dyDescent="0.15">
      <c r="A31" s="78" t="s">
        <v>195</v>
      </c>
      <c r="B31" s="79">
        <f>floors!$C$2</f>
        <v>30030</v>
      </c>
      <c r="C31" s="80" t="str">
        <f ca="1">VLOOKUP($B31,OFFSET([2]quests!$A$1,0,0,COUNTA([2]quests!$A:$A),MATCH(C$1,[2]quests!$1:$1,0)-MATCH($B$1,[2]quests!$1:$1,0)+1),MATCH(C$1,[2]quests!$1:$1,0)-MATCH($B$1,[2]quests!$1:$1,0)+1,FALSE)</f>
        <v>ここは誰の箱庭じゃ？</v>
      </c>
      <c r="D31" s="80" t="str">
        <f ca="1">VLOOKUP($B31,OFFSET([2]quests!$A$1,0,0,COUNTA([2]quests!$A:$A),MATCH(D$1,[2]quests!$1:$1,0)-MATCH($B$1,[2]quests!$1:$1,0)+1),MATCH(D$1,[2]quests!$1:$1,0)-MATCH($B$1,[2]quests!$1:$1,0)+1,FALSE)</f>
        <v>ドロップイベント9（マルチ専用）</v>
      </c>
      <c r="E31" s="84">
        <v>1</v>
      </c>
      <c r="F31" s="80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31" s="80" t="str">
        <f ca="1">VLOOKUP($B31&amp;"_"&amp;$E31,OFFSET([2]stages!$A$1,0,0,COUNTA([2]stages!$A:$A),MATCH(G$1,[2]stages!$2:$2,0)-MATCH("temp_stage",[2]stages!$2:$2,0)+1),MATCH(G$1,[2]stages!$2:$2,0)-MATCH("temp_stage",[2]stages!$2:$2,0)+1,FALSE)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31" s="82">
        <v>0</v>
      </c>
      <c r="I31">
        <v>34</v>
      </c>
      <c r="J31" s="81" t="s">
        <v>192</v>
      </c>
      <c r="K31" s="90" t="str">
        <f>VLOOKUP(I31,[7]stage_hints!$A:$C,3,FALSE)</f>
        <v>ステータスをスキルで下げられたら</v>
      </c>
      <c r="L31" s="91" t="str">
        <f>VLOOKUP(I31,[7]stage_hints!$A:$D,4,FALSE)</f>
        <v>ステータスダウンのスキルを受けたら_x000D_ステータスアップスキルで上書きしましょう</v>
      </c>
      <c r="M31" s="54" t="s">
        <v>205</v>
      </c>
    </row>
    <row r="32" spans="1:13" x14ac:dyDescent="0.15">
      <c r="A32" s="78" t="s">
        <v>195</v>
      </c>
      <c r="B32" s="79">
        <f>floors!$C$2</f>
        <v>30030</v>
      </c>
      <c r="C32" s="80" t="str">
        <f ca="1">VLOOKUP($B32,OFFSET([2]quests!$A$1,0,0,COUNTA([2]quests!$A:$A),MATCH(C$1,[2]quests!$1:$1,0)-MATCH($B$1,[2]quests!$1:$1,0)+1),MATCH(C$1,[2]quests!$1:$1,0)-MATCH($B$1,[2]quests!$1:$1,0)+1,FALSE)</f>
        <v>ここは誰の箱庭じゃ？</v>
      </c>
      <c r="D32" s="80" t="str">
        <f ca="1">VLOOKUP($B32,OFFSET([2]quests!$A$1,0,0,COUNTA([2]quests!$A:$A),MATCH(D$1,[2]quests!$1:$1,0)-MATCH($B$1,[2]quests!$1:$1,0)+1),MATCH(D$1,[2]quests!$1:$1,0)-MATCH($B$1,[2]quests!$1:$1,0)+1,FALSE)</f>
        <v>ドロップイベント9（マルチ専用）</v>
      </c>
      <c r="E32" s="84">
        <v>1</v>
      </c>
      <c r="F32" s="80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32" s="80" t="str">
        <f ca="1">VLOOKUP($B32&amp;"_"&amp;$E32,OFFSET([2]stages!$A$1,0,0,COUNTA([2]stages!$A:$A),MATCH(G$1,[2]stages!$2:$2,0)-MATCH("temp_stage",[2]stages!$2:$2,0)+1),MATCH(G$1,[2]stages!$2:$2,0)-MATCH("temp_stage",[2]stages!$2:$2,0)+1,FALSE)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32" s="82">
        <v>0</v>
      </c>
      <c r="I32">
        <v>35</v>
      </c>
      <c r="J32" s="81" t="s">
        <v>192</v>
      </c>
      <c r="K32" s="90" t="str">
        <f>VLOOKUP(I32,[7]stage_hints!$A:$C,3,FALSE)</f>
        <v>敵のステータスがスキルで上がったら</v>
      </c>
      <c r="L32" s="91" t="str">
        <f>VLOOKUP(I32,[7]stage_hints!$A:$D,4,FALSE)</f>
        <v>敵のステータスがスキルでアップしたときは_x000D_ステータスダウンスキルで上書きしましょう</v>
      </c>
      <c r="M32" s="54" t="s">
        <v>205</v>
      </c>
    </row>
    <row r="33" spans="1:13" x14ac:dyDescent="0.15">
      <c r="A33" s="78" t="s">
        <v>195</v>
      </c>
      <c r="B33" s="79">
        <f>floors!$C$2</f>
        <v>30030</v>
      </c>
      <c r="C33" s="80" t="str">
        <f ca="1">VLOOKUP($B33,OFFSET([2]quests!$A$1,0,0,COUNTA([2]quests!$A:$A),MATCH(C$1,[2]quests!$1:$1,0)-MATCH($B$1,[2]quests!$1:$1,0)+1),MATCH(C$1,[2]quests!$1:$1,0)-MATCH($B$1,[2]quests!$1:$1,0)+1,FALSE)</f>
        <v>ここは誰の箱庭じゃ？</v>
      </c>
      <c r="D33" s="80" t="str">
        <f ca="1">VLOOKUP($B33,OFFSET([2]quests!$A$1,0,0,COUNTA([2]quests!$A:$A),MATCH(D$1,[2]quests!$1:$1,0)-MATCH($B$1,[2]quests!$1:$1,0)+1),MATCH(D$1,[2]quests!$1:$1,0)-MATCH($B$1,[2]quests!$1:$1,0)+1,FALSE)</f>
        <v>ドロップイベント9（マルチ専用）</v>
      </c>
      <c r="E33" s="84">
        <v>1</v>
      </c>
      <c r="F33" s="80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33" s="80" t="str">
        <f ca="1">VLOOKUP($B33&amp;"_"&amp;$E33,OFFSET([2]stages!$A$1,0,0,COUNTA([2]stages!$A:$A),MATCH(G$1,[2]stages!$2:$2,0)-MATCH("temp_stage",[2]stages!$2:$2,0)+1),MATCH(G$1,[2]stages!$2:$2,0)-MATCH("temp_stage",[2]stages!$2:$2,0)+1,FALSE)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33" s="82">
        <v>0</v>
      </c>
      <c r="I33">
        <v>39</v>
      </c>
      <c r="J33" s="81" t="s">
        <v>192</v>
      </c>
      <c r="K33" s="90" t="str">
        <f>VLOOKUP(I33,[7]stage_hints!$A:$C,3,FALSE)</f>
        <v>システム適合者を確認</v>
      </c>
      <c r="L33" s="91" t="str">
        <f>VLOOKUP(I33,[7]stage_hints!$A:$D,4,FALSE)</f>
        <v>ALICEが 「アナタ」を呼んでいます</v>
      </c>
      <c r="M33" s="54" t="s">
        <v>205</v>
      </c>
    </row>
    <row r="34" spans="1:13" x14ac:dyDescent="0.15">
      <c r="A34" s="78" t="s">
        <v>195</v>
      </c>
      <c r="B34" s="79">
        <f>floors!$C$2</f>
        <v>30030</v>
      </c>
      <c r="C34" s="80" t="str">
        <f ca="1">VLOOKUP($B34,OFFSET([2]quests!$A$1,0,0,COUNTA([2]quests!$A:$A),MATCH(C$1,[2]quests!$1:$1,0)-MATCH($B$1,[2]quests!$1:$1,0)+1),MATCH(C$1,[2]quests!$1:$1,0)-MATCH($B$1,[2]quests!$1:$1,0)+1,FALSE)</f>
        <v>ここは誰の箱庭じゃ？</v>
      </c>
      <c r="D34" s="80" t="str">
        <f ca="1">VLOOKUP($B34,OFFSET([2]quests!$A$1,0,0,COUNTA([2]quests!$A:$A),MATCH(D$1,[2]quests!$1:$1,0)-MATCH($B$1,[2]quests!$1:$1,0)+1),MATCH(D$1,[2]quests!$1:$1,0)-MATCH($B$1,[2]quests!$1:$1,0)+1,FALSE)</f>
        <v>ドロップイベント9（マルチ専用）</v>
      </c>
      <c r="E34" s="84">
        <v>2</v>
      </c>
      <c r="F34" s="80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34" s="80" t="str">
        <f ca="1">VLOOKUP($B34&amp;"_"&amp;$E34,OFFSET([2]stages!$A$1,0,0,COUNTA([2]stages!$A:$A),MATCH(G$1,[2]stages!$2:$2,0)-MATCH("temp_stage",[2]stages!$2:$2,0)+1),MATCH(G$1,[2]stages!$2:$2,0)-MATCH("temp_stage",[2]stages!$2:$2,0)+1,FALSE)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34" s="82">
        <v>0</v>
      </c>
      <c r="I34" s="94">
        <v>3</v>
      </c>
      <c r="J34" s="81" t="s">
        <v>192</v>
      </c>
      <c r="K34" s="90" t="str">
        <f>VLOOKUP(I34,[7]stage_hints!$A:$C,3,FALSE)</f>
        <v>ターゲット</v>
      </c>
      <c r="L34" s="91" t="str">
        <f>VLOOKUP(I34,[7]stage_hints!$A:$D,4,FALSE)</f>
        <v>敵ユニットをタップすると_x000D_その敵を狙い撃ちできます</v>
      </c>
      <c r="M34" s="54" t="s">
        <v>205</v>
      </c>
    </row>
    <row r="35" spans="1:13" x14ac:dyDescent="0.15">
      <c r="A35" s="78" t="s">
        <v>195</v>
      </c>
      <c r="B35" s="79">
        <f>floors!$C$2</f>
        <v>30030</v>
      </c>
      <c r="C35" s="80" t="str">
        <f ca="1">VLOOKUP($B35,OFFSET([2]quests!$A$1,0,0,COUNTA([2]quests!$A:$A),MATCH(C$1,[2]quests!$1:$1,0)-MATCH($B$1,[2]quests!$1:$1,0)+1),MATCH(C$1,[2]quests!$1:$1,0)-MATCH($B$1,[2]quests!$1:$1,0)+1,FALSE)</f>
        <v>ここは誰の箱庭じゃ？</v>
      </c>
      <c r="D35" s="80" t="str">
        <f ca="1">VLOOKUP($B35,OFFSET([2]quests!$A$1,0,0,COUNTA([2]quests!$A:$A),MATCH(D$1,[2]quests!$1:$1,0)-MATCH($B$1,[2]quests!$1:$1,0)+1),MATCH(D$1,[2]quests!$1:$1,0)-MATCH($B$1,[2]quests!$1:$1,0)+1,FALSE)</f>
        <v>ドロップイベント9（マルチ専用）</v>
      </c>
      <c r="E35" s="84">
        <v>2</v>
      </c>
      <c r="F35" s="80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35" s="80" t="str">
        <f ca="1">VLOOKUP($B35&amp;"_"&amp;$E35,OFFSET([2]stages!$A$1,0,0,COUNTA([2]stages!$A:$A),MATCH(G$1,[2]stages!$2:$2,0)-MATCH("temp_stage",[2]stages!$2:$2,0)+1),MATCH(G$1,[2]stages!$2:$2,0)-MATCH("temp_stage",[2]stages!$2:$2,0)+1,FALSE)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35" s="82">
        <v>0</v>
      </c>
      <c r="I35" s="94">
        <v>6</v>
      </c>
      <c r="J35" s="81" t="s">
        <v>192</v>
      </c>
      <c r="K35" s="90" t="str">
        <f>VLOOKUP(I35,[7]stage_hints!$A:$C,3,FALSE)</f>
        <v>ユニット強化の属性ボーナス</v>
      </c>
      <c r="L35" s="91" t="str">
        <f>VLOOKUP(I35,[7]stage_hints!$A:$D,4,FALSE)</f>
        <v>同属性ユニットを強化素材にすると_x000D_経験値が多くもらえます</v>
      </c>
      <c r="M35" s="54" t="s">
        <v>205</v>
      </c>
    </row>
    <row r="36" spans="1:13" x14ac:dyDescent="0.15">
      <c r="A36" s="78" t="s">
        <v>195</v>
      </c>
      <c r="B36" s="79">
        <f>floors!$C$2</f>
        <v>30030</v>
      </c>
      <c r="C36" s="80" t="str">
        <f ca="1">VLOOKUP($B36,OFFSET([2]quests!$A$1,0,0,COUNTA([2]quests!$A:$A),MATCH(C$1,[2]quests!$1:$1,0)-MATCH($B$1,[2]quests!$1:$1,0)+1),MATCH(C$1,[2]quests!$1:$1,0)-MATCH($B$1,[2]quests!$1:$1,0)+1,FALSE)</f>
        <v>ここは誰の箱庭じゃ？</v>
      </c>
      <c r="D36" s="80" t="str">
        <f ca="1">VLOOKUP($B36,OFFSET([2]quests!$A$1,0,0,COUNTA([2]quests!$A:$A),MATCH(D$1,[2]quests!$1:$1,0)-MATCH($B$1,[2]quests!$1:$1,0)+1),MATCH(D$1,[2]quests!$1:$1,0)-MATCH($B$1,[2]quests!$1:$1,0)+1,FALSE)</f>
        <v>ドロップイベント9（マルチ専用）</v>
      </c>
      <c r="E36" s="84">
        <v>2</v>
      </c>
      <c r="F36" s="80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36" s="80" t="str">
        <f ca="1">VLOOKUP($B36&amp;"_"&amp;$E36,OFFSET([2]stages!$A$1,0,0,COUNTA([2]stages!$A:$A),MATCH(G$1,[2]stages!$2:$2,0)-MATCH("temp_stage",[2]stages!$2:$2,0)+1),MATCH(G$1,[2]stages!$2:$2,0)-MATCH("temp_stage",[2]stages!$2:$2,0)+1,FALSE)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36" s="82">
        <v>0</v>
      </c>
      <c r="I36" s="94">
        <v>7</v>
      </c>
      <c r="J36" s="81" t="s">
        <v>192</v>
      </c>
      <c r="K36" s="90" t="str">
        <f>VLOOKUP(I36,[7]stage_hints!$A:$C,3,FALSE)</f>
        <v>メタルダックで経験値を獲得</v>
      </c>
      <c r="L36" s="91" t="str">
        <f>VLOOKUP(I36,[7]stage_hints!$A:$D,4,FALSE)</f>
        <v>「メタルなアヒル」を強化素材にすると_x000D_大量の経験値がもらえます</v>
      </c>
      <c r="M36" s="54" t="s">
        <v>205</v>
      </c>
    </row>
    <row r="37" spans="1:13" x14ac:dyDescent="0.15">
      <c r="A37" s="78" t="s">
        <v>195</v>
      </c>
      <c r="B37" s="79">
        <f>floors!$C$2</f>
        <v>30030</v>
      </c>
      <c r="C37" s="80" t="str">
        <f ca="1">VLOOKUP($B37,OFFSET([2]quests!$A$1,0,0,COUNTA([2]quests!$A:$A),MATCH(C$1,[2]quests!$1:$1,0)-MATCH($B$1,[2]quests!$1:$1,0)+1),MATCH(C$1,[2]quests!$1:$1,0)-MATCH($B$1,[2]quests!$1:$1,0)+1,FALSE)</f>
        <v>ここは誰の箱庭じゃ？</v>
      </c>
      <c r="D37" s="80" t="str">
        <f ca="1">VLOOKUP($B37,OFFSET([2]quests!$A$1,0,0,COUNTA([2]quests!$A:$A),MATCH(D$1,[2]quests!$1:$1,0)-MATCH($B$1,[2]quests!$1:$1,0)+1),MATCH(D$1,[2]quests!$1:$1,0)-MATCH($B$1,[2]quests!$1:$1,0)+1,FALSE)</f>
        <v>ドロップイベント9（マルチ専用）</v>
      </c>
      <c r="E37" s="84">
        <v>2</v>
      </c>
      <c r="F37" s="80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37" s="80" t="str">
        <f ca="1">VLOOKUP($B37&amp;"_"&amp;$E37,OFFSET([2]stages!$A$1,0,0,COUNTA([2]stages!$A:$A),MATCH(G$1,[2]stages!$2:$2,0)-MATCH("temp_stage",[2]stages!$2:$2,0)+1),MATCH(G$1,[2]stages!$2:$2,0)-MATCH("temp_stage",[2]stages!$2:$2,0)+1,FALSE)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37" s="82">
        <v>0</v>
      </c>
      <c r="I37" s="94">
        <v>8</v>
      </c>
      <c r="J37" s="81" t="s">
        <v>192</v>
      </c>
      <c r="K37" s="90" t="str">
        <f>VLOOKUP(I37,[7]stage_hints!$A:$C,3,FALSE)</f>
        <v>ゲリラクエストは要チェック</v>
      </c>
      <c r="L37" s="91" t="str">
        <f>VLOOKUP(I37,[7]stage_hints!$A:$D,4,FALSE)</f>
        <v>時間限定の「アヒル捕獲作戦」では_x000D_経験値素材ユニットが多く手に入ります</v>
      </c>
      <c r="M37" s="54" t="s">
        <v>205</v>
      </c>
    </row>
    <row r="38" spans="1:13" x14ac:dyDescent="0.15">
      <c r="A38" s="78" t="s">
        <v>195</v>
      </c>
      <c r="B38" s="79">
        <f>floors!$C$2</f>
        <v>30030</v>
      </c>
      <c r="C38" s="80" t="str">
        <f ca="1">VLOOKUP($B38,OFFSET([2]quests!$A$1,0,0,COUNTA([2]quests!$A:$A),MATCH(C$1,[2]quests!$1:$1,0)-MATCH($B$1,[2]quests!$1:$1,0)+1),MATCH(C$1,[2]quests!$1:$1,0)-MATCH($B$1,[2]quests!$1:$1,0)+1,FALSE)</f>
        <v>ここは誰の箱庭じゃ？</v>
      </c>
      <c r="D38" s="80" t="str">
        <f ca="1">VLOOKUP($B38,OFFSET([2]quests!$A$1,0,0,COUNTA([2]quests!$A:$A),MATCH(D$1,[2]quests!$1:$1,0)-MATCH($B$1,[2]quests!$1:$1,0)+1),MATCH(D$1,[2]quests!$1:$1,0)-MATCH($B$1,[2]quests!$1:$1,0)+1,FALSE)</f>
        <v>ドロップイベント9（マルチ専用）</v>
      </c>
      <c r="E38" s="84">
        <v>2</v>
      </c>
      <c r="F38" s="80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38" s="80" t="str">
        <f ca="1">VLOOKUP($B38&amp;"_"&amp;$E38,OFFSET([2]stages!$A$1,0,0,COUNTA([2]stages!$A:$A),MATCH(G$1,[2]stages!$2:$2,0)-MATCH("temp_stage",[2]stages!$2:$2,0)+1),MATCH(G$1,[2]stages!$2:$2,0)-MATCH("temp_stage",[2]stages!$2:$2,0)+1,FALSE)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38" s="82">
        <v>0</v>
      </c>
      <c r="I38" s="94">
        <v>9</v>
      </c>
      <c r="J38" s="81" t="s">
        <v>192</v>
      </c>
      <c r="K38" s="90" t="str">
        <f>VLOOKUP(I38,[7]stage_hints!$A:$C,3,FALSE)</f>
        <v>ゴールドダックでビットを獲得</v>
      </c>
      <c r="L38" s="91" t="str">
        <f>VLOOKUP(I38,[7]stage_hints!$A:$D,4,FALSE)</f>
        <v>「ゴールドなアヒル」を売却すると_x000D_大量のビットがもらえます</v>
      </c>
      <c r="M38" s="54" t="s">
        <v>205</v>
      </c>
    </row>
    <row r="39" spans="1:13" x14ac:dyDescent="0.15">
      <c r="A39" s="78" t="s">
        <v>195</v>
      </c>
      <c r="B39" s="79">
        <f>floors!$C$2</f>
        <v>30030</v>
      </c>
      <c r="C39" s="80" t="str">
        <f ca="1">VLOOKUP($B39,OFFSET([2]quests!$A$1,0,0,COUNTA([2]quests!$A:$A),MATCH(C$1,[2]quests!$1:$1,0)-MATCH($B$1,[2]quests!$1:$1,0)+1),MATCH(C$1,[2]quests!$1:$1,0)-MATCH($B$1,[2]quests!$1:$1,0)+1,FALSE)</f>
        <v>ここは誰の箱庭じゃ？</v>
      </c>
      <c r="D39" s="80" t="str">
        <f ca="1">VLOOKUP($B39,OFFSET([2]quests!$A$1,0,0,COUNTA([2]quests!$A:$A),MATCH(D$1,[2]quests!$1:$1,0)-MATCH($B$1,[2]quests!$1:$1,0)+1),MATCH(D$1,[2]quests!$1:$1,0)-MATCH($B$1,[2]quests!$1:$1,0)+1,FALSE)</f>
        <v>ドロップイベント9（マルチ専用）</v>
      </c>
      <c r="E39" s="84">
        <v>2</v>
      </c>
      <c r="F39" s="80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39" s="80" t="str">
        <f ca="1">VLOOKUP($B39&amp;"_"&amp;$E39,OFFSET([2]stages!$A$1,0,0,COUNTA([2]stages!$A:$A),MATCH(G$1,[2]stages!$2:$2,0)-MATCH("temp_stage",[2]stages!$2:$2,0)+1),MATCH(G$1,[2]stages!$2:$2,0)-MATCH("temp_stage",[2]stages!$2:$2,0)+1,FALSE)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39" s="82">
        <v>0</v>
      </c>
      <c r="I39" s="94">
        <v>10</v>
      </c>
      <c r="J39" s="81" t="s">
        <v>192</v>
      </c>
      <c r="K39" s="90" t="str">
        <f>VLOOKUP(I39,[7]stage_hints!$A:$C,3,FALSE)</f>
        <v>土日に大量のビットを獲得</v>
      </c>
      <c r="L39" s="91" t="str">
        <f>VLOOKUP(I39,[7]stage_hints!$A:$D,4,FALSE)</f>
        <v>土日限定の「ゴールドカジノ」では_x000D_売却素材ユニットが多く手に入ります</v>
      </c>
      <c r="M39" s="54" t="s">
        <v>205</v>
      </c>
    </row>
    <row r="40" spans="1:13" x14ac:dyDescent="0.15">
      <c r="A40" s="78" t="s">
        <v>195</v>
      </c>
      <c r="B40" s="79">
        <f>floors!$C$2</f>
        <v>30030</v>
      </c>
      <c r="C40" s="80" t="str">
        <f ca="1">VLOOKUP($B40,OFFSET([2]quests!$A$1,0,0,COUNTA([2]quests!$A:$A),MATCH(C$1,[2]quests!$1:$1,0)-MATCH($B$1,[2]quests!$1:$1,0)+1),MATCH(C$1,[2]quests!$1:$1,0)-MATCH($B$1,[2]quests!$1:$1,0)+1,FALSE)</f>
        <v>ここは誰の箱庭じゃ？</v>
      </c>
      <c r="D40" s="80" t="str">
        <f ca="1">VLOOKUP($B40,OFFSET([2]quests!$A$1,0,0,COUNTA([2]quests!$A:$A),MATCH(D$1,[2]quests!$1:$1,0)-MATCH($B$1,[2]quests!$1:$1,0)+1),MATCH(D$1,[2]quests!$1:$1,0)-MATCH($B$1,[2]quests!$1:$1,0)+1,FALSE)</f>
        <v>ドロップイベント9（マルチ専用）</v>
      </c>
      <c r="E40" s="84">
        <v>2</v>
      </c>
      <c r="F40" s="80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40" s="80" t="str">
        <f ca="1">VLOOKUP($B40&amp;"_"&amp;$E40,OFFSET([2]stages!$A$1,0,0,COUNTA([2]stages!$A:$A),MATCH(G$1,[2]stages!$2:$2,0)-MATCH("temp_stage",[2]stages!$2:$2,0)+1),MATCH(G$1,[2]stages!$2:$2,0)-MATCH("temp_stage",[2]stages!$2:$2,0)+1,FALSE)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40" s="82">
        <v>0</v>
      </c>
      <c r="I40" s="94">
        <v>11</v>
      </c>
      <c r="J40" s="81" t="s">
        <v>192</v>
      </c>
      <c r="K40" s="90" t="str">
        <f>VLOOKUP(I40,[7]stage_hints!$A:$C,3,FALSE)</f>
        <v>ランク解放クエスト</v>
      </c>
      <c r="L40" s="91" t="str">
        <f>VLOOKUP(I40,[7]stage_hints!$A:$D,4,FALSE)</f>
        <v>一定ランクに到達すると_x000D_報酬付きのランク開放クエストが現れます</v>
      </c>
      <c r="M40" s="54" t="s">
        <v>205</v>
      </c>
    </row>
    <row r="41" spans="1:13" x14ac:dyDescent="0.15">
      <c r="A41" s="78" t="s">
        <v>195</v>
      </c>
      <c r="B41" s="79">
        <f>floors!$C$2</f>
        <v>30030</v>
      </c>
      <c r="C41" s="80" t="str">
        <f ca="1">VLOOKUP($B41,OFFSET([2]quests!$A$1,0,0,COUNTA([2]quests!$A:$A),MATCH(C$1,[2]quests!$1:$1,0)-MATCH($B$1,[2]quests!$1:$1,0)+1),MATCH(C$1,[2]quests!$1:$1,0)-MATCH($B$1,[2]quests!$1:$1,0)+1,FALSE)</f>
        <v>ここは誰の箱庭じゃ？</v>
      </c>
      <c r="D41" s="80" t="str">
        <f ca="1">VLOOKUP($B41,OFFSET([2]quests!$A$1,0,0,COUNTA([2]quests!$A:$A),MATCH(D$1,[2]quests!$1:$1,0)-MATCH($B$1,[2]quests!$1:$1,0)+1),MATCH(D$1,[2]quests!$1:$1,0)-MATCH($B$1,[2]quests!$1:$1,0)+1,FALSE)</f>
        <v>ドロップイベント9（マルチ専用）</v>
      </c>
      <c r="E41" s="84">
        <v>2</v>
      </c>
      <c r="F41" s="80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41" s="80" t="str">
        <f ca="1">VLOOKUP($B41&amp;"_"&amp;$E41,OFFSET([2]stages!$A$1,0,0,COUNTA([2]stages!$A:$A),MATCH(G$1,[2]stages!$2:$2,0)-MATCH("temp_stage",[2]stages!$2:$2,0)+1),MATCH(G$1,[2]stages!$2:$2,0)-MATCH("temp_stage",[2]stages!$2:$2,0)+1,FALSE)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41" s="82">
        <v>0</v>
      </c>
      <c r="I41" s="94">
        <v>12</v>
      </c>
      <c r="J41" s="81" t="s">
        <v>192</v>
      </c>
      <c r="K41" s="90" t="str">
        <f>VLOOKUP(I41,[7]stage_hints!$A:$C,3,FALSE)</f>
        <v>ユニットのお気に入り登録</v>
      </c>
      <c r="L41" s="91" t="str">
        <f>VLOOKUP(I41,[7]stage_hints!$A:$D,4,FALSE)</f>
        <v>大事なユニットを誤って消さないように_x000D_フォルダから「お気に入り登録」しましょう</v>
      </c>
      <c r="M41" s="54" t="s">
        <v>205</v>
      </c>
    </row>
    <row r="42" spans="1:13" x14ac:dyDescent="0.15">
      <c r="A42" s="78" t="s">
        <v>195</v>
      </c>
      <c r="B42" s="79">
        <f>floors!$C$2</f>
        <v>30030</v>
      </c>
      <c r="C42" s="80" t="str">
        <f ca="1">VLOOKUP($B42,OFFSET([2]quests!$A$1,0,0,COUNTA([2]quests!$A:$A),MATCH(C$1,[2]quests!$1:$1,0)-MATCH($B$1,[2]quests!$1:$1,0)+1),MATCH(C$1,[2]quests!$1:$1,0)-MATCH($B$1,[2]quests!$1:$1,0)+1,FALSE)</f>
        <v>ここは誰の箱庭じゃ？</v>
      </c>
      <c r="D42" s="80" t="str">
        <f ca="1">VLOOKUP($B42,OFFSET([2]quests!$A$1,0,0,COUNTA([2]quests!$A:$A),MATCH(D$1,[2]quests!$1:$1,0)-MATCH($B$1,[2]quests!$1:$1,0)+1),MATCH(D$1,[2]quests!$1:$1,0)-MATCH($B$1,[2]quests!$1:$1,0)+1,FALSE)</f>
        <v>ドロップイベント9（マルチ専用）</v>
      </c>
      <c r="E42" s="84">
        <v>2</v>
      </c>
      <c r="F42" s="80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42" s="80" t="str">
        <f ca="1">VLOOKUP($B42&amp;"_"&amp;$E42,OFFSET([2]stages!$A$1,0,0,COUNTA([2]stages!$A:$A),MATCH(G$1,[2]stages!$2:$2,0)-MATCH("temp_stage",[2]stages!$2:$2,0)+1),MATCH(G$1,[2]stages!$2:$2,0)-MATCH("temp_stage",[2]stages!$2:$2,0)+1,FALSE)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42" s="82">
        <v>0</v>
      </c>
      <c r="I42" s="94">
        <v>13</v>
      </c>
      <c r="J42" s="81" t="s">
        <v>192</v>
      </c>
      <c r="K42" s="90" t="str">
        <f>VLOOKUP(I42,[7]stage_hints!$A:$C,3,FALSE)</f>
        <v>ユニットの覚醒</v>
      </c>
      <c r="L42" s="91" t="str">
        <f>VLOOKUP(I42,[7]stage_hints!$A:$D,4,FALSE)</f>
        <v>ユニットを覚醒させると_x000D_比べものにならない強さが手に入ります</v>
      </c>
      <c r="M42" s="54" t="s">
        <v>205</v>
      </c>
    </row>
    <row r="43" spans="1:13" x14ac:dyDescent="0.15">
      <c r="A43" s="78" t="s">
        <v>195</v>
      </c>
      <c r="B43" s="79">
        <f>floors!$C$2</f>
        <v>30030</v>
      </c>
      <c r="C43" s="80" t="str">
        <f ca="1">VLOOKUP($B43,OFFSET([2]quests!$A$1,0,0,COUNTA([2]quests!$A:$A),MATCH(C$1,[2]quests!$1:$1,0)-MATCH($B$1,[2]quests!$1:$1,0)+1),MATCH(C$1,[2]quests!$1:$1,0)-MATCH($B$1,[2]quests!$1:$1,0)+1,FALSE)</f>
        <v>ここは誰の箱庭じゃ？</v>
      </c>
      <c r="D43" s="80" t="str">
        <f ca="1">VLOOKUP($B43,OFFSET([2]quests!$A$1,0,0,COUNTA([2]quests!$A:$A),MATCH(D$1,[2]quests!$1:$1,0)-MATCH($B$1,[2]quests!$1:$1,0)+1),MATCH(D$1,[2]quests!$1:$1,0)-MATCH($B$1,[2]quests!$1:$1,0)+1,FALSE)</f>
        <v>ドロップイベント9（マルチ専用）</v>
      </c>
      <c r="E43" s="84">
        <v>2</v>
      </c>
      <c r="F43" s="80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43" s="80" t="str">
        <f ca="1">VLOOKUP($B43&amp;"_"&amp;$E43,OFFSET([2]stages!$A$1,0,0,COUNTA([2]stages!$A:$A),MATCH(G$1,[2]stages!$2:$2,0)-MATCH("temp_stage",[2]stages!$2:$2,0)+1),MATCH(G$1,[2]stages!$2:$2,0)-MATCH("temp_stage",[2]stages!$2:$2,0)+1,FALSE)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43" s="82">
        <v>0</v>
      </c>
      <c r="I43" s="94">
        <v>14</v>
      </c>
      <c r="J43" s="81" t="s">
        <v>192</v>
      </c>
      <c r="K43" s="90" t="str">
        <f>VLOOKUP(I43,[7]stage_hints!$A:$C,3,FALSE)</f>
        <v>覚醒するにはレベルを最大に</v>
      </c>
      <c r="L43" s="91" t="str">
        <f>VLOOKUP(I43,[7]stage_hints!$A:$D,4,FALSE)</f>
        <v>覚醒するにはユニットのレベルを_x000D_最大まで上げる必要があります</v>
      </c>
      <c r="M43" s="54" t="s">
        <v>205</v>
      </c>
    </row>
    <row r="44" spans="1:13" x14ac:dyDescent="0.15">
      <c r="A44" s="78" t="s">
        <v>195</v>
      </c>
      <c r="B44" s="79">
        <f>floors!$C$2</f>
        <v>30030</v>
      </c>
      <c r="C44" s="80" t="str">
        <f ca="1">VLOOKUP($B44,OFFSET([2]quests!$A$1,0,0,COUNTA([2]quests!$A:$A),MATCH(C$1,[2]quests!$1:$1,0)-MATCH($B$1,[2]quests!$1:$1,0)+1),MATCH(C$1,[2]quests!$1:$1,0)-MATCH($B$1,[2]quests!$1:$1,0)+1,FALSE)</f>
        <v>ここは誰の箱庭じゃ？</v>
      </c>
      <c r="D44" s="80" t="str">
        <f ca="1">VLOOKUP($B44,OFFSET([2]quests!$A$1,0,0,COUNTA([2]quests!$A:$A),MATCH(D$1,[2]quests!$1:$1,0)-MATCH($B$1,[2]quests!$1:$1,0)+1),MATCH(D$1,[2]quests!$1:$1,0)-MATCH($B$1,[2]quests!$1:$1,0)+1,FALSE)</f>
        <v>ドロップイベント9（マルチ専用）</v>
      </c>
      <c r="E44" s="84">
        <v>2</v>
      </c>
      <c r="F44" s="80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44" s="80" t="str">
        <f ca="1">VLOOKUP($B44&amp;"_"&amp;$E44,OFFSET([2]stages!$A$1,0,0,COUNTA([2]stages!$A:$A),MATCH(G$1,[2]stages!$2:$2,0)-MATCH("temp_stage",[2]stages!$2:$2,0)+1),MATCH(G$1,[2]stages!$2:$2,0)-MATCH("temp_stage",[2]stages!$2:$2,0)+1,FALSE)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44" s="82">
        <v>0</v>
      </c>
      <c r="I44" s="94">
        <v>15</v>
      </c>
      <c r="J44" s="81" t="s">
        <v>192</v>
      </c>
      <c r="K44" s="90" t="str">
        <f>VLOOKUP(I44,[7]stage_hints!$A:$C,3,FALSE)</f>
        <v>覚醒素材を獲得</v>
      </c>
      <c r="L44" s="91" t="str">
        <f>VLOOKUP(I44,[7]stage_hints!$A:$D,4,FALSE)</f>
        <v>「曜日クエスト」では_x000D_ユニットの覚醒に必要な素材が手に入ります</v>
      </c>
      <c r="M44" s="54" t="s">
        <v>205</v>
      </c>
    </row>
    <row r="45" spans="1:13" x14ac:dyDescent="0.15">
      <c r="A45" s="78" t="s">
        <v>195</v>
      </c>
      <c r="B45" s="79">
        <f>floors!$C$2</f>
        <v>30030</v>
      </c>
      <c r="C45" s="80" t="str">
        <f ca="1">VLOOKUP($B45,OFFSET([2]quests!$A$1,0,0,COUNTA([2]quests!$A:$A),MATCH(C$1,[2]quests!$1:$1,0)-MATCH($B$1,[2]quests!$1:$1,0)+1),MATCH(C$1,[2]quests!$1:$1,0)-MATCH($B$1,[2]quests!$1:$1,0)+1,FALSE)</f>
        <v>ここは誰の箱庭じゃ？</v>
      </c>
      <c r="D45" s="80" t="str">
        <f ca="1">VLOOKUP($B45,OFFSET([2]quests!$A$1,0,0,COUNTA([2]quests!$A:$A),MATCH(D$1,[2]quests!$1:$1,0)-MATCH($B$1,[2]quests!$1:$1,0)+1),MATCH(D$1,[2]quests!$1:$1,0)-MATCH($B$1,[2]quests!$1:$1,0)+1,FALSE)</f>
        <v>ドロップイベント9（マルチ専用）</v>
      </c>
      <c r="E45" s="84">
        <v>2</v>
      </c>
      <c r="F45" s="80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45" s="80" t="str">
        <f ca="1">VLOOKUP($B45&amp;"_"&amp;$E45,OFFSET([2]stages!$A$1,0,0,COUNTA([2]stages!$A:$A),MATCH(G$1,[2]stages!$2:$2,0)-MATCH("temp_stage",[2]stages!$2:$2,0)+1),MATCH(G$1,[2]stages!$2:$2,0)-MATCH("temp_stage",[2]stages!$2:$2,0)+1,FALSE)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45" s="82">
        <v>0</v>
      </c>
      <c r="I45" s="94">
        <v>16</v>
      </c>
      <c r="J45" s="81" t="s">
        <v>192</v>
      </c>
      <c r="K45" s="90" t="str">
        <f>VLOOKUP(I45,[7]stage_hints!$A:$C,3,FALSE)</f>
        <v>マルチプレイのメリット（その1）</v>
      </c>
      <c r="L45" s="91" t="str">
        <f>VLOOKUP(I45,[7]stage_hints!$A:$D,4,FALSE)</f>
        <v>他のプレイヤーとマルチプレイで遊ぶと_x000D_ポリゴンがもらえます（100人まで）</v>
      </c>
      <c r="M45" s="54" t="s">
        <v>205</v>
      </c>
    </row>
    <row r="46" spans="1:13" x14ac:dyDescent="0.15">
      <c r="A46" s="78" t="s">
        <v>195</v>
      </c>
      <c r="B46" s="79">
        <f>floors!$C$2</f>
        <v>30030</v>
      </c>
      <c r="C46" s="80" t="str">
        <f ca="1">VLOOKUP($B46,OFFSET([2]quests!$A$1,0,0,COUNTA([2]quests!$A:$A),MATCH(C$1,[2]quests!$1:$1,0)-MATCH($B$1,[2]quests!$1:$1,0)+1),MATCH(C$1,[2]quests!$1:$1,0)-MATCH($B$1,[2]quests!$1:$1,0)+1,FALSE)</f>
        <v>ここは誰の箱庭じゃ？</v>
      </c>
      <c r="D46" s="80" t="str">
        <f ca="1">VLOOKUP($B46,OFFSET([2]quests!$A$1,0,0,COUNTA([2]quests!$A:$A),MATCH(D$1,[2]quests!$1:$1,0)-MATCH($B$1,[2]quests!$1:$1,0)+1),MATCH(D$1,[2]quests!$1:$1,0)-MATCH($B$1,[2]quests!$1:$1,0)+1,FALSE)</f>
        <v>ドロップイベント9（マルチ専用）</v>
      </c>
      <c r="E46" s="84">
        <v>2</v>
      </c>
      <c r="F46" s="80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46" s="80" t="str">
        <f ca="1">VLOOKUP($B46&amp;"_"&amp;$E46,OFFSET([2]stages!$A$1,0,0,COUNTA([2]stages!$A:$A),MATCH(G$1,[2]stages!$2:$2,0)-MATCH("temp_stage",[2]stages!$2:$2,0)+1),MATCH(G$1,[2]stages!$2:$2,0)-MATCH("temp_stage",[2]stages!$2:$2,0)+1,FALSE)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46" s="82">
        <v>0</v>
      </c>
      <c r="I46" s="94">
        <v>17</v>
      </c>
      <c r="J46" s="81" t="s">
        <v>192</v>
      </c>
      <c r="K46" s="90" t="str">
        <f>VLOOKUP(I46,[7]stage_hints!$A:$C,3,FALSE)</f>
        <v>リンクガチャ</v>
      </c>
      <c r="L46" s="91" t="str">
        <f>VLOOKUP(I46,[7]stage_hints!$A:$D,4,FALSE)</f>
        <v>無料のリンクガチャを回して_x000D_経験値素材や売却素材を獲得しましょう</v>
      </c>
      <c r="M46" s="54" t="s">
        <v>205</v>
      </c>
    </row>
    <row r="47" spans="1:13" x14ac:dyDescent="0.15">
      <c r="A47" s="78" t="s">
        <v>195</v>
      </c>
      <c r="B47" s="79">
        <f>floors!$C$2</f>
        <v>30030</v>
      </c>
      <c r="C47" s="80" t="str">
        <f ca="1">VLOOKUP($B47,OFFSET([2]quests!$A$1,0,0,COUNTA([2]quests!$A:$A),MATCH(C$1,[2]quests!$1:$1,0)-MATCH($B$1,[2]quests!$1:$1,0)+1),MATCH(C$1,[2]quests!$1:$1,0)-MATCH($B$1,[2]quests!$1:$1,0)+1,FALSE)</f>
        <v>ここは誰の箱庭じゃ？</v>
      </c>
      <c r="D47" s="80" t="str">
        <f ca="1">VLOOKUP($B47,OFFSET([2]quests!$A$1,0,0,COUNTA([2]quests!$A:$A),MATCH(D$1,[2]quests!$1:$1,0)-MATCH($B$1,[2]quests!$1:$1,0)+1),MATCH(D$1,[2]quests!$1:$1,0)-MATCH($B$1,[2]quests!$1:$1,0)+1,FALSE)</f>
        <v>ドロップイベント9（マルチ専用）</v>
      </c>
      <c r="E47" s="84">
        <v>2</v>
      </c>
      <c r="F47" s="80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47" s="80" t="str">
        <f ca="1">VLOOKUP($B47&amp;"_"&amp;$E47,OFFSET([2]stages!$A$1,0,0,COUNTA([2]stages!$A:$A),MATCH(G$1,[2]stages!$2:$2,0)-MATCH("temp_stage",[2]stages!$2:$2,0)+1),MATCH(G$1,[2]stages!$2:$2,0)-MATCH("temp_stage",[2]stages!$2:$2,0)+1,FALSE)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47" s="82">
        <v>0</v>
      </c>
      <c r="I47" s="94">
        <v>18</v>
      </c>
      <c r="J47" s="81" t="s">
        <v>192</v>
      </c>
      <c r="K47" s="90" t="str">
        <f>VLOOKUP(I47,[7]stage_hints!$A:$C,3,FALSE)</f>
        <v>マルチプレイのメリット（その2）</v>
      </c>
      <c r="L47" s="91" t="str">
        <f>VLOOKUP(I47,[7]stage_hints!$A:$D,4,FALSE)</f>
        <v>マルチプレイならリンクが2倍もらえます_x000D_リンクガチャをたくさん回しましょう</v>
      </c>
      <c r="M47" s="54" t="s">
        <v>205</v>
      </c>
    </row>
    <row r="48" spans="1:13" x14ac:dyDescent="0.15">
      <c r="A48" s="78" t="s">
        <v>195</v>
      </c>
      <c r="B48" s="79">
        <f>floors!$C$2</f>
        <v>30030</v>
      </c>
      <c r="C48" s="80" t="str">
        <f ca="1">VLOOKUP($B48,OFFSET([2]quests!$A$1,0,0,COUNTA([2]quests!$A:$A),MATCH(C$1,[2]quests!$1:$1,0)-MATCH($B$1,[2]quests!$1:$1,0)+1),MATCH(C$1,[2]quests!$1:$1,0)-MATCH($B$1,[2]quests!$1:$1,0)+1,FALSE)</f>
        <v>ここは誰の箱庭じゃ？</v>
      </c>
      <c r="D48" s="80" t="str">
        <f ca="1">VLOOKUP($B48,OFFSET([2]quests!$A$1,0,0,COUNTA([2]quests!$A:$A),MATCH(D$1,[2]quests!$1:$1,0)-MATCH($B$1,[2]quests!$1:$1,0)+1),MATCH(D$1,[2]quests!$1:$1,0)-MATCH($B$1,[2]quests!$1:$1,0)+1,FALSE)</f>
        <v>ドロップイベント9（マルチ専用）</v>
      </c>
      <c r="E48" s="84">
        <v>2</v>
      </c>
      <c r="F48" s="80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48" s="80" t="str">
        <f ca="1">VLOOKUP($B48&amp;"_"&amp;$E48,OFFSET([2]stages!$A$1,0,0,COUNTA([2]stages!$A:$A),MATCH(G$1,[2]stages!$2:$2,0)-MATCH("temp_stage",[2]stages!$2:$2,0)+1),MATCH(G$1,[2]stages!$2:$2,0)-MATCH("temp_stage",[2]stages!$2:$2,0)+1,FALSE)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48" s="82">
        <v>0</v>
      </c>
      <c r="I48" s="94">
        <v>19</v>
      </c>
      <c r="J48" s="81" t="s">
        <v>192</v>
      </c>
      <c r="K48" s="90" t="str">
        <f>VLOOKUP(I48,[7]stage_hints!$A:$C,3,FALSE)</f>
        <v>ソロ専用タワーオブザクイーン</v>
      </c>
      <c r="L48" s="91" t="str">
        <f>VLOOKUP(I48,[7]stage_hints!$A:$D,4,FALSE)</f>
        <v>ソロ専用の「タワーオブザクイーン」は_x000D_期間限定で定期的に開催されます_x000D_ここでしか獲得できない報酬もあるようです</v>
      </c>
      <c r="M48" s="54" t="s">
        <v>205</v>
      </c>
    </row>
    <row r="49" spans="1:13" x14ac:dyDescent="0.15">
      <c r="A49" s="78" t="s">
        <v>195</v>
      </c>
      <c r="B49" s="79">
        <f>floors!$C$2</f>
        <v>30030</v>
      </c>
      <c r="C49" s="80" t="str">
        <f ca="1">VLOOKUP($B49,OFFSET([2]quests!$A$1,0,0,COUNTA([2]quests!$A:$A),MATCH(C$1,[2]quests!$1:$1,0)-MATCH($B$1,[2]quests!$1:$1,0)+1),MATCH(C$1,[2]quests!$1:$1,0)-MATCH($B$1,[2]quests!$1:$1,0)+1,FALSE)</f>
        <v>ここは誰の箱庭じゃ？</v>
      </c>
      <c r="D49" s="80" t="str">
        <f ca="1">VLOOKUP($B49,OFFSET([2]quests!$A$1,0,0,COUNTA([2]quests!$A:$A),MATCH(D$1,[2]quests!$1:$1,0)-MATCH($B$1,[2]quests!$1:$1,0)+1),MATCH(D$1,[2]quests!$1:$1,0)-MATCH($B$1,[2]quests!$1:$1,0)+1,FALSE)</f>
        <v>ドロップイベント9（マルチ専用）</v>
      </c>
      <c r="E49" s="84">
        <v>2</v>
      </c>
      <c r="F49" s="80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49" s="80" t="str">
        <f ca="1">VLOOKUP($B49&amp;"_"&amp;$E49,OFFSET([2]stages!$A$1,0,0,COUNTA([2]stages!$A:$A),MATCH(G$1,[2]stages!$2:$2,0)-MATCH("temp_stage",[2]stages!$2:$2,0)+1),MATCH(G$1,[2]stages!$2:$2,0)-MATCH("temp_stage",[2]stages!$2:$2,0)+1,FALSE)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49" s="82">
        <v>0</v>
      </c>
      <c r="I49" s="94">
        <v>20</v>
      </c>
      <c r="J49" s="81" t="s">
        <v>192</v>
      </c>
      <c r="K49" s="90" t="str">
        <f>VLOOKUP(I49,[7]stage_hints!$A:$C,3,FALSE)</f>
        <v>マルチプレイのメリット（その3）</v>
      </c>
      <c r="L49" s="91" t="str">
        <f>VLOOKUP(I49,[7]stage_hints!$A:$D,4,FALSE)</f>
        <v>マルチプレイへの参加はエナジー消費ゼロ_x000D_いつでも好きなだけ遊ぶことができます</v>
      </c>
      <c r="M49" s="54" t="s">
        <v>205</v>
      </c>
    </row>
    <row r="50" spans="1:13" x14ac:dyDescent="0.15">
      <c r="A50" s="78" t="s">
        <v>195</v>
      </c>
      <c r="B50" s="79">
        <f>floors!$C$2</f>
        <v>30030</v>
      </c>
      <c r="C50" s="80" t="str">
        <f ca="1">VLOOKUP($B50,OFFSET([2]quests!$A$1,0,0,COUNTA([2]quests!$A:$A),MATCH(C$1,[2]quests!$1:$1,0)-MATCH($B$1,[2]quests!$1:$1,0)+1),MATCH(C$1,[2]quests!$1:$1,0)-MATCH($B$1,[2]quests!$1:$1,0)+1,FALSE)</f>
        <v>ここは誰の箱庭じゃ？</v>
      </c>
      <c r="D50" s="80" t="str">
        <f ca="1">VLOOKUP($B50,OFFSET([2]quests!$A$1,0,0,COUNTA([2]quests!$A:$A),MATCH(D$1,[2]quests!$1:$1,0)-MATCH($B$1,[2]quests!$1:$1,0)+1),MATCH(D$1,[2]quests!$1:$1,0)-MATCH($B$1,[2]quests!$1:$1,0)+1,FALSE)</f>
        <v>ドロップイベント9（マルチ専用）</v>
      </c>
      <c r="E50" s="84">
        <v>2</v>
      </c>
      <c r="F50" s="80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50" s="80" t="str">
        <f ca="1">VLOOKUP($B50&amp;"_"&amp;$E50,OFFSET([2]stages!$A$1,0,0,COUNTA([2]stages!$A:$A),MATCH(G$1,[2]stages!$2:$2,0)-MATCH("temp_stage",[2]stages!$2:$2,0)+1),MATCH(G$1,[2]stages!$2:$2,0)-MATCH("temp_stage",[2]stages!$2:$2,0)+1,FALSE)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50" s="82">
        <v>0</v>
      </c>
      <c r="I50" s="94">
        <v>21</v>
      </c>
      <c r="J50" s="81" t="s">
        <v>192</v>
      </c>
      <c r="K50" s="90" t="str">
        <f>VLOOKUP(I50,[7]stage_hints!$A:$C,3,FALSE)</f>
        <v>スキルを有効に</v>
      </c>
      <c r="L50" s="91" t="str">
        <f>VLOOKUP(I50,[7]stage_hints!$A:$D,4,FALSE)</f>
        <v>ターン経過でユニットのスキルが使えます_x000D_強力スキルでバトルを有利に進めましょう</v>
      </c>
      <c r="M50" s="54" t="s">
        <v>205</v>
      </c>
    </row>
    <row r="51" spans="1:13" x14ac:dyDescent="0.15">
      <c r="A51" s="78" t="s">
        <v>195</v>
      </c>
      <c r="B51" s="79">
        <f>floors!$C$2</f>
        <v>30030</v>
      </c>
      <c r="C51" s="80" t="str">
        <f ca="1">VLOOKUP($B51,OFFSET([2]quests!$A$1,0,0,COUNTA([2]quests!$A:$A),MATCH(C$1,[2]quests!$1:$1,0)-MATCH($B$1,[2]quests!$1:$1,0)+1),MATCH(C$1,[2]quests!$1:$1,0)-MATCH($B$1,[2]quests!$1:$1,0)+1,FALSE)</f>
        <v>ここは誰の箱庭じゃ？</v>
      </c>
      <c r="D51" s="80" t="str">
        <f ca="1">VLOOKUP($B51,OFFSET([2]quests!$A$1,0,0,COUNTA([2]quests!$A:$A),MATCH(D$1,[2]quests!$1:$1,0)-MATCH($B$1,[2]quests!$1:$1,0)+1),MATCH(D$1,[2]quests!$1:$1,0)-MATCH($B$1,[2]quests!$1:$1,0)+1,FALSE)</f>
        <v>ドロップイベント9（マルチ専用）</v>
      </c>
      <c r="E51" s="84">
        <v>2</v>
      </c>
      <c r="F51" s="80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51" s="80" t="str">
        <f ca="1">VLOOKUP($B51&amp;"_"&amp;$E51,OFFSET([2]stages!$A$1,0,0,COUNTA([2]stages!$A:$A),MATCH(G$1,[2]stages!$2:$2,0)-MATCH("temp_stage",[2]stages!$2:$2,0)+1),MATCH(G$1,[2]stages!$2:$2,0)-MATCH("temp_stage",[2]stages!$2:$2,0)+1,FALSE)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51" s="82">
        <v>0</v>
      </c>
      <c r="I51" s="94">
        <v>22</v>
      </c>
      <c r="J51" s="81" t="s">
        <v>192</v>
      </c>
      <c r="K51" s="90" t="str">
        <f>VLOOKUP(I51,[7]stage_hints!$A:$C,3,FALSE)</f>
        <v>フィーバーで一発逆転（その1）</v>
      </c>
      <c r="L51" s="91" t="str">
        <f>VLOOKUP(I51,[7]stage_hints!$A:$D,4,FALSE)</f>
        <v>フィーバーは攻撃と回復を兼ね備えます_x000D_ピンチからの一発逆転を狙いましょう</v>
      </c>
      <c r="M51" s="54" t="s">
        <v>205</v>
      </c>
    </row>
    <row r="52" spans="1:13" x14ac:dyDescent="0.15">
      <c r="A52" s="78" t="s">
        <v>195</v>
      </c>
      <c r="B52" s="79">
        <f>floors!$C$2</f>
        <v>30030</v>
      </c>
      <c r="C52" s="80" t="str">
        <f ca="1">VLOOKUP($B52,OFFSET([2]quests!$A$1,0,0,COUNTA([2]quests!$A:$A),MATCH(C$1,[2]quests!$1:$1,0)-MATCH($B$1,[2]quests!$1:$1,0)+1),MATCH(C$1,[2]quests!$1:$1,0)-MATCH($B$1,[2]quests!$1:$1,0)+1,FALSE)</f>
        <v>ここは誰の箱庭じゃ？</v>
      </c>
      <c r="D52" s="80" t="str">
        <f ca="1">VLOOKUP($B52,OFFSET([2]quests!$A$1,0,0,COUNTA([2]quests!$A:$A),MATCH(D$1,[2]quests!$1:$1,0)-MATCH($B$1,[2]quests!$1:$1,0)+1),MATCH(D$1,[2]quests!$1:$1,0)-MATCH($B$1,[2]quests!$1:$1,0)+1,FALSE)</f>
        <v>ドロップイベント9（マルチ専用）</v>
      </c>
      <c r="E52" s="84">
        <v>2</v>
      </c>
      <c r="F52" s="80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52" s="80" t="str">
        <f ca="1">VLOOKUP($B52&amp;"_"&amp;$E52,OFFSET([2]stages!$A$1,0,0,COUNTA([2]stages!$A:$A),MATCH(G$1,[2]stages!$2:$2,0)-MATCH("temp_stage",[2]stages!$2:$2,0)+1),MATCH(G$1,[2]stages!$2:$2,0)-MATCH("temp_stage",[2]stages!$2:$2,0)+1,FALSE)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52" s="82">
        <v>0</v>
      </c>
      <c r="I52" s="94">
        <v>23</v>
      </c>
      <c r="J52" s="81" t="s">
        <v>192</v>
      </c>
      <c r="K52" s="90" t="str">
        <f>VLOOKUP(I52,[7]stage_hints!$A:$C,3,FALSE)</f>
        <v>フィーバーで一発逆転（その2）</v>
      </c>
      <c r="L52" s="91" t="str">
        <f>VLOOKUP(I52,[7]stage_hints!$A:$D,4,FALSE)</f>
        <v>フィーバー中は虹色のボムパネルを狙って_x000D_画面上のパネルを一気に破壊しましょう</v>
      </c>
      <c r="M52" s="54" t="s">
        <v>205</v>
      </c>
    </row>
    <row r="53" spans="1:13" x14ac:dyDescent="0.15">
      <c r="A53" s="78" t="s">
        <v>195</v>
      </c>
      <c r="B53" s="79">
        <f>floors!$C$2</f>
        <v>30030</v>
      </c>
      <c r="C53" s="80" t="str">
        <f ca="1">VLOOKUP($B53,OFFSET([2]quests!$A$1,0,0,COUNTA([2]quests!$A:$A),MATCH(C$1,[2]quests!$1:$1,0)-MATCH($B$1,[2]quests!$1:$1,0)+1),MATCH(C$1,[2]quests!$1:$1,0)-MATCH($B$1,[2]quests!$1:$1,0)+1,FALSE)</f>
        <v>ここは誰の箱庭じゃ？</v>
      </c>
      <c r="D53" s="80" t="str">
        <f ca="1">VLOOKUP($B53,OFFSET([2]quests!$A$1,0,0,COUNTA([2]quests!$A:$A),MATCH(D$1,[2]quests!$1:$1,0)-MATCH($B$1,[2]quests!$1:$1,0)+1),MATCH(D$1,[2]quests!$1:$1,0)-MATCH($B$1,[2]quests!$1:$1,0)+1,FALSE)</f>
        <v>ドロップイベント9（マルチ専用）</v>
      </c>
      <c r="E53" s="84">
        <v>2</v>
      </c>
      <c r="F53" s="80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53" s="80" t="str">
        <f ca="1">VLOOKUP($B53&amp;"_"&amp;$E53,OFFSET([2]stages!$A$1,0,0,COUNTA([2]stages!$A:$A),MATCH(G$1,[2]stages!$2:$2,0)-MATCH("temp_stage",[2]stages!$2:$2,0)+1),MATCH(G$1,[2]stages!$2:$2,0)-MATCH("temp_stage",[2]stages!$2:$2,0)+1,FALSE)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53" s="82">
        <v>0</v>
      </c>
      <c r="I53" s="94">
        <v>24</v>
      </c>
      <c r="J53" s="81" t="s">
        <v>192</v>
      </c>
      <c r="K53" s="90" t="str">
        <f>VLOOKUP(I53,[7]stage_hints!$A:$C,3,FALSE)</f>
        <v>果実を使って限界突破</v>
      </c>
      <c r="L53" s="91" t="str">
        <f>VLOOKUP(I53,[7]stage_hints!$A:$D,4,FALSE)</f>
        <v>攻めの果実 癒しの果実_x000D_生命の果実をユニット強化に使うと_x000D_ステータスが限界突破します（計99個迄）</v>
      </c>
      <c r="M53" s="54" t="s">
        <v>205</v>
      </c>
    </row>
    <row r="54" spans="1:13" x14ac:dyDescent="0.15">
      <c r="A54" s="78" t="s">
        <v>195</v>
      </c>
      <c r="B54" s="79">
        <f>floors!$C$2</f>
        <v>30030</v>
      </c>
      <c r="C54" s="80" t="str">
        <f ca="1">VLOOKUP($B54,OFFSET([2]quests!$A$1,0,0,COUNTA([2]quests!$A:$A),MATCH(C$1,[2]quests!$1:$1,0)-MATCH($B$1,[2]quests!$1:$1,0)+1),MATCH(C$1,[2]quests!$1:$1,0)-MATCH($B$1,[2]quests!$1:$1,0)+1,FALSE)</f>
        <v>ここは誰の箱庭じゃ？</v>
      </c>
      <c r="D54" s="80" t="str">
        <f ca="1">VLOOKUP($B54,OFFSET([2]quests!$A$1,0,0,COUNTA([2]quests!$A:$A),MATCH(D$1,[2]quests!$1:$1,0)-MATCH($B$1,[2]quests!$1:$1,0)+1),MATCH(D$1,[2]quests!$1:$1,0)-MATCH($B$1,[2]quests!$1:$1,0)+1,FALSE)</f>
        <v>ドロップイベント9（マルチ専用）</v>
      </c>
      <c r="E54" s="84">
        <v>2</v>
      </c>
      <c r="F54" s="80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54" s="80" t="str">
        <f ca="1">VLOOKUP($B54&amp;"_"&amp;$E54,OFFSET([2]stages!$A$1,0,0,COUNTA([2]stages!$A:$A),MATCH(G$1,[2]stages!$2:$2,0)-MATCH("temp_stage",[2]stages!$2:$2,0)+1),MATCH(G$1,[2]stages!$2:$2,0)-MATCH("temp_stage",[2]stages!$2:$2,0)+1,FALSE)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54" s="82">
        <v>0</v>
      </c>
      <c r="I54" s="94">
        <v>25</v>
      </c>
      <c r="J54" s="81" t="s">
        <v>192</v>
      </c>
      <c r="K54" s="90" t="str">
        <f>VLOOKUP(I54,[7]stage_hints!$A:$C,3,FALSE)</f>
        <v>スキルレベルアップ</v>
      </c>
      <c r="L54" s="91" t="str">
        <f>VLOOKUP(I54,[7]stage_hints!$A:$D,4,FALSE)</f>
        <v>「秘術の果実」を強化に使うと_x000D_スキルレベルを上げることができます</v>
      </c>
      <c r="M54" s="54" t="s">
        <v>205</v>
      </c>
    </row>
    <row r="55" spans="1:13" x14ac:dyDescent="0.15">
      <c r="A55" s="78" t="s">
        <v>195</v>
      </c>
      <c r="B55" s="79">
        <f>floors!$C$2</f>
        <v>30030</v>
      </c>
      <c r="C55" s="80" t="str">
        <f ca="1">VLOOKUP($B55,OFFSET([2]quests!$A$1,0,0,COUNTA([2]quests!$A:$A),MATCH(C$1,[2]quests!$1:$1,0)-MATCH($B$1,[2]quests!$1:$1,0)+1),MATCH(C$1,[2]quests!$1:$1,0)-MATCH($B$1,[2]quests!$1:$1,0)+1,FALSE)</f>
        <v>ここは誰の箱庭じゃ？</v>
      </c>
      <c r="D55" s="80" t="str">
        <f ca="1">VLOOKUP($B55,OFFSET([2]quests!$A$1,0,0,COUNTA([2]quests!$A:$A),MATCH(D$1,[2]quests!$1:$1,0)-MATCH($B$1,[2]quests!$1:$1,0)+1),MATCH(D$1,[2]quests!$1:$1,0)-MATCH($B$1,[2]quests!$1:$1,0)+1,FALSE)</f>
        <v>ドロップイベント9（マルチ専用）</v>
      </c>
      <c r="E55" s="84">
        <v>2</v>
      </c>
      <c r="F55" s="80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55" s="80" t="str">
        <f ca="1">VLOOKUP($B55&amp;"_"&amp;$E55,OFFSET([2]stages!$A$1,0,0,COUNTA([2]stages!$A:$A),MATCH(G$1,[2]stages!$2:$2,0)-MATCH("temp_stage",[2]stages!$2:$2,0)+1),MATCH(G$1,[2]stages!$2:$2,0)-MATCH("temp_stage",[2]stages!$2:$2,0)+1,FALSE)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55" s="82">
        <v>0</v>
      </c>
      <c r="I55" s="94">
        <v>26</v>
      </c>
      <c r="J55" s="81" t="s">
        <v>192</v>
      </c>
      <c r="K55" s="90" t="str">
        <f>VLOOKUP(I55,[7]stage_hints!$A:$C,3,FALSE)</f>
        <v>スキルレベルの効果</v>
      </c>
      <c r="L55" s="91" t="str">
        <f>VLOOKUP(I55,[7]stage_hints!$A:$D,4,FALSE)</f>
        <v>スキルレベルが上がると_x000D_短いターンでスキルを使うことができます</v>
      </c>
      <c r="M55" s="54" t="s">
        <v>205</v>
      </c>
    </row>
    <row r="56" spans="1:13" x14ac:dyDescent="0.15">
      <c r="A56" s="78" t="s">
        <v>195</v>
      </c>
      <c r="B56" s="79">
        <f>floors!$C$2</f>
        <v>30030</v>
      </c>
      <c r="C56" s="80" t="str">
        <f ca="1">VLOOKUP($B56,OFFSET([2]quests!$A$1,0,0,COUNTA([2]quests!$A:$A),MATCH(C$1,[2]quests!$1:$1,0)-MATCH($B$1,[2]quests!$1:$1,0)+1),MATCH(C$1,[2]quests!$1:$1,0)-MATCH($B$1,[2]quests!$1:$1,0)+1,FALSE)</f>
        <v>ここは誰の箱庭じゃ？</v>
      </c>
      <c r="D56" s="80" t="str">
        <f ca="1">VLOOKUP($B56,OFFSET([2]quests!$A$1,0,0,COUNTA([2]quests!$A:$A),MATCH(D$1,[2]quests!$1:$1,0)-MATCH($B$1,[2]quests!$1:$1,0)+1),MATCH(D$1,[2]quests!$1:$1,0)-MATCH($B$1,[2]quests!$1:$1,0)+1,FALSE)</f>
        <v>ドロップイベント9（マルチ専用）</v>
      </c>
      <c r="E56" s="84">
        <v>2</v>
      </c>
      <c r="F56" s="80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56" s="80" t="str">
        <f ca="1">VLOOKUP($B56&amp;"_"&amp;$E56,OFFSET([2]stages!$A$1,0,0,COUNTA([2]stages!$A:$A),MATCH(G$1,[2]stages!$2:$2,0)-MATCH("temp_stage",[2]stages!$2:$2,0)+1),MATCH(G$1,[2]stages!$2:$2,0)-MATCH("temp_stage",[2]stages!$2:$2,0)+1,FALSE)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56" s="82">
        <v>0</v>
      </c>
      <c r="I56" s="94">
        <v>27</v>
      </c>
      <c r="J56" s="81" t="s">
        <v>192</v>
      </c>
      <c r="K56" s="90" t="str">
        <f>VLOOKUP(I56,[7]stage_hints!$A:$C,3,FALSE)</f>
        <v>ホーム画面からデッキを編成</v>
      </c>
      <c r="L56" s="91" t="str">
        <f>VLOOKUP(I56,[7]stage_hints!$A:$D,4,FALSE)</f>
        <v>ホーム画面でユニットを長押しすると_x000D_すぐにパーティ編成に移動できます</v>
      </c>
      <c r="M56" s="54" t="s">
        <v>205</v>
      </c>
    </row>
    <row r="57" spans="1:13" x14ac:dyDescent="0.15">
      <c r="A57" s="78" t="s">
        <v>195</v>
      </c>
      <c r="B57" s="79">
        <f>floors!$C$2</f>
        <v>30030</v>
      </c>
      <c r="C57" s="80" t="str">
        <f ca="1">VLOOKUP($B57,OFFSET([2]quests!$A$1,0,0,COUNTA([2]quests!$A:$A),MATCH(C$1,[2]quests!$1:$1,0)-MATCH($B$1,[2]quests!$1:$1,0)+1),MATCH(C$1,[2]quests!$1:$1,0)-MATCH($B$1,[2]quests!$1:$1,0)+1,FALSE)</f>
        <v>ここは誰の箱庭じゃ？</v>
      </c>
      <c r="D57" s="80" t="str">
        <f ca="1">VLOOKUP($B57,OFFSET([2]quests!$A$1,0,0,COUNTA([2]quests!$A:$A),MATCH(D$1,[2]quests!$1:$1,0)-MATCH($B$1,[2]quests!$1:$1,0)+1),MATCH(D$1,[2]quests!$1:$1,0)-MATCH($B$1,[2]quests!$1:$1,0)+1,FALSE)</f>
        <v>ドロップイベント9（マルチ専用）</v>
      </c>
      <c r="E57" s="84">
        <v>2</v>
      </c>
      <c r="F57" s="80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57" s="80" t="str">
        <f ca="1">VLOOKUP($B57&amp;"_"&amp;$E57,OFFSET([2]stages!$A$1,0,0,COUNTA([2]stages!$A:$A),MATCH(G$1,[2]stages!$2:$2,0)-MATCH("temp_stage",[2]stages!$2:$2,0)+1),MATCH(G$1,[2]stages!$2:$2,0)-MATCH("temp_stage",[2]stages!$2:$2,0)+1,FALSE)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57" s="82">
        <v>0</v>
      </c>
      <c r="I57" s="94">
        <v>28</v>
      </c>
      <c r="J57" s="81" t="s">
        <v>192</v>
      </c>
      <c r="K57" s="90" t="str">
        <f>VLOOKUP(I57,[7]stage_hints!$A:$C,3,FALSE)</f>
        <v>ステータス情報は長押しで</v>
      </c>
      <c r="L57" s="91" t="str">
        <f>VLOOKUP(I57,[7]stage_hints!$A:$D,4,FALSE)</f>
        <v>ユニットのアイコンを長押しすると_x000D_ステータス情報を確認することができます</v>
      </c>
      <c r="M57" s="54" t="s">
        <v>205</v>
      </c>
    </row>
    <row r="58" spans="1:13" x14ac:dyDescent="0.15">
      <c r="A58" s="78" t="s">
        <v>195</v>
      </c>
      <c r="B58" s="79">
        <f>floors!$C$2</f>
        <v>30030</v>
      </c>
      <c r="C58" s="80" t="str">
        <f ca="1">VLOOKUP($B58,OFFSET([2]quests!$A$1,0,0,COUNTA([2]quests!$A:$A),MATCH(C$1,[2]quests!$1:$1,0)-MATCH($B$1,[2]quests!$1:$1,0)+1),MATCH(C$1,[2]quests!$1:$1,0)-MATCH($B$1,[2]quests!$1:$1,0)+1,FALSE)</f>
        <v>ここは誰の箱庭じゃ？</v>
      </c>
      <c r="D58" s="80" t="str">
        <f ca="1">VLOOKUP($B58,OFFSET([2]quests!$A$1,0,0,COUNTA([2]quests!$A:$A),MATCH(D$1,[2]quests!$1:$1,0)-MATCH($B$1,[2]quests!$1:$1,0)+1),MATCH(D$1,[2]quests!$1:$1,0)-MATCH($B$1,[2]quests!$1:$1,0)+1,FALSE)</f>
        <v>ドロップイベント9（マルチ専用）</v>
      </c>
      <c r="E58" s="84">
        <v>2</v>
      </c>
      <c r="F58" s="80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58" s="80" t="str">
        <f ca="1">VLOOKUP($B58&amp;"_"&amp;$E58,OFFSET([2]stages!$A$1,0,0,COUNTA([2]stages!$A:$A),MATCH(G$1,[2]stages!$2:$2,0)-MATCH("temp_stage",[2]stages!$2:$2,0)+1),MATCH(G$1,[2]stages!$2:$2,0)-MATCH("temp_stage",[2]stages!$2:$2,0)+1,FALSE)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58" s="82">
        <v>0</v>
      </c>
      <c r="I58" s="94">
        <v>29</v>
      </c>
      <c r="J58" s="81" t="s">
        <v>192</v>
      </c>
      <c r="K58" s="90" t="str">
        <f>VLOOKUP(I58,[7]stage_hints!$A:$C,3,FALSE)</f>
        <v>「バグ」のメリット</v>
      </c>
      <c r="L58" s="91" t="str">
        <f>VLOOKUP(I58,[7]stage_hints!$A:$D,4,FALSE)</f>
        <v>ユニットの「バグ」を増やすと_x000D_報酬をもらえる確率がアップします</v>
      </c>
      <c r="M58" s="54" t="s">
        <v>205</v>
      </c>
    </row>
    <row r="59" spans="1:13" x14ac:dyDescent="0.15">
      <c r="A59" s="78" t="s">
        <v>195</v>
      </c>
      <c r="B59" s="79">
        <f>floors!$C$2</f>
        <v>30030</v>
      </c>
      <c r="C59" s="80" t="str">
        <f ca="1">VLOOKUP($B59,OFFSET([2]quests!$A$1,0,0,COUNTA([2]quests!$A:$A),MATCH(C$1,[2]quests!$1:$1,0)-MATCH($B$1,[2]quests!$1:$1,0)+1),MATCH(C$1,[2]quests!$1:$1,0)-MATCH($B$1,[2]quests!$1:$1,0)+1,FALSE)</f>
        <v>ここは誰の箱庭じゃ？</v>
      </c>
      <c r="D59" s="80" t="str">
        <f ca="1">VLOOKUP($B59,OFFSET([2]quests!$A$1,0,0,COUNTA([2]quests!$A:$A),MATCH(D$1,[2]quests!$1:$1,0)-MATCH($B$1,[2]quests!$1:$1,0)+1),MATCH(D$1,[2]quests!$1:$1,0)-MATCH($B$1,[2]quests!$1:$1,0)+1,FALSE)</f>
        <v>ドロップイベント9（マルチ専用）</v>
      </c>
      <c r="E59" s="84">
        <v>2</v>
      </c>
      <c r="F59" s="80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59" s="80" t="str">
        <f ca="1">VLOOKUP($B59&amp;"_"&amp;$E59,OFFSET([2]stages!$A$1,0,0,COUNTA([2]stages!$A:$A),MATCH(G$1,[2]stages!$2:$2,0)-MATCH("temp_stage",[2]stages!$2:$2,0)+1),MATCH(G$1,[2]stages!$2:$2,0)-MATCH("temp_stage",[2]stages!$2:$2,0)+1,FALSE)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59" s="82">
        <v>0</v>
      </c>
      <c r="I59" s="94">
        <v>30</v>
      </c>
      <c r="J59" s="81" t="s">
        <v>192</v>
      </c>
      <c r="K59" s="90" t="str">
        <f>VLOOKUP(I59,[7]stage_hints!$A:$C,3,FALSE)</f>
        <v>「バグ」の増やし方</v>
      </c>
      <c r="L59" s="91" t="str">
        <f>VLOOKUP(I59,[7]stage_hints!$A:$D,4,FALSE)</f>
        <v>同じユニット同士を強化で合成すると_x000D_「バグ」を増やすことができます</v>
      </c>
      <c r="M59" s="54" t="s">
        <v>205</v>
      </c>
    </row>
    <row r="60" spans="1:13" x14ac:dyDescent="0.15">
      <c r="A60" s="78" t="s">
        <v>195</v>
      </c>
      <c r="B60" s="79">
        <f>floors!$C$2</f>
        <v>30030</v>
      </c>
      <c r="C60" s="80" t="str">
        <f ca="1">VLOOKUP($B60,OFFSET([2]quests!$A$1,0,0,COUNTA([2]quests!$A:$A),MATCH(C$1,[2]quests!$1:$1,0)-MATCH($B$1,[2]quests!$1:$1,0)+1),MATCH(C$1,[2]quests!$1:$1,0)-MATCH($B$1,[2]quests!$1:$1,0)+1,FALSE)</f>
        <v>ここは誰の箱庭じゃ？</v>
      </c>
      <c r="D60" s="80" t="str">
        <f ca="1">VLOOKUP($B60,OFFSET([2]quests!$A$1,0,0,COUNTA([2]quests!$A:$A),MATCH(D$1,[2]quests!$1:$1,0)-MATCH($B$1,[2]quests!$1:$1,0)+1),MATCH(D$1,[2]quests!$1:$1,0)-MATCH($B$1,[2]quests!$1:$1,0)+1,FALSE)</f>
        <v>ドロップイベント9（マルチ専用）</v>
      </c>
      <c r="E60" s="84">
        <v>2</v>
      </c>
      <c r="F60" s="80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60" s="80" t="str">
        <f ca="1">VLOOKUP($B60&amp;"_"&amp;$E60,OFFSET([2]stages!$A$1,0,0,COUNTA([2]stages!$A:$A),MATCH(G$1,[2]stages!$2:$2,0)-MATCH("temp_stage",[2]stages!$2:$2,0)+1),MATCH(G$1,[2]stages!$2:$2,0)-MATCH("temp_stage",[2]stages!$2:$2,0)+1,FALSE)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60" s="82">
        <v>0</v>
      </c>
      <c r="I60" s="94">
        <v>31</v>
      </c>
      <c r="J60" s="81" t="s">
        <v>192</v>
      </c>
      <c r="K60" s="90" t="str">
        <f>VLOOKUP(I60,[7]stage_hints!$A:$C,3,FALSE)</f>
        <v>イベントはお知らせでチェック</v>
      </c>
      <c r="L60" s="91" t="str">
        <f>VLOOKUP(I60,[7]stage_hints!$A:$D,4,FALSE)</f>
        <v>イベント限定ユニットを取り忘れないように_x000D_お知らせをこまめにチェックしましょう</v>
      </c>
      <c r="M60" s="54" t="s">
        <v>205</v>
      </c>
    </row>
    <row r="61" spans="1:13" x14ac:dyDescent="0.15">
      <c r="A61" s="78" t="s">
        <v>195</v>
      </c>
      <c r="B61" s="79">
        <f>floors!$C$2</f>
        <v>30030</v>
      </c>
      <c r="C61" s="80" t="str">
        <f ca="1">VLOOKUP($B61,OFFSET([2]quests!$A$1,0,0,COUNTA([2]quests!$A:$A),MATCH(C$1,[2]quests!$1:$1,0)-MATCH($B$1,[2]quests!$1:$1,0)+1),MATCH(C$1,[2]quests!$1:$1,0)-MATCH($B$1,[2]quests!$1:$1,0)+1,FALSE)</f>
        <v>ここは誰の箱庭じゃ？</v>
      </c>
      <c r="D61" s="80" t="str">
        <f ca="1">VLOOKUP($B61,OFFSET([2]quests!$A$1,0,0,COUNTA([2]quests!$A:$A),MATCH(D$1,[2]quests!$1:$1,0)-MATCH($B$1,[2]quests!$1:$1,0)+1),MATCH(D$1,[2]quests!$1:$1,0)-MATCH($B$1,[2]quests!$1:$1,0)+1,FALSE)</f>
        <v>ドロップイベント9（マルチ専用）</v>
      </c>
      <c r="E61" s="84">
        <v>2</v>
      </c>
      <c r="F61" s="80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61" s="80" t="str">
        <f ca="1">VLOOKUP($B61&amp;"_"&amp;$E61,OFFSET([2]stages!$A$1,0,0,COUNTA([2]stages!$A:$A),MATCH(G$1,[2]stages!$2:$2,0)-MATCH("temp_stage",[2]stages!$2:$2,0)+1),MATCH(G$1,[2]stages!$2:$2,0)-MATCH("temp_stage",[2]stages!$2:$2,0)+1,FALSE)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61" s="82">
        <v>0</v>
      </c>
      <c r="I61" s="94">
        <v>32</v>
      </c>
      <c r="J61" s="81" t="s">
        <v>192</v>
      </c>
      <c r="K61" s="90" t="str">
        <f>VLOOKUP(I61,[7]stage_hints!$A:$C,3,FALSE)</f>
        <v>敵の連続攻撃には</v>
      </c>
      <c r="L61" s="91" t="str">
        <f>VLOOKUP(I61,[7]stage_hints!$A:$D,4,FALSE)</f>
        <v>カウンタースキルを持つユニットがいれば_x000D_ダメージ回数分の反撃ができます</v>
      </c>
      <c r="M61" s="54" t="s">
        <v>205</v>
      </c>
    </row>
    <row r="62" spans="1:13" x14ac:dyDescent="0.15">
      <c r="A62" s="78" t="s">
        <v>195</v>
      </c>
      <c r="B62" s="79">
        <f>floors!$C$2</f>
        <v>30030</v>
      </c>
      <c r="C62" s="80" t="str">
        <f ca="1">VLOOKUP($B62,OFFSET([2]quests!$A$1,0,0,COUNTA([2]quests!$A:$A),MATCH(C$1,[2]quests!$1:$1,0)-MATCH($B$1,[2]quests!$1:$1,0)+1),MATCH(C$1,[2]quests!$1:$1,0)-MATCH($B$1,[2]quests!$1:$1,0)+1,FALSE)</f>
        <v>ここは誰の箱庭じゃ？</v>
      </c>
      <c r="D62" s="80" t="str">
        <f ca="1">VLOOKUP($B62,OFFSET([2]quests!$A$1,0,0,COUNTA([2]quests!$A:$A),MATCH(D$1,[2]quests!$1:$1,0)-MATCH($B$1,[2]quests!$1:$1,0)+1),MATCH(D$1,[2]quests!$1:$1,0)-MATCH($B$1,[2]quests!$1:$1,0)+1,FALSE)</f>
        <v>ドロップイベント9（マルチ専用）</v>
      </c>
      <c r="E62" s="84">
        <v>2</v>
      </c>
      <c r="F62" s="80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62" s="80" t="str">
        <f ca="1">VLOOKUP($B62&amp;"_"&amp;$E62,OFFSET([2]stages!$A$1,0,0,COUNTA([2]stages!$A:$A),MATCH(G$1,[2]stages!$2:$2,0)-MATCH("temp_stage",[2]stages!$2:$2,0)+1),MATCH(G$1,[2]stages!$2:$2,0)-MATCH("temp_stage",[2]stages!$2:$2,0)+1,FALSE)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62" s="82">
        <v>0</v>
      </c>
      <c r="I62" s="94">
        <v>33</v>
      </c>
      <c r="J62" s="81" t="s">
        <v>192</v>
      </c>
      <c r="K62" s="90" t="str">
        <f>VLOOKUP(I62,[7]stage_hints!$A:$C,3,FALSE)</f>
        <v>敵のカウンター攻撃には</v>
      </c>
      <c r="L62" s="91" t="str">
        <f>VLOOKUP(I62,[7]stage_hints!$A:$D,4,FALSE)</f>
        <v>カウンターブレイクスキルを持っていれば_x000D_敵のカウンターを解除して攻撃ができます</v>
      </c>
      <c r="M62" s="54" t="s">
        <v>205</v>
      </c>
    </row>
    <row r="63" spans="1:13" x14ac:dyDescent="0.15">
      <c r="A63" s="78" t="s">
        <v>195</v>
      </c>
      <c r="B63" s="79">
        <f>floors!$C$2</f>
        <v>30030</v>
      </c>
      <c r="C63" s="80" t="str">
        <f ca="1">VLOOKUP($B63,OFFSET([2]quests!$A$1,0,0,COUNTA([2]quests!$A:$A),MATCH(C$1,[2]quests!$1:$1,0)-MATCH($B$1,[2]quests!$1:$1,0)+1),MATCH(C$1,[2]quests!$1:$1,0)-MATCH($B$1,[2]quests!$1:$1,0)+1,FALSE)</f>
        <v>ここは誰の箱庭じゃ？</v>
      </c>
      <c r="D63" s="80" t="str">
        <f ca="1">VLOOKUP($B63,OFFSET([2]quests!$A$1,0,0,COUNTA([2]quests!$A:$A),MATCH(D$1,[2]quests!$1:$1,0)-MATCH($B$1,[2]quests!$1:$1,0)+1),MATCH(D$1,[2]quests!$1:$1,0)-MATCH($B$1,[2]quests!$1:$1,0)+1,FALSE)</f>
        <v>ドロップイベント9（マルチ専用）</v>
      </c>
      <c r="E63" s="84">
        <v>2</v>
      </c>
      <c r="F63" s="80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63" s="80" t="str">
        <f ca="1">VLOOKUP($B63&amp;"_"&amp;$E63,OFFSET([2]stages!$A$1,0,0,COUNTA([2]stages!$A:$A),MATCH(G$1,[2]stages!$2:$2,0)-MATCH("temp_stage",[2]stages!$2:$2,0)+1),MATCH(G$1,[2]stages!$2:$2,0)-MATCH("temp_stage",[2]stages!$2:$2,0)+1,FALSE)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63" s="82">
        <v>0</v>
      </c>
      <c r="I63" s="94">
        <v>34</v>
      </c>
      <c r="J63" s="81" t="s">
        <v>192</v>
      </c>
      <c r="K63" s="90" t="str">
        <f>VLOOKUP(I63,[7]stage_hints!$A:$C,3,FALSE)</f>
        <v>ステータスをスキルで下げられたら</v>
      </c>
      <c r="L63" s="91" t="str">
        <f>VLOOKUP(I63,[7]stage_hints!$A:$D,4,FALSE)</f>
        <v>ステータスダウンのスキルを受けたら_x000D_ステータスアップスキルで上書きしましょう</v>
      </c>
      <c r="M63" s="54" t="s">
        <v>205</v>
      </c>
    </row>
    <row r="64" spans="1:13" x14ac:dyDescent="0.15">
      <c r="A64" s="78" t="s">
        <v>195</v>
      </c>
      <c r="B64" s="79">
        <f>floors!$C$2</f>
        <v>30030</v>
      </c>
      <c r="C64" s="80" t="str">
        <f ca="1">VLOOKUP($B64,OFFSET([2]quests!$A$1,0,0,COUNTA([2]quests!$A:$A),MATCH(C$1,[2]quests!$1:$1,0)-MATCH($B$1,[2]quests!$1:$1,0)+1),MATCH(C$1,[2]quests!$1:$1,0)-MATCH($B$1,[2]quests!$1:$1,0)+1,FALSE)</f>
        <v>ここは誰の箱庭じゃ？</v>
      </c>
      <c r="D64" s="80" t="str">
        <f ca="1">VLOOKUP($B64,OFFSET([2]quests!$A$1,0,0,COUNTA([2]quests!$A:$A),MATCH(D$1,[2]quests!$1:$1,0)-MATCH($B$1,[2]quests!$1:$1,0)+1),MATCH(D$1,[2]quests!$1:$1,0)-MATCH($B$1,[2]quests!$1:$1,0)+1,FALSE)</f>
        <v>ドロップイベント9（マルチ専用）</v>
      </c>
      <c r="E64" s="84">
        <v>2</v>
      </c>
      <c r="F64" s="80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64" s="80" t="str">
        <f ca="1">VLOOKUP($B64&amp;"_"&amp;$E64,OFFSET([2]stages!$A$1,0,0,COUNTA([2]stages!$A:$A),MATCH(G$1,[2]stages!$2:$2,0)-MATCH("temp_stage",[2]stages!$2:$2,0)+1),MATCH(G$1,[2]stages!$2:$2,0)-MATCH("temp_stage",[2]stages!$2:$2,0)+1,FALSE)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64" s="82">
        <v>0</v>
      </c>
      <c r="I64" s="94">
        <v>35</v>
      </c>
      <c r="J64" s="81" t="s">
        <v>192</v>
      </c>
      <c r="K64" s="90" t="str">
        <f>VLOOKUP(I64,[7]stage_hints!$A:$C,3,FALSE)</f>
        <v>敵のステータスがスキルで上がったら</v>
      </c>
      <c r="L64" s="91" t="str">
        <f>VLOOKUP(I64,[7]stage_hints!$A:$D,4,FALSE)</f>
        <v>敵のステータスがスキルでアップしたときは_x000D_ステータスダウンスキルで上書きしましょう</v>
      </c>
      <c r="M64" s="54" t="s">
        <v>205</v>
      </c>
    </row>
    <row r="65" spans="1:13" x14ac:dyDescent="0.15">
      <c r="A65" s="78" t="s">
        <v>195</v>
      </c>
      <c r="B65" s="79">
        <f>floors!$C$2</f>
        <v>30030</v>
      </c>
      <c r="C65" s="80" t="str">
        <f ca="1">VLOOKUP($B65,OFFSET([2]quests!$A$1,0,0,COUNTA([2]quests!$A:$A),MATCH(C$1,[2]quests!$1:$1,0)-MATCH($B$1,[2]quests!$1:$1,0)+1),MATCH(C$1,[2]quests!$1:$1,0)-MATCH($B$1,[2]quests!$1:$1,0)+1,FALSE)</f>
        <v>ここは誰の箱庭じゃ？</v>
      </c>
      <c r="D65" s="80" t="str">
        <f ca="1">VLOOKUP($B65,OFFSET([2]quests!$A$1,0,0,COUNTA([2]quests!$A:$A),MATCH(D$1,[2]quests!$1:$1,0)-MATCH($B$1,[2]quests!$1:$1,0)+1),MATCH(D$1,[2]quests!$1:$1,0)-MATCH($B$1,[2]quests!$1:$1,0)+1,FALSE)</f>
        <v>ドロップイベント9（マルチ専用）</v>
      </c>
      <c r="E65" s="84">
        <v>2</v>
      </c>
      <c r="F65" s="80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65" s="80" t="str">
        <f ca="1">VLOOKUP($B65&amp;"_"&amp;$E65,OFFSET([2]stages!$A$1,0,0,COUNTA([2]stages!$A:$A),MATCH(G$1,[2]stages!$2:$2,0)-MATCH("temp_stage",[2]stages!$2:$2,0)+1),MATCH(G$1,[2]stages!$2:$2,0)-MATCH("temp_stage",[2]stages!$2:$2,0)+1,FALSE)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65" s="82">
        <v>0</v>
      </c>
      <c r="I65" s="94">
        <v>36</v>
      </c>
      <c r="J65" s="81" t="s">
        <v>192</v>
      </c>
      <c r="K65" s="90" t="str">
        <f>VLOOKUP(I65,[7]stage_hints!$A:$C,3,FALSE)</f>
        <v>タワーオブザクイーンのボス</v>
      </c>
      <c r="L65" s="91" t="str">
        <f>VLOOKUP(I65,[7]stage_hints!$A:$D,4,FALSE)</f>
        <v>「タワーオブザクイーン」最上階のボスは_x000D_15階の初回クリア報酬で獲得できるほか_x000D_その階にて低確率でドロップもします</v>
      </c>
      <c r="M65" s="54" t="s">
        <v>205</v>
      </c>
    </row>
    <row r="66" spans="1:13" x14ac:dyDescent="0.15">
      <c r="A66" s="78" t="s">
        <v>195</v>
      </c>
      <c r="B66" s="79">
        <f>floors!$C$2</f>
        <v>30030</v>
      </c>
      <c r="C66" s="80" t="str">
        <f ca="1">VLOOKUP($B66,OFFSET([2]quests!$A$1,0,0,COUNTA([2]quests!$A:$A),MATCH(C$1,[2]quests!$1:$1,0)-MATCH($B$1,[2]quests!$1:$1,0)+1),MATCH(C$1,[2]quests!$1:$1,0)-MATCH($B$1,[2]quests!$1:$1,0)+1,FALSE)</f>
        <v>ここは誰の箱庭じゃ？</v>
      </c>
      <c r="D66" s="80" t="str">
        <f ca="1">VLOOKUP($B66,OFFSET([2]quests!$A$1,0,0,COUNTA([2]quests!$A:$A),MATCH(D$1,[2]quests!$1:$1,0)-MATCH($B$1,[2]quests!$1:$1,0)+1),MATCH(D$1,[2]quests!$1:$1,0)-MATCH($B$1,[2]quests!$1:$1,0)+1,FALSE)</f>
        <v>ドロップイベント9（マルチ専用）</v>
      </c>
      <c r="E66" s="84">
        <v>2</v>
      </c>
      <c r="F66" s="80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66" s="80" t="str">
        <f ca="1">VLOOKUP($B66&amp;"_"&amp;$E66,OFFSET([2]stages!$A$1,0,0,COUNTA([2]stages!$A:$A),MATCH(G$1,[2]stages!$2:$2,0)-MATCH("temp_stage",[2]stages!$2:$2,0)+1),MATCH(G$1,[2]stages!$2:$2,0)-MATCH("temp_stage",[2]stages!$2:$2,0)+1,FALSE)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66" s="82">
        <v>0</v>
      </c>
      <c r="I66" s="94">
        <v>37</v>
      </c>
      <c r="J66" s="81" t="s">
        <v>192</v>
      </c>
      <c r="K66" s="90" t="str">
        <f>VLOOKUP(I66,[7]stage_hints!$A:$C,3,FALSE)</f>
        <v>限界突破値の引き継ぎ</v>
      </c>
      <c r="L66" s="91" t="str">
        <f>VLOOKUP(I66,[7]stage_hints!$A:$D,4,FALSE)</f>
        <v>同じユニットを強化で合成すると_x000D_限界突破値を引き継げます（覚醒前後も可）</v>
      </c>
      <c r="M66" s="54" t="s">
        <v>205</v>
      </c>
    </row>
    <row r="67" spans="1:13" x14ac:dyDescent="0.15">
      <c r="A67" s="78" t="s">
        <v>195</v>
      </c>
      <c r="B67" s="79">
        <f>floors!$C$2</f>
        <v>30030</v>
      </c>
      <c r="C67" s="80" t="str">
        <f ca="1">VLOOKUP($B67,OFFSET([2]quests!$A$1,0,0,COUNTA([2]quests!$A:$A),MATCH(C$1,[2]quests!$1:$1,0)-MATCH($B$1,[2]quests!$1:$1,0)+1),MATCH(C$1,[2]quests!$1:$1,0)-MATCH($B$1,[2]quests!$1:$1,0)+1,FALSE)</f>
        <v>ここは誰の箱庭じゃ？</v>
      </c>
      <c r="D67" s="80" t="str">
        <f ca="1">VLOOKUP($B67,OFFSET([2]quests!$A$1,0,0,COUNTA([2]quests!$A:$A),MATCH(D$1,[2]quests!$1:$1,0)-MATCH($B$1,[2]quests!$1:$1,0)+1),MATCH(D$1,[2]quests!$1:$1,0)-MATCH($B$1,[2]quests!$1:$1,0)+1,FALSE)</f>
        <v>ドロップイベント9（マルチ専用）</v>
      </c>
      <c r="E67" s="84">
        <v>2</v>
      </c>
      <c r="F67" s="80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67" s="80" t="str">
        <f ca="1">VLOOKUP($B67&amp;"_"&amp;$E67,OFFSET([2]stages!$A$1,0,0,COUNTA([2]stages!$A:$A),MATCH(G$1,[2]stages!$2:$2,0)-MATCH("temp_stage",[2]stages!$2:$2,0)+1),MATCH(G$1,[2]stages!$2:$2,0)-MATCH("temp_stage",[2]stages!$2:$2,0)+1,FALSE)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67" s="82">
        <v>0</v>
      </c>
      <c r="I67" s="94">
        <v>39</v>
      </c>
      <c r="J67" s="81" t="s">
        <v>192</v>
      </c>
      <c r="K67" s="90" t="str">
        <f>VLOOKUP(I67,[7]stage_hints!$A:$C,3,FALSE)</f>
        <v>システム適合者を確認</v>
      </c>
      <c r="L67" s="91" t="str">
        <f>VLOOKUP(I67,[7]stage_hints!$A:$D,4,FALSE)</f>
        <v>ALICEが 「アナタ」を呼んでいます</v>
      </c>
      <c r="M67" s="54" t="s">
        <v>205</v>
      </c>
    </row>
    <row r="68" spans="1:13" x14ac:dyDescent="0.15">
      <c r="A68" s="78" t="s">
        <v>195</v>
      </c>
      <c r="B68" s="79">
        <f>floors!$C$2</f>
        <v>30030</v>
      </c>
      <c r="C68" s="80" t="str">
        <f ca="1">VLOOKUP($B68,OFFSET([2]quests!$A$1,0,0,COUNTA([2]quests!$A:$A),MATCH(C$1,[2]quests!$1:$1,0)-MATCH($B$1,[2]quests!$1:$1,0)+1),MATCH(C$1,[2]quests!$1:$1,0)-MATCH($B$1,[2]quests!$1:$1,0)+1,FALSE)</f>
        <v>ここは誰の箱庭じゃ？</v>
      </c>
      <c r="D68" s="80" t="str">
        <f ca="1">VLOOKUP($B68,OFFSET([2]quests!$A$1,0,0,COUNTA([2]quests!$A:$A),MATCH(D$1,[2]quests!$1:$1,0)-MATCH($B$1,[2]quests!$1:$1,0)+1),MATCH(D$1,[2]quests!$1:$1,0)-MATCH($B$1,[2]quests!$1:$1,0)+1,FALSE)</f>
        <v>ドロップイベント9（マルチ専用）</v>
      </c>
      <c r="E68" s="84">
        <v>3</v>
      </c>
      <c r="F68" s="80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【超級】ここは誰の箱庭じゃ？</v>
      </c>
      <c r="G68" s="80" t="str">
        <f ca="1">VLOOKUP($B68&amp;"_"&amp;$E68,OFFSET([2]stages!$A$1,0,0,COUNTA([2]stages!$A:$A),MATCH(G$1,[2]stages!$2:$2,0)-MATCH("temp_stage",[2]stages!$2:$2,0)+1),MATCH(G$1,[2]stages!$2:$2,0)-MATCH("temp_stage",[2]stages!$2:$2,0)+1,FALSE)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68" s="82">
        <v>0</v>
      </c>
      <c r="I68">
        <v>12</v>
      </c>
      <c r="J68" s="81" t="s">
        <v>192</v>
      </c>
      <c r="K68" s="90" t="str">
        <f>VLOOKUP(I68,[7]stage_hints!$A:$C,3,FALSE)</f>
        <v>ユニットのお気に入り登録</v>
      </c>
      <c r="L68" s="91" t="str">
        <f>VLOOKUP(I68,[7]stage_hints!$A:$D,4,FALSE)</f>
        <v>大事なユニットを誤って消さないように_x000D_フォルダから「お気に入り登録」しましょう</v>
      </c>
      <c r="M68" s="54" t="s">
        <v>205</v>
      </c>
    </row>
    <row r="69" spans="1:13" x14ac:dyDescent="0.15">
      <c r="A69" s="78" t="s">
        <v>195</v>
      </c>
      <c r="B69" s="79">
        <f>floors!$C$2</f>
        <v>30030</v>
      </c>
      <c r="C69" s="80" t="str">
        <f ca="1">VLOOKUP($B69,OFFSET([2]quests!$A$1,0,0,COUNTA([2]quests!$A:$A),MATCH(C$1,[2]quests!$1:$1,0)-MATCH($B$1,[2]quests!$1:$1,0)+1),MATCH(C$1,[2]quests!$1:$1,0)-MATCH($B$1,[2]quests!$1:$1,0)+1,FALSE)</f>
        <v>ここは誰の箱庭じゃ？</v>
      </c>
      <c r="D69" s="80" t="str">
        <f ca="1">VLOOKUP($B69,OFFSET([2]quests!$A$1,0,0,COUNTA([2]quests!$A:$A),MATCH(D$1,[2]quests!$1:$1,0)-MATCH($B$1,[2]quests!$1:$1,0)+1),MATCH(D$1,[2]quests!$1:$1,0)-MATCH($B$1,[2]quests!$1:$1,0)+1,FALSE)</f>
        <v>ドロップイベント9（マルチ専用）</v>
      </c>
      <c r="E69" s="84">
        <v>3</v>
      </c>
      <c r="F69" s="80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【超級】ここは誰の箱庭じゃ？</v>
      </c>
      <c r="G69" s="80" t="str">
        <f ca="1">VLOOKUP($B69&amp;"_"&amp;$E69,OFFSET([2]stages!$A$1,0,0,COUNTA([2]stages!$A:$A),MATCH(G$1,[2]stages!$2:$2,0)-MATCH("temp_stage",[2]stages!$2:$2,0)+1),MATCH(G$1,[2]stages!$2:$2,0)-MATCH("temp_stage",[2]stages!$2:$2,0)+1,FALSE)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69" s="82">
        <v>0</v>
      </c>
      <c r="I69">
        <v>17</v>
      </c>
      <c r="J69" s="81" t="s">
        <v>192</v>
      </c>
      <c r="K69" s="90" t="str">
        <f>VLOOKUP(I69,[7]stage_hints!$A:$C,3,FALSE)</f>
        <v>リンクガチャ</v>
      </c>
      <c r="L69" s="91" t="str">
        <f>VLOOKUP(I69,[7]stage_hints!$A:$D,4,FALSE)</f>
        <v>無料のリンクガチャを回して_x000D_経験値素材や売却素材を獲得しましょう</v>
      </c>
      <c r="M69" s="54" t="s">
        <v>205</v>
      </c>
    </row>
    <row r="70" spans="1:13" x14ac:dyDescent="0.15">
      <c r="A70" s="78" t="s">
        <v>195</v>
      </c>
      <c r="B70" s="79">
        <f>floors!$C$2</f>
        <v>30030</v>
      </c>
      <c r="C70" s="80" t="str">
        <f ca="1">VLOOKUP($B70,OFFSET([2]quests!$A$1,0,0,COUNTA([2]quests!$A:$A),MATCH(C$1,[2]quests!$1:$1,0)-MATCH($B$1,[2]quests!$1:$1,0)+1),MATCH(C$1,[2]quests!$1:$1,0)-MATCH($B$1,[2]quests!$1:$1,0)+1,FALSE)</f>
        <v>ここは誰の箱庭じゃ？</v>
      </c>
      <c r="D70" s="80" t="str">
        <f ca="1">VLOOKUP($B70,OFFSET([2]quests!$A$1,0,0,COUNTA([2]quests!$A:$A),MATCH(D$1,[2]quests!$1:$1,0)-MATCH($B$1,[2]quests!$1:$1,0)+1),MATCH(D$1,[2]quests!$1:$1,0)-MATCH($B$1,[2]quests!$1:$1,0)+1,FALSE)</f>
        <v>ドロップイベント9（マルチ専用）</v>
      </c>
      <c r="E70" s="84">
        <v>3</v>
      </c>
      <c r="F70" s="80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【超級】ここは誰の箱庭じゃ？</v>
      </c>
      <c r="G70" s="80" t="str">
        <f ca="1">VLOOKUP($B70&amp;"_"&amp;$E70,OFFSET([2]stages!$A$1,0,0,COUNTA([2]stages!$A:$A),MATCH(G$1,[2]stages!$2:$2,0)-MATCH("temp_stage",[2]stages!$2:$2,0)+1),MATCH(G$1,[2]stages!$2:$2,0)-MATCH("temp_stage",[2]stages!$2:$2,0)+1,FALSE)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70" s="82">
        <v>0</v>
      </c>
      <c r="I70">
        <v>19</v>
      </c>
      <c r="J70" s="81" t="s">
        <v>192</v>
      </c>
      <c r="K70" s="90" t="str">
        <f>VLOOKUP(I70,[7]stage_hints!$A:$C,3,FALSE)</f>
        <v>ソロ専用タワーオブザクイーン</v>
      </c>
      <c r="L70" s="91" t="str">
        <f>VLOOKUP(I70,[7]stage_hints!$A:$D,4,FALSE)</f>
        <v>ソロ専用の「タワーオブザクイーン」は_x000D_期間限定で定期的に開催されます_x000D_ここでしか獲得できない報酬もあるようです</v>
      </c>
      <c r="M70" s="54" t="s">
        <v>205</v>
      </c>
    </row>
    <row r="71" spans="1:13" x14ac:dyDescent="0.15">
      <c r="A71" s="78" t="s">
        <v>195</v>
      </c>
      <c r="B71" s="79">
        <f>floors!$C$2</f>
        <v>30030</v>
      </c>
      <c r="C71" s="80" t="str">
        <f ca="1">VLOOKUP($B71,OFFSET([2]quests!$A$1,0,0,COUNTA([2]quests!$A:$A),MATCH(C$1,[2]quests!$1:$1,0)-MATCH($B$1,[2]quests!$1:$1,0)+1),MATCH(C$1,[2]quests!$1:$1,0)-MATCH($B$1,[2]quests!$1:$1,0)+1,FALSE)</f>
        <v>ここは誰の箱庭じゃ？</v>
      </c>
      <c r="D71" s="80" t="str">
        <f ca="1">VLOOKUP($B71,OFFSET([2]quests!$A$1,0,0,COUNTA([2]quests!$A:$A),MATCH(D$1,[2]quests!$1:$1,0)-MATCH($B$1,[2]quests!$1:$1,0)+1),MATCH(D$1,[2]quests!$1:$1,0)-MATCH($B$1,[2]quests!$1:$1,0)+1,FALSE)</f>
        <v>ドロップイベント9（マルチ専用）</v>
      </c>
      <c r="E71" s="84">
        <v>3</v>
      </c>
      <c r="F71" s="80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【超級】ここは誰の箱庭じゃ？</v>
      </c>
      <c r="G71" s="80" t="str">
        <f ca="1">VLOOKUP($B71&amp;"_"&amp;$E71,OFFSET([2]stages!$A$1,0,0,COUNTA([2]stages!$A:$A),MATCH(G$1,[2]stages!$2:$2,0)-MATCH("temp_stage",[2]stages!$2:$2,0)+1),MATCH(G$1,[2]stages!$2:$2,0)-MATCH("temp_stage",[2]stages!$2:$2,0)+1,FALSE)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71" s="82">
        <v>0</v>
      </c>
      <c r="I71">
        <v>21</v>
      </c>
      <c r="J71" s="81" t="s">
        <v>192</v>
      </c>
      <c r="K71" s="90" t="str">
        <f>VLOOKUP(I71,[7]stage_hints!$A:$C,3,FALSE)</f>
        <v>スキルを有効に</v>
      </c>
      <c r="L71" s="91" t="str">
        <f>VLOOKUP(I71,[7]stage_hints!$A:$D,4,FALSE)</f>
        <v>ターン経過でユニットのスキルが使えます_x000D_強力スキルでバトルを有利に進めましょう</v>
      </c>
      <c r="M71" s="54" t="s">
        <v>205</v>
      </c>
    </row>
    <row r="72" spans="1:13" x14ac:dyDescent="0.15">
      <c r="A72" s="78" t="s">
        <v>195</v>
      </c>
      <c r="B72" s="79">
        <f>floors!$C$2</f>
        <v>30030</v>
      </c>
      <c r="C72" s="80" t="str">
        <f ca="1">VLOOKUP($B72,OFFSET([2]quests!$A$1,0,0,COUNTA([2]quests!$A:$A),MATCH(C$1,[2]quests!$1:$1,0)-MATCH($B$1,[2]quests!$1:$1,0)+1),MATCH(C$1,[2]quests!$1:$1,0)-MATCH($B$1,[2]quests!$1:$1,0)+1,FALSE)</f>
        <v>ここは誰の箱庭じゃ？</v>
      </c>
      <c r="D72" s="80" t="str">
        <f ca="1">VLOOKUP($B72,OFFSET([2]quests!$A$1,0,0,COUNTA([2]quests!$A:$A),MATCH(D$1,[2]quests!$1:$1,0)-MATCH($B$1,[2]quests!$1:$1,0)+1),MATCH(D$1,[2]quests!$1:$1,0)-MATCH($B$1,[2]quests!$1:$1,0)+1,FALSE)</f>
        <v>ドロップイベント9（マルチ専用）</v>
      </c>
      <c r="E72" s="84">
        <v>3</v>
      </c>
      <c r="F72" s="80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【超級】ここは誰の箱庭じゃ？</v>
      </c>
      <c r="G72" s="80" t="str">
        <f ca="1">VLOOKUP($B72&amp;"_"&amp;$E72,OFFSET([2]stages!$A$1,0,0,COUNTA([2]stages!$A:$A),MATCH(G$1,[2]stages!$2:$2,0)-MATCH("temp_stage",[2]stages!$2:$2,0)+1),MATCH(G$1,[2]stages!$2:$2,0)-MATCH("temp_stage",[2]stages!$2:$2,0)+1,FALSE)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72" s="82">
        <v>0</v>
      </c>
      <c r="I72">
        <v>27</v>
      </c>
      <c r="J72" s="81" t="s">
        <v>192</v>
      </c>
      <c r="K72" s="90" t="str">
        <f>VLOOKUP(I72,[7]stage_hints!$A:$C,3,FALSE)</f>
        <v>ホーム画面からデッキを編成</v>
      </c>
      <c r="L72" s="91" t="str">
        <f>VLOOKUP(I72,[7]stage_hints!$A:$D,4,FALSE)</f>
        <v>ホーム画面でユニットを長押しすると_x000D_すぐにパーティ編成に移動できます</v>
      </c>
      <c r="M72" s="54" t="s">
        <v>205</v>
      </c>
    </row>
    <row r="73" spans="1:13" x14ac:dyDescent="0.15">
      <c r="A73" s="78" t="s">
        <v>195</v>
      </c>
      <c r="B73" s="79">
        <f>floors!$C$2</f>
        <v>30030</v>
      </c>
      <c r="C73" s="80" t="str">
        <f ca="1">VLOOKUP($B73,OFFSET([2]quests!$A$1,0,0,COUNTA([2]quests!$A:$A),MATCH(C$1,[2]quests!$1:$1,0)-MATCH($B$1,[2]quests!$1:$1,0)+1),MATCH(C$1,[2]quests!$1:$1,0)-MATCH($B$1,[2]quests!$1:$1,0)+1,FALSE)</f>
        <v>ここは誰の箱庭じゃ？</v>
      </c>
      <c r="D73" s="80" t="str">
        <f ca="1">VLOOKUP($B73,OFFSET([2]quests!$A$1,0,0,COUNTA([2]quests!$A:$A),MATCH(D$1,[2]quests!$1:$1,0)-MATCH($B$1,[2]quests!$1:$1,0)+1),MATCH(D$1,[2]quests!$1:$1,0)-MATCH($B$1,[2]quests!$1:$1,0)+1,FALSE)</f>
        <v>ドロップイベント9（マルチ専用）</v>
      </c>
      <c r="E73" s="84">
        <v>3</v>
      </c>
      <c r="F73" s="80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【超級】ここは誰の箱庭じゃ？</v>
      </c>
      <c r="G73" s="80" t="str">
        <f ca="1">VLOOKUP($B73&amp;"_"&amp;$E73,OFFSET([2]stages!$A$1,0,0,COUNTA([2]stages!$A:$A),MATCH(G$1,[2]stages!$2:$2,0)-MATCH("temp_stage",[2]stages!$2:$2,0)+1),MATCH(G$1,[2]stages!$2:$2,0)-MATCH("temp_stage",[2]stages!$2:$2,0)+1,FALSE)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73" s="82">
        <v>0</v>
      </c>
      <c r="I73">
        <v>28</v>
      </c>
      <c r="J73" s="81" t="s">
        <v>192</v>
      </c>
      <c r="K73" s="90" t="str">
        <f>VLOOKUP(I73,[7]stage_hints!$A:$C,3,FALSE)</f>
        <v>ステータス情報は長押しで</v>
      </c>
      <c r="L73" s="91" t="str">
        <f>VLOOKUP(I73,[7]stage_hints!$A:$D,4,FALSE)</f>
        <v>ユニットのアイコンを長押しすると_x000D_ステータス情報を確認することができます</v>
      </c>
      <c r="M73" s="54" t="s">
        <v>205</v>
      </c>
    </row>
    <row r="74" spans="1:13" x14ac:dyDescent="0.15">
      <c r="A74" s="78" t="s">
        <v>195</v>
      </c>
      <c r="B74" s="79">
        <f>floors!$C$2</f>
        <v>30030</v>
      </c>
      <c r="C74" s="80" t="str">
        <f ca="1">VLOOKUP($B74,OFFSET([2]quests!$A$1,0,0,COUNTA([2]quests!$A:$A),MATCH(C$1,[2]quests!$1:$1,0)-MATCH($B$1,[2]quests!$1:$1,0)+1),MATCH(C$1,[2]quests!$1:$1,0)-MATCH($B$1,[2]quests!$1:$1,0)+1,FALSE)</f>
        <v>ここは誰の箱庭じゃ？</v>
      </c>
      <c r="D74" s="80" t="str">
        <f ca="1">VLOOKUP($B74,OFFSET([2]quests!$A$1,0,0,COUNTA([2]quests!$A:$A),MATCH(D$1,[2]quests!$1:$1,0)-MATCH($B$1,[2]quests!$1:$1,0)+1),MATCH(D$1,[2]quests!$1:$1,0)-MATCH($B$1,[2]quests!$1:$1,0)+1,FALSE)</f>
        <v>ドロップイベント9（マルチ専用）</v>
      </c>
      <c r="E74" s="84">
        <v>3</v>
      </c>
      <c r="F74" s="80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【超級】ここは誰の箱庭じゃ？</v>
      </c>
      <c r="G74" s="80" t="str">
        <f ca="1">VLOOKUP($B74&amp;"_"&amp;$E74,OFFSET([2]stages!$A$1,0,0,COUNTA([2]stages!$A:$A),MATCH(G$1,[2]stages!$2:$2,0)-MATCH("temp_stage",[2]stages!$2:$2,0)+1),MATCH(G$1,[2]stages!$2:$2,0)-MATCH("temp_stage",[2]stages!$2:$2,0)+1,FALSE)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74" s="82">
        <v>0</v>
      </c>
      <c r="I74">
        <v>29</v>
      </c>
      <c r="J74" s="81" t="s">
        <v>192</v>
      </c>
      <c r="K74" s="90" t="str">
        <f>VLOOKUP(I74,[7]stage_hints!$A:$C,3,FALSE)</f>
        <v>「バグ」のメリット</v>
      </c>
      <c r="L74" s="91" t="str">
        <f>VLOOKUP(I74,[7]stage_hints!$A:$D,4,FALSE)</f>
        <v>ユニットの「バグ」を増やすと_x000D_報酬をもらえる確率がアップします</v>
      </c>
      <c r="M74" s="54" t="s">
        <v>205</v>
      </c>
    </row>
    <row r="75" spans="1:13" x14ac:dyDescent="0.15">
      <c r="A75" s="78" t="s">
        <v>195</v>
      </c>
      <c r="B75" s="79">
        <f>floors!$C$2</f>
        <v>30030</v>
      </c>
      <c r="C75" s="80" t="str">
        <f ca="1">VLOOKUP($B75,OFFSET([2]quests!$A$1,0,0,COUNTA([2]quests!$A:$A),MATCH(C$1,[2]quests!$1:$1,0)-MATCH($B$1,[2]quests!$1:$1,0)+1),MATCH(C$1,[2]quests!$1:$1,0)-MATCH($B$1,[2]quests!$1:$1,0)+1,FALSE)</f>
        <v>ここは誰の箱庭じゃ？</v>
      </c>
      <c r="D75" s="80" t="str">
        <f ca="1">VLOOKUP($B75,OFFSET([2]quests!$A$1,0,0,COUNTA([2]quests!$A:$A),MATCH(D$1,[2]quests!$1:$1,0)-MATCH($B$1,[2]quests!$1:$1,0)+1),MATCH(D$1,[2]quests!$1:$1,0)-MATCH($B$1,[2]quests!$1:$1,0)+1,FALSE)</f>
        <v>ドロップイベント9（マルチ専用）</v>
      </c>
      <c r="E75" s="84">
        <v>3</v>
      </c>
      <c r="F75" s="80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【超級】ここは誰の箱庭じゃ？</v>
      </c>
      <c r="G75" s="80" t="str">
        <f ca="1">VLOOKUP($B75&amp;"_"&amp;$E75,OFFSET([2]stages!$A$1,0,0,COUNTA([2]stages!$A:$A),MATCH(G$1,[2]stages!$2:$2,0)-MATCH("temp_stage",[2]stages!$2:$2,0)+1),MATCH(G$1,[2]stages!$2:$2,0)-MATCH("temp_stage",[2]stages!$2:$2,0)+1,FALSE)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75" s="82">
        <v>0</v>
      </c>
      <c r="I75">
        <v>30</v>
      </c>
      <c r="J75" s="81" t="s">
        <v>192</v>
      </c>
      <c r="K75" s="90" t="str">
        <f>VLOOKUP(I75,[7]stage_hints!$A:$C,3,FALSE)</f>
        <v>「バグ」の増やし方</v>
      </c>
      <c r="L75" s="91" t="str">
        <f>VLOOKUP(I75,[7]stage_hints!$A:$D,4,FALSE)</f>
        <v>同じユニット同士を強化で合成すると_x000D_「バグ」を増やすことができます</v>
      </c>
      <c r="M75" s="54" t="s">
        <v>205</v>
      </c>
    </row>
    <row r="76" spans="1:13" x14ac:dyDescent="0.15">
      <c r="A76" s="78" t="s">
        <v>195</v>
      </c>
      <c r="B76" s="79">
        <f>floors!$C$2</f>
        <v>30030</v>
      </c>
      <c r="C76" s="80" t="str">
        <f ca="1">VLOOKUP($B76,OFFSET([2]quests!$A$1,0,0,COUNTA([2]quests!$A:$A),MATCH(C$1,[2]quests!$1:$1,0)-MATCH($B$1,[2]quests!$1:$1,0)+1),MATCH(C$1,[2]quests!$1:$1,0)-MATCH($B$1,[2]quests!$1:$1,0)+1,FALSE)</f>
        <v>ここは誰の箱庭じゃ？</v>
      </c>
      <c r="D76" s="80" t="str">
        <f ca="1">VLOOKUP($B76,OFFSET([2]quests!$A$1,0,0,COUNTA([2]quests!$A:$A),MATCH(D$1,[2]quests!$1:$1,0)-MATCH($B$1,[2]quests!$1:$1,0)+1),MATCH(D$1,[2]quests!$1:$1,0)-MATCH($B$1,[2]quests!$1:$1,0)+1,FALSE)</f>
        <v>ドロップイベント9（マルチ専用）</v>
      </c>
      <c r="E76" s="84">
        <v>3</v>
      </c>
      <c r="F76" s="80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【超級】ここは誰の箱庭じゃ？</v>
      </c>
      <c r="G76" s="80" t="str">
        <f ca="1">VLOOKUP($B76&amp;"_"&amp;$E76,OFFSET([2]stages!$A$1,0,0,COUNTA([2]stages!$A:$A),MATCH(G$1,[2]stages!$2:$2,0)-MATCH("temp_stage",[2]stages!$2:$2,0)+1),MATCH(G$1,[2]stages!$2:$2,0)-MATCH("temp_stage",[2]stages!$2:$2,0)+1,FALSE)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76" s="82">
        <v>0</v>
      </c>
      <c r="I76">
        <v>32</v>
      </c>
      <c r="J76" s="81" t="s">
        <v>192</v>
      </c>
      <c r="K76" s="90" t="str">
        <f>VLOOKUP(I76,[7]stage_hints!$A:$C,3,FALSE)</f>
        <v>敵の連続攻撃には</v>
      </c>
      <c r="L76" s="91" t="str">
        <f>VLOOKUP(I76,[7]stage_hints!$A:$D,4,FALSE)</f>
        <v>カウンタースキルを持つユニットがいれば_x000D_ダメージ回数分の反撃ができます</v>
      </c>
      <c r="M76" s="54" t="s">
        <v>205</v>
      </c>
    </row>
    <row r="77" spans="1:13" x14ac:dyDescent="0.15">
      <c r="A77" s="78" t="s">
        <v>195</v>
      </c>
      <c r="B77" s="79">
        <f>floors!$C$2</f>
        <v>30030</v>
      </c>
      <c r="C77" s="80" t="str">
        <f ca="1">VLOOKUP($B77,OFFSET([2]quests!$A$1,0,0,COUNTA([2]quests!$A:$A),MATCH(C$1,[2]quests!$1:$1,0)-MATCH($B$1,[2]quests!$1:$1,0)+1),MATCH(C$1,[2]quests!$1:$1,0)-MATCH($B$1,[2]quests!$1:$1,0)+1,FALSE)</f>
        <v>ここは誰の箱庭じゃ？</v>
      </c>
      <c r="D77" s="80" t="str">
        <f ca="1">VLOOKUP($B77,OFFSET([2]quests!$A$1,0,0,COUNTA([2]quests!$A:$A),MATCH(D$1,[2]quests!$1:$1,0)-MATCH($B$1,[2]quests!$1:$1,0)+1),MATCH(D$1,[2]quests!$1:$1,0)-MATCH($B$1,[2]quests!$1:$1,0)+1,FALSE)</f>
        <v>ドロップイベント9（マルチ専用）</v>
      </c>
      <c r="E77" s="84">
        <v>3</v>
      </c>
      <c r="F77" s="80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【超級】ここは誰の箱庭じゃ？</v>
      </c>
      <c r="G77" s="80" t="str">
        <f ca="1">VLOOKUP($B77&amp;"_"&amp;$E77,OFFSET([2]stages!$A$1,0,0,COUNTA([2]stages!$A:$A),MATCH(G$1,[2]stages!$2:$2,0)-MATCH("temp_stage",[2]stages!$2:$2,0)+1),MATCH(G$1,[2]stages!$2:$2,0)-MATCH("temp_stage",[2]stages!$2:$2,0)+1,FALSE)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77" s="82">
        <v>0</v>
      </c>
      <c r="I77">
        <v>33</v>
      </c>
      <c r="J77" s="81" t="s">
        <v>192</v>
      </c>
      <c r="K77" s="90" t="str">
        <f>VLOOKUP(I77,[7]stage_hints!$A:$C,3,FALSE)</f>
        <v>敵のカウンター攻撃には</v>
      </c>
      <c r="L77" s="91" t="str">
        <f>VLOOKUP(I77,[7]stage_hints!$A:$D,4,FALSE)</f>
        <v>カウンターブレイクスキルを持っていれば_x000D_敵のカウンターを解除して攻撃ができます</v>
      </c>
      <c r="M77" s="54" t="s">
        <v>205</v>
      </c>
    </row>
    <row r="78" spans="1:13" x14ac:dyDescent="0.15">
      <c r="A78" s="78" t="s">
        <v>195</v>
      </c>
      <c r="B78" s="79">
        <f>floors!$C$2</f>
        <v>30030</v>
      </c>
      <c r="C78" s="80" t="str">
        <f ca="1">VLOOKUP($B78,OFFSET([2]quests!$A$1,0,0,COUNTA([2]quests!$A:$A),MATCH(C$1,[2]quests!$1:$1,0)-MATCH($B$1,[2]quests!$1:$1,0)+1),MATCH(C$1,[2]quests!$1:$1,0)-MATCH($B$1,[2]quests!$1:$1,0)+1,FALSE)</f>
        <v>ここは誰の箱庭じゃ？</v>
      </c>
      <c r="D78" s="80" t="str">
        <f ca="1">VLOOKUP($B78,OFFSET([2]quests!$A$1,0,0,COUNTA([2]quests!$A:$A),MATCH(D$1,[2]quests!$1:$1,0)-MATCH($B$1,[2]quests!$1:$1,0)+1),MATCH(D$1,[2]quests!$1:$1,0)-MATCH($B$1,[2]quests!$1:$1,0)+1,FALSE)</f>
        <v>ドロップイベント9（マルチ専用）</v>
      </c>
      <c r="E78" s="84">
        <v>3</v>
      </c>
      <c r="F78" s="80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【超級】ここは誰の箱庭じゃ？</v>
      </c>
      <c r="G78" s="80" t="str">
        <f ca="1">VLOOKUP($B78&amp;"_"&amp;$E78,OFFSET([2]stages!$A$1,0,0,COUNTA([2]stages!$A:$A),MATCH(G$1,[2]stages!$2:$2,0)-MATCH("temp_stage",[2]stages!$2:$2,0)+1),MATCH(G$1,[2]stages!$2:$2,0)-MATCH("temp_stage",[2]stages!$2:$2,0)+1,FALSE)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78" s="82">
        <v>0</v>
      </c>
      <c r="I78">
        <v>34</v>
      </c>
      <c r="J78" s="81" t="s">
        <v>192</v>
      </c>
      <c r="K78" s="90" t="str">
        <f>VLOOKUP(I78,[7]stage_hints!$A:$C,3,FALSE)</f>
        <v>ステータスをスキルで下げられたら</v>
      </c>
      <c r="L78" s="91" t="str">
        <f>VLOOKUP(I78,[7]stage_hints!$A:$D,4,FALSE)</f>
        <v>ステータスダウンのスキルを受けたら_x000D_ステータスアップスキルで上書きしましょう</v>
      </c>
      <c r="M78" s="54" t="s">
        <v>205</v>
      </c>
    </row>
    <row r="79" spans="1:13" x14ac:dyDescent="0.15">
      <c r="A79" s="78" t="s">
        <v>195</v>
      </c>
      <c r="B79" s="79">
        <f>floors!$C$2</f>
        <v>30030</v>
      </c>
      <c r="C79" s="80" t="str">
        <f ca="1">VLOOKUP($B79,OFFSET([2]quests!$A$1,0,0,COUNTA([2]quests!$A:$A),MATCH(C$1,[2]quests!$1:$1,0)-MATCH($B$1,[2]quests!$1:$1,0)+1),MATCH(C$1,[2]quests!$1:$1,0)-MATCH($B$1,[2]quests!$1:$1,0)+1,FALSE)</f>
        <v>ここは誰の箱庭じゃ？</v>
      </c>
      <c r="D79" s="80" t="str">
        <f ca="1">VLOOKUP($B79,OFFSET([2]quests!$A$1,0,0,COUNTA([2]quests!$A:$A),MATCH(D$1,[2]quests!$1:$1,0)-MATCH($B$1,[2]quests!$1:$1,0)+1),MATCH(D$1,[2]quests!$1:$1,0)-MATCH($B$1,[2]quests!$1:$1,0)+1,FALSE)</f>
        <v>ドロップイベント9（マルチ専用）</v>
      </c>
      <c r="E79" s="84">
        <v>3</v>
      </c>
      <c r="F79" s="80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【超級】ここは誰の箱庭じゃ？</v>
      </c>
      <c r="G79" s="80" t="str">
        <f ca="1">VLOOKUP($B79&amp;"_"&amp;$E79,OFFSET([2]stages!$A$1,0,0,COUNTA([2]stages!$A:$A),MATCH(G$1,[2]stages!$2:$2,0)-MATCH("temp_stage",[2]stages!$2:$2,0)+1),MATCH(G$1,[2]stages!$2:$2,0)-MATCH("temp_stage",[2]stages!$2:$2,0)+1,FALSE)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79" s="82">
        <v>0</v>
      </c>
      <c r="I79">
        <v>35</v>
      </c>
      <c r="J79" s="81" t="s">
        <v>192</v>
      </c>
      <c r="K79" s="90" t="str">
        <f>VLOOKUP(I79,[7]stage_hints!$A:$C,3,FALSE)</f>
        <v>敵のステータスがスキルで上がったら</v>
      </c>
      <c r="L79" s="91" t="str">
        <f>VLOOKUP(I79,[7]stage_hints!$A:$D,4,FALSE)</f>
        <v>敵のステータスがスキルでアップしたときは_x000D_ステータスダウンスキルで上書きしましょう</v>
      </c>
      <c r="M79" s="54" t="s">
        <v>205</v>
      </c>
    </row>
    <row r="80" spans="1:13" x14ac:dyDescent="0.15">
      <c r="A80" s="78" t="s">
        <v>195</v>
      </c>
      <c r="B80" s="79">
        <f>floors!$C$2</f>
        <v>30030</v>
      </c>
      <c r="C80" s="80" t="str">
        <f ca="1">VLOOKUP($B80,OFFSET([2]quests!$A$1,0,0,COUNTA([2]quests!$A:$A),MATCH(C$1,[2]quests!$1:$1,0)-MATCH($B$1,[2]quests!$1:$1,0)+1),MATCH(C$1,[2]quests!$1:$1,0)-MATCH($B$1,[2]quests!$1:$1,0)+1,FALSE)</f>
        <v>ここは誰の箱庭じゃ？</v>
      </c>
      <c r="D80" s="80" t="str">
        <f ca="1">VLOOKUP($B80,OFFSET([2]quests!$A$1,0,0,COUNTA([2]quests!$A:$A),MATCH(D$1,[2]quests!$1:$1,0)-MATCH($B$1,[2]quests!$1:$1,0)+1),MATCH(D$1,[2]quests!$1:$1,0)-MATCH($B$1,[2]quests!$1:$1,0)+1,FALSE)</f>
        <v>ドロップイベント9（マルチ専用）</v>
      </c>
      <c r="E80" s="84">
        <v>3</v>
      </c>
      <c r="F80" s="80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【超級】ここは誰の箱庭じゃ？</v>
      </c>
      <c r="G80" s="80" t="str">
        <f ca="1">VLOOKUP($B80&amp;"_"&amp;$E80,OFFSET([2]stages!$A$1,0,0,COUNTA([2]stages!$A:$A),MATCH(G$1,[2]stages!$2:$2,0)-MATCH("temp_stage",[2]stages!$2:$2,0)+1),MATCH(G$1,[2]stages!$2:$2,0)-MATCH("temp_stage",[2]stages!$2:$2,0)+1,FALSE)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80" s="82">
        <v>0</v>
      </c>
      <c r="I80">
        <v>36</v>
      </c>
      <c r="J80" s="81" t="s">
        <v>192</v>
      </c>
      <c r="K80" s="90" t="str">
        <f>VLOOKUP(I80,[7]stage_hints!$A:$C,3,FALSE)</f>
        <v>タワーオブザクイーンのボス</v>
      </c>
      <c r="L80" s="91" t="str">
        <f>VLOOKUP(I80,[7]stage_hints!$A:$D,4,FALSE)</f>
        <v>「タワーオブザクイーン」最上階のボスは_x000D_15階の初回クリア報酬で獲得できるほか_x000D_その階にて低確率でドロップもします</v>
      </c>
      <c r="M80" s="54" t="s">
        <v>205</v>
      </c>
    </row>
    <row r="81" spans="1:13" x14ac:dyDescent="0.15">
      <c r="A81" s="78" t="s">
        <v>195</v>
      </c>
      <c r="B81" s="79">
        <f>floors!$C$2</f>
        <v>30030</v>
      </c>
      <c r="C81" s="80" t="str">
        <f ca="1">VLOOKUP($B81,OFFSET([2]quests!$A$1,0,0,COUNTA([2]quests!$A:$A),MATCH(C$1,[2]quests!$1:$1,0)-MATCH($B$1,[2]quests!$1:$1,0)+1),MATCH(C$1,[2]quests!$1:$1,0)-MATCH($B$1,[2]quests!$1:$1,0)+1,FALSE)</f>
        <v>ここは誰の箱庭じゃ？</v>
      </c>
      <c r="D81" s="80" t="str">
        <f ca="1">VLOOKUP($B81,OFFSET([2]quests!$A$1,0,0,COUNTA([2]quests!$A:$A),MATCH(D$1,[2]quests!$1:$1,0)-MATCH($B$1,[2]quests!$1:$1,0)+1),MATCH(D$1,[2]quests!$1:$1,0)-MATCH($B$1,[2]quests!$1:$1,0)+1,FALSE)</f>
        <v>ドロップイベント9（マルチ専用）</v>
      </c>
      <c r="E81" s="84">
        <v>3</v>
      </c>
      <c r="F81" s="80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【超級】ここは誰の箱庭じゃ？</v>
      </c>
      <c r="G81" s="80" t="str">
        <f ca="1">VLOOKUP($B81&amp;"_"&amp;$E81,OFFSET([2]stages!$A$1,0,0,COUNTA([2]stages!$A:$A),MATCH(G$1,[2]stages!$2:$2,0)-MATCH("temp_stage",[2]stages!$2:$2,0)+1),MATCH(G$1,[2]stages!$2:$2,0)-MATCH("temp_stage",[2]stages!$2:$2,0)+1,FALSE)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81" s="82">
        <v>0</v>
      </c>
      <c r="I81">
        <v>37</v>
      </c>
      <c r="J81" s="81" t="s">
        <v>192</v>
      </c>
      <c r="K81" s="90" t="str">
        <f>VLOOKUP(I81,[7]stage_hints!$A:$C,3,FALSE)</f>
        <v>限界突破値の引き継ぎ</v>
      </c>
      <c r="L81" s="91" t="str">
        <f>VLOOKUP(I81,[7]stage_hints!$A:$D,4,FALSE)</f>
        <v>同じユニットを強化で合成すると_x000D_限界突破値を引き継げます（覚醒前後も可）</v>
      </c>
      <c r="M81" s="54" t="s">
        <v>205</v>
      </c>
    </row>
    <row r="82" spans="1:13" x14ac:dyDescent="0.15">
      <c r="A82" s="78" t="s">
        <v>195</v>
      </c>
      <c r="B82" s="79">
        <f>floors!$C$2</f>
        <v>30030</v>
      </c>
      <c r="C82" s="80" t="str">
        <f ca="1">VLOOKUP($B82,OFFSET([2]quests!$A$1,0,0,COUNTA([2]quests!$A:$A),MATCH(C$1,[2]quests!$1:$1,0)-MATCH($B$1,[2]quests!$1:$1,0)+1),MATCH(C$1,[2]quests!$1:$1,0)-MATCH($B$1,[2]quests!$1:$1,0)+1,FALSE)</f>
        <v>ここは誰の箱庭じゃ？</v>
      </c>
      <c r="D82" s="80" t="str">
        <f ca="1">VLOOKUP($B82,OFFSET([2]quests!$A$1,0,0,COUNTA([2]quests!$A:$A),MATCH(D$1,[2]quests!$1:$1,0)-MATCH($B$1,[2]quests!$1:$1,0)+1),MATCH(D$1,[2]quests!$1:$1,0)-MATCH($B$1,[2]quests!$1:$1,0)+1,FALSE)</f>
        <v>ドロップイベント9（マルチ専用）</v>
      </c>
      <c r="E82" s="84">
        <v>3</v>
      </c>
      <c r="F82" s="80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【超級】ここは誰の箱庭じゃ？</v>
      </c>
      <c r="G82" s="80" t="str">
        <f ca="1">VLOOKUP($B82&amp;"_"&amp;$E82,OFFSET([2]stages!$A$1,0,0,COUNTA([2]stages!$A:$A),MATCH(G$1,[2]stages!$2:$2,0)-MATCH("temp_stage",[2]stages!$2:$2,0)+1),MATCH(G$1,[2]stages!$2:$2,0)-MATCH("temp_stage",[2]stages!$2:$2,0)+1,FALSE)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82" s="82">
        <v>0</v>
      </c>
      <c r="I82">
        <v>39</v>
      </c>
      <c r="J82" s="81" t="s">
        <v>192</v>
      </c>
      <c r="K82" s="90" t="str">
        <f>VLOOKUP(I82,[7]stage_hints!$A:$C,3,FALSE)</f>
        <v>システム適合者を確認</v>
      </c>
      <c r="L82" s="91" t="str">
        <f>VLOOKUP(I82,[7]stage_hints!$A:$D,4,FALSE)</f>
        <v>ALICEが 「アナタ」を呼んでいます</v>
      </c>
      <c r="M82" s="54" t="s">
        <v>205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1"/>
  <sheetViews>
    <sheetView showGridLines="0" workbookViewId="0">
      <pane ySplit="1" topLeftCell="A2" activePane="bottomLeft" state="frozen"/>
      <selection pane="bottomLeft" activeCell="M11" sqref="M11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3" t="s">
        <v>182</v>
      </c>
      <c r="B1" s="69" t="s">
        <v>150</v>
      </c>
      <c r="C1" s="74" t="s">
        <v>184</v>
      </c>
      <c r="D1" s="74" t="s">
        <v>33</v>
      </c>
      <c r="E1" s="69" t="s">
        <v>185</v>
      </c>
      <c r="F1" s="74" t="s">
        <v>18</v>
      </c>
      <c r="G1" s="74" t="s">
        <v>33</v>
      </c>
      <c r="H1" s="69" t="s">
        <v>187</v>
      </c>
      <c r="I1" s="86" t="s">
        <v>188</v>
      </c>
      <c r="J1" s="88" t="s">
        <v>189</v>
      </c>
      <c r="K1" s="76" t="s">
        <v>126</v>
      </c>
      <c r="L1" s="75" t="s">
        <v>181</v>
      </c>
      <c r="M1" s="89" t="s">
        <v>180</v>
      </c>
      <c r="N1" s="77" t="s">
        <v>190</v>
      </c>
    </row>
    <row r="2" spans="1:14" x14ac:dyDescent="0.15">
      <c r="A2" s="78" t="s">
        <v>191</v>
      </c>
      <c r="B2" s="79">
        <f>floors!$C$2</f>
        <v>30030</v>
      </c>
      <c r="C2" s="80" t="str">
        <f ca="1">VLOOKUP($B2,OFFSET([2]quests!$A$1,0,0,COUNTA([2]quests!$A:$A),MATCH(C$1,[2]quests!$1:$1,0)-MATCH($B$1,[2]quests!$1:$1,0)+1),MATCH(C$1,[2]quests!$1:$1,0)-MATCH($B$1,[2]quests!$1:$1,0)+1,FALSE)</f>
        <v>ここは誰の箱庭じゃ？</v>
      </c>
      <c r="D2" s="80" t="str">
        <f ca="1">VLOOKUP($B2,OFFSET([2]quests!$A$1,0,0,COUNTA([2]quests!$A:$A),MATCH(D$1,[2]quests!$1:$1,0)-MATCH($B$1,[2]quests!$1:$1,0)+1),MATCH(D$1,[2]quests!$1:$1,0)-MATCH($B$1,[2]quests!$1:$1,0)+1,FALSE)</f>
        <v>ドロップイベント9（マルチ専用）</v>
      </c>
      <c r="E2" s="81">
        <v>3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【超級】ここは誰の箱庭じゃ？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2" s="82">
        <v>1</v>
      </c>
      <c r="I2" s="87">
        <f t="shared" ref="I2:I11" si="0">ROW()-1</f>
        <v>1</v>
      </c>
      <c r="J2" s="83" t="str">
        <f t="shared" ref="J2:J11" si="1">B2&amp;TEXT(I2,"00")</f>
        <v>3003001</v>
      </c>
      <c r="K2" s="81" t="s">
        <v>192</v>
      </c>
      <c r="L2" s="84" t="s">
        <v>193</v>
      </c>
      <c r="M2" s="136" t="s">
        <v>253</v>
      </c>
      <c r="N2" s="54" t="s">
        <v>194</v>
      </c>
    </row>
    <row r="3" spans="1:14" ht="56" x14ac:dyDescent="0.15">
      <c r="A3" s="78" t="s">
        <v>191</v>
      </c>
      <c r="B3" s="79">
        <f>floors!$C$2</f>
        <v>30030</v>
      </c>
      <c r="C3" s="80" t="str">
        <f ca="1">VLOOKUP($B3,OFFSET([2]quests!$A$1,0,0,COUNTA([2]quests!$A:$A),MATCH(C$1,[2]quests!$1:$1,0)-MATCH($B$1,[2]quests!$1:$1,0)+1),MATCH(C$1,[2]quests!$1:$1,0)-MATCH($B$1,[2]quests!$1:$1,0)+1,FALSE)</f>
        <v>ここは誰の箱庭じゃ？</v>
      </c>
      <c r="D3" s="80" t="str">
        <f ca="1">VLOOKUP($B3,OFFSET([2]quests!$A$1,0,0,COUNTA([2]quests!$A:$A),MATCH(D$1,[2]quests!$1:$1,0)-MATCH($B$1,[2]quests!$1:$1,0)+1),MATCH(D$1,[2]quests!$1:$1,0)-MATCH($B$1,[2]quests!$1:$1,0)+1,FALSE)</f>
        <v>ドロップイベント9（マルチ専用）</v>
      </c>
      <c r="E3" s="81">
        <v>3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【超級】ここは誰の箱庭じゃ？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3" s="82">
        <v>2</v>
      </c>
      <c r="I3" s="87">
        <f t="shared" si="0"/>
        <v>2</v>
      </c>
      <c r="J3" s="83" t="str">
        <f t="shared" si="1"/>
        <v>3003002</v>
      </c>
      <c r="K3" s="81" t="s">
        <v>192</v>
      </c>
      <c r="L3" s="84" t="s">
        <v>193</v>
      </c>
      <c r="M3" s="136" t="s">
        <v>276</v>
      </c>
      <c r="N3" s="54" t="s">
        <v>194</v>
      </c>
    </row>
    <row r="4" spans="1:14" ht="28" x14ac:dyDescent="0.15">
      <c r="A4" s="78" t="s">
        <v>191</v>
      </c>
      <c r="B4" s="79">
        <f>floors!$C$2</f>
        <v>30030</v>
      </c>
      <c r="C4" s="80" t="str">
        <f ca="1">VLOOKUP($B4,OFFSET([2]quests!$A$1,0,0,COUNTA([2]quests!$A:$A),MATCH(C$1,[2]quests!$1:$1,0)-MATCH($B$1,[2]quests!$1:$1,0)+1),MATCH(C$1,[2]quests!$1:$1,0)-MATCH($B$1,[2]quests!$1:$1,0)+1,FALSE)</f>
        <v>ここは誰の箱庭じゃ？</v>
      </c>
      <c r="D4" s="80" t="str">
        <f ca="1">VLOOKUP($B4,OFFSET([2]quests!$A$1,0,0,COUNTA([2]quests!$A:$A),MATCH(D$1,[2]quests!$1:$1,0)-MATCH($B$1,[2]quests!$1:$1,0)+1),MATCH(D$1,[2]quests!$1:$1,0)-MATCH($B$1,[2]quests!$1:$1,0)+1,FALSE)</f>
        <v>ドロップイベント9（マルチ専用）</v>
      </c>
      <c r="E4" s="81">
        <v>3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【超級】ここは誰の箱庭じゃ？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4" s="82">
        <v>3</v>
      </c>
      <c r="I4" s="87">
        <f t="shared" si="0"/>
        <v>3</v>
      </c>
      <c r="J4" s="83" t="str">
        <f t="shared" si="1"/>
        <v>3003003</v>
      </c>
      <c r="K4" s="81" t="s">
        <v>192</v>
      </c>
      <c r="L4" s="84" t="s">
        <v>193</v>
      </c>
      <c r="M4" s="136" t="s">
        <v>277</v>
      </c>
      <c r="N4" s="54" t="s">
        <v>194</v>
      </c>
    </row>
    <row r="5" spans="1:14" ht="56" x14ac:dyDescent="0.15">
      <c r="A5" s="78" t="s">
        <v>191</v>
      </c>
      <c r="B5" s="79">
        <f>floors!$C$2</f>
        <v>30030</v>
      </c>
      <c r="C5" s="80" t="str">
        <f ca="1">VLOOKUP($B5,OFFSET([2]quests!$A$1,0,0,COUNTA([2]quests!$A:$A),MATCH(C$1,[2]quests!$1:$1,0)-MATCH($B$1,[2]quests!$1:$1,0)+1),MATCH(C$1,[2]quests!$1:$1,0)-MATCH($B$1,[2]quests!$1:$1,0)+1,FALSE)</f>
        <v>ここは誰の箱庭じゃ？</v>
      </c>
      <c r="D5" s="80" t="str">
        <f ca="1">VLOOKUP($B5,OFFSET([2]quests!$A$1,0,0,COUNTA([2]quests!$A:$A),MATCH(D$1,[2]quests!$1:$1,0)-MATCH($B$1,[2]quests!$1:$1,0)+1),MATCH(D$1,[2]quests!$1:$1,0)-MATCH($B$1,[2]quests!$1:$1,0)+1,FALSE)</f>
        <v>ドロップイベント9（マルチ専用）</v>
      </c>
      <c r="E5" s="81">
        <v>3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【超級】ここは誰の箱庭じゃ？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5" s="82">
        <v>4</v>
      </c>
      <c r="I5" s="87">
        <f t="shared" si="0"/>
        <v>4</v>
      </c>
      <c r="J5" s="83" t="str">
        <f t="shared" si="1"/>
        <v>3003004</v>
      </c>
      <c r="K5" s="81" t="s">
        <v>192</v>
      </c>
      <c r="L5" s="84" t="s">
        <v>193</v>
      </c>
      <c r="M5" s="136" t="s">
        <v>275</v>
      </c>
      <c r="N5" s="54" t="s">
        <v>194</v>
      </c>
    </row>
    <row r="6" spans="1:14" x14ac:dyDescent="0.15">
      <c r="A6" s="78" t="s">
        <v>191</v>
      </c>
      <c r="B6" s="79">
        <f>floors!$C$2</f>
        <v>30030</v>
      </c>
      <c r="C6" s="80" t="str">
        <f ca="1">VLOOKUP($B6,OFFSET([2]quests!$A$1,0,0,COUNTA([2]quests!$A:$A),MATCH(C$1,[2]quests!$1:$1,0)-MATCH($B$1,[2]quests!$1:$1,0)+1),MATCH(C$1,[2]quests!$1:$1,0)-MATCH($B$1,[2]quests!$1:$1,0)+1,FALSE)</f>
        <v>ここは誰の箱庭じゃ？</v>
      </c>
      <c r="D6" s="80" t="str">
        <f ca="1">VLOOKUP($B6,OFFSET([2]quests!$A$1,0,0,COUNTA([2]quests!$A:$A),MATCH(D$1,[2]quests!$1:$1,0)-MATCH($B$1,[2]quests!$1:$1,0)+1),MATCH(D$1,[2]quests!$1:$1,0)-MATCH($B$1,[2]quests!$1:$1,0)+1,FALSE)</f>
        <v>ドロップイベント9（マルチ専用）</v>
      </c>
      <c r="E6" s="81">
        <v>2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6" s="82">
        <v>1</v>
      </c>
      <c r="I6" s="87">
        <f t="shared" si="0"/>
        <v>5</v>
      </c>
      <c r="J6" s="83" t="str">
        <f t="shared" si="1"/>
        <v>3003005</v>
      </c>
      <c r="K6" s="81" t="s">
        <v>192</v>
      </c>
      <c r="L6" s="84" t="s">
        <v>193</v>
      </c>
      <c r="M6" s="136" t="s">
        <v>253</v>
      </c>
      <c r="N6" s="54" t="s">
        <v>194</v>
      </c>
    </row>
    <row r="7" spans="1:14" ht="28" x14ac:dyDescent="0.15">
      <c r="A7" s="78" t="s">
        <v>191</v>
      </c>
      <c r="B7" s="79">
        <f>floors!$C$2</f>
        <v>30030</v>
      </c>
      <c r="C7" s="80" t="str">
        <f ca="1">VLOOKUP($B7,OFFSET([2]quests!$A$1,0,0,COUNTA([2]quests!$A:$A),MATCH(C$1,[2]quests!$1:$1,0)-MATCH($B$1,[2]quests!$1:$1,0)+1),MATCH(C$1,[2]quests!$1:$1,0)-MATCH($B$1,[2]quests!$1:$1,0)+1,FALSE)</f>
        <v>ここは誰の箱庭じゃ？</v>
      </c>
      <c r="D7" s="80" t="str">
        <f ca="1">VLOOKUP($B7,OFFSET([2]quests!$A$1,0,0,COUNTA([2]quests!$A:$A),MATCH(D$1,[2]quests!$1:$1,0)-MATCH($B$1,[2]quests!$1:$1,0)+1),MATCH(D$1,[2]quests!$1:$1,0)-MATCH($B$1,[2]quests!$1:$1,0)+1,FALSE)</f>
        <v>ドロップイベント9（マルチ専用）</v>
      </c>
      <c r="E7" s="81">
        <v>2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7" s="82">
        <v>2</v>
      </c>
      <c r="I7" s="87">
        <f t="shared" si="0"/>
        <v>6</v>
      </c>
      <c r="J7" s="83" t="str">
        <f t="shared" si="1"/>
        <v>3003006</v>
      </c>
      <c r="K7" s="81" t="s">
        <v>192</v>
      </c>
      <c r="L7" s="84" t="s">
        <v>193</v>
      </c>
      <c r="M7" s="136" t="s">
        <v>277</v>
      </c>
      <c r="N7" s="54" t="s">
        <v>194</v>
      </c>
    </row>
    <row r="8" spans="1:14" ht="56" x14ac:dyDescent="0.15">
      <c r="A8" s="78" t="s">
        <v>191</v>
      </c>
      <c r="B8" s="79">
        <f>floors!$C$2</f>
        <v>30030</v>
      </c>
      <c r="C8" s="80" t="str">
        <f ca="1">VLOOKUP($B8,OFFSET([2]quests!$A$1,0,0,COUNTA([2]quests!$A:$A),MATCH(C$1,[2]quests!$1:$1,0)-MATCH($B$1,[2]quests!$1:$1,0)+1),MATCH(C$1,[2]quests!$1:$1,0)-MATCH($B$1,[2]quests!$1:$1,0)+1,FALSE)</f>
        <v>ここは誰の箱庭じゃ？</v>
      </c>
      <c r="D8" s="80" t="str">
        <f ca="1">VLOOKUP($B8,OFFSET([2]quests!$A$1,0,0,COUNTA([2]quests!$A:$A),MATCH(D$1,[2]quests!$1:$1,0)-MATCH($B$1,[2]quests!$1:$1,0)+1),MATCH(D$1,[2]quests!$1:$1,0)-MATCH($B$1,[2]quests!$1:$1,0)+1,FALSE)</f>
        <v>ドロップイベント9（マルチ専用）</v>
      </c>
      <c r="E8" s="81">
        <v>2</v>
      </c>
      <c r="F8" s="80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【上級】ここは誰の箱庭じゃ？</v>
      </c>
      <c r="G8" s="80" t="str">
        <f ca="1">VLOOKUP($B8&amp;"_"&amp;$E8,OFFSET([2]stages!$A$1,0,0,COUNTA([2]stages!$A:$A),MATCH(G$1,[2]stages!$2:$2,0)-MATCH("temp_stage",[2]stages!$2:$2,0)+1),MATCH(G$1,[2]stages!$2:$2,0)-MATCH("temp_stage",[2]stages!$2:$2,0)+1,FALSE)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8" s="82">
        <v>3</v>
      </c>
      <c r="I8" s="87">
        <f t="shared" si="0"/>
        <v>7</v>
      </c>
      <c r="J8" s="83" t="str">
        <f t="shared" si="1"/>
        <v>3003007</v>
      </c>
      <c r="K8" s="81" t="s">
        <v>192</v>
      </c>
      <c r="L8" s="84" t="s">
        <v>193</v>
      </c>
      <c r="M8" s="136" t="s">
        <v>278</v>
      </c>
      <c r="N8" s="54" t="s">
        <v>194</v>
      </c>
    </row>
    <row r="9" spans="1:14" x14ac:dyDescent="0.15">
      <c r="A9" s="78" t="s">
        <v>191</v>
      </c>
      <c r="B9" s="79">
        <f>floors!$C$2</f>
        <v>30030</v>
      </c>
      <c r="C9" s="80" t="str">
        <f ca="1">VLOOKUP($B9,OFFSET([2]quests!$A$1,0,0,COUNTA([2]quests!$A:$A),MATCH(C$1,[2]quests!$1:$1,0)-MATCH($B$1,[2]quests!$1:$1,0)+1),MATCH(C$1,[2]quests!$1:$1,0)-MATCH($B$1,[2]quests!$1:$1,0)+1,FALSE)</f>
        <v>ここは誰の箱庭じゃ？</v>
      </c>
      <c r="D9" s="80" t="str">
        <f ca="1">VLOOKUP($B9,OFFSET([2]quests!$A$1,0,0,COUNTA([2]quests!$A:$A),MATCH(D$1,[2]quests!$1:$1,0)-MATCH($B$1,[2]quests!$1:$1,0)+1),MATCH(D$1,[2]quests!$1:$1,0)-MATCH($B$1,[2]quests!$1:$1,0)+1,FALSE)</f>
        <v>ドロップイベント9（マルチ専用）</v>
      </c>
      <c r="E9" s="81">
        <v>1</v>
      </c>
      <c r="F9" s="80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9" s="80" t="str">
        <f ca="1">VLOOKUP($B9&amp;"_"&amp;$E9,OFFSET([2]stages!$A$1,0,0,COUNTA([2]stages!$A:$A),MATCH(G$1,[2]stages!$2:$2,0)-MATCH("temp_stage",[2]stages!$2:$2,0)+1),MATCH(G$1,[2]stages!$2:$2,0)-MATCH("temp_stage",[2]stages!$2:$2,0)+1,FALSE)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9" s="82">
        <v>1</v>
      </c>
      <c r="I9" s="87">
        <f t="shared" si="0"/>
        <v>8</v>
      </c>
      <c r="J9" s="83" t="str">
        <f t="shared" si="1"/>
        <v>3003008</v>
      </c>
      <c r="K9" s="81" t="s">
        <v>192</v>
      </c>
      <c r="L9" s="84" t="s">
        <v>193</v>
      </c>
      <c r="M9" s="136" t="s">
        <v>253</v>
      </c>
      <c r="N9" s="54" t="s">
        <v>194</v>
      </c>
    </row>
    <row r="10" spans="1:14" ht="28" x14ac:dyDescent="0.15">
      <c r="A10" s="78" t="s">
        <v>191</v>
      </c>
      <c r="B10" s="79">
        <f>floors!$C$2</f>
        <v>30030</v>
      </c>
      <c r="C10" s="80" t="str">
        <f ca="1">VLOOKUP($B10,OFFSET([2]quests!$A$1,0,0,COUNTA([2]quests!$A:$A),MATCH(C$1,[2]quests!$1:$1,0)-MATCH($B$1,[2]quests!$1:$1,0)+1),MATCH(C$1,[2]quests!$1:$1,0)-MATCH($B$1,[2]quests!$1:$1,0)+1,FALSE)</f>
        <v>ここは誰の箱庭じゃ？</v>
      </c>
      <c r="D10" s="80" t="str">
        <f ca="1">VLOOKUP($B10,OFFSET([2]quests!$A$1,0,0,COUNTA([2]quests!$A:$A),MATCH(D$1,[2]quests!$1:$1,0)-MATCH($B$1,[2]quests!$1:$1,0)+1),MATCH(D$1,[2]quests!$1:$1,0)-MATCH($B$1,[2]quests!$1:$1,0)+1,FALSE)</f>
        <v>ドロップイベント9（マルチ専用）</v>
      </c>
      <c r="E10" s="81">
        <v>1</v>
      </c>
      <c r="F10" s="80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10" s="80" t="str">
        <f ca="1">VLOOKUP($B10&amp;"_"&amp;$E10,OFFSET([2]stages!$A$1,0,0,COUNTA([2]stages!$A:$A),MATCH(G$1,[2]stages!$2:$2,0)-MATCH("temp_stage",[2]stages!$2:$2,0)+1),MATCH(G$1,[2]stages!$2:$2,0)-MATCH("temp_stage",[2]stages!$2:$2,0)+1,FALSE)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10" s="82">
        <v>2</v>
      </c>
      <c r="I10" s="87">
        <f t="shared" si="0"/>
        <v>9</v>
      </c>
      <c r="J10" s="83" t="str">
        <f t="shared" si="1"/>
        <v>3003009</v>
      </c>
      <c r="K10" s="81" t="s">
        <v>192</v>
      </c>
      <c r="L10" s="84" t="s">
        <v>193</v>
      </c>
      <c r="M10" s="136" t="s">
        <v>277</v>
      </c>
      <c r="N10" s="54" t="s">
        <v>194</v>
      </c>
    </row>
    <row r="11" spans="1:14" ht="56" x14ac:dyDescent="0.15">
      <c r="A11" s="78" t="s">
        <v>191</v>
      </c>
      <c r="B11" s="79">
        <f>floors!$C$2</f>
        <v>30030</v>
      </c>
      <c r="C11" s="80" t="str">
        <f ca="1">VLOOKUP($B11,OFFSET([2]quests!$A$1,0,0,COUNTA([2]quests!$A:$A),MATCH(C$1,[2]quests!$1:$1,0)-MATCH($B$1,[2]quests!$1:$1,0)+1),MATCH(C$1,[2]quests!$1:$1,0)-MATCH($B$1,[2]quests!$1:$1,0)+1,FALSE)</f>
        <v>ここは誰の箱庭じゃ？</v>
      </c>
      <c r="D11" s="80" t="str">
        <f ca="1">VLOOKUP($B11,OFFSET([2]quests!$A$1,0,0,COUNTA([2]quests!$A:$A),MATCH(D$1,[2]quests!$1:$1,0)-MATCH($B$1,[2]quests!$1:$1,0)+1),MATCH(D$1,[2]quests!$1:$1,0)-MATCH($B$1,[2]quests!$1:$1,0)+1,FALSE)</f>
        <v>ドロップイベント9（マルチ専用）</v>
      </c>
      <c r="E11" s="81">
        <v>1</v>
      </c>
      <c r="F11" s="80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【中級】ここは誰の箱庭じゃ？</v>
      </c>
      <c r="G11" s="80" t="str">
        <f ca="1">VLOOKUP($B11&amp;"_"&amp;$E11,OFFSET([2]stages!$A$1,0,0,COUNTA([2]stages!$A:$A),MATCH(G$1,[2]stages!$2:$2,0)-MATCH("temp_stage",[2]stages!$2:$2,0)+1),MATCH(G$1,[2]stages!$2:$2,0)-MATCH("temp_stage",[2]stages!$2:$2,0)+1,FALSE)</f>
        <v>ドロップイベント9（マルチ専用）</v>
      </c>
      <c r="H11" s="82">
        <v>3</v>
      </c>
      <c r="I11" s="87">
        <f t="shared" si="0"/>
        <v>10</v>
      </c>
      <c r="J11" s="83" t="str">
        <f t="shared" si="1"/>
        <v>3003010</v>
      </c>
      <c r="K11" s="81" t="s">
        <v>192</v>
      </c>
      <c r="L11" s="84" t="s">
        <v>193</v>
      </c>
      <c r="M11" s="136" t="s">
        <v>275</v>
      </c>
      <c r="N11" s="54" t="s">
        <v>194</v>
      </c>
    </row>
  </sheetData>
  <phoneticPr fontId="5"/>
  <dataValidations count="1">
    <dataValidation type="list" allowBlank="1" showInputMessage="1" showErrorMessage="1" sqref="A2:A11">
      <formula1>"complete,failure"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2017-03-08T06:16:04Z</dcterms:modified>
</cp:coreProperties>
</file>