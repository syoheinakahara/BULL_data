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5720" windowHeight="16260" tabRatio="963" activeTab="8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awake_materials" sheetId="3" r:id="rId6"/>
    <sheet name="→base値" sheetId="51" r:id="rId7"/>
    <sheet name="ghosts_label" sheetId="55" r:id="rId8"/>
    <sheet name="コスト" sheetId="13" r:id="rId9"/>
    <sheet name="レベル" sheetId="12" r:id="rId10"/>
    <sheet name="経験値" sheetId="10" r:id="rId11"/>
    <sheet name="RC6SV" sheetId="11" r:id="rId12"/>
    <sheet name="ビット" sheetId="15" r:id="rId13"/>
    <sheet name="書き出し" sheetId="54" r:id="rId14"/>
  </sheets>
  <externalReferences>
    <externalReference r:id="rId15"/>
  </externalReferences>
  <definedNames>
    <definedName name="_xlnm._FilterDatabase" localSheetId="5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units!$A$1:$BQ$2</definedName>
    <definedName name="base_character_id">awake_materials!$B$1</definedName>
    <definedName name="character_id">units!$A$1</definedName>
    <definedName name="LIMIT">INDIRECT("Definitions.xlsm!LIMIT")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BR3" i="23"/>
  <c r="H4" i="23"/>
  <c r="BR4" i="23"/>
  <c r="H5" i="23"/>
  <c r="BR5" i="23"/>
  <c r="H6" i="23"/>
  <c r="BR6" i="23"/>
  <c r="H7" i="23"/>
  <c r="BR7" i="23"/>
  <c r="H8" i="23"/>
  <c r="BR8" i="23"/>
  <c r="H9" i="23"/>
  <c r="BR9" i="23"/>
  <c r="H10" i="23"/>
  <c r="BR10" i="23"/>
  <c r="H11" i="23"/>
  <c r="BR11" i="23"/>
  <c r="H2" i="23"/>
  <c r="BR2" i="23"/>
  <c r="G5" i="11"/>
  <c r="G4" i="11"/>
  <c r="G3" i="11"/>
  <c r="G2" i="11"/>
  <c r="G5" i="13"/>
  <c r="G4" i="13"/>
  <c r="G3" i="13"/>
  <c r="G2" i="13"/>
  <c r="G4" i="23"/>
  <c r="B4" i="23"/>
  <c r="G10" i="23"/>
  <c r="BC10" i="23"/>
  <c r="BD10" i="23"/>
  <c r="Q10" i="23"/>
  <c r="V10" i="23"/>
  <c r="W10" i="23"/>
  <c r="AD10" i="23"/>
  <c r="I10" i="23"/>
  <c r="M10" i="23"/>
  <c r="BN10" i="23"/>
  <c r="G11" i="23"/>
  <c r="BC11" i="23"/>
  <c r="BD11" i="23"/>
  <c r="Q11" i="23"/>
  <c r="V11" i="23"/>
  <c r="W11" i="23"/>
  <c r="AD11" i="23"/>
  <c r="I11" i="23"/>
  <c r="M11" i="23"/>
  <c r="BN11" i="23"/>
  <c r="T11" i="23"/>
  <c r="AB11" i="23"/>
  <c r="K11" i="23"/>
  <c r="BL11" i="23"/>
  <c r="F14" i="3"/>
  <c r="F15" i="3"/>
  <c r="F16" i="3"/>
  <c r="A16" i="3"/>
  <c r="A17" i="3"/>
  <c r="A18" i="3"/>
  <c r="A19" i="3"/>
  <c r="A2" i="3"/>
  <c r="B2" i="23"/>
  <c r="C2" i="3"/>
  <c r="G2" i="23"/>
  <c r="D2" i="3"/>
  <c r="E2" i="3"/>
  <c r="G2" i="3"/>
  <c r="A3" i="3"/>
  <c r="C3" i="3"/>
  <c r="D3" i="3"/>
  <c r="E3" i="3"/>
  <c r="G3" i="3"/>
  <c r="I3" i="3"/>
  <c r="A4" i="3"/>
  <c r="C4" i="3"/>
  <c r="D4" i="3"/>
  <c r="E4" i="3"/>
  <c r="G4" i="3"/>
  <c r="I4" i="3"/>
  <c r="A5" i="3"/>
  <c r="C5" i="3"/>
  <c r="D5" i="3"/>
  <c r="E5" i="3"/>
  <c r="G5" i="3"/>
  <c r="B6" i="3"/>
  <c r="F6" i="3"/>
  <c r="A6" i="3"/>
  <c r="C6" i="3"/>
  <c r="D6" i="3"/>
  <c r="E6" i="3"/>
  <c r="G6" i="3"/>
  <c r="B7" i="3"/>
  <c r="F7" i="3"/>
  <c r="A7" i="3"/>
  <c r="C7" i="3"/>
  <c r="D7" i="3"/>
  <c r="E7" i="3"/>
  <c r="G7" i="3"/>
  <c r="B8" i="3"/>
  <c r="F8" i="3"/>
  <c r="A8" i="3"/>
  <c r="C8" i="3"/>
  <c r="D8" i="3"/>
  <c r="E8" i="3"/>
  <c r="G8" i="3"/>
  <c r="A9" i="3"/>
  <c r="B6" i="23"/>
  <c r="C9" i="3"/>
  <c r="G6" i="23"/>
  <c r="D9" i="3"/>
  <c r="E9" i="3"/>
  <c r="G9" i="3"/>
  <c r="F10" i="3"/>
  <c r="A10" i="3"/>
  <c r="C10" i="3"/>
  <c r="D10" i="3"/>
  <c r="E10" i="3"/>
  <c r="G10" i="3"/>
  <c r="F11" i="3"/>
  <c r="A11" i="3"/>
  <c r="C11" i="3"/>
  <c r="D11" i="3"/>
  <c r="E11" i="3"/>
  <c r="G11" i="3"/>
  <c r="F12" i="3"/>
  <c r="A12" i="3"/>
  <c r="C12" i="3"/>
  <c r="D12" i="3"/>
  <c r="E12" i="3"/>
  <c r="G12" i="3"/>
  <c r="A13" i="3"/>
  <c r="B8" i="23"/>
  <c r="C13" i="3"/>
  <c r="G8" i="23"/>
  <c r="D13" i="3"/>
  <c r="E13" i="3"/>
  <c r="G13" i="3"/>
  <c r="A14" i="3"/>
  <c r="C14" i="3"/>
  <c r="D14" i="3"/>
  <c r="E14" i="3"/>
  <c r="G14" i="3"/>
  <c r="A15" i="3"/>
  <c r="C15" i="3"/>
  <c r="D15" i="3"/>
  <c r="E15" i="3"/>
  <c r="G15" i="3"/>
  <c r="C16" i="3"/>
  <c r="D16" i="3"/>
  <c r="E16" i="3"/>
  <c r="G16" i="3"/>
  <c r="B10" i="23"/>
  <c r="C17" i="3"/>
  <c r="D17" i="3"/>
  <c r="E17" i="3"/>
  <c r="G17" i="3"/>
  <c r="C18" i="3"/>
  <c r="D18" i="3"/>
  <c r="E18" i="3"/>
  <c r="G18" i="3"/>
  <c r="C19" i="3"/>
  <c r="D19" i="3"/>
  <c r="E19" i="3"/>
  <c r="G19" i="3"/>
  <c r="A47" i="54"/>
  <c r="A46" i="54"/>
  <c r="A45" i="54"/>
  <c r="A44" i="54"/>
  <c r="A43" i="54"/>
  <c r="A42" i="54"/>
  <c r="A39" i="54"/>
  <c r="A38" i="54"/>
  <c r="A37" i="54"/>
  <c r="A35" i="54"/>
  <c r="A34" i="54"/>
  <c r="A33" i="54"/>
  <c r="A31" i="54"/>
  <c r="A30" i="54"/>
  <c r="A29" i="54"/>
  <c r="A26" i="54"/>
  <c r="A25" i="54"/>
  <c r="A24" i="54"/>
  <c r="A23" i="54"/>
  <c r="A21" i="54"/>
  <c r="A20" i="54"/>
  <c r="A19" i="54"/>
  <c r="A18" i="54"/>
  <c r="A16" i="54"/>
  <c r="A15" i="54"/>
  <c r="A14" i="54"/>
  <c r="A13" i="54"/>
  <c r="B9" i="23"/>
  <c r="B11" i="23"/>
  <c r="A10" i="54"/>
  <c r="A9" i="54"/>
  <c r="A8" i="54"/>
  <c r="G9" i="23"/>
  <c r="BC9" i="23"/>
  <c r="BD9" i="23"/>
  <c r="Q9" i="23"/>
  <c r="T9" i="23"/>
  <c r="W9" i="23"/>
  <c r="AB9" i="23"/>
  <c r="I9" i="23"/>
  <c r="K9" i="23"/>
  <c r="BL9" i="23"/>
  <c r="G7" i="23"/>
  <c r="BC7" i="23"/>
  <c r="BC2" i="23"/>
  <c r="BD2" i="23"/>
  <c r="Q2" i="23"/>
  <c r="T2" i="23"/>
  <c r="W2" i="23"/>
  <c r="AB2" i="23"/>
  <c r="I2" i="23"/>
  <c r="K2" i="23"/>
  <c r="BL2" i="23"/>
  <c r="G3" i="23"/>
  <c r="BC3" i="23"/>
  <c r="BD3" i="23"/>
  <c r="Q3" i="23"/>
  <c r="T3" i="23"/>
  <c r="W3" i="23"/>
  <c r="AB3" i="23"/>
  <c r="I3" i="23"/>
  <c r="K3" i="23"/>
  <c r="BL3" i="23"/>
  <c r="E2" i="52"/>
  <c r="BD7" i="23"/>
  <c r="Q7" i="23"/>
  <c r="T7" i="23"/>
  <c r="W7" i="23"/>
  <c r="AB7" i="23"/>
  <c r="I7" i="23"/>
  <c r="K7" i="23"/>
  <c r="BL7" i="23"/>
  <c r="D7" i="52"/>
  <c r="E6" i="53"/>
  <c r="E7" i="53"/>
  <c r="E8" i="53"/>
  <c r="E9" i="53"/>
  <c r="V7" i="23"/>
  <c r="AD7" i="23"/>
  <c r="M7" i="23"/>
  <c r="BN7" i="23"/>
  <c r="BC6" i="23"/>
  <c r="BD6" i="23"/>
  <c r="Q6" i="23"/>
  <c r="T6" i="23"/>
  <c r="W6" i="23"/>
  <c r="AB6" i="23"/>
  <c r="I6" i="23"/>
  <c r="K6" i="23"/>
  <c r="BL6" i="23"/>
  <c r="I7" i="52"/>
  <c r="G5" i="23"/>
  <c r="BC5" i="23"/>
  <c r="BD5" i="23"/>
  <c r="Q5" i="23"/>
  <c r="S5" i="23"/>
  <c r="W5" i="23"/>
  <c r="AA5" i="23"/>
  <c r="I5" i="23"/>
  <c r="J5" i="23"/>
  <c r="BK5" i="23"/>
  <c r="T5" i="23"/>
  <c r="AB5" i="23"/>
  <c r="K5" i="23"/>
  <c r="BL5" i="23"/>
  <c r="E5" i="53"/>
  <c r="H8" i="53"/>
  <c r="H9" i="53"/>
  <c r="BO3" i="23"/>
  <c r="BO4" i="23"/>
  <c r="BO5" i="23"/>
  <c r="BO6" i="23"/>
  <c r="BO7" i="23"/>
  <c r="BO8" i="23"/>
  <c r="BO9" i="23"/>
  <c r="BO10" i="23"/>
  <c r="BO11" i="23"/>
  <c r="B5" i="23"/>
  <c r="B7" i="23"/>
  <c r="B3" i="23"/>
  <c r="E3" i="52"/>
  <c r="J3" i="52"/>
  <c r="AT3" i="23"/>
  <c r="AT4" i="23"/>
  <c r="AT5" i="23"/>
  <c r="AT6" i="23"/>
  <c r="AT7" i="23"/>
  <c r="AT8" i="23"/>
  <c r="AT9" i="23"/>
  <c r="AT10" i="23"/>
  <c r="AT11" i="23"/>
  <c r="AP3" i="23"/>
  <c r="AP4" i="23"/>
  <c r="AP5" i="23"/>
  <c r="AP6" i="23"/>
  <c r="AP7" i="23"/>
  <c r="AP8" i="23"/>
  <c r="AP9" i="23"/>
  <c r="AP10" i="23"/>
  <c r="AP11" i="23"/>
  <c r="AT2" i="23"/>
  <c r="AP2" i="23"/>
  <c r="G3" i="53"/>
  <c r="E3" i="53"/>
  <c r="G4" i="53"/>
  <c r="E4" i="53"/>
  <c r="G5" i="53"/>
  <c r="G6" i="53"/>
  <c r="G7" i="53"/>
  <c r="G8" i="53"/>
  <c r="G9" i="53"/>
  <c r="G10" i="53"/>
  <c r="E10" i="53"/>
  <c r="G11" i="53"/>
  <c r="E11" i="53"/>
  <c r="J10" i="52"/>
  <c r="E10" i="52"/>
  <c r="H10" i="52"/>
  <c r="J11" i="52"/>
  <c r="E11" i="52"/>
  <c r="H11" i="52"/>
  <c r="H3" i="52"/>
  <c r="J4" i="52"/>
  <c r="E4" i="52"/>
  <c r="H4" i="52"/>
  <c r="J5" i="52"/>
  <c r="E5" i="52"/>
  <c r="H5" i="52"/>
  <c r="J6" i="52"/>
  <c r="E6" i="52"/>
  <c r="H6" i="52"/>
  <c r="J7" i="52"/>
  <c r="E7" i="52"/>
  <c r="H7" i="52"/>
  <c r="J8" i="52"/>
  <c r="E8" i="52"/>
  <c r="H8" i="52"/>
  <c r="J9" i="52"/>
  <c r="E9" i="52"/>
  <c r="H9" i="52"/>
  <c r="C6" i="23"/>
  <c r="D6" i="23"/>
  <c r="E6" i="23"/>
  <c r="F6" i="23"/>
  <c r="J6" i="23"/>
  <c r="L6" i="23"/>
  <c r="M6" i="23"/>
  <c r="N6" i="23"/>
  <c r="O6" i="23"/>
  <c r="P6" i="23"/>
  <c r="R6" i="23"/>
  <c r="S6" i="23"/>
  <c r="U6" i="23"/>
  <c r="V6" i="23"/>
  <c r="X6" i="23"/>
  <c r="Y6" i="23"/>
  <c r="Z6" i="23"/>
  <c r="AA6" i="23"/>
  <c r="AC6" i="23"/>
  <c r="AD6" i="23"/>
  <c r="AF6" i="23"/>
  <c r="AG6" i="23"/>
  <c r="AH6" i="23"/>
  <c r="AI6" i="23"/>
  <c r="AK6" i="23"/>
  <c r="AL6" i="23"/>
  <c r="AM6" i="23"/>
  <c r="AN6" i="23"/>
  <c r="AQ6" i="23"/>
  <c r="AR6" i="23"/>
  <c r="AS6" i="23"/>
  <c r="AU6" i="23"/>
  <c r="AV6" i="23"/>
  <c r="AW6" i="23"/>
  <c r="AX6" i="23"/>
  <c r="BE6" i="23"/>
  <c r="BF6" i="23"/>
  <c r="BK6" i="23"/>
  <c r="BG6" i="23"/>
  <c r="BH6" i="23"/>
  <c r="BM6" i="23"/>
  <c r="BI6" i="23"/>
  <c r="BN6" i="23"/>
  <c r="BJ6" i="23"/>
  <c r="C7" i="23"/>
  <c r="D7" i="23"/>
  <c r="E7" i="23"/>
  <c r="F7" i="23"/>
  <c r="J7" i="23"/>
  <c r="L7" i="23"/>
  <c r="N7" i="23"/>
  <c r="O7" i="23"/>
  <c r="P7" i="23"/>
  <c r="R7" i="23"/>
  <c r="S7" i="23"/>
  <c r="U7" i="23"/>
  <c r="X7" i="23"/>
  <c r="Y7" i="23"/>
  <c r="Z7" i="23"/>
  <c r="AA7" i="23"/>
  <c r="AC7" i="23"/>
  <c r="AF7" i="23"/>
  <c r="AG7" i="23"/>
  <c r="AH7" i="23"/>
  <c r="AI7" i="23"/>
  <c r="AK7" i="23"/>
  <c r="AL7" i="23"/>
  <c r="AM7" i="23"/>
  <c r="AN7" i="23"/>
  <c r="AQ7" i="23"/>
  <c r="AR7" i="23"/>
  <c r="AS7" i="23"/>
  <c r="AU7" i="23"/>
  <c r="AV7" i="23"/>
  <c r="AW7" i="23"/>
  <c r="AX7" i="23"/>
  <c r="BE7" i="23"/>
  <c r="BF7" i="23"/>
  <c r="BK7" i="23"/>
  <c r="BG7" i="23"/>
  <c r="BH7" i="23"/>
  <c r="BM7" i="23"/>
  <c r="BI7" i="23"/>
  <c r="BJ7" i="23"/>
  <c r="C8" i="23"/>
  <c r="D8" i="23"/>
  <c r="E8" i="23"/>
  <c r="F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I8" i="23"/>
  <c r="AK8" i="23"/>
  <c r="AL8" i="23"/>
  <c r="AM8" i="23"/>
  <c r="AN8" i="23"/>
  <c r="AQ8" i="23"/>
  <c r="AR8" i="23"/>
  <c r="AS8" i="23"/>
  <c r="AU8" i="23"/>
  <c r="AV8" i="23"/>
  <c r="AW8" i="23"/>
  <c r="AX8" i="23"/>
  <c r="BC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J9" i="23"/>
  <c r="L9" i="23"/>
  <c r="M9" i="23"/>
  <c r="N9" i="23"/>
  <c r="O9" i="23"/>
  <c r="P9" i="23"/>
  <c r="R9" i="23"/>
  <c r="S9" i="23"/>
  <c r="U9" i="23"/>
  <c r="V9" i="23"/>
  <c r="X9" i="23"/>
  <c r="Y9" i="23"/>
  <c r="Z9" i="23"/>
  <c r="AA9" i="23"/>
  <c r="AC9" i="23"/>
  <c r="AD9" i="23"/>
  <c r="AF9" i="23"/>
  <c r="AG8" i="23"/>
  <c r="AG9" i="23"/>
  <c r="AH9" i="23"/>
  <c r="AI9" i="23"/>
  <c r="AK9" i="23"/>
  <c r="AL9" i="23"/>
  <c r="AM9" i="23"/>
  <c r="AN9" i="23"/>
  <c r="AQ9" i="23"/>
  <c r="AR9" i="23"/>
  <c r="AS9" i="23"/>
  <c r="AU9" i="23"/>
  <c r="AV9" i="23"/>
  <c r="AW9" i="23"/>
  <c r="AX9" i="23"/>
  <c r="BE9" i="23"/>
  <c r="BF9" i="23"/>
  <c r="BK9" i="23"/>
  <c r="BG9" i="23"/>
  <c r="BH9" i="23"/>
  <c r="BM9" i="23"/>
  <c r="BI9" i="23"/>
  <c r="BN9" i="23"/>
  <c r="BJ9" i="23"/>
  <c r="C10" i="23"/>
  <c r="D10" i="23"/>
  <c r="E10" i="23"/>
  <c r="F10" i="23"/>
  <c r="J10" i="23"/>
  <c r="K10" i="23"/>
  <c r="L10" i="23"/>
  <c r="N10" i="23"/>
  <c r="O10" i="23"/>
  <c r="P10" i="23"/>
  <c r="R10" i="23"/>
  <c r="S10" i="23"/>
  <c r="T10" i="23"/>
  <c r="U10" i="23"/>
  <c r="X10" i="23"/>
  <c r="Y10" i="23"/>
  <c r="Z10" i="23"/>
  <c r="AA10" i="23"/>
  <c r="AB10" i="23"/>
  <c r="AC10" i="23"/>
  <c r="AF10" i="23"/>
  <c r="AI10" i="23"/>
  <c r="AK10" i="23"/>
  <c r="AL10" i="23"/>
  <c r="AM10" i="23"/>
  <c r="AN10" i="23"/>
  <c r="AQ10" i="23"/>
  <c r="AR10" i="23"/>
  <c r="AS10" i="23"/>
  <c r="AU10" i="23"/>
  <c r="AV10" i="23"/>
  <c r="AW10" i="23"/>
  <c r="AX10" i="23"/>
  <c r="BE10" i="23"/>
  <c r="BF10" i="23"/>
  <c r="BK10" i="23"/>
  <c r="BG10" i="23"/>
  <c r="BL10" i="23"/>
  <c r="BH10" i="23"/>
  <c r="BM10" i="23"/>
  <c r="BI10" i="23"/>
  <c r="BJ10" i="23"/>
  <c r="C11" i="23"/>
  <c r="D11" i="23"/>
  <c r="E11" i="23"/>
  <c r="F11" i="23"/>
  <c r="J11" i="23"/>
  <c r="L11" i="23"/>
  <c r="N11" i="23"/>
  <c r="O11" i="23"/>
  <c r="P11" i="23"/>
  <c r="R11" i="23"/>
  <c r="S11" i="23"/>
  <c r="U11" i="23"/>
  <c r="X11" i="23"/>
  <c r="Y11" i="23"/>
  <c r="Z11" i="23"/>
  <c r="AA11" i="23"/>
  <c r="AC11" i="23"/>
  <c r="AF11" i="23"/>
  <c r="AG10" i="23"/>
  <c r="AG11" i="23"/>
  <c r="AH11" i="23"/>
  <c r="AI11" i="23"/>
  <c r="AK11" i="23"/>
  <c r="AL11" i="23"/>
  <c r="AM11" i="23"/>
  <c r="AN11" i="23"/>
  <c r="AQ11" i="23"/>
  <c r="AR11" i="23"/>
  <c r="AS11" i="23"/>
  <c r="AU11" i="23"/>
  <c r="AV11" i="23"/>
  <c r="AW11" i="23"/>
  <c r="AX11" i="23"/>
  <c r="BE11" i="23"/>
  <c r="BF11" i="23"/>
  <c r="BK11" i="23"/>
  <c r="BG11" i="23"/>
  <c r="BH11" i="23"/>
  <c r="BM11" i="23"/>
  <c r="BI11" i="23"/>
  <c r="BJ11" i="23"/>
  <c r="C3" i="23"/>
  <c r="D3" i="23"/>
  <c r="E3" i="23"/>
  <c r="F3" i="23"/>
  <c r="J3" i="23"/>
  <c r="L3" i="23"/>
  <c r="M3" i="23"/>
  <c r="N3" i="23"/>
  <c r="O3" i="23"/>
  <c r="P3" i="23"/>
  <c r="R3" i="23"/>
  <c r="S3" i="23"/>
  <c r="U3" i="23"/>
  <c r="V3" i="23"/>
  <c r="X3" i="23"/>
  <c r="Y3" i="23"/>
  <c r="Z3" i="23"/>
  <c r="AA3" i="23"/>
  <c r="AC3" i="23"/>
  <c r="AD3" i="23"/>
  <c r="AF3" i="23"/>
  <c r="AG2" i="23"/>
  <c r="AG3" i="23"/>
  <c r="AH3" i="23"/>
  <c r="AI3" i="23"/>
  <c r="AK3" i="23"/>
  <c r="AL3" i="23"/>
  <c r="AM3" i="23"/>
  <c r="AN3" i="23"/>
  <c r="AQ3" i="23"/>
  <c r="AR3" i="23"/>
  <c r="AS3" i="23"/>
  <c r="AU3" i="23"/>
  <c r="AV3" i="23"/>
  <c r="AW3" i="23"/>
  <c r="AX3" i="23"/>
  <c r="BE3" i="23"/>
  <c r="J2" i="23"/>
  <c r="BF3" i="23"/>
  <c r="BK3" i="23"/>
  <c r="BG3" i="23"/>
  <c r="BH3" i="23"/>
  <c r="BM3" i="23"/>
  <c r="BI3" i="23"/>
  <c r="BN3" i="23"/>
  <c r="BJ3" i="23"/>
  <c r="C4" i="23"/>
  <c r="D4" i="23"/>
  <c r="E4" i="23"/>
  <c r="F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L4" i="23"/>
  <c r="AM4" i="23"/>
  <c r="AN4" i="23"/>
  <c r="AQ4" i="23"/>
  <c r="AR4" i="23"/>
  <c r="AS4" i="23"/>
  <c r="AU4" i="23"/>
  <c r="AV4" i="23"/>
  <c r="AW4" i="23"/>
  <c r="AX4" i="23"/>
  <c r="BC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L5" i="23"/>
  <c r="M5" i="23"/>
  <c r="N5" i="23"/>
  <c r="O5" i="23"/>
  <c r="P5" i="23"/>
  <c r="R5" i="23"/>
  <c r="U5" i="23"/>
  <c r="V5" i="23"/>
  <c r="X5" i="23"/>
  <c r="Y5" i="23"/>
  <c r="Z5" i="23"/>
  <c r="AC5" i="23"/>
  <c r="AD5" i="23"/>
  <c r="AF5" i="23"/>
  <c r="AG5" i="23"/>
  <c r="AH5" i="23"/>
  <c r="AI5" i="23"/>
  <c r="AK5" i="23"/>
  <c r="AL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N5" i="23"/>
  <c r="BJ5" i="23"/>
  <c r="G2" i="53"/>
  <c r="E2" i="53"/>
  <c r="J2" i="52"/>
  <c r="H2" i="52"/>
  <c r="AN2" i="23"/>
  <c r="AM2" i="23"/>
  <c r="AL2" i="23"/>
  <c r="AI2" i="23"/>
  <c r="O2" i="23"/>
  <c r="N2" i="23"/>
  <c r="AS2" i="23"/>
  <c r="AR2" i="23"/>
  <c r="AQ2" i="23"/>
  <c r="V2" i="23"/>
  <c r="AD2" i="23"/>
  <c r="M2" i="23"/>
  <c r="BN2" i="23"/>
  <c r="U2" i="23"/>
  <c r="AC2" i="23"/>
  <c r="L2" i="23"/>
  <c r="BM2" i="23"/>
  <c r="S2" i="23"/>
  <c r="AA2" i="23"/>
  <c r="BK2" i="23"/>
  <c r="BE2" i="23"/>
  <c r="BJ2" i="23"/>
  <c r="BI2" i="23"/>
  <c r="BH2" i="23"/>
  <c r="BG2" i="23"/>
  <c r="BF2" i="23"/>
  <c r="AX2" i="23"/>
  <c r="AW2" i="23"/>
  <c r="AV2" i="23"/>
  <c r="AU2" i="23"/>
  <c r="AK2" i="23"/>
  <c r="AF2" i="23"/>
  <c r="Y2" i="23"/>
  <c r="Z2" i="23"/>
  <c r="X2" i="23"/>
  <c r="R2" i="23"/>
  <c r="P2" i="23"/>
  <c r="F2" i="23"/>
  <c r="E2" i="23"/>
  <c r="D2" i="23"/>
  <c r="C2" i="23"/>
  <c r="E8" i="49"/>
  <c r="E7" i="49"/>
  <c r="E6" i="49"/>
  <c r="E5" i="49"/>
  <c r="E9" i="49"/>
  <c r="E10" i="49"/>
  <c r="E3" i="49"/>
  <c r="E4" i="49"/>
  <c r="E2" i="49"/>
  <c r="AH2" i="23"/>
  <c r="AH8" i="23"/>
  <c r="AH10" i="23"/>
</calcChain>
</file>

<file path=xl/sharedStrings.xml><?xml version="1.0" encoding="utf-8"?>
<sst xmlns="http://schemas.openxmlformats.org/spreadsheetml/2006/main" count="797" uniqueCount="334">
  <si>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</si>
  <si>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</si>
  <si>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</si>
  <si>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</si>
  <si>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</si>
  <si>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</si>
  <si>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</si>
  <si>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</si>
  <si>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</si>
  <si>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</si>
  <si>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</si>
  <si>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</si>
  <si>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</si>
  <si>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</si>
  <si>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</si>
  <si>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</si>
  <si>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</si>
  <si>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PremiumL</t>
    <phoneticPr fontId="9"/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</si>
  <si>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</si>
  <si>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</si>
  <si>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</si>
  <si>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</si>
  <si>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</si>
  <si>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</si>
  <si>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</si>
  <si>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</si>
  <si>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</si>
  <si>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</si>
  <si>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PremiumW</t>
    <phoneticPr fontId="9"/>
  </si>
  <si>
    <t>PremiumN</t>
    <phoneticPr fontId="9"/>
  </si>
  <si>
    <t>Material</t>
    <phoneticPr fontId="9"/>
  </si>
  <si>
    <t>PremiumSS</t>
    <phoneticPr fontId="9"/>
  </si>
  <si>
    <t>PremiumSSS</t>
    <phoneticPr fontId="9"/>
  </si>
  <si>
    <t>PremiumL</t>
    <phoneticPr fontId="9"/>
  </si>
  <si>
    <t>-</t>
    <phoneticPr fontId="9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</si>
  <si>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</si>
  <si>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</si>
  <si>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</si>
  <si>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</si>
  <si>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</si>
  <si>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</si>
  <si>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</si>
  <si>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Drop1T</t>
    <phoneticPr fontId="9"/>
  </si>
  <si>
    <t>Drop1S</t>
    <phoneticPr fontId="9"/>
  </si>
  <si>
    <t>Drop2W</t>
    <phoneticPr fontId="9"/>
  </si>
  <si>
    <t>Drop2S</t>
    <phoneticPr fontId="9"/>
  </si>
  <si>
    <t>調整後</t>
    <rPh sb="0" eb="2">
      <t>チョウセイ</t>
    </rPh>
    <rPh sb="2" eb="3">
      <t>アト</t>
    </rPh>
    <phoneticPr fontId="10"/>
  </si>
  <si>
    <t>PremiumN</t>
  </si>
  <si>
    <t>PremiumW</t>
  </si>
  <si>
    <t>Drop2N</t>
  </si>
  <si>
    <t>Drop2W</t>
  </si>
  <si>
    <t>Drop1S</t>
  </si>
  <si>
    <t>Drop1T</t>
  </si>
  <si>
    <t>PremiumW</t>
    <phoneticPr fontId="9"/>
  </si>
  <si>
    <t>Material</t>
    <phoneticPr fontId="9"/>
  </si>
  <si>
    <t>使用せず</t>
    <rPh sb="0" eb="2">
      <t>シヨウ</t>
    </rPh>
    <phoneticPr fontId="9"/>
  </si>
  <si>
    <t>PremiumSSS</t>
    <phoneticPr fontId="9"/>
  </si>
  <si>
    <t>PremiumN</t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</si>
  <si>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</si>
  <si>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</si>
  <si>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</si>
  <si>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</si>
  <si>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ラベル/レアリティ</t>
    <phoneticPr fontId="9"/>
  </si>
  <si>
    <t>Drop2N</t>
    <phoneticPr fontId="9"/>
  </si>
  <si>
    <t>Drop2S</t>
    <phoneticPr fontId="9"/>
  </si>
  <si>
    <t>Drop2S</t>
    <phoneticPr fontId="9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</si>
  <si>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</si>
  <si>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</si>
  <si>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</si>
  <si>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</si>
  <si>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</si>
  <si>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</si>
  <si>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</si>
  <si>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</si>
  <si>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</si>
  <si>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</si>
  <si>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</si>
  <si>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</si>
  <si>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</si>
  <si>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</si>
  <si>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</si>
  <si>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</si>
  <si>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</si>
  <si>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</si>
  <si>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</si>
  <si>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</si>
  <si>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</si>
  <si>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</si>
  <si>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</si>
  <si>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</si>
  <si>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</si>
  <si>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</si>
  <si>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</si>
  <si>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</si>
  <si>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</si>
  <si>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</si>
  <si>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</si>
  <si>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</si>
  <si>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</si>
  <si>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</si>
  <si>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</si>
  <si>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</si>
  <si>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</si>
  <si>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</si>
  <si>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</si>
  <si>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</si>
  <si>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</si>
  <si>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</si>
  <si>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</si>
  <si>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</si>
  <si>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</si>
  <si>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</si>
  <si>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</si>
  <si>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</si>
  <si>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</si>
  <si>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</si>
  <si>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</si>
  <si>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</si>
  <si>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</si>
  <si>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</si>
  <si>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</si>
  <si>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</si>
  <si>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</si>
  <si>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</si>
  <si>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</si>
  <si>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</si>
  <si>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</si>
  <si>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</si>
  <si>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</si>
  <si>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</si>
  <si>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</si>
  <si>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Drop2W</t>
    <phoneticPr fontId="9"/>
  </si>
  <si>
    <t>PremiumW</t>
    <phoneticPr fontId="9"/>
  </si>
  <si>
    <t>Drop2N</t>
    <phoneticPr fontId="9"/>
  </si>
  <si>
    <t>comment</t>
    <phoneticPr fontId="10"/>
  </si>
  <si>
    <t>character_id</t>
    <phoneticPr fontId="10"/>
  </si>
  <si>
    <t>-</t>
    <phoneticPr fontId="9"/>
  </si>
  <si>
    <t>-</t>
    <phoneticPr fontId="9"/>
  </si>
  <si>
    <t>PremiumSSS</t>
    <phoneticPr fontId="9"/>
  </si>
  <si>
    <t>PremiumSS</t>
    <phoneticPr fontId="9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</si>
  <si>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</si>
  <si>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</si>
  <si>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</si>
  <si>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</si>
  <si>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</si>
  <si>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Drop2S</t>
    <phoneticPr fontId="9"/>
  </si>
  <si>
    <t>-</t>
    <phoneticPr fontId="9"/>
  </si>
  <si>
    <t>required_exp_250</t>
    <phoneticPr fontId="9"/>
  </si>
  <si>
    <t>required_exp_250</t>
    <phoneticPr fontId="9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</si>
  <si>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</si>
  <si>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</si>
  <si>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</si>
  <si>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</si>
  <si>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</si>
  <si>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</si>
  <si>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</si>
  <si>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</si>
  <si>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</si>
  <si>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</si>
  <si>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</si>
  <si>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</si>
  <si>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</si>
  <si>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</si>
  <si>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</si>
  <si>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</si>
  <si>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</si>
  <si>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character_id</t>
    <phoneticPr fontId="22"/>
  </si>
  <si>
    <t>serif_id</t>
    <phoneticPr fontId="22"/>
  </si>
  <si>
    <t>serif_type</t>
  </si>
  <si>
    <t>serif_type</t>
    <phoneticPr fontId="22"/>
  </si>
  <si>
    <t>serif</t>
    <phoneticPr fontId="22"/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</si>
  <si>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</si>
  <si>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</si>
  <si>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</si>
  <si>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</si>
  <si>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</si>
  <si>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</si>
  <si>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</si>
  <si>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</si>
  <si>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</si>
  <si>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</si>
  <si>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</si>
  <si>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</si>
  <si>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</si>
  <si>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</si>
  <si>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</si>
  <si>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</si>
  <si>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</si>
  <si>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</si>
  <si>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</si>
  <si>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</si>
  <si>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</si>
  <si>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</si>
  <si>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</si>
  <si>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</si>
  <si>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</si>
  <si>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</si>
  <si>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</si>
  <si>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</si>
  <si>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</si>
  <si>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</si>
  <si>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</si>
  <si>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</si>
  <si>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</si>
  <si>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</si>
  <si>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</si>
  <si>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</si>
  <si>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</si>
  <si>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</si>
  <si>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</si>
  <si>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分類2</t>
    <rPh sb="0" eb="2">
      <t>ブンルイ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</si>
  <si>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</si>
  <si>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</si>
  <si>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</si>
  <si>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</si>
  <si>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</si>
  <si>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</si>
  <si>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</si>
  <si>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</si>
  <si>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</si>
  <si>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</si>
  <si>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</si>
  <si>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</si>
  <si>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</si>
  <si>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event06</t>
  </si>
  <si>
    <t>event06</t>
    <phoneticPr fontId="22"/>
  </si>
  <si>
    <t>old</t>
  </si>
  <si>
    <t>[effect:damage, target:enemy_one, color:red, val:1.2, animation:damage_one_red03],[effect:damage, target:enemy_one, color:red, val:1.2, animation:damage_one_red03]</t>
    <phoneticPr fontId="22"/>
  </si>
  <si>
    <t>ハートブレイクイグナイト</t>
    <phoneticPr fontId="28"/>
  </si>
  <si>
    <t>ローズバラージランチャー</t>
    <phoneticPr fontId="28"/>
  </si>
  <si>
    <t>3ターン赤属性の攻撃力をUP(ハートパネルを吸収した数に応じて効果UP)</t>
    <rPh sb="8" eb="12">
      <t>コウゲk</t>
    </rPh>
    <rPh sb="18" eb="22">
      <t>アk</t>
    </rPh>
    <rPh sb="22" eb="24">
      <t>9sy</t>
    </rPh>
    <rPh sb="24" eb="25">
      <t>ハカ</t>
    </rPh>
    <rPh sb="26" eb="28">
      <t>カz</t>
    </rPh>
    <rPh sb="28" eb="31">
      <t>オウジt</t>
    </rPh>
    <rPh sb="31" eb="33">
      <t>コウk</t>
    </rPh>
    <phoneticPr fontId="22"/>
  </si>
  <si>
    <t>単体に2回中ダメージ</t>
    <rPh sb="0" eb="3">
      <t>タンタ</t>
    </rPh>
    <rPh sb="4" eb="5">
      <t>カイd</t>
    </rPh>
    <rPh sb="5" eb="6">
      <t>チュウ</t>
    </rPh>
    <phoneticPr fontId="22"/>
  </si>
  <si>
    <t>[effect:break_enchance_unit, val:0.005, lowest_val:0.2, count :-1, status:attack, turn:3, block:block_heart, target:unit_red, calc:mul, animation:enhance_unit_all_attack04]</t>
    <phoneticPr fontId="22"/>
  </si>
  <si>
    <t>[effect:change_block, new_block:block_green, target:block_red, color:block_green, count:0, val:0, animation:change_block],[effect:enhance_unit, target:unit_green, turn:3, status:attack, val:0.21, calc:mul, animation:enhance_unit_all_attack04_unit01],[effect:enhance_unit, target:unit_green, turn:3, status:defense, val:1080, calc:add, animation:enhance_unit_all_defense04_unit01]</t>
    <phoneticPr fontId="22"/>
  </si>
  <si>
    <t>1体に中ダメージ
ヒューマンに効果大</t>
    <rPh sb="3" eb="4">
      <t>チュウ</t>
    </rPh>
    <phoneticPr fontId="22"/>
  </si>
  <si>
    <t>1体に中ダメージ
ヒューマンに効果大</t>
    <rPh sb="3" eb="4">
      <t>チュ</t>
    </rPh>
    <phoneticPr fontId="22"/>
  </si>
  <si>
    <t>ハイディン・マリス</t>
    <phoneticPr fontId="28"/>
  </si>
  <si>
    <t>悪逆の恐手</t>
    <rPh sb="0" eb="2">
      <t>アk</t>
    </rPh>
    <rPh sb="3" eb="4">
      <t>コワ</t>
    </rPh>
    <rPh sb="4" eb="5">
      <t>テ</t>
    </rPh>
    <phoneticPr fontId="28"/>
  </si>
  <si>
    <t>[effect:damage_anti_tribe, target:enemy_one, tribe:human, val1:2.63, val2:1.13,  animation:damage_one_green03]</t>
    <phoneticPr fontId="22"/>
  </si>
  <si>
    <t>3ターンの間緑属性のユニットの攻撃力と防御力を特大UP＋赤パネルを緑パネルに変換</t>
    <phoneticPr fontId="22"/>
  </si>
  <si>
    <t>[effect:damage_anti_tribe, target:enemy_one, tribe:human, val1:2.63, val2:1.13,  animation:damage_one_green03]</t>
    <phoneticPr fontId="22"/>
  </si>
  <si>
    <t>1体に大ダメージ
Unknownに効果大</t>
    <phoneticPr fontId="22"/>
  </si>
  <si>
    <t>[effect:reduction, target:unit_all, turn:1, color:yellow, val:0.5, animation:reduction_one03],[effect:crash_growth,count:-1, val:3, animation:change_block]</t>
    <phoneticPr fontId="22"/>
  </si>
  <si>
    <t>[effect:reduction, target:unit_all, turn:1, color:yellow, val:0.5, animation:reduction_one03],[effect:crash_growth,count:-1, val:2, animation:change_block]</t>
    <phoneticPr fontId="22"/>
  </si>
  <si>
    <t>1ターン黄属性の敵ダメージを50%軽減する＋出現しているCパネルを大強化する</t>
    <phoneticPr fontId="22"/>
  </si>
  <si>
    <t>1ターン黄属性の敵ダメージを50%軽減する＋出現しているCパネルを特大強化する</t>
    <rPh sb="33" eb="35">
      <t>トクダ</t>
    </rPh>
    <phoneticPr fontId="22"/>
  </si>
  <si>
    <t>シェルセット・キャプチャー</t>
    <phoneticPr fontId="22"/>
  </si>
  <si>
    <t>シェルセット・バンリバティー</t>
    <phoneticPr fontId="22"/>
  </si>
  <si>
    <t>サンプリングブックス</t>
    <phoneticPr fontId="22"/>
  </si>
  <si>
    <t>サンプリングブックス</t>
    <phoneticPr fontId="22"/>
  </si>
  <si>
    <t>[effect:damage_anti_tribe, target:enemy_one, tribe:unknown, val1:3.0, val2:1.31, animation:damage_one_green04]</t>
    <phoneticPr fontId="22"/>
  </si>
  <si>
    <t>[effect:damage_anti_tribe, target:enemy_one, tribe:unknown, val1:3.0, val2:1.31, animation:damage_one_green04]</t>
    <phoneticPr fontId="22"/>
  </si>
  <si>
    <t>迎撃陣形 アサルト</t>
    <rPh sb="0" eb="2">
      <t>ゲイゲk</t>
    </rPh>
    <rPh sb="2" eb="4">
      <t>ジンケ</t>
    </rPh>
    <phoneticPr fontId="22"/>
  </si>
  <si>
    <t>迎撃陣形 インターセプト</t>
    <rPh sb="0" eb="12">
      <t>ゲイゲk</t>
    </rPh>
    <phoneticPr fontId="22"/>
  </si>
  <si>
    <t>モンスター★パレード</t>
    <phoneticPr fontId="22"/>
  </si>
  <si>
    <t>モンスター★カーニバル</t>
    <phoneticPr fontId="22"/>
  </si>
  <si>
    <t>アイソレーションシステム</t>
    <phoneticPr fontId="22"/>
  </si>
  <si>
    <t>コンファインメントシステム</t>
    <phoneticPr fontId="22"/>
  </si>
  <si>
    <t>ロウ オブ ザ ジャングル</t>
    <phoneticPr fontId="22"/>
  </si>
  <si>
    <t>ロウ オブ ザ モンスター</t>
    <phoneticPr fontId="22"/>
  </si>
  <si>
    <t>3ターン自身の攻撃力を特大UPし、黄属性の防御力を特大UPする</t>
    <rPh sb="4" eb="7">
      <t>ジシン</t>
    </rPh>
    <rPh sb="7" eb="10">
      <t>コウゲk</t>
    </rPh>
    <rPh sb="11" eb="12">
      <t>トk</t>
    </rPh>
    <rPh sb="12" eb="13">
      <t>チョウダイ</t>
    </rPh>
    <rPh sb="17" eb="21">
      <t>キ</t>
    </rPh>
    <rPh sb="21" eb="25">
      <t>ボ</t>
    </rPh>
    <rPh sb="25" eb="27">
      <t>トk</t>
    </rPh>
    <phoneticPr fontId="22"/>
  </si>
  <si>
    <t>3ターン自身の攻撃力を超大UPし、黄属性の防御力を特大UPする</t>
    <rPh sb="4" eb="7">
      <t>ジシン</t>
    </rPh>
    <rPh sb="7" eb="10">
      <t>コウゲk</t>
    </rPh>
    <rPh sb="11" eb="13">
      <t>チョウダイ</t>
    </rPh>
    <rPh sb="17" eb="21">
      <t>キ</t>
    </rPh>
    <rPh sb="21" eb="25">
      <t>ボ</t>
    </rPh>
    <rPh sb="25" eb="27">
      <t>トk</t>
    </rPh>
    <phoneticPr fontId="22"/>
  </si>
  <si>
    <t>3ターンの間敵からダメージを受けたとき大ダメージを与え、青属性の回復力を大UP</t>
    <rPh sb="28" eb="32">
      <t>アオゾk</t>
    </rPh>
    <rPh sb="32" eb="34">
      <t>カ</t>
    </rPh>
    <rPh sb="34" eb="35">
      <t>リョk</t>
    </rPh>
    <rPh sb="36" eb="37">
      <t>ダイ</t>
    </rPh>
    <phoneticPr fontId="22"/>
  </si>
  <si>
    <t>3ターンの間敵からダメージを受けたとき大ダメージを与え、青属性の回復力を特大UP</t>
    <rPh sb="28" eb="32">
      <t>アオゾk</t>
    </rPh>
    <rPh sb="32" eb="34">
      <t>カ</t>
    </rPh>
    <rPh sb="34" eb="35">
      <t>リョk</t>
    </rPh>
    <rPh sb="36" eb="37">
      <t>トk</t>
    </rPh>
    <rPh sb="37" eb="38">
      <t>ダイ</t>
    </rPh>
    <phoneticPr fontId="22"/>
  </si>
  <si>
    <t>1体に中ダメージ+
1ターン全ユニットの防御小UP</t>
    <rPh sb="14" eb="15">
      <t>ゼン</t>
    </rPh>
    <rPh sb="22" eb="23">
      <t>ショウ</t>
    </rPh>
    <phoneticPr fontId="22"/>
  </si>
  <si>
    <t>1体に小ダメージ
アニマルに効果大</t>
    <rPh sb="3" eb="4">
      <t>ショ</t>
    </rPh>
    <phoneticPr fontId="22"/>
  </si>
  <si>
    <t>1体に中ダメージ
アニマルに効果特大</t>
    <rPh sb="3" eb="4">
      <t>チュ</t>
    </rPh>
    <rPh sb="16" eb="18">
      <t>トk</t>
    </rPh>
    <phoneticPr fontId="22"/>
  </si>
  <si>
    <t>R3</t>
  </si>
  <si>
    <t>R4</t>
  </si>
  <si>
    <t>R5</t>
  </si>
  <si>
    <t>ユニット名</t>
  </si>
  <si>
    <t>スキル</t>
  </si>
  <si>
    <t>Cスキル</t>
  </si>
  <si>
    <t>覚醒素材</t>
  </si>
  <si>
    <t>[effect:damage_anti_tribe, target:enemy_one, tribe:animal, val1:2.63, val2:0.94,  animation:damage_one_yellow04]</t>
    <phoneticPr fontId="22"/>
  </si>
  <si>
    <t>[effect:enhance_unit, target:myself, turn:3, status:attack, val:0.34, calc:mul, animation:enhance_unit_all_attack04_unit01],[effect:enhance_unit, target:unit_yellow, turn:3, status:defense, val:1440, calc:add, animation:enhance_unit_all_defense03_unit01]</t>
    <phoneticPr fontId="22"/>
  </si>
  <si>
    <t>[effect:enhance_unit, target:myself, turn:3, status:attack, val:0.255, calc:mul, animation:enhance_unit_all_attack04_unit01],[effect:enhance_unit, target:unit_yellow, turn:3, status:defense, val:1440, calc:add, animation:enhance_unit_all_defense03_unit01]</t>
    <phoneticPr fontId="22"/>
  </si>
  <si>
    <t>[effect:damage, target:enemy_one, color:blue, val:1.2, animation:damage_one_blue04],[effect:enhance_unit, target:unit_all, turn:1, status:defense, val:18, calc:add,animation:enhance_unit_all_deffence02_unit01]</t>
    <phoneticPr fontId="22"/>
  </si>
  <si>
    <t>[effect:damage, target:enemy_one, color:blue, val:0.9, animation:damage_one_blue03],[effect:enhance_unit, target:unit_all, turn:1, status:defense, val:18, calc:add,animation:enhance_unit_all_deffence02_unit01]</t>
    <phoneticPr fontId="22"/>
  </si>
  <si>
    <t>[effect:counter_new,target:unit_all,invoke_condition:enemy_all,counter_target:attacker,turn:3, val:2.0, animation:counter_buff03],[effect:enhance_unit, target:unit_blue, turn:3, status:heal, val:0.42, calc:mul, animation:enhance_unit_all_heal04_unit01]</t>
    <phoneticPr fontId="22"/>
  </si>
  <si>
    <t>[effect:counter_new,target:unit_all,invoke_condition:enemy_all,counter_target:attacker,turn:3, val:2.0, animation:counter_buff03],[effect:enhance_unit, target:unit_blue, turn:3, status:heal, val:0.6, calc:mul, animation:enhance_unit_all_heal04]</t>
    <phoneticPr fontId="22"/>
  </si>
  <si>
    <t>1体に大ダメージ+
1ターン全ユニットの防御小UP</t>
    <rPh sb="3" eb="4">
      <t>ダ</t>
    </rPh>
    <rPh sb="14" eb="15">
      <t>ゼン</t>
    </rPh>
    <rPh sb="22" eb="23">
      <t>ショ</t>
    </rPh>
    <phoneticPr fontId="22"/>
  </si>
  <si>
    <t>DropWizSSS</t>
    <phoneticPr fontId="9"/>
  </si>
  <si>
    <t>-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</si>
  <si>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</si>
  <si>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</si>
  <si>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</si>
  <si>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</si>
  <si>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DropN</t>
    <phoneticPr fontId="9"/>
  </si>
  <si>
    <t>DropW</t>
    <phoneticPr fontId="9"/>
  </si>
  <si>
    <t>DropWizSSS</t>
    <phoneticPr fontId="9"/>
  </si>
  <si>
    <t>DropWizSS</t>
    <phoneticPr fontId="9"/>
  </si>
  <si>
    <t>DropWizS</t>
    <phoneticPr fontId="9"/>
  </si>
  <si>
    <t>DropN</t>
    <phoneticPr fontId="9"/>
  </si>
  <si>
    <t>DropW</t>
    <phoneticPr fontId="9"/>
  </si>
  <si>
    <t>DropWizSSS</t>
    <phoneticPr fontId="9"/>
  </si>
  <si>
    <t>-</t>
    <phoneticPr fontId="9"/>
  </si>
  <si>
    <t>required_exp_250</t>
    <phoneticPr fontId="9"/>
  </si>
  <si>
    <t>required_exp_300</t>
    <phoneticPr fontId="9"/>
  </si>
  <si>
    <t>DropWizSS</t>
    <phoneticPr fontId="9"/>
  </si>
  <si>
    <t>required_exp_250</t>
    <phoneticPr fontId="9"/>
  </si>
  <si>
    <t>DropWizS</t>
    <phoneticPr fontId="9"/>
  </si>
  <si>
    <t>DropN</t>
    <phoneticPr fontId="9"/>
  </si>
  <si>
    <t>required_exp_250</t>
    <phoneticPr fontId="9"/>
  </si>
  <si>
    <t>DropW</t>
    <phoneticPr fontId="9"/>
  </si>
  <si>
    <t>-</t>
    <phoneticPr fontId="9"/>
  </si>
  <si>
    <t>DropWizSSS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</si>
  <si>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</si>
  <si>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</si>
  <si>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</si>
  <si>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</si>
  <si>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[effect:damage_anti_tribe, target:enemy_one, tribe:animal, val1:3.375, val2:1.13,  animation:damage_one_yellow04]</t>
    <phoneticPr fontId="22"/>
  </si>
  <si>
    <t>sell_ghosts</t>
    <phoneticPr fontId="10"/>
  </si>
  <si>
    <t>sell_ghosts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</si>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</sst>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6"/>
      <name val="メイリオ"/>
      <family val="2"/>
      <charset val="128"/>
    </font>
  </fonts>
  <fills count="26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</borders>
  <cellStyleXfs count="4714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" xfId="0" applyFont="1" applyFill="1" applyBorder="1" applyAlignment="1">
      <alignment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13" fillId="0" borderId="4" xfId="0" applyFont="1" applyBorder="1"/>
    <xf numFmtId="0" fontId="0" fillId="0" borderId="4" xfId="0" applyBorder="1" applyAlignment="1">
      <alignment vertical="center"/>
    </xf>
    <xf numFmtId="0" fontId="13" fillId="0" borderId="4" xfId="0" applyFont="1" applyBorder="1" applyAlignment="1">
      <alignment vertical="center"/>
    </xf>
    <xf numFmtId="0" fontId="26" fillId="0" borderId="8" xfId="0" applyFont="1" applyBorder="1" applyAlignment="1">
      <alignment horizontal="left" vertical="top"/>
    </xf>
    <xf numFmtId="0" fontId="25" fillId="0" borderId="7" xfId="0" applyFont="1" applyFill="1" applyBorder="1" applyAlignment="1">
      <alignment vertical="center"/>
    </xf>
    <xf numFmtId="0" fontId="14" fillId="0" borderId="4" xfId="0" applyFont="1" applyBorder="1" applyAlignment="1">
      <alignment horizontal="left" vertical="top"/>
    </xf>
    <xf numFmtId="0" fontId="25" fillId="0" borderId="7" xfId="0" applyFont="1" applyFill="1" applyBorder="1" applyAlignment="1">
      <alignment vertical="center" wrapText="1"/>
    </xf>
    <xf numFmtId="0" fontId="16" fillId="24" borderId="3" xfId="0" applyFont="1" applyFill="1" applyBorder="1" applyAlignment="1">
      <alignment horizontal="center" vertical="center"/>
    </xf>
    <xf numFmtId="0" fontId="8" fillId="24" borderId="20" xfId="0" applyFont="1" applyFill="1" applyBorder="1" applyAlignment="1">
      <alignment horizontal="center" vertical="center"/>
    </xf>
    <xf numFmtId="0" fontId="8" fillId="24" borderId="1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vertical="center"/>
    </xf>
    <xf numFmtId="0" fontId="8" fillId="24" borderId="19" xfId="0" applyFont="1" applyFill="1" applyBorder="1" applyAlignment="1">
      <alignment horizontal="center" vertical="center"/>
    </xf>
    <xf numFmtId="0" fontId="8" fillId="24" borderId="4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vertical="center"/>
    </xf>
    <xf numFmtId="0" fontId="8" fillId="24" borderId="23" xfId="0" applyFont="1" applyFill="1" applyBorder="1" applyAlignment="1">
      <alignment horizontal="center" vertical="center"/>
    </xf>
    <xf numFmtId="0" fontId="8" fillId="24" borderId="24" xfId="0" applyFont="1" applyFill="1" applyBorder="1" applyAlignment="1">
      <alignment horizontal="center" vertical="center"/>
    </xf>
    <xf numFmtId="0" fontId="8" fillId="25" borderId="24" xfId="0" applyFont="1" applyFill="1" applyBorder="1" applyAlignment="1">
      <alignment vertical="center"/>
    </xf>
    <xf numFmtId="0" fontId="16" fillId="24" borderId="21" xfId="0" applyFont="1" applyFill="1" applyBorder="1" applyAlignment="1">
      <alignment horizontal="center" vertical="center"/>
    </xf>
    <xf numFmtId="0" fontId="8" fillId="24" borderId="25" xfId="0" applyFont="1" applyFill="1" applyBorder="1" applyAlignment="1">
      <alignment horizontal="center" vertical="center"/>
    </xf>
    <xf numFmtId="0" fontId="8" fillId="24" borderId="12" xfId="0" applyFont="1" applyFill="1" applyBorder="1" applyAlignment="1">
      <alignment horizontal="center" vertical="center"/>
    </xf>
    <xf numFmtId="0" fontId="16" fillId="25" borderId="4" xfId="0" applyFont="1" applyFill="1" applyBorder="1" applyAlignment="1">
      <alignment vertical="center"/>
    </xf>
    <xf numFmtId="0" fontId="18" fillId="25" borderId="4" xfId="0" applyFont="1" applyFill="1" applyBorder="1" applyAlignment="1">
      <alignment horizontal="center" vertical="center"/>
    </xf>
    <xf numFmtId="0" fontId="17" fillId="25" borderId="4" xfId="0" applyFont="1" applyFill="1" applyBorder="1" applyAlignment="1">
      <alignment horizontal="center" vertical="center" wrapText="1"/>
    </xf>
    <xf numFmtId="0" fontId="17" fillId="25" borderId="12" xfId="0" applyFont="1" applyFill="1" applyBorder="1" applyAlignment="1">
      <alignment horizontal="center" vertical="center" wrapText="1"/>
    </xf>
    <xf numFmtId="0" fontId="8" fillId="25" borderId="1" xfId="0" applyFont="1" applyFill="1" applyBorder="1" applyAlignment="1">
      <alignment vertical="center"/>
    </xf>
  </cellXfs>
  <cellStyles count="471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赤字強調" xfId="4"/>
    <cellStyle name="青字強調" xfId="3"/>
  </cellStyles>
  <dxfs count="28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externalLink" Target="externalLinks/externalLink1.xml"/><Relationship Id="rId16" Type="http://schemas.openxmlformats.org/officeDocument/2006/relationships/theme" Target="theme/theme1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I1" workbookViewId="0">
      <selection activeCell="L22" sqref="L22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13" t="s">
        <v>158</v>
      </c>
      <c r="B1" s="113" t="s">
        <v>149</v>
      </c>
      <c r="C1" s="113" t="s">
        <v>150</v>
      </c>
      <c r="D1" s="113" t="s">
        <v>151</v>
      </c>
      <c r="E1" s="113" t="s">
        <v>152</v>
      </c>
      <c r="F1" s="113" t="s">
        <v>153</v>
      </c>
      <c r="G1" s="113" t="s">
        <v>154</v>
      </c>
      <c r="H1" s="113"/>
      <c r="I1" s="113"/>
      <c r="J1" s="113"/>
      <c r="K1" s="113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</row>
    <row r="2" spans="1:23" x14ac:dyDescent="0.15">
      <c r="A2" s="115" t="s">
        <v>226</v>
      </c>
      <c r="B2" s="115" t="s">
        <v>162</v>
      </c>
      <c r="C2" s="115" t="s">
        <v>225</v>
      </c>
      <c r="D2" s="115" t="s">
        <v>161</v>
      </c>
      <c r="E2" s="114" t="str">
        <f>B2&amp;C2&amp;D2</f>
        <v>units_event06.tmp</v>
      </c>
      <c r="F2" s="115" t="s">
        <v>157</v>
      </c>
      <c r="G2" s="65" t="s">
        <v>18</v>
      </c>
      <c r="H2" s="66" t="s">
        <v>122</v>
      </c>
      <c r="I2" s="66" t="s">
        <v>1</v>
      </c>
      <c r="J2" s="66" t="s">
        <v>3</v>
      </c>
      <c r="K2" s="66" t="s">
        <v>2</v>
      </c>
      <c r="L2" s="66" t="s">
        <v>124</v>
      </c>
      <c r="M2" s="66" t="s">
        <v>21</v>
      </c>
      <c r="N2" s="66" t="s">
        <v>129</v>
      </c>
      <c r="O2" s="66" t="s">
        <v>127</v>
      </c>
      <c r="P2" s="66" t="s">
        <v>61</v>
      </c>
      <c r="Q2" s="66" t="s">
        <v>83</v>
      </c>
      <c r="R2" s="115" t="s">
        <v>313</v>
      </c>
      <c r="S2" s="115"/>
      <c r="T2" s="115"/>
      <c r="U2" s="115"/>
      <c r="V2" s="115"/>
      <c r="W2" s="115"/>
    </row>
    <row r="3" spans="1:23" x14ac:dyDescent="0.15">
      <c r="A3" s="115" t="s">
        <v>226</v>
      </c>
      <c r="B3" s="115" t="s">
        <v>163</v>
      </c>
      <c r="C3" s="115" t="s">
        <v>225</v>
      </c>
      <c r="D3" s="115" t="s">
        <v>161</v>
      </c>
      <c r="E3" s="114" t="str">
        <f>B3&amp;C3&amp;D3</f>
        <v>awake_materials_event06.tmp</v>
      </c>
      <c r="F3" s="115" t="s">
        <v>156</v>
      </c>
      <c r="G3" s="116" t="s">
        <v>60</v>
      </c>
      <c r="H3" s="117" t="s">
        <v>58</v>
      </c>
      <c r="I3" s="117" t="s">
        <v>59</v>
      </c>
      <c r="J3" s="119" t="s">
        <v>159</v>
      </c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</row>
    <row r="4" spans="1:23" x14ac:dyDescent="0.15">
      <c r="A4" s="115" t="s">
        <v>226</v>
      </c>
      <c r="B4" s="115" t="s">
        <v>164</v>
      </c>
      <c r="C4" s="115" t="s">
        <v>224</v>
      </c>
      <c r="D4" s="115" t="s">
        <v>165</v>
      </c>
      <c r="E4" s="114" t="str">
        <f t="shared" ref="E4" si="0">B4&amp;C4&amp;D4</f>
        <v>unit_levels_calc_event06.tmp</v>
      </c>
      <c r="F4" s="115" t="s">
        <v>155</v>
      </c>
      <c r="G4" s="61" t="s">
        <v>18</v>
      </c>
      <c r="H4" s="62" t="s">
        <v>2</v>
      </c>
      <c r="I4" s="63" t="s">
        <v>105</v>
      </c>
      <c r="J4" s="63" t="s">
        <v>106</v>
      </c>
      <c r="K4" s="63" t="s">
        <v>107</v>
      </c>
      <c r="L4" s="63" t="s">
        <v>108</v>
      </c>
      <c r="M4" s="63" t="s">
        <v>113</v>
      </c>
      <c r="N4" s="63" t="s">
        <v>114</v>
      </c>
      <c r="O4" s="63" t="s">
        <v>115</v>
      </c>
      <c r="P4" s="63" t="s">
        <v>116</v>
      </c>
      <c r="Q4" s="63" t="s">
        <v>117</v>
      </c>
      <c r="R4" s="63" t="s">
        <v>120</v>
      </c>
      <c r="S4" s="63" t="s">
        <v>118</v>
      </c>
      <c r="T4" s="63" t="s">
        <v>119</v>
      </c>
      <c r="U4" s="63" t="s">
        <v>109</v>
      </c>
      <c r="V4" s="63" t="s">
        <v>110</v>
      </c>
      <c r="W4" s="63" t="s">
        <v>111</v>
      </c>
    </row>
    <row r="5" spans="1:23" x14ac:dyDescent="0.15">
      <c r="A5" s="115" t="s">
        <v>226</v>
      </c>
      <c r="B5" s="115" t="s">
        <v>180</v>
      </c>
      <c r="C5" s="115" t="s">
        <v>224</v>
      </c>
      <c r="D5" s="115" t="s">
        <v>181</v>
      </c>
      <c r="E5" s="114" t="str">
        <f>B5&amp;C5&amp;D5</f>
        <v>unit_skills_data_event06.tmp</v>
      </c>
      <c r="F5" s="115" t="s">
        <v>182</v>
      </c>
      <c r="G5" s="124" t="s">
        <v>21</v>
      </c>
      <c r="H5" s="124" t="s">
        <v>183</v>
      </c>
      <c r="I5" s="124" t="s">
        <v>2</v>
      </c>
      <c r="J5" s="124" t="s">
        <v>184</v>
      </c>
      <c r="K5" s="124" t="s">
        <v>185</v>
      </c>
      <c r="L5" s="124" t="s">
        <v>4</v>
      </c>
      <c r="M5" s="63"/>
      <c r="N5" s="63"/>
      <c r="O5" s="63"/>
      <c r="P5" s="63"/>
      <c r="Q5" s="63"/>
      <c r="R5" s="63"/>
      <c r="S5" s="63"/>
      <c r="T5" s="63"/>
      <c r="U5" s="63"/>
      <c r="V5" s="63"/>
      <c r="W5" s="63"/>
    </row>
    <row r="6" spans="1:23" x14ac:dyDescent="0.15">
      <c r="A6" s="115" t="s">
        <v>226</v>
      </c>
      <c r="B6" s="115" t="s">
        <v>186</v>
      </c>
      <c r="C6" s="115" t="s">
        <v>224</v>
      </c>
      <c r="D6" s="115" t="s">
        <v>161</v>
      </c>
      <c r="E6" s="114" t="str">
        <f>B6&amp;C6&amp;D6</f>
        <v>unit_skills_i18n_event06.tmp</v>
      </c>
      <c r="F6" s="115" t="s">
        <v>182</v>
      </c>
      <c r="G6" s="124" t="s">
        <v>187</v>
      </c>
      <c r="H6" s="124" t="s">
        <v>171</v>
      </c>
      <c r="I6" s="124" t="s">
        <v>188</v>
      </c>
      <c r="J6" s="124" t="s">
        <v>189</v>
      </c>
      <c r="K6" s="118"/>
      <c r="L6" s="118"/>
      <c r="M6" s="63"/>
      <c r="N6" s="63"/>
      <c r="O6" s="63"/>
      <c r="P6" s="63"/>
      <c r="Q6" s="63"/>
      <c r="R6" s="63"/>
      <c r="S6" s="63"/>
      <c r="T6" s="63"/>
      <c r="U6" s="63"/>
      <c r="V6" s="63"/>
      <c r="W6" s="63"/>
    </row>
    <row r="7" spans="1:23" x14ac:dyDescent="0.15">
      <c r="A7" s="115" t="s">
        <v>226</v>
      </c>
      <c r="B7" s="115" t="s">
        <v>190</v>
      </c>
      <c r="C7" s="115" t="s">
        <v>224</v>
      </c>
      <c r="D7" s="115" t="s">
        <v>191</v>
      </c>
      <c r="E7" s="114" t="str">
        <f>B7&amp;C7&amp;D7</f>
        <v>crash_skills_data_event06.tmp</v>
      </c>
      <c r="F7" s="115" t="s">
        <v>192</v>
      </c>
      <c r="G7" s="124" t="s">
        <v>193</v>
      </c>
      <c r="H7" s="124" t="s">
        <v>185</v>
      </c>
      <c r="I7" s="124" t="s">
        <v>4</v>
      </c>
      <c r="J7" s="118"/>
      <c r="K7" s="118"/>
      <c r="L7" s="118"/>
      <c r="M7" s="63"/>
      <c r="N7" s="63"/>
      <c r="O7" s="63"/>
      <c r="P7" s="63"/>
      <c r="Q7" s="63"/>
      <c r="R7" s="63"/>
      <c r="S7" s="63"/>
      <c r="T7" s="63"/>
      <c r="U7" s="63"/>
      <c r="V7" s="63"/>
      <c r="W7" s="63"/>
    </row>
    <row r="8" spans="1:23" x14ac:dyDescent="0.15">
      <c r="A8" s="115" t="s">
        <v>226</v>
      </c>
      <c r="B8" s="115" t="s">
        <v>194</v>
      </c>
      <c r="C8" s="115" t="s">
        <v>224</v>
      </c>
      <c r="D8" s="115" t="s">
        <v>195</v>
      </c>
      <c r="E8" s="114" t="str">
        <f t="shared" ref="E8" si="1">B8&amp;C8&amp;D8</f>
        <v>crash_skills_i18n_event06.tmp</v>
      </c>
      <c r="F8" s="115" t="s">
        <v>192</v>
      </c>
      <c r="G8" s="124" t="s">
        <v>196</v>
      </c>
      <c r="H8" s="124" t="s">
        <v>197</v>
      </c>
      <c r="I8" s="124" t="s">
        <v>198</v>
      </c>
      <c r="J8" s="124" t="s">
        <v>199</v>
      </c>
      <c r="K8" s="125"/>
      <c r="L8" s="125"/>
      <c r="M8" s="63"/>
      <c r="N8" s="63"/>
      <c r="O8" s="63"/>
      <c r="P8" s="63"/>
      <c r="Q8" s="63"/>
      <c r="R8" s="63"/>
      <c r="S8" s="63"/>
      <c r="T8" s="63"/>
      <c r="U8" s="63"/>
      <c r="V8" s="63"/>
      <c r="W8" s="63"/>
    </row>
    <row r="9" spans="1:23" x14ac:dyDescent="0.15">
      <c r="A9" s="115" t="s">
        <v>226</v>
      </c>
      <c r="B9" s="118" t="s">
        <v>172</v>
      </c>
      <c r="C9" s="115" t="s">
        <v>224</v>
      </c>
      <c r="D9" s="115" t="s">
        <v>195</v>
      </c>
      <c r="E9" s="114" t="str">
        <f t="shared" ref="E9:E10" si="2">B9&amp;C9&amp;D9</f>
        <v>unit_serifs_data_event06.tmp</v>
      </c>
      <c r="F9" s="118" t="s">
        <v>174</v>
      </c>
      <c r="G9" s="123" t="s">
        <v>175</v>
      </c>
      <c r="H9" s="124" t="s">
        <v>176</v>
      </c>
      <c r="I9" s="124" t="s">
        <v>168</v>
      </c>
      <c r="J9" s="115"/>
      <c r="K9" s="115"/>
      <c r="L9" s="115"/>
      <c r="M9" s="115"/>
      <c r="N9" s="115"/>
      <c r="O9" s="115"/>
      <c r="P9" s="115"/>
      <c r="Q9" s="115"/>
      <c r="R9" s="115"/>
      <c r="S9" s="115"/>
      <c r="T9" s="115"/>
      <c r="U9" s="115"/>
      <c r="V9" s="115"/>
      <c r="W9" s="115"/>
    </row>
    <row r="10" spans="1:23" x14ac:dyDescent="0.15">
      <c r="A10" s="115" t="s">
        <v>226</v>
      </c>
      <c r="B10" s="118" t="s">
        <v>173</v>
      </c>
      <c r="C10" s="115" t="s">
        <v>224</v>
      </c>
      <c r="D10" s="115" t="s">
        <v>195</v>
      </c>
      <c r="E10" s="114" t="str">
        <f t="shared" si="2"/>
        <v>unit_serifs_i18n_event06.tmp</v>
      </c>
      <c r="F10" s="118" t="s">
        <v>174</v>
      </c>
      <c r="G10" s="123" t="s">
        <v>177</v>
      </c>
      <c r="H10" s="124" t="s">
        <v>178</v>
      </c>
      <c r="I10" s="124" t="s">
        <v>179</v>
      </c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11"/>
  <sheetViews>
    <sheetView showGridLines="0" workbookViewId="0">
      <pane xSplit="9" ySplit="1" topLeftCell="BN2" activePane="bottomRight" state="frozen"/>
      <selection pane="topRight" activeCell="J1" sqref="J1"/>
      <selection pane="bottomLeft" activeCell="A3" sqref="A3"/>
      <selection pane="bottomRight" activeCell="BS1" sqref="BS1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5.5" style="13" customWidth="1" collapsed="1"/>
    <col min="3" max="3" width="23.6640625" style="13" hidden="1" customWidth="1" outlineLevel="1"/>
    <col min="4" max="4" width="8.6640625" style="13" hidden="1" customWidth="1" outlineLevel="1"/>
    <col min="5" max="5" width="8" style="13" hidden="1" customWidth="1" outlineLevel="1"/>
    <col min="6" max="6" width="7.1640625" style="13" hidden="1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 collapsed="1"/>
    <col min="10" max="10" width="59.5" style="13" hidden="1" customWidth="1" outlineLevel="1"/>
    <col min="11" max="13" width="13.6640625" style="13" hidden="1" customWidth="1" outlineLevel="1"/>
    <col min="14" max="14" width="10" style="13" bestFit="1" customWidth="1"/>
    <col min="15" max="15" width="13.5" style="13" bestFit="1" customWidth="1"/>
    <col min="16" max="16" width="13.5" style="13" customWidth="1"/>
    <col min="17" max="17" width="18.83203125" style="13" bestFit="1" customWidth="1"/>
    <col min="18" max="18" width="14.1640625" style="13" customWidth="1"/>
    <col min="19" max="19" width="12.33203125" style="13" customWidth="1" outlineLevel="1"/>
    <col min="20" max="22" width="13.6640625" style="13" customWidth="1" outlineLevel="1"/>
    <col min="23" max="23" width="22.83203125" style="12" bestFit="1" customWidth="1"/>
    <col min="24" max="24" width="14.1640625" style="13" customWidth="1"/>
    <col min="25" max="25" width="22" style="13" customWidth="1" outlineLevel="1"/>
    <col min="26" max="26" width="14.1640625" style="13" customWidth="1" outlineLevel="1"/>
    <col min="27" max="27" width="12.33203125" style="13" customWidth="1" outlineLevel="1"/>
    <col min="28" max="30" width="13.6640625" style="13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7" bestFit="1" customWidth="1"/>
    <col min="42" max="42" width="14.33203125" style="15" bestFit="1" customWidth="1"/>
    <col min="43" max="43" width="20.83203125" style="13" customWidth="1"/>
    <col min="44" max="44" width="80.6640625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/>
    <col min="48" max="48" width="43.6640625" style="13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7" t="s">
        <v>135</v>
      </c>
      <c r="B1" s="89" t="s">
        <v>70</v>
      </c>
      <c r="C1" s="92" t="s">
        <v>35</v>
      </c>
      <c r="D1" s="92" t="s">
        <v>38</v>
      </c>
      <c r="E1" s="92" t="s">
        <v>36</v>
      </c>
      <c r="F1" s="92" t="s">
        <v>37</v>
      </c>
      <c r="G1" s="87" t="s">
        <v>1</v>
      </c>
      <c r="H1" s="90" t="s">
        <v>20</v>
      </c>
      <c r="I1" s="91" t="s">
        <v>0</v>
      </c>
      <c r="J1" s="93" t="s">
        <v>75</v>
      </c>
      <c r="K1" s="93" t="s">
        <v>74</v>
      </c>
      <c r="L1" s="93" t="s">
        <v>76</v>
      </c>
      <c r="M1" s="93" t="s">
        <v>77</v>
      </c>
      <c r="N1" s="87" t="s">
        <v>3</v>
      </c>
      <c r="O1" s="94" t="s">
        <v>2</v>
      </c>
      <c r="P1" s="87" t="s">
        <v>123</v>
      </c>
      <c r="Q1" s="95" t="s">
        <v>19</v>
      </c>
      <c r="R1" s="86" t="s">
        <v>78</v>
      </c>
      <c r="S1" s="96" t="s">
        <v>24</v>
      </c>
      <c r="T1" s="96" t="s">
        <v>25</v>
      </c>
      <c r="U1" s="96" t="s">
        <v>27</v>
      </c>
      <c r="V1" s="96" t="s">
        <v>26</v>
      </c>
      <c r="W1" s="91" t="s">
        <v>40</v>
      </c>
      <c r="X1" s="92" t="s">
        <v>79</v>
      </c>
      <c r="Y1" s="91" t="s">
        <v>41</v>
      </c>
      <c r="Z1" s="92" t="s">
        <v>79</v>
      </c>
      <c r="AA1" s="93" t="s">
        <v>24</v>
      </c>
      <c r="AB1" s="93" t="s">
        <v>25</v>
      </c>
      <c r="AC1" s="93" t="s">
        <v>27</v>
      </c>
      <c r="AD1" s="93" t="s">
        <v>26</v>
      </c>
      <c r="AE1" s="97" t="s">
        <v>126</v>
      </c>
      <c r="AF1" s="86" t="s">
        <v>71</v>
      </c>
      <c r="AG1" s="98" t="s">
        <v>84</v>
      </c>
      <c r="AH1" s="86" t="s">
        <v>71</v>
      </c>
      <c r="AI1" s="98" t="s">
        <v>72</v>
      </c>
      <c r="AJ1" s="88" t="s">
        <v>93</v>
      </c>
      <c r="AK1" s="86" t="s">
        <v>22</v>
      </c>
      <c r="AL1" s="99" t="s">
        <v>94</v>
      </c>
      <c r="AM1" s="100" t="s">
        <v>92</v>
      </c>
      <c r="AN1" s="100" t="s">
        <v>95</v>
      </c>
      <c r="AO1" s="101" t="s">
        <v>39</v>
      </c>
      <c r="AP1" s="97" t="s">
        <v>21</v>
      </c>
      <c r="AQ1" s="102" t="s">
        <v>143</v>
      </c>
      <c r="AR1" s="102" t="s">
        <v>134</v>
      </c>
      <c r="AS1" s="86" t="s">
        <v>130</v>
      </c>
      <c r="AT1" s="97" t="s">
        <v>128</v>
      </c>
      <c r="AU1" s="86" t="s">
        <v>140</v>
      </c>
      <c r="AV1" s="102" t="s">
        <v>134</v>
      </c>
      <c r="AW1" s="86" t="s">
        <v>130</v>
      </c>
      <c r="AX1" s="92" t="s">
        <v>4</v>
      </c>
      <c r="AY1" s="103" t="s">
        <v>80</v>
      </c>
      <c r="AZ1" s="103" t="s">
        <v>81</v>
      </c>
      <c r="BA1" s="103" t="s">
        <v>144</v>
      </c>
      <c r="BB1" s="103" t="s">
        <v>82</v>
      </c>
      <c r="BC1" s="5" t="s">
        <v>23</v>
      </c>
      <c r="BD1" s="106" t="s">
        <v>46</v>
      </c>
      <c r="BE1" s="104" t="s">
        <v>5</v>
      </c>
      <c r="BF1" s="105" t="s">
        <v>6</v>
      </c>
      <c r="BG1" s="107" t="s">
        <v>96</v>
      </c>
      <c r="BH1" s="107" t="s">
        <v>97</v>
      </c>
      <c r="BI1" s="107" t="s">
        <v>98</v>
      </c>
      <c r="BJ1" s="107" t="s">
        <v>99</v>
      </c>
      <c r="BK1" s="108" t="s">
        <v>100</v>
      </c>
      <c r="BL1" s="108" t="s">
        <v>121</v>
      </c>
      <c r="BM1" s="108" t="s">
        <v>101</v>
      </c>
      <c r="BN1" s="108" t="s">
        <v>102</v>
      </c>
      <c r="BO1" s="109" t="s">
        <v>103</v>
      </c>
      <c r="BP1" s="110" t="s">
        <v>104</v>
      </c>
      <c r="BQ1" s="88" t="s">
        <v>112</v>
      </c>
      <c r="BR1" s="10" t="s">
        <v>312</v>
      </c>
    </row>
    <row r="2" spans="1:70" ht="21" customHeight="1" x14ac:dyDescent="0.15">
      <c r="A2" s="140">
        <v>490</v>
      </c>
      <c r="B2" s="59" t="str">
        <f ca="1">VLOOKUP($A2,OFFSET([1]characters!$A$1,0,0,COUNTA([1]characters!$A:$A),MATCH(B$1,[1]characters!$1:$1,0)-MATCH($A$1,[1]characters!$1:$1,0)+1),MATCH(B$1,[1]characters!$1:$1,0)-MATCH($A$1,[1]characters!$1:$1,0)+1,FALSE)</f>
        <v>グリム</v>
      </c>
      <c r="C2" s="59" t="str">
        <f ca="1">VLOOKUP($A2,OFFSET([1]characters!$A$1,0,0,COUNTA([1]characters!$A:$A),MATCH(C$1,[1]characters!$1:$1,0)-MATCH($A$1,[1]characters!$1:$1,0)+1),MATCH(C$1,[1]characters!$1:$1,0)-MATCH($A$1,[1]characters!$1:$1,0)+1,FALSE)</f>
        <v>イベント:ウィザード</v>
      </c>
      <c r="D2" s="59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9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9" t="str">
        <f ca="1">VLOOKUP($A2,OFFSET([1]characters!$A$1,0,0,COUNTA([1]characters!$A:$A),MATCH(F$1,[1]characters!$1:$1,0)-MATCH($A$1,[1]characters!$1:$1,0)+1),MATCH(F$1,[1]characters!$1:$1,0)-MATCH($A$1,[1]characters!$1:$1,0)+1,FALSE)</f>
        <v>男性</v>
      </c>
      <c r="G2" s="59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9" t="str">
        <f ca="1">VLOOKUP($A2,OFFSET([1]characters!$A$1,0,0,COUNTA([1]characters!$A:$A),MATCH(H$1,[1]characters!$1:$1,0)-MATCH($A$1,[1]characters!$1:$1,0)+1),MATCH(H$1,[1]characters!$1:$1,0)-MATCH($A$1,[1]characters!$1:$1,0)+1,FALSE)</f>
        <v>DropWizS</v>
      </c>
      <c r="I2" s="59" t="str">
        <f ca="1">VLOOKUP($A2,OFFSET([1]characters!$A$1,0,0,COUNTA([1]characters!$A:$A),MATCH(I$1,[1]characters!$1:$1,0)-MATCH($A$1,[1]characters!$1:$1,0)+1),MATCH(I$1,[1]characters!$1:$1,0)-MATCH($A$1,[1]characters!$1:$1,0)+1,FALSE)</f>
        <v>green</v>
      </c>
      <c r="J2" s="11">
        <f ca="1">VLOOKUP(I2,[1]属性!$A:$E,2,FALSE)</f>
        <v>1.02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</v>
      </c>
      <c r="N2" s="11">
        <f ca="1">INDEX(コスト!$A$1:$I$20,MATCH(H2,コスト!$A$1:$A$20,FALSE),MATCH(G2,コスト!$A$1:$I$1,FALSE))</f>
        <v>20</v>
      </c>
      <c r="O2" s="11">
        <f ca="1">INDEX(レベル!$A$1:$I$21,MATCH(H2,レベル!$A$1:$A$21,FALSE),MATCH(G2,レベル!$A$1:$I$1,FALSE))</f>
        <v>60</v>
      </c>
      <c r="P2" s="49">
        <f t="shared" ref="P2" ca="1" si="0">G2*15</f>
        <v>60</v>
      </c>
      <c r="Q2" s="59" t="str">
        <f ca="1">VLOOKUP($A2,OFFSET([1]characters!$A$1,0,0,COUNTA([1]characters!$A:$A),MATCH(Q$1,[1]characters!$1:$1,0)-MATCH($A$1,[1]characters!$1:$1,0)+1),MATCH(Q$1,[1]characters!$1:$1,0)-MATCH($A$1,[1]characters!$1:$1,0)+1,FALSE)</f>
        <v>balance</v>
      </c>
      <c r="R2" s="5" t="str">
        <f ca="1">VLOOKUP(Q2,[1]character_type_i18n!$A:$H,3,FALSE)</f>
        <v>バランスタイプ</v>
      </c>
      <c r="S2" s="11">
        <f ca="1">VLOOKUP(Q2,[1]character_type_i18n!$A:$H,4,FALSE)</f>
        <v>1</v>
      </c>
      <c r="T2" s="11">
        <f ca="1">VLOOKUP(Q2,[1]character_type_i18n!$A:$H,5,FALSE)</f>
        <v>1</v>
      </c>
      <c r="U2" s="11">
        <f ca="1">VLOOKUP(Q2,[1]character_type_i18n!$A:$H,6,FALSE)</f>
        <v>1</v>
      </c>
      <c r="V2" s="11">
        <f ca="1">VLOOKUP(Q2,[1]character_type_i18n!$A:$H,7,FALSE)</f>
        <v>1</v>
      </c>
      <c r="W2" s="59" t="str">
        <f ca="1">VLOOKUP($A2,OFFSET([1]characters!$A$1,0,0,COUNTA([1]characters!$A:$A),MATCH(W$1,[1]characters!$1:$1,0)-MATCH($A$1,[1]characters!$1:$1,0)+1),MATCH(W$1,[1]characters!$1:$1,0)-MATCH($A$1,[1]characters!$1:$1,0)+1,FALSE)</f>
        <v>human</v>
      </c>
      <c r="X2" s="5" t="str">
        <f ca="1">VLOOKUP(W2,[1]character_tribe_i18n!$A:$H,3,FALSE)</f>
        <v>ヒューマン</v>
      </c>
      <c r="Y2" s="59" t="str">
        <f ca="1">VLOOKUP($A2,OFFSET([1]characters!$A$1,0,0,COUNTA([1]characters!$A:$A),MATCH(Y$1,[1]characters!$1:$1,0)-MATCH($A$1,[1]characters!$1:$1,0)+1),MATCH(Y$1,[1]characters!$1:$1,0)-MATCH($A$1,[1]characters!$1:$1,0)+1,FALSE)</f>
        <v>unknown</v>
      </c>
      <c r="Z2" s="5" t="str">
        <f ca="1">VLOOKUP(Y2,[1]character_tribe_i18n!$A:$H,3,FALSE)</f>
        <v>Unknown</v>
      </c>
      <c r="AA2" s="11">
        <f ca="1">VLOOKUP(W2,[1]character_tribe_i18n!$A:$H,4,FALSE)</f>
        <v>0.94</v>
      </c>
      <c r="AB2" s="11">
        <f ca="1">VLOOKUP(W2,[1]character_tribe_i18n!$A:$H,5,FALSE)</f>
        <v>0.99</v>
      </c>
      <c r="AC2" s="11">
        <f ca="1">VLOOKUP(W2,[1]character_tribe_i18n!$A:$H,6,FALSE)</f>
        <v>1</v>
      </c>
      <c r="AD2" s="11">
        <f ca="1">VLOOKUP(W2,[1]character_tribe_i18n!$A:$H,7,FALSE)</f>
        <v>1.07</v>
      </c>
      <c r="AE2" s="9">
        <v>491</v>
      </c>
      <c r="AF2" s="64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>収魂の群影 グリム</v>
      </c>
      <c r="AG2" s="5">
        <f t="shared" ref="AG2:AG11" ca="1" si="1">IF(ISNA(MATCH(A2,AE:AE,0)),A2,INDIRECT(ADDRESS(MATCH(A2,AE:AE,0),COLUMN())))</f>
        <v>490</v>
      </c>
      <c r="AH2" s="64" t="str">
        <f ca="1">VLOOKUP($AG2,OFFSET([1]characters!$A$1,0,0,COUNTA([1]characters!$A:$A),MATCH(AH$1,[1]characters!$1:$1,0)-MATCH($A$1,[1]characters!$1:$1,0)+1),MATCH(AH$1,[1]characters!$1:$1,0)-MATCH($A$1,[1]characters!$1:$1,0)+1,FALSE)</f>
        <v>グリム</v>
      </c>
      <c r="AI2" s="11">
        <f ca="1">IF(AE2="NULL","NULL",VLOOKUP(G2,ビット!$A$2:$B$7,2))</f>
        <v>50000</v>
      </c>
      <c r="AJ2" s="6">
        <v>2</v>
      </c>
      <c r="AK2" s="7" t="str">
        <f t="shared" ref="AK2" si="2">IF(AJ2=1,"早熟",IF(AJ2=2,"普通",IF(AJ2=3,"晩成","")))</f>
        <v>普通</v>
      </c>
      <c r="AL2" s="11" t="str">
        <f ca="1">INDEX(経験値!$A$1:$I$20,MATCH(H2,経験値!$A$1:$A$20,FALSE),MATCH(G2,経験値!$A$1:$I$1,FALSE))</f>
        <v>required_exp_200</v>
      </c>
      <c r="AM2" s="8">
        <f ca="1">VLOOKUP(G2,経験値!$A$27:$B$31,2)</f>
        <v>3400</v>
      </c>
      <c r="AN2" s="17">
        <f ca="1">VLOOKUP(G2,ビット!$G$2:$H$7,2)</f>
        <v>600</v>
      </c>
      <c r="AO2" s="46"/>
      <c r="AP2" s="69">
        <f>A2</f>
        <v>490</v>
      </c>
      <c r="AQ2" s="59" t="str">
        <f ca="1">VLOOKUP($AP2,OFFSET(unit_skills!$A$1,0,0,COUNTA(unit_skills!$A:$A),MATCH(AQ$1,unit_skills!$1:$1,0)-MATCH($AP$1,unit_skills!$1:$1,0)+1),MATCH(AQ$1,unit_skills!$1:$1,0)-MATCH($AP$1,unit_skills!$1:$1,0)+1,FALSE)</f>
        <v>シェルセット・キャプチャー</v>
      </c>
      <c r="AR2" s="59" t="str">
        <f ca="1">VLOOKUP($AP2,OFFSET(unit_skills!$A$1,0,0,COUNTA(unit_skills!$A:$A),MATCH(AR$1,unit_skills!$1:$1,0)-MATCH($AP$1,unit_skills!$1:$1,0)+1),MATCH(AR$1,unit_skills!$1:$1,0)-MATCH($AP$1,unit_skills!$1:$1,0)+1,FALSE)</f>
        <v>1ターン黄属性の敵ダメージを50%軽減する＋出現しているCパネルを大強化する</v>
      </c>
      <c r="AS2" s="59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2">
        <f>A2</f>
        <v>490</v>
      </c>
      <c r="AU2" s="59" t="str">
        <f ca="1">VLOOKUP($AT2,OFFSET(crash_skills!$A$1,0,0,COUNTA(crash_skills!$A:$A),MATCH(AU$1,crash_skills!$1:$1,0)-MATCH($AT$1,crash_skills!$1:$1,0)+1),MATCH(AU$1,crash_skills!$1:$1,0)-MATCH($AT$1,crash_skills!$1:$1,0)+1,FALSE)</f>
        <v>サンプリングブックス</v>
      </c>
      <c r="AV2" s="59" t="str">
        <f ca="1">VLOOKUP($AT2,OFFSET(crash_skills!$A$1,0,0,COUNTA(crash_skills!$A:$A),MATCH(AV$1,crash_skills!$1:$1,0)-MATCH($AT$1,crash_skills!$1:$1,0)+1),MATCH(AV$1,crash_skills!$1:$1,0)-MATCH($AT$1,crash_skills!$1:$1,0)+1,FALSE)</f>
        <v>1体に大ダメージ_x000D_Unknownに効果大</v>
      </c>
      <c r="AW2" s="59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60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70">
        <v>1</v>
      </c>
      <c r="AZ2" s="70">
        <v>1.2</v>
      </c>
      <c r="BA2" s="70">
        <v>0</v>
      </c>
      <c r="BB2" s="70">
        <v>1</v>
      </c>
      <c r="BC2" s="11">
        <f ca="1">INDEX('RC6SV'!$A$1:$G$20,MATCH(H2,'RC6SV'!$A$1:$A$20,FALSE),MATCH(G2,'RC6SV'!$A$1:$G$1,FALSE))</f>
        <v>7000</v>
      </c>
      <c r="BD2" s="49">
        <f t="shared" ref="BD2" ca="1" si="3">ROUND(BC2*IF(AJ2=1,0.95,IF(AJ2=2,1,IF(AJ2,1.05,0))),0)</f>
        <v>7000</v>
      </c>
      <c r="BE2" s="11">
        <f t="shared" ref="BE2:BE11" ca="1" si="4">ROUND(IFERROR(INDIRECT(ADDRESS(MATCH($A2,$AE:$AE,0),MATCH($BC$1,$1:$1,0))),0),0)</f>
        <v>0</v>
      </c>
      <c r="BF2" s="11">
        <f t="shared" ref="BF2:BF11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1678</v>
      </c>
      <c r="BH2" s="16">
        <f ca="1">IF($BE2&lt;=0,ROUND(BL2*0.5,0), ROUND($BE2*T2*AB2*K2*AZ2*0.8*[1]ステータス!$C$2,0))</f>
        <v>1223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937</v>
      </c>
      <c r="BK2" s="11">
        <f ca="1">ROUND(BD2*S2*AA2*J2*AY2*[1]ステータス!$B$2,0)</f>
        <v>3356</v>
      </c>
      <c r="BL2" s="11">
        <f ca="1">ROUND(BD2*T2*AB2*K2*AZ2*[1]ステータス!$C$2,0)</f>
        <v>2445</v>
      </c>
      <c r="BM2" s="11">
        <f ca="1">ROUND(BD2*U2*AC2*L2*BA2*[1]ステータス!$D$2,0)</f>
        <v>0</v>
      </c>
      <c r="BN2" s="11">
        <f ca="1">ROUND(BD2*V2*AD2*M2*BB2*[1]ステータス!$E$2,0)</f>
        <v>1873</v>
      </c>
      <c r="BO2" s="10">
        <v>0</v>
      </c>
      <c r="BP2" s="10">
        <v>1</v>
      </c>
      <c r="BQ2" s="10" t="s">
        <v>73</v>
      </c>
      <c r="BR2" s="10">
        <f ca="1">VLOOKUP(H2,ghosts_label!$A$2:$B$19,2,FALSE)</f>
        <v>1</v>
      </c>
    </row>
    <row r="3" spans="1:70" ht="21" customHeight="1" x14ac:dyDescent="0.15">
      <c r="A3" s="140">
        <v>491</v>
      </c>
      <c r="B3" s="59" t="str">
        <f ca="1">VLOOKUP($A3,OFFSET([1]characters!$A$1,0,0,COUNTA([1]characters!$A:$A),MATCH(B$1,[1]characters!$1:$1,0)-MATCH($A$1,[1]characters!$1:$1,0)+1),MATCH(B$1,[1]characters!$1:$1,0)-MATCH($A$1,[1]characters!$1:$1,0)+1,FALSE)</f>
        <v>収魂の群影 グリム</v>
      </c>
      <c r="C3" s="59" t="str">
        <f ca="1">VLOOKUP($A3,OFFSET([1]characters!$A$1,0,0,COUNTA([1]characters!$A:$A),MATCH(C$1,[1]characters!$1:$1,0)-MATCH($A$1,[1]characters!$1:$1,0)+1),MATCH(C$1,[1]characters!$1:$1,0)-MATCH($A$1,[1]characters!$1:$1,0)+1,FALSE)</f>
        <v>イベント:ウィザード</v>
      </c>
      <c r="D3" s="59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9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9" t="str">
        <f ca="1">VLOOKUP($A3,OFFSET([1]characters!$A$1,0,0,COUNTA([1]characters!$A:$A),MATCH(F$1,[1]characters!$1:$1,0)-MATCH($A$1,[1]characters!$1:$1,0)+1),MATCH(F$1,[1]characters!$1:$1,0)-MATCH($A$1,[1]characters!$1:$1,0)+1,FALSE)</f>
        <v>男性</v>
      </c>
      <c r="G3" s="59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9" t="str">
        <f ca="1">VLOOKUP($A3,OFFSET([1]characters!$A$1,0,0,COUNTA([1]characters!$A:$A),MATCH(H$1,[1]characters!$1:$1,0)-MATCH($A$1,[1]characters!$1:$1,0)+1),MATCH(H$1,[1]characters!$1:$1,0)-MATCH($A$1,[1]characters!$1:$1,0)+1,FALSE)</f>
        <v>DropWizS</v>
      </c>
      <c r="I3" s="59" t="str">
        <f ca="1">VLOOKUP($A3,OFFSET([1]characters!$A$1,0,0,COUNTA([1]characters!$A:$A),MATCH(I$1,[1]characters!$1:$1,0)-MATCH($A$1,[1]characters!$1:$1,0)+1),MATCH(I$1,[1]characters!$1:$1,0)-MATCH($A$1,[1]characters!$1:$1,0)+1,FALSE)</f>
        <v>green</v>
      </c>
      <c r="J3" s="11">
        <f ca="1">VLOOKUP(I3,[1]属性!$A:$E,2,FALSE)</f>
        <v>1.02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</v>
      </c>
      <c r="N3" s="11">
        <f ca="1">INDEX(コスト!$A$1:$I$20,MATCH(H3,コスト!$A$1:$A$20,FALSE),MATCH(G3,コスト!$A$1:$I$1,FALSE))</f>
        <v>30</v>
      </c>
      <c r="O3" s="11">
        <f ca="1">INDEX(レベル!$A$1:$I$21,MATCH(H3,レベル!$A$1:$A$21,FALSE),MATCH(G3,レベル!$A$1:$I$1,FALSE))</f>
        <v>80</v>
      </c>
      <c r="P3" s="49">
        <f t="shared" ref="P3:P5" ca="1" si="6">G3*15</f>
        <v>75</v>
      </c>
      <c r="Q3" s="59" t="str">
        <f ca="1">VLOOKUP($A3,OFFSET([1]characters!$A$1,0,0,COUNTA([1]characters!$A:$A),MATCH(Q$1,[1]characters!$1:$1,0)-MATCH($A$1,[1]characters!$1:$1,0)+1),MATCH(Q$1,[1]characters!$1:$1,0)-MATCH($A$1,[1]characters!$1:$1,0)+1,FALSE)</f>
        <v>balance</v>
      </c>
      <c r="R3" s="5" t="str">
        <f ca="1">VLOOKUP(Q3,[1]character_type_i18n!$A:$H,3,FALSE)</f>
        <v>バランスタイプ</v>
      </c>
      <c r="S3" s="11">
        <f ca="1">VLOOKUP(Q3,[1]character_type_i18n!$A:$H,4,FALSE)</f>
        <v>1</v>
      </c>
      <c r="T3" s="11">
        <f ca="1">VLOOKUP(Q3,[1]character_type_i18n!$A:$H,5,FALSE)</f>
        <v>1</v>
      </c>
      <c r="U3" s="11">
        <f ca="1">VLOOKUP(Q3,[1]character_type_i18n!$A:$H,6,FALSE)</f>
        <v>1</v>
      </c>
      <c r="V3" s="11">
        <f ca="1">VLOOKUP(Q3,[1]character_type_i18n!$A:$H,7,FALSE)</f>
        <v>1</v>
      </c>
      <c r="W3" s="59" t="str">
        <f ca="1">VLOOKUP($A3,OFFSET([1]characters!$A$1,0,0,COUNTA([1]characters!$A:$A),MATCH(W$1,[1]characters!$1:$1,0)-MATCH($A$1,[1]characters!$1:$1,0)+1),MATCH(W$1,[1]characters!$1:$1,0)-MATCH($A$1,[1]characters!$1:$1,0)+1,FALSE)</f>
        <v>human</v>
      </c>
      <c r="X3" s="5" t="str">
        <f ca="1">VLOOKUP(W3,[1]character_tribe_i18n!$A:$H,3,FALSE)</f>
        <v>ヒューマン</v>
      </c>
      <c r="Y3" s="59" t="str">
        <f ca="1">VLOOKUP($A3,OFFSET([1]characters!$A$1,0,0,COUNTA([1]characters!$A:$A),MATCH(Y$1,[1]characters!$1:$1,0)-MATCH($A$1,[1]characters!$1:$1,0)+1),MATCH(Y$1,[1]characters!$1:$1,0)-MATCH($A$1,[1]characters!$1:$1,0)+1,FALSE)</f>
        <v>unknown</v>
      </c>
      <c r="Z3" s="5" t="str">
        <f ca="1">VLOOKUP(Y3,[1]character_tribe_i18n!$A:$H,3,FALSE)</f>
        <v>Unknown</v>
      </c>
      <c r="AA3" s="11">
        <f ca="1">VLOOKUP(W3,[1]character_tribe_i18n!$A:$H,4,FALSE)</f>
        <v>0.94</v>
      </c>
      <c r="AB3" s="11">
        <f ca="1">VLOOKUP(W3,[1]character_tribe_i18n!$A:$H,5,FALSE)</f>
        <v>0.99</v>
      </c>
      <c r="AC3" s="11">
        <f ca="1">VLOOKUP(W3,[1]character_tribe_i18n!$A:$H,6,FALSE)</f>
        <v>1</v>
      </c>
      <c r="AD3" s="11">
        <f ca="1">VLOOKUP(W3,[1]character_tribe_i18n!$A:$H,7,FALSE)</f>
        <v>1.07</v>
      </c>
      <c r="AE3" s="9">
        <v>822</v>
      </c>
      <c r="AF3" s="64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>操魂の蒐集家 グリム</v>
      </c>
      <c r="AG3" s="5">
        <f t="shared" ca="1" si="1"/>
        <v>490</v>
      </c>
      <c r="AH3" s="64" t="str">
        <f ca="1">VLOOKUP($AG3,OFFSET([1]characters!$A$1,0,0,COUNTA([1]characters!$A:$A),MATCH(AH$1,[1]characters!$1:$1,0)-MATCH($A$1,[1]characters!$1:$1,0)+1),MATCH(AH$1,[1]characters!$1:$1,0)-MATCH($A$1,[1]characters!$1:$1,0)+1,FALSE)</f>
        <v>グリム</v>
      </c>
      <c r="AI3" s="11">
        <f ca="1">IF(AE3="NULL","NULL",VLOOKUP(G3,ビット!$A$2:$B$7,2))</f>
        <v>200000</v>
      </c>
      <c r="AJ3" s="6">
        <v>2</v>
      </c>
      <c r="AK3" s="7" t="str">
        <f t="shared" ref="AK3:AK5" si="7">IF(AJ3=1,"早熟",IF(AJ3=2,"普通",IF(AJ3=3,"晩成","")))</f>
        <v>普通</v>
      </c>
      <c r="AL3" s="11" t="str">
        <f ca="1">INDEX(経験値!$A$1:$I$20,MATCH(H3,経験値!$A$1:$A$20,FALSE),MATCH(G3,経験値!$A$1:$I$1,FALSE))</f>
        <v>required_exp_200</v>
      </c>
      <c r="AM3" s="8">
        <f ca="1">VLOOKUP(G3,経験値!$A$27:$B$31,2)</f>
        <v>6400</v>
      </c>
      <c r="AN3" s="17">
        <f ca="1">VLOOKUP(G3,ビット!$G$2:$H$7,2)</f>
        <v>900</v>
      </c>
      <c r="AO3" s="46"/>
      <c r="AP3" s="69">
        <f t="shared" ref="AP3:AP11" si="8">A3</f>
        <v>491</v>
      </c>
      <c r="AQ3" s="59" t="str">
        <f ca="1">VLOOKUP($AP3,OFFSET(unit_skills!$A$1,0,0,COUNTA(unit_skills!$A:$A),MATCH(AQ$1,unit_skills!$1:$1,0)-MATCH($AP$1,unit_skills!$1:$1,0)+1),MATCH(AQ$1,unit_skills!$1:$1,0)-MATCH($AP$1,unit_skills!$1:$1,0)+1,FALSE)</f>
        <v>シェルセット・バンリバティー</v>
      </c>
      <c r="AR3" s="59" t="str">
        <f ca="1">VLOOKUP($AP3,OFFSET(unit_skills!$A$1,0,0,COUNTA(unit_skills!$A:$A),MATCH(AR$1,unit_skills!$1:$1,0)-MATCH($AP$1,unit_skills!$1:$1,0)+1),MATCH(AR$1,unit_skills!$1:$1,0)-MATCH($AP$1,unit_skills!$1:$1,0)+1,FALSE)</f>
        <v>1ターン黄属性の敵ダメージを50%軽減する＋出現しているCパネルを特大強化する</v>
      </c>
      <c r="AS3" s="59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2">
        <f t="shared" ref="AT3:AT11" si="9">A3</f>
        <v>491</v>
      </c>
      <c r="AU3" s="59" t="str">
        <f ca="1">VLOOKUP($AT3,OFFSET(crash_skills!$A$1,0,0,COUNTA(crash_skills!$A:$A),MATCH(AU$1,crash_skills!$1:$1,0)-MATCH($AT$1,crash_skills!$1:$1,0)+1),MATCH(AU$1,crash_skills!$1:$1,0)-MATCH($AT$1,crash_skills!$1:$1,0)+1,FALSE)</f>
        <v>サンプリングブックス</v>
      </c>
      <c r="AV3" s="59" t="str">
        <f ca="1">VLOOKUP($AT3,OFFSET(crash_skills!$A$1,0,0,COUNTA(crash_skills!$A:$A),MATCH(AV$1,crash_skills!$1:$1,0)-MATCH($AT$1,crash_skills!$1:$1,0)+1),MATCH(AV$1,crash_skills!$1:$1,0)-MATCH($AT$1,crash_skills!$1:$1,0)+1,FALSE)</f>
        <v>1体に大ダメージ_x000D_Unknownに効果大</v>
      </c>
      <c r="AW3" s="59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60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70">
        <v>1</v>
      </c>
      <c r="AZ3" s="70">
        <v>1.2</v>
      </c>
      <c r="BA3" s="70">
        <v>0</v>
      </c>
      <c r="BB3" s="70">
        <v>1</v>
      </c>
      <c r="BC3" s="11">
        <f ca="1">INDEX('RC6SV'!$A$1:$G$20,MATCH(H3,'RC6SV'!$A$1:$A$20,FALSE),MATCH(G3,'RC6SV'!$A$1:$G$1,FALSE))</f>
        <v>9000</v>
      </c>
      <c r="BD3" s="49">
        <f t="shared" ref="BD3:BD5" ca="1" si="10">ROUND(BC3*IF(AJ3=1,0.95,IF(AJ3=2,1,IF(AJ3,1.05,0))),0)</f>
        <v>9000</v>
      </c>
      <c r="BE3" s="11">
        <f t="shared" ca="1" si="4"/>
        <v>7000</v>
      </c>
      <c r="BF3" s="11">
        <f t="shared" ca="1" si="5"/>
        <v>1</v>
      </c>
      <c r="BG3" s="16">
        <f ca="1">IF($BE3&lt;=0,ROUND(BK3*0.5,0), ROUND($BE3*S3*AA3*J3*AY3*0.8*[1]ステータス!$B$2,0))</f>
        <v>2685</v>
      </c>
      <c r="BH3" s="16">
        <f ca="1">IF($BE3&lt;=0,ROUND(BL3*0.5,0), ROUND($BE3*T3*AB3*K3*AZ3*0.8*[1]ステータス!$C$2,0))</f>
        <v>1956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1498</v>
      </c>
      <c r="BK3" s="11">
        <f ca="1">ROUND(BD3*S3*AA3*J3*AY3*[1]ステータス!$B$2,0)</f>
        <v>4315</v>
      </c>
      <c r="BL3" s="11">
        <f ca="1">ROUND(BD3*T3*AB3*K3*AZ3*[1]ステータス!$C$2,0)</f>
        <v>3143</v>
      </c>
      <c r="BM3" s="11">
        <f ca="1">ROUND(BD3*U3*AC3*L3*BA3*[1]ステータス!$D$2,0)</f>
        <v>0</v>
      </c>
      <c r="BN3" s="11">
        <f ca="1">ROUND(BD3*V3*AD3*M3*BB3*[1]ステータス!$E$2,0)</f>
        <v>2408</v>
      </c>
      <c r="BO3" s="10">
        <f>BO2</f>
        <v>0</v>
      </c>
      <c r="BP3" s="10">
        <v>1</v>
      </c>
      <c r="BQ3" s="10" t="s">
        <v>73</v>
      </c>
      <c r="BR3" s="10">
        <f ca="1">VLOOKUP(H3,ghosts_label!$A$2:$B$19,2,FALSE)</f>
        <v>1</v>
      </c>
    </row>
    <row r="4" spans="1:70" ht="21" customHeight="1" x14ac:dyDescent="0.15">
      <c r="A4" s="140">
        <v>502</v>
      </c>
      <c r="B4" s="59" t="str">
        <f ca="1">VLOOKUP($A4,OFFSET([1]characters!$A$1,0,0,COUNTA([1]characters!$A:$A),MATCH(B$1,[1]characters!$1:$1,0)-MATCH($A$1,[1]characters!$1:$1,0)+1),MATCH(B$1,[1]characters!$1:$1,0)-MATCH($A$1,[1]characters!$1:$1,0)+1,FALSE)</f>
        <v>テラベル</v>
      </c>
      <c r="C4" s="59" t="str">
        <f ca="1">VLOOKUP($A4,OFFSET([1]characters!$A$1,0,0,COUNTA([1]characters!$A:$A),MATCH(C$1,[1]characters!$1:$1,0)-MATCH($A$1,[1]characters!$1:$1,0)+1),MATCH(C$1,[1]characters!$1:$1,0)-MATCH($A$1,[1]characters!$1:$1,0)+1,FALSE)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4" s="59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9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9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9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9" t="str">
        <f ca="1">VLOOKUP($A4,OFFSET([1]characters!$A$1,0,0,COUNTA([1]characters!$A:$A),MATCH(H$1,[1]characters!$1:$1,0)-MATCH($A$1,[1]characters!$1:$1,0)+1),MATCH(H$1,[1]characters!$1:$1,0)-MATCH($A$1,[1]characters!$1:$1,0)+1,FALSE)</f>
        <v>Drop2N</v>
      </c>
      <c r="I4" s="59" t="str">
        <f ca="1">VLOOKUP($A4,OFFSET([1]characters!$A$1,0,0,COUNTA([1]characters!$A:$A),MATCH(I$1,[1]characters!$1:$1,0)-MATCH($A$1,[1]characters!$1:$1,0)+1),MATCH(I$1,[1]characters!$1:$1,0)-MATCH($A$1,[1]characters!$1:$1,0)+1,FALSE)</f>
        <v>red</v>
      </c>
      <c r="J4" s="11">
        <f ca="1">VLOOKUP(I4,[1]属性!$A:$E,2,FALSE)</f>
        <v>1</v>
      </c>
      <c r="K4" s="11">
        <f ca="1">VLOOKUP(I4,[1]属性!$A:$E,3,FALSE)</f>
        <v>1.02</v>
      </c>
      <c r="L4" s="11">
        <f ca="1">VLOOKUP(I4,[1]属性!$A:$E,4,FALSE)</f>
        <v>1</v>
      </c>
      <c r="M4" s="11">
        <f ca="1">VLOOKUP(I4,[1]属性!$A:$E,5,FALSE)</f>
        <v>0.98</v>
      </c>
      <c r="N4" s="11">
        <f ca="1">INDEX(コスト!$A$1:$I$20,MATCH(H4,コスト!$A$1:$A$20,FALSE),MATCH(G4,コスト!$A$1:$I$1,FALSE))</f>
        <v>17</v>
      </c>
      <c r="O4" s="11">
        <f ca="1">INDEX(レベル!$A$1:$I$21,MATCH(H4,レベル!$A$1:$A$21,FALSE),MATCH(G4,レベル!$A$1:$I$1,FALSE))</f>
        <v>60</v>
      </c>
      <c r="P4" s="49">
        <f t="shared" ca="1" si="6"/>
        <v>60</v>
      </c>
      <c r="Q4" s="59" t="str">
        <f ca="1">VLOOKUP($A4,OFFSET([1]characters!$A$1,0,0,COUNTA([1]characters!$A:$A),MATCH(Q$1,[1]characters!$1:$1,0)-MATCH($A$1,[1]characters!$1:$1,0)+1),MATCH(Q$1,[1]characters!$1:$1,0)-MATCH($A$1,[1]characters!$1:$1,0)+1,FALSE)</f>
        <v>attack</v>
      </c>
      <c r="R4" s="5" t="str">
        <f ca="1">VLOOKUP(Q4,[1]character_type_i18n!$A:$H,3,FALSE)</f>
        <v>攻撃タイプ</v>
      </c>
      <c r="S4" s="11">
        <f ca="1">VLOOKUP(Q4,[1]character_type_i18n!$A:$H,4,FALSE)</f>
        <v>1</v>
      </c>
      <c r="T4" s="11">
        <f ca="1">VLOOKUP(Q4,[1]character_type_i18n!$A:$H,5,FALSE)</f>
        <v>1.33</v>
      </c>
      <c r="U4" s="11">
        <f ca="1">VLOOKUP(Q4,[1]character_type_i18n!$A:$H,6,FALSE)</f>
        <v>1</v>
      </c>
      <c r="V4" s="11">
        <f ca="1">VLOOKUP(Q4,[1]character_type_i18n!$A:$H,7,FALSE)</f>
        <v>0.67</v>
      </c>
      <c r="W4" s="59" t="str">
        <f ca="1">VLOOKUP($A4,OFFSET([1]characters!$A$1,0,0,COUNTA([1]characters!$A:$A),MATCH(W$1,[1]characters!$1:$1,0)-MATCH($A$1,[1]characters!$1:$1,0)+1),MATCH(W$1,[1]characters!$1:$1,0)-MATCH($A$1,[1]characters!$1:$1,0)+1,FALSE)</f>
        <v>human</v>
      </c>
      <c r="X4" s="5" t="str">
        <f ca="1">VLOOKUP(W4,[1]character_tribe_i18n!$A:$H,3,FALSE)</f>
        <v>ヒューマン</v>
      </c>
      <c r="Y4" s="59" t="str">
        <f ca="1">VLOOKUP($A4,OFFSET([1]characters!$A$1,0,0,COUNTA([1]characters!$A:$A),MATCH(Y$1,[1]characters!$1:$1,0)-MATCH($A$1,[1]characters!$1:$1,0)+1),MATCH(Y$1,[1]characters!$1:$1,0)-MATCH($A$1,[1]characters!$1:$1,0)+1,FALSE)</f>
        <v>machine</v>
      </c>
      <c r="Z4" s="5" t="str">
        <f ca="1">VLOOKUP(Y4,[1]character_tribe_i18n!$A:$H,3,FALSE)</f>
        <v>マシン</v>
      </c>
      <c r="AA4" s="11">
        <f ca="1">VLOOKUP(W4,[1]character_tribe_i18n!$A:$H,4,FALSE)</f>
        <v>0.94</v>
      </c>
      <c r="AB4" s="11">
        <f ca="1">VLOOKUP(W4,[1]character_tribe_i18n!$A:$H,5,FALSE)</f>
        <v>0.99</v>
      </c>
      <c r="AC4" s="11">
        <f ca="1">VLOOKUP(W4,[1]character_tribe_i18n!$A:$H,6,FALSE)</f>
        <v>1</v>
      </c>
      <c r="AD4" s="11">
        <f ca="1">VLOOKUP(W4,[1]character_tribe_i18n!$A:$H,7,FALSE)</f>
        <v>1.07</v>
      </c>
      <c r="AE4" s="9">
        <v>503</v>
      </c>
      <c r="AF4" s="64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破獣の爆姫 テラベル</v>
      </c>
      <c r="AG4" s="5">
        <f t="shared" ca="1" si="1"/>
        <v>502</v>
      </c>
      <c r="AH4" s="64" t="str">
        <f ca="1">VLOOKUP($AG4,OFFSET([1]characters!$A$1,0,0,COUNTA([1]characters!$A:$A),MATCH(AH$1,[1]characters!$1:$1,0)-MATCH($A$1,[1]characters!$1:$1,0)+1),MATCH(AH$1,[1]characters!$1:$1,0)-MATCH($A$1,[1]characters!$1:$1,0)+1,FALSE)</f>
        <v>テラベル</v>
      </c>
      <c r="AI4" s="11">
        <f ca="1">IF(AE4="NULL","NULL",VLOOKUP(G4,ビット!$A$2:$B$7,2))</f>
        <v>50000</v>
      </c>
      <c r="AJ4" s="6">
        <v>2</v>
      </c>
      <c r="AK4" s="7" t="str">
        <f t="shared" si="7"/>
        <v>普通</v>
      </c>
      <c r="AL4" s="11" t="str">
        <f ca="1">INDEX(経験値!$A$1:$I$20,MATCH(H4,経験値!$A$1:$A$20,FALSE),MATCH(G4,経験値!$A$1:$I$1,FALSE))</f>
        <v>required_exp_200</v>
      </c>
      <c r="AM4" s="8">
        <f ca="1">VLOOKUP(G4,経験値!$A$27:$B$31,2)</f>
        <v>3400</v>
      </c>
      <c r="AN4" s="17">
        <f ca="1">VLOOKUP(G4,ビット!$G$2:$H$7,2)</f>
        <v>600</v>
      </c>
      <c r="AO4" s="46"/>
      <c r="AP4" s="69">
        <f t="shared" si="8"/>
        <v>502</v>
      </c>
      <c r="AQ4" s="59" t="str">
        <f ca="1">VLOOKUP($AP4,OFFSET(unit_skills!$A$1,0,0,COUNTA(unit_skills!$A:$A),MATCH(AQ$1,unit_skills!$1:$1,0)-MATCH($AP$1,unit_skills!$1:$1,0)+1),MATCH(AQ$1,unit_skills!$1:$1,0)-MATCH($AP$1,unit_skills!$1:$1,0)+1,FALSE)</f>
        <v>ハートブレイクイグナイト</v>
      </c>
      <c r="AR4" s="59" t="str">
        <f ca="1">VLOOKUP($AP4,OFFSET(unit_skills!$A$1,0,0,COUNTA(unit_skills!$A:$A),MATCH(AR$1,unit_skills!$1:$1,0)-MATCH($AP$1,unit_skills!$1:$1,0)+1),MATCH(AR$1,unit_skills!$1:$1,0)-MATCH($AP$1,unit_skills!$1:$1,0)+1,FALSE)</f>
        <v>3ターン赤属性の攻撃力をUP(ハートパネルを吸収した数に応じて効果UP)</v>
      </c>
      <c r="AS4" s="59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2">
        <f t="shared" si="9"/>
        <v>502</v>
      </c>
      <c r="AU4" s="59" t="str">
        <f ca="1">VLOOKUP($AT4,OFFSET(crash_skills!$A$1,0,0,COUNTA(crash_skills!$A:$A),MATCH(AU$1,crash_skills!$1:$1,0)-MATCH($AT$1,crash_skills!$1:$1,0)+1),MATCH(AU$1,crash_skills!$1:$1,0)-MATCH($AT$1,crash_skills!$1:$1,0)+1,FALSE)</f>
        <v>ローズバラージランチャー</v>
      </c>
      <c r="AV4" s="59" t="str">
        <f ca="1">VLOOKUP($AT4,OFFSET(crash_skills!$A$1,0,0,COUNTA(crash_skills!$A:$A),MATCH(AV$1,crash_skills!$1:$1,0)-MATCH($AT$1,crash_skills!$1:$1,0)+1),MATCH(AV$1,crash_skills!$1:$1,0)-MATCH($AT$1,crash_skills!$1:$1,0)+1,FALSE)</f>
        <v>単体に2回中ダメージ</v>
      </c>
      <c r="AW4" s="59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60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70">
        <v>0.9</v>
      </c>
      <c r="AZ4" s="70">
        <v>1.1000000000000001</v>
      </c>
      <c r="BA4" s="70">
        <v>0</v>
      </c>
      <c r="BB4" s="70">
        <v>0.9</v>
      </c>
      <c r="BC4" s="11">
        <f ca="1">INDEX('RC6SV'!$A$1:$G$20,MATCH(H4,'RC6SV'!$A$1:$A$20,FALSE),MATCH(G4,'RC6SV'!$A$1:$G$1,FALSE))</f>
        <v>5800</v>
      </c>
      <c r="BD4" s="49">
        <f t="shared" ca="1" si="10"/>
        <v>5800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1227</v>
      </c>
      <c r="BH4" s="16">
        <f ca="1">IF($BE4&lt;=0,ROUND(BL4*0.5,0), ROUND($BE4*T4*AB4*K4*AZ4*0.8*[1]ステータス!$C$2,0))</f>
        <v>1286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459</v>
      </c>
      <c r="BK4" s="11">
        <f ca="1">ROUND(BD4*S4*AA4*J4*AY4*[1]ステータス!$B$2,0)</f>
        <v>2453</v>
      </c>
      <c r="BL4" s="11">
        <f ca="1">ROUND(BD4*T4*AB4*K4*AZ4*[1]ステータス!$C$2,0)</f>
        <v>2571</v>
      </c>
      <c r="BM4" s="11">
        <f ca="1">ROUND(BD4*U4*AC4*L4*BA4*[1]ステータス!$D$2,0)</f>
        <v>0</v>
      </c>
      <c r="BN4" s="11">
        <f ca="1">ROUND(BD4*V4*AD4*M4*BB4*[1]ステータス!$E$2,0)</f>
        <v>917</v>
      </c>
      <c r="BO4" s="10">
        <f t="shared" ref="BO4:BO11" si="11">BO3</f>
        <v>0</v>
      </c>
      <c r="BP4" s="10">
        <v>1</v>
      </c>
      <c r="BQ4" s="10" t="s">
        <v>73</v>
      </c>
      <c r="BR4" s="10">
        <f ca="1">VLOOKUP(H4,ghosts_label!$A$2:$B$19,2,FALSE)</f>
        <v>1</v>
      </c>
    </row>
    <row r="5" spans="1:70" ht="21" customHeight="1" x14ac:dyDescent="0.15">
      <c r="A5" s="140">
        <v>503</v>
      </c>
      <c r="B5" s="59" t="str">
        <f ca="1">VLOOKUP($A5,OFFSET([1]characters!$A$1,0,0,COUNTA([1]characters!$A:$A),MATCH(B$1,[1]characters!$1:$1,0)-MATCH($A$1,[1]characters!$1:$1,0)+1),MATCH(B$1,[1]characters!$1:$1,0)-MATCH($A$1,[1]characters!$1:$1,0)+1,FALSE)</f>
        <v>破獣の爆姫 テラベル</v>
      </c>
      <c r="C5" s="59" t="str">
        <f ca="1">VLOOKUP($A5,OFFSET([1]characters!$A$1,0,0,COUNTA([1]characters!$A:$A),MATCH(C$1,[1]characters!$1:$1,0)-MATCH($A$1,[1]characters!$1:$1,0)+1),MATCH(C$1,[1]characters!$1:$1,0)-MATCH($A$1,[1]characters!$1:$1,0)+1,FALSE)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5" s="59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9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9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9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9" t="str">
        <f ca="1">VLOOKUP($A5,OFFSET([1]characters!$A$1,0,0,COUNTA([1]characters!$A:$A),MATCH(H$1,[1]characters!$1:$1,0)-MATCH($A$1,[1]characters!$1:$1,0)+1),MATCH(H$1,[1]characters!$1:$1,0)-MATCH($A$1,[1]characters!$1:$1,0)+1,FALSE)</f>
        <v>Drop2N</v>
      </c>
      <c r="I5" s="59" t="str">
        <f ca="1">VLOOKUP($A5,OFFSET([1]characters!$A$1,0,0,COUNTA([1]characters!$A:$A),MATCH(I$1,[1]characters!$1:$1,0)-MATCH($A$1,[1]characters!$1:$1,0)+1),MATCH(I$1,[1]characters!$1:$1,0)-MATCH($A$1,[1]characters!$1:$1,0)+1,FALSE)</f>
        <v>red</v>
      </c>
      <c r="J5" s="11">
        <f ca="1">VLOOKUP(I5,[1]属性!$A:$E,2,FALSE)</f>
        <v>1</v>
      </c>
      <c r="K5" s="11">
        <f ca="1">VLOOKUP(I5,[1]属性!$A:$E,3,FALSE)</f>
        <v>1.02</v>
      </c>
      <c r="L5" s="11">
        <f ca="1">VLOOKUP(I5,[1]属性!$A:$E,4,FALSE)</f>
        <v>1</v>
      </c>
      <c r="M5" s="11">
        <f ca="1">VLOOKUP(I5,[1]属性!$A:$E,5,FALSE)</f>
        <v>0.98</v>
      </c>
      <c r="N5" s="11">
        <f ca="1">INDEX(コスト!$A$1:$I$20,MATCH(H5,コスト!$A$1:$A$20,FALSE),MATCH(G5,コスト!$A$1:$I$1,FALSE))</f>
        <v>26</v>
      </c>
      <c r="O5" s="11">
        <f ca="1">INDEX(レベル!$A$1:$I$21,MATCH(H5,レベル!$A$1:$A$21,FALSE),MATCH(G5,レベル!$A$1:$I$1,FALSE))</f>
        <v>80</v>
      </c>
      <c r="P5" s="49">
        <f t="shared" ca="1" si="6"/>
        <v>75</v>
      </c>
      <c r="Q5" s="59" t="str">
        <f ca="1">VLOOKUP($A5,OFFSET([1]characters!$A$1,0,0,COUNTA([1]characters!$A:$A),MATCH(Q$1,[1]characters!$1:$1,0)-MATCH($A$1,[1]characters!$1:$1,0)+1),MATCH(Q$1,[1]characters!$1:$1,0)-MATCH($A$1,[1]characters!$1:$1,0)+1,FALSE)</f>
        <v>attack</v>
      </c>
      <c r="R5" s="5" t="str">
        <f ca="1">VLOOKUP(Q5,[1]character_type_i18n!$A:$H,3,FALSE)</f>
        <v>攻撃タイプ</v>
      </c>
      <c r="S5" s="11">
        <f ca="1">VLOOKUP(Q5,[1]character_type_i18n!$A:$H,4,FALSE)</f>
        <v>1</v>
      </c>
      <c r="T5" s="11">
        <f ca="1">VLOOKUP(Q5,[1]character_type_i18n!$A:$H,5,FALSE)</f>
        <v>1.33</v>
      </c>
      <c r="U5" s="11">
        <f ca="1">VLOOKUP(Q5,[1]character_type_i18n!$A:$H,6,FALSE)</f>
        <v>1</v>
      </c>
      <c r="V5" s="11">
        <f ca="1">VLOOKUP(Q5,[1]character_type_i18n!$A:$H,7,FALSE)</f>
        <v>0.67</v>
      </c>
      <c r="W5" s="59" t="str">
        <f ca="1">VLOOKUP($A5,OFFSET([1]characters!$A$1,0,0,COUNTA([1]characters!$A:$A),MATCH(W$1,[1]characters!$1:$1,0)-MATCH($A$1,[1]characters!$1:$1,0)+1),MATCH(W$1,[1]characters!$1:$1,0)-MATCH($A$1,[1]characters!$1:$1,0)+1,FALSE)</f>
        <v>human</v>
      </c>
      <c r="X5" s="5" t="str">
        <f ca="1">VLOOKUP(W5,[1]character_tribe_i18n!$A:$H,3,FALSE)</f>
        <v>ヒューマン</v>
      </c>
      <c r="Y5" s="59" t="str">
        <f ca="1">VLOOKUP($A5,OFFSET([1]characters!$A$1,0,0,COUNTA([1]characters!$A:$A),MATCH(Y$1,[1]characters!$1:$1,0)-MATCH($A$1,[1]characters!$1:$1,0)+1),MATCH(Y$1,[1]characters!$1:$1,0)-MATCH($A$1,[1]characters!$1:$1,0)+1,FALSE)</f>
        <v>machine</v>
      </c>
      <c r="Z5" s="5" t="str">
        <f ca="1">VLOOKUP(Y5,[1]character_tribe_i18n!$A:$H,3,FALSE)</f>
        <v>マシン</v>
      </c>
      <c r="AA5" s="11">
        <f ca="1">VLOOKUP(W5,[1]character_tribe_i18n!$A:$H,4,FALSE)</f>
        <v>0.94</v>
      </c>
      <c r="AB5" s="11">
        <f ca="1">VLOOKUP(W5,[1]character_tribe_i18n!$A:$H,5,FALSE)</f>
        <v>0.99</v>
      </c>
      <c r="AC5" s="11">
        <f ca="1">VLOOKUP(W5,[1]character_tribe_i18n!$A:$H,6,FALSE)</f>
        <v>1</v>
      </c>
      <c r="AD5" s="11">
        <f ca="1">VLOOKUP(W5,[1]character_tribe_i18n!$A:$H,7,FALSE)</f>
        <v>1.07</v>
      </c>
      <c r="AE5" s="9" t="s">
        <v>220</v>
      </c>
      <c r="AF5" s="64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502</v>
      </c>
      <c r="AH5" s="64" t="str">
        <f ca="1">VLOOKUP($AG5,OFFSET([1]characters!$A$1,0,0,COUNTA([1]characters!$A:$A),MATCH(AH$1,[1]characters!$1:$1,0)-MATCH($A$1,[1]characters!$1:$1,0)+1),MATCH(AH$1,[1]characters!$1:$1,0)-MATCH($A$1,[1]characters!$1:$1,0)+1,FALSE)</f>
        <v>テラベル</v>
      </c>
      <c r="AI5" s="11" t="str">
        <f>IF(AE5="NULL","NULL",VLOOKUP(G5,ビット!$A$2:$B$7,2))</f>
        <v>NULL</v>
      </c>
      <c r="AJ5" s="6">
        <v>2</v>
      </c>
      <c r="AK5" s="7" t="str">
        <f t="shared" si="7"/>
        <v>普通</v>
      </c>
      <c r="AL5" s="11" t="str">
        <f ca="1">INDEX(経験値!$A$1:$I$20,MATCH(H5,経験値!$A$1:$A$20,FALSE),MATCH(G5,経験値!$A$1:$I$1,FALSE))</f>
        <v>required_exp_200</v>
      </c>
      <c r="AM5" s="8">
        <f ca="1">VLOOKUP(G5,経験値!$A$27:$B$31,2)</f>
        <v>6400</v>
      </c>
      <c r="AN5" s="17">
        <f ca="1">VLOOKUP(G5,ビット!$G$2:$H$7,2)</f>
        <v>900</v>
      </c>
      <c r="AO5" s="46"/>
      <c r="AP5" s="69">
        <f t="shared" si="8"/>
        <v>503</v>
      </c>
      <c r="AQ5" s="59" t="str">
        <f ca="1">VLOOKUP($AP5,OFFSET(unit_skills!$A$1,0,0,COUNTA(unit_skills!$A:$A),MATCH(AQ$1,unit_skills!$1:$1,0)-MATCH($AP$1,unit_skills!$1:$1,0)+1),MATCH(AQ$1,unit_skills!$1:$1,0)-MATCH($AP$1,unit_skills!$1:$1,0)+1,FALSE)</f>
        <v>ハートブレイクイグナイト</v>
      </c>
      <c r="AR5" s="59" t="str">
        <f ca="1">VLOOKUP($AP5,OFFSET(unit_skills!$A$1,0,0,COUNTA(unit_skills!$A:$A),MATCH(AR$1,unit_skills!$1:$1,0)-MATCH($AP$1,unit_skills!$1:$1,0)+1),MATCH(AR$1,unit_skills!$1:$1,0)-MATCH($AP$1,unit_skills!$1:$1,0)+1,FALSE)</f>
        <v>3ターン赤属性の攻撃力をUP(ハートパネルを吸収した数に応じて効果UP)</v>
      </c>
      <c r="AS5" s="59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2">
        <f t="shared" si="9"/>
        <v>503</v>
      </c>
      <c r="AU5" s="59" t="str">
        <f ca="1">VLOOKUP($AT5,OFFSET(crash_skills!$A$1,0,0,COUNTA(crash_skills!$A:$A),MATCH(AU$1,crash_skills!$1:$1,0)-MATCH($AT$1,crash_skills!$1:$1,0)+1),MATCH(AU$1,crash_skills!$1:$1,0)-MATCH($AT$1,crash_skills!$1:$1,0)+1,FALSE)</f>
        <v>ローズバラージランチャー</v>
      </c>
      <c r="AV5" s="59" t="str">
        <f ca="1">VLOOKUP($AT5,OFFSET(crash_skills!$A$1,0,0,COUNTA(crash_skills!$A:$A),MATCH(AV$1,crash_skills!$1:$1,0)-MATCH($AT$1,crash_skills!$1:$1,0)+1),MATCH(AV$1,crash_skills!$1:$1,0)-MATCH($AT$1,crash_skills!$1:$1,0)+1,FALSE)</f>
        <v>単体に2回中ダメージ</v>
      </c>
      <c r="AW5" s="59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60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70">
        <v>0.9</v>
      </c>
      <c r="AZ5" s="70">
        <v>1.1000000000000001</v>
      </c>
      <c r="BA5" s="70">
        <v>0</v>
      </c>
      <c r="BB5" s="70">
        <v>0.9</v>
      </c>
      <c r="BC5" s="11">
        <f ca="1">INDEX('RC6SV'!$A$1:$G$20,MATCH(H5,'RC6SV'!$A$1:$A$20,FALSE),MATCH(G5,'RC6SV'!$A$1:$G$1,FALSE))</f>
        <v>7600</v>
      </c>
      <c r="BD5" s="49">
        <f t="shared" ca="1" si="10"/>
        <v>7600</v>
      </c>
      <c r="BE5" s="11">
        <f t="shared" ca="1" si="4"/>
        <v>5800</v>
      </c>
      <c r="BF5" s="11">
        <f t="shared" ca="1" si="5"/>
        <v>1</v>
      </c>
      <c r="BG5" s="16">
        <f ca="1">IF($BE5&lt;=0,ROUND(BK5*0.5,0), ROUND($BE5*S5*AA5*J5*AY5*0.8*[1]ステータス!$B$2,0))</f>
        <v>1963</v>
      </c>
      <c r="BH5" s="16">
        <f ca="1">IF($BE5&lt;=0,ROUND(BL5*0.5,0), ROUND($BE5*T5*AB5*K5*AZ5*0.8*[1]ステータス!$C$2,0))</f>
        <v>2056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733</v>
      </c>
      <c r="BK5" s="11">
        <f ca="1">ROUND(BD5*S5*AA5*J5*AY5*[1]ステータス!$B$2,0)</f>
        <v>3215</v>
      </c>
      <c r="BL5" s="11">
        <f ca="1">ROUND(BD5*T5*AB5*K5*AZ5*[1]ステータス!$C$2,0)</f>
        <v>3368</v>
      </c>
      <c r="BM5" s="11">
        <f ca="1">ROUND(BD5*U5*AC5*L5*BA5*[1]ステータス!$D$2,0)</f>
        <v>0</v>
      </c>
      <c r="BN5" s="11">
        <f ca="1">ROUND(BD5*V5*AD5*M5*BB5*[1]ステータス!$E$2,0)</f>
        <v>1201</v>
      </c>
      <c r="BO5" s="10">
        <f t="shared" si="11"/>
        <v>0</v>
      </c>
      <c r="BP5" s="10">
        <v>1</v>
      </c>
      <c r="BQ5" s="10" t="s">
        <v>73</v>
      </c>
      <c r="BR5" s="10">
        <f ca="1">VLOOKUP(H5,ghosts_label!$A$2:$B$19,2,FALSE)</f>
        <v>1</v>
      </c>
    </row>
    <row r="6" spans="1:70" ht="21" customHeight="1" x14ac:dyDescent="0.15">
      <c r="A6" s="140">
        <v>504</v>
      </c>
      <c r="B6" s="59" t="str">
        <f ca="1">VLOOKUP($A6,OFFSET([1]characters!$A$1,0,0,COUNTA([1]characters!$A:$A),MATCH(B$1,[1]characters!$1:$1,0)-MATCH($A$1,[1]characters!$1:$1,0)+1),MATCH(B$1,[1]characters!$1:$1,0)-MATCH($A$1,[1]characters!$1:$1,0)+1,FALSE)</f>
        <v>ハイディン・オーガ</v>
      </c>
      <c r="C6" s="59" t="str">
        <f ca="1">VLOOKUP($A6,OFFSET([1]characters!$A$1,0,0,COUNTA([1]characters!$A:$A),MATCH(C$1,[1]characters!$1:$1,0)-MATCH($A$1,[1]characters!$1:$1,0)+1),MATCH(C$1,[1]characters!$1:$1,0)-MATCH($A$1,[1]characters!$1:$1,0)+1,FALSE)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6" s="59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9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9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9">
        <f ca="1">VLOOKUP($A6,OFFSET([1]characters!$A$1,0,0,COUNTA([1]characters!$A:$A),MATCH(G$1,[1]characters!$1:$1,0)-MATCH($A$1,[1]characters!$1:$1,0)+1),MATCH(G$1,[1]characters!$1:$1,0)-MATCH($A$1,[1]characters!$1:$1,0)+1,FALSE)</f>
        <v>4</v>
      </c>
      <c r="H6" s="59" t="str">
        <f ca="1">VLOOKUP($A6,OFFSET([1]characters!$A$1,0,0,COUNTA([1]characters!$A:$A),MATCH(H$1,[1]characters!$1:$1,0)-MATCH($A$1,[1]characters!$1:$1,0)+1),MATCH(H$1,[1]characters!$1:$1,0)-MATCH($A$1,[1]characters!$1:$1,0)+1,FALSE)</f>
        <v>Drop2N</v>
      </c>
      <c r="I6" s="59" t="str">
        <f ca="1">VLOOKUP($A6,OFFSET([1]characters!$A$1,0,0,COUNTA([1]characters!$A:$A),MATCH(I$1,[1]characters!$1:$1,0)-MATCH($A$1,[1]characters!$1:$1,0)+1),MATCH(I$1,[1]characters!$1:$1,0)-MATCH($A$1,[1]characters!$1:$1,0)+1,FALSE)</f>
        <v>green</v>
      </c>
      <c r="J6" s="11">
        <f ca="1">VLOOKUP(I6,[1]属性!$A:$E,2,FALSE)</f>
        <v>1.02</v>
      </c>
      <c r="K6" s="11">
        <f ca="1">VLOOKUP(I6,[1]属性!$A:$E,3,FALSE)</f>
        <v>0.98</v>
      </c>
      <c r="L6" s="11">
        <f ca="1">VLOOKUP(I6,[1]属性!$A:$E,4,FALSE)</f>
        <v>1</v>
      </c>
      <c r="M6" s="11">
        <f ca="1">VLOOKUP(I6,[1]属性!$A:$E,5,FALSE)</f>
        <v>1</v>
      </c>
      <c r="N6" s="11">
        <f ca="1">INDEX(コスト!$A$1:$I$20,MATCH(H6,コスト!$A$1:$A$20,FALSE),MATCH(G6,コスト!$A$1:$I$1,FALSE))</f>
        <v>17</v>
      </c>
      <c r="O6" s="11">
        <f ca="1">INDEX(レベル!$A$1:$I$21,MATCH(H6,レベル!$A$1:$A$21,FALSE),MATCH(G6,レベル!$A$1:$I$1,FALSE))</f>
        <v>60</v>
      </c>
      <c r="P6" s="49">
        <f t="shared" ref="P6:P11" ca="1" si="12">G6*15</f>
        <v>60</v>
      </c>
      <c r="Q6" s="59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9" t="str">
        <f ca="1">VLOOKUP($A6,OFFSET([1]characters!$A$1,0,0,COUNTA([1]characters!$A:$A),MATCH(W$1,[1]characters!$1:$1,0)-MATCH($A$1,[1]characters!$1:$1,0)+1),MATCH(W$1,[1]characters!$1:$1,0)-MATCH($A$1,[1]characters!$1:$1,0)+1,FALSE)</f>
        <v>animal</v>
      </c>
      <c r="X6" s="5" t="str">
        <f ca="1">VLOOKUP(W6,[1]character_tribe_i18n!$A:$H,3,FALSE)</f>
        <v>アニマル</v>
      </c>
      <c r="Y6" s="59" t="str">
        <f ca="1">VLOOKUP($A6,OFFSET([1]characters!$A$1,0,0,COUNTA([1]characters!$A:$A),MATCH(Y$1,[1]characters!$1:$1,0)-MATCH($A$1,[1]characters!$1:$1,0)+1),MATCH(Y$1,[1]characters!$1:$1,0)-MATCH($A$1,[1]characters!$1:$1,0)+1,FALSE)</f>
        <v>unknown</v>
      </c>
      <c r="Z6" s="5" t="str">
        <f ca="1">VLOOKUP(Y6,[1]character_tribe_i18n!$A:$H,3,FALSE)</f>
        <v>Unknown</v>
      </c>
      <c r="AA6" s="11">
        <f ca="1">VLOOKUP(W6,[1]character_tribe_i18n!$A:$H,4,FALSE)</f>
        <v>1</v>
      </c>
      <c r="AB6" s="11">
        <f ca="1">VLOOKUP(W6,[1]character_tribe_i18n!$A:$H,5,FALSE)</f>
        <v>1.1000000000000001</v>
      </c>
      <c r="AC6" s="11">
        <f ca="1">VLOOKUP(W6,[1]character_tribe_i18n!$A:$H,6,FALSE)</f>
        <v>1</v>
      </c>
      <c r="AD6" s="11">
        <f ca="1">VLOOKUP(W6,[1]character_tribe_i18n!$A:$H,7,FALSE)</f>
        <v>0.9</v>
      </c>
      <c r="AE6" s="9">
        <v>505</v>
      </c>
      <c r="AF6" s="64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>暴虐の漏洩 ハイディン・オーガ</v>
      </c>
      <c r="AG6" s="5">
        <f t="shared" ca="1" si="1"/>
        <v>504</v>
      </c>
      <c r="AH6" s="64" t="str">
        <f ca="1">VLOOKUP($AG6,OFFSET([1]characters!$A$1,0,0,COUNTA([1]characters!$A:$A),MATCH(AH$1,[1]characters!$1:$1,0)-MATCH($A$1,[1]characters!$1:$1,0)+1),MATCH(AH$1,[1]characters!$1:$1,0)-MATCH($A$1,[1]characters!$1:$1,0)+1,FALSE)</f>
        <v>ハイディン・オーガ</v>
      </c>
      <c r="AI6" s="11">
        <f ca="1">IF(AE6="NULL","NULL",VLOOKUP(G6,ビット!$A$2:$B$7,2))</f>
        <v>50000</v>
      </c>
      <c r="AJ6" s="6">
        <v>2</v>
      </c>
      <c r="AK6" s="7" t="str">
        <f t="shared" ref="AK6:AK11" si="13">IF(AJ6=1,"早熟",IF(AJ6=2,"普通",IF(AJ6=3,"晩成","")))</f>
        <v>普通</v>
      </c>
      <c r="AL6" s="11" t="str">
        <f ca="1">INDEX(経験値!$A$1:$I$20,MATCH(H6,経験値!$A$1:$A$20,FALSE),MATCH(G6,経験値!$A$1:$I$1,FALSE))</f>
        <v>required_exp_200</v>
      </c>
      <c r="AM6" s="8">
        <f ca="1">VLOOKUP(G6,経験値!$A$27:$B$31,2)</f>
        <v>3400</v>
      </c>
      <c r="AN6" s="17">
        <f ca="1">VLOOKUP(G6,ビット!$G$2:$H$7,2)</f>
        <v>600</v>
      </c>
      <c r="AO6" s="46"/>
      <c r="AP6" s="69">
        <f t="shared" si="8"/>
        <v>504</v>
      </c>
      <c r="AQ6" s="59" t="str">
        <f ca="1">VLOOKUP($AP6,OFFSET(unit_skills!$A$1,0,0,COUNTA(unit_skills!$A:$A),MATCH(AQ$1,unit_skills!$1:$1,0)-MATCH($AP$1,unit_skills!$1:$1,0)+1),MATCH(AQ$1,unit_skills!$1:$1,0)-MATCH($AP$1,unit_skills!$1:$1,0)+1,FALSE)</f>
        <v>ハイディン・マリス</v>
      </c>
      <c r="AR6" s="59" t="str">
        <f ca="1">VLOOKUP($AP6,OFFSET(unit_skills!$A$1,0,0,COUNTA(unit_skills!$A:$A),MATCH(AR$1,unit_skills!$1:$1,0)-MATCH($AP$1,unit_skills!$1:$1,0)+1),MATCH(AR$1,unit_skills!$1:$1,0)-MATCH($AP$1,unit_skills!$1:$1,0)+1,FALSE)</f>
        <v>3ターンの間緑属性のユニットの攻撃力と防御力を特大UP＋赤パネルを緑パネルに変換</v>
      </c>
      <c r="AS6" s="59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2">
        <f t="shared" si="9"/>
        <v>504</v>
      </c>
      <c r="AU6" s="59" t="str">
        <f ca="1">VLOOKUP($AT6,OFFSET(crash_skills!$A$1,0,0,COUNTA(crash_skills!$A:$A),MATCH(AU$1,crash_skills!$1:$1,0)-MATCH($AT$1,crash_skills!$1:$1,0)+1),MATCH(AU$1,crash_skills!$1:$1,0)-MATCH($AT$1,crash_skills!$1:$1,0)+1,FALSE)</f>
        <v>悪逆の恐手</v>
      </c>
      <c r="AV6" s="59" t="str">
        <f ca="1">VLOOKUP($AT6,OFFSET(crash_skills!$A$1,0,0,COUNTA(crash_skills!$A:$A),MATCH(AV$1,crash_skills!$1:$1,0)-MATCH($AT$1,crash_skills!$1:$1,0)+1),MATCH(AV$1,crash_skills!$1:$1,0)-MATCH($AT$1,crash_skills!$1:$1,0)+1,FALSE)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6" s="59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60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70">
        <v>0.9</v>
      </c>
      <c r="AZ6" s="70">
        <v>1.1020000000000001</v>
      </c>
      <c r="BA6" s="70">
        <v>0</v>
      </c>
      <c r="BB6" s="70">
        <v>0.95</v>
      </c>
      <c r="BC6" s="11">
        <f ca="1">INDEX('RC6SV'!$A$1:$G$20,MATCH(H6,'RC6SV'!$A$1:$A$20,FALSE),MATCH(G6,'RC6SV'!$A$1:$G$1,FALSE))</f>
        <v>5800</v>
      </c>
      <c r="BD6" s="49">
        <f t="shared" ref="BD6:BD11" ca="1" si="14">ROUND(BC6*IF(AJ6=1,0.95,IF(AJ6=2,1,IF(AJ6,1.05,0))),0)</f>
        <v>5800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1331</v>
      </c>
      <c r="BH6" s="16">
        <f ca="1">IF($BE6&lt;=0,ROUND(BL6*0.5,0), ROUND($BE6*T6*AB6*K6*AZ6*0.8*[1]ステータス!$C$2,0))</f>
        <v>1375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416</v>
      </c>
      <c r="BK6" s="11">
        <f ca="1">ROUND(BD6*S6*AA6*J6*AY6*[1]ステータス!$B$2,0)</f>
        <v>2662</v>
      </c>
      <c r="BL6" s="11">
        <f ca="1">ROUND(BD6*T6*AB6*K6*AZ6*[1]ステータス!$C$2,0)</f>
        <v>2749</v>
      </c>
      <c r="BM6" s="11">
        <f ca="1">ROUND(BD6*U6*AC6*L6*BA6*[1]ステータス!$D$2,0)</f>
        <v>0</v>
      </c>
      <c r="BN6" s="11">
        <f ca="1">ROUND(BD6*V6*AD6*M6*BB6*[1]ステータス!$E$2,0)</f>
        <v>831</v>
      </c>
      <c r="BO6" s="10">
        <f t="shared" si="11"/>
        <v>0</v>
      </c>
      <c r="BP6" s="10">
        <v>1</v>
      </c>
      <c r="BQ6" s="10" t="s">
        <v>73</v>
      </c>
      <c r="BR6" s="10">
        <f ca="1">VLOOKUP(H6,ghosts_label!$A$2:$B$19,2,FALSE)</f>
        <v>1</v>
      </c>
    </row>
    <row r="7" spans="1:70" ht="21" customHeight="1" x14ac:dyDescent="0.15">
      <c r="A7" s="140">
        <v>505</v>
      </c>
      <c r="B7" s="59" t="str">
        <f ca="1">VLOOKUP($A7,OFFSET([1]characters!$A$1,0,0,COUNTA([1]characters!$A:$A),MATCH(B$1,[1]characters!$1:$1,0)-MATCH($A$1,[1]characters!$1:$1,0)+1),MATCH(B$1,[1]characters!$1:$1,0)-MATCH($A$1,[1]characters!$1:$1,0)+1,FALSE)</f>
        <v>暴虐の漏洩 ハイディン・オーガ</v>
      </c>
      <c r="C7" s="59" t="str">
        <f ca="1">VLOOKUP($A7,OFFSET([1]characters!$A$1,0,0,COUNTA([1]characters!$A:$A),MATCH(C$1,[1]characters!$1:$1,0)-MATCH($A$1,[1]characters!$1:$1,0)+1),MATCH(C$1,[1]characters!$1:$1,0)-MATCH($A$1,[1]characters!$1:$1,0)+1,FALSE)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7" s="59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9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9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9">
        <f ca="1">VLOOKUP($A7,OFFSET([1]characters!$A$1,0,0,COUNTA([1]characters!$A:$A),MATCH(G$1,[1]characters!$1:$1,0)-MATCH($A$1,[1]characters!$1:$1,0)+1),MATCH(G$1,[1]characters!$1:$1,0)-MATCH($A$1,[1]characters!$1:$1,0)+1,FALSE)</f>
        <v>5</v>
      </c>
      <c r="H7" s="59" t="str">
        <f ca="1">VLOOKUP($A7,OFFSET([1]characters!$A$1,0,0,COUNTA([1]characters!$A:$A),MATCH(H$1,[1]characters!$1:$1,0)-MATCH($A$1,[1]characters!$1:$1,0)+1),MATCH(H$1,[1]characters!$1:$1,0)-MATCH($A$1,[1]characters!$1:$1,0)+1,FALSE)</f>
        <v>Drop2N</v>
      </c>
      <c r="I7" s="59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INDEX(コスト!$A$1:$I$20,MATCH(H7,コスト!$A$1:$A$20,FALSE),MATCH(G7,コスト!$A$1:$I$1,FALSE))</f>
        <v>26</v>
      </c>
      <c r="O7" s="11">
        <f ca="1">INDEX(レベル!$A$1:$I$21,MATCH(H7,レベル!$A$1:$A$21,FALSE),MATCH(G7,レベル!$A$1:$I$1,FALSE))</f>
        <v>80</v>
      </c>
      <c r="P7" s="49">
        <f t="shared" ca="1" si="12"/>
        <v>75</v>
      </c>
      <c r="Q7" s="59" t="str">
        <f ca="1">VLOOKUP($A7,OFFSET([1]characters!$A$1,0,0,COUNTA([1]characters!$A:$A),MATCH(Q$1,[1]characters!$1:$1,0)-MATCH($A$1,[1]characters!$1:$1,0)+1),MATCH(Q$1,[1]characters!$1:$1,0)-MATCH($A$1,[1]characters!$1:$1,0)+1,FALSE)</f>
        <v>attack</v>
      </c>
      <c r="R7" s="5" t="str">
        <f ca="1">VLOOKUP(Q7,[1]character_type_i18n!$A:$H,3,FALSE)</f>
        <v>攻撃タイプ</v>
      </c>
      <c r="S7" s="11">
        <f ca="1">VLOOKUP(Q7,[1]character_type_i18n!$A:$H,4,FALSE)</f>
        <v>1</v>
      </c>
      <c r="T7" s="11">
        <f ca="1">VLOOKUP(Q7,[1]character_type_i18n!$A:$H,5,FALSE)</f>
        <v>1.33</v>
      </c>
      <c r="U7" s="11">
        <f ca="1">VLOOKUP(Q7,[1]character_type_i18n!$A:$H,6,FALSE)</f>
        <v>1</v>
      </c>
      <c r="V7" s="11">
        <f ca="1">VLOOKUP(Q7,[1]character_type_i18n!$A:$H,7,FALSE)</f>
        <v>0.67</v>
      </c>
      <c r="W7" s="59" t="str">
        <f ca="1">VLOOKUP($A7,OFFSET([1]characters!$A$1,0,0,COUNTA([1]characters!$A:$A),MATCH(W$1,[1]characters!$1:$1,0)-MATCH($A$1,[1]characters!$1:$1,0)+1),MATCH(W$1,[1]characters!$1:$1,0)-MATCH($A$1,[1]characters!$1:$1,0)+1,FALSE)</f>
        <v>animal</v>
      </c>
      <c r="X7" s="5" t="str">
        <f ca="1">VLOOKUP(W7,[1]character_tribe_i18n!$A:$H,3,FALSE)</f>
        <v>アニマル</v>
      </c>
      <c r="Y7" s="59" t="str">
        <f ca="1">VLOOKUP($A7,OFFSET([1]characters!$A$1,0,0,COUNTA([1]characters!$A:$A),MATCH(Y$1,[1]characters!$1:$1,0)-MATCH($A$1,[1]characters!$1:$1,0)+1),MATCH(Y$1,[1]characters!$1:$1,0)-MATCH($A$1,[1]characters!$1:$1,0)+1,FALSE)</f>
        <v>unknown</v>
      </c>
      <c r="Z7" s="5" t="str">
        <f ca="1">VLOOKUP(Y7,[1]character_tribe_i18n!$A:$H,3,FALSE)</f>
        <v>Unknown</v>
      </c>
      <c r="AA7" s="11">
        <f ca="1">VLOOKUP(W7,[1]character_tribe_i18n!$A:$H,4,FALSE)</f>
        <v>1</v>
      </c>
      <c r="AB7" s="11">
        <f ca="1">VLOOKUP(W7,[1]character_tribe_i18n!$A:$H,5,FALSE)</f>
        <v>1.1000000000000001</v>
      </c>
      <c r="AC7" s="11">
        <f ca="1">VLOOKUP(W7,[1]character_tribe_i18n!$A:$H,6,FALSE)</f>
        <v>1</v>
      </c>
      <c r="AD7" s="11">
        <f ca="1">VLOOKUP(W7,[1]character_tribe_i18n!$A:$H,7,FALSE)</f>
        <v>0.9</v>
      </c>
      <c r="AE7" s="9" t="s">
        <v>220</v>
      </c>
      <c r="AF7" s="64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f t="shared" ca="1" si="1"/>
        <v>504</v>
      </c>
      <c r="AH7" s="64" t="str">
        <f ca="1">VLOOKUP($AG7,OFFSET([1]characters!$A$1,0,0,COUNTA([1]characters!$A:$A),MATCH(AH$1,[1]characters!$1:$1,0)-MATCH($A$1,[1]characters!$1:$1,0)+1),MATCH(AH$1,[1]characters!$1:$1,0)-MATCH($A$1,[1]characters!$1:$1,0)+1,FALSE)</f>
        <v>ハイディン・オーガ</v>
      </c>
      <c r="AI7" s="11" t="str">
        <f>IF(AE7="NULL","NULL",VLOOKUP(G7,ビット!$A$2:$B$7,2))</f>
        <v>NULL</v>
      </c>
      <c r="AJ7" s="6">
        <v>2</v>
      </c>
      <c r="AK7" s="7" t="str">
        <f t="shared" si="13"/>
        <v>普通</v>
      </c>
      <c r="AL7" s="11" t="str">
        <f ca="1">INDEX(経験値!$A$1:$I$20,MATCH(H7,経験値!$A$1:$A$20,FALSE),MATCH(G7,経験値!$A$1:$I$1,FALSE))</f>
        <v>required_exp_200</v>
      </c>
      <c r="AM7" s="8">
        <f ca="1">VLOOKUP(G7,経験値!$A$27:$B$31,2)</f>
        <v>6400</v>
      </c>
      <c r="AN7" s="17">
        <f ca="1">VLOOKUP(G7,ビット!$G$2:$H$7,2)</f>
        <v>900</v>
      </c>
      <c r="AO7" s="46"/>
      <c r="AP7" s="69">
        <f t="shared" si="8"/>
        <v>505</v>
      </c>
      <c r="AQ7" s="59" t="str">
        <f ca="1">VLOOKUP($AP7,OFFSET(unit_skills!$A$1,0,0,COUNTA(unit_skills!$A:$A),MATCH(AQ$1,unit_skills!$1:$1,0)-MATCH($AP$1,unit_skills!$1:$1,0)+1),MATCH(AQ$1,unit_skills!$1:$1,0)-MATCH($AP$1,unit_skills!$1:$1,0)+1,FALSE)</f>
        <v>ハイディン・マリス</v>
      </c>
      <c r="AR7" s="59" t="str">
        <f ca="1">VLOOKUP($AP7,OFFSET(unit_skills!$A$1,0,0,COUNTA(unit_skills!$A:$A),MATCH(AR$1,unit_skills!$1:$1,0)-MATCH($AP$1,unit_skills!$1:$1,0)+1),MATCH(AR$1,unit_skills!$1:$1,0)-MATCH($AP$1,unit_skills!$1:$1,0)+1,FALSE)</f>
        <v>3ターンの間緑属性のユニットの攻撃力と防御力を特大UP＋赤パネルを緑パネルに変換</v>
      </c>
      <c r="AS7" s="59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2">
        <f t="shared" si="9"/>
        <v>505</v>
      </c>
      <c r="AU7" s="59" t="str">
        <f ca="1">VLOOKUP($AT7,OFFSET(crash_skills!$A$1,0,0,COUNTA(crash_skills!$A:$A),MATCH(AU$1,crash_skills!$1:$1,0)-MATCH($AT$1,crash_skills!$1:$1,0)+1),MATCH(AU$1,crash_skills!$1:$1,0)-MATCH($AT$1,crash_skills!$1:$1,0)+1,FALSE)</f>
        <v>悪逆の恐手</v>
      </c>
      <c r="AV7" s="59" t="str">
        <f ca="1">VLOOKUP($AT7,OFFSET(crash_skills!$A$1,0,0,COUNTA(crash_skills!$A:$A),MATCH(AV$1,crash_skills!$1:$1,0)-MATCH($AT$1,crash_skills!$1:$1,0)+1),MATCH(AV$1,crash_skills!$1:$1,0)-MATCH($AT$1,crash_skills!$1:$1,0)+1,FALSE)</f>
        <v>1体に中ダメージ_x000D_ヒューマンに効果大</v>
      </c>
      <c r="AW7" s="59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60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70">
        <v>0.9</v>
      </c>
      <c r="AZ7" s="70">
        <v>1.1020000000000001</v>
      </c>
      <c r="BA7" s="70">
        <v>0</v>
      </c>
      <c r="BB7" s="70">
        <v>0.95</v>
      </c>
      <c r="BC7" s="11">
        <f ca="1">INDEX('RC6SV'!$A$1:$G$20,MATCH(H7,'RC6SV'!$A$1:$A$20,FALSE),MATCH(G7,'RC6SV'!$A$1:$G$1,FALSE))</f>
        <v>7600</v>
      </c>
      <c r="BD7" s="49">
        <f t="shared" ca="1" si="14"/>
        <v>7600</v>
      </c>
      <c r="BE7" s="11">
        <f t="shared" ca="1" si="4"/>
        <v>5800</v>
      </c>
      <c r="BF7" s="11">
        <f t="shared" ca="1" si="5"/>
        <v>1</v>
      </c>
      <c r="BG7" s="16">
        <f ca="1">IF($BE7&lt;=0,ROUND(BK7*0.5,0), ROUND($BE7*S7*AA7*J7*AY7*0.8*[1]ステータス!$B$2,0))</f>
        <v>2130</v>
      </c>
      <c r="BH7" s="16">
        <f ca="1">IF($BE7&lt;=0,ROUND(BL7*0.5,0), ROUND($BE7*T7*AB7*K7*AZ7*0.8*[1]ステータス!$C$2,0))</f>
        <v>2199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665</v>
      </c>
      <c r="BK7" s="11">
        <f ca="1">ROUND(BD7*S7*AA7*J7*AY7*[1]ステータス!$B$2,0)</f>
        <v>3488</v>
      </c>
      <c r="BL7" s="11">
        <f ca="1">ROUND(BD7*T7*AB7*K7*AZ7*[1]ステータス!$C$2,0)</f>
        <v>3602</v>
      </c>
      <c r="BM7" s="11">
        <f ca="1">ROUND(BD7*U7*AC7*L7*BA7*[1]ステータス!$D$2,0)</f>
        <v>0</v>
      </c>
      <c r="BN7" s="11">
        <f ca="1">ROUND(BD7*V7*AD7*M7*BB7*[1]ステータス!$E$2,0)</f>
        <v>1088</v>
      </c>
      <c r="BO7" s="10">
        <f t="shared" si="11"/>
        <v>0</v>
      </c>
      <c r="BP7" s="10">
        <v>1</v>
      </c>
      <c r="BQ7" s="10" t="s">
        <v>73</v>
      </c>
      <c r="BR7" s="10">
        <f ca="1">VLOOKUP(H7,ghosts_label!$A$2:$B$19,2,FALSE)</f>
        <v>1</v>
      </c>
    </row>
    <row r="8" spans="1:70" ht="21" customHeight="1" x14ac:dyDescent="0.15">
      <c r="A8" s="140">
        <v>506</v>
      </c>
      <c r="B8" s="59" t="str">
        <f ca="1">VLOOKUP($A8,OFFSET([1]characters!$A$1,0,0,COUNTA([1]characters!$A:$A),MATCH(B$1,[1]characters!$1:$1,0)-MATCH($A$1,[1]characters!$1:$1,0)+1),MATCH(B$1,[1]characters!$1:$1,0)-MATCH($A$1,[1]characters!$1:$1,0)+1,FALSE)</f>
        <v>ゴーテル</v>
      </c>
      <c r="C8" s="59" t="str">
        <f ca="1">VLOOKUP($A8,OFFSET([1]characters!$A$1,0,0,COUNTA([1]characters!$A:$A),MATCH(C$1,[1]characters!$1:$1,0)-MATCH($A$1,[1]characters!$1:$1,0)+1),MATCH(C$1,[1]characters!$1:$1,0)-MATCH($A$1,[1]characters!$1:$1,0)+1,FALSE)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8" s="59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9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9" t="str">
        <f ca="1">VLOOKUP($A8,OFFSET([1]characters!$A$1,0,0,COUNTA([1]characters!$A:$A),MATCH(F$1,[1]characters!$1:$1,0)-MATCH($A$1,[1]characters!$1:$1,0)+1),MATCH(F$1,[1]characters!$1:$1,0)-MATCH($A$1,[1]characters!$1:$1,0)+1,FALSE)</f>
        <v>女性</v>
      </c>
      <c r="G8" s="59">
        <f ca="1">VLOOKUP($A8,OFFSET([1]characters!$A$1,0,0,COUNTA([1]characters!$A:$A),MATCH(G$1,[1]characters!$1:$1,0)-MATCH($A$1,[1]characters!$1:$1,0)+1),MATCH(G$1,[1]characters!$1:$1,0)-MATCH($A$1,[1]characters!$1:$1,0)+1,FALSE)</f>
        <v>4</v>
      </c>
      <c r="H8" s="59" t="str">
        <f ca="1">VLOOKUP($A8,OFFSET([1]characters!$A$1,0,0,COUNTA([1]characters!$A:$A),MATCH(H$1,[1]characters!$1:$1,0)-MATCH($A$1,[1]characters!$1:$1,0)+1),MATCH(H$1,[1]characters!$1:$1,0)-MATCH($A$1,[1]characters!$1:$1,0)+1,FALSE)</f>
        <v>Drop2N</v>
      </c>
      <c r="I8" s="59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INDEX(コスト!$A$1:$I$20,MATCH(H8,コスト!$A$1:$A$20,FALSE),MATCH(G8,コスト!$A$1:$I$1,FALSE))</f>
        <v>17</v>
      </c>
      <c r="O8" s="11">
        <f ca="1">INDEX(レベル!$A$1:$I$21,MATCH(H8,レベル!$A$1:$A$21,FALSE),MATCH(G8,レベル!$A$1:$I$1,FALSE))</f>
        <v>60</v>
      </c>
      <c r="P8" s="49">
        <f t="shared" ca="1" si="12"/>
        <v>60</v>
      </c>
      <c r="Q8" s="59" t="str">
        <f ca="1">VLOOKUP($A8,OFFSET([1]characters!$A$1,0,0,COUNTA([1]characters!$A:$A),MATCH(Q$1,[1]characters!$1:$1,0)-MATCH($A$1,[1]characters!$1:$1,0)+1),MATCH(Q$1,[1]characters!$1:$1,0)-MATCH($A$1,[1]characters!$1:$1,0)+1,FALSE)</f>
        <v>technical</v>
      </c>
      <c r="R8" s="5" t="str">
        <f ca="1">VLOOKUP(Q8,[1]character_type_i18n!$A:$H,3,FALSE)</f>
        <v>テクニカルタイプ</v>
      </c>
      <c r="S8" s="11">
        <f ca="1">VLOOKUP(Q8,[1]character_type_i18n!$A:$H,4,FALSE)</f>
        <v>0.9</v>
      </c>
      <c r="T8" s="11">
        <f ca="1">VLOOKUP(Q8,[1]character_type_i18n!$A:$H,5,FALSE)</f>
        <v>0.9</v>
      </c>
      <c r="U8" s="11">
        <f ca="1">VLOOKUP(Q8,[1]character_type_i18n!$A:$H,6,FALSE)</f>
        <v>1</v>
      </c>
      <c r="V8" s="11">
        <f ca="1">VLOOKUP(Q8,[1]character_type_i18n!$A:$H,7,FALSE)</f>
        <v>0.9</v>
      </c>
      <c r="W8" s="59" t="str">
        <f ca="1">VLOOKUP($A8,OFFSET([1]characters!$A$1,0,0,COUNTA([1]characters!$A:$A),MATCH(W$1,[1]characters!$1:$1,0)-MATCH($A$1,[1]characters!$1:$1,0)+1),MATCH(W$1,[1]characters!$1:$1,0)-MATCH($A$1,[1]characters!$1:$1,0)+1,FALSE)</f>
        <v>human</v>
      </c>
      <c r="X8" s="5" t="str">
        <f ca="1">VLOOKUP(W8,[1]character_tribe_i18n!$A:$H,3,FALSE)</f>
        <v>ヒューマン</v>
      </c>
      <c r="Y8" s="59" t="str">
        <f ca="1">VLOOKUP($A8,OFFSET([1]characters!$A$1,0,0,COUNTA([1]characters!$A:$A),MATCH(Y$1,[1]characters!$1:$1,0)-MATCH($A$1,[1]characters!$1:$1,0)+1),MATCH(Y$1,[1]characters!$1:$1,0)-MATCH($A$1,[1]characters!$1:$1,0)+1,FALSE)</f>
        <v>machine</v>
      </c>
      <c r="Z8" s="5" t="str">
        <f ca="1">VLOOKUP(Y8,[1]character_tribe_i18n!$A:$H,3,FALSE)</f>
        <v>マシン</v>
      </c>
      <c r="AA8" s="11">
        <f ca="1">VLOOKUP(W8,[1]character_tribe_i18n!$A:$H,4,FALSE)</f>
        <v>0.94</v>
      </c>
      <c r="AB8" s="11">
        <f ca="1">VLOOKUP(W8,[1]character_tribe_i18n!$A:$H,5,FALSE)</f>
        <v>0.99</v>
      </c>
      <c r="AC8" s="11">
        <f ca="1">VLOOKUP(W8,[1]character_tribe_i18n!$A:$H,6,FALSE)</f>
        <v>1</v>
      </c>
      <c r="AD8" s="11">
        <f ca="1">VLOOKUP(W8,[1]character_tribe_i18n!$A:$H,7,FALSE)</f>
        <v>1.07</v>
      </c>
      <c r="AE8" s="9">
        <v>507</v>
      </c>
      <c r="AF8" s="64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>過保護な幽閉者 ゴーテル</v>
      </c>
      <c r="AG8" s="5">
        <f t="shared" ca="1" si="1"/>
        <v>506</v>
      </c>
      <c r="AH8" s="64" t="str">
        <f ca="1">VLOOKUP($AG8,OFFSET([1]characters!$A$1,0,0,COUNTA([1]characters!$A:$A),MATCH(AH$1,[1]characters!$1:$1,0)-MATCH($A$1,[1]characters!$1:$1,0)+1),MATCH(AH$1,[1]characters!$1:$1,0)-MATCH($A$1,[1]characters!$1:$1,0)+1,FALSE)</f>
        <v>ゴーテル</v>
      </c>
      <c r="AI8" s="11">
        <f ca="1">IF(AE8="NULL","NULL",VLOOKUP(G8,ビット!$A$2:$B$7,2))</f>
        <v>50000</v>
      </c>
      <c r="AJ8" s="6">
        <v>2</v>
      </c>
      <c r="AK8" s="7" t="str">
        <f t="shared" si="13"/>
        <v>普通</v>
      </c>
      <c r="AL8" s="11" t="str">
        <f ca="1">INDEX(経験値!$A$1:$I$20,MATCH(H8,経験値!$A$1:$A$20,FALSE),MATCH(G8,経験値!$A$1:$I$1,FALSE))</f>
        <v>required_exp_200</v>
      </c>
      <c r="AM8" s="8">
        <f ca="1">VLOOKUP(G8,経験値!$A$27:$B$31,2)</f>
        <v>3400</v>
      </c>
      <c r="AN8" s="17">
        <f ca="1">VLOOKUP(G8,ビット!$G$2:$H$7,2)</f>
        <v>600</v>
      </c>
      <c r="AO8" s="46"/>
      <c r="AP8" s="69">
        <f t="shared" si="8"/>
        <v>506</v>
      </c>
      <c r="AQ8" s="59" t="str">
        <f ca="1">VLOOKUP($AP8,OFFSET(unit_skills!$A$1,0,0,COUNTA(unit_skills!$A:$A),MATCH(AQ$1,unit_skills!$1:$1,0)-MATCH($AP$1,unit_skills!$1:$1,0)+1),MATCH(AQ$1,unit_skills!$1:$1,0)-MATCH($AP$1,unit_skills!$1:$1,0)+1,FALSE)</f>
        <v>迎撃陣形 アサルト</v>
      </c>
      <c r="AR8" s="59" t="str">
        <f ca="1">VLOOKUP($AP8,OFFSET(unit_skills!$A$1,0,0,COUNTA(unit_skills!$A:$A),MATCH(AR$1,unit_skills!$1:$1,0)-MATCH($AP$1,unit_skills!$1:$1,0)+1),MATCH(AR$1,unit_skills!$1:$1,0)-MATCH($AP$1,unit_skills!$1:$1,0)+1,FALSE)</f>
        <v>3ターンの間敵からダメージを受けたとき大ダメージを与え、青属性の回復力を大UP</v>
      </c>
      <c r="AS8" s="59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2">
        <f t="shared" si="9"/>
        <v>506</v>
      </c>
      <c r="AU8" s="59" t="str">
        <f ca="1">VLOOKUP($AT8,OFFSET(crash_skills!$A$1,0,0,COUNTA(crash_skills!$A:$A),MATCH(AU$1,crash_skills!$1:$1,0)-MATCH($AT$1,crash_skills!$1:$1,0)+1),MATCH(AU$1,crash_skills!$1:$1,0)-MATCH($AT$1,crash_skills!$1:$1,0)+1,FALSE)</f>
        <v>アイソレーションシステム</v>
      </c>
      <c r="AV8" s="59" t="str">
        <f ca="1">VLOOKUP($AT8,OFFSET(crash_skills!$A$1,0,0,COUNTA(crash_skills!$A:$A),MATCH(AV$1,crash_skills!$1:$1,0)-MATCH($AT$1,crash_skills!$1:$1,0)+1),MATCH(AV$1,crash_skills!$1:$1,0)-MATCH($AT$1,crash_skills!$1:$1,0)+1,FALSE)</f>
        <v>1体に中ダメージ+_x000D_1ターン全ユニットの防御小UP</v>
      </c>
      <c r="AW8" s="59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60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70">
        <v>1.1000000000000001</v>
      </c>
      <c r="AZ8" s="70">
        <v>1.1499999999999999</v>
      </c>
      <c r="BA8" s="70">
        <v>0</v>
      </c>
      <c r="BB8" s="70">
        <v>1.1000000000000001</v>
      </c>
      <c r="BC8" s="11">
        <f ca="1">INDEX('RC6SV'!$A$1:$G$20,MATCH(H8,'RC6SV'!$A$1:$A$20,FALSE),MATCH(G8,'RC6SV'!$A$1:$G$1,FALSE))</f>
        <v>5800</v>
      </c>
      <c r="BD8" s="49">
        <f t="shared" ca="1" si="14"/>
        <v>5800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1350</v>
      </c>
      <c r="BH8" s="16">
        <f ca="1">IF($BE8&lt;=0,ROUND(BL8*0.5,0), ROUND($BE8*T8*AB8*K8*AZ8*0.8*[1]ステータス!$C$2,0))</f>
        <v>874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784</v>
      </c>
      <c r="BK8" s="11">
        <f ca="1">ROUND(BD8*S8*AA8*J8*AY8*[1]ステータス!$B$2,0)</f>
        <v>2699</v>
      </c>
      <c r="BL8" s="11">
        <f ca="1">ROUND(BD8*T8*AB8*K8*AZ8*[1]ステータス!$C$2,0)</f>
        <v>1747</v>
      </c>
      <c r="BM8" s="11">
        <f ca="1">ROUND(BD8*U8*AC8*L8*BA8*[1]ステータス!$D$2,0)</f>
        <v>0</v>
      </c>
      <c r="BN8" s="11">
        <f ca="1">ROUND(BD8*V8*AD8*M8*BB8*[1]ステータス!$E$2,0)</f>
        <v>1567</v>
      </c>
      <c r="BO8" s="10">
        <f t="shared" si="11"/>
        <v>0</v>
      </c>
      <c r="BP8" s="10">
        <v>1</v>
      </c>
      <c r="BQ8" s="10" t="s">
        <v>73</v>
      </c>
      <c r="BR8" s="10">
        <f ca="1">VLOOKUP(H8,ghosts_label!$A$2:$B$19,2,FALSE)</f>
        <v>1</v>
      </c>
    </row>
    <row r="9" spans="1:70" ht="21" customHeight="1" x14ac:dyDescent="0.15">
      <c r="A9" s="140">
        <v>507</v>
      </c>
      <c r="B9" s="59" t="str">
        <f ca="1">VLOOKUP($A9,OFFSET([1]characters!$A$1,0,0,COUNTA([1]characters!$A:$A),MATCH(B$1,[1]characters!$1:$1,0)-MATCH($A$1,[1]characters!$1:$1,0)+1),MATCH(B$1,[1]characters!$1:$1,0)-MATCH($A$1,[1]characters!$1:$1,0)+1,FALSE)</f>
        <v>過保護な幽閉者 ゴーテル</v>
      </c>
      <c r="C9" s="59" t="str">
        <f ca="1">VLOOKUP($A9,OFFSET([1]characters!$A$1,0,0,COUNTA([1]characters!$A:$A),MATCH(C$1,[1]characters!$1:$1,0)-MATCH($A$1,[1]characters!$1:$1,0)+1),MATCH(C$1,[1]characters!$1:$1,0)-MATCH($A$1,[1]characters!$1:$1,0)+1,FALSE)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9" s="59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9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9" t="str">
        <f ca="1">VLOOKUP($A9,OFFSET([1]characters!$A$1,0,0,COUNTA([1]characters!$A:$A),MATCH(F$1,[1]characters!$1:$1,0)-MATCH($A$1,[1]characters!$1:$1,0)+1),MATCH(F$1,[1]characters!$1:$1,0)-MATCH($A$1,[1]characters!$1:$1,0)+1,FALSE)</f>
        <v>女性</v>
      </c>
      <c r="G9" s="59">
        <f ca="1">VLOOKUP($A9,OFFSET([1]characters!$A$1,0,0,COUNTA([1]characters!$A:$A),MATCH(G$1,[1]characters!$1:$1,0)-MATCH($A$1,[1]characters!$1:$1,0)+1),MATCH(G$1,[1]characters!$1:$1,0)-MATCH($A$1,[1]characters!$1:$1,0)+1,FALSE)</f>
        <v>5</v>
      </c>
      <c r="H9" s="59" t="str">
        <f ca="1">VLOOKUP($A9,OFFSET([1]characters!$A$1,0,0,COUNTA([1]characters!$A:$A),MATCH(H$1,[1]characters!$1:$1,0)-MATCH($A$1,[1]characters!$1:$1,0)+1),MATCH(H$1,[1]characters!$1:$1,0)-MATCH($A$1,[1]characters!$1:$1,0)+1,FALSE)</f>
        <v>Drop2N</v>
      </c>
      <c r="I9" s="59" t="str">
        <f ca="1">VLOOKUP($A9,OFFSET([1]characters!$A$1,0,0,COUNTA([1]characters!$A:$A),MATCH(I$1,[1]characters!$1:$1,0)-MATCH($A$1,[1]characters!$1:$1,0)+1),MATCH(I$1,[1]characters!$1:$1,0)-MATCH($A$1,[1]characters!$1:$1,0)+1,FALSE)</f>
        <v>blue</v>
      </c>
      <c r="J9" s="11">
        <f ca="1">VLOOKUP(I9,[1]属性!$A:$E,2,FALSE)</f>
        <v>1</v>
      </c>
      <c r="K9" s="11">
        <f ca="1">VLOOKUP(I9,[1]属性!$A:$E,3,FALSE)</f>
        <v>0.98</v>
      </c>
      <c r="L9" s="11">
        <f ca="1">VLOOKUP(I9,[1]属性!$A:$E,4,FALSE)</f>
        <v>1</v>
      </c>
      <c r="M9" s="11">
        <f ca="1">VLOOKUP(I9,[1]属性!$A:$E,5,FALSE)</f>
        <v>1.02</v>
      </c>
      <c r="N9" s="11">
        <f ca="1">INDEX(コスト!$A$1:$I$20,MATCH(H9,コスト!$A$1:$A$20,FALSE),MATCH(G9,コスト!$A$1:$I$1,FALSE))</f>
        <v>26</v>
      </c>
      <c r="O9" s="11">
        <f ca="1">INDEX(レベル!$A$1:$I$21,MATCH(H9,レベル!$A$1:$A$21,FALSE),MATCH(G9,レベル!$A$1:$I$1,FALSE))</f>
        <v>80</v>
      </c>
      <c r="P9" s="49">
        <f t="shared" ca="1" si="12"/>
        <v>75</v>
      </c>
      <c r="Q9" s="59" t="str">
        <f ca="1">VLOOKUP($A9,OFFSET([1]characters!$A$1,0,0,COUNTA([1]characters!$A:$A),MATCH(Q$1,[1]characters!$1:$1,0)-MATCH($A$1,[1]characters!$1:$1,0)+1),MATCH(Q$1,[1]characters!$1:$1,0)-MATCH($A$1,[1]characters!$1:$1,0)+1,FALSE)</f>
        <v>technical</v>
      </c>
      <c r="R9" s="5" t="str">
        <f ca="1">VLOOKUP(Q9,[1]character_type_i18n!$A:$H,3,FALSE)</f>
        <v>テクニカルタイプ</v>
      </c>
      <c r="S9" s="11">
        <f ca="1">VLOOKUP(Q9,[1]character_type_i18n!$A:$H,4,FALSE)</f>
        <v>0.9</v>
      </c>
      <c r="T9" s="11">
        <f ca="1">VLOOKUP(Q9,[1]character_type_i18n!$A:$H,5,FALSE)</f>
        <v>0.9</v>
      </c>
      <c r="U9" s="11">
        <f ca="1">VLOOKUP(Q9,[1]character_type_i18n!$A:$H,6,FALSE)</f>
        <v>1</v>
      </c>
      <c r="V9" s="11">
        <f ca="1">VLOOKUP(Q9,[1]character_type_i18n!$A:$H,7,FALSE)</f>
        <v>0.9</v>
      </c>
      <c r="W9" s="59" t="str">
        <f ca="1">VLOOKUP($A9,OFFSET([1]characters!$A$1,0,0,COUNTA([1]characters!$A:$A),MATCH(W$1,[1]characters!$1:$1,0)-MATCH($A$1,[1]characters!$1:$1,0)+1),MATCH(W$1,[1]characters!$1:$1,0)-MATCH($A$1,[1]characters!$1:$1,0)+1,FALSE)</f>
        <v>human</v>
      </c>
      <c r="X9" s="5" t="str">
        <f ca="1">VLOOKUP(W9,[1]character_tribe_i18n!$A:$H,3,FALSE)</f>
        <v>ヒューマン</v>
      </c>
      <c r="Y9" s="59" t="str">
        <f ca="1">VLOOKUP($A9,OFFSET([1]characters!$A$1,0,0,COUNTA([1]characters!$A:$A),MATCH(Y$1,[1]characters!$1:$1,0)-MATCH($A$1,[1]characters!$1:$1,0)+1),MATCH(Y$1,[1]characters!$1:$1,0)-MATCH($A$1,[1]characters!$1:$1,0)+1,FALSE)</f>
        <v>machine</v>
      </c>
      <c r="Z9" s="5" t="str">
        <f ca="1">VLOOKUP(Y9,[1]character_tribe_i18n!$A:$H,3,FALSE)</f>
        <v>マシン</v>
      </c>
      <c r="AA9" s="11">
        <f ca="1">VLOOKUP(W9,[1]character_tribe_i18n!$A:$H,4,FALSE)</f>
        <v>0.94</v>
      </c>
      <c r="AB9" s="11">
        <f ca="1">VLOOKUP(W9,[1]character_tribe_i18n!$A:$H,5,FALSE)</f>
        <v>0.99</v>
      </c>
      <c r="AC9" s="11">
        <f ca="1">VLOOKUP(W9,[1]character_tribe_i18n!$A:$H,6,FALSE)</f>
        <v>1</v>
      </c>
      <c r="AD9" s="11">
        <f ca="1">VLOOKUP(W9,[1]character_tribe_i18n!$A:$H,7,FALSE)</f>
        <v>1.07</v>
      </c>
      <c r="AE9" s="9" t="s">
        <v>220</v>
      </c>
      <c r="AF9" s="64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f t="shared" ca="1" si="1"/>
        <v>506</v>
      </c>
      <c r="AH9" s="64" t="str">
        <f ca="1">VLOOKUP($AG9,OFFSET([1]characters!$A$1,0,0,COUNTA([1]characters!$A:$A),MATCH(AH$1,[1]characters!$1:$1,0)-MATCH($A$1,[1]characters!$1:$1,0)+1),MATCH(AH$1,[1]characters!$1:$1,0)-MATCH($A$1,[1]characters!$1:$1,0)+1,FALSE)</f>
        <v>ゴーテル</v>
      </c>
      <c r="AI9" s="11" t="str">
        <f>IF(AE9="NULL","NULL",VLOOKUP(G9,ビット!$A$2:$B$7,2))</f>
        <v>NULL</v>
      </c>
      <c r="AJ9" s="6">
        <v>2</v>
      </c>
      <c r="AK9" s="7" t="str">
        <f t="shared" si="13"/>
        <v>普通</v>
      </c>
      <c r="AL9" s="11" t="str">
        <f ca="1">INDEX(経験値!$A$1:$I$20,MATCH(H9,経験値!$A$1:$A$20,FALSE),MATCH(G9,経験値!$A$1:$I$1,FALSE))</f>
        <v>required_exp_200</v>
      </c>
      <c r="AM9" s="8">
        <f ca="1">VLOOKUP(G9,経験値!$A$27:$B$31,2)</f>
        <v>6400</v>
      </c>
      <c r="AN9" s="17">
        <f ca="1">VLOOKUP(G9,ビット!$G$2:$H$7,2)</f>
        <v>900</v>
      </c>
      <c r="AO9" s="46"/>
      <c r="AP9" s="69">
        <f t="shared" si="8"/>
        <v>507</v>
      </c>
      <c r="AQ9" s="59" t="str">
        <f ca="1">VLOOKUP($AP9,OFFSET(unit_skills!$A$1,0,0,COUNTA(unit_skills!$A:$A),MATCH(AQ$1,unit_skills!$1:$1,0)-MATCH($AP$1,unit_skills!$1:$1,0)+1),MATCH(AQ$1,unit_skills!$1:$1,0)-MATCH($AP$1,unit_skills!$1:$1,0)+1,FALSE)</f>
        <v>迎撃陣形 インターセプト</v>
      </c>
      <c r="AR9" s="59" t="str">
        <f ca="1">VLOOKUP($AP9,OFFSET(unit_skills!$A$1,0,0,COUNTA(unit_skills!$A:$A),MATCH(AR$1,unit_skills!$1:$1,0)-MATCH($AP$1,unit_skills!$1:$1,0)+1),MATCH(AR$1,unit_skills!$1:$1,0)-MATCH($AP$1,unit_skills!$1:$1,0)+1,FALSE)</f>
        <v>3ターンの間敵からダメージを受けたとき大ダメージを与え、青属性の回復力を特大UP</v>
      </c>
      <c r="AS9" s="59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2">
        <f t="shared" si="9"/>
        <v>507</v>
      </c>
      <c r="AU9" s="59" t="str">
        <f ca="1">VLOOKUP($AT9,OFFSET(crash_skills!$A$1,0,0,COUNTA(crash_skills!$A:$A),MATCH(AU$1,crash_skills!$1:$1,0)-MATCH($AT$1,crash_skills!$1:$1,0)+1),MATCH(AU$1,crash_skills!$1:$1,0)-MATCH($AT$1,crash_skills!$1:$1,0)+1,FALSE)</f>
        <v>コンファインメントシステム</v>
      </c>
      <c r="AV9" s="59" t="str">
        <f ca="1">VLOOKUP($AT9,OFFSET(crash_skills!$A$1,0,0,COUNTA(crash_skills!$A:$A),MATCH(AV$1,crash_skills!$1:$1,0)-MATCH($AT$1,crash_skills!$1:$1,0)+1),MATCH(AV$1,crash_skills!$1:$1,0)-MATCH($AT$1,crash_skills!$1:$1,0)+1,FALSE)</f>
        <v>1体に大ダメージ+_x000D_1ターン全ユニットの防御小UP</v>
      </c>
      <c r="AW9" s="59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60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70">
        <v>1.1000000000000001</v>
      </c>
      <c r="AZ9" s="70">
        <v>1.1499999999999999</v>
      </c>
      <c r="BA9" s="70">
        <v>0</v>
      </c>
      <c r="BB9" s="70">
        <v>1.1000000000000001</v>
      </c>
      <c r="BC9" s="11">
        <f ca="1">INDEX('RC6SV'!$A$1:$G$20,MATCH(H9,'RC6SV'!$A$1:$A$20,FALSE),MATCH(G9,'RC6SV'!$A$1:$G$1,FALSE))</f>
        <v>7600</v>
      </c>
      <c r="BD9" s="49">
        <f t="shared" ca="1" si="14"/>
        <v>7600</v>
      </c>
      <c r="BE9" s="11">
        <f t="shared" ca="1" si="4"/>
        <v>5800</v>
      </c>
      <c r="BF9" s="11">
        <f t="shared" ca="1" si="5"/>
        <v>1</v>
      </c>
      <c r="BG9" s="16">
        <f ca="1">IF($BE9&lt;=0,ROUND(BK9*0.5,0), ROUND($BE9*S9*AA9*J9*AY9*0.8*[1]ステータス!$B$2,0))</f>
        <v>2159</v>
      </c>
      <c r="BH9" s="16">
        <f ca="1">IF($BE9&lt;=0,ROUND(BL9*0.5,0), ROUND($BE9*T9*AB9*K9*AZ9*0.8*[1]ステータス!$C$2,0))</f>
        <v>1398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1253</v>
      </c>
      <c r="BK9" s="11">
        <f ca="1">ROUND(BD9*S9*AA9*J9*AY9*[1]ステータス!$B$2,0)</f>
        <v>3536</v>
      </c>
      <c r="BL9" s="11">
        <f ca="1">ROUND(BD9*T9*AB9*K9*AZ9*[1]ステータス!$C$2,0)</f>
        <v>2289</v>
      </c>
      <c r="BM9" s="11">
        <f ca="1">ROUND(BD9*U9*AC9*L9*BA9*[1]ステータス!$D$2,0)</f>
        <v>0</v>
      </c>
      <c r="BN9" s="11">
        <f ca="1">ROUND(BD9*V9*AD9*M9*BB9*[1]ステータス!$E$2,0)</f>
        <v>2053</v>
      </c>
      <c r="BO9" s="10">
        <f t="shared" si="11"/>
        <v>0</v>
      </c>
      <c r="BP9" s="10">
        <v>1</v>
      </c>
      <c r="BQ9" s="10" t="s">
        <v>73</v>
      </c>
      <c r="BR9" s="10">
        <f ca="1">VLOOKUP(H9,ghosts_label!$A$2:$B$19,2,FALSE)</f>
        <v>1</v>
      </c>
    </row>
    <row r="10" spans="1:70" ht="21" customHeight="1" x14ac:dyDescent="0.15">
      <c r="A10" s="140">
        <v>508</v>
      </c>
      <c r="B10" s="59" t="str">
        <f ca="1">VLOOKUP($A10,OFFSET([1]characters!$A$1,0,0,COUNTA([1]characters!$A:$A),MATCH(B$1,[1]characters!$1:$1,0)-MATCH($A$1,[1]characters!$1:$1,0)+1),MATCH(B$1,[1]characters!$1:$1,0)-MATCH($A$1,[1]characters!$1:$1,0)+1,FALSE)</f>
        <v>Gスター・チルドレン</v>
      </c>
      <c r="C10" s="59" t="str">
        <f ca="1">VLOOKUP($A10,OFFSET([1]characters!$A$1,0,0,COUNTA([1]characters!$A:$A),MATCH(C$1,[1]characters!$1:$1,0)-MATCH($A$1,[1]characters!$1:$1,0)+1),MATCH(C$1,[1]characters!$1:$1,0)-MATCH($A$1,[1]characters!$1:$1,0)+1,FALSE)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10" s="59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9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9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9">
        <f ca="1">VLOOKUP($A10,OFFSET([1]characters!$A$1,0,0,COUNTA([1]characters!$A:$A),MATCH(G$1,[1]characters!$1:$1,0)-MATCH($A$1,[1]characters!$1:$1,0)+1),MATCH(G$1,[1]characters!$1:$1,0)-MATCH($A$1,[1]characters!$1:$1,0)+1,FALSE)</f>
        <v>4</v>
      </c>
      <c r="H10" s="59" t="str">
        <f ca="1">VLOOKUP($A10,OFFSET([1]characters!$A$1,0,0,COUNTA([1]characters!$A:$A),MATCH(H$1,[1]characters!$1:$1,0)-MATCH($A$1,[1]characters!$1:$1,0)+1),MATCH(H$1,[1]characters!$1:$1,0)-MATCH($A$1,[1]characters!$1:$1,0)+1,FALSE)</f>
        <v>Drop2N</v>
      </c>
      <c r="I10" s="59" t="str">
        <f ca="1">VLOOKUP($A10,OFFSET([1]characters!$A$1,0,0,COUNTA([1]characters!$A:$A),MATCH(I$1,[1]characters!$1:$1,0)-MATCH($A$1,[1]characters!$1:$1,0)+1),MATCH(I$1,[1]characters!$1:$1,0)-MATCH($A$1,[1]characters!$1:$1,0)+1,FALSE)</f>
        <v>yellow</v>
      </c>
      <c r="J10" s="11">
        <f ca="1">VLOOKUP(I10,[1]属性!$A:$E,2,FALSE)</f>
        <v>0.98</v>
      </c>
      <c r="K10" s="11">
        <f ca="1">VLOOKUP(I10,[1]属性!$A:$E,3,FALSE)</f>
        <v>1.01</v>
      </c>
      <c r="L10" s="11">
        <f ca="1">VLOOKUP(I10,[1]属性!$A:$E,4,FALSE)</f>
        <v>1</v>
      </c>
      <c r="M10" s="11">
        <f ca="1">VLOOKUP(I10,[1]属性!$A:$E,5,FALSE)</f>
        <v>1.01</v>
      </c>
      <c r="N10" s="11">
        <f ca="1">INDEX(コスト!$A$1:$I$20,MATCH(H10,コスト!$A$1:$A$20,FALSE),MATCH(G10,コスト!$A$1:$I$1,FALSE))</f>
        <v>17</v>
      </c>
      <c r="O10" s="11">
        <f ca="1">INDEX(レベル!$A$1:$I$21,MATCH(H10,レベル!$A$1:$A$21,FALSE),MATCH(G10,レベル!$A$1:$I$1,FALSE))</f>
        <v>60</v>
      </c>
      <c r="P10" s="49">
        <f t="shared" ca="1" si="12"/>
        <v>60</v>
      </c>
      <c r="Q10" s="59" t="str">
        <f ca="1">VLOOKUP($A10,OFFSET([1]characters!$A$1,0,0,COUNTA([1]characters!$A:$A),MATCH(Q$1,[1]characters!$1:$1,0)-MATCH($A$1,[1]characters!$1:$1,0)+1),MATCH(Q$1,[1]characters!$1:$1,0)-MATCH($A$1,[1]characters!$1:$1,0)+1,FALSE)</f>
        <v>hp</v>
      </c>
      <c r="R10" s="5" t="str">
        <f ca="1">VLOOKUP(Q10,[1]character_type_i18n!$A:$H,3,FALSE)</f>
        <v>体力タイプ</v>
      </c>
      <c r="S10" s="11">
        <f ca="1">VLOOKUP(Q10,[1]character_type_i18n!$A:$H,4,FALSE)</f>
        <v>1.45</v>
      </c>
      <c r="T10" s="11">
        <f ca="1">VLOOKUP(Q10,[1]character_type_i18n!$A:$H,5,FALSE)</f>
        <v>0.85</v>
      </c>
      <c r="U10" s="11">
        <f ca="1">VLOOKUP(Q10,[1]character_type_i18n!$A:$H,6,FALSE)</f>
        <v>1</v>
      </c>
      <c r="V10" s="11">
        <f ca="1">VLOOKUP(Q10,[1]character_type_i18n!$A:$H,7,FALSE)</f>
        <v>0.7</v>
      </c>
      <c r="W10" s="59" t="str">
        <f ca="1">VLOOKUP($A10,OFFSET([1]characters!$A$1,0,0,COUNTA([1]characters!$A:$A),MATCH(W$1,[1]characters!$1:$1,0)-MATCH($A$1,[1]characters!$1:$1,0)+1),MATCH(W$1,[1]characters!$1:$1,0)-MATCH($A$1,[1]characters!$1:$1,0)+1,FALSE)</f>
        <v>unknown</v>
      </c>
      <c r="X10" s="5" t="str">
        <f ca="1">VLOOKUP(W10,[1]character_tribe_i18n!$A:$H,3,FALSE)</f>
        <v>Unknown</v>
      </c>
      <c r="Y10" s="59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1</v>
      </c>
      <c r="AB10" s="11">
        <f ca="1">VLOOKUP(W10,[1]character_tribe_i18n!$A:$H,5,FALSE)</f>
        <v>1</v>
      </c>
      <c r="AC10" s="11">
        <f ca="1">VLOOKUP(W10,[1]character_tribe_i18n!$A:$H,6,FALSE)</f>
        <v>1</v>
      </c>
      <c r="AD10" s="11">
        <f ca="1">VLOOKUP(W10,[1]character_tribe_i18n!$A:$H,7,FALSE)</f>
        <v>1</v>
      </c>
      <c r="AE10" s="9">
        <v>509</v>
      </c>
      <c r="AF10" s="64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>純粋悪意 Gスター・チルドレン</v>
      </c>
      <c r="AG10" s="5">
        <f t="shared" ca="1" si="1"/>
        <v>508</v>
      </c>
      <c r="AH10" s="64" t="str">
        <f ca="1">VLOOKUP($AG10,OFFSET([1]characters!$A$1,0,0,COUNTA([1]characters!$A:$A),MATCH(AH$1,[1]characters!$1:$1,0)-MATCH($A$1,[1]characters!$1:$1,0)+1),MATCH(AH$1,[1]characters!$1:$1,0)-MATCH($A$1,[1]characters!$1:$1,0)+1,FALSE)</f>
        <v>Gスター・チルドレン</v>
      </c>
      <c r="AI10" s="11">
        <f ca="1">IF(AE10="NULL","NULL",VLOOKUP(G10,ビット!$A$2:$B$7,2))</f>
        <v>50000</v>
      </c>
      <c r="AJ10" s="6">
        <v>2</v>
      </c>
      <c r="AK10" s="7" t="str">
        <f t="shared" si="13"/>
        <v>普通</v>
      </c>
      <c r="AL10" s="11" t="str">
        <f ca="1">INDEX(経験値!$A$1:$I$20,MATCH(H10,経験値!$A$1:$A$20,FALSE),MATCH(G10,経験値!$A$1:$I$1,FALSE))</f>
        <v>required_exp_200</v>
      </c>
      <c r="AM10" s="8">
        <f ca="1">VLOOKUP(G10,経験値!$A$27:$B$31,2)</f>
        <v>3400</v>
      </c>
      <c r="AN10" s="17">
        <f ca="1">VLOOKUP(G10,ビット!$G$2:$H$7,2)</f>
        <v>600</v>
      </c>
      <c r="AO10" s="46"/>
      <c r="AP10" s="69">
        <f t="shared" si="8"/>
        <v>508</v>
      </c>
      <c r="AQ10" s="59" t="str">
        <f ca="1">VLOOKUP($AP10,OFFSET(unit_skills!$A$1,0,0,COUNTA(unit_skills!$A:$A),MATCH(AQ$1,unit_skills!$1:$1,0)-MATCH($AP$1,unit_skills!$1:$1,0)+1),MATCH(AQ$1,unit_skills!$1:$1,0)-MATCH($AP$1,unit_skills!$1:$1,0)+1,FALSE)</f>
        <v>モンスター★パレード</v>
      </c>
      <c r="AR10" s="59" t="str">
        <f ca="1">VLOOKUP($AP10,OFFSET(unit_skills!$A$1,0,0,COUNTA(unit_skills!$A:$A),MATCH(AR$1,unit_skills!$1:$1,0)-MATCH($AP$1,unit_skills!$1:$1,0)+1),MATCH(AR$1,unit_skills!$1:$1,0)-MATCH($AP$1,unit_skills!$1:$1,0)+1,FALSE)</f>
        <v>3ターン自身の攻撃力を特大UPし、黄属性の防御力を特大UPする</v>
      </c>
      <c r="AS10" s="59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2">
        <f t="shared" si="9"/>
        <v>508</v>
      </c>
      <c r="AU10" s="59" t="str">
        <f ca="1">VLOOKUP($AT10,OFFSET(crash_skills!$A$1,0,0,COUNTA(crash_skills!$A:$A),MATCH(AU$1,crash_skills!$1:$1,0)-MATCH($AT$1,crash_skills!$1:$1,0)+1),MATCH(AU$1,crash_skills!$1:$1,0)-MATCH($AT$1,crash_skills!$1:$1,0)+1,FALSE)</f>
        <v>ロウ オブ ザ ジャングル</v>
      </c>
      <c r="AV10" s="59" t="str">
        <f ca="1">VLOOKUP($AT10,OFFSET(crash_skills!$A$1,0,0,COUNTA(crash_skills!$A:$A),MATCH(AV$1,crash_skills!$1:$1,0)-MATCH($AT$1,crash_skills!$1:$1,0)+1),MATCH(AV$1,crash_skills!$1:$1,0)-MATCH($AT$1,crash_skills!$1:$1,0)+1,FALSE)</f>
        <v>1体に小ダメージ_x000D_アニマルに効果大</v>
      </c>
      <c r="AW10" s="59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60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70">
        <v>1</v>
      </c>
      <c r="AZ10" s="70">
        <v>1.3</v>
      </c>
      <c r="BA10" s="70">
        <v>0</v>
      </c>
      <c r="BB10" s="70">
        <v>0.9</v>
      </c>
      <c r="BC10" s="11">
        <f ca="1">INDEX('RC6SV'!$A$1:$G$20,MATCH(H10,'RC6SV'!$A$1:$A$20,FALSE),MATCH(G10,'RC6SV'!$A$1:$G$1,FALSE))</f>
        <v>5800</v>
      </c>
      <c r="BD10" s="49">
        <f t="shared" ca="1" si="14"/>
        <v>5800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2061</v>
      </c>
      <c r="BH10" s="16">
        <f ca="1">IF($BE10&lt;=0,ROUND(BL10*0.5,0), ROUND($BE10*T10*AB10*K10*AZ10*0.8*[1]ステータス!$C$2,0))</f>
        <v>971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462</v>
      </c>
      <c r="BK10" s="11">
        <f ca="1">ROUND(BD10*S10*AA10*J10*AY10*[1]ステータス!$B$2,0)</f>
        <v>4121</v>
      </c>
      <c r="BL10" s="11">
        <f ca="1">ROUND(BD10*T10*AB10*K10*AZ10*[1]ステータス!$C$2,0)</f>
        <v>1942</v>
      </c>
      <c r="BM10" s="11">
        <f ca="1">ROUND(BD10*U10*AC10*L10*BA10*[1]ステータス!$D$2,0)</f>
        <v>0</v>
      </c>
      <c r="BN10" s="11">
        <f ca="1">ROUND(BD10*V10*AD10*M10*BB10*[1]ステータス!$E$2,0)</f>
        <v>923</v>
      </c>
      <c r="BO10" s="10">
        <f t="shared" si="11"/>
        <v>0</v>
      </c>
      <c r="BP10" s="10">
        <v>1</v>
      </c>
      <c r="BQ10" s="10" t="s">
        <v>73</v>
      </c>
      <c r="BR10" s="10">
        <f ca="1">VLOOKUP(H10,ghosts_label!$A$2:$B$19,2,FALSE)</f>
        <v>1</v>
      </c>
    </row>
    <row r="11" spans="1:70" ht="21" customHeight="1" x14ac:dyDescent="0.15">
      <c r="A11" s="140">
        <v>509</v>
      </c>
      <c r="B11" s="59" t="str">
        <f ca="1">VLOOKUP($A11,OFFSET([1]characters!$A$1,0,0,COUNTA([1]characters!$A:$A),MATCH(B$1,[1]characters!$1:$1,0)-MATCH($A$1,[1]characters!$1:$1,0)+1),MATCH(B$1,[1]characters!$1:$1,0)-MATCH($A$1,[1]characters!$1:$1,0)+1,FALSE)</f>
        <v>純粋悪意 Gスター・チルドレン</v>
      </c>
      <c r="C11" s="59" t="str">
        <f ca="1">VLOOKUP($A11,OFFSET([1]characters!$A$1,0,0,COUNTA([1]characters!$A:$A),MATCH(C$1,[1]characters!$1:$1,0)-MATCH($A$1,[1]characters!$1:$1,0)+1),MATCH(C$1,[1]characters!$1:$1,0)-MATCH($A$1,[1]characters!$1:$1,0)+1,FALSE)</f>
        <v>イベント:アリスの絵本03</v>
      </c>
      <c r="D11" s="59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9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9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9">
        <f ca="1">VLOOKUP($A11,OFFSET([1]characters!$A$1,0,0,COUNTA([1]characters!$A:$A),MATCH(G$1,[1]characters!$1:$1,0)-MATCH($A$1,[1]characters!$1:$1,0)+1),MATCH(G$1,[1]characters!$1:$1,0)-MATCH($A$1,[1]characters!$1:$1,0)+1,FALSE)</f>
        <v>5</v>
      </c>
      <c r="H11" s="59" t="str">
        <f ca="1">VLOOKUP($A11,OFFSET([1]characters!$A$1,0,0,COUNTA([1]characters!$A:$A),MATCH(H$1,[1]characters!$1:$1,0)-MATCH($A$1,[1]characters!$1:$1,0)+1),MATCH(H$1,[1]characters!$1:$1,0)-MATCH($A$1,[1]characters!$1:$1,0)+1,FALSE)</f>
        <v>Drop2N</v>
      </c>
      <c r="I11" s="59" t="str">
        <f ca="1">VLOOKUP($A11,OFFSET([1]characters!$A$1,0,0,COUNTA([1]characters!$A:$A),MATCH(I$1,[1]characters!$1:$1,0)-MATCH($A$1,[1]characters!$1:$1,0)+1),MATCH(I$1,[1]characters!$1:$1,0)-MATCH($A$1,[1]characters!$1:$1,0)+1,FALSE)</f>
        <v>yellow</v>
      </c>
      <c r="J11" s="11">
        <f ca="1">VLOOKUP(I11,[1]属性!$A:$E,2,FALSE)</f>
        <v>0.98</v>
      </c>
      <c r="K11" s="11">
        <f ca="1">VLOOKUP(I11,[1]属性!$A:$E,3,FALSE)</f>
        <v>1.01</v>
      </c>
      <c r="L11" s="11">
        <f ca="1">VLOOKUP(I11,[1]属性!$A:$E,4,FALSE)</f>
        <v>1</v>
      </c>
      <c r="M11" s="11">
        <f ca="1">VLOOKUP(I11,[1]属性!$A:$E,5,FALSE)</f>
        <v>1.01</v>
      </c>
      <c r="N11" s="11">
        <f ca="1">INDEX(コスト!$A$1:$I$20,MATCH(H11,コスト!$A$1:$A$20,FALSE),MATCH(G11,コスト!$A$1:$I$1,FALSE))</f>
        <v>26</v>
      </c>
      <c r="O11" s="11">
        <f ca="1">INDEX(レベル!$A$1:$I$21,MATCH(H11,レベル!$A$1:$A$21,FALSE),MATCH(G11,レベル!$A$1:$I$1,FALSE))</f>
        <v>80</v>
      </c>
      <c r="P11" s="49">
        <f t="shared" ca="1" si="12"/>
        <v>75</v>
      </c>
      <c r="Q11" s="59" t="str">
        <f ca="1">VLOOKUP($A11,OFFSET([1]characters!$A$1,0,0,COUNTA([1]characters!$A:$A),MATCH(Q$1,[1]characters!$1:$1,0)-MATCH($A$1,[1]characters!$1:$1,0)+1),MATCH(Q$1,[1]characters!$1:$1,0)-MATCH($A$1,[1]characters!$1:$1,0)+1,FALSE)</f>
        <v>hp</v>
      </c>
      <c r="R11" s="5" t="str">
        <f ca="1">VLOOKUP(Q11,[1]character_type_i18n!$A:$H,3,FALSE)</f>
        <v>体力タイプ</v>
      </c>
      <c r="S11" s="11">
        <f ca="1">VLOOKUP(Q11,[1]character_type_i18n!$A:$H,4,FALSE)</f>
        <v>1.45</v>
      </c>
      <c r="T11" s="11">
        <f ca="1">VLOOKUP(Q11,[1]character_type_i18n!$A:$H,5,FALSE)</f>
        <v>0.85</v>
      </c>
      <c r="U11" s="11">
        <f ca="1">VLOOKUP(Q11,[1]character_type_i18n!$A:$H,6,FALSE)</f>
        <v>1</v>
      </c>
      <c r="V11" s="11">
        <f ca="1">VLOOKUP(Q11,[1]character_type_i18n!$A:$H,7,FALSE)</f>
        <v>0.7</v>
      </c>
      <c r="W11" s="59" t="str">
        <f ca="1">VLOOKUP($A11,OFFSET([1]characters!$A$1,0,0,COUNTA([1]characters!$A:$A),MATCH(W$1,[1]characters!$1:$1,0)-MATCH($A$1,[1]characters!$1:$1,0)+1),MATCH(W$1,[1]characters!$1:$1,0)-MATCH($A$1,[1]characters!$1:$1,0)+1,FALSE)</f>
        <v>unknown</v>
      </c>
      <c r="X11" s="5" t="str">
        <f ca="1">VLOOKUP(W11,[1]character_tribe_i18n!$A:$H,3,FALSE)</f>
        <v>Unknown</v>
      </c>
      <c r="Y11" s="59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>
        <v>824</v>
      </c>
      <c r="AF11" s="64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>悪意の団塊  Gスター・チルドレン</v>
      </c>
      <c r="AG11" s="5">
        <f t="shared" ca="1" si="1"/>
        <v>508</v>
      </c>
      <c r="AH11" s="64" t="str">
        <f ca="1">VLOOKUP($AG11,OFFSET([1]characters!$A$1,0,0,COUNTA([1]characters!$A:$A),MATCH(AH$1,[1]characters!$1:$1,0)-MATCH($A$1,[1]characters!$1:$1,0)+1),MATCH(AH$1,[1]characters!$1:$1,0)-MATCH($A$1,[1]characters!$1:$1,0)+1,FALSE)</f>
        <v>Gスター・チルドレン</v>
      </c>
      <c r="AI11" s="11">
        <f ca="1">IF(AE11="NULL","NULL",VLOOKUP(G11,ビット!$A$2:$B$7,2))</f>
        <v>200000</v>
      </c>
      <c r="AJ11" s="6">
        <v>2</v>
      </c>
      <c r="AK11" s="7" t="str">
        <f t="shared" si="13"/>
        <v>普通</v>
      </c>
      <c r="AL11" s="11" t="str">
        <f ca="1">INDEX(経験値!$A$1:$I$20,MATCH(H11,経験値!$A$1:$A$20,FALSE),MATCH(G11,経験値!$A$1:$I$1,FALSE))</f>
        <v>required_exp_200</v>
      </c>
      <c r="AM11" s="8">
        <f ca="1">VLOOKUP(G11,経験値!$A$27:$B$31,2)</f>
        <v>6400</v>
      </c>
      <c r="AN11" s="17">
        <f ca="1">VLOOKUP(G11,ビット!$G$2:$H$7,2)</f>
        <v>900</v>
      </c>
      <c r="AO11" s="46"/>
      <c r="AP11" s="69">
        <f t="shared" si="8"/>
        <v>509</v>
      </c>
      <c r="AQ11" s="59" t="str">
        <f ca="1">VLOOKUP($AP11,OFFSET(unit_skills!$A$1,0,0,COUNTA(unit_skills!$A:$A),MATCH(AQ$1,unit_skills!$1:$1,0)-MATCH($AP$1,unit_skills!$1:$1,0)+1),MATCH(AQ$1,unit_skills!$1:$1,0)-MATCH($AP$1,unit_skills!$1:$1,0)+1,FALSE)</f>
        <v>モンスター★カーニバル</v>
      </c>
      <c r="AR11" s="59" t="str">
        <f ca="1">VLOOKUP($AP11,OFFSET(unit_skills!$A$1,0,0,COUNTA(unit_skills!$A:$A),MATCH(AR$1,unit_skills!$1:$1,0)-MATCH($AP$1,unit_skills!$1:$1,0)+1),MATCH(AR$1,unit_skills!$1:$1,0)-MATCH($AP$1,unit_skills!$1:$1,0)+1,FALSE)</f>
        <v>3ターン自身の攻撃力を超大UPし、黄属性の防御力を特大UPする</v>
      </c>
      <c r="AS11" s="59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2">
        <f t="shared" si="9"/>
        <v>509</v>
      </c>
      <c r="AU11" s="59" t="str">
        <f ca="1">VLOOKUP($AT11,OFFSET(crash_skills!$A$1,0,0,COUNTA(crash_skills!$A:$A),MATCH(AU$1,crash_skills!$1:$1,0)-MATCH($AT$1,crash_skills!$1:$1,0)+1),MATCH(AU$1,crash_skills!$1:$1,0)-MATCH($AT$1,crash_skills!$1:$1,0)+1,FALSE)</f>
        <v>ロウ オブ ザ モンスター</v>
      </c>
      <c r="AV11" s="59" t="str">
        <f ca="1">VLOOKUP($AT11,OFFSET(crash_skills!$A$1,0,0,COUNTA(crash_skills!$A:$A),MATCH(AV$1,crash_skills!$1:$1,0)-MATCH($AT$1,crash_skills!$1:$1,0)+1),MATCH(AV$1,crash_skills!$1:$1,0)-MATCH($AT$1,crash_skills!$1:$1,0)+1,FALSE)</f>
        <v>1体に中ダメージ_x000D_アニマルに効果特大</v>
      </c>
      <c r="AW11" s="59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60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70">
        <v>1</v>
      </c>
      <c r="AZ11" s="70">
        <v>1.3</v>
      </c>
      <c r="BA11" s="70">
        <v>0</v>
      </c>
      <c r="BB11" s="70">
        <v>0.9</v>
      </c>
      <c r="BC11" s="11">
        <f ca="1">INDEX('RC6SV'!$A$1:$G$20,MATCH(H11,'RC6SV'!$A$1:$A$20,FALSE),MATCH(G11,'RC6SV'!$A$1:$G$1,FALSE))</f>
        <v>7600</v>
      </c>
      <c r="BD11" s="49">
        <f t="shared" ca="1" si="14"/>
        <v>7600</v>
      </c>
      <c r="BE11" s="11">
        <f t="shared" ca="1" si="4"/>
        <v>5800</v>
      </c>
      <c r="BF11" s="11">
        <f t="shared" ca="1" si="5"/>
        <v>1</v>
      </c>
      <c r="BG11" s="16">
        <f ca="1">IF($BE11&lt;=0,ROUND(BK11*0.5,0), ROUND($BE11*S11*AA11*J11*AY11*0.8*[1]ステータス!$B$2,0))</f>
        <v>3297</v>
      </c>
      <c r="BH11" s="16">
        <f ca="1">IF($BE11&lt;=0,ROUND(BL11*0.5,0), ROUND($BE11*T11*AB11*K11*AZ11*0.8*[1]ステータス!$C$2,0))</f>
        <v>1554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738</v>
      </c>
      <c r="BK11" s="11">
        <f ca="1">ROUND(BD11*S11*AA11*J11*AY11*[1]ステータス!$B$2,0)</f>
        <v>5400</v>
      </c>
      <c r="BL11" s="11">
        <f ca="1">ROUND(BD11*T11*AB11*K11*AZ11*[1]ステータス!$C$2,0)</f>
        <v>2545</v>
      </c>
      <c r="BM11" s="11">
        <f ca="1">ROUND(BD11*U11*AC11*L11*BA11*[1]ステータス!$D$2,0)</f>
        <v>0</v>
      </c>
      <c r="BN11" s="11">
        <f ca="1">ROUND(BD11*V11*AD11*M11*BB11*[1]ステータス!$E$2,0)</f>
        <v>1209</v>
      </c>
      <c r="BO11" s="10">
        <f t="shared" si="11"/>
        <v>0</v>
      </c>
      <c r="BP11" s="10">
        <v>1</v>
      </c>
      <c r="BQ11" s="10" t="s">
        <v>73</v>
      </c>
      <c r="BR11" s="10">
        <f ca="1">VLOOKUP(H11,ghosts_label!$A$2:$B$19,2,FALSE)</f>
        <v>1</v>
      </c>
    </row>
  </sheetData>
  <autoFilter ref="A1:BQ2"/>
  <phoneticPr fontId="10"/>
  <conditionalFormatting sqref="BO1">
    <cfRule type="cellIs" dxfId="27" priority="120" stopIfTrue="1" operator="equal">
      <formula>1</formula>
    </cfRule>
  </conditionalFormatting>
  <conditionalFormatting sqref="BQ1">
    <cfRule type="cellIs" dxfId="26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1" sqref="D21"/>
    </sheetView>
  </sheetViews>
  <sheetFormatPr baseColWidth="12" defaultColWidth="13" defaultRowHeight="21" customHeight="1" outlineLevelCol="1" x14ac:dyDescent="0.15"/>
  <cols>
    <col min="1" max="1" width="16.1640625" style="138" bestFit="1" customWidth="1"/>
    <col min="2" max="2" width="13" style="138" bestFit="1" customWidth="1"/>
    <col min="3" max="3" width="21.83203125" style="138" customWidth="1"/>
    <col min="4" max="4" width="41.83203125" style="138" customWidth="1"/>
    <col min="5" max="5" width="9" style="138" customWidth="1"/>
    <col min="6" max="6" width="7.83203125" style="138" bestFit="1" customWidth="1"/>
    <col min="7" max="7" width="8.1640625" style="138" bestFit="1" customWidth="1"/>
    <col min="8" max="8" width="13.6640625" style="138" bestFit="1" customWidth="1"/>
    <col min="9" max="10" width="51.6640625" style="138" customWidth="1"/>
    <col min="11" max="11" width="10.83203125" style="138" customWidth="1" outlineLevel="1"/>
    <col min="12" max="17" width="9.5" style="137" customWidth="1" outlineLevel="1"/>
    <col min="18" max="18" width="20.33203125" style="138" customWidth="1" outlineLevel="1"/>
    <col min="19" max="19" width="10.33203125" style="138" bestFit="1" customWidth="1"/>
    <col min="20" max="16384" width="13" style="138"/>
  </cols>
  <sheetData>
    <row r="1" spans="1:19" s="137" customFormat="1" ht="21" customHeight="1" x14ac:dyDescent="0.15">
      <c r="A1" s="126" t="s">
        <v>21</v>
      </c>
      <c r="B1" s="127" t="s">
        <v>171</v>
      </c>
      <c r="C1" s="128" t="s">
        <v>66</v>
      </c>
      <c r="D1" s="129" t="s">
        <v>200</v>
      </c>
      <c r="E1" s="129" t="s">
        <v>201</v>
      </c>
      <c r="F1" s="126" t="s">
        <v>183</v>
      </c>
      <c r="G1" s="130" t="s">
        <v>2</v>
      </c>
      <c r="H1" s="130" t="s">
        <v>202</v>
      </c>
      <c r="I1" s="130" t="s">
        <v>203</v>
      </c>
      <c r="J1" s="131" t="s">
        <v>221</v>
      </c>
      <c r="K1" s="130" t="s">
        <v>4</v>
      </c>
      <c r="L1" s="132" t="s">
        <v>204</v>
      </c>
      <c r="M1" s="133" t="s">
        <v>205</v>
      </c>
      <c r="N1" s="133" t="s">
        <v>206</v>
      </c>
      <c r="O1" s="133" t="s">
        <v>207</v>
      </c>
      <c r="P1" s="133" t="s">
        <v>208</v>
      </c>
      <c r="Q1" s="134" t="s">
        <v>209</v>
      </c>
      <c r="R1" s="135" t="s">
        <v>210</v>
      </c>
      <c r="S1" s="136" t="s">
        <v>211</v>
      </c>
    </row>
    <row r="2" spans="1:19" ht="21" customHeight="1" x14ac:dyDescent="0.15">
      <c r="A2" s="12">
        <v>490</v>
      </c>
      <c r="B2" s="141" t="s">
        <v>222</v>
      </c>
      <c r="C2" s="142" t="s">
        <v>246</v>
      </c>
      <c r="D2" s="155" t="s">
        <v>244</v>
      </c>
      <c r="E2" s="143">
        <f>LEN(D2)</f>
        <v>38</v>
      </c>
      <c r="F2" s="125">
        <v>12</v>
      </c>
      <c r="G2" s="125">
        <v>5</v>
      </c>
      <c r="H2" s="144">
        <f>2001</f>
        <v>2001</v>
      </c>
      <c r="I2" s="144" t="s">
        <v>243</v>
      </c>
      <c r="J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グリム</v>
      </c>
      <c r="K2" s="145">
        <v>3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491</v>
      </c>
      <c r="B3" s="141" t="s">
        <v>222</v>
      </c>
      <c r="C3" s="142" t="s">
        <v>247</v>
      </c>
      <c r="D3" s="155" t="s">
        <v>245</v>
      </c>
      <c r="E3" s="143">
        <f>LEN(D3)</f>
        <v>39</v>
      </c>
      <c r="F3" s="125">
        <v>13</v>
      </c>
      <c r="G3" s="125">
        <v>5</v>
      </c>
      <c r="H3" s="144">
        <f>2001</f>
        <v>2001</v>
      </c>
      <c r="I3" s="144" t="s">
        <v>242</v>
      </c>
      <c r="J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収魂の群影 グリム</v>
      </c>
      <c r="K3" s="145">
        <v>3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502</v>
      </c>
      <c r="B4" s="141" t="s">
        <v>222</v>
      </c>
      <c r="C4" s="152" t="s">
        <v>228</v>
      </c>
      <c r="D4" s="142" t="s">
        <v>230</v>
      </c>
      <c r="E4" s="143">
        <f t="shared" ref="E4:E9" si="0">LEN(D4)</f>
        <v>36</v>
      </c>
      <c r="F4" s="125">
        <v>10</v>
      </c>
      <c r="G4" s="125">
        <v>5</v>
      </c>
      <c r="H4" s="144">
        <f>2001</f>
        <v>2001</v>
      </c>
      <c r="I4" s="153" t="s">
        <v>232</v>
      </c>
      <c r="J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テラベル</v>
      </c>
      <c r="K4" s="145"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503</v>
      </c>
      <c r="B5" s="141" t="s">
        <v>222</v>
      </c>
      <c r="C5" s="152" t="s">
        <v>228</v>
      </c>
      <c r="D5" s="142" t="s">
        <v>230</v>
      </c>
      <c r="E5" s="143">
        <f t="shared" si="0"/>
        <v>36</v>
      </c>
      <c r="F5" s="125">
        <v>10</v>
      </c>
      <c r="G5" s="125">
        <v>5</v>
      </c>
      <c r="H5" s="144">
        <f>2001</f>
        <v>2001</v>
      </c>
      <c r="I5" s="153" t="s">
        <v>232</v>
      </c>
      <c r="J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破獣の爆姫 テラベル</v>
      </c>
      <c r="K5" s="145">
        <v>3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504</v>
      </c>
      <c r="B6" s="141" t="s">
        <v>222</v>
      </c>
      <c r="C6" s="151" t="s">
        <v>236</v>
      </c>
      <c r="D6" s="142" t="s">
        <v>239</v>
      </c>
      <c r="E6" s="143">
        <f t="shared" si="0"/>
        <v>40</v>
      </c>
      <c r="F6" s="125">
        <v>12</v>
      </c>
      <c r="G6" s="125">
        <v>5</v>
      </c>
      <c r="H6" s="144">
        <f>2001</f>
        <v>2001</v>
      </c>
      <c r="I6" s="144" t="s">
        <v>233</v>
      </c>
      <c r="J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ハイディン・オーガ</v>
      </c>
      <c r="K6" s="145">
        <v>3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505</v>
      </c>
      <c r="B7" s="141" t="s">
        <v>222</v>
      </c>
      <c r="C7" s="151" t="s">
        <v>236</v>
      </c>
      <c r="D7" s="142" t="str">
        <f>D6</f>
        <v>3ターンの間緑属性のユニットの攻撃力と防御力を特大UP＋赤パネルを緑パネルに変換</v>
      </c>
      <c r="E7" s="143">
        <f t="shared" si="0"/>
        <v>40</v>
      </c>
      <c r="F7" s="125">
        <v>12</v>
      </c>
      <c r="G7" s="125">
        <v>5</v>
      </c>
      <c r="H7" s="144">
        <f>2001</f>
        <v>2001</v>
      </c>
      <c r="I7" s="144" t="str">
        <f>I6</f>
        <v>[effect:change_block, new_block:block_green, target:block_red, color:block_green, count:0, val:0, animation:change_block],[effect:enhance_unit, target:unit_green, turn:3, status:attack, val:0.21, calc:mul, animation:enhance_unit_all_attack04_unit01],[effect:enhance_unit, target:unit_green, turn:3, status:defense, val:1080, calc:add, animation:enhance_unit_all_defense04_unit01]</v>
      </c>
      <c r="J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暴虐の漏洩 ハイディン・オーガ</v>
      </c>
      <c r="K7" s="145">
        <v>3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506</v>
      </c>
      <c r="B8" s="141" t="s">
        <v>222</v>
      </c>
      <c r="C8" s="142" t="s">
        <v>252</v>
      </c>
      <c r="D8" s="142" t="s">
        <v>262</v>
      </c>
      <c r="E8" s="143">
        <f t="shared" si="0"/>
        <v>39</v>
      </c>
      <c r="F8" s="125">
        <v>10</v>
      </c>
      <c r="G8" s="125">
        <v>5</v>
      </c>
      <c r="H8" s="144">
        <f>2001</f>
        <v>2001</v>
      </c>
      <c r="I8" s="144" t="s">
        <v>279</v>
      </c>
      <c r="J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ゴーテル</v>
      </c>
      <c r="K8" s="145">
        <v>3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507</v>
      </c>
      <c r="B9" s="141" t="s">
        <v>222</v>
      </c>
      <c r="C9" s="142" t="s">
        <v>253</v>
      </c>
      <c r="D9" s="142" t="s">
        <v>263</v>
      </c>
      <c r="E9" s="143">
        <f t="shared" si="0"/>
        <v>40</v>
      </c>
      <c r="F9" s="125">
        <v>12</v>
      </c>
      <c r="G9" s="125">
        <v>5</v>
      </c>
      <c r="H9" s="144">
        <f>2001</f>
        <v>2001</v>
      </c>
      <c r="I9" s="144" t="s">
        <v>280</v>
      </c>
      <c r="J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過保護な幽閉者 ゴーテル</v>
      </c>
      <c r="K9" s="145">
        <v>3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2">
        <v>508</v>
      </c>
      <c r="B10" s="141" t="s">
        <v>222</v>
      </c>
      <c r="C10" s="142" t="s">
        <v>254</v>
      </c>
      <c r="D10" s="142" t="s">
        <v>260</v>
      </c>
      <c r="E10" s="143">
        <f t="shared" ref="E10:E11" si="1">LEN(D10)</f>
        <v>31</v>
      </c>
      <c r="F10" s="125">
        <v>12</v>
      </c>
      <c r="G10" s="125">
        <v>5</v>
      </c>
      <c r="H10" s="144">
        <f>2001</f>
        <v>2001</v>
      </c>
      <c r="I10" s="144" t="s">
        <v>276</v>
      </c>
      <c r="J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Gスター・チルドレン</v>
      </c>
      <c r="K10" s="145">
        <v>3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2">
        <v>509</v>
      </c>
      <c r="B11" s="141" t="s">
        <v>222</v>
      </c>
      <c r="C11" s="142" t="s">
        <v>255</v>
      </c>
      <c r="D11" s="142" t="s">
        <v>261</v>
      </c>
      <c r="E11" s="143">
        <f t="shared" si="1"/>
        <v>31</v>
      </c>
      <c r="F11" s="125">
        <v>13</v>
      </c>
      <c r="G11" s="125">
        <v>5</v>
      </c>
      <c r="H11" s="144">
        <f>2001</f>
        <v>2001</v>
      </c>
      <c r="I11" s="144" t="s">
        <v>275</v>
      </c>
      <c r="J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純粋悪意 Gスター・チルドレン</v>
      </c>
      <c r="K11" s="145">
        <v>3</v>
      </c>
      <c r="L11" s="146"/>
      <c r="M11" s="147"/>
      <c r="N11" s="147"/>
      <c r="O11" s="147"/>
      <c r="P11" s="147"/>
      <c r="Q11" s="147"/>
      <c r="R11" s="142"/>
      <c r="S11" s="148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12:E1048576">
    <cfRule type="cellIs" dxfId="25" priority="7" operator="greaterThan">
      <formula>41</formula>
    </cfRule>
  </conditionalFormatting>
  <conditionalFormatting sqref="E2:E11">
    <cfRule type="cellIs" dxfId="24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S11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12" sqref="F12"/>
    </sheetView>
  </sheetViews>
  <sheetFormatPr baseColWidth="12" defaultColWidth="13" defaultRowHeight="21" customHeight="1" x14ac:dyDescent="0.15"/>
  <cols>
    <col min="1" max="2" width="12.1640625" style="138" customWidth="1"/>
    <col min="3" max="3" width="48.83203125" style="139" customWidth="1"/>
    <col min="4" max="4" width="23.83203125" style="139" customWidth="1"/>
    <col min="5" max="5" width="10.5" style="139" customWidth="1"/>
    <col min="6" max="7" width="59.1640625" style="139" customWidth="1"/>
    <col min="8" max="8" width="6.83203125" style="138" bestFit="1" customWidth="1"/>
    <col min="9" max="9" width="20.33203125" style="138" customWidth="1"/>
    <col min="10" max="10" width="5" style="138" bestFit="1" customWidth="1"/>
    <col min="11" max="16384" width="13" style="138"/>
  </cols>
  <sheetData>
    <row r="1" spans="1:19" ht="21" customHeight="1" x14ac:dyDescent="0.15">
      <c r="A1" s="126" t="s">
        <v>219</v>
      </c>
      <c r="B1" s="127" t="s">
        <v>218</v>
      </c>
      <c r="C1" s="128" t="s">
        <v>217</v>
      </c>
      <c r="D1" s="129" t="s">
        <v>216</v>
      </c>
      <c r="E1" s="129" t="s">
        <v>215</v>
      </c>
      <c r="F1" s="130" t="s">
        <v>214</v>
      </c>
      <c r="G1" s="131" t="s">
        <v>221</v>
      </c>
      <c r="H1" s="130" t="s">
        <v>213</v>
      </c>
      <c r="I1" s="131" t="s">
        <v>212</v>
      </c>
      <c r="J1" s="135" t="s">
        <v>211</v>
      </c>
    </row>
    <row r="2" spans="1:19" ht="21" customHeight="1" x14ac:dyDescent="0.15">
      <c r="A2" s="12">
        <v>490</v>
      </c>
      <c r="B2" s="141" t="s">
        <v>223</v>
      </c>
      <c r="C2" s="142" t="s">
        <v>248</v>
      </c>
      <c r="D2" s="142" t="s">
        <v>241</v>
      </c>
      <c r="E2" s="143">
        <f t="shared" ref="E2" si="0">LEN(D2)</f>
        <v>20</v>
      </c>
      <c r="F2" s="125" t="s">
        <v>250</v>
      </c>
      <c r="G2" s="59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グリム</v>
      </c>
      <c r="H2" s="144">
        <v>3</v>
      </c>
      <c r="I2" s="144"/>
      <c r="J2" s="149"/>
      <c r="K2" s="145">
        <v>1</v>
      </c>
      <c r="L2" s="146"/>
      <c r="M2" s="147"/>
      <c r="N2" s="147"/>
      <c r="O2" s="147"/>
      <c r="P2" s="147"/>
      <c r="Q2" s="147"/>
      <c r="R2" s="142"/>
      <c r="S2" s="148"/>
    </row>
    <row r="3" spans="1:19" ht="21" customHeight="1" x14ac:dyDescent="0.15">
      <c r="A3" s="12">
        <v>491</v>
      </c>
      <c r="B3" s="141" t="s">
        <v>223</v>
      </c>
      <c r="C3" s="142" t="s">
        <v>249</v>
      </c>
      <c r="D3" s="142" t="s">
        <v>241</v>
      </c>
      <c r="E3" s="143">
        <f t="shared" ref="E3:E11" si="1">LEN(D3)</f>
        <v>20</v>
      </c>
      <c r="F3" s="125" t="s">
        <v>251</v>
      </c>
      <c r="G3" s="59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収魂の群影 グリム</v>
      </c>
      <c r="H3" s="144">
        <v>3</v>
      </c>
      <c r="I3" s="144"/>
      <c r="J3" s="149"/>
      <c r="K3" s="145">
        <v>2</v>
      </c>
      <c r="L3" s="146"/>
      <c r="M3" s="147"/>
      <c r="N3" s="147"/>
      <c r="O3" s="147"/>
      <c r="P3" s="147"/>
      <c r="Q3" s="147"/>
      <c r="R3" s="142"/>
      <c r="S3" s="148"/>
    </row>
    <row r="4" spans="1:19" ht="21" customHeight="1" x14ac:dyDescent="0.15">
      <c r="A4" s="12">
        <v>502</v>
      </c>
      <c r="B4" s="141" t="s">
        <v>223</v>
      </c>
      <c r="C4" s="151" t="s">
        <v>229</v>
      </c>
      <c r="D4" s="142" t="s">
        <v>231</v>
      </c>
      <c r="E4" s="143">
        <f t="shared" si="1"/>
        <v>10</v>
      </c>
      <c r="F4" s="125" t="s">
        <v>227</v>
      </c>
      <c r="G4" s="59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テラベル</v>
      </c>
      <c r="H4" s="144">
        <v>3</v>
      </c>
      <c r="I4" s="144"/>
      <c r="J4" s="149"/>
      <c r="K4" s="145">
        <v>3</v>
      </c>
      <c r="L4" s="146"/>
      <c r="M4" s="147"/>
      <c r="N4" s="147"/>
      <c r="O4" s="147"/>
      <c r="P4" s="147"/>
      <c r="Q4" s="147"/>
      <c r="R4" s="142"/>
      <c r="S4" s="148"/>
    </row>
    <row r="5" spans="1:19" ht="21" customHeight="1" x14ac:dyDescent="0.15">
      <c r="A5" s="12">
        <v>503</v>
      </c>
      <c r="B5" s="141" t="s">
        <v>223</v>
      </c>
      <c r="C5" s="151" t="s">
        <v>229</v>
      </c>
      <c r="D5" s="142" t="s">
        <v>231</v>
      </c>
      <c r="E5" s="143">
        <f>LEN(D5)</f>
        <v>10</v>
      </c>
      <c r="F5" s="125" t="s">
        <v>227</v>
      </c>
      <c r="G5" s="59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破獣の爆姫 テラベル</v>
      </c>
      <c r="H5" s="144">
        <v>3</v>
      </c>
      <c r="I5" s="144"/>
      <c r="J5" s="149"/>
      <c r="K5" s="145">
        <v>4</v>
      </c>
      <c r="L5" s="146"/>
      <c r="M5" s="147"/>
      <c r="N5" s="147"/>
      <c r="O5" s="147"/>
      <c r="P5" s="147"/>
      <c r="Q5" s="147"/>
      <c r="R5" s="142"/>
      <c r="S5" s="148"/>
    </row>
    <row r="6" spans="1:19" ht="21" customHeight="1" x14ac:dyDescent="0.15">
      <c r="A6" s="12">
        <v>504</v>
      </c>
      <c r="B6" s="141" t="s">
        <v>223</v>
      </c>
      <c r="C6" s="151" t="s">
        <v>237</v>
      </c>
      <c r="D6" s="142" t="s">
        <v>235</v>
      </c>
      <c r="E6" s="143">
        <f t="shared" si="1"/>
        <v>18</v>
      </c>
      <c r="F6" s="154" t="s">
        <v>238</v>
      </c>
      <c r="G6" s="59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ハイディン・オーガ</v>
      </c>
      <c r="H6" s="144">
        <v>3</v>
      </c>
      <c r="I6" s="144"/>
      <c r="J6" s="149"/>
      <c r="K6" s="145">
        <v>5</v>
      </c>
      <c r="L6" s="146"/>
      <c r="M6" s="147"/>
      <c r="N6" s="147"/>
      <c r="O6" s="147"/>
      <c r="P6" s="147"/>
      <c r="Q6" s="147"/>
      <c r="R6" s="142"/>
      <c r="S6" s="148"/>
    </row>
    <row r="7" spans="1:19" ht="21" customHeight="1" x14ac:dyDescent="0.15">
      <c r="A7" s="12">
        <v>505</v>
      </c>
      <c r="B7" s="141" t="s">
        <v>223</v>
      </c>
      <c r="C7" s="151" t="s">
        <v>237</v>
      </c>
      <c r="D7" s="142" t="s">
        <v>234</v>
      </c>
      <c r="E7" s="143">
        <f t="shared" si="1"/>
        <v>18</v>
      </c>
      <c r="F7" s="154" t="s">
        <v>240</v>
      </c>
      <c r="G7" s="59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暴虐の漏洩 ハイディン・オーガ</v>
      </c>
      <c r="H7" s="144">
        <v>3</v>
      </c>
      <c r="I7" s="144"/>
      <c r="J7" s="149"/>
      <c r="K7" s="145">
        <v>6</v>
      </c>
      <c r="L7" s="146"/>
      <c r="M7" s="147"/>
      <c r="N7" s="147"/>
      <c r="O7" s="147"/>
      <c r="P7" s="147"/>
      <c r="Q7" s="147"/>
      <c r="R7" s="142"/>
      <c r="S7" s="148"/>
    </row>
    <row r="8" spans="1:19" ht="21" customHeight="1" x14ac:dyDescent="0.15">
      <c r="A8" s="12">
        <v>506</v>
      </c>
      <c r="B8" s="141" t="s">
        <v>223</v>
      </c>
      <c r="C8" s="142" t="s">
        <v>256</v>
      </c>
      <c r="D8" s="142" t="s">
        <v>264</v>
      </c>
      <c r="E8" s="143">
        <f t="shared" si="1"/>
        <v>25</v>
      </c>
      <c r="F8" s="156" t="s">
        <v>278</v>
      </c>
      <c r="G8" s="59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ゴーテル</v>
      </c>
      <c r="H8" s="144">
        <f t="shared" ref="H8:H9" si="2">H7</f>
        <v>3</v>
      </c>
      <c r="I8" s="144"/>
      <c r="J8" s="149"/>
      <c r="K8" s="145">
        <v>7</v>
      </c>
      <c r="L8" s="146"/>
      <c r="M8" s="147"/>
      <c r="N8" s="147"/>
      <c r="O8" s="147"/>
      <c r="P8" s="147"/>
      <c r="Q8" s="147"/>
      <c r="R8" s="142"/>
      <c r="S8" s="148"/>
    </row>
    <row r="9" spans="1:19" ht="21" customHeight="1" x14ac:dyDescent="0.15">
      <c r="A9" s="12">
        <v>507</v>
      </c>
      <c r="B9" s="141" t="s">
        <v>223</v>
      </c>
      <c r="C9" s="142" t="s">
        <v>257</v>
      </c>
      <c r="D9" s="142" t="s">
        <v>281</v>
      </c>
      <c r="E9" s="143">
        <f t="shared" si="1"/>
        <v>25</v>
      </c>
      <c r="F9" s="156" t="s">
        <v>277</v>
      </c>
      <c r="G9" s="59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過保護な幽閉者 ゴーテル</v>
      </c>
      <c r="H9" s="144">
        <f t="shared" si="2"/>
        <v>3</v>
      </c>
      <c r="I9" s="144"/>
      <c r="J9" s="149"/>
      <c r="K9" s="145">
        <v>8</v>
      </c>
      <c r="L9" s="146"/>
      <c r="M9" s="147"/>
      <c r="N9" s="147"/>
      <c r="O9" s="147"/>
      <c r="P9" s="147"/>
      <c r="Q9" s="147"/>
      <c r="R9" s="142"/>
      <c r="S9" s="148"/>
    </row>
    <row r="10" spans="1:19" ht="21" customHeight="1" x14ac:dyDescent="0.15">
      <c r="A10" s="12">
        <v>508</v>
      </c>
      <c r="B10" s="141" t="s">
        <v>223</v>
      </c>
      <c r="C10" s="142" t="s">
        <v>258</v>
      </c>
      <c r="D10" s="142" t="s">
        <v>265</v>
      </c>
      <c r="E10" s="143">
        <f t="shared" si="1"/>
        <v>17</v>
      </c>
      <c r="F10" s="154" t="s">
        <v>274</v>
      </c>
      <c r="G10" s="59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Gスター・チルドレン</v>
      </c>
      <c r="H10" s="144">
        <v>3</v>
      </c>
      <c r="I10" s="144"/>
      <c r="J10" s="149"/>
      <c r="K10" s="145">
        <v>9</v>
      </c>
      <c r="L10" s="146"/>
      <c r="M10" s="147"/>
      <c r="N10" s="147"/>
      <c r="O10" s="147"/>
      <c r="P10" s="147"/>
      <c r="Q10" s="147"/>
      <c r="R10" s="142"/>
      <c r="S10" s="148"/>
    </row>
    <row r="11" spans="1:19" ht="21" customHeight="1" x14ac:dyDescent="0.15">
      <c r="A11" s="12">
        <v>509</v>
      </c>
      <c r="B11" s="141" t="s">
        <v>223</v>
      </c>
      <c r="C11" s="142" t="s">
        <v>259</v>
      </c>
      <c r="D11" s="142" t="s">
        <v>266</v>
      </c>
      <c r="E11" s="143">
        <f t="shared" si="1"/>
        <v>18</v>
      </c>
      <c r="F11" s="154" t="s">
        <v>311</v>
      </c>
      <c r="G11" s="59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純粋悪意 Gスター・チルドレン</v>
      </c>
      <c r="H11" s="144">
        <v>3</v>
      </c>
      <c r="I11" s="144"/>
      <c r="J11" s="149"/>
      <c r="K11" s="145">
        <v>10</v>
      </c>
      <c r="L11" s="146"/>
      <c r="M11" s="147"/>
      <c r="N11" s="147"/>
      <c r="O11" s="147"/>
      <c r="P11" s="147"/>
      <c r="Q11" s="147"/>
      <c r="R11" s="142"/>
      <c r="S11" s="148"/>
    </row>
  </sheetData>
  <sheetProtection selectLockedCells="1" selectUnlockedCells="1"/>
  <autoFilter ref="A1:J1"/>
  <phoneticPr fontId="22"/>
  <conditionalFormatting sqref="E2:E11">
    <cfRule type="cellIs" dxfId="23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E25"/>
  <sheetViews>
    <sheetView workbookViewId="0">
      <selection activeCell="D32" sqref="D32"/>
    </sheetView>
  </sheetViews>
  <sheetFormatPr baseColWidth="12" defaultRowHeight="15" x14ac:dyDescent="0.15"/>
  <sheetData>
    <row r="1" spans="1:5" x14ac:dyDescent="0.15">
      <c r="A1" s="122" t="s">
        <v>166</v>
      </c>
      <c r="B1" s="122" t="s">
        <v>167</v>
      </c>
      <c r="C1" s="122" t="s">
        <v>169</v>
      </c>
      <c r="D1" s="119" t="s">
        <v>171</v>
      </c>
      <c r="E1" s="119" t="s">
        <v>170</v>
      </c>
    </row>
    <row r="2" spans="1:5" x14ac:dyDescent="0.15">
      <c r="A2" s="115"/>
      <c r="B2" s="115"/>
      <c r="C2" s="115"/>
      <c r="D2" s="115"/>
      <c r="E2" s="115"/>
    </row>
    <row r="3" spans="1:5" x14ac:dyDescent="0.15">
      <c r="A3" s="115"/>
      <c r="B3" s="115"/>
      <c r="C3" s="115"/>
      <c r="D3" s="115"/>
      <c r="E3" s="115"/>
    </row>
    <row r="4" spans="1:5" x14ac:dyDescent="0.15">
      <c r="A4" s="115"/>
      <c r="B4" s="115"/>
      <c r="C4" s="115"/>
      <c r="D4" s="115"/>
      <c r="E4" s="115"/>
    </row>
    <row r="5" spans="1:5" x14ac:dyDescent="0.15">
      <c r="A5" s="115"/>
      <c r="B5" s="115"/>
      <c r="C5" s="115"/>
      <c r="D5" s="115"/>
      <c r="E5" s="115"/>
    </row>
    <row r="6" spans="1:5" x14ac:dyDescent="0.15">
      <c r="A6" s="115"/>
      <c r="B6" s="115"/>
      <c r="C6" s="115"/>
      <c r="D6" s="115"/>
      <c r="E6" s="115"/>
    </row>
    <row r="7" spans="1:5" x14ac:dyDescent="0.15">
      <c r="A7" s="115"/>
      <c r="B7" s="115"/>
      <c r="C7" s="115"/>
      <c r="D7" s="115"/>
      <c r="E7" s="115"/>
    </row>
    <row r="8" spans="1:5" x14ac:dyDescent="0.15">
      <c r="A8" s="115"/>
      <c r="B8" s="115"/>
      <c r="C8" s="115"/>
      <c r="D8" s="115"/>
      <c r="E8" s="115"/>
    </row>
    <row r="9" spans="1:5" x14ac:dyDescent="0.15">
      <c r="A9" s="115"/>
      <c r="B9" s="115"/>
      <c r="C9" s="115"/>
      <c r="D9" s="115"/>
      <c r="E9" s="115"/>
    </row>
    <row r="10" spans="1:5" x14ac:dyDescent="0.15">
      <c r="A10" s="115"/>
      <c r="B10" s="115"/>
      <c r="C10" s="115"/>
      <c r="D10" s="115"/>
      <c r="E10" s="115"/>
    </row>
    <row r="11" spans="1:5" x14ac:dyDescent="0.15">
      <c r="A11" s="115"/>
      <c r="B11" s="115"/>
      <c r="C11" s="115"/>
      <c r="D11" s="115"/>
      <c r="E11" s="115"/>
    </row>
    <row r="12" spans="1:5" x14ac:dyDescent="0.15">
      <c r="A12" s="115"/>
      <c r="B12" s="115"/>
      <c r="C12" s="115"/>
      <c r="D12" s="115"/>
      <c r="E12" s="115"/>
    </row>
    <row r="13" spans="1:5" x14ac:dyDescent="0.15">
      <c r="A13" s="115"/>
      <c r="B13" s="115"/>
      <c r="C13" s="115"/>
      <c r="D13" s="115"/>
      <c r="E13" s="115"/>
    </row>
    <row r="14" spans="1:5" x14ac:dyDescent="0.15">
      <c r="A14" s="115"/>
      <c r="B14" s="115"/>
      <c r="C14" s="115"/>
      <c r="D14" s="115"/>
      <c r="E14" s="115"/>
    </row>
    <row r="15" spans="1:5" x14ac:dyDescent="0.15">
      <c r="A15" s="115"/>
      <c r="B15" s="115"/>
      <c r="C15" s="115"/>
      <c r="D15" s="115"/>
      <c r="E15" s="115"/>
    </row>
    <row r="16" spans="1:5" x14ac:dyDescent="0.15">
      <c r="A16" s="115"/>
      <c r="B16" s="115"/>
      <c r="C16" s="115"/>
      <c r="D16" s="115"/>
      <c r="E16" s="115"/>
    </row>
    <row r="17" spans="1:5" x14ac:dyDescent="0.15">
      <c r="A17" s="115"/>
      <c r="B17" s="115"/>
      <c r="C17" s="115"/>
      <c r="D17" s="115"/>
      <c r="E17" s="115"/>
    </row>
    <row r="18" spans="1:5" x14ac:dyDescent="0.15">
      <c r="A18" s="115"/>
      <c r="B18" s="115"/>
      <c r="C18" s="115"/>
      <c r="D18" s="115"/>
      <c r="E18" s="115"/>
    </row>
    <row r="19" spans="1:5" x14ac:dyDescent="0.15">
      <c r="A19" s="115"/>
      <c r="B19" s="115"/>
      <c r="C19" s="115"/>
      <c r="D19" s="115"/>
      <c r="E19" s="115"/>
    </row>
    <row r="20" spans="1:5" x14ac:dyDescent="0.15">
      <c r="A20" s="115"/>
      <c r="B20" s="115"/>
      <c r="C20" s="115"/>
      <c r="D20" s="115"/>
      <c r="E20" s="115"/>
    </row>
    <row r="21" spans="1:5" x14ac:dyDescent="0.15">
      <c r="A21" s="115"/>
      <c r="B21" s="115"/>
      <c r="C21" s="115"/>
      <c r="D21" s="115"/>
      <c r="E21" s="115"/>
    </row>
    <row r="22" spans="1:5" x14ac:dyDescent="0.15">
      <c r="A22" s="115"/>
      <c r="B22" s="115"/>
      <c r="C22" s="115"/>
      <c r="D22" s="115"/>
      <c r="E22" s="115"/>
    </row>
    <row r="23" spans="1:5" x14ac:dyDescent="0.15">
      <c r="A23" s="115"/>
      <c r="B23" s="115"/>
      <c r="C23" s="115"/>
      <c r="D23" s="115"/>
      <c r="E23" s="115"/>
    </row>
    <row r="24" spans="1:5" x14ac:dyDescent="0.15">
      <c r="A24" s="115"/>
      <c r="B24" s="115"/>
      <c r="C24" s="115"/>
      <c r="D24" s="115"/>
      <c r="E24" s="115"/>
    </row>
    <row r="25" spans="1:5" x14ac:dyDescent="0.15">
      <c r="A25" s="115"/>
      <c r="B25" s="115"/>
      <c r="C25" s="115"/>
      <c r="D25" s="115"/>
      <c r="E25" s="115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19"/>
  <sheetViews>
    <sheetView showGridLines="0" workbookViewId="0">
      <pane ySplit="1" topLeftCell="A2" activePane="bottomLeft" state="frozen"/>
      <selection pane="bottomLeft" activeCell="J11" sqref="J11"/>
    </sheetView>
  </sheetViews>
  <sheetFormatPr baseColWidth="12" defaultColWidth="13" defaultRowHeight="15" x14ac:dyDescent="0.15"/>
  <cols>
    <col min="1" max="1" width="11.5" style="67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7" t="s">
        <v>125</v>
      </c>
      <c r="B1" s="43" t="s">
        <v>60</v>
      </c>
      <c r="C1" s="20" t="s">
        <v>66</v>
      </c>
      <c r="D1" s="20" t="s">
        <v>68</v>
      </c>
      <c r="E1" s="20" t="s">
        <v>69</v>
      </c>
      <c r="F1" s="44" t="s">
        <v>58</v>
      </c>
      <c r="G1" s="20" t="s">
        <v>67</v>
      </c>
      <c r="H1" s="19" t="s">
        <v>59</v>
      </c>
      <c r="I1" s="120" t="s">
        <v>160</v>
      </c>
    </row>
    <row r="2" spans="1:9" ht="21" customHeight="1" x14ac:dyDescent="0.15">
      <c r="A2" s="67" t="str">
        <f>B2&amp;"_"&amp;F2</f>
        <v>490_502</v>
      </c>
      <c r="B2" s="45">
        <v>490</v>
      </c>
      <c r="C2" s="21" t="str">
        <f ca="1">VLOOKUP($B2,OFFSET(units!$A$1,0,0,COUNTA(units!$A:$A),MATCH(C$1,units!$1:$1,0)-COLUMN(INDIRECT("character_id"))+1),MATCH(C$1,units!$1:$1,0)-COLUMN(INDIRECT("character_id"))+1,FALSE)</f>
        <v>グリム</v>
      </c>
      <c r="D2" s="21">
        <f ca="1">VLOOKUP($B2,OFFSET(units!$A$1,0,0,COUNTA(units!$A:$A),MATCH(D$1,units!$1:$1,0)-COLUMN(INDIRECT("character_id"))+1),MATCH(D$1,units!$1:$1,0)-COLUMN(INDIRECT("character_id"))+1,FALSE)</f>
        <v>4</v>
      </c>
      <c r="E2" s="21" t="str">
        <f ca="1">VLOOKUP($B2,OFFSET(units!$A$1,0,0,COUNTA(units!$A:$A),MATCH(E$1,units!$1:$1,0)-COLUMN(INDIRECT("character_id"))+1),MATCH(E$1,units!$1:$1,0)-COLUMN(INDIRECT("character_id"))+1,FALSE)</f>
        <v>DropWizS</v>
      </c>
      <c r="F2" s="45">
        <v>502</v>
      </c>
      <c r="G2" s="21" t="str">
        <f>VLOOKUP(F2,[1]characters!$A:$C,3,FALSE)</f>
        <v>テラベル</v>
      </c>
      <c r="H2" s="18">
        <v>2</v>
      </c>
      <c r="I2" s="121">
        <v>1</v>
      </c>
    </row>
    <row r="3" spans="1:9" ht="21" customHeight="1" x14ac:dyDescent="0.15">
      <c r="A3" s="67" t="str">
        <f>B3&amp;"_"&amp;F3</f>
        <v>490_504</v>
      </c>
      <c r="B3" s="45">
        <v>490</v>
      </c>
      <c r="C3" s="21" t="str">
        <f ca="1">VLOOKUP($B3,OFFSET(units!$A$1,0,0,COUNTA(units!$A:$A),MATCH(C$1,units!$1:$1,0)-COLUMN(INDIRECT("character_id"))+1),MATCH(C$1,units!$1:$1,0)-COLUMN(INDIRECT("character_id"))+1,FALSE)</f>
        <v>グリム</v>
      </c>
      <c r="D3" s="21">
        <f ca="1">VLOOKUP($B3,OFFSET(units!$A$1,0,0,COUNTA(units!$A:$A),MATCH(D$1,units!$1:$1,0)-COLUMN(INDIRECT("character_id"))+1),MATCH(D$1,units!$1:$1,0)-COLUMN(INDIRECT("character_id"))+1,FALSE)</f>
        <v>4</v>
      </c>
      <c r="E3" s="21" t="str">
        <f ca="1">VLOOKUP($B3,OFFSET(units!$A$1,0,0,COUNTA(units!$A:$A),MATCH(E$1,units!$1:$1,0)-COLUMN(INDIRECT("character_id"))+1),MATCH(E$1,units!$1:$1,0)-COLUMN(INDIRECT("character_id"))+1,FALSE)</f>
        <v>DropWizS</v>
      </c>
      <c r="F3" s="45">
        <v>504</v>
      </c>
      <c r="G3" s="21" t="str">
        <f>VLOOKUP(F3,[1]characters!$A:$C,3,FALSE)</f>
        <v>ハイディン・オーガ</v>
      </c>
      <c r="H3" s="18">
        <v>2</v>
      </c>
      <c r="I3" s="121">
        <f>I2</f>
        <v>1</v>
      </c>
    </row>
    <row r="4" spans="1:9" ht="21" customHeight="1" x14ac:dyDescent="0.15">
      <c r="A4" s="67" t="str">
        <f t="shared" ref="A4:A19" si="0">B4&amp;"_"&amp;F4</f>
        <v>490_108</v>
      </c>
      <c r="B4" s="45">
        <v>490</v>
      </c>
      <c r="C4" s="21" t="str">
        <f ca="1">VLOOKUP($B4,OFFSET(units!$A$1,0,0,COUNTA(units!$A:$A),MATCH(C$1,units!$1:$1,0)-COLUMN(INDIRECT("character_id"))+1),MATCH(C$1,units!$1:$1,0)-COLUMN(INDIRECT("character_id"))+1,FALSE)</f>
        <v>グリム</v>
      </c>
      <c r="D4" s="21">
        <f ca="1">VLOOKUP($B4,OFFSET(units!$A$1,0,0,COUNTA(units!$A:$A),MATCH(D$1,units!$1:$1,0)-COLUMN(INDIRECT("character_id"))+1),MATCH(D$1,units!$1:$1,0)-COLUMN(INDIRECT("character_id"))+1,FALSE)</f>
        <v>4</v>
      </c>
      <c r="E4" s="21" t="str">
        <f ca="1">VLOOKUP($B4,OFFSET(units!$A$1,0,0,COUNTA(units!$A:$A),MATCH(E$1,units!$1:$1,0)-COLUMN(INDIRECT("character_id"))+1),MATCH(E$1,units!$1:$1,0)-COLUMN(INDIRECT("character_id"))+1,FALSE)</f>
        <v>DropWizS</v>
      </c>
      <c r="F4" s="45">
        <v>108</v>
      </c>
      <c r="G4" s="21" t="str">
        <f>VLOOKUP(F4,[1]characters!$A:$C,3,FALSE)</f>
        <v>森のマッドハッター</v>
      </c>
      <c r="H4" s="18">
        <v>1</v>
      </c>
      <c r="I4" s="121">
        <f t="shared" ref="I4" si="1">I3</f>
        <v>1</v>
      </c>
    </row>
    <row r="5" spans="1:9" x14ac:dyDescent="0.15">
      <c r="A5" s="67" t="str">
        <f t="shared" si="0"/>
        <v>502_104</v>
      </c>
      <c r="B5" s="150">
        <v>502</v>
      </c>
      <c r="C5" s="21" t="str">
        <f ca="1">VLOOKUP($B5,OFFSET(units!$A$1,0,0,COUNTA(units!$A:$A),MATCH(C$1,units!$1:$1,0)-COLUMN(INDIRECT("character_id"))+1),MATCH(C$1,units!$1:$1,0)-COLUMN(INDIRECT("character_id"))+1,FALSE)</f>
        <v>テラベル</v>
      </c>
      <c r="D5" s="21">
        <f ca="1">VLOOKUP($B5,OFFSET(units!$A$1,0,0,COUNTA(units!$A:$A),MATCH(D$1,units!$1:$1,0)-COLUMN(INDIRECT("character_id"))+1),MATCH(D$1,units!$1:$1,0)-COLUMN(INDIRECT("character_id"))+1,FALSE)</f>
        <v>4</v>
      </c>
      <c r="E5" s="21" t="str">
        <f ca="1">VLOOKUP($B5,OFFSET(units!$A$1,0,0,COUNTA(units!$A:$A),MATCH(E$1,units!$1:$1,0)-COLUMN(INDIRECT("character_id"))+1),MATCH(E$1,units!$1:$1,0)-COLUMN(INDIRECT("character_id"))+1,FALSE)</f>
        <v>Drop2N</v>
      </c>
      <c r="F5" s="45">
        <v>104</v>
      </c>
      <c r="G5" s="21" t="str">
        <f>VLOOKUP(F5,[1]characters!$A:$C,3,FALSE)</f>
        <v>炎のマッドハッター</v>
      </c>
      <c r="H5" s="18">
        <v>1</v>
      </c>
      <c r="I5" s="121">
        <v>1</v>
      </c>
    </row>
    <row r="6" spans="1:9" x14ac:dyDescent="0.15">
      <c r="A6" s="67" t="str">
        <f t="shared" si="0"/>
        <v>502_103</v>
      </c>
      <c r="B6" s="150">
        <f>B5</f>
        <v>502</v>
      </c>
      <c r="C6" s="21" t="str">
        <f ca="1">VLOOKUP($B6,OFFSET(units!$A$1,0,0,COUNTA(units!$A:$A),MATCH(C$1,units!$1:$1,0)-COLUMN(INDIRECT("character_id"))+1),MATCH(C$1,units!$1:$1,0)-COLUMN(INDIRECT("character_id"))+1,FALSE)</f>
        <v>テラベル</v>
      </c>
      <c r="D6" s="21">
        <f ca="1">VLOOKUP($B6,OFFSET(units!$A$1,0,0,COUNTA(units!$A:$A),MATCH(D$1,units!$1:$1,0)-COLUMN(INDIRECT("character_id"))+1),MATCH(D$1,units!$1:$1,0)-COLUMN(INDIRECT("character_id"))+1,FALSE)</f>
        <v>4</v>
      </c>
      <c r="E6" s="21" t="str">
        <f ca="1">VLOOKUP($B6,OFFSET(units!$A$1,0,0,COUNTA(units!$A:$A),MATCH(E$1,units!$1:$1,0)-COLUMN(INDIRECT("character_id"))+1),MATCH(E$1,units!$1:$1,0)-COLUMN(INDIRECT("character_id"))+1,FALSE)</f>
        <v>Drop2N</v>
      </c>
      <c r="F6" s="45">
        <f>F5-1</f>
        <v>103</v>
      </c>
      <c r="G6" s="21" t="str">
        <f>VLOOKUP(F6,[1]characters!$A:$C,3,FALSE)</f>
        <v>レッドキャタップ</v>
      </c>
      <c r="H6" s="18">
        <v>1</v>
      </c>
      <c r="I6" s="121">
        <v>1</v>
      </c>
    </row>
    <row r="7" spans="1:9" x14ac:dyDescent="0.15">
      <c r="A7" s="67" t="str">
        <f t="shared" si="0"/>
        <v>502_102</v>
      </c>
      <c r="B7" s="150">
        <f>B5</f>
        <v>502</v>
      </c>
      <c r="C7" s="21" t="str">
        <f ca="1">VLOOKUP($B7,OFFSET(units!$A$1,0,0,COUNTA(units!$A:$A),MATCH(C$1,units!$1:$1,0)-COLUMN(INDIRECT("character_id"))+1),MATCH(C$1,units!$1:$1,0)-COLUMN(INDIRECT("character_id"))+1,FALSE)</f>
        <v>テラベル</v>
      </c>
      <c r="D7" s="21">
        <f ca="1">VLOOKUP($B7,OFFSET(units!$A$1,0,0,COUNTA(units!$A:$A),MATCH(D$1,units!$1:$1,0)-COLUMN(INDIRECT("character_id"))+1),MATCH(D$1,units!$1:$1,0)-COLUMN(INDIRECT("character_id"))+1,FALSE)</f>
        <v>4</v>
      </c>
      <c r="E7" s="21" t="str">
        <f ca="1">VLOOKUP($B7,OFFSET(units!$A$1,0,0,COUNTA(units!$A:$A),MATCH(E$1,units!$1:$1,0)-COLUMN(INDIRECT("character_id"))+1),MATCH(E$1,units!$1:$1,0)-COLUMN(INDIRECT("character_id"))+1,FALSE)</f>
        <v>Drop2N</v>
      </c>
      <c r="F7" s="45">
        <f t="shared" ref="F7:F8" si="2">F6-1</f>
        <v>102</v>
      </c>
      <c r="G7" s="21" t="str">
        <f>VLOOKUP(F7,[1]characters!$A:$C,3,FALSE)</f>
        <v>レッドラビット</v>
      </c>
      <c r="H7" s="18">
        <v>2</v>
      </c>
      <c r="I7" s="121">
        <v>1</v>
      </c>
    </row>
    <row r="8" spans="1:9" x14ac:dyDescent="0.15">
      <c r="A8" s="67" t="str">
        <f t="shared" si="0"/>
        <v>502_101</v>
      </c>
      <c r="B8" s="150">
        <f>B5</f>
        <v>502</v>
      </c>
      <c r="C8" s="21" t="str">
        <f ca="1">VLOOKUP($B8,OFFSET(units!$A$1,0,0,COUNTA(units!$A:$A),MATCH(C$1,units!$1:$1,0)-COLUMN(INDIRECT("character_id"))+1),MATCH(C$1,units!$1:$1,0)-COLUMN(INDIRECT("character_id"))+1,FALSE)</f>
        <v>テラベル</v>
      </c>
      <c r="D8" s="21">
        <f ca="1">VLOOKUP($B8,OFFSET(units!$A$1,0,0,COUNTA(units!$A:$A),MATCH(D$1,units!$1:$1,0)-COLUMN(INDIRECT("character_id"))+1),MATCH(D$1,units!$1:$1,0)-COLUMN(INDIRECT("character_id"))+1,FALSE)</f>
        <v>4</v>
      </c>
      <c r="E8" s="21" t="str">
        <f ca="1">VLOOKUP($B8,OFFSET(units!$A$1,0,0,COUNTA(units!$A:$A),MATCH(E$1,units!$1:$1,0)-COLUMN(INDIRECT("character_id"))+1),MATCH(E$1,units!$1:$1,0)-COLUMN(INDIRECT("character_id"))+1,FALSE)</f>
        <v>Drop2N</v>
      </c>
      <c r="F8" s="45">
        <f t="shared" si="2"/>
        <v>101</v>
      </c>
      <c r="G8" s="21" t="str">
        <f>VLOOKUP(F8,[1]characters!$A:$C,3,FALSE)</f>
        <v>レッドチェシャ</v>
      </c>
      <c r="H8" s="18">
        <v>1</v>
      </c>
      <c r="I8" s="121">
        <v>1</v>
      </c>
    </row>
    <row r="9" spans="1:9" x14ac:dyDescent="0.15">
      <c r="A9" s="67" t="str">
        <f t="shared" si="0"/>
        <v>504_108</v>
      </c>
      <c r="B9" s="150">
        <v>504</v>
      </c>
      <c r="C9" s="21" t="str">
        <f ca="1">VLOOKUP($B9,OFFSET(units!$A$1,0,0,COUNTA(units!$A:$A),MATCH(C$1,units!$1:$1,0)-COLUMN(INDIRECT("character_id"))+1),MATCH(C$1,units!$1:$1,0)-COLUMN(INDIRECT("character_id"))+1,FALSE)</f>
        <v>ハイディン・オーガ</v>
      </c>
      <c r="D9" s="21">
        <f ca="1">VLOOKUP($B9,OFFSET(units!$A$1,0,0,COUNTA(units!$A:$A),MATCH(D$1,units!$1:$1,0)-COLUMN(INDIRECT("character_id"))+1),MATCH(D$1,units!$1:$1,0)-COLUMN(INDIRECT("character_id"))+1,FALSE)</f>
        <v>4</v>
      </c>
      <c r="E9" s="21" t="str">
        <f ca="1">VLOOKUP($B9,OFFSET(units!$A$1,0,0,COUNTA(units!$A:$A),MATCH(E$1,units!$1:$1,0)-COLUMN(INDIRECT("character_id"))+1),MATCH(E$1,units!$1:$1,0)-COLUMN(INDIRECT("character_id"))+1,FALSE)</f>
        <v>Drop2N</v>
      </c>
      <c r="F9" s="45">
        <v>108</v>
      </c>
      <c r="G9" s="21" t="str">
        <f>VLOOKUP(F9,[1]characters!$A:$C,3,FALSE)</f>
        <v>森のマッドハッター</v>
      </c>
      <c r="H9" s="18">
        <v>1</v>
      </c>
      <c r="I9" s="121">
        <v>1</v>
      </c>
    </row>
    <row r="10" spans="1:9" x14ac:dyDescent="0.15">
      <c r="A10" s="67" t="str">
        <f t="shared" si="0"/>
        <v>504_107</v>
      </c>
      <c r="B10" s="150">
        <v>504</v>
      </c>
      <c r="C10" s="21" t="str">
        <f ca="1">VLOOKUP($B10,OFFSET(units!$A$1,0,0,COUNTA(units!$A:$A),MATCH(C$1,units!$1:$1,0)-COLUMN(INDIRECT("character_id"))+1),MATCH(C$1,units!$1:$1,0)-COLUMN(INDIRECT("character_id"))+1,FALSE)</f>
        <v>ハイディン・オーガ</v>
      </c>
      <c r="D10" s="21">
        <f ca="1">VLOOKUP($B10,OFFSET(units!$A$1,0,0,COUNTA(units!$A:$A),MATCH(D$1,units!$1:$1,0)-COLUMN(INDIRECT("character_id"))+1),MATCH(D$1,units!$1:$1,0)-COLUMN(INDIRECT("character_id"))+1,FALSE)</f>
        <v>4</v>
      </c>
      <c r="E10" s="21" t="str">
        <f ca="1">VLOOKUP($B10,OFFSET(units!$A$1,0,0,COUNTA(units!$A:$A),MATCH(E$1,units!$1:$1,0)-COLUMN(INDIRECT("character_id"))+1),MATCH(E$1,units!$1:$1,0)-COLUMN(INDIRECT("character_id"))+1,FALSE)</f>
        <v>Drop2N</v>
      </c>
      <c r="F10" s="45">
        <f>F9-1</f>
        <v>107</v>
      </c>
      <c r="G10" s="21" t="str">
        <f>VLOOKUP(F10,[1]characters!$A:$C,3,FALSE)</f>
        <v>グリーンキャタップ</v>
      </c>
      <c r="H10" s="18">
        <v>1</v>
      </c>
      <c r="I10" s="121">
        <v>1</v>
      </c>
    </row>
    <row r="11" spans="1:9" x14ac:dyDescent="0.15">
      <c r="A11" s="67" t="str">
        <f t="shared" si="0"/>
        <v>504_106</v>
      </c>
      <c r="B11" s="150">
        <v>504</v>
      </c>
      <c r="C11" s="21" t="str">
        <f ca="1">VLOOKUP($B11,OFFSET(units!$A$1,0,0,COUNTA(units!$A:$A),MATCH(C$1,units!$1:$1,0)-COLUMN(INDIRECT("character_id"))+1),MATCH(C$1,units!$1:$1,0)-COLUMN(INDIRECT("character_id"))+1,FALSE)</f>
        <v>ハイディン・オーガ</v>
      </c>
      <c r="D11" s="21">
        <f ca="1">VLOOKUP($B11,OFFSET(units!$A$1,0,0,COUNTA(units!$A:$A),MATCH(D$1,units!$1:$1,0)-COLUMN(INDIRECT("character_id"))+1),MATCH(D$1,units!$1:$1,0)-COLUMN(INDIRECT("character_id"))+1,FALSE)</f>
        <v>4</v>
      </c>
      <c r="E11" s="21" t="str">
        <f ca="1">VLOOKUP($B11,OFFSET(units!$A$1,0,0,COUNTA(units!$A:$A),MATCH(E$1,units!$1:$1,0)-COLUMN(INDIRECT("character_id"))+1),MATCH(E$1,units!$1:$1,0)-COLUMN(INDIRECT("character_id"))+1,FALSE)</f>
        <v>Drop2N</v>
      </c>
      <c r="F11" s="45">
        <f t="shared" ref="F11:F12" si="3">F10-1</f>
        <v>106</v>
      </c>
      <c r="G11" s="21" t="str">
        <f>VLOOKUP(F11,[1]characters!$A:$C,3,FALSE)</f>
        <v>グリーンラビット</v>
      </c>
      <c r="H11" s="18">
        <v>2</v>
      </c>
      <c r="I11" s="121">
        <v>1</v>
      </c>
    </row>
    <row r="12" spans="1:9" x14ac:dyDescent="0.15">
      <c r="A12" s="67" t="str">
        <f t="shared" si="0"/>
        <v>504_105</v>
      </c>
      <c r="B12" s="150">
        <v>504</v>
      </c>
      <c r="C12" s="21" t="str">
        <f ca="1">VLOOKUP($B12,OFFSET(units!$A$1,0,0,COUNTA(units!$A:$A),MATCH(C$1,units!$1:$1,0)-COLUMN(INDIRECT("character_id"))+1),MATCH(C$1,units!$1:$1,0)-COLUMN(INDIRECT("character_id"))+1,FALSE)</f>
        <v>ハイディン・オーガ</v>
      </c>
      <c r="D12" s="21">
        <f ca="1">VLOOKUP($B12,OFFSET(units!$A$1,0,0,COUNTA(units!$A:$A),MATCH(D$1,units!$1:$1,0)-COLUMN(INDIRECT("character_id"))+1),MATCH(D$1,units!$1:$1,0)-COLUMN(INDIRECT("character_id"))+1,FALSE)</f>
        <v>4</v>
      </c>
      <c r="E12" s="21" t="str">
        <f ca="1">VLOOKUP($B12,OFFSET(units!$A$1,0,0,COUNTA(units!$A:$A),MATCH(E$1,units!$1:$1,0)-COLUMN(INDIRECT("character_id"))+1),MATCH(E$1,units!$1:$1,0)-COLUMN(INDIRECT("character_id"))+1,FALSE)</f>
        <v>Drop2N</v>
      </c>
      <c r="F12" s="45">
        <f t="shared" si="3"/>
        <v>105</v>
      </c>
      <c r="G12" s="21" t="str">
        <f>VLOOKUP(F12,[1]characters!$A:$C,3,FALSE)</f>
        <v>グリーンチェシャ</v>
      </c>
      <c r="H12" s="18">
        <v>1</v>
      </c>
      <c r="I12" s="121">
        <v>1</v>
      </c>
    </row>
    <row r="13" spans="1:9" x14ac:dyDescent="0.15">
      <c r="A13" s="67" t="str">
        <f t="shared" si="0"/>
        <v>506_112</v>
      </c>
      <c r="B13" s="150">
        <v>506</v>
      </c>
      <c r="C13" s="21" t="str">
        <f ca="1">VLOOKUP($B13,OFFSET(units!$A$1,0,0,COUNTA(units!$A:$A),MATCH(C$1,units!$1:$1,0)-COLUMN(INDIRECT("character_id"))+1),MATCH(C$1,units!$1:$1,0)-COLUMN(INDIRECT("character_id"))+1,FALSE)</f>
        <v>ゴーテル</v>
      </c>
      <c r="D13" s="21">
        <f ca="1">VLOOKUP($B13,OFFSET(units!$A$1,0,0,COUNTA(units!$A:$A),MATCH(D$1,units!$1:$1,0)-COLUMN(INDIRECT("character_id"))+1),MATCH(D$1,units!$1:$1,0)-COLUMN(INDIRECT("character_id"))+1,FALSE)</f>
        <v>4</v>
      </c>
      <c r="E13" s="21" t="str">
        <f ca="1">VLOOKUP($B13,OFFSET(units!$A$1,0,0,COUNTA(units!$A:$A),MATCH(E$1,units!$1:$1,0)-COLUMN(INDIRECT("character_id"))+1),MATCH(E$1,units!$1:$1,0)-COLUMN(INDIRECT("character_id"))+1,FALSE)</f>
        <v>Drop2N</v>
      </c>
      <c r="F13" s="45">
        <v>112</v>
      </c>
      <c r="G13" s="21" t="str">
        <f>VLOOKUP(F13,[1]characters!$A:$C,3,FALSE)</f>
        <v>水のマッドハッター</v>
      </c>
      <c r="H13" s="18">
        <v>1</v>
      </c>
      <c r="I13" s="121">
        <v>1</v>
      </c>
    </row>
    <row r="14" spans="1:9" x14ac:dyDescent="0.15">
      <c r="A14" s="67" t="str">
        <f t="shared" si="0"/>
        <v>506_111</v>
      </c>
      <c r="B14" s="150">
        <v>506</v>
      </c>
      <c r="C14" s="21" t="str">
        <f ca="1">VLOOKUP($B14,OFFSET(units!$A$1,0,0,COUNTA(units!$A:$A),MATCH(C$1,units!$1:$1,0)-COLUMN(INDIRECT("character_id"))+1),MATCH(C$1,units!$1:$1,0)-COLUMN(INDIRECT("character_id"))+1,FALSE)</f>
        <v>ゴーテル</v>
      </c>
      <c r="D14" s="21">
        <f ca="1">VLOOKUP($B14,OFFSET(units!$A$1,0,0,COUNTA(units!$A:$A),MATCH(D$1,units!$1:$1,0)-COLUMN(INDIRECT("character_id"))+1),MATCH(D$1,units!$1:$1,0)-COLUMN(INDIRECT("character_id"))+1,FALSE)</f>
        <v>4</v>
      </c>
      <c r="E14" s="21" t="str">
        <f ca="1">VLOOKUP($B14,OFFSET(units!$A$1,0,0,COUNTA(units!$A:$A),MATCH(E$1,units!$1:$1,0)-COLUMN(INDIRECT("character_id"))+1),MATCH(E$1,units!$1:$1,0)-COLUMN(INDIRECT("character_id"))+1,FALSE)</f>
        <v>Drop2N</v>
      </c>
      <c r="F14" s="45">
        <f>F13-1</f>
        <v>111</v>
      </c>
      <c r="G14" s="21" t="str">
        <f>VLOOKUP(F14,[1]characters!$A:$C,3,FALSE)</f>
        <v>ブルーキャタップ</v>
      </c>
      <c r="H14" s="18">
        <v>1</v>
      </c>
      <c r="I14" s="121">
        <v>1</v>
      </c>
    </row>
    <row r="15" spans="1:9" x14ac:dyDescent="0.15">
      <c r="A15" s="67" t="str">
        <f t="shared" si="0"/>
        <v>506_110</v>
      </c>
      <c r="B15" s="150">
        <v>506</v>
      </c>
      <c r="C15" s="21" t="str">
        <f ca="1">VLOOKUP($B15,OFFSET(units!$A$1,0,0,COUNTA(units!$A:$A),MATCH(C$1,units!$1:$1,0)-COLUMN(INDIRECT("character_id"))+1),MATCH(C$1,units!$1:$1,0)-COLUMN(INDIRECT("character_id"))+1,FALSE)</f>
        <v>ゴーテル</v>
      </c>
      <c r="D15" s="21">
        <f ca="1">VLOOKUP($B15,OFFSET(units!$A$1,0,0,COUNTA(units!$A:$A),MATCH(D$1,units!$1:$1,0)-COLUMN(INDIRECT("character_id"))+1),MATCH(D$1,units!$1:$1,0)-COLUMN(INDIRECT("character_id"))+1,FALSE)</f>
        <v>4</v>
      </c>
      <c r="E15" s="21" t="str">
        <f ca="1">VLOOKUP($B15,OFFSET(units!$A$1,0,0,COUNTA(units!$A:$A),MATCH(E$1,units!$1:$1,0)-COLUMN(INDIRECT("character_id"))+1),MATCH(E$1,units!$1:$1,0)-COLUMN(INDIRECT("character_id"))+1,FALSE)</f>
        <v>Drop2N</v>
      </c>
      <c r="F15" s="45">
        <f t="shared" ref="F15:F16" si="4">F14-1</f>
        <v>110</v>
      </c>
      <c r="G15" s="21" t="str">
        <f>VLOOKUP(F15,[1]characters!$A:$C,3,FALSE)</f>
        <v>ブルーラビット</v>
      </c>
      <c r="H15" s="18">
        <v>2</v>
      </c>
      <c r="I15" s="121">
        <v>1</v>
      </c>
    </row>
    <row r="16" spans="1:9" x14ac:dyDescent="0.15">
      <c r="A16" s="67" t="str">
        <f t="shared" si="0"/>
        <v>506_109</v>
      </c>
      <c r="B16" s="150">
        <v>506</v>
      </c>
      <c r="C16" s="21" t="str">
        <f ca="1">VLOOKUP($B16,OFFSET(units!$A$1,0,0,COUNTA(units!$A:$A),MATCH(C$1,units!$1:$1,0)-COLUMN(INDIRECT("character_id"))+1),MATCH(C$1,units!$1:$1,0)-COLUMN(INDIRECT("character_id"))+1,FALSE)</f>
        <v>ゴーテル</v>
      </c>
      <c r="D16" s="21">
        <f ca="1">VLOOKUP($B16,OFFSET(units!$A$1,0,0,COUNTA(units!$A:$A),MATCH(D$1,units!$1:$1,0)-COLUMN(INDIRECT("character_id"))+1),MATCH(D$1,units!$1:$1,0)-COLUMN(INDIRECT("character_id"))+1,FALSE)</f>
        <v>4</v>
      </c>
      <c r="E16" s="21" t="str">
        <f ca="1">VLOOKUP($B16,OFFSET(units!$A$1,0,0,COUNTA(units!$A:$A),MATCH(E$1,units!$1:$1,0)-COLUMN(INDIRECT("character_id"))+1),MATCH(E$1,units!$1:$1,0)-COLUMN(INDIRECT("character_id"))+1,FALSE)</f>
        <v>Drop2N</v>
      </c>
      <c r="F16" s="45">
        <f t="shared" si="4"/>
        <v>109</v>
      </c>
      <c r="G16" s="21" t="str">
        <f>VLOOKUP(F16,[1]characters!$A:$C,3,FALSE)</f>
        <v>ブルーチェシャ</v>
      </c>
      <c r="H16" s="18">
        <v>1</v>
      </c>
      <c r="I16" s="121">
        <v>1</v>
      </c>
    </row>
    <row r="17" spans="1:9" x14ac:dyDescent="0.15">
      <c r="A17" s="67" t="str">
        <f t="shared" si="0"/>
        <v>508_116</v>
      </c>
      <c r="B17" s="150">
        <v>508</v>
      </c>
      <c r="C17" s="21" t="str">
        <f ca="1">VLOOKUP($B17,OFFSET(units!$A$1,0,0,COUNTA(units!$A:$A),MATCH(C$1,units!$1:$1,0)-COLUMN(INDIRECT("character_id"))+1),MATCH(C$1,units!$1:$1,0)-COLUMN(INDIRECT("character_id"))+1,FALSE)</f>
        <v>Gスター・チルドレン</v>
      </c>
      <c r="D17" s="21">
        <f ca="1">VLOOKUP($B17,OFFSET(units!$A$1,0,0,COUNTA(units!$A:$A),MATCH(D$1,units!$1:$1,0)-COLUMN(INDIRECT("character_id"))+1),MATCH(D$1,units!$1:$1,0)-COLUMN(INDIRECT("character_id"))+1,FALSE)</f>
        <v>4</v>
      </c>
      <c r="E17" s="21" t="str">
        <f ca="1">VLOOKUP($B17,OFFSET(units!$A$1,0,0,COUNTA(units!$A:$A),MATCH(E$1,units!$1:$1,0)-COLUMN(INDIRECT("character_id"))+1),MATCH(E$1,units!$1:$1,0)-COLUMN(INDIRECT("character_id"))+1,FALSE)</f>
        <v>Drop2N</v>
      </c>
      <c r="F17" s="45">
        <v>116</v>
      </c>
      <c r="G17" s="21" t="str">
        <f>VLOOKUP(F17,[1]characters!$A:$C,3,FALSE)</f>
        <v>雷のマッドハッター</v>
      </c>
      <c r="H17" s="18">
        <v>1</v>
      </c>
      <c r="I17" s="121">
        <v>1</v>
      </c>
    </row>
    <row r="18" spans="1:9" x14ac:dyDescent="0.15">
      <c r="A18" s="67" t="str">
        <f t="shared" si="0"/>
        <v>508_304</v>
      </c>
      <c r="B18" s="150">
        <v>508</v>
      </c>
      <c r="C18" s="21" t="str">
        <f ca="1">VLOOKUP($B18,OFFSET(units!$A$1,0,0,COUNTA(units!$A:$A),MATCH(C$1,units!$1:$1,0)-COLUMN(INDIRECT("character_id"))+1),MATCH(C$1,units!$1:$1,0)-COLUMN(INDIRECT("character_id"))+1,FALSE)</f>
        <v>Gスター・チルドレン</v>
      </c>
      <c r="D18" s="21">
        <f ca="1">VLOOKUP($B18,OFFSET(units!$A$1,0,0,COUNTA(units!$A:$A),MATCH(D$1,units!$1:$1,0)-COLUMN(INDIRECT("character_id"))+1),MATCH(D$1,units!$1:$1,0)-COLUMN(INDIRECT("character_id"))+1,FALSE)</f>
        <v>4</v>
      </c>
      <c r="E18" s="21" t="str">
        <f ca="1">VLOOKUP($B18,OFFSET(units!$A$1,0,0,COUNTA(units!$A:$A),MATCH(E$1,units!$1:$1,0)-COLUMN(INDIRECT("character_id"))+1),MATCH(E$1,units!$1:$1,0)-COLUMN(INDIRECT("character_id"))+1,FALSE)</f>
        <v>Drop2N</v>
      </c>
      <c r="F18" s="45">
        <v>304</v>
      </c>
      <c r="G18" s="21" t="str">
        <f>VLOOKUP(F18,[1]characters!$A:$C,3,FALSE)</f>
        <v>電殺のチエミ</v>
      </c>
      <c r="H18" s="18">
        <v>2</v>
      </c>
      <c r="I18" s="121">
        <v>1</v>
      </c>
    </row>
    <row r="19" spans="1:9" x14ac:dyDescent="0.15">
      <c r="A19" s="67" t="str">
        <f t="shared" si="0"/>
        <v>508_422</v>
      </c>
      <c r="B19" s="150">
        <v>508</v>
      </c>
      <c r="C19" s="21" t="str">
        <f ca="1">VLOOKUP($B19,OFFSET(units!$A$1,0,0,COUNTA(units!$A:$A),MATCH(C$1,units!$1:$1,0)-COLUMN(INDIRECT("character_id"))+1),MATCH(C$1,units!$1:$1,0)-COLUMN(INDIRECT("character_id"))+1,FALSE)</f>
        <v>Gスター・チルドレン</v>
      </c>
      <c r="D19" s="21">
        <f ca="1">VLOOKUP($B19,OFFSET(units!$A$1,0,0,COUNTA(units!$A:$A),MATCH(D$1,units!$1:$1,0)-COLUMN(INDIRECT("character_id"))+1),MATCH(D$1,units!$1:$1,0)-COLUMN(INDIRECT("character_id"))+1,FALSE)</f>
        <v>4</v>
      </c>
      <c r="E19" s="21" t="str">
        <f ca="1">VLOOKUP($B19,OFFSET(units!$A$1,0,0,COUNTA(units!$A:$A),MATCH(E$1,units!$1:$1,0)-COLUMN(INDIRECT("character_id"))+1),MATCH(E$1,units!$1:$1,0)-COLUMN(INDIRECT("character_id"))+1,FALSE)</f>
        <v>Drop2N</v>
      </c>
      <c r="F19" s="45">
        <v>422</v>
      </c>
      <c r="G19" s="21" t="str">
        <f>VLOOKUP(F19,[1]characters!$A:$C,3,FALSE)</f>
        <v>シュガフル</v>
      </c>
      <c r="H19" s="18">
        <v>2</v>
      </c>
      <c r="I19" s="121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B19"/>
  <sheetViews>
    <sheetView workbookViewId="0">
      <selection activeCell="C8" sqref="C8"/>
    </sheetView>
  </sheetViews>
  <sheetFormatPr baseColWidth="12" defaultRowHeight="15" x14ac:dyDescent="0.15"/>
  <sheetData>
    <row r="1" spans="1:2" x14ac:dyDescent="0.15">
      <c r="A1" t="s">
        <v>314</v>
      </c>
      <c r="B1" t="s">
        <v>315</v>
      </c>
    </row>
    <row r="2" spans="1:2" x14ac:dyDescent="0.15">
      <c r="A2" t="s">
        <v>316</v>
      </c>
      <c r="B2">
        <v>1</v>
      </c>
    </row>
    <row r="3" spans="1:2" x14ac:dyDescent="0.15">
      <c r="A3" t="s">
        <v>317</v>
      </c>
      <c r="B3">
        <v>1</v>
      </c>
    </row>
    <row r="4" spans="1:2" x14ac:dyDescent="0.15">
      <c r="A4" t="s">
        <v>318</v>
      </c>
      <c r="B4">
        <v>1</v>
      </c>
    </row>
    <row r="5" spans="1:2" x14ac:dyDescent="0.15">
      <c r="A5" t="s">
        <v>319</v>
      </c>
      <c r="B5">
        <v>1</v>
      </c>
    </row>
    <row r="6" spans="1:2" x14ac:dyDescent="0.15">
      <c r="A6" t="s">
        <v>320</v>
      </c>
      <c r="B6">
        <v>1</v>
      </c>
    </row>
    <row r="7" spans="1:2" x14ac:dyDescent="0.15">
      <c r="A7" t="s">
        <v>321</v>
      </c>
      <c r="B7">
        <v>1</v>
      </c>
    </row>
    <row r="8" spans="1:2" x14ac:dyDescent="0.15">
      <c r="A8" t="s">
        <v>322</v>
      </c>
      <c r="B8">
        <v>1</v>
      </c>
    </row>
    <row r="9" spans="1:2" x14ac:dyDescent="0.15">
      <c r="A9" t="s">
        <v>323</v>
      </c>
      <c r="B9">
        <v>1</v>
      </c>
    </row>
    <row r="10" spans="1:2" x14ac:dyDescent="0.15">
      <c r="A10" t="s">
        <v>324</v>
      </c>
      <c r="B10">
        <v>1</v>
      </c>
    </row>
    <row r="11" spans="1:2" x14ac:dyDescent="0.15">
      <c r="A11" t="s">
        <v>325</v>
      </c>
      <c r="B11">
        <v>1</v>
      </c>
    </row>
    <row r="12" spans="1:2" x14ac:dyDescent="0.15">
      <c r="A12" t="s">
        <v>326</v>
      </c>
      <c r="B12">
        <v>1</v>
      </c>
    </row>
    <row r="13" spans="1:2" x14ac:dyDescent="0.15">
      <c r="A13" t="s">
        <v>327</v>
      </c>
      <c r="B13">
        <v>0</v>
      </c>
    </row>
    <row r="14" spans="1:2" x14ac:dyDescent="0.15">
      <c r="A14" t="s">
        <v>328</v>
      </c>
      <c r="B14">
        <v>500</v>
      </c>
    </row>
    <row r="15" spans="1:2" x14ac:dyDescent="0.15">
      <c r="A15" t="s">
        <v>329</v>
      </c>
      <c r="B15">
        <v>600</v>
      </c>
    </row>
    <row r="16" spans="1:2" x14ac:dyDescent="0.15">
      <c r="A16" t="s">
        <v>330</v>
      </c>
      <c r="B16">
        <v>700</v>
      </c>
    </row>
    <row r="17" spans="1:2" x14ac:dyDescent="0.15">
      <c r="A17" t="s">
        <v>331</v>
      </c>
      <c r="B17">
        <v>5500</v>
      </c>
    </row>
    <row r="18" spans="1:2" x14ac:dyDescent="0.15">
      <c r="A18" t="s">
        <v>332</v>
      </c>
      <c r="B18">
        <v>6000</v>
      </c>
    </row>
    <row r="19" spans="1:2" x14ac:dyDescent="0.15">
      <c r="A19" t="s">
        <v>333</v>
      </c>
      <c r="B19">
        <v>30000</v>
      </c>
    </row>
  </sheetData>
  <phoneticPr fontId="2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0"/>
  <sheetViews>
    <sheetView showGridLines="0" tabSelected="1" topLeftCell="A6" workbookViewId="0">
      <selection activeCell="I20" sqref="I20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62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7" t="s">
        <v>282</v>
      </c>
      <c r="B2" s="158"/>
      <c r="C2" s="159"/>
      <c r="D2" s="160" t="s">
        <v>284</v>
      </c>
      <c r="E2" s="160">
        <v>30</v>
      </c>
      <c r="F2" s="160">
        <v>40</v>
      </c>
      <c r="G2" s="160">
        <f>15+F2</f>
        <v>55</v>
      </c>
      <c r="H2" s="159"/>
      <c r="I2" s="159"/>
    </row>
    <row r="3" spans="1:9" s="4" customFormat="1" ht="21" customHeight="1" x14ac:dyDescent="0.15">
      <c r="A3" s="157" t="s">
        <v>285</v>
      </c>
      <c r="B3" s="161"/>
      <c r="C3" s="162"/>
      <c r="D3" s="163" t="s">
        <v>286</v>
      </c>
      <c r="E3" s="163">
        <v>25</v>
      </c>
      <c r="F3" s="163">
        <v>35</v>
      </c>
      <c r="G3" s="160">
        <f t="shared" ref="G3:G5" si="0">15+F3</f>
        <v>50</v>
      </c>
      <c r="H3" s="162"/>
      <c r="I3" s="162"/>
    </row>
    <row r="4" spans="1:9" s="4" customFormat="1" ht="21" customHeight="1" x14ac:dyDescent="0.15">
      <c r="A4" s="157" t="s">
        <v>287</v>
      </c>
      <c r="B4" s="164"/>
      <c r="C4" s="165"/>
      <c r="D4" s="166">
        <v>10</v>
      </c>
      <c r="E4" s="166">
        <v>20</v>
      </c>
      <c r="F4" s="166">
        <v>30</v>
      </c>
      <c r="G4" s="166">
        <f t="shared" si="0"/>
        <v>45</v>
      </c>
      <c r="H4" s="165"/>
      <c r="I4" s="165"/>
    </row>
    <row r="5" spans="1:9" s="4" customFormat="1" ht="21" customHeight="1" x14ac:dyDescent="0.15">
      <c r="A5" s="167" t="s">
        <v>288</v>
      </c>
      <c r="B5" s="168"/>
      <c r="C5" s="169"/>
      <c r="D5" s="29">
        <v>9</v>
      </c>
      <c r="E5" s="29">
        <v>18</v>
      </c>
      <c r="F5" s="29">
        <v>28</v>
      </c>
      <c r="G5" s="40">
        <f t="shared" si="0"/>
        <v>43</v>
      </c>
      <c r="H5" s="169"/>
      <c r="I5" s="169"/>
    </row>
    <row r="6" spans="1:9" s="4" customFormat="1" ht="21" customHeight="1" x14ac:dyDescent="0.15">
      <c r="A6" s="167" t="s">
        <v>289</v>
      </c>
      <c r="B6" s="168"/>
      <c r="C6" s="169"/>
      <c r="D6" s="29">
        <v>7</v>
      </c>
      <c r="E6" s="29">
        <v>16</v>
      </c>
      <c r="F6" s="71" t="s">
        <v>11</v>
      </c>
      <c r="G6" s="71" t="s">
        <v>11</v>
      </c>
      <c r="H6" s="169"/>
      <c r="I6" s="169"/>
    </row>
    <row r="7" spans="1:9" ht="21" customHeight="1" x14ac:dyDescent="0.15">
      <c r="A7" s="80" t="s">
        <v>33</v>
      </c>
      <c r="B7" s="39" t="s">
        <v>11</v>
      </c>
      <c r="C7" s="39" t="s">
        <v>11</v>
      </c>
      <c r="D7" s="40" t="s">
        <v>34</v>
      </c>
      <c r="E7" s="40" t="s">
        <v>34</v>
      </c>
      <c r="F7" s="40" t="s">
        <v>34</v>
      </c>
      <c r="G7" s="40" t="s">
        <v>34</v>
      </c>
      <c r="H7" s="40" t="s">
        <v>34</v>
      </c>
      <c r="I7" s="40" t="s">
        <v>34</v>
      </c>
    </row>
    <row r="8" spans="1:9" ht="21" customHeight="1" x14ac:dyDescent="0.15">
      <c r="A8" s="81" t="s">
        <v>32</v>
      </c>
      <c r="B8" s="39" t="s">
        <v>11</v>
      </c>
      <c r="C8" s="39" t="s">
        <v>11</v>
      </c>
      <c r="D8" s="40" t="s">
        <v>34</v>
      </c>
      <c r="E8" s="40">
        <v>30</v>
      </c>
      <c r="F8" s="40">
        <v>40</v>
      </c>
      <c r="G8" s="40" t="s">
        <v>34</v>
      </c>
      <c r="H8" s="40" t="s">
        <v>34</v>
      </c>
      <c r="I8" s="40" t="s">
        <v>34</v>
      </c>
    </row>
    <row r="9" spans="1:9" s="47" customFormat="1" ht="21" customHeight="1" x14ac:dyDescent="0.15">
      <c r="A9" s="82" t="s">
        <v>31</v>
      </c>
      <c r="B9" s="29" t="s">
        <v>11</v>
      </c>
      <c r="C9" s="29" t="s">
        <v>11</v>
      </c>
      <c r="D9" s="112" t="s">
        <v>146</v>
      </c>
      <c r="E9" s="112">
        <v>25</v>
      </c>
      <c r="F9" s="112">
        <v>35</v>
      </c>
      <c r="G9" s="112" t="s">
        <v>34</v>
      </c>
      <c r="H9" s="112" t="s">
        <v>34</v>
      </c>
      <c r="I9" s="112" t="s">
        <v>34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10</v>
      </c>
      <c r="E10" s="29">
        <v>20</v>
      </c>
      <c r="F10" s="29">
        <v>30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29</v>
      </c>
      <c r="B11" s="71" t="s">
        <v>11</v>
      </c>
      <c r="C11" s="71" t="s">
        <v>11</v>
      </c>
      <c r="D11" s="29">
        <v>9</v>
      </c>
      <c r="E11" s="29">
        <v>18</v>
      </c>
      <c r="F11" s="29">
        <v>28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28</v>
      </c>
      <c r="B12" s="71" t="s">
        <v>11</v>
      </c>
      <c r="C12" s="71" t="s">
        <v>11</v>
      </c>
      <c r="D12" s="29">
        <v>7</v>
      </c>
      <c r="E12" s="29">
        <v>16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111" t="s">
        <v>45</v>
      </c>
      <c r="B13" s="71" t="s">
        <v>11</v>
      </c>
      <c r="C13" s="71" t="s">
        <v>11</v>
      </c>
      <c r="D13" s="29">
        <v>8</v>
      </c>
      <c r="E13" s="29">
        <v>17</v>
      </c>
      <c r="F13" s="29">
        <v>26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63</v>
      </c>
      <c r="B14" s="71" t="s">
        <v>11</v>
      </c>
      <c r="C14" s="71" t="s">
        <v>11</v>
      </c>
      <c r="D14" s="29">
        <v>8</v>
      </c>
      <c r="E14" s="29">
        <v>17</v>
      </c>
      <c r="F14" s="29">
        <v>26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44</v>
      </c>
      <c r="B15" s="71" t="s">
        <v>11</v>
      </c>
      <c r="C15" s="71" t="s">
        <v>11</v>
      </c>
      <c r="D15" s="29">
        <v>6</v>
      </c>
      <c r="E15" s="29">
        <v>14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43</v>
      </c>
      <c r="B16" s="71" t="s">
        <v>11</v>
      </c>
      <c r="C16" s="29">
        <v>4</v>
      </c>
      <c r="D16" s="29">
        <v>6</v>
      </c>
      <c r="E16" s="29">
        <v>14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</v>
      </c>
      <c r="C17" s="29">
        <v>4</v>
      </c>
      <c r="D17" s="29">
        <v>6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32">
        <v>1</v>
      </c>
      <c r="C18" s="32">
        <v>2</v>
      </c>
      <c r="D18" s="72" t="s">
        <v>11</v>
      </c>
      <c r="E18" s="72" t="s">
        <v>11</v>
      </c>
      <c r="F18" s="72" t="s">
        <v>11</v>
      </c>
      <c r="G18" s="72" t="s">
        <v>11</v>
      </c>
      <c r="H18" s="72" t="s">
        <v>11</v>
      </c>
      <c r="I18" s="72" t="s">
        <v>11</v>
      </c>
    </row>
    <row r="19" spans="1:9" ht="21" customHeight="1" x14ac:dyDescent="0.15">
      <c r="A19" s="84" t="s">
        <v>42</v>
      </c>
      <c r="B19" s="27">
        <v>1</v>
      </c>
      <c r="C19" s="27">
        <v>1</v>
      </c>
      <c r="D19" s="72" t="s">
        <v>11</v>
      </c>
      <c r="E19" s="72" t="s">
        <v>11</v>
      </c>
      <c r="F19" s="72" t="s">
        <v>11</v>
      </c>
      <c r="G19" s="72" t="s">
        <v>11</v>
      </c>
      <c r="H19" s="72" t="s">
        <v>11</v>
      </c>
      <c r="I19" s="72" t="s">
        <v>11</v>
      </c>
    </row>
    <row r="20" spans="1:9" ht="21" customHeight="1" x14ac:dyDescent="0.15">
      <c r="A20" s="38" t="s">
        <v>30</v>
      </c>
      <c r="B20" s="37">
        <v>99</v>
      </c>
      <c r="C20" s="37">
        <v>99</v>
      </c>
      <c r="D20" s="37">
        <v>99</v>
      </c>
      <c r="E20" s="37">
        <v>99</v>
      </c>
      <c r="F20" s="37">
        <v>99</v>
      </c>
      <c r="G20" s="37">
        <v>99</v>
      </c>
      <c r="H20" s="37">
        <v>99</v>
      </c>
      <c r="I20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0"/>
  <sheetViews>
    <sheetView showGridLines="0" workbookViewId="0">
      <selection activeCell="E25" sqref="E25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s="4" customFormat="1" ht="21" customHeight="1" x14ac:dyDescent="0.15">
      <c r="A2" s="157" t="s">
        <v>290</v>
      </c>
      <c r="B2" s="158"/>
      <c r="C2" s="159"/>
      <c r="D2" s="170" t="s">
        <v>283</v>
      </c>
      <c r="E2" s="170">
        <v>60</v>
      </c>
      <c r="F2" s="170">
        <v>80</v>
      </c>
      <c r="G2" s="170">
        <v>99</v>
      </c>
      <c r="H2" s="159"/>
      <c r="I2" s="159"/>
    </row>
    <row r="3" spans="1:9" s="4" customFormat="1" ht="21" customHeight="1" x14ac:dyDescent="0.15">
      <c r="A3" s="157" t="s">
        <v>291</v>
      </c>
      <c r="B3" s="161"/>
      <c r="C3" s="162"/>
      <c r="D3" s="170" t="s">
        <v>283</v>
      </c>
      <c r="E3" s="170">
        <v>60</v>
      </c>
      <c r="F3" s="170">
        <v>80</v>
      </c>
      <c r="G3" s="170">
        <v>99</v>
      </c>
      <c r="H3" s="162"/>
      <c r="I3" s="162"/>
    </row>
    <row r="4" spans="1:9" s="4" customFormat="1" ht="21" customHeight="1" x14ac:dyDescent="0.15">
      <c r="A4" s="157" t="s">
        <v>292</v>
      </c>
      <c r="B4" s="164"/>
      <c r="C4" s="165"/>
      <c r="D4" s="170">
        <v>40</v>
      </c>
      <c r="E4" s="170">
        <v>60</v>
      </c>
      <c r="F4" s="170">
        <v>80</v>
      </c>
      <c r="G4" s="170">
        <v>99</v>
      </c>
      <c r="H4" s="165"/>
      <c r="I4" s="165"/>
    </row>
    <row r="5" spans="1:9" s="4" customFormat="1" ht="21" customHeight="1" x14ac:dyDescent="0.15">
      <c r="A5" s="167" t="s">
        <v>293</v>
      </c>
      <c r="B5" s="168"/>
      <c r="C5" s="169"/>
      <c r="D5" s="170">
        <v>40</v>
      </c>
      <c r="E5" s="170">
        <v>60</v>
      </c>
      <c r="F5" s="170">
        <v>80</v>
      </c>
      <c r="G5" s="170">
        <v>99</v>
      </c>
      <c r="H5" s="169"/>
      <c r="I5" s="169"/>
    </row>
    <row r="6" spans="1:9" s="4" customFormat="1" ht="21" customHeight="1" x14ac:dyDescent="0.15">
      <c r="A6" s="167" t="s">
        <v>294</v>
      </c>
      <c r="B6" s="168"/>
      <c r="C6" s="169"/>
      <c r="D6" s="170">
        <v>40</v>
      </c>
      <c r="E6" s="170">
        <v>60</v>
      </c>
      <c r="F6" s="170" t="s">
        <v>283</v>
      </c>
      <c r="G6" s="170" t="s">
        <v>283</v>
      </c>
      <c r="H6" s="169"/>
      <c r="I6" s="169"/>
    </row>
    <row r="7" spans="1:9" ht="21" customHeight="1" x14ac:dyDescent="0.15">
      <c r="A7" s="76" t="s">
        <v>33</v>
      </c>
      <c r="B7" s="41" t="s">
        <v>137</v>
      </c>
      <c r="C7" s="41" t="s">
        <v>137</v>
      </c>
      <c r="D7" s="41" t="s">
        <v>137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</row>
    <row r="8" spans="1:9" ht="21" customHeight="1" x14ac:dyDescent="0.15">
      <c r="A8" s="76" t="s">
        <v>32</v>
      </c>
      <c r="B8" s="41" t="s">
        <v>137</v>
      </c>
      <c r="C8" s="41" t="s">
        <v>137</v>
      </c>
      <c r="D8" s="41" t="s">
        <v>137</v>
      </c>
      <c r="E8" s="41">
        <v>60</v>
      </c>
      <c r="F8" s="41">
        <v>80</v>
      </c>
      <c r="G8" s="41" t="s">
        <v>137</v>
      </c>
      <c r="H8" s="41" t="s">
        <v>137</v>
      </c>
      <c r="I8" s="41" t="s">
        <v>137</v>
      </c>
    </row>
    <row r="9" spans="1:9" s="47" customFormat="1" ht="21" customHeight="1" x14ac:dyDescent="0.15">
      <c r="A9" s="77" t="s">
        <v>31</v>
      </c>
      <c r="B9" s="68" t="s">
        <v>137</v>
      </c>
      <c r="C9" s="68" t="s">
        <v>137</v>
      </c>
      <c r="D9" s="68" t="s">
        <v>137</v>
      </c>
      <c r="E9" s="68">
        <v>60</v>
      </c>
      <c r="F9" s="68">
        <v>80</v>
      </c>
      <c r="G9" s="68" t="s">
        <v>137</v>
      </c>
      <c r="H9" s="68" t="s">
        <v>137</v>
      </c>
      <c r="I9" s="68" t="s">
        <v>137</v>
      </c>
    </row>
    <row r="10" spans="1:9" ht="21" customHeight="1" x14ac:dyDescent="0.15">
      <c r="A10" s="77" t="s">
        <v>9</v>
      </c>
      <c r="B10" s="73" t="s">
        <v>136</v>
      </c>
      <c r="C10" s="73" t="s">
        <v>136</v>
      </c>
      <c r="D10" s="37">
        <v>40</v>
      </c>
      <c r="E10" s="37">
        <v>60</v>
      </c>
      <c r="F10" s="37">
        <v>80</v>
      </c>
      <c r="G10" s="73" t="s">
        <v>136</v>
      </c>
      <c r="H10" s="73" t="s">
        <v>136</v>
      </c>
      <c r="I10" s="73" t="s">
        <v>136</v>
      </c>
    </row>
    <row r="11" spans="1:9" ht="21" customHeight="1" x14ac:dyDescent="0.15">
      <c r="A11" s="77" t="s">
        <v>29</v>
      </c>
      <c r="B11" s="73" t="s">
        <v>136</v>
      </c>
      <c r="C11" s="73" t="s">
        <v>136</v>
      </c>
      <c r="D11" s="37">
        <v>40</v>
      </c>
      <c r="E11" s="37">
        <v>60</v>
      </c>
      <c r="F11" s="37">
        <v>80</v>
      </c>
      <c r="G11" s="73" t="s">
        <v>136</v>
      </c>
      <c r="H11" s="73" t="s">
        <v>136</v>
      </c>
      <c r="I11" s="73" t="s">
        <v>136</v>
      </c>
    </row>
    <row r="12" spans="1:9" ht="21" customHeight="1" x14ac:dyDescent="0.15">
      <c r="A12" s="77" t="s">
        <v>53</v>
      </c>
      <c r="B12" s="73" t="s">
        <v>136</v>
      </c>
      <c r="C12" s="73" t="s">
        <v>136</v>
      </c>
      <c r="D12" s="37">
        <v>40</v>
      </c>
      <c r="E12" s="37">
        <v>60</v>
      </c>
      <c r="F12" s="73" t="s">
        <v>136</v>
      </c>
      <c r="G12" s="73" t="s">
        <v>136</v>
      </c>
      <c r="H12" s="73" t="s">
        <v>136</v>
      </c>
      <c r="I12" s="73" t="s">
        <v>136</v>
      </c>
    </row>
    <row r="13" spans="1:9" ht="21" customHeight="1" x14ac:dyDescent="0.15">
      <c r="A13" s="78" t="s">
        <v>64</v>
      </c>
      <c r="B13" s="73" t="s">
        <v>136</v>
      </c>
      <c r="C13" s="73" t="s">
        <v>136</v>
      </c>
      <c r="D13" s="37">
        <v>40</v>
      </c>
      <c r="E13" s="37">
        <v>60</v>
      </c>
      <c r="F13" s="37">
        <v>80</v>
      </c>
      <c r="G13" s="73" t="s">
        <v>136</v>
      </c>
      <c r="H13" s="73" t="s">
        <v>136</v>
      </c>
      <c r="I13" s="73" t="s">
        <v>136</v>
      </c>
    </row>
    <row r="14" spans="1:9" ht="21" customHeight="1" x14ac:dyDescent="0.15">
      <c r="A14" s="57" t="s">
        <v>49</v>
      </c>
      <c r="B14" s="73" t="s">
        <v>136</v>
      </c>
      <c r="C14" s="73" t="s">
        <v>136</v>
      </c>
      <c r="D14" s="37">
        <v>40</v>
      </c>
      <c r="E14" s="37">
        <v>60</v>
      </c>
      <c r="F14" s="37">
        <v>80</v>
      </c>
      <c r="G14" s="73" t="s">
        <v>136</v>
      </c>
      <c r="H14" s="73" t="s">
        <v>136</v>
      </c>
      <c r="I14" s="73" t="s">
        <v>136</v>
      </c>
    </row>
    <row r="15" spans="1:9" ht="21" customHeight="1" x14ac:dyDescent="0.15">
      <c r="A15" s="57" t="s">
        <v>50</v>
      </c>
      <c r="B15" s="73" t="s">
        <v>136</v>
      </c>
      <c r="C15" s="37">
        <v>30</v>
      </c>
      <c r="D15" s="37">
        <v>40</v>
      </c>
      <c r="E15" s="37">
        <v>60</v>
      </c>
      <c r="F15" s="73" t="s">
        <v>136</v>
      </c>
      <c r="G15" s="73" t="s">
        <v>136</v>
      </c>
      <c r="H15" s="73" t="s">
        <v>136</v>
      </c>
      <c r="I15" s="73" t="s">
        <v>136</v>
      </c>
    </row>
    <row r="16" spans="1:9" ht="21" customHeight="1" x14ac:dyDescent="0.15">
      <c r="A16" s="57" t="s">
        <v>51</v>
      </c>
      <c r="B16" s="73" t="s">
        <v>136</v>
      </c>
      <c r="C16" s="37">
        <v>30</v>
      </c>
      <c r="D16" s="37">
        <v>40</v>
      </c>
      <c r="E16" s="37">
        <v>60</v>
      </c>
      <c r="F16" s="73" t="s">
        <v>136</v>
      </c>
      <c r="G16" s="73" t="s">
        <v>136</v>
      </c>
      <c r="H16" s="73" t="s">
        <v>136</v>
      </c>
      <c r="I16" s="73" t="s">
        <v>136</v>
      </c>
    </row>
    <row r="17" spans="1:9" ht="21" customHeight="1" x14ac:dyDescent="0.15">
      <c r="A17" s="58" t="s">
        <v>8</v>
      </c>
      <c r="B17" s="37">
        <v>15</v>
      </c>
      <c r="C17" s="37">
        <v>30</v>
      </c>
      <c r="D17" s="37">
        <v>40</v>
      </c>
      <c r="E17" s="73" t="s">
        <v>136</v>
      </c>
      <c r="F17" s="73" t="s">
        <v>136</v>
      </c>
      <c r="G17" s="73" t="s">
        <v>136</v>
      </c>
      <c r="H17" s="73" t="s">
        <v>136</v>
      </c>
      <c r="I17" s="73" t="s">
        <v>136</v>
      </c>
    </row>
    <row r="18" spans="1:9" ht="21" customHeight="1" x14ac:dyDescent="0.15">
      <c r="A18" s="53" t="s">
        <v>7</v>
      </c>
      <c r="B18" s="37">
        <v>15</v>
      </c>
      <c r="C18" s="37">
        <v>30</v>
      </c>
      <c r="D18" s="37">
        <v>40</v>
      </c>
      <c r="E18" s="73" t="s">
        <v>136</v>
      </c>
      <c r="F18" s="73" t="s">
        <v>136</v>
      </c>
      <c r="G18" s="73" t="s">
        <v>136</v>
      </c>
      <c r="H18" s="73" t="s">
        <v>136</v>
      </c>
      <c r="I18" s="73" t="s">
        <v>136</v>
      </c>
    </row>
    <row r="19" spans="1:9" ht="21" customHeight="1" x14ac:dyDescent="0.15">
      <c r="A19" s="55" t="s">
        <v>52</v>
      </c>
      <c r="B19" s="37">
        <v>10</v>
      </c>
      <c r="C19" s="37">
        <v>20</v>
      </c>
      <c r="D19" s="73" t="s">
        <v>136</v>
      </c>
      <c r="E19" s="73" t="s">
        <v>136</v>
      </c>
      <c r="F19" s="73" t="s">
        <v>136</v>
      </c>
      <c r="G19" s="73" t="s">
        <v>136</v>
      </c>
      <c r="H19" s="73" t="s">
        <v>136</v>
      </c>
      <c r="I19" s="73" t="s">
        <v>136</v>
      </c>
    </row>
    <row r="20" spans="1:9" ht="21" customHeight="1" x14ac:dyDescent="0.15">
      <c r="A20" s="79" t="s">
        <v>54</v>
      </c>
      <c r="B20" s="37">
        <v>1</v>
      </c>
      <c r="C20" s="37">
        <v>1</v>
      </c>
      <c r="D20" s="37">
        <v>1</v>
      </c>
      <c r="E20" s="37">
        <v>1</v>
      </c>
      <c r="F20" s="37">
        <v>1</v>
      </c>
      <c r="G20" s="37">
        <v>1</v>
      </c>
      <c r="H20" s="37">
        <v>1</v>
      </c>
      <c r="I20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1"/>
  <sheetViews>
    <sheetView showGridLines="0" workbookViewId="0">
      <selection activeCell="E8" sqref="E8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50" t="s">
        <v>10</v>
      </c>
      <c r="B1" s="51">
        <v>1</v>
      </c>
      <c r="C1" s="51">
        <v>2</v>
      </c>
      <c r="D1" s="51">
        <v>3</v>
      </c>
      <c r="E1" s="51">
        <v>4</v>
      </c>
      <c r="F1" s="51">
        <v>5</v>
      </c>
      <c r="G1" s="51">
        <v>6</v>
      </c>
      <c r="H1" s="51">
        <v>7</v>
      </c>
      <c r="I1" s="51">
        <v>8</v>
      </c>
    </row>
    <row r="2" spans="1:11" s="4" customFormat="1" ht="21" customHeight="1" x14ac:dyDescent="0.15">
      <c r="A2" s="157" t="s">
        <v>295</v>
      </c>
      <c r="B2" s="158"/>
      <c r="C2" s="159"/>
      <c r="D2" s="170" t="s">
        <v>296</v>
      </c>
      <c r="E2" s="54" t="s">
        <v>297</v>
      </c>
      <c r="F2" s="54" t="s">
        <v>297</v>
      </c>
      <c r="G2" s="54" t="s">
        <v>298</v>
      </c>
      <c r="H2" s="159"/>
      <c r="I2" s="159"/>
    </row>
    <row r="3" spans="1:11" s="4" customFormat="1" ht="21" customHeight="1" x14ac:dyDescent="0.15">
      <c r="A3" s="157" t="s">
        <v>299</v>
      </c>
      <c r="B3" s="161"/>
      <c r="C3" s="162"/>
      <c r="D3" s="171" t="s">
        <v>85</v>
      </c>
      <c r="E3" s="171" t="s">
        <v>85</v>
      </c>
      <c r="F3" s="171" t="s">
        <v>85</v>
      </c>
      <c r="G3" s="171" t="s">
        <v>300</v>
      </c>
      <c r="H3" s="162"/>
      <c r="I3" s="162"/>
    </row>
    <row r="4" spans="1:11" s="4" customFormat="1" ht="21" customHeight="1" x14ac:dyDescent="0.15">
      <c r="A4" s="157" t="s">
        <v>301</v>
      </c>
      <c r="B4" s="164"/>
      <c r="C4" s="165"/>
      <c r="D4" s="172" t="s">
        <v>85</v>
      </c>
      <c r="E4" s="172" t="s">
        <v>85</v>
      </c>
      <c r="F4" s="172" t="s">
        <v>85</v>
      </c>
      <c r="G4" s="171" t="s">
        <v>300</v>
      </c>
      <c r="H4" s="165"/>
      <c r="I4" s="165"/>
    </row>
    <row r="5" spans="1:11" s="4" customFormat="1" ht="21" customHeight="1" x14ac:dyDescent="0.15">
      <c r="A5" s="167" t="s">
        <v>302</v>
      </c>
      <c r="B5" s="168"/>
      <c r="C5" s="169"/>
      <c r="D5" s="172" t="s">
        <v>85</v>
      </c>
      <c r="E5" s="172" t="s">
        <v>85</v>
      </c>
      <c r="F5" s="172" t="s">
        <v>85</v>
      </c>
      <c r="G5" s="171" t="s">
        <v>303</v>
      </c>
      <c r="H5" s="169"/>
      <c r="I5" s="169"/>
    </row>
    <row r="6" spans="1:11" s="4" customFormat="1" ht="21" customHeight="1" x14ac:dyDescent="0.15">
      <c r="A6" s="167" t="s">
        <v>304</v>
      </c>
      <c r="B6" s="168"/>
      <c r="C6" s="169"/>
      <c r="D6" s="173" t="s">
        <v>86</v>
      </c>
      <c r="E6" s="173" t="s">
        <v>86</v>
      </c>
      <c r="F6" s="170" t="s">
        <v>305</v>
      </c>
      <c r="G6" s="170" t="s">
        <v>305</v>
      </c>
      <c r="H6" s="169"/>
      <c r="I6" s="169"/>
    </row>
    <row r="7" spans="1:11" ht="21" customHeight="1" x14ac:dyDescent="0.15">
      <c r="A7" s="52" t="s">
        <v>17</v>
      </c>
      <c r="B7" s="41" t="s">
        <v>137</v>
      </c>
      <c r="C7" s="41" t="s">
        <v>137</v>
      </c>
      <c r="D7" s="41" t="s">
        <v>137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</row>
    <row r="8" spans="1:11" ht="21" customHeight="1" x14ac:dyDescent="0.15">
      <c r="A8" s="52" t="s">
        <v>138</v>
      </c>
      <c r="B8" s="41" t="s">
        <v>137</v>
      </c>
      <c r="C8" s="41" t="s">
        <v>137</v>
      </c>
      <c r="D8" s="41" t="s">
        <v>137</v>
      </c>
      <c r="E8" s="54" t="s">
        <v>147</v>
      </c>
      <c r="F8" s="54" t="s">
        <v>148</v>
      </c>
      <c r="G8" s="41" t="s">
        <v>137</v>
      </c>
      <c r="H8" s="41" t="s">
        <v>137</v>
      </c>
      <c r="I8" s="41" t="s">
        <v>137</v>
      </c>
    </row>
    <row r="9" spans="1:11" s="47" customFormat="1" ht="21" customHeight="1" x14ac:dyDescent="0.15">
      <c r="A9" s="52" t="s">
        <v>139</v>
      </c>
      <c r="B9" s="68" t="s">
        <v>137</v>
      </c>
      <c r="C9" s="68" t="s">
        <v>137</v>
      </c>
      <c r="D9" s="68" t="s">
        <v>137</v>
      </c>
      <c r="E9" s="54" t="s">
        <v>85</v>
      </c>
      <c r="F9" s="54" t="s">
        <v>85</v>
      </c>
      <c r="G9" s="68" t="s">
        <v>137</v>
      </c>
      <c r="H9" s="68" t="s">
        <v>137</v>
      </c>
      <c r="I9" s="68" t="s">
        <v>137</v>
      </c>
    </row>
    <row r="10" spans="1:11" ht="21" customHeight="1" x14ac:dyDescent="0.15">
      <c r="A10" s="53" t="s">
        <v>9</v>
      </c>
      <c r="B10" s="73" t="s">
        <v>136</v>
      </c>
      <c r="C10" s="73" t="s">
        <v>136</v>
      </c>
      <c r="D10" s="54" t="s">
        <v>85</v>
      </c>
      <c r="E10" s="54" t="s">
        <v>85</v>
      </c>
      <c r="F10" s="54" t="s">
        <v>85</v>
      </c>
      <c r="G10" s="73" t="s">
        <v>136</v>
      </c>
      <c r="H10" s="73" t="s">
        <v>136</v>
      </c>
      <c r="I10" s="73" t="s">
        <v>136</v>
      </c>
      <c r="K10" s="28" t="s">
        <v>12</v>
      </c>
    </row>
    <row r="11" spans="1:11" ht="21" customHeight="1" x14ac:dyDescent="0.15">
      <c r="A11" s="55" t="s">
        <v>47</v>
      </c>
      <c r="B11" s="73" t="s">
        <v>136</v>
      </c>
      <c r="C11" s="73" t="s">
        <v>136</v>
      </c>
      <c r="D11" s="55" t="s">
        <v>85</v>
      </c>
      <c r="E11" s="55" t="s">
        <v>85</v>
      </c>
      <c r="F11" s="55" t="s">
        <v>85</v>
      </c>
      <c r="G11" s="73" t="s">
        <v>136</v>
      </c>
      <c r="H11" s="73" t="s">
        <v>136</v>
      </c>
      <c r="I11" s="73" t="s">
        <v>136</v>
      </c>
      <c r="K11" s="30" t="s">
        <v>13</v>
      </c>
    </row>
    <row r="12" spans="1:11" ht="21" customHeight="1" x14ac:dyDescent="0.15">
      <c r="A12" s="56" t="s">
        <v>48</v>
      </c>
      <c r="B12" s="73" t="s">
        <v>136</v>
      </c>
      <c r="C12" s="73" t="s">
        <v>136</v>
      </c>
      <c r="D12" s="56" t="s">
        <v>86</v>
      </c>
      <c r="E12" s="56" t="s">
        <v>86</v>
      </c>
      <c r="F12" s="73" t="s">
        <v>136</v>
      </c>
      <c r="G12" s="73" t="s">
        <v>136</v>
      </c>
      <c r="H12" s="73" t="s">
        <v>136</v>
      </c>
      <c r="I12" s="73" t="s">
        <v>136</v>
      </c>
      <c r="K12" s="74" t="s">
        <v>55</v>
      </c>
    </row>
    <row r="13" spans="1:11" ht="21" customHeight="1" x14ac:dyDescent="0.15">
      <c r="A13" s="56" t="s">
        <v>65</v>
      </c>
      <c r="B13" s="73" t="s">
        <v>136</v>
      </c>
      <c r="C13" s="73" t="s">
        <v>136</v>
      </c>
      <c r="D13" s="57" t="s">
        <v>85</v>
      </c>
      <c r="E13" s="57" t="s">
        <v>85</v>
      </c>
      <c r="F13" s="57" t="s">
        <v>85</v>
      </c>
      <c r="G13" s="73" t="s">
        <v>136</v>
      </c>
      <c r="H13" s="73" t="s">
        <v>136</v>
      </c>
      <c r="I13" s="73" t="s">
        <v>136</v>
      </c>
      <c r="K13" s="75"/>
    </row>
    <row r="14" spans="1:11" ht="21" customHeight="1" x14ac:dyDescent="0.15">
      <c r="A14" s="57" t="s">
        <v>49</v>
      </c>
      <c r="B14" s="73" t="s">
        <v>136</v>
      </c>
      <c r="C14" s="73" t="s">
        <v>136</v>
      </c>
      <c r="D14" s="57" t="s">
        <v>85</v>
      </c>
      <c r="E14" s="57" t="s">
        <v>85</v>
      </c>
      <c r="F14" s="57" t="s">
        <v>85</v>
      </c>
      <c r="G14" s="73" t="s">
        <v>136</v>
      </c>
      <c r="H14" s="73" t="s">
        <v>136</v>
      </c>
      <c r="I14" s="73" t="s">
        <v>136</v>
      </c>
    </row>
    <row r="15" spans="1:11" ht="21" customHeight="1" x14ac:dyDescent="0.15">
      <c r="A15" s="57" t="s">
        <v>50</v>
      </c>
      <c r="B15" s="73" t="s">
        <v>136</v>
      </c>
      <c r="C15" s="73" t="s">
        <v>136</v>
      </c>
      <c r="D15" s="57" t="s">
        <v>86</v>
      </c>
      <c r="E15" s="57" t="s">
        <v>86</v>
      </c>
      <c r="F15" s="73" t="s">
        <v>136</v>
      </c>
      <c r="G15" s="73" t="s">
        <v>136</v>
      </c>
      <c r="H15" s="73" t="s">
        <v>136</v>
      </c>
      <c r="I15" s="73" t="s">
        <v>136</v>
      </c>
    </row>
    <row r="16" spans="1:11" ht="21" customHeight="1" x14ac:dyDescent="0.15">
      <c r="A16" s="57" t="s">
        <v>51</v>
      </c>
      <c r="B16" s="73" t="s">
        <v>136</v>
      </c>
      <c r="C16" s="57" t="s">
        <v>86</v>
      </c>
      <c r="D16" s="57" t="s">
        <v>86</v>
      </c>
      <c r="E16" s="57" t="s">
        <v>86</v>
      </c>
      <c r="F16" s="73" t="s">
        <v>136</v>
      </c>
      <c r="G16" s="73" t="s">
        <v>136</v>
      </c>
      <c r="H16" s="73" t="s">
        <v>136</v>
      </c>
      <c r="I16" s="73" t="s">
        <v>136</v>
      </c>
    </row>
    <row r="17" spans="1:9" ht="21" customHeight="1" x14ac:dyDescent="0.15">
      <c r="A17" s="58" t="s">
        <v>8</v>
      </c>
      <c r="B17" s="58" t="s">
        <v>87</v>
      </c>
      <c r="C17" s="58" t="s">
        <v>87</v>
      </c>
      <c r="D17" s="58" t="s">
        <v>87</v>
      </c>
      <c r="E17" s="73" t="s">
        <v>136</v>
      </c>
      <c r="F17" s="73" t="s">
        <v>136</v>
      </c>
      <c r="G17" s="73" t="s">
        <v>136</v>
      </c>
      <c r="H17" s="73" t="s">
        <v>136</v>
      </c>
      <c r="I17" s="73" t="s">
        <v>136</v>
      </c>
    </row>
    <row r="18" spans="1:9" ht="21" customHeight="1" x14ac:dyDescent="0.15">
      <c r="A18" s="53" t="s">
        <v>7</v>
      </c>
      <c r="B18" s="53" t="s">
        <v>88</v>
      </c>
      <c r="C18" s="53" t="s">
        <v>88</v>
      </c>
      <c r="D18" s="73" t="s">
        <v>136</v>
      </c>
      <c r="E18" s="73" t="s">
        <v>136</v>
      </c>
      <c r="F18" s="73" t="s">
        <v>136</v>
      </c>
      <c r="G18" s="73" t="s">
        <v>136</v>
      </c>
      <c r="H18" s="73" t="s">
        <v>136</v>
      </c>
      <c r="I18" s="73" t="s">
        <v>136</v>
      </c>
    </row>
    <row r="19" spans="1:9" ht="21" customHeight="1" x14ac:dyDescent="0.15">
      <c r="A19" s="55" t="s">
        <v>52</v>
      </c>
      <c r="B19" s="55" t="s">
        <v>89</v>
      </c>
      <c r="C19" s="55" t="s">
        <v>89</v>
      </c>
      <c r="D19" s="73" t="s">
        <v>136</v>
      </c>
      <c r="E19" s="73" t="s">
        <v>136</v>
      </c>
      <c r="F19" s="73" t="s">
        <v>136</v>
      </c>
      <c r="G19" s="73" t="s">
        <v>136</v>
      </c>
      <c r="H19" s="73" t="s">
        <v>136</v>
      </c>
      <c r="I19" s="73" t="s">
        <v>136</v>
      </c>
    </row>
    <row r="20" spans="1:9" ht="21" customHeight="1" x14ac:dyDescent="0.15">
      <c r="A20" s="38" t="s">
        <v>30</v>
      </c>
      <c r="B20" s="85" t="s">
        <v>73</v>
      </c>
      <c r="C20" s="85" t="s">
        <v>73</v>
      </c>
      <c r="D20" s="85" t="s">
        <v>73</v>
      </c>
      <c r="E20" s="85" t="s">
        <v>73</v>
      </c>
      <c r="F20" s="85" t="s">
        <v>73</v>
      </c>
      <c r="G20" s="85" t="s">
        <v>73</v>
      </c>
      <c r="H20" s="85" t="s">
        <v>73</v>
      </c>
      <c r="I20" s="85" t="s">
        <v>73</v>
      </c>
    </row>
    <row r="25" spans="1:9" ht="21" customHeight="1" x14ac:dyDescent="0.15">
      <c r="A25" s="24" t="s">
        <v>14</v>
      </c>
    </row>
    <row r="26" spans="1:9" ht="21" customHeight="1" x14ac:dyDescent="0.15">
      <c r="A26" s="22" t="s">
        <v>90</v>
      </c>
      <c r="B26" s="22" t="s">
        <v>91</v>
      </c>
    </row>
    <row r="27" spans="1:9" ht="21" customHeight="1" x14ac:dyDescent="0.15">
      <c r="A27" s="25">
        <v>1</v>
      </c>
      <c r="B27" s="25">
        <v>200</v>
      </c>
    </row>
    <row r="28" spans="1:9" ht="21" customHeight="1" x14ac:dyDescent="0.15">
      <c r="A28" s="25">
        <v>2</v>
      </c>
      <c r="B28" s="25">
        <v>600</v>
      </c>
    </row>
    <row r="29" spans="1:9" ht="21" customHeight="1" x14ac:dyDescent="0.15">
      <c r="A29" s="25">
        <v>3</v>
      </c>
      <c r="B29" s="25">
        <v>1500</v>
      </c>
    </row>
    <row r="30" spans="1:9" ht="21" customHeight="1" x14ac:dyDescent="0.15">
      <c r="A30" s="25">
        <v>4</v>
      </c>
      <c r="B30" s="25">
        <v>3400</v>
      </c>
    </row>
    <row r="31" spans="1:9" ht="21" customHeight="1" x14ac:dyDescent="0.15">
      <c r="A31" s="25">
        <v>5</v>
      </c>
      <c r="B31" s="25">
        <v>6400</v>
      </c>
    </row>
  </sheetData>
  <sheetProtection selectLockedCells="1" selectUnlockedCells="1"/>
  <phoneticPr fontId="9"/>
  <conditionalFormatting sqref="A34:I65540 J1:IV1 J10:J13 L10:IV13 J14:IV65540 J7:IV7">
    <cfRule type="cellIs" dxfId="22" priority="19" stopIfTrue="1" operator="equal">
      <formula>1</formula>
    </cfRule>
  </conditionalFormatting>
  <conditionalFormatting sqref="A24:B25 A32:B33 C24:I33 G19:I19">
    <cfRule type="cellIs" dxfId="21" priority="18" stopIfTrue="1" operator="equal">
      <formula>1</formula>
    </cfRule>
  </conditionalFormatting>
  <conditionalFormatting sqref="D18:G18 F15:I18">
    <cfRule type="cellIs" dxfId="20" priority="17" stopIfTrue="1" operator="equal">
      <formula>1</formula>
    </cfRule>
  </conditionalFormatting>
  <conditionalFormatting sqref="F17:G17">
    <cfRule type="cellIs" dxfId="19" priority="16" stopIfTrue="1" operator="equal">
      <formula>1</formula>
    </cfRule>
  </conditionalFormatting>
  <conditionalFormatting sqref="A20">
    <cfRule type="cellIs" dxfId="18" priority="15" stopIfTrue="1" operator="equal">
      <formula>1</formula>
    </cfRule>
  </conditionalFormatting>
  <conditionalFormatting sqref="K10:K13">
    <cfRule type="cellIs" dxfId="17" priority="14" stopIfTrue="1" operator="equal">
      <formula>1</formula>
    </cfRule>
  </conditionalFormatting>
  <conditionalFormatting sqref="J8:IV8">
    <cfRule type="cellIs" dxfId="16" priority="13" stopIfTrue="1" operator="equal">
      <formula>1</formula>
    </cfRule>
  </conditionalFormatting>
  <conditionalFormatting sqref="J9:IV9">
    <cfRule type="cellIs" dxfId="15" priority="12" stopIfTrue="1" operator="equal">
      <formula>1</formula>
    </cfRule>
  </conditionalFormatting>
  <conditionalFormatting sqref="G10:I14">
    <cfRule type="cellIs" dxfId="14" priority="10" stopIfTrue="1" operator="equal">
      <formula>1</formula>
    </cfRule>
  </conditionalFormatting>
  <conditionalFormatting sqref="B10:C15">
    <cfRule type="cellIs" dxfId="13" priority="9" stopIfTrue="1" operator="equal">
      <formula>1</formula>
    </cfRule>
  </conditionalFormatting>
  <conditionalFormatting sqref="B16">
    <cfRule type="cellIs" dxfId="12" priority="8" stopIfTrue="1" operator="equal">
      <formula>1</formula>
    </cfRule>
  </conditionalFormatting>
  <conditionalFormatting sqref="E17">
    <cfRule type="cellIs" dxfId="11" priority="7" stopIfTrue="1" operator="equal">
      <formula>1</formula>
    </cfRule>
  </conditionalFormatting>
  <conditionalFormatting sqref="F12">
    <cfRule type="cellIs" dxfId="10" priority="5" stopIfTrue="1" operator="equal">
      <formula>1</formula>
    </cfRule>
  </conditionalFormatting>
  <conditionalFormatting sqref="J2:IV4">
    <cfRule type="cellIs" dxfId="9" priority="4" stopIfTrue="1" operator="equal">
      <formula>1</formula>
    </cfRule>
  </conditionalFormatting>
  <conditionalFormatting sqref="J5:IV6">
    <cfRule type="cellIs" dxfId="8" priority="3" stopIfTrue="1" operator="equal">
      <formula>1</formula>
    </cfRule>
  </conditionalFormatting>
  <conditionalFormatting sqref="G6">
    <cfRule type="cellIs" dxfId="7" priority="2" stopIfTrue="1" operator="equal">
      <formula>1</formula>
    </cfRule>
  </conditionalFormatting>
  <conditionalFormatting sqref="F6">
    <cfRule type="cellIs" dxfId="6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0"/>
  <sheetViews>
    <sheetView showGridLines="0" workbookViewId="0">
      <selection activeCell="F17" sqref="F17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s="4" customFormat="1" ht="21" customHeight="1" x14ac:dyDescent="0.15">
      <c r="A2" s="157" t="s">
        <v>306</v>
      </c>
      <c r="B2" s="158"/>
      <c r="C2" s="159"/>
      <c r="D2" s="174" t="s">
        <v>11</v>
      </c>
      <c r="E2" s="174">
        <v>8000</v>
      </c>
      <c r="F2" s="174">
        <v>10000</v>
      </c>
      <c r="G2" s="174">
        <f>F2+4000</f>
        <v>14000</v>
      </c>
      <c r="H2" s="159"/>
      <c r="I2" s="159"/>
    </row>
    <row r="3" spans="1:9" s="4" customFormat="1" ht="21" customHeight="1" x14ac:dyDescent="0.15">
      <c r="A3" s="157" t="s">
        <v>307</v>
      </c>
      <c r="B3" s="161"/>
      <c r="C3" s="162"/>
      <c r="D3" s="174" t="s">
        <v>11</v>
      </c>
      <c r="E3" s="174">
        <v>7500</v>
      </c>
      <c r="F3" s="174">
        <v>9500</v>
      </c>
      <c r="G3" s="174">
        <f t="shared" ref="G3:G4" si="0">F3+4000</f>
        <v>13500</v>
      </c>
      <c r="H3" s="162"/>
      <c r="I3" s="162"/>
    </row>
    <row r="4" spans="1:9" s="4" customFormat="1" ht="21" customHeight="1" x14ac:dyDescent="0.15">
      <c r="A4" s="157" t="s">
        <v>308</v>
      </c>
      <c r="B4" s="164"/>
      <c r="C4" s="165"/>
      <c r="D4" s="174">
        <v>5000</v>
      </c>
      <c r="E4" s="174">
        <v>7000</v>
      </c>
      <c r="F4" s="174">
        <v>9000</v>
      </c>
      <c r="G4" s="174">
        <f t="shared" si="0"/>
        <v>13000</v>
      </c>
      <c r="H4" s="165"/>
      <c r="I4" s="165"/>
    </row>
    <row r="5" spans="1:9" s="4" customFormat="1" ht="21" customHeight="1" x14ac:dyDescent="0.15">
      <c r="A5" s="167" t="s">
        <v>309</v>
      </c>
      <c r="B5" s="168"/>
      <c r="C5" s="169"/>
      <c r="D5" s="174">
        <v>4900</v>
      </c>
      <c r="E5" s="174">
        <v>6700</v>
      </c>
      <c r="F5" s="174">
        <v>8500</v>
      </c>
      <c r="G5" s="174">
        <f t="shared" ref="G5" si="1">5000+F5</f>
        <v>13500</v>
      </c>
      <c r="H5" s="169"/>
      <c r="I5" s="169"/>
    </row>
    <row r="6" spans="1:9" s="4" customFormat="1" ht="21" customHeight="1" x14ac:dyDescent="0.15">
      <c r="A6" s="167" t="s">
        <v>310</v>
      </c>
      <c r="B6" s="168"/>
      <c r="C6" s="169"/>
      <c r="D6" s="174">
        <v>4800</v>
      </c>
      <c r="E6" s="174">
        <v>6600</v>
      </c>
      <c r="F6" s="174" t="s">
        <v>11</v>
      </c>
      <c r="G6" s="174" t="s">
        <v>11</v>
      </c>
      <c r="H6" s="169"/>
      <c r="I6" s="169"/>
    </row>
    <row r="7" spans="1:9" ht="21" customHeight="1" x14ac:dyDescent="0.15">
      <c r="A7" s="80" t="s">
        <v>17</v>
      </c>
      <c r="B7" s="48" t="s">
        <v>11</v>
      </c>
      <c r="C7" s="48" t="s">
        <v>11</v>
      </c>
      <c r="D7" s="48" t="s">
        <v>11</v>
      </c>
      <c r="E7" s="48" t="s">
        <v>11</v>
      </c>
      <c r="F7" s="48" t="s">
        <v>11</v>
      </c>
      <c r="G7" s="48" t="s">
        <v>11</v>
      </c>
      <c r="H7" s="48" t="s">
        <v>11</v>
      </c>
      <c r="I7" s="48" t="s">
        <v>11</v>
      </c>
    </row>
    <row r="8" spans="1:9" ht="21" customHeight="1" x14ac:dyDescent="0.15">
      <c r="A8" s="81" t="s">
        <v>56</v>
      </c>
      <c r="B8" s="48" t="s">
        <v>11</v>
      </c>
      <c r="C8" s="48" t="s">
        <v>11</v>
      </c>
      <c r="D8" s="48" t="s">
        <v>11</v>
      </c>
      <c r="E8" s="48">
        <v>8000</v>
      </c>
      <c r="F8" s="29">
        <v>10000</v>
      </c>
      <c r="G8" s="48" t="s">
        <v>11</v>
      </c>
      <c r="H8" s="48" t="s">
        <v>11</v>
      </c>
      <c r="I8" s="48" t="s">
        <v>11</v>
      </c>
    </row>
    <row r="9" spans="1:9" s="47" customFormat="1" ht="21" customHeight="1" x14ac:dyDescent="0.15">
      <c r="A9" s="82" t="s">
        <v>31</v>
      </c>
      <c r="B9" s="29" t="s">
        <v>11</v>
      </c>
      <c r="C9" s="29" t="s">
        <v>11</v>
      </c>
      <c r="D9" s="29" t="s">
        <v>11</v>
      </c>
      <c r="E9" s="29">
        <v>7500</v>
      </c>
      <c r="F9" s="29">
        <v>9500</v>
      </c>
      <c r="G9" s="29" t="s">
        <v>11</v>
      </c>
      <c r="H9" s="29" t="s">
        <v>11</v>
      </c>
      <c r="I9" s="29" t="s">
        <v>11</v>
      </c>
    </row>
    <row r="10" spans="1:9" ht="21" customHeight="1" x14ac:dyDescent="0.15">
      <c r="A10" s="82" t="s">
        <v>9</v>
      </c>
      <c r="B10" s="71" t="s">
        <v>11</v>
      </c>
      <c r="C10" s="71" t="s">
        <v>11</v>
      </c>
      <c r="D10" s="29">
        <v>5000</v>
      </c>
      <c r="E10" s="29">
        <v>7000</v>
      </c>
      <c r="F10" s="29">
        <v>9000</v>
      </c>
      <c r="G10" s="71" t="s">
        <v>11</v>
      </c>
      <c r="H10" s="71" t="s">
        <v>11</v>
      </c>
      <c r="I10" s="71" t="s">
        <v>11</v>
      </c>
    </row>
    <row r="11" spans="1:9" ht="21" customHeight="1" x14ac:dyDescent="0.15">
      <c r="A11" s="82" t="s">
        <v>57</v>
      </c>
      <c r="B11" s="71" t="s">
        <v>11</v>
      </c>
      <c r="C11" s="71" t="s">
        <v>11</v>
      </c>
      <c r="D11" s="29">
        <v>4900</v>
      </c>
      <c r="E11" s="29">
        <v>6700</v>
      </c>
      <c r="F11" s="29">
        <v>8500</v>
      </c>
      <c r="G11" s="71" t="s">
        <v>11</v>
      </c>
      <c r="H11" s="71" t="s">
        <v>11</v>
      </c>
      <c r="I11" s="71" t="s">
        <v>11</v>
      </c>
    </row>
    <row r="12" spans="1:9" ht="21" customHeight="1" x14ac:dyDescent="0.15">
      <c r="A12" s="82" t="s">
        <v>132</v>
      </c>
      <c r="B12" s="71" t="s">
        <v>11</v>
      </c>
      <c r="C12" s="71" t="s">
        <v>11</v>
      </c>
      <c r="D12" s="29">
        <v>4800</v>
      </c>
      <c r="E12" s="29">
        <v>6600</v>
      </c>
      <c r="F12" s="71" t="s">
        <v>11</v>
      </c>
      <c r="G12" s="71" t="s">
        <v>11</v>
      </c>
      <c r="H12" s="71" t="s">
        <v>11</v>
      </c>
      <c r="I12" s="71" t="s">
        <v>11</v>
      </c>
    </row>
    <row r="13" spans="1:9" ht="21" customHeight="1" x14ac:dyDescent="0.15">
      <c r="A13" s="82" t="s">
        <v>145</v>
      </c>
      <c r="B13" s="71" t="s">
        <v>11</v>
      </c>
      <c r="C13" s="71" t="s">
        <v>11</v>
      </c>
      <c r="D13" s="71" t="s">
        <v>11</v>
      </c>
      <c r="E13" s="29">
        <v>6300</v>
      </c>
      <c r="F13" s="71" t="s">
        <v>11</v>
      </c>
      <c r="G13" s="71" t="s">
        <v>11</v>
      </c>
      <c r="H13" s="71" t="s">
        <v>11</v>
      </c>
      <c r="I13" s="71" t="s">
        <v>11</v>
      </c>
    </row>
    <row r="14" spans="1:9" ht="21" customHeight="1" x14ac:dyDescent="0.15">
      <c r="A14" s="82" t="s">
        <v>133</v>
      </c>
      <c r="B14" s="71" t="s">
        <v>11</v>
      </c>
      <c r="C14" s="71" t="s">
        <v>11</v>
      </c>
      <c r="D14" s="29">
        <v>4600</v>
      </c>
      <c r="E14" s="29">
        <v>5800</v>
      </c>
      <c r="F14" s="29">
        <v>7600</v>
      </c>
      <c r="G14" s="71" t="s">
        <v>11</v>
      </c>
      <c r="H14" s="71" t="s">
        <v>11</v>
      </c>
      <c r="I14" s="71" t="s">
        <v>11</v>
      </c>
    </row>
    <row r="15" spans="1:9" ht="21" customHeight="1" x14ac:dyDescent="0.15">
      <c r="A15" s="82" t="s">
        <v>131</v>
      </c>
      <c r="B15" s="71" t="s">
        <v>11</v>
      </c>
      <c r="C15" s="71" t="s">
        <v>11</v>
      </c>
      <c r="D15" s="29">
        <v>4400</v>
      </c>
      <c r="E15" s="29">
        <v>5600</v>
      </c>
      <c r="F15" s="71" t="s">
        <v>11</v>
      </c>
      <c r="G15" s="71" t="s">
        <v>11</v>
      </c>
      <c r="H15" s="71" t="s">
        <v>11</v>
      </c>
      <c r="I15" s="71" t="s">
        <v>11</v>
      </c>
    </row>
    <row r="16" spans="1:9" ht="21" customHeight="1" x14ac:dyDescent="0.15">
      <c r="A16" s="82" t="s">
        <v>43</v>
      </c>
      <c r="B16" s="71" t="s">
        <v>11</v>
      </c>
      <c r="C16" s="29">
        <v>3000</v>
      </c>
      <c r="D16" s="29">
        <v>4200</v>
      </c>
      <c r="E16" s="29">
        <v>5400</v>
      </c>
      <c r="F16" s="71" t="s">
        <v>11</v>
      </c>
      <c r="G16" s="71" t="s">
        <v>11</v>
      </c>
      <c r="H16" s="71" t="s">
        <v>11</v>
      </c>
      <c r="I16" s="71" t="s">
        <v>11</v>
      </c>
    </row>
    <row r="17" spans="1:9" ht="21" customHeight="1" x14ac:dyDescent="0.15">
      <c r="A17" s="82" t="s">
        <v>8</v>
      </c>
      <c r="B17" s="29">
        <v>2000</v>
      </c>
      <c r="C17" s="29">
        <v>2800</v>
      </c>
      <c r="D17" s="29">
        <v>4000</v>
      </c>
      <c r="E17" s="71" t="s">
        <v>11</v>
      </c>
      <c r="F17" s="71" t="s">
        <v>11</v>
      </c>
      <c r="G17" s="71" t="s">
        <v>11</v>
      </c>
      <c r="H17" s="71" t="s">
        <v>11</v>
      </c>
      <c r="I17" s="71" t="s">
        <v>11</v>
      </c>
    </row>
    <row r="18" spans="1:9" ht="21" customHeight="1" x14ac:dyDescent="0.15">
      <c r="A18" s="83" t="s">
        <v>7</v>
      </c>
      <c r="B18" s="29">
        <v>1750</v>
      </c>
      <c r="C18" s="29">
        <v>2550</v>
      </c>
      <c r="D18" s="71" t="s">
        <v>11</v>
      </c>
      <c r="E18" s="71" t="s">
        <v>11</v>
      </c>
      <c r="F18" s="71" t="s">
        <v>11</v>
      </c>
      <c r="G18" s="71" t="s">
        <v>11</v>
      </c>
      <c r="H18" s="71" t="s">
        <v>11</v>
      </c>
      <c r="I18" s="71" t="s">
        <v>11</v>
      </c>
    </row>
    <row r="19" spans="1:9" ht="21" customHeight="1" x14ac:dyDescent="0.15">
      <c r="A19" s="83" t="s">
        <v>42</v>
      </c>
      <c r="B19" s="29">
        <v>1500</v>
      </c>
      <c r="C19" s="29">
        <v>2300</v>
      </c>
      <c r="D19" s="71" t="s">
        <v>11</v>
      </c>
      <c r="E19" s="71" t="s">
        <v>11</v>
      </c>
      <c r="F19" s="71" t="s">
        <v>11</v>
      </c>
      <c r="G19" s="71" t="s">
        <v>11</v>
      </c>
      <c r="H19" s="71" t="s">
        <v>11</v>
      </c>
      <c r="I19" s="71" t="s">
        <v>11</v>
      </c>
    </row>
    <row r="20" spans="1:9" ht="21" customHeight="1" x14ac:dyDescent="0.15">
      <c r="A20" s="38" t="s">
        <v>30</v>
      </c>
      <c r="B20" s="37">
        <v>1000</v>
      </c>
      <c r="C20" s="37">
        <v>1000</v>
      </c>
      <c r="D20" s="37">
        <v>1000</v>
      </c>
      <c r="E20" s="37">
        <v>1000</v>
      </c>
      <c r="F20" s="37">
        <v>1000</v>
      </c>
      <c r="G20" s="37">
        <v>1000</v>
      </c>
      <c r="H20" s="37">
        <v>1000</v>
      </c>
      <c r="I20" s="37">
        <v>1000</v>
      </c>
    </row>
  </sheetData>
  <sheetProtection selectLockedCells="1" selectUnlockedCells="1"/>
  <phoneticPr fontId="9"/>
  <conditionalFormatting sqref="L22:R65541 J1:IU1 L7:R19 S7:IU1048576 J7:K1048576">
    <cfRule type="cellIs" dxfId="5" priority="4" stopIfTrue="1" operator="equal">
      <formula>1</formula>
    </cfRule>
  </conditionalFormatting>
  <conditionalFormatting sqref="A21:I65541">
    <cfRule type="cellIs" dxfId="4" priority="5" stopIfTrue="1" operator="equal">
      <formula>1</formula>
    </cfRule>
  </conditionalFormatting>
  <conditionalFormatting sqref="A20:I20">
    <cfRule type="cellIs" dxfId="3" priority="3" stopIfTrue="1" operator="equal">
      <formula>1</formula>
    </cfRule>
  </conditionalFormatting>
  <conditionalFormatting sqref="J2:IV4">
    <cfRule type="cellIs" dxfId="2" priority="2" stopIfTrue="1" operator="equal">
      <formula>1</formula>
    </cfRule>
  </conditionalFormatting>
  <conditionalFormatting sqref="J5:IV6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141</v>
      </c>
      <c r="G1" s="24" t="s">
        <v>142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B47"/>
  <sheetViews>
    <sheetView workbookViewId="0">
      <selection activeCell="A7" sqref="A7:A41"/>
    </sheetView>
  </sheetViews>
  <sheetFormatPr baseColWidth="12" defaultRowHeight="15" x14ac:dyDescent="0.15"/>
  <sheetData>
    <row r="2" spans="1:2" x14ac:dyDescent="0.15">
      <c r="A2" t="s">
        <v>267</v>
      </c>
    </row>
    <row r="3" spans="1:2" x14ac:dyDescent="0.15">
      <c r="A3" t="s">
        <v>268</v>
      </c>
      <c r="B3" s="140">
        <v>508</v>
      </c>
    </row>
    <row r="4" spans="1:2" x14ac:dyDescent="0.15">
      <c r="A4" t="s">
        <v>269</v>
      </c>
      <c r="B4" s="140">
        <v>509</v>
      </c>
    </row>
    <row r="7" spans="1:2" x14ac:dyDescent="0.15">
      <c r="A7" t="s">
        <v>270</v>
      </c>
    </row>
    <row r="8" spans="1:2" x14ac:dyDescent="0.15">
      <c r="A8" t="str">
        <f>A2 &amp;" "&amp;IF(B2="","",B2)&amp;" "&amp; IFERROR(VLOOKUP(B2,units!A:B,2),"なし")</f>
        <v>R3  なし</v>
      </c>
    </row>
    <row r="9" spans="1:2" x14ac:dyDescent="0.15">
      <c r="A9" t="str">
        <f ca="1">A3 &amp;" "&amp;IF(B3="","",B3)&amp;" "&amp; IFERROR(VLOOKUP(B3,units!A:B,2),"なし")</f>
        <v>R4 508 Gスター・チルドレン</v>
      </c>
    </row>
    <row r="10" spans="1:2" x14ac:dyDescent="0.15">
      <c r="A10" t="str">
        <f ca="1">A4 &amp;" "&amp;IF(B4="","",B4)&amp;" "&amp; IFERROR(VLOOKUP(B4,units!A:B,2),"なし")</f>
        <v>R5 509 純粋悪意 Gスター・チルドレン</v>
      </c>
    </row>
    <row r="12" spans="1:2" ht="19" customHeight="1" x14ac:dyDescent="0.15">
      <c r="A12" t="s">
        <v>271</v>
      </c>
    </row>
    <row r="13" spans="1:2" x14ac:dyDescent="0.15">
      <c r="A13" t="str">
        <f>IFERROR(VLOOKUP($B$2,unit_skills!A:I,3),"なし")</f>
        <v>なし</v>
      </c>
    </row>
    <row r="14" spans="1:2" x14ac:dyDescent="0.15">
      <c r="A14" t="str">
        <f>IFERROR(VLOOKUP($B$2,unit_skills!A:I,4),"なし")</f>
        <v>なし</v>
      </c>
    </row>
    <row r="15" spans="1:2" x14ac:dyDescent="0.15">
      <c r="A15" t="str">
        <f>"cost:"&amp;IFERROR(VLOOKUP($B$2,unit_skills!A:I,6),"なし")</f>
        <v>cost:なし</v>
      </c>
    </row>
    <row r="16" spans="1:2" x14ac:dyDescent="0.15">
      <c r="A16" t="str">
        <f>IFERROR(VLOOKUP($B$2,unit_skills!A:I,9),"なし")</f>
        <v>なし</v>
      </c>
    </row>
    <row r="18" spans="1:1" x14ac:dyDescent="0.15">
      <c r="A18" t="str">
        <f>IFERROR(VLOOKUP($B$3,unit_skills!A:I,3),"なし")</f>
        <v>モンスター★パレード</v>
      </c>
    </row>
    <row r="19" spans="1:1" x14ac:dyDescent="0.15">
      <c r="A19" t="str">
        <f>IFERROR(VLOOKUP($B$3,unit_skills!A:I,4),"なし")</f>
        <v>3ターン自身の攻撃力を特大UPし、黄属性の防御力を特大UPする</v>
      </c>
    </row>
    <row r="20" spans="1:1" x14ac:dyDescent="0.15">
      <c r="A20" t="str">
        <f>"cost:"&amp;IFERROR(VLOOKUP($B$3,unit_skills!A:I,6),"なし")</f>
        <v>cost:12</v>
      </c>
    </row>
    <row r="21" spans="1:1" x14ac:dyDescent="0.15">
      <c r="A21" t="str">
        <f>IFERROR(VLOOKUP($B$3,unit_skills!A:I,9),"なし")</f>
        <v>[effect:enhance_unit, target:myself, turn:3, status:attack, val:0.255, calc:mul, animation:enhance_unit_all_attack04_unit01],[effect:enhance_unit, target:unit_yellow, turn:3, status:defense, val:1440, calc:add, animation:enhance_unit_all_defense03_unit01]</v>
      </c>
    </row>
    <row r="23" spans="1:1" x14ac:dyDescent="0.15">
      <c r="A23" t="str">
        <f>IFERROR(VLOOKUP($B$4,unit_skills!A:I,3),"なし")</f>
        <v>モンスター★カーニバル</v>
      </c>
    </row>
    <row r="24" spans="1:1" x14ac:dyDescent="0.15">
      <c r="A24" t="str">
        <f>IFERROR(VLOOKUP($B$4,unit_skills!A:I,4),"なし")</f>
        <v>3ターン自身の攻撃力を超大UPし、黄属性の防御力を特大UPする</v>
      </c>
    </row>
    <row r="25" spans="1:1" x14ac:dyDescent="0.15">
      <c r="A25" t="str">
        <f>"cost:"&amp;IFERROR(VLOOKUP($B$4,unit_skills!A:I,6),"なし")</f>
        <v>cost:13</v>
      </c>
    </row>
    <row r="26" spans="1:1" x14ac:dyDescent="0.15">
      <c r="A26" t="str">
        <f>IFERROR(VLOOKUP($B$4,unit_skills!A:I,9),"なし")</f>
        <v>[effect:enhance_unit, target:myself, turn:3, status:attack, val:0.34, calc:mul, animation:enhance_unit_all_attack04_unit01],[effect:enhance_unit, target:unit_yellow, turn:3, status:defense, val:1440, calc:add, animation:enhance_unit_all_defense03_unit01]</v>
      </c>
    </row>
    <row r="28" spans="1:1" x14ac:dyDescent="0.15">
      <c r="A28" t="s">
        <v>272</v>
      </c>
    </row>
    <row r="29" spans="1:1" x14ac:dyDescent="0.15">
      <c r="A29" t="str">
        <f>IFERROR(VLOOKUP($B$2,crash_skills!A:I,3),"なし")</f>
        <v>なし</v>
      </c>
    </row>
    <row r="30" spans="1:1" x14ac:dyDescent="0.15">
      <c r="A30" t="str">
        <f>IFERROR(VLOOKUP($B$2,crash_skills!A:I,4),"なし")</f>
        <v>なし</v>
      </c>
    </row>
    <row r="31" spans="1:1" x14ac:dyDescent="0.15">
      <c r="A31" t="str">
        <f>IFERROR(VLOOKUP($B$2,crash_skills!A:I,6),"なし")</f>
        <v>なし</v>
      </c>
    </row>
    <row r="33" spans="1:1" x14ac:dyDescent="0.15">
      <c r="A33" t="str">
        <f>IFERROR(VLOOKUP($B$3,crash_skills!A:I,3),"なし")</f>
        <v>ロウ オブ ザ ジャングル</v>
      </c>
    </row>
    <row r="34" spans="1:1" x14ac:dyDescent="0.15">
      <c r="A34" t="str">
        <f>IFERROR(VLOOKUP($B$3,crash_skills!A:I,4),"なし")</f>
        <v>1体に小ダメージ_x000D_アニマルに効果大</v>
      </c>
    </row>
    <row r="35" spans="1:1" x14ac:dyDescent="0.15">
      <c r="A35" t="str">
        <f>IFERROR(VLOOKUP($B$3,crash_skills!A:I,6),"なし")</f>
        <v>[effect:damage_anti_tribe, target:enemy_one, tribe:animal, val1:2.63, val2:0.94,  animation:damage_one_yellow04]</v>
      </c>
    </row>
    <row r="37" spans="1:1" x14ac:dyDescent="0.15">
      <c r="A37" t="str">
        <f>IFERROR(VLOOKUP($B$4,crash_skills!A:I,3),"なし")</f>
        <v>ロウ オブ ザ モンスター</v>
      </c>
    </row>
    <row r="38" spans="1:1" x14ac:dyDescent="0.15">
      <c r="A38" t="str">
        <f>IFERROR(VLOOKUP($B$4,crash_skills!A:I,4),"なし")</f>
        <v>1体に中ダメージ_x000D_アニマルに効果特大</v>
      </c>
    </row>
    <row r="39" spans="1:1" x14ac:dyDescent="0.15">
      <c r="A39" t="str">
        <f>IFERROR(VLOOKUP($B$4,crash_skills!A:I,6),"なし")</f>
        <v>[effect:damage_anti_tribe, target:enemy_one, tribe:animal, val1:3.375, val2:1.13,  animation:damage_one_yellow04]</v>
      </c>
    </row>
    <row r="41" spans="1:1" x14ac:dyDescent="0.15">
      <c r="A41" t="s">
        <v>273</v>
      </c>
    </row>
    <row r="42" spans="1:1" x14ac:dyDescent="0.15">
      <c r="A42" t="str">
        <f>IFERROR(VLOOKUP($B$3,awake_materials!A:I,2),"なし")</f>
        <v>なし</v>
      </c>
    </row>
    <row r="43" spans="1:1" x14ac:dyDescent="0.15">
      <c r="A43" t="str">
        <f>IFERROR(VLOOKUP($B$3,awake_materials!A:I,2),"なし")</f>
        <v>なし</v>
      </c>
    </row>
    <row r="44" spans="1:1" x14ac:dyDescent="0.15">
      <c r="A44" t="str">
        <f>IFERROR(VLOOKUP($B$3,awake_materials!A:I,2),"なし")</f>
        <v>なし</v>
      </c>
    </row>
    <row r="45" spans="1:1" x14ac:dyDescent="0.15">
      <c r="A45" t="str">
        <f>IFERROR(VLOOKUP($B$3,awake_materials!A:I,2),"なし")</f>
        <v>なし</v>
      </c>
    </row>
    <row r="46" spans="1:1" x14ac:dyDescent="0.15">
      <c r="A46" t="str">
        <f>IFERROR(VLOOKUP($B$3,awake_materials!A:I,2),"なし")</f>
        <v>なし</v>
      </c>
    </row>
    <row r="47" spans="1:1" x14ac:dyDescent="0.15">
      <c r="A47" t="str">
        <f>IFERROR(VLOOKUP($B$3,awake_materials!A:I,2),"なし")</f>
        <v>なし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output</vt:lpstr>
      <vt:lpstr>units</vt:lpstr>
      <vt:lpstr>unit_skills</vt:lpstr>
      <vt:lpstr>crash_skills</vt:lpstr>
      <vt:lpstr>unit_serifs</vt:lpstr>
      <vt:lpstr>awake_materials</vt:lpstr>
      <vt:lpstr>→base値</vt:lpstr>
      <vt:lpstr>ghosts_label</vt:lpstr>
      <vt:lpstr>コスト</vt:lpstr>
      <vt:lpstr>レベル</vt:lpstr>
      <vt:lpstr>経験値</vt:lpstr>
      <vt:lpstr>RC6SV</vt:lpstr>
      <vt:lpstr>ビット</vt:lpstr>
      <vt:lpstr>書き出し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2017-06-06T07:52:11Z</dcterms:modified>
</cp:coreProperties>
</file>