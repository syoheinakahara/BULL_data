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atanabeshun/BULL_data/master_excel/"/>
    </mc:Choice>
  </mc:AlternateContent>
  <bookViews>
    <workbookView xWindow="0" yWindow="460" windowWidth="28800" windowHeight="16600" tabRatio="963" activeTab="2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3" l="1"/>
  <c r="H2" i="23"/>
  <c r="G2" i="23"/>
  <c r="N2" i="23"/>
  <c r="B2" i="57"/>
  <c r="F2" i="57"/>
  <c r="E2" i="57"/>
  <c r="H2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J2" i="3"/>
  <c r="C2" i="3"/>
  <c r="F2" i="3"/>
  <c r="E2" i="3"/>
  <c r="D2" i="3"/>
  <c r="A2" i="3"/>
  <c r="G2" i="58"/>
  <c r="U2" i="58"/>
  <c r="S2" i="58"/>
  <c r="T2" i="58"/>
  <c r="R2" i="58"/>
  <c r="P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C2" i="23"/>
  <c r="H4" i="23"/>
  <c r="G4" i="23"/>
  <c r="BC4" i="23"/>
  <c r="BE5" i="23"/>
  <c r="BJ5" i="23"/>
  <c r="BI5" i="23"/>
  <c r="BH5" i="23"/>
  <c r="BG5" i="23"/>
  <c r="I2" i="23"/>
  <c r="J2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G9" i="1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T3" i="23"/>
  <c r="AB3" i="23"/>
  <c r="K3" i="23"/>
  <c r="T2" i="23"/>
  <c r="AB2" i="23"/>
  <c r="K2" i="23"/>
  <c r="BL2" i="23"/>
  <c r="V3" i="23"/>
  <c r="AD3" i="23"/>
  <c r="M3" i="23"/>
  <c r="V2" i="23"/>
  <c r="AD2" i="23"/>
  <c r="M2" i="23"/>
  <c r="BN2" i="23"/>
  <c r="AL3" i="23"/>
  <c r="D2" i="54"/>
  <c r="B2" i="54"/>
  <c r="G2" i="53"/>
  <c r="AH3" i="23"/>
  <c r="AH2" i="23"/>
  <c r="G10" i="13"/>
  <c r="G11" i="13"/>
  <c r="B2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K2" i="52"/>
  <c r="E3" i="49"/>
  <c r="E5" i="49"/>
  <c r="E15" i="49"/>
  <c r="E14" i="49"/>
  <c r="E13" i="49"/>
  <c r="P2" i="23"/>
  <c r="G8" i="13"/>
  <c r="G2" i="13"/>
  <c r="C2" i="23"/>
  <c r="D2" i="23"/>
  <c r="E2" i="23"/>
  <c r="F2" i="23"/>
  <c r="L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<sst xmlns="http://schemas.openxmlformats.org/spreadsheetml/2006/main" count="942" uniqueCount="370">
  <si>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</si>
  <si>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</si>
  <si>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</si>
  <si>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</si>
  <si>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</si>
  <si>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</si>
  <si>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</si>
  <si>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</si>
  <si>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</si>
  <si>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</si>
  <si>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</si>
  <si>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</si>
  <si>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</si>
  <si>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</si>
  <si>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</si>
  <si>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</si>
  <si>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</si>
  <si>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</si>
  <si>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</si>
  <si>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</si>
  <si>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</si>
  <si>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</si>
  <si>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</si>
  <si>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</si>
  <si>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</si>
  <si>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</si>
  <si>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</si>
  <si>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</si>
  <si>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</si>
  <si>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</si>
  <si>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</si>
  <si>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</si>
  <si>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</si>
  <si>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</si>
  <si>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</si>
  <si>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</si>
  <si>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</si>
  <si>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</si>
  <si>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</si>
  <si>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</si>
  <si>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</si>
  <si>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</si>
  <si>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</si>
  <si>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</si>
  <si>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</si>
  <si>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</si>
  <si>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</si>
  <si>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</si>
  <si>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</si>
  <si>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</si>
  <si>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</si>
  <si>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</si>
  <si>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</si>
  <si>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</si>
  <si>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</si>
  <si>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</si>
  <si>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</si>
  <si>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</si>
  <si>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</si>
  <si>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</si>
  <si>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</si>
  <si>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</si>
  <si>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</si>
  <si>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</si>
  <si>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</si>
  <si>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</si>
  <si>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</si>
  <si>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</si>
  <si>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</si>
  <si>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</si>
  <si>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</si>
  <si>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</si>
  <si>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</si>
  <si>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</si>
  <si>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</si>
  <si>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</si>
  <si>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</si>
  <si>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</si>
  <si>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</si>
  <si>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</si>
  <si>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</si>
  <si>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</si>
  <si>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</si>
  <si>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</si>
  <si>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</si>
  <si>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</si>
  <si>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</si>
  <si>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</si>
  <si>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</si>
  <si>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</si>
  <si>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</si>
  <si>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</si>
  <si>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</si>
  <si>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</si>
  <si>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</si>
  <si>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</si>
  <si>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</si>
  <si>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</si>
  <si>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</si>
  <si>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</si>
  <si>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</si>
  <si>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</si>
  <si>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</si>
  <si>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</si>
  <si>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</si>
  <si>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</si>
  <si>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</si>
  <si>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</si>
  <si>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</si>
  <si>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</si>
  <si>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</si>
  <si>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</si>
  <si>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</si>
  <si>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</si>
  <si>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</si>
  <si>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</si>
  <si>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</si>
  <si>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</si>
  <si>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</si>
  <si>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</si>
  <si>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</si>
  <si>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</si>
  <si>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</si>
  <si>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</si>
  <si>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</si>
  <si>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</si>
  <si>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</si>
  <si>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</si>
  <si>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</si>
  <si>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</si>
  <si>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</si>
  <si>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</si>
  <si>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</si>
  <si>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</si>
  <si>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</si>
  <si>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</si>
  <si>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</si>
  <si>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</si>
  <si>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</si>
  <si>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</si>
  <si>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</si>
  <si>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</si>
  <si>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</si>
  <si>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</si>
  <si>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</si>
  <si>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</si>
  <si>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</si>
  <si>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</si>
  <si>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</si>
  <si>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</si>
  <si>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</si>
  <si>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</si>
  <si>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</si>
  <si>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</si>
  <si>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</si>
  <si>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</si>
  <si>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</si>
  <si>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</si>
  <si>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</si>
  <si>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</si>
  <si>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</si>
  <si>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</si>
  <si>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</si>
  <si>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</si>
  <si>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</si>
  <si>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</si>
  <si>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</si>
  <si>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</si>
  <si>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</si>
  <si>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</si>
  <si>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</si>
  <si>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</si>
  <si>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</si>
  <si>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</si>
  <si>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</si>
  <si>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</si>
  <si>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</si>
  <si>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</si>
  <si>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</si>
  <si>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</si>
  <si>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</si>
  <si>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</si>
  <si>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</si>
  <si>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</si>
  <si>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</si>
  <si>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</si>
  <si>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</si>
  <si>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</si>
  <si>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</si>
  <si>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</si>
  <si>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</si>
  <si>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</si>
  <si>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</si>
  <si>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</si>
  <si>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</si>
  <si>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</si>
  <si>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</si>
  <si>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</si>
  <si>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</si>
  <si>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</si>
  <si>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</si>
  <si>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</si>
  <si>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</si>
  <si>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</si>
  <si>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</si>
  <si>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</si>
  <si>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</si>
  <si>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</si>
  <si>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</si>
  <si>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</si>
  <si>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</si>
  <si>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</si>
  <si>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</si>
  <si>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</si>
  <si>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</si>
  <si>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</si>
  <si>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</si>
  <si>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</si>
  <si>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</si>
  <si>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</si>
  <si>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</si>
  <si>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</si>
  <si>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</si>
  <si>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</si>
  <si>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</si>
  <si>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</si>
  <si>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</si>
  <si>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</si>
  <si>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</si>
  <si>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</si>
  <si>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</si>
  <si>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</si>
  <si>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</si>
  <si>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</si>
  <si>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</si>
  <si>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</si>
  <si>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</si>
  <si>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</si>
  <si>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</si>
  <si>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</si>
  <si>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</si>
  <si>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</si>
  <si>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</si>
  <si>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</si>
  <si>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</si>
  <si>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</si>
  <si>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</si>
  <si>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</si>
  <si>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</si>
  <si>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</si>
  <si>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</si>
  <si>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</si>
  <si>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</si>
  <si>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</si>
  <si>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</si>
  <si>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</si>
  <si>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</si>
  <si>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</si>
  <si>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</si>
  <si>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</si>
  <si>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</si>
  <si>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</si>
  <si>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</si>
  <si>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</si>
  <si>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</si>
  <si>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</si>
  <si>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</si>
  <si>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</si>
  <si>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</si>
  <si>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</si>
  <si>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</si>
  <si>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</si>
  <si>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</si>
  <si>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</si>
  <si>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</si>
  <si>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</si>
  <si>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</si>
  <si>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</si>
  <si>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</si>
  <si>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</si>
  <si>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</si>
  <si>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</si>
  <si>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</si>
  <si>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</si>
  <si>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</si>
  <si>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</si>
  <si>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</si>
  <si>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</si>
  <si>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</si>
  <si>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</si>
  <si>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</si>
  <si>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</si>
  <si>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</si>
  <si>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</si>
  <si>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</si>
  <si>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</si>
  <si>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</si>
  <si>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</si>
  <si>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</si>
  <si>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</si>
  <si>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</si>
  <si>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</si>
  <si>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</si>
  <si>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</si>
  <si>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</si>
  <si>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</si>
  <si>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</si>
  <si>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</si>
  <si>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</si>
  <si>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</si>
  <si>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</si>
  <si>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</si>
  <si>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</si>
  <si>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</si>
  <si>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</si>
  <si>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</si>
  <si>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</si>
  <si>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</si>
  <si>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</si>
  <si>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</si>
  <si>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</si>
  <si>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</si>
  <si>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</si>
  <si>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</si>
  <si>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</si>
  <si>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</si>
  <si>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</si>
  <si>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</si>
  <si>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</si>
  <si>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</si>
  <si>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</si>
  <si>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</si>
  <si>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</si>
  <si>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</si>
  <si>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</si>
  <si>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</si>
  <si>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</si>
  <si>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</si>
  <si>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</si>
  <si>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</si>
  <si>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</si>
  <si>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</si>
  <si>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</si>
  <si>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category</t>
    <phoneticPr fontId="22"/>
  </si>
  <si>
    <t>testunitimai</t>
    <phoneticPr fontId="22"/>
  </si>
  <si>
    <t>テストスキル11</t>
    <phoneticPr fontId="22"/>
  </si>
  <si>
    <t>赤パネルをCパネルに変換+2ターン黄属性の攻撃力と防御力を特大UPし、特大カウンター</t>
    <phoneticPr fontId="22"/>
  </si>
  <si>
    <t>[effect:force_change_block, new_block:crash, target:block_red, ignore01:block_positive, count:0, val:6, animation:change_block],[effect:enhance_unit, target:unit_yellow, turn:2, status:attack, val:0.21, calc:mul, animation:enhance_unit_all_attack04],[effect:enhance_unit, target:unit_yellow, turn:2, status:defense, val:1080, calc:add, animation:enhance_unit_all_defense04],[effect:counter_new, target:unit_all, invoke_condition:enemy_all, counter_target:attacker, turn:2, val:3, animation:counter_buff04]</t>
    <phoneticPr fontId="22"/>
  </si>
  <si>
    <t>テストユニットCスキル11</t>
    <phoneticPr fontId="22"/>
  </si>
  <si>
    <t>bug</t>
    <phoneticPr fontId="22"/>
  </si>
  <si>
    <t>1</t>
    <phoneticPr fontId="22"/>
  </si>
  <si>
    <t>テストユニットCスキル12</t>
    <phoneticPr fontId="22"/>
  </si>
  <si>
    <t>old</t>
  </si>
  <si>
    <t>[effect:heal_fix, val:8500, animation:heal04_unit01],[effect:force_change_block, new_block:crash, target:damage, ignore01:block_positive, count:0, val:8, animation:change_block],[effect:force_change_block, new_block:crash, target:block_blue, ignore01:block_positive, count:0, val:8, animation:change_block],[effect:force_change_block, new_block:block_red, target:block_green, ignore01:block_positive, count:0, val:0, animation:change_block],[effect:drop_block, block_type:crack_bomb, block_color:block_red, color:block_red, val:12, rate:1, turn:2, animation:damage_influence04],[effect:drop_block, block_type:crack_bomb, block_color:block_green, color:block_green, val:12, rate:1, turn:2, animation:damage_influence04]</t>
  </si>
  <si>
    <t>HP8500回復+ダメージ・青パネルをCパネルに、緑パネルを赤パネルに変換+1ターン赤・緑パネルが赤・緑ボムでドロップ</t>
  </si>
  <si>
    <t>テストスキル13</t>
    <phoneticPr fontId="22"/>
  </si>
  <si>
    <t>テストスキル14</t>
    <phoneticPr fontId="22"/>
  </si>
  <si>
    <t>テストユニットCスキル13</t>
    <phoneticPr fontId="22"/>
  </si>
  <si>
    <t>テストユニットCスキル14</t>
    <phoneticPr fontId="22"/>
  </si>
  <si>
    <t>1体に特大ダメージ+
ヒューマンに効果超大</t>
    <phoneticPr fontId="22"/>
  </si>
  <si>
    <t>[effect:damage, target:enemy_one, color:yellow, val:1.5, animation:damage_one_red04],[effect:enhance_unit, target:unit_yellow, turn:2, status:heal, val:0.075, calc:mul, animation:enhance_unit_all_heal02]</t>
    <phoneticPr fontId="22"/>
  </si>
  <si>
    <t>[effect:heal_fix, val:8500, animation:heal04_unit01],[effect:force_change_block, new_block:crash, target:damage, ignore01:block_positive, count:0, val:8, animation:change_block],[effect:force_change_block, new_block:crash, target:block_blue, ignore01:block_positive, count:0, val:8, animation:change_block],[effect:force_change_block, new_block:block_red, target:block_green, ignore01:block_positive, count:0, val:0, animation:change_block],[effect:drop_block, block_type:crack_bomb, block_color:block_red, color:block_red, val:12, rate:1, turn:2, animation:damage_influence04],[effect:drop_block, block_type:crack_bomb, block_color:block_green, color:block_green, val:12, rate:1, turn:2, animation:damage_influence04]</t>
    <phoneticPr fontId="22"/>
  </si>
  <si>
    <t>[effect:damage_anti_tribe, target:enemy_one, tribe:human, val1:3.75, val:1.5, animation:damage_one_yellow04]</t>
    <phoneticPr fontId="22"/>
  </si>
  <si>
    <t>ユニットスキル1</t>
    <phoneticPr fontId="22"/>
  </si>
  <si>
    <t>[effect:damage, target:enemy_one, color:blue, val:2.5, animation:damage_one_blue04]</t>
    <phoneticPr fontId="22"/>
  </si>
  <si>
    <t>1体に特大ダメージ+
1ターン黄属性の回復力をUP</t>
    <phoneticPr fontId="22"/>
  </si>
  <si>
    <t>1体に超大ダメージ</t>
    <phoneticPr fontId="22"/>
  </si>
  <si>
    <t>お邪魔・黄パネルを青パネル変換+1ターン青属性ユニットの攻撃力を特大UPし、タップ数を2増やし、青属性ユニット全員で攻撃</t>
    <phoneticPr fontId="22"/>
  </si>
  <si>
    <t>[effect:force_change_block, new_block:block_blue, target:jammer, count:0, val:0, animation:change_block],
[effect:force_change_block, new_block:block_blue, target:block_yellow, count:0, val:0, animation:change_block],
[effect:enhance_unit, target:unit_blue, turn:1, status:attack, val:0.21, calc:mul, animation:enhance_unit_all_attack04],
[effect:enhance_unit, target:unit_blue, turn:1, status:action, val:2, calc:add, animation:enhance_unit_one_action02],
[effect:attack_command, turn:1, target:unit_blue, val:1.0, animation:unit_all_attack_command05]</t>
    <phoneticPr fontId="22"/>
  </si>
  <si>
    <t>青い信長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</si>
</sst>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16" fillId="29" borderId="4" xfId="0" applyFont="1" applyFill="1" applyBorder="1" applyAlignment="1">
      <alignment horizontal="right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2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2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2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2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2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2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空欄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PremiumSSS</v>
          </cell>
          <cell r="K1564" t="str">
            <v>hp</v>
          </cell>
          <cell r="L1564" t="str">
            <v>体力タイプ</v>
          </cell>
          <cell r="M1564" t="str">
            <v>academia</v>
          </cell>
          <cell r="N1564" t="str">
            <v>アカデミア</v>
          </cell>
          <cell r="O1564" t="str">
            <v>none</v>
          </cell>
          <cell r="P1564" t="str">
            <v>種族なし</v>
          </cell>
          <cell r="Q1564" t="str">
            <v>アタッカー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空欄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red</v>
          </cell>
          <cell r="I1565">
            <v>6</v>
          </cell>
          <cell r="J1565" t="str">
            <v>PremiumSSS</v>
          </cell>
          <cell r="K1565" t="str">
            <v>hp</v>
          </cell>
          <cell r="L1565" t="str">
            <v>体力タイプ</v>
          </cell>
          <cell r="M1565" t="str">
            <v>academia</v>
          </cell>
          <cell r="N1565" t="str">
            <v>アカデミア</v>
          </cell>
          <cell r="O1565" t="str">
            <v>none</v>
          </cell>
          <cell r="P1565" t="str">
            <v>種族なし</v>
          </cell>
          <cell r="Q1565" t="str">
            <v>アタッカー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空欄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human</v>
          </cell>
          <cell r="N1566" t="str">
            <v>ヒューマン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attack</v>
          </cell>
          <cell r="L1586" t="str">
            <v>攻撃タイプ</v>
          </cell>
          <cell r="M1586" t="str">
            <v>human</v>
          </cell>
          <cell r="N1586" t="str">
            <v>ヒューマン</v>
          </cell>
          <cell r="O1586" t="str">
            <v>none</v>
          </cell>
          <cell r="P1586" t="str">
            <v>種族なし</v>
          </cell>
          <cell r="R1586">
            <v>1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ガーネット(結婚)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attack</v>
          </cell>
          <cell r="L1587" t="str">
            <v>攻撃タイプ</v>
          </cell>
          <cell r="M1587" t="str">
            <v>human</v>
          </cell>
          <cell r="N1587" t="str">
            <v>ヒューマン</v>
          </cell>
          <cell r="O1587" t="str">
            <v>none</v>
          </cell>
          <cell r="P1587" t="str">
            <v>種族なし</v>
          </cell>
          <cell r="R1587">
            <v>1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花嫁アマテラス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1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アマテラス(結婚)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1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technical</v>
          </cell>
          <cell r="L1590" t="str">
            <v>テクニカルタイプ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1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フォルトゥナ(結婚)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technical</v>
          </cell>
          <cell r="L1591" t="str">
            <v>テクニカルタイプ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1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1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リリィ(結婚)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1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1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白雪姫(結婚)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1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1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バステト(結婚)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1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1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イズン(結婚)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1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1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諸葛亮(結婚)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1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1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ジークフリート(結婚)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1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1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アマラ(結婚)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1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愛のエンジェル(クエスト覚醒素材)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3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ただの指輪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3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真実の愛の指輪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3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ra</v>
          </cell>
          <cell r="L1621" t="str">
            <v>ラグランジュチャレンジ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ra</v>
          </cell>
          <cell r="L1622" t="str">
            <v>ラグランジュチャレンジ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ra</v>
          </cell>
          <cell r="L1623" t="str">
            <v>ラグランジュチャレンジ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ra</v>
          </cell>
          <cell r="L1624" t="str">
            <v>ラグランジュチャレンジ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ra</v>
          </cell>
          <cell r="L1625" t="str">
            <v>ラグランジュチャレンジ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ra</v>
          </cell>
          <cell r="L1626" t="str">
            <v>ラグランジュチャレンジ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ra</v>
          </cell>
          <cell r="L1627" t="str">
            <v>ラグランジュチャレンジ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ra</v>
          </cell>
          <cell r="L1628" t="str">
            <v>ラグランジュチャレンジ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ra</v>
          </cell>
          <cell r="L1629" t="str">
            <v>ラグランジュチャレンジ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ra</v>
          </cell>
          <cell r="L1630" t="str">
            <v>ラグランジュチャレンジ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1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★６関羽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1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1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★６曹操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1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dragon</v>
          </cell>
          <cell r="N1781" t="str">
            <v>ドラゴン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dragon</v>
          </cell>
          <cell r="N1782" t="str">
            <v>ドラゴン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attack</v>
          </cell>
          <cell r="L1860" t="str">
            <v>攻撃タイプ</v>
          </cell>
          <cell r="M1860" t="str">
            <v>human</v>
          </cell>
          <cell r="N1860" t="str">
            <v>ヒューマン</v>
          </cell>
          <cell r="O1860" t="str">
            <v>hero</v>
          </cell>
          <cell r="P1860" t="str">
            <v>ヒーロー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DropWizSS</v>
          </cell>
          <cell r="K1861" t="str">
            <v>hp</v>
          </cell>
          <cell r="L1861" t="str">
            <v>体力タイプ</v>
          </cell>
          <cell r="M1861" t="str">
            <v>hero</v>
          </cell>
          <cell r="N1861" t="str">
            <v>ヒーロー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スキルゲージUP</v>
          </cell>
          <cell r="D172" t="str">
            <v>自身が先頭の時、1タップで18個以上パネルを繋げた場合に自身のスキルゲージを1増やす(1ターンに1度だけ発動)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スキルゲージUP</v>
          </cell>
          <cell r="D181" t="str">
            <v>自身が先頭の時、1タップで22個以上パネルを繋げた場合に自身のスキルゲージを1増やす(1ターンに1度だけ発動)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スキルゲージUP</v>
          </cell>
          <cell r="D184" t="str">
            <v>自身が先頭の時、1タップで16個以上パネルを繋げた場合に自身のスキルゲージを1増やす(1ターンに1度だけ発動)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1000</v>
          </cell>
          <cell r="B188" t="str">
            <v>ja</v>
          </cell>
          <cell r="C188" t="str">
            <v>対種族ヒューマン 超大カウンター</v>
          </cell>
          <cell r="D188" t="str">
            <v>敵に種族ヒューマンがいる場合、自身に超大カウンター</v>
          </cell>
        </row>
        <row r="189">
          <cell r="A189">
            <v>1100</v>
          </cell>
          <cell r="B189" t="str">
            <v>ja</v>
          </cell>
          <cell r="C189" t="str">
            <v>Cパネル生成短縮</v>
          </cell>
          <cell r="D189" t="str">
            <v>自身が先頭の時、Cパネル生成に必要なチェイン数を1短縮する</v>
          </cell>
        </row>
        <row r="190">
          <cell r="A190">
            <v>1101</v>
          </cell>
          <cell r="B190" t="str">
            <v>ja</v>
          </cell>
          <cell r="C190" t="str">
            <v>Cパネル生成短縮(大)</v>
          </cell>
          <cell r="D190" t="str">
            <v>自身が先頭の時、Cパネル生成に必要なチェイン数を2短縮する</v>
          </cell>
        </row>
        <row r="191">
          <cell r="A191">
            <v>1200</v>
          </cell>
          <cell r="B191" t="str">
            <v>ja</v>
          </cell>
          <cell r="C191" t="str">
            <v>フィーバー攻撃UP</v>
          </cell>
          <cell r="D191" t="str">
            <v>自身が先頭の時、フィーバー発動時に緑属性の攻撃力と回復力UP</v>
          </cell>
        </row>
        <row r="192">
          <cell r="A192">
            <v>1300</v>
          </cell>
          <cell r="B192" t="str">
            <v>ja</v>
          </cell>
          <cell r="C192" t="str">
            <v>チェイン12 HP回復</v>
          </cell>
          <cell r="D192" t="str">
            <v>自身が先頭の時、1タップで12個以上パネルを繋げた場合にHPを2000回復(1ターンに1度だけ発動)</v>
          </cell>
        </row>
        <row r="193">
          <cell r="A193">
            <v>1400</v>
          </cell>
          <cell r="B193" t="str">
            <v>ja</v>
          </cell>
          <cell r="C193" t="str">
            <v>カウンター威力UP</v>
          </cell>
          <cell r="D193" t="str">
            <v>4ターン毎に自身のカウンタースキルの威力が1ターンの間UP</v>
          </cell>
        </row>
        <row r="194">
          <cell r="A194">
            <v>1500</v>
          </cell>
          <cell r="B194" t="str">
            <v>ja</v>
          </cell>
          <cell r="C194" t="str">
            <v>バリア15000</v>
          </cell>
          <cell r="D194" t="str">
            <v>戦闘開始時に、自身への直接ダメージを15000まで防ぐバリアを一度だけ展開(バリアは破壊されると復活しない)</v>
          </cell>
        </row>
        <row r="195">
          <cell r="A195">
            <v>1501</v>
          </cell>
          <cell r="B195" t="str">
            <v>ja</v>
          </cell>
          <cell r="C195" t="str">
            <v>バリア</v>
          </cell>
          <cell r="D195" t="str">
            <v>戦闘開始時に、ダメージを25000まで防ぐバリアを一度だけ展開</v>
          </cell>
        </row>
        <row r="196">
          <cell r="A196">
            <v>1502</v>
          </cell>
          <cell r="B196" t="str">
            <v>ja</v>
          </cell>
          <cell r="C196" t="str">
            <v>バリア</v>
          </cell>
          <cell r="D196" t="str">
            <v>戦闘開始時に、ダメージを50000まで防ぐバリアを一度だけ展開</v>
          </cell>
        </row>
        <row r="197">
          <cell r="A197">
            <v>1503</v>
          </cell>
          <cell r="B197" t="str">
            <v>ja</v>
          </cell>
          <cell r="C197" t="str">
            <v>バリア8000</v>
          </cell>
          <cell r="D197" t="str">
            <v>戦闘開始時に、自身への直接ダメージを8000まで防ぐバリアを一度だけ展開(バリアは破壊されると復活しない)</v>
          </cell>
        </row>
        <row r="198">
          <cell r="A198">
            <v>1504</v>
          </cell>
          <cell r="B198" t="str">
            <v>ja</v>
          </cell>
          <cell r="C198" t="str">
            <v>バリア10000</v>
          </cell>
          <cell r="D198" t="str">
            <v>戦闘開始時に、自身への直接ダメージを10000まで防ぐバリアを一度だけ展開(バリアは破壊されると復活しない)</v>
          </cell>
        </row>
        <row r="199">
          <cell r="A199">
            <v>1505</v>
          </cell>
          <cell r="B199" t="str">
            <v>ja</v>
          </cell>
          <cell r="C199" t="str">
            <v>バリア3939</v>
          </cell>
          <cell r="D199" t="str">
            <v>戦闘開始時に、自身への直接ダメージを3939まで防ぐバリアを一度だけ展開(バリアは破壊されると復活しない)</v>
          </cell>
        </row>
        <row r="200">
          <cell r="A200">
            <v>1506</v>
          </cell>
          <cell r="B200" t="str">
            <v>ja</v>
          </cell>
          <cell r="C200" t="str">
            <v>バリア5000</v>
          </cell>
          <cell r="D200" t="str">
            <v>戦闘開始時に、自身への直接ダメージを5000まで防ぐバリアを一度だけ展開(バリアは破壊されると復活しない)</v>
          </cell>
        </row>
        <row r="201">
          <cell r="A201">
            <v>1600</v>
          </cell>
          <cell r="B201" t="str">
            <v>ja</v>
          </cell>
          <cell r="C201" t="str">
            <v>攻撃力・回復力UP</v>
          </cell>
          <cell r="D201" t="str">
            <v>自身の攻撃力と回復力をUP</v>
          </cell>
        </row>
        <row r="202">
          <cell r="A202">
            <v>1601</v>
          </cell>
          <cell r="B202" t="str">
            <v>ja</v>
          </cell>
          <cell r="C202" t="str">
            <v>隣接ユニット 回復力UP</v>
          </cell>
          <cell r="D202" t="str">
            <v>右隣のユニットの回復力を1000UPする</v>
          </cell>
        </row>
        <row r="203">
          <cell r="A203">
            <v>1602</v>
          </cell>
          <cell r="B203" t="str">
            <v>ja</v>
          </cell>
          <cell r="C203" t="str">
            <v>攻撃力UP</v>
          </cell>
          <cell r="D203" t="str">
            <v>テクニカルタイプの攻撃力を625UP</v>
          </cell>
        </row>
        <row r="204">
          <cell r="A204">
            <v>1700</v>
          </cell>
          <cell r="B204" t="str">
            <v>ja</v>
          </cell>
          <cell r="C204" t="str">
            <v>パネルブレイク30 ターンHP小回復</v>
          </cell>
          <cell r="D204" t="str">
            <v>自身が先頭の時、1ターンの間に合計30個以上パネルを破壊した場合に1ターン HP小回復</v>
          </cell>
        </row>
        <row r="205">
          <cell r="A205">
            <v>1701</v>
          </cell>
          <cell r="B205" t="str">
            <v>ja</v>
          </cell>
          <cell r="C205" t="str">
            <v>ターン終了時HP回復</v>
          </cell>
          <cell r="D205" t="str">
            <v>最初の1ターン目と、その後5ターン毎のターン終了時、HPを2500回復する</v>
          </cell>
        </row>
        <row r="206">
          <cell r="A206">
            <v>1702</v>
          </cell>
          <cell r="B206" t="str">
            <v>ja</v>
          </cell>
          <cell r="C206" t="str">
            <v>ターン経過攻撃力UP</v>
          </cell>
          <cell r="D206" t="str">
            <v>最初の1ターン目と、その後6ターン毎に1ターン種族ドラゴン・ファンタジー・アニマルの攻撃力を1000UP</v>
          </cell>
        </row>
        <row r="207">
          <cell r="A207">
            <v>1703</v>
          </cell>
          <cell r="B207" t="str">
            <v>ja</v>
          </cell>
          <cell r="C207" t="str">
            <v>隣接ユニット スキルゲージ増加(9ターン)</v>
          </cell>
          <cell r="D207" t="str">
            <v>9ターン毎に右隣のユニットのスキルゲージを1増加</v>
          </cell>
        </row>
        <row r="208">
          <cell r="A208">
            <v>1704</v>
          </cell>
          <cell r="B208" t="str">
            <v>ja</v>
          </cell>
          <cell r="C208" t="str">
            <v>ターン経過回復力UP</v>
          </cell>
          <cell r="D208" t="str">
            <v>最初の1ターン目と、その後6ターン毎に1ターン自身と右隣のユニットの回復力を1500UP</v>
          </cell>
        </row>
        <row r="209">
          <cell r="A209">
            <v>1800</v>
          </cell>
          <cell r="B209" t="str">
            <v>ja</v>
          </cell>
          <cell r="C209" t="str">
            <v>フィーバー強化</v>
          </cell>
          <cell r="D209" t="str">
            <v>フィーバー時自身の攻撃力、回復力を特大UP</v>
          </cell>
        </row>
        <row r="210">
          <cell r="A210">
            <v>1900</v>
          </cell>
          <cell r="B210" t="str">
            <v>ja</v>
          </cell>
          <cell r="C210" t="str">
            <v>ハート出現率UP</v>
          </cell>
          <cell r="D210" t="str">
            <v>自身が先頭の時、ハートパネルの出現率UP</v>
          </cell>
        </row>
        <row r="211">
          <cell r="A211">
            <v>2000</v>
          </cell>
          <cell r="B211" t="str">
            <v>ja</v>
          </cell>
          <cell r="C211" t="str">
            <v>赤パネル出現率UP</v>
          </cell>
          <cell r="D211" t="str">
            <v>自身が先頭の時、赤パネルの出現率UP</v>
          </cell>
        </row>
        <row r="212">
          <cell r="A212">
            <v>2100</v>
          </cell>
          <cell r="B212" t="str">
            <v>ja</v>
          </cell>
          <cell r="C212" t="str">
            <v>緑パネル出現率UP</v>
          </cell>
          <cell r="D212" t="str">
            <v>自身が先頭の時、緑パネルの出現率UP</v>
          </cell>
        </row>
        <row r="213">
          <cell r="A213">
            <v>2101</v>
          </cell>
          <cell r="B213" t="str">
            <v>ja</v>
          </cell>
          <cell r="C213" t="str">
            <v>緑パネル出現率UP</v>
          </cell>
          <cell r="D213" t="str">
            <v>自身が先頭の時、緑パネルの出現率UP</v>
          </cell>
        </row>
        <row r="214">
          <cell r="A214">
            <v>2200</v>
          </cell>
          <cell r="B214" t="str">
            <v>ja</v>
          </cell>
          <cell r="C214" t="str">
            <v>青パネル出現率UP</v>
          </cell>
          <cell r="D214" t="str">
            <v>自身が先頭の時、青パネルの出現率UP</v>
          </cell>
        </row>
        <row r="215">
          <cell r="A215">
            <v>2201</v>
          </cell>
          <cell r="B215" t="str">
            <v>ja</v>
          </cell>
          <cell r="C215" t="str">
            <v>青パネル出現率UP</v>
          </cell>
          <cell r="D215" t="str">
            <v>自身が先頭の時、青パネルの出現率UP</v>
          </cell>
        </row>
        <row r="216">
          <cell r="A216">
            <v>2300</v>
          </cell>
          <cell r="B216" t="str">
            <v>ja</v>
          </cell>
          <cell r="C216" t="str">
            <v>黄パネル出現率UP</v>
          </cell>
          <cell r="D216" t="str">
            <v>自身が先頭の時、黄パネルの出現率UP</v>
          </cell>
        </row>
        <row r="217">
          <cell r="A217">
            <v>2400</v>
          </cell>
          <cell r="B217" t="str">
            <v>ja</v>
          </cell>
          <cell r="C217" t="str">
            <v>ハートボムパネルドロップ</v>
          </cell>
          <cell r="D217" t="str">
            <v>自身が先頭の時、ハートパネルを確率でハートボムパネルに変換しドロップ</v>
          </cell>
        </row>
        <row r="218">
          <cell r="A218">
            <v>2401</v>
          </cell>
          <cell r="B218" t="str">
            <v>ja</v>
          </cell>
          <cell r="C218" t="str">
            <v>赤ボムパネルドロップ</v>
          </cell>
          <cell r="D218" t="str">
            <v>自身が先頭の時、赤パネルを低確率で赤ボムパネルに変換しドロップ</v>
          </cell>
        </row>
        <row r="219">
          <cell r="A219">
            <v>2402</v>
          </cell>
          <cell r="B219" t="str">
            <v>ja</v>
          </cell>
          <cell r="C219" t="str">
            <v>緑ボムパネルドロップ</v>
          </cell>
          <cell r="D219" t="str">
            <v>自身が先頭の時、緑パネルを低確率で緑ボムパネルに変換しドロップ</v>
          </cell>
        </row>
        <row r="220">
          <cell r="A220">
            <v>2403</v>
          </cell>
          <cell r="B220" t="str">
            <v>ja</v>
          </cell>
          <cell r="C220" t="str">
            <v>青ボムパネルドロップ</v>
          </cell>
          <cell r="D220" t="str">
            <v>自身が先頭の時、青パネルを確率で青ボムパネルに変換しドロップ</v>
          </cell>
        </row>
        <row r="221">
          <cell r="A221">
            <v>2500</v>
          </cell>
          <cell r="B221" t="str">
            <v>ja</v>
          </cell>
          <cell r="C221" t="str">
            <v>青パネルドロップ</v>
          </cell>
          <cell r="D221" t="str">
            <v>自身が先頭の時、緑パネルを確率で青パネルに変換しドロップ</v>
          </cell>
        </row>
        <row r="222">
          <cell r="A222">
            <v>2501</v>
          </cell>
          <cell r="B222" t="str">
            <v>ja</v>
          </cell>
          <cell r="C222" t="str">
            <v>黄パネルドロップ</v>
          </cell>
          <cell r="D222" t="str">
            <v>自身が先頭の時、青パネルを確率で黄パネルに変換しドロップ</v>
          </cell>
        </row>
        <row r="223">
          <cell r="A223">
            <v>2502</v>
          </cell>
          <cell r="B223" t="str">
            <v>ja</v>
          </cell>
          <cell r="C223" t="str">
            <v>赤パネルドロップ</v>
          </cell>
          <cell r="D223" t="str">
            <v>自身が先頭の時、黄パネルを確率で赤パネルに変換しドロップ</v>
          </cell>
        </row>
        <row r="224">
          <cell r="A224">
            <v>2503</v>
          </cell>
          <cell r="B224" t="str">
            <v>ja</v>
          </cell>
          <cell r="C224" t="str">
            <v>黄パネルドロップ</v>
          </cell>
          <cell r="D224" t="str">
            <v>自身が先頭の時、赤パネルを確率で黄パネルに変換しドロップ</v>
          </cell>
        </row>
        <row r="225">
          <cell r="A225">
            <v>2504</v>
          </cell>
          <cell r="B225" t="str">
            <v>ja</v>
          </cell>
          <cell r="C225" t="str">
            <v>SCパネルドロップ</v>
          </cell>
          <cell r="D225" t="str">
            <v>自身が先頭の時、緑パネルを確率でSCパネルに変換しドロップ</v>
          </cell>
        </row>
        <row r="226">
          <cell r="A226">
            <v>2505</v>
          </cell>
          <cell r="B226" t="str">
            <v>ja</v>
          </cell>
          <cell r="C226" t="str">
            <v>緑ボムパネル(大)ドロップ</v>
          </cell>
          <cell r="D226" t="str">
            <v>自身が先頭の時、低確率で緑ボムパネル(大)をドロップ</v>
          </cell>
        </row>
        <row r="227">
          <cell r="A227">
            <v>2506</v>
          </cell>
          <cell r="B227" t="str">
            <v>ja</v>
          </cell>
          <cell r="C227" t="str">
            <v>ハートボムパネル(大)ドロップ</v>
          </cell>
          <cell r="D227" t="str">
            <v>自身が先頭の時、低確率でハートボムパネル(大)をドロップ</v>
          </cell>
        </row>
        <row r="228">
          <cell r="A228">
            <v>2507</v>
          </cell>
          <cell r="B228" t="str">
            <v>ja</v>
          </cell>
          <cell r="C228" t="str">
            <v>Cパネルドロップ</v>
          </cell>
          <cell r="D228" t="str">
            <v>自身が先頭の時、低確率でCパネルをドロップ</v>
          </cell>
        </row>
        <row r="229">
          <cell r="A229">
            <v>2508</v>
          </cell>
          <cell r="B229" t="str">
            <v>ja</v>
          </cell>
          <cell r="C229" t="str">
            <v>黄パネルドロップ</v>
          </cell>
          <cell r="D229" t="str">
            <v>自身が先頭の時、緑パネルを確率で黄パネルに変換しドロップ</v>
          </cell>
        </row>
        <row r="230">
          <cell r="A230">
            <v>2509</v>
          </cell>
          <cell r="B230" t="str">
            <v>ja</v>
          </cell>
          <cell r="C230" t="str">
            <v>赤ボムパネル(大)ドロップ</v>
          </cell>
          <cell r="D230" t="str">
            <v>自身が先頭の時、低確率で赤ボムパネル(大)をドロップ</v>
          </cell>
        </row>
        <row r="231">
          <cell r="A231">
            <v>2510</v>
          </cell>
          <cell r="B231" t="str">
            <v>ja</v>
          </cell>
          <cell r="C231" t="str">
            <v>青ボムパネル(大)ドロップ</v>
          </cell>
          <cell r="D231" t="str">
            <v>自身が先頭の時、低確率で青ボムパネル(大)をドロップ</v>
          </cell>
        </row>
        <row r="232">
          <cell r="A232">
            <v>2511</v>
          </cell>
          <cell r="B232" t="str">
            <v>ja</v>
          </cell>
          <cell r="C232" t="str">
            <v>緑ボムパネルドロップ</v>
          </cell>
          <cell r="D232" t="str">
            <v>自身が先頭の時、ハートパネルを確率で緑ボムパネルに変換しドロップ</v>
          </cell>
        </row>
        <row r="233">
          <cell r="A233">
            <v>2512</v>
          </cell>
          <cell r="B233" t="str">
            <v>ja</v>
          </cell>
          <cell r="C233" t="str">
            <v>ハートボムパネル(大)ドロップ</v>
          </cell>
          <cell r="D233" t="str">
            <v>自身が先頭の時、低確率でハートボムパネル(大)をドロップ</v>
          </cell>
        </row>
        <row r="234">
          <cell r="A234">
            <v>2513</v>
          </cell>
          <cell r="B234" t="str">
            <v>ja</v>
          </cell>
          <cell r="C234" t="str">
            <v>緑ボムパネル(大)ドロップ</v>
          </cell>
          <cell r="D234" t="str">
            <v>自身が先頭の時、低確率で緑ボムパネル(大)をドロップ</v>
          </cell>
        </row>
        <row r="235">
          <cell r="A235">
            <v>2514</v>
          </cell>
          <cell r="B235" t="str">
            <v>ja</v>
          </cell>
          <cell r="C235" t="str">
            <v>赤ボムパネルドロップ</v>
          </cell>
          <cell r="D235" t="str">
            <v>自身が先頭の時、青パネルを低確率で赤ボムパネルに変換しドロップ</v>
          </cell>
        </row>
        <row r="236">
          <cell r="A236">
            <v>2600</v>
          </cell>
          <cell r="B236" t="str">
            <v>ja</v>
          </cell>
          <cell r="C236" t="str">
            <v>回復力400UP</v>
          </cell>
          <cell r="D236" t="str">
            <v>自身の回復力を400UP</v>
          </cell>
        </row>
        <row r="237">
          <cell r="A237">
            <v>2601</v>
          </cell>
          <cell r="B237" t="str">
            <v>ja</v>
          </cell>
          <cell r="C237" t="str">
            <v>回復力300UP</v>
          </cell>
          <cell r="D237" t="str">
            <v>自身の回復力を300UP</v>
          </cell>
        </row>
        <row r="238">
          <cell r="A238">
            <v>2700</v>
          </cell>
          <cell r="B238" t="str">
            <v>ja</v>
          </cell>
          <cell r="C238" t="str">
            <v>攻撃力UP</v>
          </cell>
          <cell r="D238" t="str">
            <v>自身の攻撃力を300UP</v>
          </cell>
        </row>
        <row r="239">
          <cell r="A239">
            <v>2701</v>
          </cell>
          <cell r="B239" t="str">
            <v>ja</v>
          </cell>
          <cell r="C239" t="str">
            <v>攻撃力UP</v>
          </cell>
          <cell r="D239" t="str">
            <v>自身の攻撃力を500UP</v>
          </cell>
        </row>
        <row r="240">
          <cell r="A240">
            <v>2800</v>
          </cell>
          <cell r="B240" t="str">
            <v>ja</v>
          </cell>
          <cell r="C240" t="str">
            <v>防御力UP</v>
          </cell>
          <cell r="D240" t="str">
            <v>自身の防御力を250UP</v>
          </cell>
        </row>
        <row r="241">
          <cell r="A241">
            <v>2801</v>
          </cell>
          <cell r="B241" t="str">
            <v>ja</v>
          </cell>
          <cell r="C241" t="str">
            <v>防御力UP</v>
          </cell>
          <cell r="D241" t="str">
            <v>自身の防御力を350UP</v>
          </cell>
        </row>
        <row r="242">
          <cell r="A242">
            <v>2802</v>
          </cell>
          <cell r="B242" t="str">
            <v>ja</v>
          </cell>
          <cell r="C242" t="str">
            <v>防御力UP</v>
          </cell>
          <cell r="D242" t="str">
            <v>自身の防御力を300UP</v>
          </cell>
        </row>
        <row r="243">
          <cell r="A243">
            <v>2803</v>
          </cell>
          <cell r="B243" t="str">
            <v>ja</v>
          </cell>
          <cell r="C243" t="str">
            <v>防御力UP</v>
          </cell>
          <cell r="D243" t="str">
            <v>自身の防御力を400UP</v>
          </cell>
        </row>
        <row r="244">
          <cell r="A244">
            <v>2804</v>
          </cell>
          <cell r="B244" t="str">
            <v>ja</v>
          </cell>
          <cell r="C244" t="str">
            <v>防御力UP</v>
          </cell>
          <cell r="D244" t="str">
            <v>自身の防御力を280UP</v>
          </cell>
        </row>
        <row r="245">
          <cell r="A245">
            <v>2805</v>
          </cell>
          <cell r="B245" t="str">
            <v>ja</v>
          </cell>
          <cell r="C245" t="str">
            <v>ターン防御力UP</v>
          </cell>
          <cell r="D245" t="str">
            <v>最初の1ターン目と、その後3ターン毎に1ターン緑属性ユニットの防御力を500UP</v>
          </cell>
        </row>
        <row r="246">
          <cell r="A246">
            <v>2900</v>
          </cell>
          <cell r="B246" t="str">
            <v>ja</v>
          </cell>
          <cell r="C246" t="str">
            <v>フィーバー50 攻撃力小UP</v>
          </cell>
          <cell r="D246" t="str">
            <v>フィーバーゲージが50％以上の時、自身の攻撃力小UP</v>
          </cell>
        </row>
        <row r="247">
          <cell r="A247">
            <v>2901</v>
          </cell>
          <cell r="B247" t="str">
            <v>ja</v>
          </cell>
          <cell r="C247" t="str">
            <v>フィーバー40 攻撃力UP</v>
          </cell>
          <cell r="D247" t="str">
            <v>フィーバーゲージが40％以上の時、自身の攻撃力UP</v>
          </cell>
        </row>
        <row r="248">
          <cell r="A248">
            <v>2902</v>
          </cell>
          <cell r="B248" t="str">
            <v>ja</v>
          </cell>
          <cell r="C248" t="str">
            <v>フィーバー80 攻撃力大UP</v>
          </cell>
          <cell r="D248" t="str">
            <v>フィーバーゲージが80％以上の時、自身の攻撃力大UP</v>
          </cell>
        </row>
        <row r="249">
          <cell r="A249">
            <v>2903</v>
          </cell>
          <cell r="B249" t="str">
            <v>ja</v>
          </cell>
          <cell r="C249" t="str">
            <v>フィーバー100 攻撃参加</v>
          </cell>
          <cell r="D249" t="str">
            <v>フィーバーゲージが100％の時、自身が先頭以外でも通常攻撃に参加する</v>
          </cell>
        </row>
        <row r="250">
          <cell r="A250">
            <v>2904</v>
          </cell>
          <cell r="B250" t="str">
            <v>ja</v>
          </cell>
          <cell r="C250" t="str">
            <v>フィーバー70 HP回復</v>
          </cell>
          <cell r="D250" t="str">
            <v>フィーバーゲージが70%以上の時、毎ターン終了時、HPを1500回復する</v>
          </cell>
        </row>
        <row r="251">
          <cell r="A251">
            <v>2905</v>
          </cell>
          <cell r="B251" t="str">
            <v>ja</v>
          </cell>
          <cell r="C251" t="str">
            <v>フィーバー100 Cパネル生成短縮</v>
          </cell>
          <cell r="D251" t="str">
            <v>フィーバーゲージが100％の時、全ユニットのCパネル生成に必要なチェイン数を1短縮する</v>
          </cell>
        </row>
        <row r="252">
          <cell r="A252">
            <v>3000</v>
          </cell>
          <cell r="B252" t="str">
            <v>ja</v>
          </cell>
          <cell r="C252" t="str">
            <v>攻撃参加</v>
          </cell>
          <cell r="D252" t="str">
            <v>最初の1ターン目と、その後7ターン毎に自身が先頭以外でも通常攻撃に参加する</v>
          </cell>
        </row>
        <row r="253">
          <cell r="A253">
            <v>3001</v>
          </cell>
          <cell r="B253" t="str">
            <v>ja</v>
          </cell>
          <cell r="C253" t="str">
            <v>攻撃参加</v>
          </cell>
          <cell r="D253" t="str">
            <v>最初の1ターン目と、その後6ターン毎に自身が先頭以外でも通常攻撃に参加する</v>
          </cell>
        </row>
        <row r="254">
          <cell r="A254">
            <v>3002</v>
          </cell>
          <cell r="B254" t="str">
            <v>ja</v>
          </cell>
          <cell r="C254" t="str">
            <v>攻撃参加</v>
          </cell>
          <cell r="D254" t="str">
            <v>最初の1ターン目と、その後9ターン毎に自身が先頭以外でも通常攻撃に参加する</v>
          </cell>
        </row>
        <row r="255">
          <cell r="A255">
            <v>3100</v>
          </cell>
          <cell r="B255" t="str">
            <v>ja</v>
          </cell>
          <cell r="C255" t="str">
            <v>最終フロア Cパネル生成短縮(特大)</v>
          </cell>
          <cell r="D255" t="str">
            <v>最終フロア内で自身が先頭の時、Cパネル生成に必要なチェイン数を4短縮する</v>
          </cell>
        </row>
        <row r="256">
          <cell r="A256">
            <v>3101</v>
          </cell>
          <cell r="B256" t="str">
            <v>ja</v>
          </cell>
          <cell r="C256" t="str">
            <v>ボスフロア時 バリア3000</v>
          </cell>
          <cell r="D256" t="str">
            <v>ボスフロア到達時に自身への直接ダメージを3000まで防ぐバリアを一度だけ展開(バリアは破壊されると復活しない)</v>
          </cell>
        </row>
        <row r="257">
          <cell r="A257">
            <v>3102</v>
          </cell>
          <cell r="B257" t="str">
            <v>ja</v>
          </cell>
          <cell r="C257" t="str">
            <v>最終フロア時 Cスキル威力UP</v>
          </cell>
          <cell r="D257" t="str">
            <v>最終フロアの1ターン目終了時に自身のCスキルの威力をUP</v>
          </cell>
        </row>
        <row r="258">
          <cell r="A258">
            <v>3103</v>
          </cell>
          <cell r="B258" t="str">
            <v>ja</v>
          </cell>
          <cell r="C258" t="str">
            <v>最終フロア 攻撃力UP</v>
          </cell>
          <cell r="D258" t="str">
            <v>最終フロア内で自身の攻撃力を700UP</v>
          </cell>
        </row>
        <row r="259">
          <cell r="A259">
            <v>3104</v>
          </cell>
          <cell r="B259" t="str">
            <v>ja</v>
          </cell>
          <cell r="C259" t="str">
            <v>最終フロア時 バリア5000</v>
          </cell>
          <cell r="D259" t="str">
            <v>最終フロア到達時に自身への直接ダメージを5000まで防ぐバリアを一度だけ展開(バリアは破壊されると復活しない)</v>
          </cell>
        </row>
        <row r="260">
          <cell r="A260">
            <v>3105</v>
          </cell>
          <cell r="B260" t="str">
            <v>ja</v>
          </cell>
          <cell r="C260" t="str">
            <v>最終フロア時 バリア7000</v>
          </cell>
          <cell r="D260" t="str">
            <v>最終フロア到達時に自身への直接ダメージを7000まで防ぐバリアを一度だけ展開(バリアは破壊されると復活しない)</v>
          </cell>
        </row>
        <row r="261">
          <cell r="A261">
            <v>3106</v>
          </cell>
          <cell r="B261" t="str">
            <v>ja</v>
          </cell>
          <cell r="C261" t="str">
            <v>最終フロア時 HP回復</v>
          </cell>
          <cell r="D261" t="str">
            <v>最終フロア到達時にパーティの合計HPの20％を回復する</v>
          </cell>
        </row>
        <row r="262">
          <cell r="A262">
            <v>3200</v>
          </cell>
          <cell r="B262" t="str">
            <v>ja</v>
          </cell>
          <cell r="C262" t="str">
            <v>HP33%以下 攻撃力UP</v>
          </cell>
          <cell r="D262" t="str">
            <v>自身が先頭の時、残りHPが33%以下で攻撃力特大UP</v>
          </cell>
        </row>
        <row r="263">
          <cell r="A263">
            <v>3201</v>
          </cell>
          <cell r="B263" t="str">
            <v>ja</v>
          </cell>
          <cell r="C263" t="str">
            <v>HP35%以下 回復力UP</v>
          </cell>
          <cell r="D263" t="str">
            <v>自身が先頭の時、残りHPが35%以下で回復力40%UP</v>
          </cell>
        </row>
        <row r="264">
          <cell r="A264">
            <v>3202</v>
          </cell>
          <cell r="B264" t="str">
            <v>ja</v>
          </cell>
          <cell r="C264" t="str">
            <v>HP90%以上 全属性耐性15</v>
          </cell>
          <cell r="D264" t="str">
            <v>自身が先頭の時、残りHPが90%以上で全ユニットに対する全属性の敵からの攻撃を15％軽減</v>
          </cell>
        </row>
        <row r="265">
          <cell r="A265">
            <v>3203</v>
          </cell>
          <cell r="B265" t="str">
            <v>ja</v>
          </cell>
          <cell r="C265" t="str">
            <v>HP50%以下 防御力UP</v>
          </cell>
          <cell r="D265" t="str">
            <v>自身が先頭の時、残りHPが50%以下で防御力398UP</v>
          </cell>
        </row>
        <row r="266">
          <cell r="A266">
            <v>3204</v>
          </cell>
          <cell r="B266" t="str">
            <v>ja</v>
          </cell>
          <cell r="C266" t="str">
            <v>HP30%以下 攻撃力大UP</v>
          </cell>
          <cell r="D266" t="str">
            <v>自身が先頭の時、残りHPが30%以下で攻撃力大UP</v>
          </cell>
        </row>
        <row r="267">
          <cell r="A267">
            <v>3205</v>
          </cell>
          <cell r="B267" t="str">
            <v>ja</v>
          </cell>
          <cell r="C267" t="str">
            <v>HP90%以上 ダメージ軽減</v>
          </cell>
          <cell r="D267" t="str">
            <v>残りHPが90%以上の時、全ユニットが敵からの攻撃を15％軽減</v>
          </cell>
        </row>
        <row r="268">
          <cell r="A268">
            <v>3206</v>
          </cell>
          <cell r="B268" t="str">
            <v>ja</v>
          </cell>
          <cell r="C268" t="str">
            <v>HP30%以下 回復力UP</v>
          </cell>
          <cell r="D268" t="str">
            <v>残りHPが30%以下の時、全ユニットの回復力20%UP</v>
          </cell>
        </row>
        <row r="269">
          <cell r="A269">
            <v>4000</v>
          </cell>
          <cell r="B269" t="str">
            <v>ja</v>
          </cell>
          <cell r="C269" t="str">
            <v>被ダメージ時 HP回復</v>
          </cell>
          <cell r="D269" t="str">
            <v>自身が攻撃を受けた場合、次のターンの開始時にHP500回復する</v>
          </cell>
        </row>
        <row r="270">
          <cell r="A270">
            <v>5000</v>
          </cell>
          <cell r="B270" t="str">
            <v>ja</v>
          </cell>
          <cell r="C270" t="str">
            <v>パーティー内ゴッド 攻撃力UP</v>
          </cell>
          <cell r="D270" t="str">
            <v>パーティー内に種族ゴッドがいる時、全ユニットの攻撃力を500UP</v>
          </cell>
        </row>
        <row r="271">
          <cell r="A271">
            <v>5001</v>
          </cell>
          <cell r="B271" t="str">
            <v>ja</v>
          </cell>
          <cell r="C271" t="str">
            <v>パーティー内バランス 回復力UP</v>
          </cell>
          <cell r="D271" t="str">
            <v>パーティー内にバランスタイプがいる時、全ユニットの回復力を500UP</v>
          </cell>
        </row>
        <row r="272">
          <cell r="A272">
            <v>5002</v>
          </cell>
          <cell r="B272" t="str">
            <v>ja</v>
          </cell>
          <cell r="C272" t="str">
            <v>パーティー内青属性 攻撃力UP</v>
          </cell>
          <cell r="D272" t="str">
            <v>パーティー内に青属性ユニットがいる時、全ユニットの攻撃力を700UP</v>
          </cell>
        </row>
        <row r="273">
          <cell r="A273">
            <v>5003</v>
          </cell>
          <cell r="B273" t="str">
            <v>ja</v>
          </cell>
          <cell r="C273" t="str">
            <v>パーティー内赤属性 自身攻撃力UP</v>
          </cell>
          <cell r="D273" t="str">
            <v>パーティー内に赤属性ユニットがいる時、自身の攻撃力を1500UP</v>
          </cell>
        </row>
        <row r="274">
          <cell r="A274">
            <v>8000</v>
          </cell>
          <cell r="B274" t="str">
            <v>ja</v>
          </cell>
          <cell r="C274" t="str">
            <v>ユニットが一番右にいるとき 攻撃力UP</v>
          </cell>
          <cell r="D274" t="str">
            <v>自身が一番右にいる場合、全ユニットの攻撃力UP</v>
          </cell>
        </row>
        <row r="275">
          <cell r="A275">
            <v>8001</v>
          </cell>
          <cell r="B275" t="str">
            <v>ja</v>
          </cell>
          <cell r="C275" t="str">
            <v>敵に青属性がいる場合 小カウンター</v>
          </cell>
          <cell r="D275" t="str">
            <v>敵に青属性がいる場合、小カウンター</v>
          </cell>
        </row>
        <row r="276">
          <cell r="A276">
            <v>8002</v>
          </cell>
          <cell r="B276" t="str">
            <v>ja</v>
          </cell>
          <cell r="C276" t="str">
            <v>テスト</v>
          </cell>
          <cell r="D276" t="str">
            <v>フロアスタート時、1ターン全ユニットの攻撃力UP</v>
          </cell>
        </row>
        <row r="277">
          <cell r="A277">
            <v>8003</v>
          </cell>
          <cell r="B277" t="str">
            <v>ja</v>
          </cell>
          <cell r="C277" t="str">
            <v>HP70%以上 ウィルス無効</v>
          </cell>
          <cell r="D277" t="str">
            <v>残りHPが70%以上で自身にかかるウィルスを無効化する</v>
          </cell>
        </row>
        <row r="278">
          <cell r="A278">
            <v>8004</v>
          </cell>
          <cell r="B278" t="str">
            <v>ja</v>
          </cell>
          <cell r="C278" t="str">
            <v>フロアスタート時 スキルブースト</v>
          </cell>
          <cell r="D278" t="str">
            <v>フロアスタート時、1ターンスキルブースト</v>
          </cell>
        </row>
        <row r="279">
          <cell r="A279">
            <v>8005</v>
          </cell>
          <cell r="B279" t="str">
            <v>ja</v>
          </cell>
          <cell r="C279" t="str">
            <v>ハートがハートボム大</v>
          </cell>
          <cell r="D279" t="str">
            <v>ハートがハートボム大</v>
          </cell>
        </row>
        <row r="280">
          <cell r="A280">
            <v>8006</v>
          </cell>
          <cell r="B280" t="str">
            <v>ja</v>
          </cell>
          <cell r="C280" t="str">
            <v>攻撃、回復、体力のCP短縮1</v>
          </cell>
          <cell r="D280" t="str">
            <v>攻撃、回復、体力のCP短縮1</v>
          </cell>
        </row>
        <row r="281">
          <cell r="A281">
            <v>8007</v>
          </cell>
          <cell r="B281" t="str">
            <v>ja</v>
          </cell>
          <cell r="C281" t="str">
            <v>自身の左ユニットが攻撃参加</v>
          </cell>
          <cell r="D281" t="str">
            <v>自身の左ユニットが攻撃参加</v>
          </cell>
        </row>
        <row r="282">
          <cell r="A282">
            <v>8008</v>
          </cell>
          <cell r="B282" t="str">
            <v>ja</v>
          </cell>
          <cell r="C282" t="str">
            <v>最終フロア Cパネル生成短縮(特大)</v>
          </cell>
          <cell r="D282" t="str">
            <v>最終フロア内で自身が先頭の時、Cパネル生成に必要なチェイン数を4短縮する</v>
          </cell>
        </row>
        <row r="283">
          <cell r="A283">
            <v>8009</v>
          </cell>
          <cell r="B283" t="str">
            <v>ja</v>
          </cell>
          <cell r="C283" t="str">
            <v>最終フロア Cパネル生成短縮(特大)</v>
          </cell>
          <cell r="D283" t="str">
            <v>最終フロア内で自身が先頭の時、Cパネル生成に必要なチェイン数を4短縮する</v>
          </cell>
        </row>
        <row r="284">
          <cell r="A284">
            <v>9000</v>
          </cell>
          <cell r="B284" t="str">
            <v>ja</v>
          </cell>
          <cell r="C284" t="str">
            <v>ハップルチャレンジ ダメージUP</v>
          </cell>
          <cell r="D284" t="str">
            <v>ハップルチャレンジ内で自身の全ての攻撃の威力をUP</v>
          </cell>
        </row>
        <row r="285">
          <cell r="A285">
            <v>9001</v>
          </cell>
          <cell r="B285" t="str">
            <v>ja</v>
          </cell>
          <cell r="C285" t="str">
            <v>クロネッカーチャレンジ ダメージUP</v>
          </cell>
          <cell r="D285" t="str">
            <v>クロネッカーチャレンジ内で自身の全ての攻撃の威力をUP</v>
          </cell>
        </row>
        <row r="286">
          <cell r="A286">
            <v>9002</v>
          </cell>
          <cell r="B286" t="str">
            <v>ja</v>
          </cell>
          <cell r="C286" t="str">
            <v>クロネッカーチャレンジ ダメージUP</v>
          </cell>
          <cell r="D286" t="str">
            <v>クロネッカーチャレンジ内で自身の全ての攻撃+カウンターの威力をUP</v>
          </cell>
        </row>
        <row r="287">
          <cell r="A287">
            <v>9003</v>
          </cell>
          <cell r="B287" t="str">
            <v>ja</v>
          </cell>
          <cell r="C287" t="str">
            <v>オイラーチャレンジ ダメージUP</v>
          </cell>
          <cell r="D287" t="str">
            <v>オイラーチャレンジ内で自身の全ての攻撃の威力をUP</v>
          </cell>
        </row>
        <row r="288">
          <cell r="A288">
            <v>9004</v>
          </cell>
          <cell r="B288" t="str">
            <v>ja</v>
          </cell>
          <cell r="C288" t="str">
            <v>オイラーチャレンジ ダメージ究極UP</v>
          </cell>
          <cell r="D288" t="str">
            <v>オイラーチャレンジ内で自身の全ての攻撃の威力を究極UP</v>
          </cell>
        </row>
        <row r="289">
          <cell r="A289">
            <v>9005</v>
          </cell>
          <cell r="B289" t="str">
            <v>ja</v>
          </cell>
          <cell r="C289" t="str">
            <v>ヘンペルチャレンジ ダメージUP</v>
          </cell>
          <cell r="D289" t="str">
            <v>ヘンペルチャレンジ内で自身の全ての攻撃の威力をUP</v>
          </cell>
        </row>
        <row r="290">
          <cell r="A290">
            <v>9006</v>
          </cell>
          <cell r="B290" t="str">
            <v>ja</v>
          </cell>
          <cell r="C290" t="str">
            <v>ヘンペルチャレンジ ダメージUP</v>
          </cell>
          <cell r="D290" t="str">
            <v>ヘンペルチャレンジ内で自身の全ての攻撃+カウンターの威力をUP</v>
          </cell>
        </row>
        <row r="291">
          <cell r="A291">
            <v>9007</v>
          </cell>
          <cell r="B291" t="str">
            <v>ja</v>
          </cell>
          <cell r="C291" t="str">
            <v>フロイトチャレンジ ダメージ究極UP</v>
          </cell>
          <cell r="D291" t="str">
            <v>フロイトチャレンジ内で自身の全ての攻撃の威力を究極UP</v>
          </cell>
        </row>
        <row r="292">
          <cell r="A292">
            <v>9008</v>
          </cell>
          <cell r="B292" t="str">
            <v>ja</v>
          </cell>
          <cell r="C292" t="str">
            <v>フロイトチャレンジ ダメージUP</v>
          </cell>
          <cell r="D292" t="str">
            <v>フロイトチャレンジ内で自身の全ての攻撃の威力をUP</v>
          </cell>
        </row>
        <row r="293">
          <cell r="A293">
            <v>9009</v>
          </cell>
          <cell r="B293" t="str">
            <v>ja</v>
          </cell>
          <cell r="C293" t="str">
            <v>フロイトチャレンジ ダメージUP</v>
          </cell>
          <cell r="D293" t="str">
            <v>フロイトチャレンジ内で自身の全ての攻撃+カウンターの威力をUP</v>
          </cell>
        </row>
        <row r="294">
          <cell r="A294">
            <v>119402</v>
          </cell>
          <cell r="B294" t="str">
            <v>ja</v>
          </cell>
          <cell r="C294" t="str">
            <v>ハロウィンナイトパニック！ 威力UP</v>
          </cell>
          <cell r="D294" t="str">
            <v>ハロウィンナイトパニック！内で自身の全ての攻撃の威力を究極UP</v>
          </cell>
        </row>
        <row r="295">
          <cell r="A295">
            <v>500801</v>
          </cell>
          <cell r="B295" t="str">
            <v>ja</v>
          </cell>
          <cell r="C295" t="str">
            <v>パネルブレイク35 攻撃力小UP</v>
          </cell>
          <cell r="D295" t="str">
            <v>自身が先頭の時、1ターンの間に合計35個以上パネルを破壊した場合に攻撃力小UP</v>
          </cell>
        </row>
        <row r="296">
          <cell r="A296">
            <v>808082</v>
          </cell>
          <cell r="B296" t="str">
            <v>ja</v>
          </cell>
          <cell r="C296" t="str">
            <v>Cパネルドロップ</v>
          </cell>
          <cell r="D296" t="str">
            <v>自身が先頭の時、低確率でCパネルをドロップ</v>
          </cell>
        </row>
        <row r="297">
          <cell r="A297">
            <v>900000</v>
          </cell>
          <cell r="B297" t="str">
            <v>ja</v>
          </cell>
          <cell r="C297" t="str">
            <v>フィーバー100 プロテクトブレイク</v>
          </cell>
          <cell r="D297" t="str">
            <v>フィーバーゲージが100％以上の時、1ターンプロテクトブレイク</v>
          </cell>
        </row>
        <row r="298">
          <cell r="A298">
            <v>900001</v>
          </cell>
          <cell r="B298" t="str">
            <v>ja</v>
          </cell>
          <cell r="C298" t="str">
            <v>フィーバー100 お邪魔ブレイク</v>
          </cell>
          <cell r="D298" t="str">
            <v>フィーバーゲージが100％以上の時、1ターンお邪魔ブレイク</v>
          </cell>
        </row>
        <row r="299">
          <cell r="A299">
            <v>900402</v>
          </cell>
          <cell r="B299" t="str">
            <v>ja</v>
          </cell>
          <cell r="C299" t="str">
            <v>バリア3500</v>
          </cell>
          <cell r="D299" t="str">
            <v>戦闘開始時に、自身への直接ダメージを3500まで防ぐバリアを一度だけ展開(バリアは破壊されると復活しない)</v>
          </cell>
        </row>
        <row r="300">
          <cell r="A300">
            <v>810202</v>
          </cell>
          <cell r="B300" t="str">
            <v>ja</v>
          </cell>
          <cell r="C300" t="str">
            <v>パネルブレイク50 ダメージ軽減</v>
          </cell>
          <cell r="D300" t="str">
            <v>自身が先頭の時、1ターンの間に合計50個以上パネルを破壊した場合敵からのダメージを15%軽減（1ターンに1度だけ発動）</v>
          </cell>
        </row>
        <row r="301">
          <cell r="A301">
            <v>811802</v>
          </cell>
          <cell r="B301" t="str">
            <v>ja</v>
          </cell>
          <cell r="C301" t="str">
            <v>ターン攻撃力UP</v>
          </cell>
          <cell r="D301" t="str">
            <v>最初の1ターン目と、その後6ターン毎に1ターン種族ドラゴン・ファンタジー・アニマルの攻撃力1000UP</v>
          </cell>
        </row>
        <row r="302">
          <cell r="A302">
            <v>812002</v>
          </cell>
          <cell r="B302" t="str">
            <v>ja</v>
          </cell>
          <cell r="C302" t="str">
            <v>ターンタップ増加</v>
          </cell>
          <cell r="D302" t="str">
            <v>最初の1ターン目と、その後6ターン毎に1ターン種族ドラゴン・ファンタジー・アニマルのタップ数1増加</v>
          </cell>
        </row>
        <row r="303">
          <cell r="A303">
            <v>811803</v>
          </cell>
          <cell r="B303" t="str">
            <v>ja</v>
          </cell>
          <cell r="C303" t="str">
            <v>端午クエスト ダメージUP</v>
          </cell>
          <cell r="D303" t="str">
            <v>端午クエスト内で自身の全ての攻撃の威力をUP</v>
          </cell>
        </row>
        <row r="304">
          <cell r="A304">
            <v>900802</v>
          </cell>
          <cell r="B304" t="str">
            <v>ja</v>
          </cell>
          <cell r="C304" t="str">
            <v>ターン攻撃力UP</v>
          </cell>
          <cell r="D304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F39" sqref="F39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352</v>
      </c>
      <c r="B2" s="105" t="s">
        <v>129</v>
      </c>
      <c r="C2" s="162" t="s">
        <v>344</v>
      </c>
      <c r="D2" s="105" t="s">
        <v>128</v>
      </c>
      <c r="E2" s="104" t="str">
        <f>B2&amp;C2&amp;D2</f>
        <v>units_testunitimai.tmp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321</v>
      </c>
      <c r="S2" s="105"/>
      <c r="T2" s="105"/>
      <c r="U2" s="105"/>
      <c r="V2" s="105"/>
      <c r="W2" s="105"/>
    </row>
    <row r="3" spans="1:29" x14ac:dyDescent="0.15">
      <c r="A3" s="105" t="s">
        <v>352</v>
      </c>
      <c r="B3" s="105" t="s">
        <v>292</v>
      </c>
      <c r="C3" s="162" t="s">
        <v>344</v>
      </c>
      <c r="D3" s="105" t="s">
        <v>128</v>
      </c>
      <c r="E3" s="104" t="str">
        <f>B3&amp;C3&amp;D3</f>
        <v>fork_awake_units_testunitimai.tmp</v>
      </c>
      <c r="F3" s="105" t="s">
        <v>293</v>
      </c>
      <c r="G3" s="59" t="s">
        <v>17</v>
      </c>
      <c r="H3" s="60" t="s">
        <v>294</v>
      </c>
      <c r="I3" s="60" t="s">
        <v>295</v>
      </c>
      <c r="J3" s="60" t="s">
        <v>296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352</v>
      </c>
      <c r="B4" s="105" t="s">
        <v>130</v>
      </c>
      <c r="C4" s="162" t="s">
        <v>344</v>
      </c>
      <c r="D4" s="105" t="s">
        <v>128</v>
      </c>
      <c r="E4" s="104" t="str">
        <f>B4&amp;C4&amp;D4</f>
        <v>awake_materials_testunitimai.tmp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352</v>
      </c>
      <c r="B5" s="105" t="s">
        <v>291</v>
      </c>
      <c r="C5" s="162" t="s">
        <v>344</v>
      </c>
      <c r="D5" s="105" t="s">
        <v>128</v>
      </c>
      <c r="E5" s="104" t="str">
        <f>B5&amp;C5&amp;D5</f>
        <v>fork_awake_materials_testunitimai.tmp</v>
      </c>
      <c r="F5" s="105" t="s">
        <v>123</v>
      </c>
      <c r="G5" s="181" t="s">
        <v>297</v>
      </c>
      <c r="H5" s="181" t="s">
        <v>298</v>
      </c>
      <c r="I5" s="181" t="s">
        <v>36</v>
      </c>
      <c r="J5" s="181" t="s">
        <v>37</v>
      </c>
      <c r="K5" s="181" t="s">
        <v>299</v>
      </c>
      <c r="L5" s="181" t="s">
        <v>300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352</v>
      </c>
      <c r="B6" s="105" t="s">
        <v>131</v>
      </c>
      <c r="C6" s="162" t="s">
        <v>344</v>
      </c>
      <c r="D6" s="105" t="s">
        <v>132</v>
      </c>
      <c r="E6" s="104" t="str">
        <f t="shared" ref="E6" si="0">B6&amp;C6&amp;D6</f>
        <v>unit_levels_calc_testunitimai.tmp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352</v>
      </c>
      <c r="B7" s="105" t="s">
        <v>143</v>
      </c>
      <c r="C7" s="162" t="s">
        <v>344</v>
      </c>
      <c r="D7" s="105" t="s">
        <v>144</v>
      </c>
      <c r="E7" s="104" t="str">
        <f>B7&amp;C7&amp;D7</f>
        <v>unit_skills_data_testunitimai.tmp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352</v>
      </c>
      <c r="B8" s="105" t="s">
        <v>149</v>
      </c>
      <c r="C8" s="162" t="s">
        <v>344</v>
      </c>
      <c r="D8" s="105" t="s">
        <v>128</v>
      </c>
      <c r="E8" s="104" t="str">
        <f>B8&amp;C8&amp;D8</f>
        <v>unit_skills_i18n_testunitimai.tmp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352</v>
      </c>
      <c r="B9" s="105" t="s">
        <v>153</v>
      </c>
      <c r="C9" s="162" t="s">
        <v>344</v>
      </c>
      <c r="D9" s="105" t="s">
        <v>154</v>
      </c>
      <c r="E9" s="104" t="str">
        <f>B9&amp;C9&amp;D9</f>
        <v>crash_skills_data_testunitimai.tmp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352</v>
      </c>
      <c r="B10" s="105" t="s">
        <v>157</v>
      </c>
      <c r="C10" s="162" t="s">
        <v>344</v>
      </c>
      <c r="D10" s="105" t="s">
        <v>158</v>
      </c>
      <c r="E10" s="104" t="str">
        <f t="shared" ref="E10" si="1">B10&amp;C10&amp;D10</f>
        <v>crash_skills_i18n_testunitimai.tmp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352</v>
      </c>
      <c r="B11" s="108" t="s">
        <v>135</v>
      </c>
      <c r="C11" s="162" t="s">
        <v>344</v>
      </c>
      <c r="D11" s="105" t="s">
        <v>158</v>
      </c>
      <c r="E11" s="104" t="str">
        <f t="shared" ref="E11:E12" si="2">B11&amp;C11&amp;D11</f>
        <v>unit_serifs_data_testunitimai.tmp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352</v>
      </c>
      <c r="B12" s="108" t="s">
        <v>136</v>
      </c>
      <c r="C12" s="162" t="s">
        <v>344</v>
      </c>
      <c r="D12" s="105" t="s">
        <v>158</v>
      </c>
      <c r="E12" s="104" t="str">
        <f t="shared" si="2"/>
        <v>unit_serifs_i18n_testunitimai.tmp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352</v>
      </c>
      <c r="B13" s="105" t="s">
        <v>318</v>
      </c>
      <c r="C13" s="162" t="s">
        <v>344</v>
      </c>
      <c r="D13" s="105" t="s">
        <v>253</v>
      </c>
      <c r="E13" s="104" t="str">
        <f>B13&amp;C13&amp;D13</f>
        <v>abilities_tmp_testunitimai.tmp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352</v>
      </c>
      <c r="B14" s="105" t="s">
        <v>258</v>
      </c>
      <c r="C14" s="162" t="s">
        <v>344</v>
      </c>
      <c r="D14" s="105" t="s">
        <v>128</v>
      </c>
      <c r="E14" s="104" t="str">
        <f>B14&amp;C14&amp;D14</f>
        <v>abilities_i18n_testunitimai.tmp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98" t="s">
        <v>343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352</v>
      </c>
      <c r="B15" s="105" t="s">
        <v>261</v>
      </c>
      <c r="C15" s="162" t="s">
        <v>344</v>
      </c>
      <c r="D15" s="105" t="s">
        <v>128</v>
      </c>
      <c r="E15" s="104" t="str">
        <f>B15&amp;C15&amp;D15</f>
        <v>unit_abilities_testunitimai.tmp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5"/>
  <sheetViews>
    <sheetView showGridLines="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B2" sqref="B2:B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322</v>
      </c>
    </row>
    <row r="2" spans="1:70" ht="26" customHeight="1" x14ac:dyDescent="0.15">
      <c r="A2" s="186">
        <v>10011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テストユニット11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35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0">
        <f ca="1">VLOOKUP(Q2,[1]character_type_i18n!$A:$H,4,FALSE)</f>
        <v>1</v>
      </c>
      <c r="T2" s="10">
        <f ca="1">VLOOKUP(Q2,[1]character_type_i18n!$A:$H,5,FALSE)</f>
        <v>1</v>
      </c>
      <c r="U2" s="10">
        <f ca="1">VLOOKUP(Q2,[1]character_type_i18n!$A:$H,6,FALSE)</f>
        <v>1</v>
      </c>
      <c r="V2" s="10">
        <f ca="1">VLOOKUP(Q2,[1]character_type_i18n!$A:$H,7,FALSE)</f>
        <v>1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god</v>
      </c>
      <c r="Z2" s="5" t="str">
        <f ca="1">VLOOKUP(Y2,[1]character_tribe_i18n!$A:$H,3,FALSE)</f>
        <v>ゴッド</v>
      </c>
      <c r="AA2" s="10">
        <f ca="1">VLOOKUP(W2,[1]character_tribe_i18n!$A:$H,4,FALSE)</f>
        <v>0.94</v>
      </c>
      <c r="AB2" s="10">
        <f ca="1">VLOOKUP(W2,[1]character_tribe_i18n!$A:$H,5,FALSE)</f>
        <v>0.99</v>
      </c>
      <c r="AC2" s="10">
        <f ca="1">VLOOKUP(W2,[1]character_tribe_i18n!$A:$H,6,FALSE)</f>
        <v>1</v>
      </c>
      <c r="AD2" s="10">
        <f ca="1">VLOOKUP(W2,[1]character_tribe_i18n!$A:$H,7,FALSE)</f>
        <v>1.07</v>
      </c>
      <c r="AE2" s="187" t="s">
        <v>183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7">
        <v>10011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テストユニット11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10011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テストスキル11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赤パネルをCパネルに変換+2ターン黄属性の攻撃力と防御力を特大UPし、特大カウンター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10011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テストユニットCスキル11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1体に特大ダメージ+_x000D_1ターン黄属性の回復力をUP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1.0880000000000001</v>
      </c>
      <c r="AZ2" s="64">
        <v>0.90200000000000002</v>
      </c>
      <c r="BA2" s="64">
        <v>0</v>
      </c>
      <c r="BB2" s="64">
        <v>0.74</v>
      </c>
      <c r="BC2" s="10">
        <f ca="1">INDEX('RC6SV'!$A$1:$G$21,MATCH(H2,'RC6SV'!$A$1:$A$21,FALSE),MATCH(G2,'RC6SV'!$A$1:$G$1,FALSE))</f>
        <v>9500</v>
      </c>
      <c r="BD2" s="44">
        <f t="shared" ref="BD2" ca="1" si="2">ROUND(BC2*IF(AJ2=1,0.95,IF(AJ2=2,1,IF(AJ2,1.05,0))),0)</f>
        <v>9500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2381</v>
      </c>
      <c r="BH2" s="15">
        <f ca="1">IF($BE2&lt;=0,ROUND(BL2*0.5,0), ROUND($BE2*T2*AB2*K2*AZ2*0.8*[1]ステータス!$C$2,0))</f>
        <v>1285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950</v>
      </c>
      <c r="BK2" s="10">
        <f ca="1">ROUND(BD2*S2*AA2*J2*AY2*[1]ステータス!$B$2,0)</f>
        <v>4761</v>
      </c>
      <c r="BL2" s="10">
        <f ca="1">ROUND(BD2*T2*AB2*K2*AZ2*[1]ステータス!$C$2,0)</f>
        <v>2570</v>
      </c>
      <c r="BM2" s="10">
        <f ca="1">ROUND(BD2*U2*AC2*L2*BA2*[1]ステータス!$D$2,0)</f>
        <v>0</v>
      </c>
      <c r="BN2" s="10">
        <f ca="1">ROUND(BD2*V2*AD2*M2*BB2*[1]ステータス!$E$2,0)</f>
        <v>1899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5500</v>
      </c>
    </row>
    <row r="3" spans="1:70" ht="26" customHeight="1" x14ac:dyDescent="0.15">
      <c r="A3" s="186">
        <v>10012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レイドテストユニット青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god</v>
      </c>
      <c r="Z3" s="5" t="str">
        <f ca="1">VLOOKUP(Y3,[1]character_tribe_i18n!$A:$H,3,FALSE)</f>
        <v>ゴッド</v>
      </c>
      <c r="AA3" s="10">
        <f ca="1">VLOOKUP(W3,[1]character_tribe_i18n!$A:$H,4,FALSE)</f>
        <v>0.94</v>
      </c>
      <c r="AB3" s="10">
        <f ca="1">VLOOKUP(W3,[1]character_tribe_i18n!$A:$H,5,FALSE)</f>
        <v>0.99</v>
      </c>
      <c r="AC3" s="10">
        <f ca="1">VLOOKUP(W3,[1]character_tribe_i18n!$A:$H,6,FALSE)</f>
        <v>1</v>
      </c>
      <c r="AD3" s="10">
        <f ca="1">VLOOKUP(W3,[1]character_tribe_i18n!$A:$H,7,FALSE)</f>
        <v>1.07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10012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レイドテストユニット青</v>
      </c>
      <c r="AI3" s="10" t="str">
        <f>IF(AE3="NULL","NULL",VLOOKUP(G3,ビット!$A$2:$B$7,2))</f>
        <v>NULL</v>
      </c>
      <c r="AJ3" s="6">
        <v>2</v>
      </c>
      <c r="AK3" s="7" t="str">
        <f t="shared" ref="AK3:AK4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10012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青い信長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お邪魔・黄パネルを青パネル変換+1ターン青属性ユニットの攻撃力を特大UPし、タップ数を2増やし、青属性ユニット全員で攻撃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10012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テストユニットCスキル12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1.0880000000000001</v>
      </c>
      <c r="AZ3" s="64">
        <v>0.90200000000000002</v>
      </c>
      <c r="BA3" s="64">
        <v>0</v>
      </c>
      <c r="BB3" s="64">
        <v>0.74</v>
      </c>
      <c r="BC3" s="10">
        <f ca="1">INDEX('RC6SV'!$A$1:$G$21,MATCH(H3,'RC6SV'!$A$1:$A$21,FALSE),MATCH(G3,'RC6SV'!$A$1:$G$1,FALSE))</f>
        <v>12000</v>
      </c>
      <c r="BD3" s="44">
        <f t="shared" ref="BD3:BD4" ca="1" si="4">ROUND(BC3*IF(AJ3=1,0.95,IF(AJ3=2,1,IF(AJ3,1.05,0))),0)</f>
        <v>12000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500</v>
      </c>
      <c r="BH3" s="15">
        <f ca="1">IF($BE3&lt;=0,ROUND(BL3*0.5,0), ROUND($BE3*T3*AB3*K3*AZ3*0.8*[1]ステータス!$C$2,0))</f>
        <v>7500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500</v>
      </c>
      <c r="BK3" s="199">
        <v>1000</v>
      </c>
      <c r="BL3" s="199">
        <v>15000</v>
      </c>
      <c r="BM3" s="199">
        <f ca="1">ROUND(BD3*U3*AC3*L3*BA3*[1]ステータス!$D$2,0)</f>
        <v>0</v>
      </c>
      <c r="BN3" s="199">
        <v>1000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700</v>
      </c>
    </row>
    <row r="4" spans="1:70" ht="26" customHeight="1" x14ac:dyDescent="0.15">
      <c r="A4" s="186">
        <v>10013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テストユニット13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PremiumSSw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38</v>
      </c>
      <c r="O4" s="10">
        <f ca="1">INDEX(レベル!$A$1:$I$22,MATCH(H4,レベル!$A$1:$A$22,FALSE),MATCH(G4,レベル!$A$1:$I$1,FALSE))</f>
        <v>80</v>
      </c>
      <c r="P4" s="44">
        <f t="shared" ref="P4:P5" ca="1" si="5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hp</v>
      </c>
      <c r="R4" s="5" t="str">
        <f ca="1">VLOOKUP(Q4,[1]character_type_i18n!$A:$H,3,FALSE)</f>
        <v>体力タイプ</v>
      </c>
      <c r="S4" s="10">
        <f ca="1">VLOOKUP(Q4,[1]character_type_i18n!$A:$H,4,FALSE)</f>
        <v>1.45</v>
      </c>
      <c r="T4" s="10">
        <f ca="1">VLOOKUP(Q4,[1]character_type_i18n!$A:$H,5,FALSE)</f>
        <v>0.85</v>
      </c>
      <c r="U4" s="10">
        <f ca="1">VLOOKUP(Q4,[1]character_type_i18n!$A:$H,6,FALSE)</f>
        <v>1</v>
      </c>
      <c r="V4" s="10">
        <f ca="1">VLOOKUP(Q4,[1]character_type_i18n!$A:$H,7,FALSE)</f>
        <v>0.7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dragon</v>
      </c>
      <c r="X4" s="5" t="str">
        <f ca="1">VLOOKUP(W4,[1]character_tribe_i18n!$A:$H,3,FALSE)</f>
        <v>ドラゴン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1.1499999999999999</v>
      </c>
      <c r="AB4" s="10">
        <f ca="1">VLOOKUP(W4,[1]character_tribe_i18n!$A:$H,5,FALSE)</f>
        <v>1.1000000000000001</v>
      </c>
      <c r="AC4" s="10">
        <f ca="1">VLOOKUP(W4,[1]character_tribe_i18n!$A:$H,6,FALSE)</f>
        <v>1</v>
      </c>
      <c r="AD4" s="10">
        <f ca="1">VLOOKUP(W4,[1]character_tribe_i18n!$A:$H,7,FALSE)</f>
        <v>0.75</v>
      </c>
      <c r="AE4" s="187">
        <v>10014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テストユニット14</v>
      </c>
      <c r="AG4" s="187">
        <v>10013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テストユニット13</v>
      </c>
      <c r="AI4" s="10">
        <f ca="1">IF(AE4="NULL","NULL",VLOOKUP(G4,ビット!$A$2:$B$7,2))</f>
        <v>200000</v>
      </c>
      <c r="AJ4" s="6">
        <v>2</v>
      </c>
      <c r="AK4" s="7" t="str">
        <f t="shared" si="3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10013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テストスキル13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HP8500回復+ダメージ・青パネルをCパネルに、緑パネルを赤パネルに変換+1ターン赤・緑パネルが赤・緑ボムでドロップ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10013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テストユニットCスキル13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1体に特大ダメージ+_x000D_ヒューマンに効果超大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0.8</v>
      </c>
      <c r="AZ4" s="64">
        <v>1.1000000000000001</v>
      </c>
      <c r="BA4" s="64">
        <v>0</v>
      </c>
      <c r="BB4" s="64">
        <v>1.2</v>
      </c>
      <c r="BC4" s="10">
        <f ca="1">INDEX('RC6SV'!$A$1:$G$21,MATCH(H4,'RC6SV'!$A$1:$A$21,FALSE),MATCH(G4,'RC6SV'!$A$1:$G$1,FALSE))</f>
        <v>10000</v>
      </c>
      <c r="BD4" s="44">
        <f t="shared" ca="1" si="4"/>
        <v>10000</v>
      </c>
      <c r="BE4" s="10">
        <f ca="1">ROUND(IFERROR(INDIRECT(ADDRESS(MATCH($A4,$AE:$AE,0),MATCH($BC$1,$1:$1,0))),0),0)</f>
        <v>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3269</v>
      </c>
      <c r="BH4" s="15">
        <f ca="1">IF($BE4&lt;=0,ROUND(BL4*0.5,0), ROUND($BE4*T4*AB4*K4*AZ4*0.8*[1]ステータス!$C$2,0))</f>
        <v>1558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796</v>
      </c>
      <c r="BK4" s="10">
        <f ca="1">ROUND(BD4*S4*AA4*J4*AY4*[1]ステータス!$B$2,0)</f>
        <v>6537</v>
      </c>
      <c r="BL4" s="10">
        <f ca="1">ROUND(BD4*T4*AB4*K4*AZ4*[1]ステータス!$C$2,0)</f>
        <v>3116</v>
      </c>
      <c r="BM4" s="10">
        <f ca="1">ROUND(BD4*U4*AC4*L4*BA4*[1]ステータス!$D$2,0)</f>
        <v>0</v>
      </c>
      <c r="BN4" s="10">
        <f ca="1">ROUND(BD4*V4*AD4*M4*BB4*[1]ステータス!$E$2,0)</f>
        <v>1591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6000</v>
      </c>
    </row>
    <row r="5" spans="1:70" ht="26" customHeight="1" x14ac:dyDescent="0.15">
      <c r="A5" s="186">
        <v>10014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テストユニット14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PremiumSSw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53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0">
        <f ca="1">VLOOKUP(Q5,[1]character_type_i18n!$A:$H,4,FALSE)</f>
        <v>1.45</v>
      </c>
      <c r="T5" s="10">
        <f ca="1">VLOOKUP(Q5,[1]character_type_i18n!$A:$H,5,FALSE)</f>
        <v>0.85</v>
      </c>
      <c r="U5" s="10">
        <f ca="1">VLOOKUP(Q5,[1]character_type_i18n!$A:$H,6,FALSE)</f>
        <v>1</v>
      </c>
      <c r="V5" s="10">
        <f ca="1">VLOOKUP(Q5,[1]character_type_i18n!$A:$H,7,FALSE)</f>
        <v>0.7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1.1499999999999999</v>
      </c>
      <c r="AB5" s="10">
        <f ca="1">VLOOKUP(W5,[1]character_tribe_i18n!$A:$H,5,FALSE)</f>
        <v>1.1000000000000001</v>
      </c>
      <c r="AC5" s="10">
        <f ca="1">VLOOKUP(W5,[1]character_tribe_i18n!$A:$H,6,FALSE)</f>
        <v>1</v>
      </c>
      <c r="AD5" s="10">
        <f ca="1">VLOOKUP(W5,[1]character_tribe_i18n!$A:$H,7,FALSE)</f>
        <v>0.75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10013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テストユニット13</v>
      </c>
      <c r="AI5" s="10" t="str">
        <f>IF(AE5="NULL","NULL",VLOOKUP(G5,ビット!$A$2:$B$7,2))</f>
        <v>NULL</v>
      </c>
      <c r="AJ5" s="6">
        <v>2</v>
      </c>
      <c r="AK5" s="7" t="str">
        <f t="shared" ref="AK5" si="6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10014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テストスキル14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HP8500回復+ダメージ・青パネルをCパネルに、緑パネルを赤パネルに変換+1ターン赤・緑パネルが赤・緑ボムでドロップ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10014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テストユニットCスキル14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1体に特大ダメージ+_x000D_ヒューマンに効果超大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0.8</v>
      </c>
      <c r="AZ5" s="64">
        <v>1.1000000000000001</v>
      </c>
      <c r="BA5" s="64">
        <v>0</v>
      </c>
      <c r="BB5" s="64">
        <v>1.2</v>
      </c>
      <c r="BC5" s="10">
        <f ca="1">INDEX('RC6SV'!$A$1:$G$21,MATCH(H5,'RC6SV'!$A$1:$A$21,FALSE),MATCH(G5,'RC6SV'!$A$1:$G$1,FALSE))</f>
        <v>14000</v>
      </c>
      <c r="BD5" s="44">
        <f t="shared" ref="BD5" ca="1" si="7">ROUND(BC5*IF(AJ5=1,0.95,IF(AJ5=2,1,IF(AJ5,1.05,0))),0)</f>
        <v>14000</v>
      </c>
      <c r="BE5" s="10">
        <f ca="1">ROUND(IFERROR(INDIRECT(ADDRESS(MATCH($A5,$AE:$AE,0),MATCH($BC$1,$1:$1,0))),0),0)</f>
        <v>10000</v>
      </c>
      <c r="BF5" s="10">
        <f ca="1">ROUND(IFERROR(INDIRECT(ADDRESS(MATCH($A5,$AE:$AE,0),10)),INDIRECT(ADDRESS(MATCH($A5,$A:$A,0),10))),0)</f>
        <v>1</v>
      </c>
      <c r="BG5" s="15">
        <f ca="1">IF($BE5&lt;=0,ROUND(BK5*0.5,0), ROUND($BE5*S5*AA5*J5*AY5*0.8*[1]ステータス!$B$2,0))</f>
        <v>5229</v>
      </c>
      <c r="BH5" s="15">
        <f ca="1">IF($BE5&lt;=0,ROUND(BL5*0.5,0), ROUND($BE5*T5*AB5*K5*AZ5*0.8*[1]ステータス!$C$2,0))</f>
        <v>2493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1273</v>
      </c>
      <c r="BK5" s="10">
        <f ca="1">ROUND(BD5*S5*AA5*J5*AY5*[1]ステータス!$B$2,0)</f>
        <v>9151</v>
      </c>
      <c r="BL5" s="10">
        <f ca="1">ROUND(BD5*T5*AB5*K5*AZ5*[1]ステータス!$C$2,0)</f>
        <v>4363</v>
      </c>
      <c r="BM5" s="10">
        <f ca="1">ROUND(BD5*U5*AC5*L5*BA5*[1]ステータス!$D$2,0)</f>
        <v>0</v>
      </c>
      <c r="BN5" s="10">
        <f ca="1">ROUND(BD5*V5*AD5*M5*BB5*[1]ステータス!$E$2,0)</f>
        <v>2227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6000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5"/>
  <sheetViews>
    <sheetView showGridLines="0" tabSelected="1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H12" sqref="H12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10011</v>
      </c>
      <c r="B2" s="129" t="s">
        <v>185</v>
      </c>
      <c r="C2" s="188" t="s">
        <v>345</v>
      </c>
      <c r="D2" s="188" t="s">
        <v>346</v>
      </c>
      <c r="E2" s="131">
        <f t="shared" ref="E2" si="0">LEN(D2)</f>
        <v>42</v>
      </c>
      <c r="F2" s="63">
        <v>13</v>
      </c>
      <c r="G2" s="63">
        <v>5</v>
      </c>
      <c r="H2" s="132">
        <f>2001</f>
        <v>2001</v>
      </c>
      <c r="I2" s="189" t="s">
        <v>347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テストユニット11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10012</v>
      </c>
      <c r="B3" s="129" t="s">
        <v>185</v>
      </c>
      <c r="C3" s="188" t="s">
        <v>369</v>
      </c>
      <c r="D3" s="188" t="s">
        <v>367</v>
      </c>
      <c r="E3" s="131">
        <f t="shared" ref="E3:E4" si="1">LEN(D3)</f>
        <v>60</v>
      </c>
      <c r="F3" s="63">
        <v>12</v>
      </c>
      <c r="G3" s="63">
        <v>5</v>
      </c>
      <c r="H3" s="132">
        <f>2001</f>
        <v>2001</v>
      </c>
      <c r="I3" s="189" t="s">
        <v>368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レイドテストユニット青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10013</v>
      </c>
      <c r="B4" s="129" t="s">
        <v>185</v>
      </c>
      <c r="C4" s="188" t="s">
        <v>355</v>
      </c>
      <c r="D4" s="188" t="s">
        <v>354</v>
      </c>
      <c r="E4" s="131">
        <f t="shared" si="1"/>
        <v>59</v>
      </c>
      <c r="F4" s="63">
        <v>13</v>
      </c>
      <c r="G4" s="63">
        <v>5</v>
      </c>
      <c r="H4" s="132">
        <f>2001</f>
        <v>2001</v>
      </c>
      <c r="I4" s="189" t="s">
        <v>361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テストユニット13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10014</v>
      </c>
      <c r="B5" s="129" t="s">
        <v>185</v>
      </c>
      <c r="C5" s="188" t="s">
        <v>356</v>
      </c>
      <c r="D5" s="188" t="s">
        <v>354</v>
      </c>
      <c r="E5" s="131">
        <f t="shared" ref="E5" si="2">LEN(D5)</f>
        <v>59</v>
      </c>
      <c r="F5" s="63">
        <v>12</v>
      </c>
      <c r="G5" s="63">
        <v>5</v>
      </c>
      <c r="H5" s="132">
        <f>2001</f>
        <v>2001</v>
      </c>
      <c r="I5" s="189" t="s">
        <v>353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テストユニット14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6:E1048576">
    <cfRule type="cellIs" dxfId="34" priority="28" operator="greaterThan">
      <formula>41</formula>
    </cfRule>
  </conditionalFormatting>
  <conditionalFormatting sqref="E2">
    <cfRule type="cellIs" dxfId="33" priority="22" operator="greaterThan">
      <formula>57</formula>
    </cfRule>
  </conditionalFormatting>
  <conditionalFormatting sqref="E3">
    <cfRule type="cellIs" dxfId="32" priority="21" operator="greaterThan">
      <formula>57</formula>
    </cfRule>
  </conditionalFormatting>
  <conditionalFormatting sqref="E4">
    <cfRule type="cellIs" dxfId="31" priority="2" operator="greaterThan">
      <formula>57</formula>
    </cfRule>
  </conditionalFormatting>
  <conditionalFormatting sqref="E5">
    <cfRule type="cellIs" dxfId="30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5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2" sqref="F2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10011</v>
      </c>
      <c r="B2" s="129" t="s">
        <v>186</v>
      </c>
      <c r="C2" s="188" t="s">
        <v>348</v>
      </c>
      <c r="D2" s="188" t="s">
        <v>365</v>
      </c>
      <c r="E2" s="131">
        <f t="shared" ref="E2" si="0">LEN(D2)</f>
        <v>25</v>
      </c>
      <c r="F2" s="190" t="s">
        <v>360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テストユニット11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10012</v>
      </c>
      <c r="B3" s="129" t="s">
        <v>186</v>
      </c>
      <c r="C3" s="188" t="s">
        <v>351</v>
      </c>
      <c r="D3" s="188" t="s">
        <v>366</v>
      </c>
      <c r="E3" s="131">
        <f t="shared" ref="E3:E4" si="1">LEN(D3)</f>
        <v>9</v>
      </c>
      <c r="F3" s="190" t="s">
        <v>364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レイドテストユニット青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10013</v>
      </c>
      <c r="B4" s="129" t="s">
        <v>186</v>
      </c>
      <c r="C4" s="188" t="s">
        <v>357</v>
      </c>
      <c r="D4" s="188" t="s">
        <v>359</v>
      </c>
      <c r="E4" s="131">
        <f t="shared" si="1"/>
        <v>21</v>
      </c>
      <c r="F4" s="190" t="s">
        <v>362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テストユニット13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10014</v>
      </c>
      <c r="B5" s="129" t="s">
        <v>186</v>
      </c>
      <c r="C5" s="188" t="s">
        <v>358</v>
      </c>
      <c r="D5" s="188" t="s">
        <v>359</v>
      </c>
      <c r="E5" s="131">
        <f t="shared" ref="E5" si="2">LEN(D5)</f>
        <v>21</v>
      </c>
      <c r="F5" s="190" t="s">
        <v>362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テストユニット14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</sheetData>
  <sheetProtection selectLockedCells="1" selectUnlockedCells="1"/>
  <autoFilter ref="A1:J1"/>
  <phoneticPr fontId="22"/>
  <conditionalFormatting sqref="E2">
    <cfRule type="cellIs" dxfId="29" priority="22" operator="greaterThan">
      <formula>57</formula>
    </cfRule>
  </conditionalFormatting>
  <conditionalFormatting sqref="E3">
    <cfRule type="cellIs" dxfId="28" priority="21" operator="greaterThan">
      <formula>57</formula>
    </cfRule>
  </conditionalFormatting>
  <conditionalFormatting sqref="E4">
    <cfRule type="cellIs" dxfId="27" priority="2" operator="greaterThan">
      <formula>57</formula>
    </cfRule>
  </conditionalFormatting>
  <conditionalFormatting sqref="E5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9"/>
  <sheetViews>
    <sheetView zoomScale="110" workbookViewId="0">
      <selection activeCell="H25" sqref="H25:H26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10011</v>
      </c>
      <c r="B2" s="138" t="str">
        <f>VLOOKUP(A2,[1]characters!$A:$C,3,FALSE)</f>
        <v>テストユニット11</v>
      </c>
      <c r="C2" s="105" t="s">
        <v>195</v>
      </c>
      <c r="D2" s="138" t="str">
        <f t="shared" ref="D2" si="0">A2&amp;C2</f>
        <v>10011skill</v>
      </c>
      <c r="E2" s="138" t="str">
        <f>A2&amp;+(COUNTIF(A2:A$91,A2)-1)</f>
        <v>100113</v>
      </c>
      <c r="F2" s="105" t="s">
        <v>197</v>
      </c>
      <c r="G2" s="162" t="s">
        <v>314</v>
      </c>
      <c r="H2" s="162" t="s">
        <v>320</v>
      </c>
    </row>
    <row r="3" spans="1:8" x14ac:dyDescent="0.15">
      <c r="A3" s="105">
        <v>10011</v>
      </c>
      <c r="B3" s="138" t="str">
        <f>VLOOKUP(A3,[1]characters!$A:$C,3,FALSE)</f>
        <v>テストユニット11</v>
      </c>
      <c r="C3" s="105" t="s">
        <v>198</v>
      </c>
      <c r="D3" s="138" t="str">
        <f>A3&amp;C3</f>
        <v>10011cskill</v>
      </c>
      <c r="E3" s="138" t="str">
        <f>A3&amp;+(COUNTIF(A3:A$91,A3)-1)</f>
        <v>100112</v>
      </c>
      <c r="F3" s="105" t="s">
        <v>186</v>
      </c>
      <c r="G3" s="162" t="s">
        <v>196</v>
      </c>
      <c r="H3" s="162" t="s">
        <v>317</v>
      </c>
    </row>
    <row r="4" spans="1:8" x14ac:dyDescent="0.15">
      <c r="A4" s="105">
        <v>10011</v>
      </c>
      <c r="B4" s="138" t="str">
        <f>VLOOKUP(A4,[1]characters!$A:$C,3,FALSE)</f>
        <v>テストユニット11</v>
      </c>
      <c r="C4" s="105" t="s">
        <v>198</v>
      </c>
      <c r="D4" s="138" t="str">
        <f>A4&amp;C4</f>
        <v>10011cskill</v>
      </c>
      <c r="E4" s="138" t="str">
        <f>A4&amp;+(COUNTIF(A4:A$91,A4)-1)</f>
        <v>100111</v>
      </c>
      <c r="F4" s="105" t="s">
        <v>186</v>
      </c>
      <c r="G4" s="162" t="s">
        <v>314</v>
      </c>
      <c r="H4" s="162" t="s">
        <v>315</v>
      </c>
    </row>
    <row r="5" spans="1:8" x14ac:dyDescent="0.15">
      <c r="A5" s="105">
        <v>10011</v>
      </c>
      <c r="B5" s="138" t="str">
        <f>VLOOKUP(A5,[1]characters!$A:$C,3,FALSE)</f>
        <v>テストユニット11</v>
      </c>
      <c r="C5" s="105" t="s">
        <v>198</v>
      </c>
      <c r="D5" s="138" t="str">
        <f>A5&amp;C5</f>
        <v>10011cskill</v>
      </c>
      <c r="E5" s="138" t="str">
        <f>A5&amp;+(COUNTIF(A5:A$91,A5)-1)</f>
        <v>100110</v>
      </c>
      <c r="F5" s="105" t="s">
        <v>197</v>
      </c>
      <c r="G5" s="162" t="s">
        <v>314</v>
      </c>
      <c r="H5" s="162" t="s">
        <v>316</v>
      </c>
    </row>
    <row r="6" spans="1:8" x14ac:dyDescent="0.15">
      <c r="A6" s="105">
        <v>10012</v>
      </c>
      <c r="B6" s="138" t="str">
        <f>VLOOKUP(A6,[1]characters!$A:$C,3,FALSE)</f>
        <v>レイドテストユニット青</v>
      </c>
      <c r="C6" s="105" t="s">
        <v>195</v>
      </c>
      <c r="D6" s="138" t="str">
        <f t="shared" ref="D6" si="1">A6&amp;C6</f>
        <v>10012skill</v>
      </c>
      <c r="E6" s="138" t="str">
        <f>A6&amp;+(COUNTIF(A6:A$91,A6)-1)</f>
        <v>100124</v>
      </c>
      <c r="F6" s="105" t="s">
        <v>186</v>
      </c>
      <c r="G6" s="162" t="s">
        <v>314</v>
      </c>
      <c r="H6" s="162" t="s">
        <v>320</v>
      </c>
    </row>
    <row r="7" spans="1:8" x14ac:dyDescent="0.15">
      <c r="A7" s="105">
        <v>10012</v>
      </c>
      <c r="B7" s="138" t="str">
        <f>VLOOKUP(A7,[1]characters!$A:$C,3,FALSE)</f>
        <v>レイドテストユニット青</v>
      </c>
      <c r="C7" s="105" t="s">
        <v>198</v>
      </c>
      <c r="D7" s="138" t="str">
        <f>A7&amp;C7</f>
        <v>10012cskill</v>
      </c>
      <c r="E7" s="138" t="str">
        <f>A7&amp;+(COUNTIF(A7:A$91,A7)-1)</f>
        <v>100123</v>
      </c>
      <c r="F7" s="105" t="s">
        <v>186</v>
      </c>
      <c r="G7" s="162" t="s">
        <v>196</v>
      </c>
      <c r="H7" s="162" t="s">
        <v>317</v>
      </c>
    </row>
    <row r="8" spans="1:8" x14ac:dyDescent="0.15">
      <c r="A8" s="105">
        <v>10012</v>
      </c>
      <c r="B8" s="138" t="str">
        <f>VLOOKUP(A8,[1]characters!$A:$C,3,FALSE)</f>
        <v>レイドテストユニット青</v>
      </c>
      <c r="C8" s="105" t="s">
        <v>198</v>
      </c>
      <c r="D8" s="138" t="str">
        <f>A8&amp;C8</f>
        <v>10012cskill</v>
      </c>
      <c r="E8" s="138" t="str">
        <f>A8&amp;+(COUNTIF(A8:A$91,A8)-1)</f>
        <v>100122</v>
      </c>
      <c r="F8" s="105" t="s">
        <v>186</v>
      </c>
      <c r="G8" s="162" t="s">
        <v>314</v>
      </c>
      <c r="H8" s="162" t="s">
        <v>315</v>
      </c>
    </row>
    <row r="9" spans="1:8" x14ac:dyDescent="0.15">
      <c r="A9" s="105">
        <v>10012</v>
      </c>
      <c r="B9" s="138" t="str">
        <f>VLOOKUP(A9,[1]characters!$A:$C,3,FALSE)</f>
        <v>レイドテストユニット青</v>
      </c>
      <c r="C9" s="105" t="s">
        <v>198</v>
      </c>
      <c r="D9" s="138" t="str">
        <f>A9&amp;C9</f>
        <v>10012cskill</v>
      </c>
      <c r="E9" s="138" t="str">
        <f>A9&amp;+(COUNTIF(A9:A$91,A9)-1)</f>
        <v>100121</v>
      </c>
      <c r="F9" s="105" t="s">
        <v>186</v>
      </c>
      <c r="G9" s="162" t="s">
        <v>314</v>
      </c>
      <c r="H9" s="162" t="s">
        <v>316</v>
      </c>
    </row>
    <row r="10" spans="1:8" x14ac:dyDescent="0.15">
      <c r="A10" s="105">
        <v>10012</v>
      </c>
      <c r="B10" s="138" t="str">
        <f>VLOOKUP(A10,[1]characters!$A:$C,3,FALSE)</f>
        <v>レイドテストユニット青</v>
      </c>
      <c r="C10" s="105" t="s">
        <v>198</v>
      </c>
      <c r="D10" s="138" t="str">
        <f>A10&amp;C10</f>
        <v>10012cskill</v>
      </c>
      <c r="E10" s="138" t="str">
        <f>A10&amp;+(COUNTIF(A10:A$91,A10)-1)</f>
        <v>100120</v>
      </c>
      <c r="F10" s="105" t="s">
        <v>186</v>
      </c>
      <c r="G10" s="162" t="s">
        <v>196</v>
      </c>
      <c r="H10" s="162" t="s">
        <v>319</v>
      </c>
    </row>
    <row r="11" spans="1:8" x14ac:dyDescent="0.15">
      <c r="A11" s="105">
        <v>10013</v>
      </c>
      <c r="B11" s="138" t="str">
        <f>VLOOKUP(A11,[1]characters!$A:$C,3,FALSE)</f>
        <v>テストユニット13</v>
      </c>
      <c r="C11" s="105" t="s">
        <v>195</v>
      </c>
      <c r="D11" s="138" t="str">
        <f t="shared" ref="D11" si="2">A11&amp;C11</f>
        <v>10013skill</v>
      </c>
      <c r="E11" s="138" t="str">
        <f>A11&amp;+(COUNTIF(A11:A$91,A11)-1)</f>
        <v>100133</v>
      </c>
      <c r="F11" s="105" t="s">
        <v>197</v>
      </c>
      <c r="G11" s="162" t="s">
        <v>314</v>
      </c>
      <c r="H11" s="162" t="s">
        <v>363</v>
      </c>
    </row>
    <row r="12" spans="1:8" x14ac:dyDescent="0.15">
      <c r="A12" s="105">
        <v>10013</v>
      </c>
      <c r="B12" s="138" t="str">
        <f>VLOOKUP(A12,[1]characters!$A:$C,3,FALSE)</f>
        <v>テストユニット13</v>
      </c>
      <c r="C12" s="105" t="s">
        <v>198</v>
      </c>
      <c r="D12" s="138" t="str">
        <f>A12&amp;C12</f>
        <v>10013cskill</v>
      </c>
      <c r="E12" s="138" t="str">
        <f>A12&amp;+(COUNTIF(A12:A$91,A12)-1)</f>
        <v>100132</v>
      </c>
      <c r="F12" s="105" t="s">
        <v>186</v>
      </c>
      <c r="G12" s="162" t="s">
        <v>196</v>
      </c>
      <c r="H12" s="162" t="s">
        <v>317</v>
      </c>
    </row>
    <row r="13" spans="1:8" x14ac:dyDescent="0.15">
      <c r="A13" s="105">
        <v>10013</v>
      </c>
      <c r="B13" s="138" t="str">
        <f>VLOOKUP(A13,[1]characters!$A:$C,3,FALSE)</f>
        <v>テストユニット13</v>
      </c>
      <c r="C13" s="105" t="s">
        <v>198</v>
      </c>
      <c r="D13" s="138" t="str">
        <f>A13&amp;C13</f>
        <v>10013cskill</v>
      </c>
      <c r="E13" s="138" t="str">
        <f>A13&amp;+(COUNTIF(A13:A$91,A13)-1)</f>
        <v>100131</v>
      </c>
      <c r="F13" s="105" t="s">
        <v>186</v>
      </c>
      <c r="G13" s="162" t="s">
        <v>314</v>
      </c>
      <c r="H13" s="162" t="s">
        <v>315</v>
      </c>
    </row>
    <row r="14" spans="1:8" x14ac:dyDescent="0.15">
      <c r="A14" s="105">
        <v>10013</v>
      </c>
      <c r="B14" s="138" t="str">
        <f>VLOOKUP(A14,[1]characters!$A:$C,3,FALSE)</f>
        <v>テストユニット13</v>
      </c>
      <c r="C14" s="105" t="s">
        <v>198</v>
      </c>
      <c r="D14" s="138" t="str">
        <f>A14&amp;C14</f>
        <v>10013cskill</v>
      </c>
      <c r="E14" s="138" t="str">
        <f>A14&amp;+(COUNTIF(A14:A$91,A14)-1)</f>
        <v>100130</v>
      </c>
      <c r="F14" s="105" t="s">
        <v>197</v>
      </c>
      <c r="G14" s="162" t="s">
        <v>314</v>
      </c>
      <c r="H14" s="162" t="s">
        <v>316</v>
      </c>
    </row>
    <row r="15" spans="1:8" x14ac:dyDescent="0.15">
      <c r="A15" s="105">
        <v>10014</v>
      </c>
      <c r="B15" s="138" t="str">
        <f>VLOOKUP(A15,[1]characters!$A:$C,3,FALSE)</f>
        <v>テストユニット14</v>
      </c>
      <c r="C15" s="105" t="s">
        <v>195</v>
      </c>
      <c r="D15" s="138" t="str">
        <f t="shared" ref="D15" si="3">A15&amp;C15</f>
        <v>10014skill</v>
      </c>
      <c r="E15" s="138" t="str">
        <f>A15&amp;+(COUNTIF(A15:A$91,A15)-1)</f>
        <v>100144</v>
      </c>
      <c r="F15" s="105" t="s">
        <v>186</v>
      </c>
      <c r="G15" s="162" t="s">
        <v>314</v>
      </c>
      <c r="H15" s="162" t="s">
        <v>320</v>
      </c>
    </row>
    <row r="16" spans="1:8" x14ac:dyDescent="0.15">
      <c r="A16" s="105">
        <v>10014</v>
      </c>
      <c r="B16" s="138" t="str">
        <f>VLOOKUP(A16,[1]characters!$A:$C,3,FALSE)</f>
        <v>テストユニット14</v>
      </c>
      <c r="C16" s="105" t="s">
        <v>198</v>
      </c>
      <c r="D16" s="138" t="str">
        <f>A16&amp;C16</f>
        <v>10014cskill</v>
      </c>
      <c r="E16" s="138" t="str">
        <f>A16&amp;+(COUNTIF(A16:A$91,A16)-1)</f>
        <v>100143</v>
      </c>
      <c r="F16" s="105" t="s">
        <v>186</v>
      </c>
      <c r="G16" s="162" t="s">
        <v>196</v>
      </c>
      <c r="H16" s="162" t="s">
        <v>317</v>
      </c>
    </row>
    <row r="17" spans="1:8" x14ac:dyDescent="0.15">
      <c r="A17" s="105">
        <v>10014</v>
      </c>
      <c r="B17" s="138" t="str">
        <f>VLOOKUP(A17,[1]characters!$A:$C,3,FALSE)</f>
        <v>テストユニット14</v>
      </c>
      <c r="C17" s="105" t="s">
        <v>198</v>
      </c>
      <c r="D17" s="138" t="str">
        <f>A17&amp;C17</f>
        <v>10014cskill</v>
      </c>
      <c r="E17" s="138" t="str">
        <f>A17&amp;+(COUNTIF(A17:A$91,A17)-1)</f>
        <v>100142</v>
      </c>
      <c r="F17" s="105" t="s">
        <v>186</v>
      </c>
      <c r="G17" s="162" t="s">
        <v>314</v>
      </c>
      <c r="H17" s="162" t="s">
        <v>315</v>
      </c>
    </row>
    <row r="18" spans="1:8" x14ac:dyDescent="0.15">
      <c r="A18" s="105">
        <v>10014</v>
      </c>
      <c r="B18" s="138" t="str">
        <f>VLOOKUP(A18,[1]characters!$A:$C,3,FALSE)</f>
        <v>テストユニット14</v>
      </c>
      <c r="C18" s="105" t="s">
        <v>198</v>
      </c>
      <c r="D18" s="138" t="str">
        <f>A18&amp;C18</f>
        <v>10014cskill</v>
      </c>
      <c r="E18" s="138" t="str">
        <f>A18&amp;+(COUNTIF(A18:A$91,A18)-1)</f>
        <v>100141</v>
      </c>
      <c r="F18" s="105" t="s">
        <v>186</v>
      </c>
      <c r="G18" s="162" t="s">
        <v>314</v>
      </c>
      <c r="H18" s="162" t="s">
        <v>316</v>
      </c>
    </row>
    <row r="19" spans="1:8" x14ac:dyDescent="0.15">
      <c r="A19" s="105">
        <v>10014</v>
      </c>
      <c r="B19" s="138" t="str">
        <f>VLOOKUP(A19,[1]characters!$A:$C,3,FALSE)</f>
        <v>テストユニット14</v>
      </c>
      <c r="C19" s="105" t="s">
        <v>198</v>
      </c>
      <c r="D19" s="138" t="str">
        <f>A19&amp;C19</f>
        <v>10014cskill</v>
      </c>
      <c r="E19" s="138" t="str">
        <f>A19&amp;+(COUNTIF(A19:A$91,A19)-1)</f>
        <v>100140</v>
      </c>
      <c r="F19" s="105" t="s">
        <v>186</v>
      </c>
      <c r="G19" s="162" t="s">
        <v>196</v>
      </c>
      <c r="H19" s="162" t="s">
        <v>319</v>
      </c>
    </row>
  </sheetData>
  <phoneticPr fontId="22"/>
  <dataValidations count="2">
    <dataValidation type="list" allowBlank="1" showInputMessage="1" showErrorMessage="1" sqref="G2:G19">
      <formula1>"maru,giza,kumo"</formula1>
    </dataValidation>
    <dataValidation type="list" allowBlank="1" showInputMessage="1" showErrorMessage="1" sqref="C2:C1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Q5" sqref="Q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274</v>
      </c>
      <c r="B1" s="91" t="s">
        <v>275</v>
      </c>
      <c r="C1" s="82" t="s">
        <v>276</v>
      </c>
      <c r="D1" s="82" t="s">
        <v>277</v>
      </c>
      <c r="E1" s="82" t="s">
        <v>278</v>
      </c>
      <c r="F1" s="82" t="s">
        <v>279</v>
      </c>
      <c r="G1" s="82" t="s">
        <v>1</v>
      </c>
      <c r="H1" s="175" t="s">
        <v>19</v>
      </c>
      <c r="I1" s="82" t="s">
        <v>0</v>
      </c>
      <c r="J1" s="81" t="s">
        <v>280</v>
      </c>
      <c r="K1" s="82" t="s">
        <v>275</v>
      </c>
      <c r="L1" s="83" t="s">
        <v>49</v>
      </c>
      <c r="M1" s="83" t="s">
        <v>48</v>
      </c>
      <c r="N1" s="83" t="s">
        <v>281</v>
      </c>
      <c r="O1" s="83" t="s">
        <v>282</v>
      </c>
      <c r="P1" s="88" t="s">
        <v>283</v>
      </c>
      <c r="Q1" s="87" t="s">
        <v>284</v>
      </c>
      <c r="R1" s="76" t="s">
        <v>275</v>
      </c>
      <c r="S1" s="88" t="s">
        <v>285</v>
      </c>
      <c r="T1" s="76" t="s">
        <v>275</v>
      </c>
      <c r="U1" s="88" t="s">
        <v>286</v>
      </c>
    </row>
    <row r="2" spans="1:21" ht="21" customHeight="1" x14ac:dyDescent="0.15">
      <c r="A2" s="191">
        <v>10013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テストユニット13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10014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テストユニット14</v>
      </c>
      <c r="S2" s="5">
        <f ca="1">IF(ISNA(MATCH(A2,Q:Q,0)),A2,INDIRECT(ADDRESS(MATCH(A2,Q:Q,0),COLUMN())))</f>
        <v>10013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テストユニット13</v>
      </c>
      <c r="U2" s="10">
        <f ca="1">IF(Q2="NULL","NULL",VLOOKUP(G2,[3]ビット!$A$2:$B$7,2))</f>
        <v>200000</v>
      </c>
    </row>
  </sheetData>
  <autoFilter ref="A1:U1"/>
  <phoneticPr fontId="22"/>
  <conditionalFormatting sqref="W1 W3:W1048576">
    <cfRule type="cellIs" dxfId="25" priority="8" operator="equal">
      <formula>"FALSE"</formula>
    </cfRule>
  </conditionalFormatting>
  <conditionalFormatting sqref="W2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6"/>
  <sheetViews>
    <sheetView showGridLines="0" workbookViewId="0">
      <pane ySplit="1" topLeftCell="A2" activePane="bottomLeft" state="frozen"/>
      <selection pane="bottomLeft" activeCell="F11" sqref="F11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287</v>
      </c>
      <c r="D1" s="18" t="s">
        <v>40</v>
      </c>
      <c r="E1" s="18" t="s">
        <v>42</v>
      </c>
      <c r="F1" s="18" t="s">
        <v>43</v>
      </c>
      <c r="G1" s="177" t="s">
        <v>288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290</v>
      </c>
    </row>
    <row r="2" spans="1:14" ht="21" customHeight="1" x14ac:dyDescent="0.15">
      <c r="A2" s="61" t="str">
        <f t="shared" ref="A2:A6" si="0">B2&amp;"_"&amp;I2</f>
        <v>10013_309</v>
      </c>
      <c r="B2" s="195">
        <v>10013</v>
      </c>
      <c r="C2" s="178">
        <f t="shared" ref="C2:C6" si="1">B2</f>
        <v>10013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テストユニット13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PremiumSSw</v>
      </c>
      <c r="G2" s="195">
        <v>10014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テストユニット14</v>
      </c>
      <c r="I2" s="194">
        <v>309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古の博学 アーケロン</v>
      </c>
      <c r="K2" s="192">
        <v>1</v>
      </c>
      <c r="L2" s="192">
        <v>1</v>
      </c>
      <c r="M2" s="193">
        <v>100</v>
      </c>
      <c r="N2" s="2" t="s">
        <v>289</v>
      </c>
    </row>
    <row r="3" spans="1:14" ht="21" customHeight="1" x14ac:dyDescent="0.15">
      <c r="A3" s="61" t="str">
        <f t="shared" si="0"/>
        <v>10013_263</v>
      </c>
      <c r="B3" s="195">
        <v>10013</v>
      </c>
      <c r="C3" s="178">
        <f t="shared" si="1"/>
        <v>10013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テストユニット13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PremiumSSw</v>
      </c>
      <c r="G3" s="195">
        <v>10014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テストユニット14</v>
      </c>
      <c r="I3" s="194">
        <v>263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鉤爪姫 アシュリー</v>
      </c>
      <c r="K3" s="192">
        <v>1</v>
      </c>
      <c r="L3" s="192">
        <v>1</v>
      </c>
      <c r="M3" s="193">
        <v>100</v>
      </c>
      <c r="N3" s="2" t="s">
        <v>289</v>
      </c>
    </row>
    <row r="4" spans="1:14" ht="21" customHeight="1" x14ac:dyDescent="0.15">
      <c r="A4" s="61" t="str">
        <f t="shared" si="0"/>
        <v>10013_115</v>
      </c>
      <c r="B4" s="195">
        <v>10013</v>
      </c>
      <c r="C4" s="178">
        <f t="shared" si="1"/>
        <v>10013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テストユニット13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PremiumSSw</v>
      </c>
      <c r="G4" s="195">
        <v>10014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テストユニット14</v>
      </c>
      <c r="I4" s="194">
        <v>115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イエローキャタップ</v>
      </c>
      <c r="K4" s="192">
        <v>1</v>
      </c>
      <c r="L4" s="192">
        <v>1</v>
      </c>
      <c r="M4" s="193">
        <v>10</v>
      </c>
      <c r="N4" s="2" t="s">
        <v>289</v>
      </c>
    </row>
    <row r="5" spans="1:14" ht="21" customHeight="1" x14ac:dyDescent="0.15">
      <c r="A5" s="61" t="str">
        <f t="shared" si="0"/>
        <v>10013_116</v>
      </c>
      <c r="B5" s="195">
        <v>10013</v>
      </c>
      <c r="C5" s="178">
        <f t="shared" si="1"/>
        <v>10013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テストユニット13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PremiumSSw</v>
      </c>
      <c r="G5" s="195">
        <v>10014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テストユニット14</v>
      </c>
      <c r="I5" s="194">
        <v>116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雷のマッドハッター</v>
      </c>
      <c r="K5" s="192">
        <v>1</v>
      </c>
      <c r="L5" s="192">
        <v>1</v>
      </c>
      <c r="M5" s="193">
        <v>10</v>
      </c>
      <c r="N5" s="2" t="s">
        <v>289</v>
      </c>
    </row>
    <row r="6" spans="1:14" ht="21" customHeight="1" x14ac:dyDescent="0.15">
      <c r="A6" s="61" t="str">
        <f t="shared" si="0"/>
        <v>10013_837</v>
      </c>
      <c r="B6" s="195">
        <v>10013</v>
      </c>
      <c r="C6" s="178">
        <f t="shared" si="1"/>
        <v>10013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テストユニット13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PremiumSSw</v>
      </c>
      <c r="G6" s="195">
        <v>10014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テストユニット14</v>
      </c>
      <c r="I6" s="194">
        <v>837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92">
        <v>1</v>
      </c>
      <c r="L6" s="192">
        <v>1</v>
      </c>
      <c r="M6" s="193">
        <v>1000</v>
      </c>
      <c r="N6" s="2" t="s">
        <v>289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1"/>
  <sheetViews>
    <sheetView workbookViewId="0">
      <selection activeCell="G31" sqref="G31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301</v>
      </c>
      <c r="B1" s="115" t="s">
        <v>302</v>
      </c>
      <c r="C1" s="116" t="s">
        <v>303</v>
      </c>
      <c r="D1" s="117" t="s">
        <v>304</v>
      </c>
      <c r="E1" s="117" t="s">
        <v>305</v>
      </c>
      <c r="F1" s="117" t="s">
        <v>306</v>
      </c>
      <c r="G1" s="117" t="s">
        <v>307</v>
      </c>
      <c r="H1" s="117" t="s">
        <v>308</v>
      </c>
      <c r="I1" s="173" t="s">
        <v>309</v>
      </c>
      <c r="J1" s="117" t="s">
        <v>343</v>
      </c>
      <c r="K1" s="168" t="s">
        <v>310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F10" sqref="F10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10014</v>
      </c>
      <c r="B2" s="172" t="str">
        <f>VLOOKUP(A2,[1]characters!$A:$C,3)</f>
        <v>テストユニット14</v>
      </c>
      <c r="C2" s="196">
        <v>1</v>
      </c>
      <c r="D2" s="196">
        <v>614</v>
      </c>
      <c r="E2" s="173" t="str">
        <f>IF(ISERROR(VLOOKUP(D2,[4]abilities!A:D,3,FALSE))=FALSE,VLOOKUP(D2,[4]abilities!A:D,3),IF(ISERROR(VLOOKUP(D2,abilities!A:D,3,FALSE))=FALSE,VLOOKUP(D2,abilities!A:D,3),"なし"))</f>
        <v>青属性耐性10</v>
      </c>
      <c r="F2" s="173" t="str">
        <f>IF(ISERROR(VLOOKUP(D2,[4]abilities!A:D,4,FALSE))=FALSE,VLOOKUP(D2,[4]abilities!A:D,4),IF(ISERROR(VLOOKUP(D2,abilities!A:D,4,FALSE))=FALSE,VLOOKUP(D2,abilities!A:D,4),"なし"))</f>
        <v>自身に対する青属性の敵からの攻撃を10％軽減</v>
      </c>
      <c r="G2" s="174" t="s">
        <v>349</v>
      </c>
      <c r="H2" s="197" t="s">
        <v>350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311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311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313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323</v>
      </c>
      <c r="B1" t="s">
        <v>324</v>
      </c>
    </row>
    <row r="2" spans="1:2" x14ac:dyDescent="0.15">
      <c r="A2" t="s">
        <v>325</v>
      </c>
      <c r="B2">
        <v>1</v>
      </c>
    </row>
    <row r="3" spans="1:2" x14ac:dyDescent="0.15">
      <c r="A3" t="s">
        <v>326</v>
      </c>
      <c r="B3">
        <v>1</v>
      </c>
    </row>
    <row r="4" spans="1:2" x14ac:dyDescent="0.15">
      <c r="A4" t="s">
        <v>327</v>
      </c>
      <c r="B4">
        <v>1</v>
      </c>
    </row>
    <row r="5" spans="1:2" x14ac:dyDescent="0.15">
      <c r="A5" t="s">
        <v>328</v>
      </c>
      <c r="B5">
        <v>1</v>
      </c>
    </row>
    <row r="6" spans="1:2" x14ac:dyDescent="0.15">
      <c r="A6" t="s">
        <v>329</v>
      </c>
      <c r="B6">
        <v>1</v>
      </c>
    </row>
    <row r="7" spans="1:2" x14ac:dyDescent="0.15">
      <c r="A7" t="s">
        <v>330</v>
      </c>
      <c r="B7">
        <v>1</v>
      </c>
    </row>
    <row r="8" spans="1:2" x14ac:dyDescent="0.15">
      <c r="A8" t="s">
        <v>331</v>
      </c>
      <c r="B8">
        <v>1</v>
      </c>
    </row>
    <row r="9" spans="1:2" x14ac:dyDescent="0.15">
      <c r="A9" t="s">
        <v>332</v>
      </c>
      <c r="B9">
        <v>1</v>
      </c>
    </row>
    <row r="10" spans="1:2" x14ac:dyDescent="0.15">
      <c r="A10" t="s">
        <v>333</v>
      </c>
      <c r="B10">
        <v>1</v>
      </c>
    </row>
    <row r="11" spans="1:2" x14ac:dyDescent="0.15">
      <c r="A11" t="s">
        <v>334</v>
      </c>
      <c r="B11">
        <v>1</v>
      </c>
    </row>
    <row r="12" spans="1:2" x14ac:dyDescent="0.15">
      <c r="A12" t="s">
        <v>335</v>
      </c>
      <c r="B12">
        <v>1</v>
      </c>
    </row>
    <row r="13" spans="1:2" x14ac:dyDescent="0.15">
      <c r="A13" t="s">
        <v>336</v>
      </c>
      <c r="B13">
        <v>0</v>
      </c>
    </row>
    <row r="14" spans="1:2" x14ac:dyDescent="0.15">
      <c r="A14" t="s">
        <v>337</v>
      </c>
      <c r="B14">
        <v>500</v>
      </c>
    </row>
    <row r="15" spans="1:2" x14ac:dyDescent="0.15">
      <c r="A15" t="s">
        <v>338</v>
      </c>
      <c r="B15">
        <v>600</v>
      </c>
    </row>
    <row r="16" spans="1:2" x14ac:dyDescent="0.15">
      <c r="A16" t="s">
        <v>339</v>
      </c>
      <c r="B16">
        <v>700</v>
      </c>
    </row>
    <row r="17" spans="1:2" x14ac:dyDescent="0.15">
      <c r="A17" t="s">
        <v>340</v>
      </c>
      <c r="B17">
        <v>5500</v>
      </c>
    </row>
    <row r="18" spans="1:2" x14ac:dyDescent="0.15">
      <c r="A18" t="s">
        <v>341</v>
      </c>
      <c r="B18">
        <v>6000</v>
      </c>
    </row>
    <row r="19" spans="1:2" x14ac:dyDescent="0.15">
      <c r="A19" t="s">
        <v>342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2017-05-26T10:01:37Z</dcterms:modified>
</cp:coreProperties>
</file>