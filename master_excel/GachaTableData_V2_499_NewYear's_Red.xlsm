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99010" sheetId="157" r:id="rId4"/>
    <sheet name="tables_499010" sheetId="158" r:id="rId5"/>
    <sheet name="input_499100" sheetId="153" r:id="rId6"/>
    <sheet name="tables_499100" sheetId="154" r:id="rId7"/>
    <sheet name="tables_settle_499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tables_499010!$A$1:$V$69</definedName>
    <definedName name="_xlnm._FilterDatabase" localSheetId="6" hidden="1">tables_499100!$A$1:$V$76</definedName>
    <definedName name="_xlnm._FilterDatabase" localSheetId="7" hidden="1">tables_settle_499100!$A$1:$V$37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59" l="1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J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2" i="159"/>
  <c r="D2" i="159"/>
  <c r="O2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E44" i="159"/>
  <c r="E45" i="159"/>
  <c r="E47" i="159"/>
  <c r="F44" i="159"/>
  <c r="F45" i="159"/>
  <c r="F46" i="159"/>
  <c r="F47" i="159"/>
  <c r="A2" i="153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A38" i="159"/>
  <c r="A39" i="159"/>
  <c r="A40" i="159"/>
  <c r="A41" i="159"/>
  <c r="A42" i="159"/>
  <c r="A43" i="159"/>
  <c r="B30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J39" i="154"/>
  <c r="D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B10" i="153"/>
  <c r="N9" i="153"/>
  <c r="M9" i="153"/>
  <c r="N8" i="153"/>
  <c r="M8" i="153"/>
  <c r="N7" i="153"/>
  <c r="M7" i="153"/>
  <c r="N6" i="153"/>
  <c r="M6" i="153"/>
  <c r="N5" i="153"/>
  <c r="M5" i="153"/>
  <c r="N4" i="153"/>
  <c r="M4" i="153"/>
  <c r="N3" i="153"/>
  <c r="M3" i="153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J39" i="158"/>
  <c r="D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A2" i="157"/>
  <c r="F6" i="157"/>
  <c r="A36" i="157"/>
  <c r="E27" i="157"/>
  <c r="B27" i="157"/>
  <c r="G27" i="157"/>
  <c r="H27" i="157"/>
  <c r="O23" i="158"/>
  <c r="E6" i="157"/>
  <c r="E18" i="157"/>
  <c r="E19" i="157"/>
  <c r="B19" i="157"/>
  <c r="E24" i="157"/>
  <c r="B24" i="157"/>
  <c r="B17" i="157"/>
  <c r="B18" i="157"/>
  <c r="G18" i="157"/>
  <c r="H18" i="157"/>
  <c r="O2" i="158"/>
  <c r="O3" i="158"/>
  <c r="O4" i="158"/>
  <c r="O5" i="158"/>
  <c r="O6" i="158"/>
  <c r="E25" i="157"/>
  <c r="B25" i="157"/>
  <c r="G25" i="157"/>
  <c r="H25" i="157"/>
  <c r="O7" i="158"/>
  <c r="E26" i="157"/>
  <c r="B26" i="157"/>
  <c r="G26" i="157"/>
  <c r="H26" i="157"/>
  <c r="O8" i="158"/>
  <c r="E20" i="157"/>
  <c r="B20" i="157"/>
  <c r="G20" i="157"/>
  <c r="H20" i="157"/>
  <c r="O9" i="158"/>
  <c r="E23" i="157"/>
  <c r="B23" i="157"/>
  <c r="E28" i="157"/>
  <c r="B28" i="157"/>
  <c r="B21" i="157"/>
  <c r="G21" i="157"/>
  <c r="E21" i="157"/>
  <c r="H21" i="157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G28" i="157"/>
  <c r="H28" i="157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G23" i="157"/>
  <c r="H23" i="157"/>
  <c r="O39" i="158"/>
  <c r="O40" i="158"/>
  <c r="O41" i="158"/>
  <c r="O42" i="158"/>
  <c r="O43" i="158"/>
  <c r="O44" i="158"/>
  <c r="O45" i="158"/>
  <c r="O46" i="158"/>
  <c r="O47" i="158"/>
  <c r="E22" i="157"/>
  <c r="B22" i="157"/>
  <c r="G22" i="157"/>
  <c r="H22" i="157"/>
  <c r="O48" i="158"/>
  <c r="O49" i="158"/>
  <c r="G29" i="157"/>
  <c r="H29" i="157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N3" i="157"/>
  <c r="R3" i="157"/>
  <c r="O70" i="158"/>
  <c r="N4" i="157"/>
  <c r="R4" i="157"/>
  <c r="O71" i="158"/>
  <c r="N5" i="157"/>
  <c r="R5" i="157"/>
  <c r="O72" i="158"/>
  <c r="R6" i="157"/>
  <c r="O73" i="158"/>
  <c r="R7" i="157"/>
  <c r="O74" i="158"/>
  <c r="R8" i="157"/>
  <c r="O75" i="158"/>
  <c r="R9" i="157"/>
  <c r="O76" i="158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F48" i="157"/>
  <c r="F49" i="157"/>
  <c r="G48" i="157"/>
  <c r="F42" i="157"/>
  <c r="G42" i="157"/>
  <c r="F35" i="157"/>
  <c r="F70" i="158"/>
  <c r="H70" i="158"/>
  <c r="K70" i="158"/>
  <c r="L70" i="158"/>
  <c r="M70" i="158"/>
  <c r="N70" i="158"/>
  <c r="F71" i="158"/>
  <c r="F72" i="158"/>
  <c r="F73" i="158"/>
  <c r="F74" i="158"/>
  <c r="F75" i="158"/>
  <c r="F76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H74" i="158"/>
  <c r="K74" i="158"/>
  <c r="L74" i="158"/>
  <c r="M74" i="158"/>
  <c r="N74" i="158"/>
  <c r="H75" i="158"/>
  <c r="K75" i="158"/>
  <c r="L75" i="158"/>
  <c r="M75" i="158"/>
  <c r="N75" i="158"/>
  <c r="H76" i="158"/>
  <c r="K76" i="158"/>
  <c r="L76" i="158"/>
  <c r="M76" i="158"/>
  <c r="N76" i="158"/>
  <c r="A70" i="158"/>
  <c r="A71" i="158"/>
  <c r="A72" i="158"/>
  <c r="A73" i="158"/>
  <c r="A74" i="158"/>
  <c r="A75" i="158"/>
  <c r="A76" i="158"/>
  <c r="N6" i="157"/>
  <c r="N7" i="157"/>
  <c r="N8" i="157"/>
  <c r="N9" i="157"/>
  <c r="F41" i="157"/>
  <c r="G41" i="157"/>
  <c r="F34" i="157"/>
  <c r="F70" i="154"/>
  <c r="F71" i="154"/>
  <c r="F72" i="154"/>
  <c r="F73" i="154"/>
  <c r="F74" i="154"/>
  <c r="F75" i="154"/>
  <c r="F76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A36" i="153"/>
  <c r="G29" i="153"/>
  <c r="H29" i="153"/>
  <c r="J2" i="159"/>
  <c r="E2" i="159"/>
  <c r="F2" i="159"/>
  <c r="C2" i="159"/>
  <c r="G17" i="153"/>
  <c r="E17" i="153"/>
  <c r="H17" i="153"/>
  <c r="J3" i="159"/>
  <c r="E3" i="159"/>
  <c r="F3" i="159"/>
  <c r="C3" i="159"/>
  <c r="G18" i="153"/>
  <c r="H18" i="153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G24" i="153"/>
  <c r="H24" i="153"/>
  <c r="G25" i="153"/>
  <c r="H25" i="153"/>
  <c r="G26" i="153"/>
  <c r="H26" i="153"/>
  <c r="G19" i="153"/>
  <c r="H19" i="153"/>
  <c r="G20" i="153"/>
  <c r="H20" i="153"/>
  <c r="G21" i="153"/>
  <c r="E21" i="153"/>
  <c r="H21" i="153"/>
  <c r="G27" i="153"/>
  <c r="H27" i="153"/>
  <c r="G28" i="153"/>
  <c r="H28" i="153"/>
  <c r="G23" i="153"/>
  <c r="H23" i="153"/>
  <c r="G22" i="153"/>
  <c r="H22" i="153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R3" i="153"/>
  <c r="O70" i="154"/>
  <c r="R4" i="153"/>
  <c r="O71" i="154"/>
  <c r="R5" i="153"/>
  <c r="O72" i="154"/>
  <c r="R6" i="153"/>
  <c r="O73" i="154"/>
  <c r="R7" i="153"/>
  <c r="O74" i="154"/>
  <c r="R8" i="153"/>
  <c r="O75" i="154"/>
  <c r="R9" i="153"/>
  <c r="O76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B10" i="157"/>
  <c r="G17" i="157"/>
  <c r="E17" i="157"/>
  <c r="H17" i="157"/>
  <c r="G24" i="157"/>
  <c r="H24" i="157"/>
  <c r="G19" i="157"/>
  <c r="H19" i="157"/>
  <c r="F41" i="153"/>
  <c r="G41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F49" i="153"/>
  <c r="F42" i="153"/>
  <c r="G42" i="153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C4" i="103"/>
  <c r="E4" i="103"/>
  <c r="B30" i="157"/>
  <c r="R10" i="153"/>
  <c r="R10" i="157"/>
  <c r="E31" i="157"/>
  <c r="G31" i="157"/>
  <c r="H31" i="157"/>
  <c r="E30" i="157"/>
  <c r="G30" i="157"/>
  <c r="H3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G30" i="153"/>
  <c r="E30" i="153"/>
  <c r="H30" i="153"/>
  <c r="G31" i="153"/>
  <c r="E31" i="153"/>
  <c r="H31" i="153"/>
  <c r="C5" i="103"/>
  <c r="E5" i="103"/>
  <c r="C6" i="103"/>
  <c r="E6" i="103"/>
  <c r="C2" i="103"/>
  <c r="E2" i="103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<sst xmlns="http://schemas.openxmlformats.org/spreadsheetml/2006/main" count="535" uniqueCount="255">
  <si>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</si>
  <si>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</si>
  <si>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</si>
  <si>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</si>
  <si>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</si>
  <si>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</si>
  <si>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</si>
  <si>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</si>
  <si>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</si>
  <si>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</si>
  <si>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</si>
  <si>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</si>
  <si>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</si>
  <si>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</si>
  <si>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</si>
  <si>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</si>
  <si>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</si>
  <si>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</si>
  <si>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</si>
  <si>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</si>
  <si>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</si>
  <si>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</si>
  <si>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</si>
  <si>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</si>
  <si>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</si>
  <si>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</si>
  <si>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</si>
  <si>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</si>
  <si>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</si>
  <si>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</si>
  <si>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</si>
  <si>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</si>
  <si>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</si>
  <si>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</si>
  <si>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</si>
  <si>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</si>
  <si>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</si>
  <si>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</si>
  <si>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</si>
  <si>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</si>
  <si>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</si>
  <si>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</si>
  <si>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</si>
  <si>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</si>
  <si>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</si>
  <si>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</si>
  <si>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</si>
  <si>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</si>
  <si>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</si>
  <si>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</si>
  <si>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</si>
  <si>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</si>
  <si>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</si>
  <si>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</si>
  <si>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</si>
  <si>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</si>
  <si>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</si>
  <si>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</si>
  <si>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</si>
  <si>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</si>
  <si>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</si>
  <si>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</si>
  <si>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</si>
  <si>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</si>
  <si>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</si>
  <si>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</si>
  <si>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</si>
  <si>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</si>
  <si>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</si>
  <si>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</si>
  <si>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</si>
  <si>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</si>
  <si>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</si>
  <si>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</si>
  <si>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</si>
  <si>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</si>
  <si>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</si>
  <si>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</si>
  <si>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</si>
  <si>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</si>
  <si>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</si>
  <si>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</si>
  <si>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</si>
  <si>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</si>
  <si>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</si>
  <si>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</si>
  <si>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</si>
  <si>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</si>
  <si>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</si>
  <si>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</si>
  <si>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</si>
  <si>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</si>
  <si>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</si>
  <si>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</si>
  <si>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</si>
  <si>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</si>
  <si>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</si>
  <si>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</si>
  <si>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</si>
  <si>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</si>
  <si>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</si>
  <si>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</si>
  <si>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</si>
  <si>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</si>
  <si>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</si>
  <si>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</si>
  <si>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</si>
  <si>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</si>
  <si>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</si>
  <si>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</si>
  <si>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</si>
  <si>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</si>
  <si>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</si>
  <si>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</si>
  <si>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</si>
  <si>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</si>
  <si>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</si>
  <si>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</si>
  <si>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</si>
  <si>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</si>
  <si>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</si>
  <si>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</si>
  <si>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</si>
  <si>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</si>
  <si>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</si>
  <si>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</si>
  <si>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</si>
  <si>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</si>
  <si>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</si>
  <si>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</si>
  <si>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</si>
  <si>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</si>
  <si>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</si>
  <si>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</si>
  <si>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</si>
  <si>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</si>
  <si>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</si>
  <si>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</si>
  <si>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</si>
  <si>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</si>
  <si>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</si>
  <si>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</si>
  <si>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</si>
  <si>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</si>
  <si>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</si>
  <si>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</si>
  <si>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</si>
  <si>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</si>
  <si>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</si>
  <si>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</si>
  <si>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</si>
  <si>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</si>
  <si>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</si>
  <si>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</si>
  <si>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</si>
  <si>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</si>
  <si>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</si>
  <si>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</si>
  <si>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</si>
  <si>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</si>
  <si>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</si>
  <si>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</si>
  <si>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</si>
  <si>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</si>
  <si>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</si>
  <si>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</si>
  <si>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</si>
  <si>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</si>
  <si>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</si>
  <si>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</si>
  <si>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</si>
  <si>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</si>
  <si>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</si>
  <si>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</si>
  <si>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</si>
  <si>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</si>
  <si>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</si>
  <si>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</si>
  <si>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</si>
  <si>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</si>
  <si>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</si>
  <si>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</si>
  <si>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</si>
  <si>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</si>
  <si>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</si>
  <si>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</si>
  <si>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</si>
  <si>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</si>
  <si>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</si>
  <si>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</si>
  <si>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</si>
  <si>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</si>
  <si>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</si>
  <si>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</si>
  <si>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</si>
  <si>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</si>
  <si>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</si>
  <si>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</si>
  <si>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</si>
  <si>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</si>
  <si>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</si>
  <si>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</si>
  <si>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</si>
  <si>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</si>
  <si>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</si>
  <si>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</si>
  <si>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</si>
  <si>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</si>
  <si>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</si>
  <si>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</si>
  <si>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</si>
  <si>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</si>
  <si>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</si>
  <si>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</si>
  <si>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</si>
  <si>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</si>
  <si>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</si>
  <si>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</si>
  <si>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</si>
  <si>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</si>
  <si>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</si>
  <si>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</si>
  <si>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</si>
  <si>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</si>
  <si>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</si>
  <si>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</si>
  <si>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</si>
  <si>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</si>
  <si>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</si>
  <si>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</si>
  <si>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</si>
  <si>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</si>
  <si>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</si>
  <si>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</si>
  <si>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</si>
  <si>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</si>
  <si>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</si>
  <si>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</si>
  <si>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</si>
  <si>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</si>
  <si>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</si>
  <si>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</si>
  <si>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</si>
  <si>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</si>
  <si>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</si>
  <si>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</si>
  <si>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</si>
  <si>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</si>
  <si>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</si>
  <si>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</si>
  <si>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</si>
  <si>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tables_499100</t>
    <phoneticPr fontId="20"/>
  </si>
  <si>
    <t>tables_499010</t>
    <phoneticPr fontId="20"/>
  </si>
  <si>
    <t>tables_settle_499100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</si>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</sst>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7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4" borderId="1" xfId="2978" applyFont="1" applyFill="1" applyBorder="1"/>
    <xf numFmtId="0" fontId="2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あけおめダック２０１７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7" sqref="D1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6" t="s">
        <v>254</v>
      </c>
      <c r="B2" s="61" t="s">
        <v>110</v>
      </c>
      <c r="C2" s="50" t="str">
        <f t="shared" ref="C2" si="0">RIGHT(F2,6)</f>
        <v>499100</v>
      </c>
      <c r="D2" s="19" t="s">
        <v>45</v>
      </c>
      <c r="E2" s="17" t="str">
        <f t="shared" ref="E2" si="1">B2&amp;C2&amp;D2</f>
        <v>gacha_select_tables_499100.tmp</v>
      </c>
      <c r="F2" s="95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6" t="s">
        <v>254</v>
      </c>
      <c r="B3" s="61" t="s">
        <v>110</v>
      </c>
      <c r="C3" s="50" t="str">
        <f t="shared" ref="C3:C7" si="2">RIGHT(F3,6)</f>
        <v>499010</v>
      </c>
      <c r="D3" s="19" t="s">
        <v>45</v>
      </c>
      <c r="E3" s="17" t="str">
        <f t="shared" ref="E3:E10" si="3">B3&amp;C3&amp;D3</f>
        <v>gacha_select_tables_499010.tmp</v>
      </c>
      <c r="F3" s="95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254</v>
      </c>
      <c r="B4" s="92" t="s">
        <v>247</v>
      </c>
      <c r="C4" s="93" t="str">
        <f t="shared" si="2"/>
        <v>499100</v>
      </c>
      <c r="D4" s="19" t="s">
        <v>248</v>
      </c>
      <c r="E4" s="17" t="str">
        <f t="shared" si="3"/>
        <v>gacha_settle_tables_499100.tmp</v>
      </c>
      <c r="F4" s="95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I5" sqref="I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484</v>
      </c>
      <c r="M3" s="37" t="str">
        <f>VLOOKUP(L3,[1]characters!$A:$C,3,FALSE)</f>
        <v>ラグランジュ</v>
      </c>
      <c r="N3" s="63">
        <f>0.01/6</f>
        <v>1.6666666666666668E-3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VLOOKUP(L3,tables_499010!B:C,2,FALSE)</f>
        <v>PremiumSSS4R3less</v>
      </c>
      <c r="R3" s="62">
        <f t="shared" ref="R3:R20" si="1">N3*A$36</f>
        <v>4000.0000000000005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485</v>
      </c>
      <c r="M4" s="37" t="str">
        <f>VLOOKUP(L4,[1]characters!$A:$C,3,FALSE)</f>
        <v>超越自我 ラグランジュ</v>
      </c>
      <c r="N4" s="63">
        <f>0.01/6</f>
        <v>1.6666666666666668E-3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VLOOKUP(L4,tables_499010!B:C,2,FALSE)</f>
        <v>PremiumSSS5R3less</v>
      </c>
      <c r="R4" s="62">
        <f t="shared" si="1"/>
        <v>4000.0000000000005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5.4999999999999997E-3</v>
      </c>
      <c r="F5">
        <f>(COUNTIF(tables_499010!C:C,input_499010!A28)+COUNTIF(tables_499010!C:C,input_499010!A29))</f>
        <v>16</v>
      </c>
      <c r="H5" s="83">
        <v>0.02</v>
      </c>
      <c r="I5" s="31">
        <v>6</v>
      </c>
      <c r="L5" s="60">
        <v>870</v>
      </c>
      <c r="M5" s="37" t="str">
        <f>VLOOKUP(L5,[1]characters!$A:$C,3,FALSE)</f>
        <v>フロイト</v>
      </c>
      <c r="N5" s="63">
        <f>0.01/3</f>
        <v>3.3333333333333335E-3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VLOOKUP(L5,tables_499010!B:C,2,FALSE)</f>
        <v>PremiumSSS5R3less</v>
      </c>
      <c r="R5" s="62">
        <f t="shared" si="1"/>
        <v>8000.0000000000009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3.8541666666666669E-2</v>
      </c>
      <c r="F6">
        <f>(COUNTIF(tables_499010!C:C,input_499010!A25)+COUNTIF(tables_499010!C:C,input_499010!A18)+COUNTIF(tables_499010!C:C,input_499010!A20)+COUNTIF(tables_499010!C:C,input_499010!A22))</f>
        <v>24</v>
      </c>
      <c r="H6" s="88">
        <v>0</v>
      </c>
      <c r="I6" s="31">
        <v>0</v>
      </c>
      <c r="L6" s="90">
        <v>1109</v>
      </c>
      <c r="M6" s="37" t="str">
        <f>VLOOKUP(L6,[1]characters!$A:$C,3,FALSE)</f>
        <v>セキ</v>
      </c>
      <c r="N6" s="63">
        <f t="shared" ref="N6:N9" si="2">0.01/3</f>
        <v>3.3333333333333335E-3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VLOOKUP(L6,tables_499010!B:C,2,FALSE)</f>
        <v>PremiumSSS5R3less</v>
      </c>
      <c r="R6" s="62">
        <f t="shared" si="1"/>
        <v>8000.0000000000009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60">
        <v>486</v>
      </c>
      <c r="M7" s="37" t="str">
        <f>VLOOKUP(L7,[1]characters!$A:$C,3,FALSE)</f>
        <v>重なる世解 シュレディンガー</v>
      </c>
      <c r="N7" s="63">
        <f t="shared" si="2"/>
        <v>3.3333333333333335E-3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VLOOKUP(L7,tables_499010!B:C,2,FALSE)</f>
        <v>PremiumSSS5R3less</v>
      </c>
      <c r="R7" s="62">
        <f t="shared" si="1"/>
        <v>8000.0000000000009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783</v>
      </c>
      <c r="M8" s="37" t="str">
        <f>VLOOKUP(L8,[1]characters!$A:$C,3,FALSE)</f>
        <v>モールス</v>
      </c>
      <c r="N8" s="63">
        <f t="shared" si="2"/>
        <v>3.3333333333333335E-3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VLOOKUP(L8,tables_499010!B:C,2,FALSE)</f>
        <v>PremiumSSS5R3less</v>
      </c>
      <c r="R8" s="62">
        <f t="shared" si="1"/>
        <v>8000.0000000000009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>
        <v>1234</v>
      </c>
      <c r="M9" s="37" t="str">
        <f>VLOOKUP(L9,[1]characters!$A:$C,3,FALSE)</f>
        <v>ボーア</v>
      </c>
      <c r="N9" s="63">
        <f t="shared" si="2"/>
        <v>3.3333333333333335E-3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VLOOKUP(L9,tables_499010!B:C,2,FALSE)</f>
        <v>PremiumSSS5R3less</v>
      </c>
      <c r="R9" s="62">
        <f t="shared" si="1"/>
        <v>8000.0000000000009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3">SUMIF(Q:Q,A17,N:N)</f>
        <v>0</v>
      </c>
      <c r="D17" s="74">
        <f t="shared" ref="D17:D32" si="4">B17-C17</f>
        <v>0</v>
      </c>
      <c r="E17">
        <f>COUNTIF(tables_499010!C:C,input_499010!A17)-COUNTIF(Q:Q,A17)</f>
        <v>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0.21889583332500012</v>
      </c>
      <c r="C18" s="84">
        <f t="shared" si="3"/>
        <v>0</v>
      </c>
      <c r="D18" s="74">
        <f t="shared" si="4"/>
        <v>0.21889583332500012</v>
      </c>
      <c r="E18">
        <f>COUNTIF(tables_499010!C:C,input_499010!A18)-COUNTIF(Q:Q,A18)</f>
        <v>5</v>
      </c>
      <c r="F18" s="43">
        <f>IFERROR(B18/E18,0)</f>
        <v>4.3779166665000022E-2</v>
      </c>
      <c r="G18">
        <f t="shared" si="5"/>
        <v>525349.99998000031</v>
      </c>
      <c r="H18">
        <f t="shared" si="6"/>
        <v>105070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3"/>
        <v>0</v>
      </c>
      <c r="D19" s="74">
        <f t="shared" si="4"/>
        <v>0</v>
      </c>
      <c r="E19">
        <f>COUNTIF(tables_499010!C:C,input_499010!A19)-COUNTIF(Q:Q,A19)</f>
        <v>0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E$6*E20*B$6-0.02</f>
        <v>0.38468750000000002</v>
      </c>
      <c r="C20" s="84">
        <f t="shared" si="3"/>
        <v>0</v>
      </c>
      <c r="D20" s="74">
        <f t="shared" si="4"/>
        <v>0.38468750000000002</v>
      </c>
      <c r="E20">
        <f>COUNTIF(tables_499010!C:C,input_499010!A20)-COUNTIF(Q:Q,A20)</f>
        <v>12</v>
      </c>
      <c r="F20" s="43">
        <f t="shared" si="9"/>
        <v>3.2057291666666668E-2</v>
      </c>
      <c r="G20">
        <f t="shared" si="5"/>
        <v>923250</v>
      </c>
      <c r="H20">
        <f t="shared" si="6"/>
        <v>76937.5</v>
      </c>
      <c r="I20">
        <f t="shared" si="7"/>
        <v>0.5</v>
      </c>
      <c r="J20">
        <f t="shared" si="8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3.1624999982599988E-2</v>
      </c>
      <c r="C21" s="84">
        <f t="shared" si="3"/>
        <v>0</v>
      </c>
      <c r="D21" s="74">
        <f t="shared" si="4"/>
        <v>3.1624999982599988E-2</v>
      </c>
      <c r="E21">
        <f>COUNTIF(tables_499010!C:C,input_499010!A21)-COUNTIF(Q:Q,A21)</f>
        <v>12</v>
      </c>
      <c r="F21" s="43">
        <f t="shared" si="9"/>
        <v>2.6354166652166658E-3</v>
      </c>
      <c r="G21">
        <f t="shared" si="5"/>
        <v>75899.999958239976</v>
      </c>
      <c r="H21">
        <f t="shared" si="6"/>
        <v>6325</v>
      </c>
      <c r="I21">
        <f t="shared" si="7"/>
        <v>0</v>
      </c>
      <c r="J21">
        <f t="shared" si="8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0.19752604166666668</v>
      </c>
      <c r="C22" s="84">
        <f t="shared" si="3"/>
        <v>0</v>
      </c>
      <c r="D22" s="74">
        <f t="shared" si="4"/>
        <v>0.19752604166666668</v>
      </c>
      <c r="E22">
        <f>COUNTIF(tables_499010!C:C,input_499010!A22)-COUNTIF(Q:Q,A22)</f>
        <v>6</v>
      </c>
      <c r="F22" s="43">
        <f t="shared" si="9"/>
        <v>3.2921006944444449E-2</v>
      </c>
      <c r="G22">
        <f t="shared" si="5"/>
        <v>474062.50000000006</v>
      </c>
      <c r="H22">
        <f t="shared" si="6"/>
        <v>79010.416670000006</v>
      </c>
      <c r="I22">
        <f t="shared" si="7"/>
        <v>0.41667000000597909</v>
      </c>
      <c r="J22">
        <f t="shared" si="8"/>
        <v>2.3999808001191596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3.3723958333333331E-2</v>
      </c>
      <c r="C23" s="84">
        <f t="shared" si="3"/>
        <v>0</v>
      </c>
      <c r="D23" s="74">
        <f t="shared" si="4"/>
        <v>3.3723958333333331E-2</v>
      </c>
      <c r="E23">
        <f>COUNTIF(tables_499010!C:C,input_499010!A23)-COUNTIF(Q:Q,A23)</f>
        <v>7</v>
      </c>
      <c r="F23" s="43">
        <f t="shared" si="9"/>
        <v>4.8177083333333327E-3</v>
      </c>
      <c r="G23">
        <f t="shared" si="5"/>
        <v>80937.5</v>
      </c>
      <c r="H23">
        <f t="shared" si="6"/>
        <v>11562.5</v>
      </c>
      <c r="I23">
        <f t="shared" si="7"/>
        <v>0.5</v>
      </c>
      <c r="J23">
        <f t="shared" si="8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3"/>
        <v>0</v>
      </c>
      <c r="D24" s="74">
        <f t="shared" si="4"/>
        <v>0</v>
      </c>
      <c r="E24">
        <f>COUNTIF(tables_499010!C:C,input_499010!A24)-COUNTIF(Q:Q,A24)</f>
        <v>0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3.3723958333333331E-2</v>
      </c>
      <c r="C25" s="84">
        <f t="shared" si="3"/>
        <v>0</v>
      </c>
      <c r="D25" s="74">
        <f t="shared" si="4"/>
        <v>3.3723958333333331E-2</v>
      </c>
      <c r="E25">
        <f>COUNTIF(tables_499010!C:C,input_499010!A25)-COUNTIF(Q:Q,A25)</f>
        <v>1</v>
      </c>
      <c r="F25" s="43">
        <f t="shared" si="9"/>
        <v>3.3723958333333331E-2</v>
      </c>
      <c r="G25">
        <f t="shared" si="5"/>
        <v>80937.5</v>
      </c>
      <c r="H25">
        <f t="shared" si="6"/>
        <v>80937.5</v>
      </c>
      <c r="I25">
        <f t="shared" si="7"/>
        <v>0.5</v>
      </c>
      <c r="J25">
        <f t="shared" si="8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4.8177083333333336E-3</v>
      </c>
      <c r="C26" s="84">
        <f t="shared" si="3"/>
        <v>0</v>
      </c>
      <c r="D26" s="74">
        <f t="shared" si="4"/>
        <v>4.8177083333333336E-3</v>
      </c>
      <c r="E26">
        <f>COUNTIF(tables_499010!C:C,input_499010!A26)-COUNTIF(Q:Q,A26)</f>
        <v>1</v>
      </c>
      <c r="F26" s="43">
        <f t="shared" si="9"/>
        <v>4.8177083333333336E-3</v>
      </c>
      <c r="G26">
        <f t="shared" si="5"/>
        <v>11562.5</v>
      </c>
      <c r="H26">
        <f t="shared" si="6"/>
        <v>11562.5</v>
      </c>
      <c r="I26">
        <f t="shared" si="7"/>
        <v>0.5</v>
      </c>
      <c r="J26">
        <f t="shared" si="8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3.85E-2</v>
      </c>
      <c r="C27" s="84">
        <f t="shared" si="3"/>
        <v>0</v>
      </c>
      <c r="D27" s="74">
        <f t="shared" si="4"/>
        <v>3.85E-2</v>
      </c>
      <c r="E27">
        <f>COUNTIF(tables_499010!C:C,input_499010!A27)-COUNTIF(Q:Q,A27)</f>
        <v>8</v>
      </c>
      <c r="F27" s="43">
        <f>IFERROR(B27/E27,0)</f>
        <v>4.8124999999999999E-3</v>
      </c>
      <c r="G27">
        <f t="shared" si="5"/>
        <v>92400</v>
      </c>
      <c r="H27">
        <f t="shared" si="6"/>
        <v>11550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5.4999999999999997E-3</v>
      </c>
      <c r="C28" s="84">
        <f t="shared" si="3"/>
        <v>0</v>
      </c>
      <c r="D28" s="74">
        <f t="shared" si="4"/>
        <v>5.4999999999999997E-3</v>
      </c>
      <c r="E28">
        <f>COUNTIF(tables_499010!C:C,input_499010!A28)-COUNTIF(Q:Q,A28)</f>
        <v>8</v>
      </c>
      <c r="F28" s="43">
        <f t="shared" si="9"/>
        <v>6.8749999999999996E-4</v>
      </c>
      <c r="G28">
        <f t="shared" si="5"/>
        <v>13200</v>
      </c>
      <c r="H28">
        <f t="shared" si="6"/>
        <v>1650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3.100000000073333E-2</v>
      </c>
      <c r="C29" s="84">
        <f t="shared" si="3"/>
        <v>0</v>
      </c>
      <c r="D29" s="74">
        <f t="shared" si="4"/>
        <v>3.100000000073333E-2</v>
      </c>
      <c r="E29">
        <f>COUNTIF(tables_499010!C:C,input_499010!A29)-COUNTIF(Q:Q,A29)</f>
        <v>8</v>
      </c>
      <c r="F29" s="43">
        <f t="shared" si="9"/>
        <v>3.8750000000916662E-3</v>
      </c>
      <c r="G29">
        <f t="shared" si="5"/>
        <v>74400.000001759996</v>
      </c>
      <c r="H29">
        <f t="shared" si="6"/>
        <v>9300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3"/>
        <v>1.6666666666666668E-3</v>
      </c>
      <c r="D30" s="74">
        <f t="shared" si="4"/>
        <v>-1.6666666666666668E-3</v>
      </c>
      <c r="E30">
        <f>COUNTIF(tables_499010!C:C,input_499010!A30)-COUNTIF(Q:Q,A30)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3"/>
        <v>1.8333333333333333E-2</v>
      </c>
      <c r="D31" s="74">
        <f t="shared" si="4"/>
        <v>-1.8333333333333333E-2</v>
      </c>
      <c r="E31">
        <f>COUNTIF(tables_499010!C:C,input_499010!A31)-COUNTIF(Q:Q,A31)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0.97999999997499998</v>
      </c>
      <c r="C32" s="41">
        <f>SUM(C19:C31)</f>
        <v>0.02</v>
      </c>
      <c r="D32" s="42">
        <f t="shared" si="4"/>
        <v>0.95999999997499996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6.1874999916667894E-3</v>
      </c>
      <c r="F34" s="55">
        <f ca="1">0.875-G41</f>
        <v>-8.3332230005339625E-12</v>
      </c>
    </row>
    <row r="35" spans="1:7" x14ac:dyDescent="0.15">
      <c r="A35" t="s">
        <v>73</v>
      </c>
      <c r="E35">
        <v>1.8333333350000008E-2</v>
      </c>
      <c r="F35" s="94">
        <f ca="1">G42-B7</f>
        <v>0</v>
      </c>
    </row>
    <row r="36" spans="1:7" x14ac:dyDescent="0.15">
      <c r="A36" s="31">
        <f>LCM(F5-I5,F6-I6)*1000*2*2*5</f>
        <v>2400000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SUMIF(tables_499010!C:C,input_499010!A40,tables_499010!O:O)</f>
        <v>0</v>
      </c>
      <c r="C40" s="54">
        <f t="shared" ref="C40:C46" ca="1" si="10">B40/B$47</f>
        <v>0</v>
      </c>
      <c r="E40">
        <v>3</v>
      </c>
      <c r="F40">
        <f>SUMIF(tables_499010!J:J,input_499010!E40,tables_499010!O:O)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SUMIF(tables_499010!C:C,input_499010!A41,tables_499010!O:O)</f>
        <v>923250</v>
      </c>
      <c r="C41" s="54">
        <f t="shared" ca="1" si="10"/>
        <v>0.83570943652410046</v>
      </c>
      <c r="E41">
        <v>4</v>
      </c>
      <c r="F41">
        <f ca="1">SUMIF(tables_499010!J:J,input_499010!E41,tables_499010!O:O)</f>
        <v>2100000.0000199997</v>
      </c>
      <c r="G41">
        <f ca="1">F41/A36</f>
        <v>0.87500000000833322</v>
      </c>
    </row>
    <row r="42" spans="1:7" x14ac:dyDescent="0.15">
      <c r="A42" s="33" t="s">
        <v>106</v>
      </c>
      <c r="B42">
        <f ca="1">SUMIF(tables_499010!C:C,input_499010!A42,tables_499010!O:O)</f>
        <v>92400</v>
      </c>
      <c r="C42" s="54">
        <f t="shared" ca="1" si="10"/>
        <v>8.3638832315003395E-2</v>
      </c>
      <c r="E42">
        <v>5</v>
      </c>
      <c r="F42">
        <f ca="1">SUMIF(tables_499010!J:J,input_499010!E42,tables_499010!O:O)</f>
        <v>300000</v>
      </c>
      <c r="G42">
        <f ca="1">F42/A36</f>
        <v>0.125</v>
      </c>
    </row>
    <row r="43" spans="1:7" x14ac:dyDescent="0.15">
      <c r="A43" s="33" t="s">
        <v>109</v>
      </c>
      <c r="B43">
        <f>SUMIF(tables_499010!C:C,input_499010!A43,tables_499010!O:O)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SUMIF(tables_499010!C:C,input_499010!A44,tables_499010!O:O)</f>
        <v>75900</v>
      </c>
      <c r="C44" s="54">
        <f t="shared" ca="1" si="10"/>
        <v>6.8703326544467078E-2</v>
      </c>
      <c r="E44" t="s">
        <v>54</v>
      </c>
      <c r="F44" s="55"/>
    </row>
    <row r="45" spans="1:7" x14ac:dyDescent="0.15">
      <c r="A45" s="33" t="s">
        <v>107</v>
      </c>
      <c r="B45">
        <f ca="1">SUMIF(tables_499010!C:C,input_499010!A45,tables_499010!O:O)</f>
        <v>13200</v>
      </c>
      <c r="C45" s="54">
        <f t="shared" ca="1" si="10"/>
        <v>1.1948404616429056E-2</v>
      </c>
      <c r="E45" t="s">
        <v>204</v>
      </c>
      <c r="F45" s="55">
        <f ca="1">SUMIF(tables_499010!I:I,input_499010!E45,tables_499010!P:P)</f>
        <v>0.22371354166480234</v>
      </c>
    </row>
    <row r="46" spans="1:7" x14ac:dyDescent="0.15">
      <c r="A46" s="33" t="s">
        <v>108</v>
      </c>
      <c r="B46">
        <f>SUMIF(tables_499010!C:C,input_499010!A46,tables_499010!O:O)</f>
        <v>0</v>
      </c>
      <c r="C46" s="54">
        <f t="shared" ca="1" si="10"/>
        <v>0</v>
      </c>
      <c r="E46" t="s">
        <v>205</v>
      </c>
      <c r="F46" s="55">
        <f ca="1">SUMIF(tables_499010!I:I,input_499010!E46,tables_499010!P:P)</f>
        <v>0.17731249999852236</v>
      </c>
    </row>
    <row r="47" spans="1:7" x14ac:dyDescent="0.15">
      <c r="A47" s="39" t="s">
        <v>59</v>
      </c>
      <c r="B47">
        <f ca="1">SUM(B40:B46)</f>
        <v>1104750</v>
      </c>
      <c r="C47" s="55">
        <f ca="1">SUM(C40:C46)</f>
        <v>1</v>
      </c>
      <c r="E47" t="s">
        <v>206</v>
      </c>
      <c r="F47" s="55">
        <f ca="1">SUMIF(tables_499010!I:I,input_499010!E47,tables_499010!P:P)</f>
        <v>0.50397395833746694</v>
      </c>
    </row>
    <row r="48" spans="1:7" x14ac:dyDescent="0.15">
      <c r="E48" t="s">
        <v>207</v>
      </c>
      <c r="F48" s="55">
        <f ca="1">SUMIF(tables_499010!I:I,input_499010!E48,tables_499010!P:P)</f>
        <v>7.1124999999407301E-2</v>
      </c>
      <c r="G48" s="55">
        <f ca="1">F48+F49-B11</f>
        <v>-6.2498617392492406E-13</v>
      </c>
    </row>
    <row r="49" spans="5:7" x14ac:dyDescent="0.15">
      <c r="E49" t="s">
        <v>249</v>
      </c>
      <c r="F49" s="55">
        <f ca="1">SUMIF(tables_499010!I:I,input_499010!E49,tables_499010!P:P)</f>
        <v>3.8749999999677081E-3</v>
      </c>
      <c r="G49">
        <v>1.2999999999266668E-2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76"/>
  <sheetViews>
    <sheetView showGridLines="0" zoomScale="75" zoomScaleNormal="75" zoomScalePageLayoutView="75" workbookViewId="0">
      <pane ySplit="1" topLeftCell="A33" activePane="bottomLeft" state="frozen"/>
      <selection activeCell="H276" sqref="H276"/>
      <selection pane="bottomLeft" activeCell="G43" sqref="G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input_499010!A$2</f>
        <v>499010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IFERROR(VLOOKUP(B2,input_499010!L:R,7,FALSE),VLOOKUP(tables_499010!C2,input_499010!A:H,8,FALSE))</f>
        <v>105070</v>
      </c>
      <c r="P2" s="46">
        <f t="shared" ref="P2:P33" ca="1" si="1">O2/SUM(O:O)</f>
        <v>4.3779166666301834E-2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input_499010!A$2</f>
        <v>499010</v>
      </c>
      <c r="B3" s="6">
        <v>135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京の炎華夕霧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IFERROR(VLOOKUP(B3,input_499010!L:R,7,FALSE),VLOOKUP(tables_499010!C3,input_499010!A:H,8,FALSE))</f>
        <v>105070</v>
      </c>
      <c r="P3" s="46">
        <f t="shared" ca="1" si="1"/>
        <v>4.3779166666301834E-2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input_499010!A$2</f>
        <v>499010</v>
      </c>
      <c r="B4" s="6">
        <v>143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深紅の死神 赤ずきん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IFERROR(VLOOKUP(B4,input_499010!L:R,7,FALSE),VLOOKUP(tables_499010!C4,input_499010!A:H,8,FALSE))</f>
        <v>105070</v>
      </c>
      <c r="P4" s="46">
        <f t="shared" ca="1" si="1"/>
        <v>4.3779166666301834E-2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input_499010!A$2</f>
        <v>499010</v>
      </c>
      <c r="B5" s="6">
        <v>151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毒煙の処刑人サキ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red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IFERROR(VLOOKUP(B5,input_499010!L:R,7,FALSE),VLOOKUP(tables_499010!C5,input_499010!A:H,8,FALSE))</f>
        <v>105070</v>
      </c>
      <c r="P5" s="46">
        <f t="shared" ca="1" si="1"/>
        <v>4.3779166666301834E-2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input_499010!A$2</f>
        <v>499010</v>
      </c>
      <c r="B6" s="6">
        <v>159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邪を狩りし者 シャルロッテ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red</v>
      </c>
      <c r="L6" s="7" t="str">
        <f>VLOOKUP(B6,[1]characters!$A:$K,11,FALSE)</f>
        <v>heal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IFERROR(VLOOKUP(B6,input_499010!L:R,7,FALSE),VLOOKUP(tables_499010!C6,input_499010!A:H,8,FALSE))</f>
        <v>105070</v>
      </c>
      <c r="P6" s="46">
        <f t="shared" ca="1" si="1"/>
        <v>4.3779166666301834E-2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input_499010!A$2</f>
        <v>499010</v>
      </c>
      <c r="B7" s="6">
        <v>167</v>
      </c>
      <c r="C7" s="7" t="str">
        <f t="shared" si="0"/>
        <v>Premium4R6release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逆徒 ベリアル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45">
        <f ca="1">IFERROR(VLOOKUP(B7,input_499010!L:R,7,FALSE),VLOOKUP(tables_499010!C7,input_499010!A:H,8,FALSE))</f>
        <v>80937.5</v>
      </c>
      <c r="P7" s="46">
        <f t="shared" ca="1" si="1"/>
        <v>3.3723958333052299E-2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input_499010!A$2</f>
        <v>499010</v>
      </c>
      <c r="B8" s="6">
        <v>168</v>
      </c>
      <c r="C8" s="7" t="str">
        <f t="shared" si="0"/>
        <v>Premium5R6release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>R6release</v>
      </c>
      <c r="G8" s="7"/>
      <c r="H8" s="7" t="str">
        <f>VLOOKUP(B8,[1]characters!$A:$C,3,FALSE)</f>
        <v>猛進の大逆者 ベリアル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男性</v>
      </c>
      <c r="O8" s="45">
        <f ca="1">IFERROR(VLOOKUP(B8,input_499010!L:R,7,FALSE),VLOOKUP(tables_499010!C8,input_499010!A:H,8,FALSE))</f>
        <v>11562.5</v>
      </c>
      <c r="P8" s="46">
        <f t="shared" ca="1" si="1"/>
        <v>4.8177083332931851E-3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input_499010!A$2</f>
        <v>499010</v>
      </c>
      <c r="B9" s="6">
        <v>179</v>
      </c>
      <c r="C9" s="7" t="str">
        <f t="shared" si="0"/>
        <v>Premium4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番犬 ケルベロス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IFERROR(VLOOKUP(B9,input_499010!L:R,7,FALSE),VLOOKUP(tables_499010!C9,input_499010!A:H,8,FALSE))</f>
        <v>76937.5</v>
      </c>
      <c r="P9" s="46">
        <f t="shared" ca="1" si="1"/>
        <v>3.2057291666399521E-2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input_499010!A$2</f>
        <v>499010</v>
      </c>
      <c r="B10" s="6">
        <v>180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地獄の大門番 ケルベロス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IFERROR(VLOOKUP(B10,input_499010!L:R,7,FALSE),VLOOKUP(tables_499010!C10,input_499010!A:H,8,FALSE))</f>
        <v>6325</v>
      </c>
      <c r="P10" s="46">
        <f t="shared" ca="1" si="1"/>
        <v>2.6354166666447045E-3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input_499010!A$2</f>
        <v>499010</v>
      </c>
      <c r="B11" s="6">
        <v>191</v>
      </c>
      <c r="C11" s="7" t="str">
        <f t="shared" si="0"/>
        <v>Premium4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始祖 卑弥呼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IFERROR(VLOOKUP(B11,input_499010!L:R,7,FALSE),VLOOKUP(tables_499010!C11,input_499010!A:H,8,FALSE))</f>
        <v>76937.5</v>
      </c>
      <c r="P11" s="46">
        <f t="shared" ca="1" si="1"/>
        <v>3.2057291666399521E-2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input_499010!A$2</f>
        <v>499010</v>
      </c>
      <c r="B12" s="8">
        <v>192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荘厳なる始祖帝 卑弥呼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IFERROR(VLOOKUP(B12,input_499010!L:R,7,FALSE),VLOOKUP(tables_499010!C12,input_499010!A:H,8,FALSE))</f>
        <v>6325</v>
      </c>
      <c r="P12" s="46">
        <f t="shared" ca="1" si="1"/>
        <v>2.6354166666447045E-3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input_499010!A$2</f>
        <v>499010</v>
      </c>
      <c r="B13" s="8">
        <v>203</v>
      </c>
      <c r="C13" s="7" t="str">
        <f t="shared" si="0"/>
        <v>Premium4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焔神 プロメテウス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red</v>
      </c>
      <c r="L13" s="7" t="str">
        <f>VLOOKUP(B13,[1]characters!$A:$K,11,FALSE)</f>
        <v>hp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f ca="1">IFERROR(VLOOKUP(B13,input_499010!L:R,7,FALSE),VLOOKUP(tables_499010!C13,input_499010!A:H,8,FALSE))</f>
        <v>76937.5</v>
      </c>
      <c r="P13" s="46">
        <f t="shared" ca="1" si="1"/>
        <v>3.2057291666399521E-2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input_499010!A$2</f>
        <v>499010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ca="1">IFERROR(VLOOKUP(B14,input_499010!L:R,7,FALSE),VLOOKUP(tables_499010!C14,input_499010!A:H,8,FALSE))</f>
        <v>6325</v>
      </c>
      <c r="P14" s="46">
        <f t="shared" ca="1" si="1"/>
        <v>2.6354166666447045E-3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input_499010!A$2</f>
        <v>499010</v>
      </c>
      <c r="B15" s="6">
        <v>215</v>
      </c>
      <c r="C15" s="7" t="str">
        <f t="shared" si="0"/>
        <v>Premium4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死導者 アズラエル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red</v>
      </c>
      <c r="L15" s="7" t="str">
        <f>VLOOKUP(B15,[1]characters!$A:$K,11,FALSE)</f>
        <v>balance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ca="1">IFERROR(VLOOKUP(B15,input_499010!L:R,7,FALSE),VLOOKUP(tables_499010!C15,input_499010!A:H,8,FALSE))</f>
        <v>76937.5</v>
      </c>
      <c r="P15" s="46">
        <f t="shared" ca="1" si="1"/>
        <v>3.2057291666399521E-2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input_499010!A$2</f>
        <v>499010</v>
      </c>
      <c r="B16" s="10">
        <v>216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百読の死導司書 アズラエル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ca="1">IFERROR(VLOOKUP(B16,input_499010!L:R,7,FALSE),VLOOKUP(tables_499010!C16,input_499010!A:H,8,FALSE))</f>
        <v>6325</v>
      </c>
      <c r="P16" s="46">
        <f t="shared" ca="1" si="1"/>
        <v>2.6354166666447045E-3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input_499010!A$2</f>
        <v>499010</v>
      </c>
      <c r="B17" s="11">
        <v>227</v>
      </c>
      <c r="C17" s="7" t="str">
        <f t="shared" si="0"/>
        <v>Premium4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滅弾 アレス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red</v>
      </c>
      <c r="L17" s="7" t="str">
        <f>VLOOKUP(B17,[1]characters!$A:$K,11,FALSE)</f>
        <v>attack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f ca="1">IFERROR(VLOOKUP(B17,input_499010!L:R,7,FALSE),VLOOKUP(tables_499010!C17,input_499010!A:H,8,FALSE))</f>
        <v>76937.5</v>
      </c>
      <c r="P17" s="46">
        <f t="shared" ca="1" si="1"/>
        <v>3.2057291666399521E-2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input_499010!A$2</f>
        <v>499010</v>
      </c>
      <c r="B18" s="6">
        <v>228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殲滅の掃射砲 アレス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45">
        <f ca="1">IFERROR(VLOOKUP(B18,input_499010!L:R,7,FALSE),VLOOKUP(tables_499010!C18,input_499010!A:H,8,FALSE))</f>
        <v>6325</v>
      </c>
      <c r="P18" s="46">
        <f t="shared" ca="1" si="1"/>
        <v>2.6354166666447045E-3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input_499010!A$2</f>
        <v>499010</v>
      </c>
      <c r="B19" s="6">
        <v>239</v>
      </c>
      <c r="C19" s="7" t="str">
        <f t="shared" si="0"/>
        <v>Premium4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豪炎の天使 ウリエル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IFERROR(VLOOKUP(B19,input_499010!L:R,7,FALSE),VLOOKUP(tables_499010!C19,input_499010!A:H,8,FALSE))</f>
        <v>76937.5</v>
      </c>
      <c r="P19" s="46">
        <f t="shared" ca="1" si="1"/>
        <v>3.2057291666399521E-2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input_499010!A$2</f>
        <v>499010</v>
      </c>
      <c r="B20" s="10">
        <v>240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轟炎の天使 ウリエル・スレイヤー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IFERROR(VLOOKUP(B20,input_499010!L:R,7,FALSE),VLOOKUP(tables_499010!C20,input_499010!A:H,8,FALSE))</f>
        <v>6325</v>
      </c>
      <c r="P20" s="46">
        <f t="shared" ca="1" si="1"/>
        <v>2.6354166666447045E-3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input_499010!A$2</f>
        <v>499010</v>
      </c>
      <c r="B21" s="6">
        <v>251</v>
      </c>
      <c r="C21" s="7" t="str">
        <f t="shared" si="0"/>
        <v>Premium4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強欲 マンモン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red</v>
      </c>
      <c r="L21" s="7" t="str">
        <f>VLOOKUP(B21,[1]characters!$A:$K,11,FALSE)</f>
        <v>balance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ca="1">IFERROR(VLOOKUP(B21,input_499010!L:R,7,FALSE),VLOOKUP(tables_499010!C21,input_499010!A:H,8,FALSE))</f>
        <v>76937.5</v>
      </c>
      <c r="P21" s="46">
        <f t="shared" ca="1" si="1"/>
        <v>3.2057291666399521E-2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input_499010!A$2</f>
        <v>499010</v>
      </c>
      <c r="B22" s="6">
        <v>252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強欲の沸騰 マンモン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女性</v>
      </c>
      <c r="O22" s="45">
        <f ca="1">IFERROR(VLOOKUP(B22,input_499010!L:R,7,FALSE),VLOOKUP(tables_499010!C22,input_499010!A:H,8,FALSE))</f>
        <v>6325</v>
      </c>
      <c r="P22" s="46">
        <f t="shared" ca="1" si="1"/>
        <v>2.6354166666447045E-3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input_499010!A$2</f>
        <v>499010</v>
      </c>
      <c r="B23" s="6">
        <v>320</v>
      </c>
      <c r="C23" s="7" t="str">
        <f t="shared" si="0"/>
        <v>PremiumSS4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烈志士 近藤勇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red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男性</v>
      </c>
      <c r="O23" s="45">
        <f ca="1">IFERROR(VLOOKUP(B23,input_499010!L:R,7,FALSE),VLOOKUP(tables_499010!C23,input_499010!A:H,8,FALSE))</f>
        <v>11550</v>
      </c>
      <c r="P23" s="46">
        <f t="shared" ca="1" si="1"/>
        <v>4.8124999999598957E-3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input_499010!A$2</f>
        <v>499010</v>
      </c>
      <c r="B24" s="6">
        <v>321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巌鉄の烈志士 近藤勇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f ca="1">IFERROR(VLOOKUP(B24,input_499010!L:R,7,FALSE),VLOOKUP(tables_499010!C24,input_499010!A:H,8,FALSE))</f>
        <v>1650</v>
      </c>
      <c r="P24" s="46">
        <f t="shared" ca="1" si="1"/>
        <v>6.8749999999427082E-4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input_499010!A$2</f>
        <v>499010</v>
      </c>
      <c r="B25" s="6">
        <v>381</v>
      </c>
      <c r="C25" s="7" t="str">
        <f t="shared" si="0"/>
        <v>Premium4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肉食の恋火 バハムート</v>
      </c>
      <c r="I25" s="7" t="str">
        <f>VLOOKUP(B25,[1]characters!$A:$J,10,FALSE)</f>
        <v>PremiumS</v>
      </c>
      <c r="J25" s="7">
        <f>VLOOKUP(B25,[1]characters!$A:$I,9,FALSE)</f>
        <v>4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5">
        <f ca="1">IFERROR(VLOOKUP(B25,input_499010!L:R,7,FALSE),VLOOKUP(tables_499010!C25,input_499010!A:H,8,FALSE))</f>
        <v>76937.5</v>
      </c>
      <c r="P25" s="46">
        <f t="shared" ca="1" si="1"/>
        <v>3.2057291666399521E-2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input_499010!A$2</f>
        <v>499010</v>
      </c>
      <c r="B26" s="6">
        <v>382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激情の愛炎 バハムート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5">
        <f ca="1">IFERROR(VLOOKUP(B26,input_499010!L:R,7,FALSE),VLOOKUP(tables_499010!C26,input_499010!A:H,8,FALSE))</f>
        <v>6325</v>
      </c>
      <c r="P26" s="46">
        <f t="shared" ca="1" si="1"/>
        <v>2.6354166666447045E-3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input_499010!A$2</f>
        <v>499010</v>
      </c>
      <c r="B27" s="6">
        <v>390</v>
      </c>
      <c r="C27" s="7" t="str">
        <f t="shared" si="0"/>
        <v>PremiumSS4</v>
      </c>
      <c r="D27" s="7" t="str">
        <f t="shared" si="2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華環の旅客 親指姫</v>
      </c>
      <c r="I27" s="7" t="str">
        <f>VLOOKUP(B27,[1]characters!$A:$J,10,FALSE)</f>
        <v>PremiumSS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IFERROR(VLOOKUP(B27,input_499010!L:R,7,FALSE),VLOOKUP(tables_499010!C27,input_499010!A:H,8,FALSE))</f>
        <v>11550</v>
      </c>
      <c r="P27" s="46">
        <f t="shared" ca="1" si="1"/>
        <v>4.8124999999598957E-3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input_499010!A$2</f>
        <v>499010</v>
      </c>
      <c r="B28" s="6">
        <v>391</v>
      </c>
      <c r="C28" s="7" t="str">
        <f t="shared" si="0"/>
        <v>PremiumSS5</v>
      </c>
      <c r="D28" s="7" t="str">
        <f t="shared" si="2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燕翼の旅人 親指姫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IFERROR(VLOOKUP(B28,input_499010!L:R,7,FALSE),VLOOKUP(tables_499010!C28,input_499010!A:H,8,FALSE))</f>
        <v>1650</v>
      </c>
      <c r="P28" s="46">
        <f t="shared" ca="1" si="1"/>
        <v>6.8749999999427082E-4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input_499010!A$2</f>
        <v>499010</v>
      </c>
      <c r="B29" s="6">
        <v>401</v>
      </c>
      <c r="C29" s="7" t="str">
        <f t="shared" si="0"/>
        <v>Premium4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紅銀の孤狼 フェンリル</v>
      </c>
      <c r="I29" s="7" t="str">
        <f>VLOOKUP(B29,[1]characters!$A:$J,10,FALSE)</f>
        <v>PremiumS</v>
      </c>
      <c r="J29" s="7">
        <f>VLOOKUP(B29,[1]characters!$A:$I,9,FALSE)</f>
        <v>4</v>
      </c>
      <c r="K29" s="7" t="str">
        <f>VLOOKUP(B29,[1]characters!$A:$H,8,FALSE)</f>
        <v>red</v>
      </c>
      <c r="L29" s="7" t="str">
        <f>VLOOKUP(B29,[1]characters!$A:$K,11,FALSE)</f>
        <v>attack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f ca="1">IFERROR(VLOOKUP(B29,input_499010!L:R,7,FALSE),VLOOKUP(tables_499010!C29,input_499010!A:H,8,FALSE))</f>
        <v>76937.5</v>
      </c>
      <c r="P29" s="46">
        <f t="shared" ca="1" si="1"/>
        <v>3.2057291666399521E-2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input_499010!A$2</f>
        <v>499010</v>
      </c>
      <c r="B30" s="6">
        <v>402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天災の神狼 フェンリル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f ca="1">IFERROR(VLOOKUP(B30,input_499010!L:R,7,FALSE),VLOOKUP(tables_499010!C30,input_499010!A:H,8,FALSE))</f>
        <v>6325</v>
      </c>
      <c r="P30" s="46">
        <f t="shared" ca="1" si="1"/>
        <v>2.6354166666447045E-3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input_499010!A$2</f>
        <v>499010</v>
      </c>
      <c r="B31" s="6">
        <v>434</v>
      </c>
      <c r="C31" s="7" t="str">
        <f t="shared" si="0"/>
        <v>PremiumSS4</v>
      </c>
      <c r="D31" s="7" t="str">
        <f t="shared" si="2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D.R.T.H.</v>
      </c>
      <c r="I31" s="7" t="str">
        <f>VLOOKUP(B31,[1]characters!$A:$J,10,FALSE)</f>
        <v>PremiumSS</v>
      </c>
      <c r="J31" s="7">
        <f>VLOOKUP(B31,[1]characters!$A:$I,9,FALSE)</f>
        <v>4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IFERROR(VLOOKUP(B31,input_499010!L:R,7,FALSE),VLOOKUP(tables_499010!C31,input_499010!A:H,8,FALSE))</f>
        <v>11550</v>
      </c>
      <c r="P31" s="46">
        <f t="shared" ca="1" si="1"/>
        <v>4.8124999999598957E-3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input_499010!A$2</f>
        <v>499010</v>
      </c>
      <c r="B32" s="6">
        <v>435</v>
      </c>
      <c r="C32" s="7" t="str">
        <f t="shared" si="0"/>
        <v>PremiumSS5</v>
      </c>
      <c r="D32" s="7" t="str">
        <f t="shared" si="2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曝弾の密偵 D.R.T.H.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IFERROR(VLOOKUP(B32,input_499010!L:R,7,FALSE),VLOOKUP(tables_499010!C32,input_499010!A:H,8,FALSE))</f>
        <v>1650</v>
      </c>
      <c r="P32" s="46">
        <f t="shared" ca="1" si="1"/>
        <v>6.8749999999427082E-4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input_499010!A$2</f>
        <v>499010</v>
      </c>
      <c r="B33" s="6">
        <v>463</v>
      </c>
      <c r="C33" s="7" t="str">
        <f t="shared" si="0"/>
        <v>Premium4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燻銀 ガウェイン</v>
      </c>
      <c r="I33" s="7" t="str">
        <f>VLOOKUP(B33,[1]characters!$A:$J,10,FALSE)</f>
        <v>PremiumS</v>
      </c>
      <c r="J33" s="7">
        <f>VLOOKUP(B33,[1]characters!$A:$I,9,FALSE)</f>
        <v>4</v>
      </c>
      <c r="K33" s="7" t="str">
        <f>VLOOKUP(B33,[1]characters!$A:$H,8,FALSE)</f>
        <v>red</v>
      </c>
      <c r="L33" s="7" t="str">
        <f>VLOOKUP(B33,[1]characters!$A:$K,11,FALSE)</f>
        <v>hp</v>
      </c>
      <c r="M33" s="7" t="str">
        <f>VLOOKUP(B33,[1]characters!$A:$M,13,FALSE)</f>
        <v>human</v>
      </c>
      <c r="N33" s="7" t="str">
        <f>VLOOKUP(B33,[1]characters!$A:$G,7,FALSE)</f>
        <v>男性</v>
      </c>
      <c r="O33" s="45">
        <f ca="1">IFERROR(VLOOKUP(B33,input_499010!L:R,7,FALSE),VLOOKUP(tables_499010!C33,input_499010!A:H,8,FALSE))</f>
        <v>76937.5</v>
      </c>
      <c r="P33" s="46">
        <f t="shared" ca="1" si="1"/>
        <v>3.2057291666399521E-2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input_499010!A$2</f>
        <v>499010</v>
      </c>
      <c r="B34" s="6">
        <v>464</v>
      </c>
      <c r="C34" s="7" t="str">
        <f t="shared" si="0"/>
        <v>Premium5</v>
      </c>
      <c r="D34" s="7" t="str">
        <f t="shared" si="2"/>
        <v>Premium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円熟の弾導 ガウェイン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ca="1">IFERROR(VLOOKUP(B34,input_499010!L:R,7,FALSE),VLOOKUP(tables_499010!C34,input_499010!A:H,8,FALSE))</f>
        <v>6325</v>
      </c>
      <c r="P34" s="46">
        <f t="shared" ref="P34:P65" ca="1" si="3">O34/SUM(O:O)</f>
        <v>2.6354166666447045E-3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input_499010!A$2</f>
        <v>499010</v>
      </c>
      <c r="B35" s="6">
        <v>474</v>
      </c>
      <c r="C35" s="7" t="str">
        <f t="shared" si="0"/>
        <v>PremiumSS4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キング・ドライグ</v>
      </c>
      <c r="I35" s="7" t="str">
        <f>VLOOKUP(B35,[1]characters!$A:$J,10,FALSE)</f>
        <v>PremiumSS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dragon</v>
      </c>
      <c r="N35" s="7" t="str">
        <f>VLOOKUP(B35,[1]characters!$A:$G,7,FALSE)</f>
        <v>不明</v>
      </c>
      <c r="O35" s="45">
        <f ca="1">IFERROR(VLOOKUP(B35,input_499010!L:R,7,FALSE),VLOOKUP(tables_499010!C35,input_499010!A:H,8,FALSE))</f>
        <v>11550</v>
      </c>
      <c r="P35" s="46">
        <f t="shared" ca="1" si="3"/>
        <v>4.8124999999598957E-3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input_499010!A$2</f>
        <v>499010</v>
      </c>
      <c r="B36" s="6">
        <v>475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緋王 キング・ドライグ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dragon</v>
      </c>
      <c r="N36" s="7" t="str">
        <f>VLOOKUP(B36,[1]characters!$A:$G,7,FALSE)</f>
        <v>不明</v>
      </c>
      <c r="O36" s="45">
        <f ca="1">IFERROR(VLOOKUP(B36,input_499010!L:R,7,FALSE),VLOOKUP(tables_499010!C36,input_499010!A:H,8,FALSE))</f>
        <v>1650</v>
      </c>
      <c r="P36" s="46">
        <f t="shared" ca="1" si="3"/>
        <v>6.8749999999427082E-4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input_499010!A$2</f>
        <v>499010</v>
      </c>
      <c r="B37" s="6">
        <v>492</v>
      </c>
      <c r="C37" s="7" t="str">
        <f t="shared" si="0"/>
        <v>PremiumSS4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ブートレグ・ペロー</v>
      </c>
      <c r="I37" s="7" t="str">
        <f>VLOOKUP(B37,[1]characters!$A:$J,10,FALSE)</f>
        <v>PremiumSS</v>
      </c>
      <c r="J37" s="7">
        <f>VLOOKUP(B37,[1]characters!$A:$I,9,FALSE)</f>
        <v>4</v>
      </c>
      <c r="K37" s="7" t="str">
        <f>VLOOKUP(B37,[1]characters!$A:$H,8,FALSE)</f>
        <v>red</v>
      </c>
      <c r="L37" s="7" t="str">
        <f>VLOOKUP(B37,[1]characters!$A:$K,11,FALSE)</f>
        <v>hp</v>
      </c>
      <c r="M37" s="7" t="str">
        <f>VLOOKUP(B37,[1]characters!$A:$M,13,FALSE)</f>
        <v>animal</v>
      </c>
      <c r="N37" s="7" t="str">
        <f>VLOOKUP(B37,[1]characters!$A:$G,7,FALSE)</f>
        <v>不明</v>
      </c>
      <c r="O37" s="45">
        <f ca="1">IFERROR(VLOOKUP(B37,input_499010!L:R,7,FALSE),VLOOKUP(tables_499010!C37,input_499010!A:H,8,FALSE))</f>
        <v>11550</v>
      </c>
      <c r="P37" s="46">
        <f t="shared" ca="1" si="3"/>
        <v>4.8124999999598957E-3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input_499010!A$2</f>
        <v>499010</v>
      </c>
      <c r="B38" s="6">
        <v>493</v>
      </c>
      <c r="C38" s="7" t="str">
        <f t="shared" si="0"/>
        <v>PremiumSS5</v>
      </c>
      <c r="D38" s="7" t="str">
        <f t="shared" si="2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跋扈の機脚 ブートレグ・ペロー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animal</v>
      </c>
      <c r="N38" s="7" t="str">
        <f>VLOOKUP(B38,[1]characters!$A:$G,7,FALSE)</f>
        <v>不明</v>
      </c>
      <c r="O38" s="45">
        <f ca="1">IFERROR(VLOOKUP(B38,input_499010!L:R,7,FALSE),VLOOKUP(tables_499010!C38,input_499010!A:H,8,FALSE))</f>
        <v>1650</v>
      </c>
      <c r="P38" s="46">
        <f t="shared" ca="1" si="3"/>
        <v>6.8749999999427082E-4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input_499010!A$2</f>
        <v>499010</v>
      </c>
      <c r="B39" s="6">
        <v>560</v>
      </c>
      <c r="C39" s="7" t="str">
        <f t="shared" si="0"/>
        <v>premium5R3less</v>
      </c>
      <c r="D39" s="7" t="str">
        <f t="shared" si="2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暴骨炎舞の狂賢者 ユノ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IFERROR(VLOOKUP(B39,input_499010!L:R,7,FALSE),VLOOKUP(tables_499010!C39,input_499010!A:H,8,FALSE))</f>
        <v>11562.5</v>
      </c>
      <c r="P39" s="46">
        <f t="shared" ca="1" si="3"/>
        <v>4.8177083332931851E-3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input_499010!A$2</f>
        <v>499010</v>
      </c>
      <c r="B40" s="6">
        <v>586</v>
      </c>
      <c r="C40" s="7" t="str">
        <f t="shared" si="0"/>
        <v>PremiumSS4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ユミル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red</v>
      </c>
      <c r="L40" s="7" t="str">
        <f>VLOOKUP(B40,[1]characters!$A:$K,11,FALSE)</f>
        <v>hp</v>
      </c>
      <c r="M40" s="7" t="str">
        <f>VLOOKUP(B40,[1]characters!$A:$M,13,FALSE)</f>
        <v>machine</v>
      </c>
      <c r="N40" s="7" t="str">
        <f>VLOOKUP(B40,[1]characters!$A:$G,7,FALSE)</f>
        <v>不明</v>
      </c>
      <c r="O40" s="45">
        <f ca="1">IFERROR(VLOOKUP(B40,input_499010!L:R,7,FALSE),VLOOKUP(tables_499010!C40,input_499010!A:H,8,FALSE))</f>
        <v>11550</v>
      </c>
      <c r="P40" s="46">
        <f t="shared" ca="1" si="3"/>
        <v>4.8124999999598957E-3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input_499010!A$2</f>
        <v>499010</v>
      </c>
      <c r="B41" s="6">
        <v>587</v>
      </c>
      <c r="C41" s="7" t="str">
        <f t="shared" si="0"/>
        <v>PremiumSS5</v>
      </c>
      <c r="D41" s="7" t="str">
        <f t="shared" si="2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原初の煉鋼巨刃 ユミル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hp</v>
      </c>
      <c r="M41" s="7" t="str">
        <f>VLOOKUP(B41,[1]characters!$A:$M,13,FALSE)</f>
        <v>machine</v>
      </c>
      <c r="N41" s="7" t="str">
        <f>VLOOKUP(B41,[1]characters!$A:$G,7,FALSE)</f>
        <v>不明</v>
      </c>
      <c r="O41" s="45">
        <f ca="1">IFERROR(VLOOKUP(B41,input_499010!L:R,7,FALSE),VLOOKUP(tables_499010!C41,input_499010!A:H,8,FALSE))</f>
        <v>1650</v>
      </c>
      <c r="P41" s="46">
        <f t="shared" ca="1" si="3"/>
        <v>6.8749999999427082E-4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input_499010!A$2</f>
        <v>499010</v>
      </c>
      <c r="B42" s="6">
        <v>597</v>
      </c>
      <c r="C42" s="7" t="str">
        <f t="shared" si="0"/>
        <v>Premium4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灼熱の魂 ムスペルヘイム</v>
      </c>
      <c r="I42" s="7" t="str">
        <f>VLOOKUP(B42,[1]characters!$A:$J,10,FALSE)</f>
        <v>PremiumS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balance</v>
      </c>
      <c r="M42" s="7" t="str">
        <f>VLOOKUP(B42,[1]characters!$A:$M,13,FALSE)</f>
        <v>human</v>
      </c>
      <c r="N42" s="7" t="str">
        <f>VLOOKUP(B42,[1]characters!$A:$G,7,FALSE)</f>
        <v>男性</v>
      </c>
      <c r="O42" s="45">
        <f ca="1">IFERROR(VLOOKUP(B42,input_499010!L:R,7,FALSE),VLOOKUP(tables_499010!C42,input_499010!A:H,8,FALSE))</f>
        <v>76937.5</v>
      </c>
      <c r="P42" s="46">
        <f t="shared" ca="1" si="3"/>
        <v>3.2057291666399521E-2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input_499010!A$2</f>
        <v>499010</v>
      </c>
      <c r="B43" s="6">
        <v>598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焼燃の情熱 ムスペルヘイム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ca="1">IFERROR(VLOOKUP(B43,input_499010!L:R,7,FALSE),VLOOKUP(tables_499010!C43,input_499010!A:H,8,FALSE))</f>
        <v>6325</v>
      </c>
      <c r="P43" s="46">
        <f t="shared" ca="1" si="3"/>
        <v>2.6354166666447045E-3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input_499010!A$2</f>
        <v>499010</v>
      </c>
      <c r="B44" s="6">
        <v>658</v>
      </c>
      <c r="C44" s="7" t="str">
        <f t="shared" si="0"/>
        <v>PremiumSS4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猫又 クルミ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f ca="1">IFERROR(VLOOKUP(B44,input_499010!L:R,7,FALSE),VLOOKUP(tables_499010!C44,input_499010!A:H,8,FALSE))</f>
        <v>11550</v>
      </c>
      <c r="P44" s="46">
        <f t="shared" ca="1" si="3"/>
        <v>4.8124999999598957E-3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input_499010!A$2</f>
        <v>499010</v>
      </c>
      <c r="B45" s="6">
        <v>659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跳梁する化猫 クルミ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attack</v>
      </c>
      <c r="M45" s="7" t="str">
        <f>VLOOKUP(B45,[1]characters!$A:$M,13,FALSE)</f>
        <v>animal</v>
      </c>
      <c r="N45" s="7" t="str">
        <f>VLOOKUP(B45,[1]characters!$A:$G,7,FALSE)</f>
        <v>女性</v>
      </c>
      <c r="O45" s="45">
        <f ca="1">IFERROR(VLOOKUP(B45,input_499010!L:R,7,FALSE),VLOOKUP(tables_499010!C45,input_499010!A:H,8,FALSE))</f>
        <v>1650</v>
      </c>
      <c r="P45" s="46">
        <f t="shared" ca="1" si="3"/>
        <v>6.8749999999427082E-4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input_499010!A$2</f>
        <v>499010</v>
      </c>
      <c r="B46" s="6">
        <v>669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天地の仲界 アグニ</v>
      </c>
      <c r="I46" s="7" t="str">
        <f>VLOOKUP(B46,[1]characters!$A:$J,10,FALSE)</f>
        <v>PremiumS</v>
      </c>
      <c r="J46" s="7">
        <f>VLOOKUP(B46,[1]characters!$A:$I,9,FALSE)</f>
        <v>4</v>
      </c>
      <c r="K46" s="7" t="str">
        <f>VLOOKUP(B46,[1]characters!$A:$H,8,FALSE)</f>
        <v>red</v>
      </c>
      <c r="L46" s="7" t="str">
        <f>VLOOKUP(B46,[1]characters!$A:$K,11,FALSE)</f>
        <v>hp</v>
      </c>
      <c r="M46" s="7" t="str">
        <f>VLOOKUP(B46,[1]characters!$A:$M,13,FALSE)</f>
        <v>god</v>
      </c>
      <c r="N46" s="7" t="str">
        <f>VLOOKUP(B46,[1]characters!$A:$G,7,FALSE)</f>
        <v>男性</v>
      </c>
      <c r="O46" s="45">
        <f ca="1">IFERROR(VLOOKUP(B46,input_499010!L:R,7,FALSE),VLOOKUP(tables_499010!C46,input_499010!A:H,8,FALSE))</f>
        <v>76937.5</v>
      </c>
      <c r="P46" s="46">
        <f t="shared" ca="1" si="3"/>
        <v>3.2057291666399521E-2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input_499010!A$2</f>
        <v>499010</v>
      </c>
      <c r="B47" s="6">
        <v>670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陽天の噴煙 アグニ</v>
      </c>
      <c r="I47" s="7" t="str">
        <f>VLOOKUP(B47,[1]characters!$A:$J,10,FALSE)</f>
        <v>PremiumS</v>
      </c>
      <c r="J47" s="7">
        <f>VLOOKUP(B47,[1]characters!$A:$I,9,FALSE)</f>
        <v>5</v>
      </c>
      <c r="K47" s="7" t="str">
        <f>VLOOKUP(B47,[1]characters!$A:$H,8,FALSE)</f>
        <v>red</v>
      </c>
      <c r="L47" s="7" t="str">
        <f>VLOOKUP(B47,[1]characters!$A:$K,11,FALSE)</f>
        <v>hp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f ca="1">IFERROR(VLOOKUP(B47,input_499010!L:R,7,FALSE),VLOOKUP(tables_499010!C47,input_499010!A:H,8,FALSE))</f>
        <v>6325</v>
      </c>
      <c r="P47" s="46">
        <f t="shared" ca="1" si="3"/>
        <v>2.6354166666447045E-3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input_499010!A$2</f>
        <v>499010</v>
      </c>
      <c r="B48" s="6">
        <v>728</v>
      </c>
      <c r="C48" s="7" t="str">
        <f t="shared" si="0"/>
        <v>Premium4R3less</v>
      </c>
      <c r="D48" s="7" t="str">
        <f t="shared" si="2"/>
        <v>Premium</v>
      </c>
      <c r="E48" s="7" t="str">
        <f>IF(COUNTIF('R6追加前'!A:A,B48)=0,IF(OR(I48="PremiumSS",I48="PremiumSSw"),"R5only","R3less"),"")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井伊直虎</v>
      </c>
      <c r="I48" s="7" t="str">
        <f>VLOOKUP(B48,[1]characters!$A:$J,10,FALSE)</f>
        <v>PremiumS</v>
      </c>
      <c r="J48" s="7">
        <f>VLOOKUP(B48,[1]characters!$A:$I,9,FALSE)</f>
        <v>4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human</v>
      </c>
      <c r="N48" s="7" t="str">
        <f>VLOOKUP(B48,[1]characters!$A:$G,7,FALSE)</f>
        <v>女性</v>
      </c>
      <c r="O48" s="45">
        <f ca="1">IFERROR(VLOOKUP(B48,input_499010!L:R,7,FALSE),VLOOKUP(tables_499010!C48,input_499010!A:H,8,FALSE))</f>
        <v>79010.416670000006</v>
      </c>
      <c r="P48" s="46">
        <f t="shared" ca="1" si="3"/>
        <v>3.2921006945558995E-2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input_499010!A$2</f>
        <v>499010</v>
      </c>
      <c r="B49" s="6">
        <v>729</v>
      </c>
      <c r="C49" s="7" t="str">
        <f t="shared" si="0"/>
        <v>Premium5R3less</v>
      </c>
      <c r="D49" s="7" t="str">
        <f t="shared" si="2"/>
        <v>Premium</v>
      </c>
      <c r="E49" s="7" t="str">
        <f>IF(COUNTIF('R6追加前'!A:A,B49)=0,IF(OR(I49="PremiumSS",I49="PremiumSSw"),"R5only","R3less"),"")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暗厄の双刀 井伊直虎</v>
      </c>
      <c r="I49" s="7" t="str">
        <f>VLOOKUP(B49,[1]characters!$A:$J,10,FALSE)</f>
        <v>PremiumS</v>
      </c>
      <c r="J49" s="7">
        <f>VLOOKUP(B49,[1]characters!$A:$I,9,FALSE)</f>
        <v>5</v>
      </c>
      <c r="K49" s="7" t="str">
        <f>VLOOKUP(B49,[1]characters!$A:$H,8,FALSE)</f>
        <v>red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 ca="1">IFERROR(VLOOKUP(B49,input_499010!L:R,7,FALSE),VLOOKUP(tables_499010!C49,input_499010!A:H,8,FALSE))</f>
        <v>11562.5</v>
      </c>
      <c r="P49" s="46">
        <f t="shared" ca="1" si="3"/>
        <v>4.8177083332931851E-3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input_499010!A$2</f>
        <v>499010</v>
      </c>
      <c r="B50" s="6">
        <v>742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アポロン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f ca="1">IFERROR(VLOOKUP(B50,input_499010!L:R,7,FALSE),VLOOKUP(tables_499010!C50,input_499010!A:H,8,FALSE))</f>
        <v>9300</v>
      </c>
      <c r="P50" s="46">
        <f t="shared" ca="1" si="3"/>
        <v>3.8749999999677081E-3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input_499010!A$2</f>
        <v>499010</v>
      </c>
      <c r="B51" s="6">
        <v>770</v>
      </c>
      <c r="C51" s="7" t="str">
        <f t="shared" si="0"/>
        <v>PremiumSS4</v>
      </c>
      <c r="D51" s="7" t="str">
        <f t="shared" si="2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ハヅル</v>
      </c>
      <c r="I51" s="7" t="str">
        <f>VLOOKUP(B51,[1]characters!$A:$J,10,FALSE)</f>
        <v>PremiumSS</v>
      </c>
      <c r="J51" s="7">
        <f>VLOOKUP(B51,[1]characters!$A:$I,9,FALSE)</f>
        <v>4</v>
      </c>
      <c r="K51" s="7" t="str">
        <f>VLOOKUP(B51,[1]characters!$A:$H,8,FALSE)</f>
        <v>red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女性</v>
      </c>
      <c r="O51" s="45">
        <f ca="1">IFERROR(VLOOKUP(B51,input_499010!L:R,7,FALSE),VLOOKUP(tables_499010!C51,input_499010!A:H,8,FALSE))</f>
        <v>11550</v>
      </c>
      <c r="P51" s="46">
        <f t="shared" ca="1" si="3"/>
        <v>4.8124999999598957E-3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input_499010!A$2</f>
        <v>499010</v>
      </c>
      <c r="B52" s="6">
        <v>771</v>
      </c>
      <c r="C52" s="7" t="str">
        <f t="shared" si="0"/>
        <v>PremiumSS5</v>
      </c>
      <c r="D52" s="7" t="str">
        <f t="shared" si="2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天織羽鶴 ハヅル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balance</v>
      </c>
      <c r="M52" s="7" t="str">
        <f>VLOOKUP(B52,[1]characters!$A:$M,13,FALSE)</f>
        <v>animal</v>
      </c>
      <c r="N52" s="7" t="str">
        <f>VLOOKUP(B52,[1]characters!$A:$G,7,FALSE)</f>
        <v>女性</v>
      </c>
      <c r="O52" s="45">
        <f ca="1">IFERROR(VLOOKUP(B52,input_499010!L:R,7,FALSE),VLOOKUP(tables_499010!C52,input_499010!A:H,8,FALSE))</f>
        <v>1650</v>
      </c>
      <c r="P52" s="46">
        <f t="shared" ca="1" si="3"/>
        <v>6.8749999999427082E-4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input_499010!A$2</f>
        <v>499010</v>
      </c>
      <c r="B53" s="6">
        <v>848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メタトロン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f ca="1">IFERROR(VLOOKUP(B53,input_499010!L:R,7,FALSE),VLOOKUP(tables_499010!C53,input_499010!A:H,8,FALSE))</f>
        <v>9300</v>
      </c>
      <c r="P53" s="46">
        <f t="shared" ca="1" si="3"/>
        <v>3.8749999999677081E-3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input_499010!A$2</f>
        <v>499010</v>
      </c>
      <c r="B54" s="6">
        <v>862</v>
      </c>
      <c r="C54" s="7" t="str">
        <f t="shared" si="0"/>
        <v>Premium4R3less</v>
      </c>
      <c r="D54" s="7" t="str">
        <f t="shared" si="2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ブレーメン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男性</v>
      </c>
      <c r="O54" s="45">
        <f ca="1">IFERROR(VLOOKUP(B54,input_499010!L:R,7,FALSE),VLOOKUP(tables_499010!C54,input_499010!A:H,8,FALSE))</f>
        <v>79010.416670000006</v>
      </c>
      <c r="P54" s="46">
        <f t="shared" ca="1" si="3"/>
        <v>3.2921006945558995E-2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input_499010!A$2</f>
        <v>499010</v>
      </c>
      <c r="B55" s="6">
        <v>863</v>
      </c>
      <c r="C55" s="7" t="str">
        <f t="shared" si="0"/>
        <v>Premium5R3less</v>
      </c>
      <c r="D55" s="7" t="str">
        <f t="shared" si="2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歓揮の楽団長 ブレーメン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男性</v>
      </c>
      <c r="O55" s="45">
        <f ca="1">IFERROR(VLOOKUP(B55,input_499010!L:R,7,FALSE),VLOOKUP(tables_499010!C55,input_499010!A:H,8,FALSE))</f>
        <v>11562.5</v>
      </c>
      <c r="P55" s="46">
        <f t="shared" ca="1" si="3"/>
        <v>4.8177083332931851E-3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input_499010!A$2</f>
        <v>499010</v>
      </c>
      <c r="B56" s="6">
        <v>937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ナポレオン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ca="1">IFERROR(VLOOKUP(B56,input_499010!L:R,7,FALSE),VLOOKUP(tables_499010!C56,input_499010!A:H,8,FALSE))</f>
        <v>9300</v>
      </c>
      <c r="P56" s="46">
        <f t="shared" ca="1" si="3"/>
        <v>3.8749999999677081E-3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input_499010!A$2</f>
        <v>499010</v>
      </c>
      <c r="B57" s="6">
        <v>1012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f ca="1">IFERROR(VLOOKUP(B57,input_499010!L:R,7,FALSE),VLOOKUP(tables_499010!C57,input_499010!A:H,8,FALSE))</f>
        <v>9300</v>
      </c>
      <c r="P57" s="46">
        <f t="shared" ca="1" si="3"/>
        <v>3.8749999999677081E-3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input_499010!A$2</f>
        <v>499010</v>
      </c>
      <c r="B58" s="6">
        <v>1026</v>
      </c>
      <c r="C58" s="7" t="str">
        <f t="shared" si="0"/>
        <v>Premium4R3less</v>
      </c>
      <c r="D58" s="7" t="str">
        <f t="shared" si="2"/>
        <v>Premium</v>
      </c>
      <c r="E58" s="7" t="str">
        <f>IF(COUNTIF('R6追加前'!A:A,B58)=0,IF(OR(I58="PremiumSS",I58="PremiumSSw"),"R5only","R3less"),"")</f>
        <v>R3less</v>
      </c>
      <c r="F58" s="7" t="str">
        <f>IF(COUNTIF('R6開放'!A:A,B58)&gt;0,"R6release","")</f>
        <v/>
      </c>
      <c r="G58" s="7"/>
      <c r="H58" s="7" t="str">
        <f>VLOOKUP(B58,[1]characters!$A:$C,3,FALSE)</f>
        <v>蝉丸</v>
      </c>
      <c r="I58" s="7" t="str">
        <f>VLOOKUP(B58,[1]characters!$A:$J,10,FALSE)</f>
        <v>PremiumS</v>
      </c>
      <c r="J58" s="7">
        <f>VLOOKUP(B58,[1]characters!$A:$I,9,FALSE)</f>
        <v>4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human</v>
      </c>
      <c r="N58" s="7" t="str">
        <f>VLOOKUP(B58,[1]characters!$A:$G,7,FALSE)</f>
        <v>男性</v>
      </c>
      <c r="O58" s="45">
        <f ca="1">IFERROR(VLOOKUP(B58,input_499010!L:R,7,FALSE),VLOOKUP(tables_499010!C58,input_499010!A:H,8,FALSE))</f>
        <v>79010.416670000006</v>
      </c>
      <c r="P58" s="46">
        <f t="shared" ca="1" si="3"/>
        <v>3.2921006945558995E-2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input_499010!A$2</f>
        <v>499010</v>
      </c>
      <c r="B59" s="6">
        <v>1027</v>
      </c>
      <c r="C59" s="7" t="str">
        <f t="shared" si="0"/>
        <v>Premium5R3less</v>
      </c>
      <c r="D59" s="7" t="str">
        <f t="shared" si="2"/>
        <v>Premium</v>
      </c>
      <c r="E59" s="7" t="str">
        <f>IF(COUNTIF('R6追加前'!A:A,B59)=0,IF(OR(I59="PremiumSS",I59="PremiumSSw"),"R5only","R3less"),"")</f>
        <v>R3less</v>
      </c>
      <c r="F59" s="7" t="str">
        <f>IF(COUNTIF('R6開放'!A:A,B59)&gt;0,"R6release","")</f>
        <v/>
      </c>
      <c r="G59" s="7"/>
      <c r="H59" s="7" t="str">
        <f>VLOOKUP(B59,[1]characters!$A:$C,3,FALSE)</f>
        <v>弾丸多重奏 蝉丸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attack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f ca="1">IFERROR(VLOOKUP(B59,input_499010!L:R,7,FALSE),VLOOKUP(tables_499010!C59,input_499010!A:H,8,FALSE))</f>
        <v>11562.5</v>
      </c>
      <c r="P59" s="46">
        <f t="shared" ca="1" si="3"/>
        <v>4.8177083332931851E-3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input_499010!A$2</f>
        <v>499010</v>
      </c>
      <c r="B60" s="6">
        <v>1067</v>
      </c>
      <c r="C60" s="7" t="str">
        <f t="shared" si="0"/>
        <v>Premium4R3less</v>
      </c>
      <c r="D60" s="7" t="str">
        <f t="shared" si="2"/>
        <v>Premium</v>
      </c>
      <c r="E60" s="7" t="str">
        <f>IF(COUNTIF('R6追加前'!A:A,B60)=0,IF(OR(I60="PremiumSS",I60="PremiumSSw"),"R5only","R3less"),"")</f>
        <v>R3less</v>
      </c>
      <c r="F60" s="7" t="str">
        <f>IF(COUNTIF('R6開放'!A:A,B60)&gt;0,"R6release","")</f>
        <v/>
      </c>
      <c r="G60" s="7"/>
      <c r="H60" s="7" t="str">
        <f>VLOOKUP(B60,[1]characters!$A:$C,3,FALSE)</f>
        <v>ウシュムガル</v>
      </c>
      <c r="I60" s="7" t="str">
        <f>VLOOKUP(B60,[1]characters!$A:$J,10,FALSE)</f>
        <v>PremiumS</v>
      </c>
      <c r="J60" s="7">
        <f>VLOOKUP(B60,[1]characters!$A:$I,9,FALSE)</f>
        <v>4</v>
      </c>
      <c r="K60" s="7" t="str">
        <f>VLOOKUP(B60,[1]characters!$A:$H,8,FALSE)</f>
        <v>red</v>
      </c>
      <c r="L60" s="7" t="str">
        <f>VLOOKUP(B60,[1]characters!$A:$K,11,FALSE)</f>
        <v>balance</v>
      </c>
      <c r="M60" s="7" t="str">
        <f>VLOOKUP(B60,[1]characters!$A:$M,13,FALSE)</f>
        <v>dragon</v>
      </c>
      <c r="N60" s="7" t="str">
        <f>VLOOKUP(B60,[1]characters!$A:$G,7,FALSE)</f>
        <v>男性</v>
      </c>
      <c r="O60" s="45">
        <f ca="1">IFERROR(VLOOKUP(B60,input_499010!L:R,7,FALSE),VLOOKUP(tables_499010!C60,input_499010!A:H,8,FALSE))</f>
        <v>79010.416670000006</v>
      </c>
      <c r="P60" s="46">
        <f t="shared" ca="1" si="3"/>
        <v>3.2921006945558995E-2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input_499010!A$2</f>
        <v>499010</v>
      </c>
      <c r="B61" s="6">
        <v>1068</v>
      </c>
      <c r="C61" s="7" t="str">
        <f t="shared" si="0"/>
        <v>Premium5R3less</v>
      </c>
      <c r="D61" s="7" t="str">
        <f t="shared" si="2"/>
        <v>Premium</v>
      </c>
      <c r="E61" s="7" t="str">
        <f>IF(COUNTIF('R6追加前'!A:A,B61)=0,IF(OR(I61="PremiumSS",I61="PremiumSSw"),"R5only","R3less"),"")</f>
        <v>R3less</v>
      </c>
      <c r="F61" s="7" t="str">
        <f>IF(COUNTIF('R6開放'!A:A,B61)&gt;0,"R6release","")</f>
        <v/>
      </c>
      <c r="G61" s="7"/>
      <c r="H61" s="7" t="str">
        <f>VLOOKUP(B61,[1]characters!$A:$C,3,FALSE)</f>
        <v>想母の羽龍 ウシュムガル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balance</v>
      </c>
      <c r="M61" s="7" t="str">
        <f>VLOOKUP(B61,[1]characters!$A:$M,13,FALSE)</f>
        <v>dragon</v>
      </c>
      <c r="N61" s="7" t="str">
        <f>VLOOKUP(B61,[1]characters!$A:$G,7,FALSE)</f>
        <v>男性</v>
      </c>
      <c r="O61" s="45">
        <f ca="1">IFERROR(VLOOKUP(B61,input_499010!L:R,7,FALSE),VLOOKUP(tables_499010!C61,input_499010!A:H,8,FALSE))</f>
        <v>11562.5</v>
      </c>
      <c r="P61" s="46">
        <f t="shared" ca="1" si="3"/>
        <v>4.8177083332931851E-3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input_499010!A$2</f>
        <v>499010</v>
      </c>
      <c r="B62" s="8">
        <v>1100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北斎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 t="str">
        <f>VLOOKUP(B62,[1]characters!$A:$G,7,FALSE)</f>
        <v>不明</v>
      </c>
      <c r="O62" s="45">
        <f ca="1">IFERROR(VLOOKUP(B62,input_499010!L:R,7,FALSE),VLOOKUP(tables_499010!C62,input_499010!A:H,8,FALSE))</f>
        <v>9300</v>
      </c>
      <c r="P62" s="46">
        <f t="shared" ca="1" si="3"/>
        <v>3.8749999999677081E-3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input_499010!A$2</f>
        <v>499010</v>
      </c>
      <c r="B63" s="8">
        <v>1137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諸葛亮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red</v>
      </c>
      <c r="L63" s="7" t="str">
        <f>VLOOKUP(B63,[1]characters!$A:$K,11,FALSE)</f>
        <v>technical</v>
      </c>
      <c r="M63" s="7" t="str">
        <f>VLOOKUP(B63,[1]characters!$A:$M,13,FALSE)</f>
        <v>samurai</v>
      </c>
      <c r="N63" s="7" t="str">
        <f>VLOOKUP(B63,[1]characters!$A:$G,7,FALSE)</f>
        <v>不明</v>
      </c>
      <c r="O63" s="45">
        <f ca="1">IFERROR(VLOOKUP(B63,input_499010!L:R,7,FALSE),VLOOKUP(tables_499010!C63,input_499010!A:H,8,FALSE))</f>
        <v>9300</v>
      </c>
      <c r="P63" s="46">
        <f t="shared" ca="1" si="3"/>
        <v>3.8749999999677081E-3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input_499010!A$2</f>
        <v>499010</v>
      </c>
      <c r="B64" s="8">
        <v>1151</v>
      </c>
      <c r="C64" s="7" t="str">
        <f t="shared" si="0"/>
        <v>Premium4R3less</v>
      </c>
      <c r="D64" s="7" t="str">
        <f t="shared" si="2"/>
        <v>Premium</v>
      </c>
      <c r="E64" s="7" t="str">
        <f>IF(COUNTIF('R6追加前'!A:A,B64)=0,IF(OR(I64="PremiumSS",I64="PremiumSSw"),"R5only","R3less"),"")</f>
        <v>R3less</v>
      </c>
      <c r="F64" s="7" t="str">
        <f>IF(COUNTIF('R6開放'!A:A,B64)&gt;0,"R6release","")</f>
        <v/>
      </c>
      <c r="G64" s="7"/>
      <c r="H64" s="7" t="str">
        <f>VLOOKUP(B64,[1]characters!$A:$C,3,FALSE)</f>
        <v>ガネーシャ</v>
      </c>
      <c r="I64" s="7" t="str">
        <f>VLOOKUP(B64,[1]characters!$A:$J,10,FALSE)</f>
        <v>PremiumS</v>
      </c>
      <c r="J64" s="7">
        <f>VLOOKUP(B64,[1]characters!$A:$I,9,FALSE)</f>
        <v>4</v>
      </c>
      <c r="K64" s="7" t="str">
        <f>VLOOKUP(B64,[1]characters!$A:$H,8,FALSE)</f>
        <v>red</v>
      </c>
      <c r="L64" s="7" t="str">
        <f>VLOOKUP(B64,[1]characters!$A:$K,11,FALSE)</f>
        <v>heal</v>
      </c>
      <c r="M64" s="7" t="str">
        <f>VLOOKUP(B64,[1]characters!$A:$M,13,FALSE)</f>
        <v>god</v>
      </c>
      <c r="N64" s="7" t="str">
        <f>VLOOKUP(B64,[1]characters!$A:$G,7,FALSE)</f>
        <v>不明</v>
      </c>
      <c r="O64" s="45">
        <f ca="1">IFERROR(VLOOKUP(B64,input_499010!L:R,7,FALSE),VLOOKUP(tables_499010!C64,input_499010!A:H,8,FALSE))</f>
        <v>79010.416670000006</v>
      </c>
      <c r="P64" s="46">
        <f t="shared" ca="1" si="3"/>
        <v>3.2921006945558995E-2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input_499010!A$2</f>
        <v>499010</v>
      </c>
      <c r="B65" s="8">
        <v>1152</v>
      </c>
      <c r="C65" s="7" t="str">
        <f t="shared" si="0"/>
        <v>Premium5R3less</v>
      </c>
      <c r="D65" s="7" t="str">
        <f t="shared" si="2"/>
        <v>Premium</v>
      </c>
      <c r="E65" s="7" t="str">
        <f>IF(COUNTIF('R6追加前'!A:A,B65)=0,IF(OR(I65="PremiumSS",I65="PremiumSSw"),"R5only","R3less"),"")</f>
        <v>R3less</v>
      </c>
      <c r="F65" s="7" t="str">
        <f>IF(COUNTIF('R6開放'!A:A,B65)&gt;0,"R6release","")</f>
        <v/>
      </c>
      <c r="G65" s="7"/>
      <c r="H65" s="7" t="str">
        <f>VLOOKUP(B65,[1]characters!$A:$C,3,FALSE)</f>
        <v>衆知の富益神 ガネーシャ</v>
      </c>
      <c r="I65" s="7" t="str">
        <f>VLOOKUP(B65,[1]characters!$A:$J,10,FALSE)</f>
        <v>PremiumS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heal</v>
      </c>
      <c r="M65" s="7" t="str">
        <f>VLOOKUP(B65,[1]characters!$A:$M,13,FALSE)</f>
        <v>god</v>
      </c>
      <c r="N65" s="7" t="str">
        <f>VLOOKUP(B65,[1]characters!$A:$G,7,FALSE)</f>
        <v>不明</v>
      </c>
      <c r="O65" s="45">
        <f ca="1">IFERROR(VLOOKUP(B65,input_499010!L:R,7,FALSE),VLOOKUP(tables_499010!C65,input_499010!A:H,8,FALSE))</f>
        <v>11562.5</v>
      </c>
      <c r="P65" s="46">
        <f t="shared" ca="1" si="3"/>
        <v>4.8177083332931851E-3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input_499010!A$2</f>
        <v>499010</v>
      </c>
      <c r="B66" s="6">
        <v>1208</v>
      </c>
      <c r="C66" s="7" t="str">
        <f t="shared" ref="C66:C69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ネメシス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god</v>
      </c>
      <c r="N66" s="7">
        <f>VLOOKUP(B66,[1]characters!$A:$G,7,FALSE)</f>
        <v>0</v>
      </c>
      <c r="O66" s="45">
        <f ca="1">IFERROR(VLOOKUP(B66,input_499010!L:R,7,FALSE),VLOOKUP(tables_499010!C66,input_499010!A:H,8,FALSE))</f>
        <v>9300</v>
      </c>
      <c r="P66" s="46">
        <f t="shared" ref="P66:P97" ca="1" si="5">O66/SUM(O:O)</f>
        <v>3.8749999999677081E-3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input_499010!A$2</f>
        <v>499010</v>
      </c>
      <c r="B67" s="6">
        <v>1224</v>
      </c>
      <c r="C67" s="7" t="str">
        <f t="shared" si="4"/>
        <v>Premium4R3less</v>
      </c>
      <c r="D67" s="7" t="str">
        <f t="shared" ref="D67:D69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セルバンテス</v>
      </c>
      <c r="I67" s="7" t="str">
        <f>VLOOKUP(B67,[1]characters!$A:$J,10,FALSE)</f>
        <v>PremiumS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IFERROR(VLOOKUP(B67,input_499010!L:R,7,FALSE),VLOOKUP(tables_499010!C67,input_499010!A:H,8,FALSE))</f>
        <v>79010.416670000006</v>
      </c>
      <c r="P67" s="46">
        <f t="shared" ca="1" si="5"/>
        <v>3.2921006945558995E-2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input_499010!A$2</f>
        <v>499010</v>
      </c>
      <c r="B68" s="6">
        <v>1225</v>
      </c>
      <c r="C68" s="7" t="str">
        <f t="shared" si="4"/>
        <v>Premium5R3less</v>
      </c>
      <c r="D68" s="7" t="str">
        <f t="shared" si="6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優柔なる風断者 セルバンテス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>
        <f>VLOOKUP(B68,[1]characters!$A:$G,7,FALSE)</f>
        <v>0</v>
      </c>
      <c r="O68" s="45">
        <f ca="1">IFERROR(VLOOKUP(B68,input_499010!L:R,7,FALSE),VLOOKUP(tables_499010!C68,input_499010!A:H,8,FALSE))</f>
        <v>11562.5</v>
      </c>
      <c r="P68" s="46">
        <f t="shared" ca="1" si="5"/>
        <v>4.8177083332931851E-3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input_499010!A$2</f>
        <v>499010</v>
      </c>
      <c r="B69" s="6">
        <v>1244</v>
      </c>
      <c r="C69" s="7" t="str">
        <f t="shared" si="4"/>
        <v>PremiumSS5R5only</v>
      </c>
      <c r="D69" s="7" t="str">
        <f t="shared" si="6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猿飛佐助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>
        <f>VLOOKUP(B69,[1]characters!$A:$G,7,FALSE)</f>
        <v>0</v>
      </c>
      <c r="O69" s="45">
        <f ca="1">IFERROR(VLOOKUP(B69,input_499010!L:R,7,FALSE),VLOOKUP(tables_499010!C69,input_499010!A:H,8,FALSE))</f>
        <v>9300</v>
      </c>
      <c r="P69" s="46">
        <f t="shared" ca="1" si="5"/>
        <v>3.8749999999677081E-3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input_499010!A$2</f>
        <v>499010</v>
      </c>
      <c r="B70" s="60">
        <v>484</v>
      </c>
      <c r="C70" s="7" t="str">
        <f t="shared" ref="C70:C76" si="7">D70&amp;J70&amp;E70&amp;F70&amp;G70</f>
        <v>PremiumSSS4R3less</v>
      </c>
      <c r="D70" s="7" t="str">
        <f t="shared" ref="D70:D76" si="8">IF(OR(I70="PremiumSS",I70="PremiumSSw"),"PremiumSS",IF(I70="PremiumSSS",I70,IF(I70="PremiumW",IF(J70=5,"premium",I70),"Premium")))</f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ラグランジュ</v>
      </c>
      <c r="I70" s="7" t="str">
        <f>VLOOKUP(B70,[1]characters!$A:$J,10,FALSE)</f>
        <v>PremiumSSS</v>
      </c>
      <c r="J70" s="7">
        <f>VLOOKUP(B70,[1]characters!$A:$I,9,FALSE)</f>
        <v>4</v>
      </c>
      <c r="K70" s="7" t="str">
        <f>VLOOKUP(B70,[1]characters!$A:$H,8,FALSE)</f>
        <v>red</v>
      </c>
      <c r="L70" s="7" t="str">
        <f>VLOOKUP(B70,[1]characters!$A:$K,11,FALSE)</f>
        <v>technical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IFERROR(VLOOKUP(B70,input_499010!L:R,7,FALSE),VLOOKUP(tables_499010!C70,input_499010!A:H,8,FALSE))</f>
        <v>4000.0000000000005</v>
      </c>
      <c r="P70" s="46">
        <f t="shared" ref="P70:P76" ca="1" si="9">O70/SUM(O:O)</f>
        <v>1.6666666666527779E-3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input_499010!A$2</f>
        <v>499010</v>
      </c>
      <c r="B71" s="60">
        <v>485</v>
      </c>
      <c r="C71" s="7" t="str">
        <f t="shared" si="7"/>
        <v>PremiumSSS5R3less</v>
      </c>
      <c r="D71" s="7" t="str">
        <f t="shared" si="8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超越自我 ラグランジュ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technical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IFERROR(VLOOKUP(B71,input_499010!L:R,7,FALSE),VLOOKUP(tables_499010!C71,input_499010!A:H,8,FALSE))</f>
        <v>4000.0000000000005</v>
      </c>
      <c r="P71" s="46">
        <f t="shared" ca="1" si="9"/>
        <v>1.6666666666527779E-3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input_499010!A$2</f>
        <v>499010</v>
      </c>
      <c r="B72" s="60">
        <v>870</v>
      </c>
      <c r="C72" s="7" t="str">
        <f t="shared" si="7"/>
        <v>PremiumSSS5R3less</v>
      </c>
      <c r="D72" s="7" t="str">
        <f t="shared" si="8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フロイト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balance</v>
      </c>
      <c r="M72" s="7" t="str">
        <f>VLOOKUP(B72,[1]characters!$A:$M,13,FALSE)</f>
        <v>academia</v>
      </c>
      <c r="N72" s="7" t="str">
        <f>VLOOKUP(B72,[1]characters!$A:$G,7,FALSE)</f>
        <v>男性</v>
      </c>
      <c r="O72" s="45">
        <f>IFERROR(VLOOKUP(B72,input_499010!L:R,7,FALSE),VLOOKUP(tables_499010!C72,input_499010!A:H,8,FALSE))</f>
        <v>8000.0000000000009</v>
      </c>
      <c r="P72" s="46">
        <f t="shared" ca="1" si="9"/>
        <v>3.3333333333055559E-3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input_499010!A$2</f>
        <v>499010</v>
      </c>
      <c r="B73" s="90">
        <v>1109</v>
      </c>
      <c r="C73" s="7" t="str">
        <f t="shared" si="7"/>
        <v>PremiumSSS5R3less</v>
      </c>
      <c r="D73" s="7" t="str">
        <f t="shared" si="8"/>
        <v>PremiumSSS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セキ</v>
      </c>
      <c r="I73" s="7" t="str">
        <f>VLOOKUP(B73,[1]characters!$A:$J,10,FALSE)</f>
        <v>PremiumSSS</v>
      </c>
      <c r="J73" s="7">
        <f>VLOOKUP(B73,[1]characters!$A:$I,9,FALSE)</f>
        <v>5</v>
      </c>
      <c r="K73" s="7" t="str">
        <f>VLOOKUP(B73,[1]characters!$A:$H,8,FALSE)</f>
        <v>red</v>
      </c>
      <c r="L73" s="7" t="str">
        <f>VLOOKUP(B73,[1]characters!$A:$K,11,FALSE)</f>
        <v>technical</v>
      </c>
      <c r="M73" s="7" t="str">
        <f>VLOOKUP(B73,[1]characters!$A:$M,13,FALSE)</f>
        <v>academia</v>
      </c>
      <c r="N73" s="7" t="str">
        <f>VLOOKUP(B73,[1]characters!$A:$G,7,FALSE)</f>
        <v>不明</v>
      </c>
      <c r="O73" s="45">
        <f>IFERROR(VLOOKUP(B73,input_499010!L:R,7,FALSE),VLOOKUP(tables_499010!C73,input_499010!A:H,8,FALSE))</f>
        <v>8000.0000000000009</v>
      </c>
      <c r="P73" s="46">
        <f t="shared" ca="1" si="9"/>
        <v>3.3333333333055559E-3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input_499010!A$2</f>
        <v>499010</v>
      </c>
      <c r="B74" s="60">
        <v>486</v>
      </c>
      <c r="C74" s="7" t="str">
        <f t="shared" si="7"/>
        <v>PremiumSSS5R3less</v>
      </c>
      <c r="D74" s="7" t="str">
        <f t="shared" si="8"/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重なる世解 シュレディンガー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balance</v>
      </c>
      <c r="M74" s="7" t="str">
        <f>VLOOKUP(B74,[1]characters!$A:$M,13,FALSE)</f>
        <v>animal</v>
      </c>
      <c r="N74" s="7" t="str">
        <f>VLOOKUP(B74,[1]characters!$A:$G,7,FALSE)</f>
        <v>男性</v>
      </c>
      <c r="O74" s="45">
        <f>IFERROR(VLOOKUP(B74,input_499010!L:R,7,FALSE),VLOOKUP(tables_499010!C74,input_499010!A:H,8,FALSE))</f>
        <v>8000.0000000000009</v>
      </c>
      <c r="P74" s="46">
        <f t="shared" ca="1" si="9"/>
        <v>3.3333333333055559E-3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input_499010!A$2</f>
        <v>499010</v>
      </c>
      <c r="B75" s="60">
        <v>783</v>
      </c>
      <c r="C75" s="7" t="str">
        <f t="shared" si="7"/>
        <v>PremiumSSS5R3less</v>
      </c>
      <c r="D75" s="7" t="str">
        <f t="shared" si="8"/>
        <v>PremiumSSS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モールス</v>
      </c>
      <c r="I75" s="7" t="str">
        <f>VLOOKUP(B75,[1]characters!$A:$J,10,FALSE)</f>
        <v>PremiumSSS</v>
      </c>
      <c r="J75" s="7">
        <f>VLOOKUP(B75,[1]characters!$A:$I,9,FALSE)</f>
        <v>5</v>
      </c>
      <c r="K75" s="7" t="str">
        <f>VLOOKUP(B75,[1]characters!$A:$H,8,FALSE)</f>
        <v>red</v>
      </c>
      <c r="L75" s="7" t="str">
        <f>VLOOKUP(B75,[1]characters!$A:$K,11,FALSE)</f>
        <v>technical</v>
      </c>
      <c r="M75" s="7" t="str">
        <f>VLOOKUP(B75,[1]characters!$A:$M,13,FALSE)</f>
        <v>academia</v>
      </c>
      <c r="N75" s="7" t="str">
        <f>VLOOKUP(B75,[1]characters!$A:$G,7,FALSE)</f>
        <v>男性</v>
      </c>
      <c r="O75" s="45">
        <f>IFERROR(VLOOKUP(B75,input_499010!L:R,7,FALSE),VLOOKUP(tables_499010!C75,input_499010!A:H,8,FALSE))</f>
        <v>8000.0000000000009</v>
      </c>
      <c r="P75" s="46">
        <f t="shared" ca="1" si="9"/>
        <v>3.3333333333055559E-3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input_499010!A$2</f>
        <v>499010</v>
      </c>
      <c r="B76" s="87">
        <v>1234</v>
      </c>
      <c r="C76" s="7" t="str">
        <f t="shared" si="7"/>
        <v>PremiumSSS5R3less</v>
      </c>
      <c r="D76" s="7" t="str">
        <f t="shared" si="8"/>
        <v>PremiumSSS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ボーア</v>
      </c>
      <c r="I76" s="7" t="str">
        <f>VLOOKUP(B76,[1]characters!$A:$J,10,FALSE)</f>
        <v>PremiumSSS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attack</v>
      </c>
      <c r="M76" s="7" t="str">
        <f>VLOOKUP(B76,[1]characters!$A:$M,13,FALSE)</f>
        <v>academia</v>
      </c>
      <c r="N76" s="7">
        <f>VLOOKUP(B76,[1]characters!$A:$G,7,FALSE)</f>
        <v>0</v>
      </c>
      <c r="O76" s="45">
        <f>IFERROR(VLOOKUP(B76,input_499010!L:R,7,FALSE),VLOOKUP(tables_499010!C76,input_499010!A:H,8,FALSE))</f>
        <v>8000.0000000000009</v>
      </c>
      <c r="P76" s="46">
        <f t="shared" ca="1" si="9"/>
        <v>3.3333333333055559E-3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</sheetData>
  <autoFilter ref="A1:V6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I6" sqref="I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484</v>
      </c>
      <c r="M3" s="37" t="str">
        <f>VLOOKUP(L3,[1]characters!$A:$C,3,FALSE)</f>
        <v>ラグランジュ</v>
      </c>
      <c r="N3" s="63">
        <f>0.01/6</f>
        <v>1.6666666666666668E-3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VLOOKUP(L3,tables_499100!B:C,2,FALSE)</f>
        <v>PremiumSSS4R3less</v>
      </c>
      <c r="R3" s="62">
        <f t="shared" ref="R3:R20" si="1">N3*A$36</f>
        <v>4000.0000000000005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485</v>
      </c>
      <c r="M4" s="37" t="str">
        <f>VLOOKUP(L4,[1]characters!$A:$C,3,FALSE)</f>
        <v>超越自我 ラグランジュ</v>
      </c>
      <c r="N4" s="63">
        <f>0.01/6</f>
        <v>1.6666666666666668E-3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VLOOKUP(L4,tables_499100!B:C,2,FALSE)</f>
        <v>PremiumSSS5R3less</v>
      </c>
      <c r="R4" s="62">
        <f t="shared" si="1"/>
        <v>4000.0000000000005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5.4999999999999997E-3</v>
      </c>
      <c r="F5">
        <f>(COUNTIF(tables_499100!C:C,input_499100!A28)+COUNTIF(tables_499100!C:C,input_499100!A29))</f>
        <v>16</v>
      </c>
      <c r="H5" s="83">
        <v>0.02</v>
      </c>
      <c r="I5" s="31">
        <v>6</v>
      </c>
      <c r="L5" s="60">
        <v>870</v>
      </c>
      <c r="M5" s="37" t="str">
        <f>VLOOKUP(L5,[1]characters!$A:$C,3,FALSE)</f>
        <v>フロイト</v>
      </c>
      <c r="N5" s="63">
        <f>0.01/3</f>
        <v>3.3333333333333335E-3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VLOOKUP(L5,tables_499100!B:C,2,FALSE)</f>
        <v>PremiumSSS5R3less</v>
      </c>
      <c r="R5" s="62">
        <f t="shared" si="1"/>
        <v>8000.0000000000009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3.8541666666666669E-2</v>
      </c>
      <c r="F6">
        <f>(COUNTIF(tables_499100!C:C,input_499100!A25)+COUNTIF(tables_499100!C:C,input_499100!A18)+COUNTIF(tables_499100!C:C,input_499100!A20)+COUNTIF(tables_499100!C:C,input_499100!A22))</f>
        <v>24</v>
      </c>
      <c r="H6" s="88">
        <v>0</v>
      </c>
      <c r="I6" s="31">
        <v>0</v>
      </c>
      <c r="L6" s="90">
        <v>1109</v>
      </c>
      <c r="M6" s="37" t="str">
        <f>VLOOKUP(L6,[1]characters!$A:$C,3,FALSE)</f>
        <v>セキ</v>
      </c>
      <c r="N6" s="63">
        <f t="shared" ref="N6:N9" si="2">0.01/3</f>
        <v>3.3333333333333335E-3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VLOOKUP(L6,tables_499100!B:C,2,FALSE)</f>
        <v>PremiumSSS5R3less</v>
      </c>
      <c r="R6" s="62">
        <f t="shared" si="1"/>
        <v>8000.0000000000009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60">
        <v>486</v>
      </c>
      <c r="M7" s="37" t="str">
        <f>VLOOKUP(L7,[1]characters!$A:$C,3,FALSE)</f>
        <v>重なる世解 シュレディンガー</v>
      </c>
      <c r="N7" s="63">
        <f t="shared" si="2"/>
        <v>3.3333333333333335E-3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VLOOKUP(L7,tables_499100!B:C,2,FALSE)</f>
        <v>PremiumSSS5R3less</v>
      </c>
      <c r="R7" s="62">
        <f t="shared" si="1"/>
        <v>8000.0000000000009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>
        <v>783</v>
      </c>
      <c r="M8" s="37" t="str">
        <f>VLOOKUP(L8,[1]characters!$A:$C,3,FALSE)</f>
        <v>モールス</v>
      </c>
      <c r="N8" s="63">
        <f t="shared" si="2"/>
        <v>3.3333333333333335E-3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VLOOKUP(L8,tables_499100!B:C,2,FALSE)</f>
        <v>PremiumSSS5R3less</v>
      </c>
      <c r="R8" s="62">
        <f t="shared" si="1"/>
        <v>8000.0000000000009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>
        <v>1234</v>
      </c>
      <c r="M9" s="37" t="str">
        <f>VLOOKUP(L9,[1]characters!$A:$C,3,FALSE)</f>
        <v>ボーア</v>
      </c>
      <c r="N9" s="63">
        <f t="shared" si="2"/>
        <v>3.3333333333333335E-3</v>
      </c>
      <c r="O9" s="37">
        <f>VLOOKUP(L9,[1]characters!$A:$I,9,FALSE)</f>
        <v>5</v>
      </c>
      <c r="P9" s="37" t="str">
        <f>VLOOKUP(L9,[1]characters!$A:$J,10,FALSE)</f>
        <v>PremiumSSS</v>
      </c>
      <c r="Q9" s="37" t="str">
        <f>VLOOKUP(L9,tables_499100!B:C,2,FALSE)</f>
        <v>PremiumSSS5R3less</v>
      </c>
      <c r="R9" s="62">
        <f t="shared" si="1"/>
        <v>8000.0000000000009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3">SUMIF(Q:Q,A17,N:N)</f>
        <v>0</v>
      </c>
      <c r="D17" s="74">
        <f t="shared" ref="D17:D32" si="4">B17-C17</f>
        <v>0</v>
      </c>
      <c r="E17">
        <f>COUNTIF(tables_499100!C:C,input_499100!A17)-COUNTIF(Q:Q,A17)</f>
        <v>0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0.21889583332500012</v>
      </c>
      <c r="C18" s="84">
        <f t="shared" si="3"/>
        <v>0</v>
      </c>
      <c r="D18" s="74">
        <f t="shared" si="4"/>
        <v>0.21889583332500012</v>
      </c>
      <c r="E18">
        <f>COUNTIF(tables_499100!C:C,input_499100!A18)-COUNTIF(Q:Q,A18)</f>
        <v>5</v>
      </c>
      <c r="F18" s="43">
        <f>IFERROR(B18/E18,0)</f>
        <v>4.3779166665000022E-2</v>
      </c>
      <c r="G18">
        <f t="shared" si="5"/>
        <v>525349.99998000031</v>
      </c>
      <c r="H18">
        <f t="shared" si="6"/>
        <v>105070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3"/>
        <v>0</v>
      </c>
      <c r="D19" s="74">
        <f t="shared" si="4"/>
        <v>0</v>
      </c>
      <c r="E19">
        <f>COUNTIF(tables_499100!C:C,input_499100!A19)-COUNTIF(Q:Q,A19)</f>
        <v>0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E$6*E20*B$6-0.02</f>
        <v>0.38468750000000002</v>
      </c>
      <c r="C20" s="84">
        <f t="shared" si="3"/>
        <v>0</v>
      </c>
      <c r="D20" s="74">
        <f t="shared" si="4"/>
        <v>0.38468750000000002</v>
      </c>
      <c r="E20">
        <f>COUNTIF(tables_499100!C:C,input_499100!A20)-COUNTIF(Q:Q,A20)</f>
        <v>12</v>
      </c>
      <c r="F20" s="43">
        <f t="shared" si="9"/>
        <v>3.2057291666666668E-2</v>
      </c>
      <c r="G20">
        <f t="shared" si="5"/>
        <v>923250</v>
      </c>
      <c r="H20">
        <f t="shared" si="6"/>
        <v>76937.5</v>
      </c>
      <c r="I20">
        <f t="shared" si="7"/>
        <v>0.5</v>
      </c>
      <c r="J20">
        <f t="shared" si="8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3.1624999982599988E-2</v>
      </c>
      <c r="C21" s="84">
        <f t="shared" si="3"/>
        <v>0</v>
      </c>
      <c r="D21" s="74">
        <f t="shared" si="4"/>
        <v>3.1624999982599988E-2</v>
      </c>
      <c r="E21">
        <f>COUNTIF(tables_499100!C:C,input_499100!A21)-COUNTIF(Q:Q,A21)</f>
        <v>12</v>
      </c>
      <c r="F21" s="43">
        <f t="shared" si="9"/>
        <v>2.6354166652166658E-3</v>
      </c>
      <c r="G21">
        <f t="shared" si="5"/>
        <v>75899.999958239976</v>
      </c>
      <c r="H21">
        <f t="shared" si="6"/>
        <v>6325</v>
      </c>
      <c r="I21">
        <f t="shared" si="7"/>
        <v>0</v>
      </c>
      <c r="J21">
        <f t="shared" si="8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0.19752604166666668</v>
      </c>
      <c r="C22" s="84">
        <f t="shared" si="3"/>
        <v>0</v>
      </c>
      <c r="D22" s="74">
        <f t="shared" si="4"/>
        <v>0.19752604166666668</v>
      </c>
      <c r="E22">
        <f>COUNTIF(tables_499100!C:C,input_499100!A22)-COUNTIF(Q:Q,A22)</f>
        <v>6</v>
      </c>
      <c r="F22" s="43">
        <f t="shared" si="9"/>
        <v>3.2921006944444449E-2</v>
      </c>
      <c r="G22">
        <f t="shared" si="5"/>
        <v>474062.50000000006</v>
      </c>
      <c r="H22">
        <f t="shared" si="6"/>
        <v>79010.416670000006</v>
      </c>
      <c r="I22">
        <f t="shared" si="7"/>
        <v>0.41667000000597909</v>
      </c>
      <c r="J22">
        <f t="shared" si="8"/>
        <v>2.3999808001191596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3.3723958333333331E-2</v>
      </c>
      <c r="C23" s="84">
        <f t="shared" si="3"/>
        <v>0</v>
      </c>
      <c r="D23" s="74">
        <f t="shared" si="4"/>
        <v>3.3723958333333331E-2</v>
      </c>
      <c r="E23">
        <f>COUNTIF(tables_499100!C:C,input_499100!A23)-COUNTIF(Q:Q,A23)</f>
        <v>7</v>
      </c>
      <c r="F23" s="43">
        <f t="shared" si="9"/>
        <v>4.8177083333333327E-3</v>
      </c>
      <c r="G23">
        <f t="shared" si="5"/>
        <v>80937.5</v>
      </c>
      <c r="H23">
        <f t="shared" si="6"/>
        <v>11562.5</v>
      </c>
      <c r="I23">
        <f t="shared" si="7"/>
        <v>0.5</v>
      </c>
      <c r="J23">
        <f t="shared" si="8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3"/>
        <v>0</v>
      </c>
      <c r="D24" s="74">
        <f t="shared" si="4"/>
        <v>0</v>
      </c>
      <c r="E24">
        <f>COUNTIF(tables_499100!C:C,input_499100!A24)-COUNTIF(Q:Q,A24)</f>
        <v>0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3.3723958333333331E-2</v>
      </c>
      <c r="C25" s="84">
        <f t="shared" si="3"/>
        <v>0</v>
      </c>
      <c r="D25" s="74">
        <f t="shared" si="4"/>
        <v>3.3723958333333331E-2</v>
      </c>
      <c r="E25">
        <f>COUNTIF(tables_499100!C:C,input_499100!A25)-COUNTIF(Q:Q,A25)</f>
        <v>1</v>
      </c>
      <c r="F25" s="43">
        <f t="shared" si="9"/>
        <v>3.3723958333333331E-2</v>
      </c>
      <c r="G25">
        <f t="shared" si="5"/>
        <v>80937.5</v>
      </c>
      <c r="H25">
        <f t="shared" si="6"/>
        <v>80937.5</v>
      </c>
      <c r="I25">
        <f t="shared" si="7"/>
        <v>0.5</v>
      </c>
      <c r="J25">
        <f t="shared" si="8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4.8177083333333336E-3</v>
      </c>
      <c r="C26" s="84">
        <f t="shared" si="3"/>
        <v>0</v>
      </c>
      <c r="D26" s="74">
        <f t="shared" si="4"/>
        <v>4.8177083333333336E-3</v>
      </c>
      <c r="E26">
        <f>COUNTIF(tables_499100!C:C,input_499100!A26)-COUNTIF(Q:Q,A26)</f>
        <v>1</v>
      </c>
      <c r="F26" s="43">
        <f t="shared" si="9"/>
        <v>4.8177083333333336E-3</v>
      </c>
      <c r="G26">
        <f t="shared" si="5"/>
        <v>11562.5</v>
      </c>
      <c r="H26">
        <f t="shared" si="6"/>
        <v>11562.5</v>
      </c>
      <c r="I26">
        <f t="shared" si="7"/>
        <v>0.5</v>
      </c>
      <c r="J26">
        <f t="shared" si="8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3.85E-2</v>
      </c>
      <c r="C27" s="84">
        <f t="shared" si="3"/>
        <v>0</v>
      </c>
      <c r="D27" s="74">
        <f t="shared" si="4"/>
        <v>3.85E-2</v>
      </c>
      <c r="E27">
        <f>COUNTIF(tables_499100!C:C,input_499100!A27)-COUNTIF(Q:Q,A27)</f>
        <v>8</v>
      </c>
      <c r="F27" s="43">
        <f>IFERROR(B27/E27,0)</f>
        <v>4.8124999999999999E-3</v>
      </c>
      <c r="G27">
        <f t="shared" si="5"/>
        <v>92400</v>
      </c>
      <c r="H27">
        <f t="shared" si="6"/>
        <v>11550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5.4999999999999997E-3</v>
      </c>
      <c r="C28" s="84">
        <f t="shared" si="3"/>
        <v>0</v>
      </c>
      <c r="D28" s="74">
        <f t="shared" si="4"/>
        <v>5.4999999999999997E-3</v>
      </c>
      <c r="E28">
        <f>COUNTIF(tables_499100!C:C,input_499100!A28)-COUNTIF(Q:Q,A28)</f>
        <v>8</v>
      </c>
      <c r="F28" s="43">
        <f t="shared" si="9"/>
        <v>6.8749999999999996E-4</v>
      </c>
      <c r="G28">
        <f t="shared" si="5"/>
        <v>13200</v>
      </c>
      <c r="H28">
        <f t="shared" si="6"/>
        <v>1650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3.100000000073333E-2</v>
      </c>
      <c r="C29" s="84">
        <f t="shared" si="3"/>
        <v>0</v>
      </c>
      <c r="D29" s="74">
        <f t="shared" si="4"/>
        <v>3.100000000073333E-2</v>
      </c>
      <c r="E29">
        <f>COUNTIF(tables_499100!C:C,input_499100!A29)-COUNTIF(Q:Q,A29)</f>
        <v>8</v>
      </c>
      <c r="F29" s="43">
        <f t="shared" si="9"/>
        <v>3.8750000000916662E-3</v>
      </c>
      <c r="G29">
        <f t="shared" si="5"/>
        <v>74400.000001759996</v>
      </c>
      <c r="H29">
        <f t="shared" si="6"/>
        <v>9300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3"/>
        <v>1.6666666666666668E-3</v>
      </c>
      <c r="D30" s="74">
        <f t="shared" si="4"/>
        <v>-1.6666666666666668E-3</v>
      </c>
      <c r="E30">
        <f>COUNTIF(tables_499100!C:C,input_499100!A30)-COUNTIF(Q:Q,A30)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3"/>
        <v>1.8333333333333333E-2</v>
      </c>
      <c r="D31" s="74">
        <f t="shared" si="4"/>
        <v>-1.8333333333333333E-2</v>
      </c>
      <c r="E31">
        <f>COUNTIF(tables_499100!C:C,input_499100!A31)-COUNTIF(Q:Q,A31)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0.97999999997499998</v>
      </c>
      <c r="C32" s="41">
        <f>SUM(C19:C31)</f>
        <v>0.02</v>
      </c>
      <c r="D32" s="42">
        <f t="shared" si="4"/>
        <v>0.95999999997499996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6.1874999916667894E-3</v>
      </c>
      <c r="F34" s="55"/>
    </row>
    <row r="35" spans="1:7" x14ac:dyDescent="0.15">
      <c r="A35" t="s">
        <v>73</v>
      </c>
      <c r="E35">
        <v>1.8333333350000008E-2</v>
      </c>
    </row>
    <row r="36" spans="1:7" x14ac:dyDescent="0.15">
      <c r="A36" s="31">
        <f>LCM(F5-I5,F6-I6)*1000*2*2*5</f>
        <v>2400000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SUMIF(tables_499100!C:C,input_499100!A40,tables_499100!O:O)</f>
        <v>0</v>
      </c>
      <c r="C40" s="54">
        <f t="shared" ref="C40:C46" ca="1" si="10">B40/B$47</f>
        <v>0</v>
      </c>
      <c r="E40">
        <v>3</v>
      </c>
      <c r="F40">
        <f>SUMIF(tables_499100!J:J,input_499100!E40,tables_499100!O:O)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SUMIF(tables_499100!C:C,input_499100!A41,tables_499100!O:O)</f>
        <v>923250</v>
      </c>
      <c r="C41" s="54">
        <f t="shared" ca="1" si="10"/>
        <v>0.83570943652410046</v>
      </c>
      <c r="E41">
        <v>4</v>
      </c>
      <c r="F41">
        <f ca="1">SUMIF(tables_499100!J:J,input_499100!E41,tables_499100!O:O)</f>
        <v>2100000.0000199997</v>
      </c>
      <c r="G41">
        <f ca="1">F41/A36</f>
        <v>0.87500000000833322</v>
      </c>
    </row>
    <row r="42" spans="1:7" x14ac:dyDescent="0.15">
      <c r="A42" s="33" t="s">
        <v>106</v>
      </c>
      <c r="B42">
        <f ca="1">SUMIF(tables_499100!C:C,input_499100!A42,tables_499100!O:O)</f>
        <v>92400</v>
      </c>
      <c r="C42" s="54">
        <f t="shared" ca="1" si="10"/>
        <v>8.3638832315003395E-2</v>
      </c>
      <c r="E42">
        <v>5</v>
      </c>
      <c r="F42">
        <f ca="1">SUMIF(tables_499100!J:J,input_499100!E42,tables_499100!O:O)</f>
        <v>300000</v>
      </c>
      <c r="G42">
        <f ca="1">F42/A36</f>
        <v>0.125</v>
      </c>
    </row>
    <row r="43" spans="1:7" x14ac:dyDescent="0.15">
      <c r="A43" s="33" t="s">
        <v>109</v>
      </c>
      <c r="B43">
        <f>SUMIF(tables_499100!C:C,input_499100!A43,tables_499100!O:O)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SUMIF(tables_499100!C:C,input_499100!A44,tables_499100!O:O)</f>
        <v>75900</v>
      </c>
      <c r="C44" s="54">
        <f t="shared" ca="1" si="10"/>
        <v>6.8703326544467078E-2</v>
      </c>
      <c r="E44" t="s">
        <v>54</v>
      </c>
      <c r="F44" s="55"/>
    </row>
    <row r="45" spans="1:7" x14ac:dyDescent="0.15">
      <c r="A45" s="33" t="s">
        <v>107</v>
      </c>
      <c r="B45">
        <f ca="1">SUMIF(tables_499100!C:C,input_499100!A45,tables_499100!O:O)</f>
        <v>13200</v>
      </c>
      <c r="C45" s="54">
        <f t="shared" ca="1" si="10"/>
        <v>1.1948404616429056E-2</v>
      </c>
      <c r="E45" t="s">
        <v>204</v>
      </c>
      <c r="F45" s="55">
        <f ca="1">SUMIF(tables_499100!I:I,input_499100!E45,tables_499100!P:P)</f>
        <v>0.22371354166480234</v>
      </c>
    </row>
    <row r="46" spans="1:7" x14ac:dyDescent="0.15">
      <c r="A46" s="33" t="s">
        <v>108</v>
      </c>
      <c r="B46">
        <f>SUMIF(tables_499100!C:C,input_499100!A46,tables_499100!O:O)</f>
        <v>0</v>
      </c>
      <c r="C46" s="54">
        <f t="shared" ca="1" si="10"/>
        <v>0</v>
      </c>
      <c r="E46" t="s">
        <v>205</v>
      </c>
      <c r="F46" s="55">
        <f ca="1">SUMIF(tables_499100!I:I,input_499100!E46,tables_499100!P:P)</f>
        <v>0.17731249999852236</v>
      </c>
    </row>
    <row r="47" spans="1:7" x14ac:dyDescent="0.15">
      <c r="A47" s="39" t="s">
        <v>59</v>
      </c>
      <c r="B47">
        <f ca="1">SUM(B40:B46)</f>
        <v>1104750</v>
      </c>
      <c r="C47" s="55">
        <f ca="1">SUM(C40:C46)</f>
        <v>1</v>
      </c>
      <c r="E47" t="s">
        <v>206</v>
      </c>
      <c r="F47" s="55">
        <f ca="1">SUMIF(tables_499100!I:I,input_499100!E47,tables_499100!P:P)</f>
        <v>0.50397395833746694</v>
      </c>
    </row>
    <row r="48" spans="1:7" x14ac:dyDescent="0.15">
      <c r="E48" t="s">
        <v>207</v>
      </c>
      <c r="F48" s="55">
        <f ca="1">SUMIF(tables_499100!I:I,input_499100!E48,tables_499100!P:P)</f>
        <v>7.1124999999407301E-2</v>
      </c>
    </row>
    <row r="49" spans="5:7" x14ac:dyDescent="0.15">
      <c r="E49" t="s">
        <v>250</v>
      </c>
      <c r="F49" s="55">
        <f ca="1">SUMIF(tables_499100!I:I,input_499100!E49,tables_499100!P:P)</f>
        <v>3.8749999999677081E-3</v>
      </c>
      <c r="G49">
        <v>1.2999999999266668E-2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76"/>
  <sheetViews>
    <sheetView showGridLines="0" zoomScale="75" zoomScaleNormal="75" zoomScalePageLayoutView="75" workbookViewId="0">
      <pane ySplit="1" topLeftCell="A32" activePane="bottomLeft" state="frozen"/>
      <selection activeCell="D34" sqref="D34"/>
      <selection pane="bottomLeft" activeCell="B70" sqref="B70:B7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input_499100!A$2</f>
        <v>499100</v>
      </c>
      <c r="B2" s="6">
        <v>127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IFERROR(VLOOKUP(B2,input_499100!L:R,7,FALSE),VLOOKUP(tables_499100!C2,input_499100!A:H,8,FALSE))</f>
        <v>105070</v>
      </c>
      <c r="P2" s="46">
        <f t="shared" ref="P2:P33" ca="1" si="1">O2/SUM(O:O)</f>
        <v>4.3779166666301834E-2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input_499100!A$2</f>
        <v>499100</v>
      </c>
      <c r="B3" s="6">
        <v>135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京の炎華夕霧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IFERROR(VLOOKUP(B3,input_499100!L:R,7,FALSE),VLOOKUP(tables_499100!C3,input_499100!A:H,8,FALSE))</f>
        <v>105070</v>
      </c>
      <c r="P3" s="46">
        <f t="shared" ca="1" si="1"/>
        <v>4.3779166666301834E-2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input_499100!A$2</f>
        <v>499100</v>
      </c>
      <c r="B4" s="6">
        <v>143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深紅の死神 赤ずきん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IFERROR(VLOOKUP(B4,input_499100!L:R,7,FALSE),VLOOKUP(tables_499100!C4,input_499100!A:H,8,FALSE))</f>
        <v>105070</v>
      </c>
      <c r="P4" s="46">
        <f t="shared" ca="1" si="1"/>
        <v>4.3779166666301834E-2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input_499100!A$2</f>
        <v>499100</v>
      </c>
      <c r="B5" s="6">
        <v>151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毒煙の処刑人サキ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red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IFERROR(VLOOKUP(B5,input_499100!L:R,7,FALSE),VLOOKUP(tables_499100!C5,input_499100!A:H,8,FALSE))</f>
        <v>105070</v>
      </c>
      <c r="P5" s="46">
        <f t="shared" ca="1" si="1"/>
        <v>4.3779166666301834E-2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input_499100!A$2</f>
        <v>499100</v>
      </c>
      <c r="B6" s="6">
        <v>159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邪を狩りし者 シャルロッテ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red</v>
      </c>
      <c r="L6" s="7" t="str">
        <f>VLOOKUP(B6,[1]characters!$A:$K,11,FALSE)</f>
        <v>heal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IFERROR(VLOOKUP(B6,input_499100!L:R,7,FALSE),VLOOKUP(tables_499100!C6,input_499100!A:H,8,FALSE))</f>
        <v>105070</v>
      </c>
      <c r="P6" s="46">
        <f t="shared" ca="1" si="1"/>
        <v>4.3779166666301834E-2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input_499100!A$2</f>
        <v>499100</v>
      </c>
      <c r="B7" s="6">
        <v>167</v>
      </c>
      <c r="C7" s="7" t="str">
        <f t="shared" si="0"/>
        <v>Premium4R6release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逆徒 ベリアル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45">
        <f ca="1">IFERROR(VLOOKUP(B7,input_499100!L:R,7,FALSE),VLOOKUP(tables_499100!C7,input_499100!A:H,8,FALSE))</f>
        <v>80937.5</v>
      </c>
      <c r="P7" s="46">
        <f t="shared" ca="1" si="1"/>
        <v>3.3723958333052299E-2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input_499100!A$2</f>
        <v>499100</v>
      </c>
      <c r="B8" s="6">
        <v>168</v>
      </c>
      <c r="C8" s="7" t="str">
        <f t="shared" si="0"/>
        <v>Premium5R6release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>R6release</v>
      </c>
      <c r="G8" s="7"/>
      <c r="H8" s="7" t="str">
        <f>VLOOKUP(B8,[1]characters!$A:$C,3,FALSE)</f>
        <v>猛進の大逆者 ベリアル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男性</v>
      </c>
      <c r="O8" s="45">
        <f ca="1">IFERROR(VLOOKUP(B8,input_499100!L:R,7,FALSE),VLOOKUP(tables_499100!C8,input_499100!A:H,8,FALSE))</f>
        <v>11562.5</v>
      </c>
      <c r="P8" s="46">
        <f t="shared" ca="1" si="1"/>
        <v>4.8177083332931851E-3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input_499100!A$2</f>
        <v>499100</v>
      </c>
      <c r="B9" s="6">
        <v>179</v>
      </c>
      <c r="C9" s="7" t="str">
        <f t="shared" si="0"/>
        <v>Premium4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番犬 ケルベロス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IFERROR(VLOOKUP(B9,input_499100!L:R,7,FALSE),VLOOKUP(tables_499100!C9,input_499100!A:H,8,FALSE))</f>
        <v>76937.5</v>
      </c>
      <c r="P9" s="46">
        <f t="shared" ca="1" si="1"/>
        <v>3.2057291666399521E-2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input_499100!A$2</f>
        <v>499100</v>
      </c>
      <c r="B10" s="6">
        <v>180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地獄の大門番 ケルベロス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IFERROR(VLOOKUP(B10,input_499100!L:R,7,FALSE),VLOOKUP(tables_499100!C10,input_499100!A:H,8,FALSE))</f>
        <v>6325</v>
      </c>
      <c r="P10" s="46">
        <f t="shared" ca="1" si="1"/>
        <v>2.6354166666447045E-3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input_499100!A$2</f>
        <v>499100</v>
      </c>
      <c r="B11" s="6">
        <v>191</v>
      </c>
      <c r="C11" s="7" t="str">
        <f t="shared" si="0"/>
        <v>Premium4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始祖 卑弥呼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IFERROR(VLOOKUP(B11,input_499100!L:R,7,FALSE),VLOOKUP(tables_499100!C11,input_499100!A:H,8,FALSE))</f>
        <v>76937.5</v>
      </c>
      <c r="P11" s="46">
        <f t="shared" ca="1" si="1"/>
        <v>3.2057291666399521E-2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input_499100!A$2</f>
        <v>499100</v>
      </c>
      <c r="B12" s="8">
        <v>192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荘厳なる始祖帝 卑弥呼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IFERROR(VLOOKUP(B12,input_499100!L:R,7,FALSE),VLOOKUP(tables_499100!C12,input_499100!A:H,8,FALSE))</f>
        <v>6325</v>
      </c>
      <c r="P12" s="46">
        <f t="shared" ca="1" si="1"/>
        <v>2.6354166666447045E-3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input_499100!A$2</f>
        <v>499100</v>
      </c>
      <c r="B13" s="8">
        <v>203</v>
      </c>
      <c r="C13" s="7" t="str">
        <f t="shared" si="0"/>
        <v>Premium4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焔神 プロメテウス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red</v>
      </c>
      <c r="L13" s="7" t="str">
        <f>VLOOKUP(B13,[1]characters!$A:$K,11,FALSE)</f>
        <v>hp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f ca="1">IFERROR(VLOOKUP(B13,input_499100!L:R,7,FALSE),VLOOKUP(tables_499100!C13,input_499100!A:H,8,FALSE))</f>
        <v>76937.5</v>
      </c>
      <c r="P13" s="46">
        <f t="shared" ca="1" si="1"/>
        <v>3.2057291666399521E-2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input_499100!A$2</f>
        <v>499100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ca="1">IFERROR(VLOOKUP(B14,input_499100!L:R,7,FALSE),VLOOKUP(tables_499100!C14,input_499100!A:H,8,FALSE))</f>
        <v>6325</v>
      </c>
      <c r="P14" s="46">
        <f t="shared" ca="1" si="1"/>
        <v>2.6354166666447045E-3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input_499100!A$2</f>
        <v>499100</v>
      </c>
      <c r="B15" s="6">
        <v>215</v>
      </c>
      <c r="C15" s="7" t="str">
        <f t="shared" si="0"/>
        <v>Premium4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死導者 アズラエル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red</v>
      </c>
      <c r="L15" s="7" t="str">
        <f>VLOOKUP(B15,[1]characters!$A:$K,11,FALSE)</f>
        <v>balance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ca="1">IFERROR(VLOOKUP(B15,input_499100!L:R,7,FALSE),VLOOKUP(tables_499100!C15,input_499100!A:H,8,FALSE))</f>
        <v>76937.5</v>
      </c>
      <c r="P15" s="46">
        <f t="shared" ca="1" si="1"/>
        <v>3.2057291666399521E-2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input_499100!A$2</f>
        <v>499100</v>
      </c>
      <c r="B16" s="10">
        <v>216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百読の死導司書 アズラエル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ca="1">IFERROR(VLOOKUP(B16,input_499100!L:R,7,FALSE),VLOOKUP(tables_499100!C16,input_499100!A:H,8,FALSE))</f>
        <v>6325</v>
      </c>
      <c r="P16" s="46">
        <f t="shared" ca="1" si="1"/>
        <v>2.6354166666447045E-3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input_499100!A$2</f>
        <v>499100</v>
      </c>
      <c r="B17" s="11">
        <v>227</v>
      </c>
      <c r="C17" s="7" t="str">
        <f t="shared" si="0"/>
        <v>Premium4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滅弾 アレス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red</v>
      </c>
      <c r="L17" s="7" t="str">
        <f>VLOOKUP(B17,[1]characters!$A:$K,11,FALSE)</f>
        <v>attack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f ca="1">IFERROR(VLOOKUP(B17,input_499100!L:R,7,FALSE),VLOOKUP(tables_499100!C17,input_499100!A:H,8,FALSE))</f>
        <v>76937.5</v>
      </c>
      <c r="P17" s="46">
        <f t="shared" ca="1" si="1"/>
        <v>3.2057291666399521E-2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input_499100!A$2</f>
        <v>499100</v>
      </c>
      <c r="B18" s="6">
        <v>228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殲滅の掃射砲 アレス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god</v>
      </c>
      <c r="N18" s="7" t="str">
        <f>VLOOKUP(B18,[1]characters!$A:$G,7,FALSE)</f>
        <v>男性</v>
      </c>
      <c r="O18" s="45">
        <f ca="1">IFERROR(VLOOKUP(B18,input_499100!L:R,7,FALSE),VLOOKUP(tables_499100!C18,input_499100!A:H,8,FALSE))</f>
        <v>6325</v>
      </c>
      <c r="P18" s="46">
        <f t="shared" ca="1" si="1"/>
        <v>2.6354166666447045E-3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input_499100!A$2</f>
        <v>499100</v>
      </c>
      <c r="B19" s="6">
        <v>239</v>
      </c>
      <c r="C19" s="7" t="str">
        <f t="shared" si="0"/>
        <v>Premium4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豪炎の天使 ウリエル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IFERROR(VLOOKUP(B19,input_499100!L:R,7,FALSE),VLOOKUP(tables_499100!C19,input_499100!A:H,8,FALSE))</f>
        <v>76937.5</v>
      </c>
      <c r="P19" s="46">
        <f t="shared" ca="1" si="1"/>
        <v>3.2057291666399521E-2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input_499100!A$2</f>
        <v>499100</v>
      </c>
      <c r="B20" s="10">
        <v>240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轟炎の天使 ウリエル・スレイヤー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hp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IFERROR(VLOOKUP(B20,input_499100!L:R,7,FALSE),VLOOKUP(tables_499100!C20,input_499100!A:H,8,FALSE))</f>
        <v>6325</v>
      </c>
      <c r="P20" s="46">
        <f t="shared" ca="1" si="1"/>
        <v>2.6354166666447045E-3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input_499100!A$2</f>
        <v>499100</v>
      </c>
      <c r="B21" s="6">
        <v>251</v>
      </c>
      <c r="C21" s="7" t="str">
        <f t="shared" si="0"/>
        <v>Premium4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強欲 マンモン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red</v>
      </c>
      <c r="L21" s="7" t="str">
        <f>VLOOKUP(B21,[1]characters!$A:$K,11,FALSE)</f>
        <v>balance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ca="1">IFERROR(VLOOKUP(B21,input_499100!L:R,7,FALSE),VLOOKUP(tables_499100!C21,input_499100!A:H,8,FALSE))</f>
        <v>76937.5</v>
      </c>
      <c r="P21" s="46">
        <f t="shared" ca="1" si="1"/>
        <v>3.2057291666399521E-2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input_499100!A$2</f>
        <v>499100</v>
      </c>
      <c r="B22" s="6">
        <v>252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強欲の沸騰 マンモン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balance</v>
      </c>
      <c r="M22" s="7" t="str">
        <f>VLOOKUP(B22,[1]characters!$A:$M,13,FALSE)</f>
        <v>god</v>
      </c>
      <c r="N22" s="7" t="str">
        <f>VLOOKUP(B22,[1]characters!$A:$G,7,FALSE)</f>
        <v>女性</v>
      </c>
      <c r="O22" s="45">
        <f ca="1">IFERROR(VLOOKUP(B22,input_499100!L:R,7,FALSE),VLOOKUP(tables_499100!C22,input_499100!A:H,8,FALSE))</f>
        <v>6325</v>
      </c>
      <c r="P22" s="46">
        <f t="shared" ca="1" si="1"/>
        <v>2.6354166666447045E-3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input_499100!A$2</f>
        <v>499100</v>
      </c>
      <c r="B23" s="6">
        <v>320</v>
      </c>
      <c r="C23" s="7" t="str">
        <f t="shared" si="0"/>
        <v>PremiumSS4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烈志士 近藤勇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red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男性</v>
      </c>
      <c r="O23" s="45">
        <f ca="1">IFERROR(VLOOKUP(B23,input_499100!L:R,7,FALSE),VLOOKUP(tables_499100!C23,input_499100!A:H,8,FALSE))</f>
        <v>11550</v>
      </c>
      <c r="P23" s="46">
        <f t="shared" ca="1" si="1"/>
        <v>4.8124999999598957E-3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input_499100!A$2</f>
        <v>499100</v>
      </c>
      <c r="B24" s="6">
        <v>321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巌鉄の烈志士 近藤勇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f ca="1">IFERROR(VLOOKUP(B24,input_499100!L:R,7,FALSE),VLOOKUP(tables_499100!C24,input_499100!A:H,8,FALSE))</f>
        <v>1650</v>
      </c>
      <c r="P24" s="46">
        <f t="shared" ca="1" si="1"/>
        <v>6.8749999999427082E-4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input_499100!A$2</f>
        <v>499100</v>
      </c>
      <c r="B25" s="6">
        <v>381</v>
      </c>
      <c r="C25" s="7" t="str">
        <f t="shared" si="0"/>
        <v>Premium4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肉食の恋火 バハムート</v>
      </c>
      <c r="I25" s="7" t="str">
        <f>VLOOKUP(B25,[1]characters!$A:$J,10,FALSE)</f>
        <v>PremiumS</v>
      </c>
      <c r="J25" s="7">
        <f>VLOOKUP(B25,[1]characters!$A:$I,9,FALSE)</f>
        <v>4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5">
        <f ca="1">IFERROR(VLOOKUP(B25,input_499100!L:R,7,FALSE),VLOOKUP(tables_499100!C25,input_499100!A:H,8,FALSE))</f>
        <v>76937.5</v>
      </c>
      <c r="P25" s="46">
        <f t="shared" ca="1" si="1"/>
        <v>3.2057291666399521E-2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input_499100!A$2</f>
        <v>499100</v>
      </c>
      <c r="B26" s="6">
        <v>382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激情の愛炎 バハムート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5">
        <f ca="1">IFERROR(VLOOKUP(B26,input_499100!L:R,7,FALSE),VLOOKUP(tables_499100!C26,input_499100!A:H,8,FALSE))</f>
        <v>6325</v>
      </c>
      <c r="P26" s="46">
        <f t="shared" ca="1" si="1"/>
        <v>2.6354166666447045E-3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input_499100!A$2</f>
        <v>499100</v>
      </c>
      <c r="B27" s="6">
        <v>390</v>
      </c>
      <c r="C27" s="7" t="str">
        <f t="shared" si="0"/>
        <v>PremiumSS4</v>
      </c>
      <c r="D27" s="7" t="str">
        <f t="shared" si="2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華環の旅客 親指姫</v>
      </c>
      <c r="I27" s="7" t="str">
        <f>VLOOKUP(B27,[1]characters!$A:$J,10,FALSE)</f>
        <v>PremiumSS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IFERROR(VLOOKUP(B27,input_499100!L:R,7,FALSE),VLOOKUP(tables_499100!C27,input_499100!A:H,8,FALSE))</f>
        <v>11550</v>
      </c>
      <c r="P27" s="46">
        <f t="shared" ca="1" si="1"/>
        <v>4.8124999999598957E-3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input_499100!A$2</f>
        <v>499100</v>
      </c>
      <c r="B28" s="6">
        <v>391</v>
      </c>
      <c r="C28" s="7" t="str">
        <f t="shared" si="0"/>
        <v>PremiumSS5</v>
      </c>
      <c r="D28" s="7" t="str">
        <f t="shared" si="2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燕翼の旅人 親指姫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IFERROR(VLOOKUP(B28,input_499100!L:R,7,FALSE),VLOOKUP(tables_499100!C28,input_499100!A:H,8,FALSE))</f>
        <v>1650</v>
      </c>
      <c r="P28" s="46">
        <f t="shared" ca="1" si="1"/>
        <v>6.8749999999427082E-4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input_499100!A$2</f>
        <v>499100</v>
      </c>
      <c r="B29" s="6">
        <v>401</v>
      </c>
      <c r="C29" s="7" t="str">
        <f t="shared" si="0"/>
        <v>Premium4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紅銀の孤狼 フェンリル</v>
      </c>
      <c r="I29" s="7" t="str">
        <f>VLOOKUP(B29,[1]characters!$A:$J,10,FALSE)</f>
        <v>PremiumS</v>
      </c>
      <c r="J29" s="7">
        <f>VLOOKUP(B29,[1]characters!$A:$I,9,FALSE)</f>
        <v>4</v>
      </c>
      <c r="K29" s="7" t="str">
        <f>VLOOKUP(B29,[1]characters!$A:$H,8,FALSE)</f>
        <v>red</v>
      </c>
      <c r="L29" s="7" t="str">
        <f>VLOOKUP(B29,[1]characters!$A:$K,11,FALSE)</f>
        <v>attack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f ca="1">IFERROR(VLOOKUP(B29,input_499100!L:R,7,FALSE),VLOOKUP(tables_499100!C29,input_499100!A:H,8,FALSE))</f>
        <v>76937.5</v>
      </c>
      <c r="P29" s="46">
        <f t="shared" ca="1" si="1"/>
        <v>3.2057291666399521E-2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input_499100!A$2</f>
        <v>499100</v>
      </c>
      <c r="B30" s="6">
        <v>402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天災の神狼 フェンリル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f ca="1">IFERROR(VLOOKUP(B30,input_499100!L:R,7,FALSE),VLOOKUP(tables_499100!C30,input_499100!A:H,8,FALSE))</f>
        <v>6325</v>
      </c>
      <c r="P30" s="46">
        <f t="shared" ca="1" si="1"/>
        <v>2.6354166666447045E-3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input_499100!A$2</f>
        <v>499100</v>
      </c>
      <c r="B31" s="6">
        <v>434</v>
      </c>
      <c r="C31" s="7" t="str">
        <f t="shared" si="0"/>
        <v>PremiumSS4</v>
      </c>
      <c r="D31" s="7" t="str">
        <f t="shared" si="2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D.R.T.H.</v>
      </c>
      <c r="I31" s="7" t="str">
        <f>VLOOKUP(B31,[1]characters!$A:$J,10,FALSE)</f>
        <v>PremiumSS</v>
      </c>
      <c r="J31" s="7">
        <f>VLOOKUP(B31,[1]characters!$A:$I,9,FALSE)</f>
        <v>4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IFERROR(VLOOKUP(B31,input_499100!L:R,7,FALSE),VLOOKUP(tables_499100!C31,input_499100!A:H,8,FALSE))</f>
        <v>11550</v>
      </c>
      <c r="P31" s="46">
        <f t="shared" ca="1" si="1"/>
        <v>4.8124999999598957E-3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input_499100!A$2</f>
        <v>499100</v>
      </c>
      <c r="B32" s="6">
        <v>435</v>
      </c>
      <c r="C32" s="7" t="str">
        <f t="shared" si="0"/>
        <v>PremiumSS5</v>
      </c>
      <c r="D32" s="7" t="str">
        <f t="shared" si="2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曝弾の密偵 D.R.T.H.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IFERROR(VLOOKUP(B32,input_499100!L:R,7,FALSE),VLOOKUP(tables_499100!C32,input_499100!A:H,8,FALSE))</f>
        <v>1650</v>
      </c>
      <c r="P32" s="46">
        <f t="shared" ca="1" si="1"/>
        <v>6.8749999999427082E-4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input_499100!A$2</f>
        <v>499100</v>
      </c>
      <c r="B33" s="6">
        <v>463</v>
      </c>
      <c r="C33" s="7" t="str">
        <f t="shared" si="0"/>
        <v>Premium4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燻銀 ガウェイン</v>
      </c>
      <c r="I33" s="7" t="str">
        <f>VLOOKUP(B33,[1]characters!$A:$J,10,FALSE)</f>
        <v>PremiumS</v>
      </c>
      <c r="J33" s="7">
        <f>VLOOKUP(B33,[1]characters!$A:$I,9,FALSE)</f>
        <v>4</v>
      </c>
      <c r="K33" s="7" t="str">
        <f>VLOOKUP(B33,[1]characters!$A:$H,8,FALSE)</f>
        <v>red</v>
      </c>
      <c r="L33" s="7" t="str">
        <f>VLOOKUP(B33,[1]characters!$A:$K,11,FALSE)</f>
        <v>hp</v>
      </c>
      <c r="M33" s="7" t="str">
        <f>VLOOKUP(B33,[1]characters!$A:$M,13,FALSE)</f>
        <v>human</v>
      </c>
      <c r="N33" s="7" t="str">
        <f>VLOOKUP(B33,[1]characters!$A:$G,7,FALSE)</f>
        <v>男性</v>
      </c>
      <c r="O33" s="45">
        <f ca="1">IFERROR(VLOOKUP(B33,input_499100!L:R,7,FALSE),VLOOKUP(tables_499100!C33,input_499100!A:H,8,FALSE))</f>
        <v>76937.5</v>
      </c>
      <c r="P33" s="46">
        <f t="shared" ca="1" si="1"/>
        <v>3.2057291666399521E-2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input_499100!A$2</f>
        <v>499100</v>
      </c>
      <c r="B34" s="6">
        <v>464</v>
      </c>
      <c r="C34" s="7" t="str">
        <f t="shared" si="0"/>
        <v>Premium5</v>
      </c>
      <c r="D34" s="7" t="str">
        <f t="shared" si="2"/>
        <v>Premium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円熟の弾導 ガウェイン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ca="1">IFERROR(VLOOKUP(B34,input_499100!L:R,7,FALSE),VLOOKUP(tables_499100!C34,input_499100!A:H,8,FALSE))</f>
        <v>6325</v>
      </c>
      <c r="P34" s="46">
        <f t="shared" ref="P34:P65" ca="1" si="3">O34/SUM(O:O)</f>
        <v>2.6354166666447045E-3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input_499100!A$2</f>
        <v>499100</v>
      </c>
      <c r="B35" s="6">
        <v>474</v>
      </c>
      <c r="C35" s="7" t="str">
        <f t="shared" si="0"/>
        <v>PremiumSS4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キング・ドライグ</v>
      </c>
      <c r="I35" s="7" t="str">
        <f>VLOOKUP(B35,[1]characters!$A:$J,10,FALSE)</f>
        <v>PremiumSS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dragon</v>
      </c>
      <c r="N35" s="7" t="str">
        <f>VLOOKUP(B35,[1]characters!$A:$G,7,FALSE)</f>
        <v>不明</v>
      </c>
      <c r="O35" s="45">
        <f ca="1">IFERROR(VLOOKUP(B35,input_499100!L:R,7,FALSE),VLOOKUP(tables_499100!C35,input_499100!A:H,8,FALSE))</f>
        <v>11550</v>
      </c>
      <c r="P35" s="46">
        <f t="shared" ca="1" si="3"/>
        <v>4.8124999999598957E-3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input_499100!A$2</f>
        <v>499100</v>
      </c>
      <c r="B36" s="6">
        <v>475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緋王 キング・ドライグ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dragon</v>
      </c>
      <c r="N36" s="7" t="str">
        <f>VLOOKUP(B36,[1]characters!$A:$G,7,FALSE)</f>
        <v>不明</v>
      </c>
      <c r="O36" s="45">
        <f ca="1">IFERROR(VLOOKUP(B36,input_499100!L:R,7,FALSE),VLOOKUP(tables_499100!C36,input_499100!A:H,8,FALSE))</f>
        <v>1650</v>
      </c>
      <c r="P36" s="46">
        <f t="shared" ca="1" si="3"/>
        <v>6.8749999999427082E-4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input_499100!A$2</f>
        <v>499100</v>
      </c>
      <c r="B37" s="6">
        <v>492</v>
      </c>
      <c r="C37" s="7" t="str">
        <f t="shared" si="0"/>
        <v>PremiumSS4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ブートレグ・ペロー</v>
      </c>
      <c r="I37" s="7" t="str">
        <f>VLOOKUP(B37,[1]characters!$A:$J,10,FALSE)</f>
        <v>PremiumSS</v>
      </c>
      <c r="J37" s="7">
        <f>VLOOKUP(B37,[1]characters!$A:$I,9,FALSE)</f>
        <v>4</v>
      </c>
      <c r="K37" s="7" t="str">
        <f>VLOOKUP(B37,[1]characters!$A:$H,8,FALSE)</f>
        <v>red</v>
      </c>
      <c r="L37" s="7" t="str">
        <f>VLOOKUP(B37,[1]characters!$A:$K,11,FALSE)</f>
        <v>hp</v>
      </c>
      <c r="M37" s="7" t="str">
        <f>VLOOKUP(B37,[1]characters!$A:$M,13,FALSE)</f>
        <v>animal</v>
      </c>
      <c r="N37" s="7" t="str">
        <f>VLOOKUP(B37,[1]characters!$A:$G,7,FALSE)</f>
        <v>不明</v>
      </c>
      <c r="O37" s="45">
        <f ca="1">IFERROR(VLOOKUP(B37,input_499100!L:R,7,FALSE),VLOOKUP(tables_499100!C37,input_499100!A:H,8,FALSE))</f>
        <v>11550</v>
      </c>
      <c r="P37" s="46">
        <f t="shared" ca="1" si="3"/>
        <v>4.8124999999598957E-3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input_499100!A$2</f>
        <v>499100</v>
      </c>
      <c r="B38" s="6">
        <v>493</v>
      </c>
      <c r="C38" s="7" t="str">
        <f t="shared" si="0"/>
        <v>PremiumSS5</v>
      </c>
      <c r="D38" s="7" t="str">
        <f t="shared" si="2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跋扈の機脚 ブートレグ・ペロー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hp</v>
      </c>
      <c r="M38" s="7" t="str">
        <f>VLOOKUP(B38,[1]characters!$A:$M,13,FALSE)</f>
        <v>animal</v>
      </c>
      <c r="N38" s="7" t="str">
        <f>VLOOKUP(B38,[1]characters!$A:$G,7,FALSE)</f>
        <v>不明</v>
      </c>
      <c r="O38" s="45">
        <f ca="1">IFERROR(VLOOKUP(B38,input_499100!L:R,7,FALSE),VLOOKUP(tables_499100!C38,input_499100!A:H,8,FALSE))</f>
        <v>1650</v>
      </c>
      <c r="P38" s="46">
        <f t="shared" ca="1" si="3"/>
        <v>6.8749999999427082E-4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input_499100!A$2</f>
        <v>499100</v>
      </c>
      <c r="B39" s="6">
        <v>560</v>
      </c>
      <c r="C39" s="7" t="str">
        <f t="shared" si="0"/>
        <v>premium5R3less</v>
      </c>
      <c r="D39" s="7" t="str">
        <f t="shared" si="2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暴骨炎舞の狂賢者 ユノ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IFERROR(VLOOKUP(B39,input_499100!L:R,7,FALSE),VLOOKUP(tables_499100!C39,input_499100!A:H,8,FALSE))</f>
        <v>11562.5</v>
      </c>
      <c r="P39" s="46">
        <f t="shared" ca="1" si="3"/>
        <v>4.8177083332931851E-3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input_499100!A$2</f>
        <v>499100</v>
      </c>
      <c r="B40" s="6">
        <v>586</v>
      </c>
      <c r="C40" s="7" t="str">
        <f t="shared" si="0"/>
        <v>PremiumSS4</v>
      </c>
      <c r="D40" s="7" t="str">
        <f t="shared" si="2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ユミル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red</v>
      </c>
      <c r="L40" s="7" t="str">
        <f>VLOOKUP(B40,[1]characters!$A:$K,11,FALSE)</f>
        <v>hp</v>
      </c>
      <c r="M40" s="7" t="str">
        <f>VLOOKUP(B40,[1]characters!$A:$M,13,FALSE)</f>
        <v>machine</v>
      </c>
      <c r="N40" s="7" t="str">
        <f>VLOOKUP(B40,[1]characters!$A:$G,7,FALSE)</f>
        <v>不明</v>
      </c>
      <c r="O40" s="45">
        <f ca="1">IFERROR(VLOOKUP(B40,input_499100!L:R,7,FALSE),VLOOKUP(tables_499100!C40,input_499100!A:H,8,FALSE))</f>
        <v>11550</v>
      </c>
      <c r="P40" s="46">
        <f t="shared" ca="1" si="3"/>
        <v>4.8124999999598957E-3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input_499100!A$2</f>
        <v>499100</v>
      </c>
      <c r="B41" s="6">
        <v>587</v>
      </c>
      <c r="C41" s="7" t="str">
        <f t="shared" si="0"/>
        <v>PremiumSS5</v>
      </c>
      <c r="D41" s="7" t="str">
        <f t="shared" si="2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原初の煉鋼巨刃 ユミル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hp</v>
      </c>
      <c r="M41" s="7" t="str">
        <f>VLOOKUP(B41,[1]characters!$A:$M,13,FALSE)</f>
        <v>machine</v>
      </c>
      <c r="N41" s="7" t="str">
        <f>VLOOKUP(B41,[1]characters!$A:$G,7,FALSE)</f>
        <v>不明</v>
      </c>
      <c r="O41" s="45">
        <f ca="1">IFERROR(VLOOKUP(B41,input_499100!L:R,7,FALSE),VLOOKUP(tables_499100!C41,input_499100!A:H,8,FALSE))</f>
        <v>1650</v>
      </c>
      <c r="P41" s="46">
        <f t="shared" ca="1" si="3"/>
        <v>6.8749999999427082E-4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input_499100!A$2</f>
        <v>499100</v>
      </c>
      <c r="B42" s="6">
        <v>597</v>
      </c>
      <c r="C42" s="7" t="str">
        <f t="shared" si="0"/>
        <v>Premium4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灼熱の魂 ムスペルヘイム</v>
      </c>
      <c r="I42" s="7" t="str">
        <f>VLOOKUP(B42,[1]characters!$A:$J,10,FALSE)</f>
        <v>PremiumS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balance</v>
      </c>
      <c r="M42" s="7" t="str">
        <f>VLOOKUP(B42,[1]characters!$A:$M,13,FALSE)</f>
        <v>human</v>
      </c>
      <c r="N42" s="7" t="str">
        <f>VLOOKUP(B42,[1]characters!$A:$G,7,FALSE)</f>
        <v>男性</v>
      </c>
      <c r="O42" s="45">
        <f ca="1">IFERROR(VLOOKUP(B42,input_499100!L:R,7,FALSE),VLOOKUP(tables_499100!C42,input_499100!A:H,8,FALSE))</f>
        <v>76937.5</v>
      </c>
      <c r="P42" s="46">
        <f t="shared" ca="1" si="3"/>
        <v>3.2057291666399521E-2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input_499100!A$2</f>
        <v>499100</v>
      </c>
      <c r="B43" s="6">
        <v>598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焼燃の情熱 ムスペルヘイム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ca="1">IFERROR(VLOOKUP(B43,input_499100!L:R,7,FALSE),VLOOKUP(tables_499100!C43,input_499100!A:H,8,FALSE))</f>
        <v>6325</v>
      </c>
      <c r="P43" s="46">
        <f t="shared" ca="1" si="3"/>
        <v>2.6354166666447045E-3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input_499100!A$2</f>
        <v>499100</v>
      </c>
      <c r="B44" s="6">
        <v>658</v>
      </c>
      <c r="C44" s="7" t="str">
        <f t="shared" si="0"/>
        <v>PremiumSS4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猫又 クルミ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5">
        <f ca="1">IFERROR(VLOOKUP(B44,input_499100!L:R,7,FALSE),VLOOKUP(tables_499100!C44,input_499100!A:H,8,FALSE))</f>
        <v>11550</v>
      </c>
      <c r="P44" s="46">
        <f t="shared" ca="1" si="3"/>
        <v>4.8124999999598957E-3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input_499100!A$2</f>
        <v>499100</v>
      </c>
      <c r="B45" s="6">
        <v>659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跳梁する化猫 クルミ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attack</v>
      </c>
      <c r="M45" s="7" t="str">
        <f>VLOOKUP(B45,[1]characters!$A:$M,13,FALSE)</f>
        <v>animal</v>
      </c>
      <c r="N45" s="7" t="str">
        <f>VLOOKUP(B45,[1]characters!$A:$G,7,FALSE)</f>
        <v>女性</v>
      </c>
      <c r="O45" s="45">
        <f ca="1">IFERROR(VLOOKUP(B45,input_499100!L:R,7,FALSE),VLOOKUP(tables_499100!C45,input_499100!A:H,8,FALSE))</f>
        <v>1650</v>
      </c>
      <c r="P45" s="46">
        <f t="shared" ca="1" si="3"/>
        <v>6.8749999999427082E-4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input_499100!A$2</f>
        <v>499100</v>
      </c>
      <c r="B46" s="6">
        <v>669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天地の仲界 アグニ</v>
      </c>
      <c r="I46" s="7" t="str">
        <f>VLOOKUP(B46,[1]characters!$A:$J,10,FALSE)</f>
        <v>PremiumS</v>
      </c>
      <c r="J46" s="7">
        <f>VLOOKUP(B46,[1]characters!$A:$I,9,FALSE)</f>
        <v>4</v>
      </c>
      <c r="K46" s="7" t="str">
        <f>VLOOKUP(B46,[1]characters!$A:$H,8,FALSE)</f>
        <v>red</v>
      </c>
      <c r="L46" s="7" t="str">
        <f>VLOOKUP(B46,[1]characters!$A:$K,11,FALSE)</f>
        <v>hp</v>
      </c>
      <c r="M46" s="7" t="str">
        <f>VLOOKUP(B46,[1]characters!$A:$M,13,FALSE)</f>
        <v>god</v>
      </c>
      <c r="N46" s="7" t="str">
        <f>VLOOKUP(B46,[1]characters!$A:$G,7,FALSE)</f>
        <v>男性</v>
      </c>
      <c r="O46" s="45">
        <f ca="1">IFERROR(VLOOKUP(B46,input_499100!L:R,7,FALSE),VLOOKUP(tables_499100!C46,input_499100!A:H,8,FALSE))</f>
        <v>76937.5</v>
      </c>
      <c r="P46" s="46">
        <f t="shared" ca="1" si="3"/>
        <v>3.2057291666399521E-2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input_499100!A$2</f>
        <v>499100</v>
      </c>
      <c r="B47" s="6">
        <v>670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陽天の噴煙 アグニ</v>
      </c>
      <c r="I47" s="7" t="str">
        <f>VLOOKUP(B47,[1]characters!$A:$J,10,FALSE)</f>
        <v>PremiumS</v>
      </c>
      <c r="J47" s="7">
        <f>VLOOKUP(B47,[1]characters!$A:$I,9,FALSE)</f>
        <v>5</v>
      </c>
      <c r="K47" s="7" t="str">
        <f>VLOOKUP(B47,[1]characters!$A:$H,8,FALSE)</f>
        <v>red</v>
      </c>
      <c r="L47" s="7" t="str">
        <f>VLOOKUP(B47,[1]characters!$A:$K,11,FALSE)</f>
        <v>hp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f ca="1">IFERROR(VLOOKUP(B47,input_499100!L:R,7,FALSE),VLOOKUP(tables_499100!C47,input_499100!A:H,8,FALSE))</f>
        <v>6325</v>
      </c>
      <c r="P47" s="46">
        <f t="shared" ca="1" si="3"/>
        <v>2.6354166666447045E-3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input_499100!A$2</f>
        <v>499100</v>
      </c>
      <c r="B48" s="6">
        <v>728</v>
      </c>
      <c r="C48" s="7" t="str">
        <f t="shared" si="0"/>
        <v>Premium4R3less</v>
      </c>
      <c r="D48" s="7" t="str">
        <f t="shared" si="2"/>
        <v>Premium</v>
      </c>
      <c r="E48" s="7" t="str">
        <f>IF(COUNTIF('R6追加前'!A:A,B48)=0,IF(OR(I48="PremiumSS",I48="PremiumSSw"),"R5only","R3less"),"")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井伊直虎</v>
      </c>
      <c r="I48" s="7" t="str">
        <f>VLOOKUP(B48,[1]characters!$A:$J,10,FALSE)</f>
        <v>PremiumS</v>
      </c>
      <c r="J48" s="7">
        <f>VLOOKUP(B48,[1]characters!$A:$I,9,FALSE)</f>
        <v>4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human</v>
      </c>
      <c r="N48" s="7" t="str">
        <f>VLOOKUP(B48,[1]characters!$A:$G,7,FALSE)</f>
        <v>女性</v>
      </c>
      <c r="O48" s="45">
        <f ca="1">IFERROR(VLOOKUP(B48,input_499100!L:R,7,FALSE),VLOOKUP(tables_499100!C48,input_499100!A:H,8,FALSE))</f>
        <v>79010.416670000006</v>
      </c>
      <c r="P48" s="46">
        <f t="shared" ca="1" si="3"/>
        <v>3.2921006945558995E-2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input_499100!A$2</f>
        <v>499100</v>
      </c>
      <c r="B49" s="6">
        <v>729</v>
      </c>
      <c r="C49" s="7" t="str">
        <f t="shared" si="0"/>
        <v>Premium5R3less</v>
      </c>
      <c r="D49" s="7" t="str">
        <f t="shared" si="2"/>
        <v>Premium</v>
      </c>
      <c r="E49" s="7" t="str">
        <f>IF(COUNTIF('R6追加前'!A:A,B49)=0,IF(OR(I49="PremiumSS",I49="PremiumSSw"),"R5only","R3less"),"")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暗厄の双刀 井伊直虎</v>
      </c>
      <c r="I49" s="7" t="str">
        <f>VLOOKUP(B49,[1]characters!$A:$J,10,FALSE)</f>
        <v>PremiumS</v>
      </c>
      <c r="J49" s="7">
        <f>VLOOKUP(B49,[1]characters!$A:$I,9,FALSE)</f>
        <v>5</v>
      </c>
      <c r="K49" s="7" t="str">
        <f>VLOOKUP(B49,[1]characters!$A:$H,8,FALSE)</f>
        <v>red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 ca="1">IFERROR(VLOOKUP(B49,input_499100!L:R,7,FALSE),VLOOKUP(tables_499100!C49,input_499100!A:H,8,FALSE))</f>
        <v>11562.5</v>
      </c>
      <c r="P49" s="46">
        <f t="shared" ca="1" si="3"/>
        <v>4.8177083332931851E-3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input_499100!A$2</f>
        <v>499100</v>
      </c>
      <c r="B50" s="6">
        <v>742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アポロン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f ca="1">IFERROR(VLOOKUP(B50,input_499100!L:R,7,FALSE),VLOOKUP(tables_499100!C50,input_499100!A:H,8,FALSE))</f>
        <v>9300</v>
      </c>
      <c r="P50" s="46">
        <f t="shared" ca="1" si="3"/>
        <v>3.8749999999677081E-3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input_499100!A$2</f>
        <v>499100</v>
      </c>
      <c r="B51" s="6">
        <v>770</v>
      </c>
      <c r="C51" s="7" t="str">
        <f t="shared" si="0"/>
        <v>PremiumSS4</v>
      </c>
      <c r="D51" s="7" t="str">
        <f t="shared" si="2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ハヅル</v>
      </c>
      <c r="I51" s="7" t="str">
        <f>VLOOKUP(B51,[1]characters!$A:$J,10,FALSE)</f>
        <v>PremiumSS</v>
      </c>
      <c r="J51" s="7">
        <f>VLOOKUP(B51,[1]characters!$A:$I,9,FALSE)</f>
        <v>4</v>
      </c>
      <c r="K51" s="7" t="str">
        <f>VLOOKUP(B51,[1]characters!$A:$H,8,FALSE)</f>
        <v>red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女性</v>
      </c>
      <c r="O51" s="45">
        <f ca="1">IFERROR(VLOOKUP(B51,input_499100!L:R,7,FALSE),VLOOKUP(tables_499100!C51,input_499100!A:H,8,FALSE))</f>
        <v>11550</v>
      </c>
      <c r="P51" s="46">
        <f t="shared" ca="1" si="3"/>
        <v>4.8124999999598957E-3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input_499100!A$2</f>
        <v>499100</v>
      </c>
      <c r="B52" s="6">
        <v>771</v>
      </c>
      <c r="C52" s="7" t="str">
        <f t="shared" si="0"/>
        <v>PremiumSS5</v>
      </c>
      <c r="D52" s="7" t="str">
        <f t="shared" si="2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天織羽鶴 ハヅル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balance</v>
      </c>
      <c r="M52" s="7" t="str">
        <f>VLOOKUP(B52,[1]characters!$A:$M,13,FALSE)</f>
        <v>animal</v>
      </c>
      <c r="N52" s="7" t="str">
        <f>VLOOKUP(B52,[1]characters!$A:$G,7,FALSE)</f>
        <v>女性</v>
      </c>
      <c r="O52" s="45">
        <f ca="1">IFERROR(VLOOKUP(B52,input_499100!L:R,7,FALSE),VLOOKUP(tables_499100!C52,input_499100!A:H,8,FALSE))</f>
        <v>1650</v>
      </c>
      <c r="P52" s="46">
        <f t="shared" ca="1" si="3"/>
        <v>6.8749999999427082E-4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input_499100!A$2</f>
        <v>499100</v>
      </c>
      <c r="B53" s="6">
        <v>848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メタトロン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f ca="1">IFERROR(VLOOKUP(B53,input_499100!L:R,7,FALSE),VLOOKUP(tables_499100!C53,input_499100!A:H,8,FALSE))</f>
        <v>9300</v>
      </c>
      <c r="P53" s="46">
        <f t="shared" ca="1" si="3"/>
        <v>3.8749999999677081E-3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input_499100!A$2</f>
        <v>499100</v>
      </c>
      <c r="B54" s="6">
        <v>862</v>
      </c>
      <c r="C54" s="7" t="str">
        <f t="shared" si="0"/>
        <v>Premium4R3less</v>
      </c>
      <c r="D54" s="7" t="str">
        <f t="shared" si="2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ブレーメン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男性</v>
      </c>
      <c r="O54" s="45">
        <f ca="1">IFERROR(VLOOKUP(B54,input_499100!L:R,7,FALSE),VLOOKUP(tables_499100!C54,input_499100!A:H,8,FALSE))</f>
        <v>79010.416670000006</v>
      </c>
      <c r="P54" s="46">
        <f t="shared" ca="1" si="3"/>
        <v>3.2921006945558995E-2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input_499100!A$2</f>
        <v>499100</v>
      </c>
      <c r="B55" s="6">
        <v>863</v>
      </c>
      <c r="C55" s="7" t="str">
        <f t="shared" si="0"/>
        <v>Premium5R3less</v>
      </c>
      <c r="D55" s="7" t="str">
        <f t="shared" si="2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歓揮の楽団長 ブレーメン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男性</v>
      </c>
      <c r="O55" s="45">
        <f ca="1">IFERROR(VLOOKUP(B55,input_499100!L:R,7,FALSE),VLOOKUP(tables_499100!C55,input_499100!A:H,8,FALSE))</f>
        <v>11562.5</v>
      </c>
      <c r="P55" s="46">
        <f t="shared" ca="1" si="3"/>
        <v>4.8177083332931851E-3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input_499100!A$2</f>
        <v>499100</v>
      </c>
      <c r="B56" s="6">
        <v>937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ナポレオン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f ca="1">IFERROR(VLOOKUP(B56,input_499100!L:R,7,FALSE),VLOOKUP(tables_499100!C56,input_499100!A:H,8,FALSE))</f>
        <v>9300</v>
      </c>
      <c r="P56" s="46">
        <f t="shared" ca="1" si="3"/>
        <v>3.8749999999677081E-3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input_499100!A$2</f>
        <v>499100</v>
      </c>
      <c r="B57" s="6">
        <v>1012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45">
        <f ca="1">IFERROR(VLOOKUP(B57,input_499100!L:R,7,FALSE),VLOOKUP(tables_499100!C57,input_499100!A:H,8,FALSE))</f>
        <v>9300</v>
      </c>
      <c r="P57" s="46">
        <f t="shared" ca="1" si="3"/>
        <v>3.8749999999677081E-3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input_499100!A$2</f>
        <v>499100</v>
      </c>
      <c r="B58" s="6">
        <v>1026</v>
      </c>
      <c r="C58" s="7" t="str">
        <f t="shared" si="0"/>
        <v>Premium4R3less</v>
      </c>
      <c r="D58" s="7" t="str">
        <f t="shared" si="2"/>
        <v>Premium</v>
      </c>
      <c r="E58" s="7" t="str">
        <f>IF(COUNTIF('R6追加前'!A:A,B58)=0,IF(OR(I58="PremiumSS",I58="PremiumSSw"),"R5only","R3less"),"")</f>
        <v>R3less</v>
      </c>
      <c r="F58" s="7" t="str">
        <f>IF(COUNTIF('R6開放'!A:A,B58)&gt;0,"R6release","")</f>
        <v/>
      </c>
      <c r="G58" s="7"/>
      <c r="H58" s="7" t="str">
        <f>VLOOKUP(B58,[1]characters!$A:$C,3,FALSE)</f>
        <v>蝉丸</v>
      </c>
      <c r="I58" s="7" t="str">
        <f>VLOOKUP(B58,[1]characters!$A:$J,10,FALSE)</f>
        <v>PremiumS</v>
      </c>
      <c r="J58" s="7">
        <f>VLOOKUP(B58,[1]characters!$A:$I,9,FALSE)</f>
        <v>4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human</v>
      </c>
      <c r="N58" s="7" t="str">
        <f>VLOOKUP(B58,[1]characters!$A:$G,7,FALSE)</f>
        <v>男性</v>
      </c>
      <c r="O58" s="45">
        <f ca="1">IFERROR(VLOOKUP(B58,input_499100!L:R,7,FALSE),VLOOKUP(tables_499100!C58,input_499100!A:H,8,FALSE))</f>
        <v>79010.416670000006</v>
      </c>
      <c r="P58" s="46">
        <f t="shared" ca="1" si="3"/>
        <v>3.2921006945558995E-2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input_499100!A$2</f>
        <v>499100</v>
      </c>
      <c r="B59" s="6">
        <v>1027</v>
      </c>
      <c r="C59" s="7" t="str">
        <f t="shared" si="0"/>
        <v>Premium5R3less</v>
      </c>
      <c r="D59" s="7" t="str">
        <f t="shared" si="2"/>
        <v>Premium</v>
      </c>
      <c r="E59" s="7" t="str">
        <f>IF(COUNTIF('R6追加前'!A:A,B59)=0,IF(OR(I59="PremiumSS",I59="PremiumSSw"),"R5only","R3less"),"")</f>
        <v>R3less</v>
      </c>
      <c r="F59" s="7" t="str">
        <f>IF(COUNTIF('R6開放'!A:A,B59)&gt;0,"R6release","")</f>
        <v/>
      </c>
      <c r="G59" s="7"/>
      <c r="H59" s="7" t="str">
        <f>VLOOKUP(B59,[1]characters!$A:$C,3,FALSE)</f>
        <v>弾丸多重奏 蝉丸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attack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f ca="1">IFERROR(VLOOKUP(B59,input_499100!L:R,7,FALSE),VLOOKUP(tables_499100!C59,input_499100!A:H,8,FALSE))</f>
        <v>11562.5</v>
      </c>
      <c r="P59" s="46">
        <f t="shared" ca="1" si="3"/>
        <v>4.8177083332931851E-3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input_499100!A$2</f>
        <v>499100</v>
      </c>
      <c r="B60" s="6">
        <v>1067</v>
      </c>
      <c r="C60" s="7" t="str">
        <f t="shared" si="0"/>
        <v>Premium4R3less</v>
      </c>
      <c r="D60" s="7" t="str">
        <f t="shared" si="2"/>
        <v>Premium</v>
      </c>
      <c r="E60" s="7" t="str">
        <f>IF(COUNTIF('R6追加前'!A:A,B60)=0,IF(OR(I60="PremiumSS",I60="PremiumSSw"),"R5only","R3less"),"")</f>
        <v>R3less</v>
      </c>
      <c r="F60" s="7" t="str">
        <f>IF(COUNTIF('R6開放'!A:A,B60)&gt;0,"R6release","")</f>
        <v/>
      </c>
      <c r="G60" s="7"/>
      <c r="H60" s="7" t="str">
        <f>VLOOKUP(B60,[1]characters!$A:$C,3,FALSE)</f>
        <v>ウシュムガル</v>
      </c>
      <c r="I60" s="7" t="str">
        <f>VLOOKUP(B60,[1]characters!$A:$J,10,FALSE)</f>
        <v>PremiumS</v>
      </c>
      <c r="J60" s="7">
        <f>VLOOKUP(B60,[1]characters!$A:$I,9,FALSE)</f>
        <v>4</v>
      </c>
      <c r="K60" s="7" t="str">
        <f>VLOOKUP(B60,[1]characters!$A:$H,8,FALSE)</f>
        <v>red</v>
      </c>
      <c r="L60" s="7" t="str">
        <f>VLOOKUP(B60,[1]characters!$A:$K,11,FALSE)</f>
        <v>balance</v>
      </c>
      <c r="M60" s="7" t="str">
        <f>VLOOKUP(B60,[1]characters!$A:$M,13,FALSE)</f>
        <v>dragon</v>
      </c>
      <c r="N60" s="7" t="str">
        <f>VLOOKUP(B60,[1]characters!$A:$G,7,FALSE)</f>
        <v>男性</v>
      </c>
      <c r="O60" s="45">
        <f ca="1">IFERROR(VLOOKUP(B60,input_499100!L:R,7,FALSE),VLOOKUP(tables_499100!C60,input_499100!A:H,8,FALSE))</f>
        <v>79010.416670000006</v>
      </c>
      <c r="P60" s="46">
        <f t="shared" ca="1" si="3"/>
        <v>3.2921006945558995E-2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input_499100!A$2</f>
        <v>499100</v>
      </c>
      <c r="B61" s="6">
        <v>1068</v>
      </c>
      <c r="C61" s="7" t="str">
        <f t="shared" si="0"/>
        <v>Premium5R3less</v>
      </c>
      <c r="D61" s="7" t="str">
        <f t="shared" si="2"/>
        <v>Premium</v>
      </c>
      <c r="E61" s="7" t="str">
        <f>IF(COUNTIF('R6追加前'!A:A,B61)=0,IF(OR(I61="PremiumSS",I61="PremiumSSw"),"R5only","R3less"),"")</f>
        <v>R3less</v>
      </c>
      <c r="F61" s="7" t="str">
        <f>IF(COUNTIF('R6開放'!A:A,B61)&gt;0,"R6release","")</f>
        <v/>
      </c>
      <c r="G61" s="7"/>
      <c r="H61" s="7" t="str">
        <f>VLOOKUP(B61,[1]characters!$A:$C,3,FALSE)</f>
        <v>想母の羽龍 ウシュムガル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balance</v>
      </c>
      <c r="M61" s="7" t="str">
        <f>VLOOKUP(B61,[1]characters!$A:$M,13,FALSE)</f>
        <v>dragon</v>
      </c>
      <c r="N61" s="7" t="str">
        <f>VLOOKUP(B61,[1]characters!$A:$G,7,FALSE)</f>
        <v>男性</v>
      </c>
      <c r="O61" s="45">
        <f ca="1">IFERROR(VLOOKUP(B61,input_499100!L:R,7,FALSE),VLOOKUP(tables_499100!C61,input_499100!A:H,8,FALSE))</f>
        <v>11562.5</v>
      </c>
      <c r="P61" s="46">
        <f t="shared" ca="1" si="3"/>
        <v>4.8177083332931851E-3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input_499100!A$2</f>
        <v>499100</v>
      </c>
      <c r="B62" s="8">
        <v>1100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北斎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 t="str">
        <f>VLOOKUP(B62,[1]characters!$A:$G,7,FALSE)</f>
        <v>不明</v>
      </c>
      <c r="O62" s="45">
        <f ca="1">IFERROR(VLOOKUP(B62,input_499100!L:R,7,FALSE),VLOOKUP(tables_499100!C62,input_499100!A:H,8,FALSE))</f>
        <v>9300</v>
      </c>
      <c r="P62" s="46">
        <f t="shared" ca="1" si="3"/>
        <v>3.8749999999677081E-3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input_499100!A$2</f>
        <v>499100</v>
      </c>
      <c r="B63" s="8">
        <v>1137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諸葛亮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red</v>
      </c>
      <c r="L63" s="7" t="str">
        <f>VLOOKUP(B63,[1]characters!$A:$K,11,FALSE)</f>
        <v>technical</v>
      </c>
      <c r="M63" s="7" t="str">
        <f>VLOOKUP(B63,[1]characters!$A:$M,13,FALSE)</f>
        <v>samurai</v>
      </c>
      <c r="N63" s="7" t="str">
        <f>VLOOKUP(B63,[1]characters!$A:$G,7,FALSE)</f>
        <v>不明</v>
      </c>
      <c r="O63" s="45">
        <f ca="1">IFERROR(VLOOKUP(B63,input_499100!L:R,7,FALSE),VLOOKUP(tables_499100!C63,input_499100!A:H,8,FALSE))</f>
        <v>9300</v>
      </c>
      <c r="P63" s="46">
        <f t="shared" ca="1" si="3"/>
        <v>3.8749999999677081E-3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input_499100!A$2</f>
        <v>499100</v>
      </c>
      <c r="B64" s="8">
        <v>1151</v>
      </c>
      <c r="C64" s="7" t="str">
        <f t="shared" si="0"/>
        <v>Premium4R3less</v>
      </c>
      <c r="D64" s="7" t="str">
        <f t="shared" si="2"/>
        <v>Premium</v>
      </c>
      <c r="E64" s="7" t="str">
        <f>IF(COUNTIF('R6追加前'!A:A,B64)=0,IF(OR(I64="PremiumSS",I64="PremiumSSw"),"R5only","R3less"),"")</f>
        <v>R3less</v>
      </c>
      <c r="F64" s="7" t="str">
        <f>IF(COUNTIF('R6開放'!A:A,B64)&gt;0,"R6release","")</f>
        <v/>
      </c>
      <c r="G64" s="7"/>
      <c r="H64" s="7" t="str">
        <f>VLOOKUP(B64,[1]characters!$A:$C,3,FALSE)</f>
        <v>ガネーシャ</v>
      </c>
      <c r="I64" s="7" t="str">
        <f>VLOOKUP(B64,[1]characters!$A:$J,10,FALSE)</f>
        <v>PremiumS</v>
      </c>
      <c r="J64" s="7">
        <f>VLOOKUP(B64,[1]characters!$A:$I,9,FALSE)</f>
        <v>4</v>
      </c>
      <c r="K64" s="7" t="str">
        <f>VLOOKUP(B64,[1]characters!$A:$H,8,FALSE)</f>
        <v>red</v>
      </c>
      <c r="L64" s="7" t="str">
        <f>VLOOKUP(B64,[1]characters!$A:$K,11,FALSE)</f>
        <v>heal</v>
      </c>
      <c r="M64" s="7" t="str">
        <f>VLOOKUP(B64,[1]characters!$A:$M,13,FALSE)</f>
        <v>god</v>
      </c>
      <c r="N64" s="7" t="str">
        <f>VLOOKUP(B64,[1]characters!$A:$G,7,FALSE)</f>
        <v>不明</v>
      </c>
      <c r="O64" s="45">
        <f ca="1">IFERROR(VLOOKUP(B64,input_499100!L:R,7,FALSE),VLOOKUP(tables_499100!C64,input_499100!A:H,8,FALSE))</f>
        <v>79010.416670000006</v>
      </c>
      <c r="P64" s="46">
        <f t="shared" ca="1" si="3"/>
        <v>3.2921006945558995E-2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input_499100!A$2</f>
        <v>499100</v>
      </c>
      <c r="B65" s="8">
        <v>1152</v>
      </c>
      <c r="C65" s="7" t="str">
        <f t="shared" si="0"/>
        <v>Premium5R3less</v>
      </c>
      <c r="D65" s="7" t="str">
        <f t="shared" si="2"/>
        <v>Premium</v>
      </c>
      <c r="E65" s="7" t="str">
        <f>IF(COUNTIF('R6追加前'!A:A,B65)=0,IF(OR(I65="PremiumSS",I65="PremiumSSw"),"R5only","R3less"),"")</f>
        <v>R3less</v>
      </c>
      <c r="F65" s="7" t="str">
        <f>IF(COUNTIF('R6開放'!A:A,B65)&gt;0,"R6release","")</f>
        <v/>
      </c>
      <c r="G65" s="7"/>
      <c r="H65" s="7" t="str">
        <f>VLOOKUP(B65,[1]characters!$A:$C,3,FALSE)</f>
        <v>衆知の富益神 ガネーシャ</v>
      </c>
      <c r="I65" s="7" t="str">
        <f>VLOOKUP(B65,[1]characters!$A:$J,10,FALSE)</f>
        <v>PremiumS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heal</v>
      </c>
      <c r="M65" s="7" t="str">
        <f>VLOOKUP(B65,[1]characters!$A:$M,13,FALSE)</f>
        <v>god</v>
      </c>
      <c r="N65" s="7" t="str">
        <f>VLOOKUP(B65,[1]characters!$A:$G,7,FALSE)</f>
        <v>不明</v>
      </c>
      <c r="O65" s="45">
        <f ca="1">IFERROR(VLOOKUP(B65,input_499100!L:R,7,FALSE),VLOOKUP(tables_499100!C65,input_499100!A:H,8,FALSE))</f>
        <v>11562.5</v>
      </c>
      <c r="P65" s="46">
        <f t="shared" ca="1" si="3"/>
        <v>4.8177083332931851E-3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input_499100!A$2</f>
        <v>499100</v>
      </c>
      <c r="B66" s="6">
        <v>1208</v>
      </c>
      <c r="C66" s="7" t="str">
        <f t="shared" ref="C66:C76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ネメシス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god</v>
      </c>
      <c r="N66" s="7">
        <f>VLOOKUP(B66,[1]characters!$A:$G,7,FALSE)</f>
        <v>0</v>
      </c>
      <c r="O66" s="45">
        <f ca="1">IFERROR(VLOOKUP(B66,input_499100!L:R,7,FALSE),VLOOKUP(tables_499100!C66,input_499100!A:H,8,FALSE))</f>
        <v>9300</v>
      </c>
      <c r="P66" s="46">
        <f t="shared" ref="P66:P97" ca="1" si="5">O66/SUM(O:O)</f>
        <v>3.8749999999677081E-3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input_499100!A$2</f>
        <v>499100</v>
      </c>
      <c r="B67" s="6">
        <v>1224</v>
      </c>
      <c r="C67" s="7" t="str">
        <f t="shared" si="4"/>
        <v>Premium4R3less</v>
      </c>
      <c r="D67" s="7" t="str">
        <f t="shared" ref="D67:D76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セルバンテス</v>
      </c>
      <c r="I67" s="7" t="str">
        <f>VLOOKUP(B67,[1]characters!$A:$J,10,FALSE)</f>
        <v>PremiumS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IFERROR(VLOOKUP(B67,input_499100!L:R,7,FALSE),VLOOKUP(tables_499100!C67,input_499100!A:H,8,FALSE))</f>
        <v>79010.416670000006</v>
      </c>
      <c r="P67" s="46">
        <f t="shared" ca="1" si="5"/>
        <v>3.2921006945558995E-2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input_499100!A$2</f>
        <v>499100</v>
      </c>
      <c r="B68" s="6">
        <v>1225</v>
      </c>
      <c r="C68" s="7" t="str">
        <f t="shared" si="4"/>
        <v>Premium5R3less</v>
      </c>
      <c r="D68" s="7" t="str">
        <f t="shared" si="6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優柔なる風断者 セルバンテス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>
        <f>VLOOKUP(B68,[1]characters!$A:$G,7,FALSE)</f>
        <v>0</v>
      </c>
      <c r="O68" s="45">
        <f ca="1">IFERROR(VLOOKUP(B68,input_499100!L:R,7,FALSE),VLOOKUP(tables_499100!C68,input_499100!A:H,8,FALSE))</f>
        <v>11562.5</v>
      </c>
      <c r="P68" s="46">
        <f t="shared" ca="1" si="5"/>
        <v>4.8177083332931851E-3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input_499100!A$2</f>
        <v>499100</v>
      </c>
      <c r="B69" s="6">
        <v>1244</v>
      </c>
      <c r="C69" s="7" t="str">
        <f t="shared" si="4"/>
        <v>PremiumSS5R5only</v>
      </c>
      <c r="D69" s="7" t="str">
        <f t="shared" si="6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猿飛佐助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>
        <f>VLOOKUP(B69,[1]characters!$A:$G,7,FALSE)</f>
        <v>0</v>
      </c>
      <c r="O69" s="45">
        <f ca="1">IFERROR(VLOOKUP(B69,input_499100!L:R,7,FALSE),VLOOKUP(tables_499100!C69,input_499100!A:H,8,FALSE))</f>
        <v>9300</v>
      </c>
      <c r="P69" s="46">
        <f t="shared" ca="1" si="5"/>
        <v>3.8749999999677081E-3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input_499100!A$2</f>
        <v>499100</v>
      </c>
      <c r="B70" s="60">
        <v>484</v>
      </c>
      <c r="C70" s="7" t="str">
        <f t="shared" si="4"/>
        <v>PremiumSSS4R3less</v>
      </c>
      <c r="D70" s="7" t="str">
        <f t="shared" si="6"/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ラグランジュ</v>
      </c>
      <c r="I70" s="7" t="str">
        <f>VLOOKUP(B70,[1]characters!$A:$J,10,FALSE)</f>
        <v>PremiumSSS</v>
      </c>
      <c r="J70" s="7">
        <f>VLOOKUP(B70,[1]characters!$A:$I,9,FALSE)</f>
        <v>4</v>
      </c>
      <c r="K70" s="7" t="str">
        <f>VLOOKUP(B70,[1]characters!$A:$H,8,FALSE)</f>
        <v>red</v>
      </c>
      <c r="L70" s="7" t="str">
        <f>VLOOKUP(B70,[1]characters!$A:$K,11,FALSE)</f>
        <v>technical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>IFERROR(VLOOKUP(B70,input_499100!L:R,7,FALSE),VLOOKUP(tables_499100!C70,input_499100!A:H,8,FALSE))</f>
        <v>4000.0000000000005</v>
      </c>
      <c r="P70" s="46">
        <f t="shared" ca="1" si="5"/>
        <v>1.6666666666527779E-3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input_499100!A$2</f>
        <v>499100</v>
      </c>
      <c r="B71" s="60">
        <v>485</v>
      </c>
      <c r="C71" s="7" t="str">
        <f t="shared" si="4"/>
        <v>PremiumSSS5R3less</v>
      </c>
      <c r="D71" s="7" t="str">
        <f t="shared" si="6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超越自我 ラグランジュ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technical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>IFERROR(VLOOKUP(B71,input_499100!L:R,7,FALSE),VLOOKUP(tables_499100!C71,input_499100!A:H,8,FALSE))</f>
        <v>4000.0000000000005</v>
      </c>
      <c r="P71" s="46">
        <f t="shared" ca="1" si="5"/>
        <v>1.6666666666527779E-3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input_499100!A$2</f>
        <v>499100</v>
      </c>
      <c r="B72" s="60">
        <v>870</v>
      </c>
      <c r="C72" s="7" t="str">
        <f t="shared" si="4"/>
        <v>PremiumSSS5R3less</v>
      </c>
      <c r="D72" s="7" t="str">
        <f t="shared" si="6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フロイト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balance</v>
      </c>
      <c r="M72" s="7" t="str">
        <f>VLOOKUP(B72,[1]characters!$A:$M,13,FALSE)</f>
        <v>academia</v>
      </c>
      <c r="N72" s="7" t="str">
        <f>VLOOKUP(B72,[1]characters!$A:$G,7,FALSE)</f>
        <v>男性</v>
      </c>
      <c r="O72" s="45">
        <f>IFERROR(VLOOKUP(B72,input_499100!L:R,7,FALSE),VLOOKUP(tables_499100!C72,input_499100!A:H,8,FALSE))</f>
        <v>8000.0000000000009</v>
      </c>
      <c r="P72" s="46">
        <f t="shared" ca="1" si="5"/>
        <v>3.3333333333055559E-3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input_499100!A$2</f>
        <v>499100</v>
      </c>
      <c r="B73" s="90">
        <v>1109</v>
      </c>
      <c r="C73" s="7" t="str">
        <f t="shared" si="4"/>
        <v>PremiumSSS5R3less</v>
      </c>
      <c r="D73" s="7" t="str">
        <f t="shared" si="6"/>
        <v>PremiumSSS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セキ</v>
      </c>
      <c r="I73" s="7" t="str">
        <f>VLOOKUP(B73,[1]characters!$A:$J,10,FALSE)</f>
        <v>PremiumSSS</v>
      </c>
      <c r="J73" s="7">
        <f>VLOOKUP(B73,[1]characters!$A:$I,9,FALSE)</f>
        <v>5</v>
      </c>
      <c r="K73" s="7" t="str">
        <f>VLOOKUP(B73,[1]characters!$A:$H,8,FALSE)</f>
        <v>red</v>
      </c>
      <c r="L73" s="7" t="str">
        <f>VLOOKUP(B73,[1]characters!$A:$K,11,FALSE)</f>
        <v>technical</v>
      </c>
      <c r="M73" s="7" t="str">
        <f>VLOOKUP(B73,[1]characters!$A:$M,13,FALSE)</f>
        <v>academia</v>
      </c>
      <c r="N73" s="7" t="str">
        <f>VLOOKUP(B73,[1]characters!$A:$G,7,FALSE)</f>
        <v>不明</v>
      </c>
      <c r="O73" s="45">
        <f>IFERROR(VLOOKUP(B73,input_499100!L:R,7,FALSE),VLOOKUP(tables_499100!C73,input_499100!A:H,8,FALSE))</f>
        <v>8000.0000000000009</v>
      </c>
      <c r="P73" s="46">
        <f t="shared" ca="1" si="5"/>
        <v>3.3333333333055559E-3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input_499100!A$2</f>
        <v>499100</v>
      </c>
      <c r="B74" s="60">
        <v>486</v>
      </c>
      <c r="C74" s="7" t="str">
        <f t="shared" si="4"/>
        <v>PremiumSSS5R3less</v>
      </c>
      <c r="D74" s="7" t="str">
        <f t="shared" si="6"/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重なる世解 シュレディンガー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balance</v>
      </c>
      <c r="M74" s="7" t="str">
        <f>VLOOKUP(B74,[1]characters!$A:$M,13,FALSE)</f>
        <v>animal</v>
      </c>
      <c r="N74" s="7" t="str">
        <f>VLOOKUP(B74,[1]characters!$A:$G,7,FALSE)</f>
        <v>男性</v>
      </c>
      <c r="O74" s="45">
        <f>IFERROR(VLOOKUP(B74,input_499100!L:R,7,FALSE),VLOOKUP(tables_499100!C74,input_499100!A:H,8,FALSE))</f>
        <v>8000.0000000000009</v>
      </c>
      <c r="P74" s="46">
        <f t="shared" ca="1" si="5"/>
        <v>3.3333333333055559E-3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input_499100!A$2</f>
        <v>499100</v>
      </c>
      <c r="B75" s="60">
        <v>783</v>
      </c>
      <c r="C75" s="7" t="str">
        <f t="shared" si="4"/>
        <v>PremiumSSS5R3less</v>
      </c>
      <c r="D75" s="7" t="str">
        <f t="shared" si="6"/>
        <v>PremiumSSS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モールス</v>
      </c>
      <c r="I75" s="7" t="str">
        <f>VLOOKUP(B75,[1]characters!$A:$J,10,FALSE)</f>
        <v>PremiumSSS</v>
      </c>
      <c r="J75" s="7">
        <f>VLOOKUP(B75,[1]characters!$A:$I,9,FALSE)</f>
        <v>5</v>
      </c>
      <c r="K75" s="7" t="str">
        <f>VLOOKUP(B75,[1]characters!$A:$H,8,FALSE)</f>
        <v>red</v>
      </c>
      <c r="L75" s="7" t="str">
        <f>VLOOKUP(B75,[1]characters!$A:$K,11,FALSE)</f>
        <v>technical</v>
      </c>
      <c r="M75" s="7" t="str">
        <f>VLOOKUP(B75,[1]characters!$A:$M,13,FALSE)</f>
        <v>academia</v>
      </c>
      <c r="N75" s="7" t="str">
        <f>VLOOKUP(B75,[1]characters!$A:$G,7,FALSE)</f>
        <v>男性</v>
      </c>
      <c r="O75" s="45">
        <f>IFERROR(VLOOKUP(B75,input_499100!L:R,7,FALSE),VLOOKUP(tables_499100!C75,input_499100!A:H,8,FALSE))</f>
        <v>8000.0000000000009</v>
      </c>
      <c r="P75" s="46">
        <f t="shared" ca="1" si="5"/>
        <v>3.3333333333055559E-3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input_499100!A$2</f>
        <v>499100</v>
      </c>
      <c r="B76" s="87">
        <v>1234</v>
      </c>
      <c r="C76" s="7" t="str">
        <f t="shared" si="4"/>
        <v>PremiumSSS5R3less</v>
      </c>
      <c r="D76" s="7" t="str">
        <f t="shared" si="6"/>
        <v>PremiumSSS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ボーア</v>
      </c>
      <c r="I76" s="7" t="str">
        <f>VLOOKUP(B76,[1]characters!$A:$J,10,FALSE)</f>
        <v>PremiumSSS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attack</v>
      </c>
      <c r="M76" s="7" t="str">
        <f>VLOOKUP(B76,[1]characters!$A:$M,13,FALSE)</f>
        <v>academia</v>
      </c>
      <c r="N76" s="7">
        <f>VLOOKUP(B76,[1]characters!$A:$G,7,FALSE)</f>
        <v>0</v>
      </c>
      <c r="O76" s="45">
        <f>IFERROR(VLOOKUP(B76,input_499100!L:R,7,FALSE),VLOOKUP(tables_499100!C76,input_499100!A:H,8,FALSE))</f>
        <v>8000.0000000000009</v>
      </c>
      <c r="P76" s="46">
        <f t="shared" ca="1" si="5"/>
        <v>3.3333333333055559E-3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</sheetData>
  <autoFilter ref="A1:V76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7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O39" sqref="O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input_499100!A$2</f>
        <v>499100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IF(D2="Premium",2172,225)</f>
        <v>2172</v>
      </c>
      <c r="P2" s="46">
        <f>O2/SUM(O:O)</f>
        <v>4.5249999999999999E-2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input_499100!A$2</f>
        <v>499100</v>
      </c>
      <c r="B3" s="6">
        <v>180</v>
      </c>
      <c r="C3" s="7" t="str">
        <f t="shared" si="0"/>
        <v>Premium5</v>
      </c>
      <c r="D3" s="7" t="str">
        <f t="shared" ref="D3:D37" si="1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地獄の大門番 ケルベロス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ref="O3:O37" si="2">IF(D3="Premium",2172,225)</f>
        <v>2172</v>
      </c>
      <c r="P3" s="46">
        <f>O3/SUM(O:O)</f>
        <v>4.5249999999999999E-2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input_499100!A$2</f>
        <v>499100</v>
      </c>
      <c r="B4" s="6">
        <v>192</v>
      </c>
      <c r="C4" s="7" t="str">
        <f t="shared" si="0"/>
        <v>Premium5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荘厳なる始祖帝 卑弥呼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2"/>
        <v>2172</v>
      </c>
      <c r="P4" s="46">
        <f>O4/SUM(O:O)</f>
        <v>4.5249999999999999E-2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input_499100!A$2</f>
        <v>499100</v>
      </c>
      <c r="B5" s="6">
        <v>204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慟哭の巨焔 プロメテウス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f t="shared" si="2"/>
        <v>2172</v>
      </c>
      <c r="P5" s="46">
        <f>O5/SUM(O:O)</f>
        <v>4.5249999999999999E-2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input_499100!A$2</f>
        <v>499100</v>
      </c>
      <c r="B6" s="6">
        <v>216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百読の死導司書 アズラエル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女性</v>
      </c>
      <c r="O6" s="45">
        <f t="shared" si="2"/>
        <v>2172</v>
      </c>
      <c r="P6" s="46">
        <f>O6/SUM(O:O)</f>
        <v>4.5249999999999999E-2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input_499100!A$2</f>
        <v>499100</v>
      </c>
      <c r="B7" s="6">
        <v>228</v>
      </c>
      <c r="C7" s="7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殲滅の掃射砲 アレス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red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男性</v>
      </c>
      <c r="O7" s="45">
        <f t="shared" si="2"/>
        <v>2172</v>
      </c>
      <c r="P7" s="46">
        <f>O7/SUM(O:O)</f>
        <v>4.5249999999999999E-2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input_499100!A$2</f>
        <v>499100</v>
      </c>
      <c r="B8" s="6">
        <v>240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轟炎の天使 ウリエル・スレイヤー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2"/>
        <v>2172</v>
      </c>
      <c r="P8" s="46">
        <f>O8/SUM(O:O)</f>
        <v>4.5249999999999999E-2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input_499100!A$2</f>
        <v>499100</v>
      </c>
      <c r="B9" s="6">
        <v>252</v>
      </c>
      <c r="C9" s="7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強欲の沸騰 マンモン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 t="shared" si="2"/>
        <v>2172</v>
      </c>
      <c r="P9" s="46">
        <f>O9/SUM(O:O)</f>
        <v>4.5249999999999999E-2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input_499100!A$2</f>
        <v>499100</v>
      </c>
      <c r="B10" s="6">
        <v>321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巌鉄の烈志士 近藤勇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hp</v>
      </c>
      <c r="M10" s="7" t="str">
        <f>VLOOKUP(B10,[1]characters!$A:$M,13,FALSE)</f>
        <v>human</v>
      </c>
      <c r="N10" s="7" t="str">
        <f>VLOOKUP(B10,[1]characters!$A:$G,7,FALSE)</f>
        <v>男性</v>
      </c>
      <c r="O10" s="45">
        <f t="shared" si="2"/>
        <v>225</v>
      </c>
      <c r="P10" s="46">
        <f>O10/SUM(O:O)</f>
        <v>4.6874999999999998E-3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input_499100!A$2</f>
        <v>499100</v>
      </c>
      <c r="B11" s="6">
        <v>382</v>
      </c>
      <c r="C11" s="7" t="str">
        <f t="shared" si="0"/>
        <v>Premium5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激情の愛炎 バハムート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technical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 t="shared" si="2"/>
        <v>2172</v>
      </c>
      <c r="P11" s="46">
        <f>O11/SUM(O:O)</f>
        <v>4.5249999999999999E-2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input_499100!A$2</f>
        <v>499100</v>
      </c>
      <c r="B12" s="8">
        <v>391</v>
      </c>
      <c r="C12" s="7" t="str">
        <f t="shared" si="0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燕翼の旅人 親指姫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heal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225</v>
      </c>
      <c r="P12" s="46">
        <f>O12/SUM(O:O)</f>
        <v>4.6874999999999998E-3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input_499100!A$2</f>
        <v>499100</v>
      </c>
      <c r="B13" s="8">
        <v>402</v>
      </c>
      <c r="C13" s="7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天災の神狼 フェンリル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red</v>
      </c>
      <c r="L13" s="7" t="str">
        <f>VLOOKUP(B13,[1]characters!$A:$K,11,FALSE)</f>
        <v>attack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 t="shared" si="2"/>
        <v>2172</v>
      </c>
      <c r="P13" s="46">
        <f>O13/SUM(O:O)</f>
        <v>4.5249999999999999E-2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input_499100!A$2</f>
        <v>499100</v>
      </c>
      <c r="B14" s="6">
        <v>435</v>
      </c>
      <c r="C14" s="7" t="str">
        <f t="shared" si="0"/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曝弾の密偵 D.R.T.H.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t="shared" si="2"/>
        <v>225</v>
      </c>
      <c r="P14" s="46">
        <f>O14/SUM(O:O)</f>
        <v>4.6874999999999998E-3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input_499100!A$2</f>
        <v>499100</v>
      </c>
      <c r="B15" s="6">
        <v>464</v>
      </c>
      <c r="C15" s="7" t="str">
        <f t="shared" si="0"/>
        <v>Premium5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円熟の弾導 ガウェイン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t="shared" si="2"/>
        <v>2172</v>
      </c>
      <c r="P15" s="46">
        <f>O15/SUM(O:O)</f>
        <v>4.5249999999999999E-2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input_499100!A$2</f>
        <v>499100</v>
      </c>
      <c r="B16" s="10">
        <v>475</v>
      </c>
      <c r="C16" s="7" t="str">
        <f t="shared" si="0"/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f t="shared" si="2"/>
        <v>225</v>
      </c>
      <c r="P16" s="46">
        <f>O16/SUM(O:O)</f>
        <v>4.6874999999999998E-3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input_499100!A$2</f>
        <v>499100</v>
      </c>
      <c r="B17" s="11">
        <v>493</v>
      </c>
      <c r="C17" s="7" t="str">
        <f t="shared" si="0"/>
        <v>PremiumSS5</v>
      </c>
      <c r="D17" s="7" t="str">
        <f t="shared" si="1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跋扈の機脚 ブートレグ・ペロー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不明</v>
      </c>
      <c r="O17" s="45">
        <f t="shared" si="2"/>
        <v>225</v>
      </c>
      <c r="P17" s="46">
        <f>O17/SUM(O:O)</f>
        <v>4.6874999999999998E-3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input_499100!A$2</f>
        <v>499100</v>
      </c>
      <c r="B18" s="6">
        <v>560</v>
      </c>
      <c r="C18" s="7" t="str">
        <f t="shared" si="0"/>
        <v>premium5R3less</v>
      </c>
      <c r="D18" s="7" t="str">
        <f t="shared" si="1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暴骨炎舞の狂賢者 ユノ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t="shared" si="2"/>
        <v>2172</v>
      </c>
      <c r="P18" s="46">
        <f>O18/SUM(O:O)</f>
        <v>4.5249999999999999E-2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input_499100!A$2</f>
        <v>499100</v>
      </c>
      <c r="B19" s="6">
        <v>587</v>
      </c>
      <c r="C19" s="7" t="str">
        <f t="shared" si="0"/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原初の煉鋼巨刃 ユミル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machine</v>
      </c>
      <c r="N19" s="7" t="str">
        <f>VLOOKUP(B19,[1]characters!$A:$G,7,FALSE)</f>
        <v>不明</v>
      </c>
      <c r="O19" s="45">
        <f t="shared" si="2"/>
        <v>225</v>
      </c>
      <c r="P19" s="46">
        <f>O19/SUM(O:O)</f>
        <v>4.6874999999999998E-3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input_499100!A$2</f>
        <v>499100</v>
      </c>
      <c r="B20" s="10">
        <v>598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焼燃の情熱 ムスペルヘイム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45">
        <f t="shared" si="2"/>
        <v>2172</v>
      </c>
      <c r="P20" s="46">
        <f>O20/SUM(O:O)</f>
        <v>4.5249999999999999E-2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input_499100!A$2</f>
        <v>499100</v>
      </c>
      <c r="B21" s="6">
        <v>659</v>
      </c>
      <c r="C21" s="7" t="str">
        <f t="shared" si="0"/>
        <v>PremiumSS5</v>
      </c>
      <c r="D21" s="7" t="str">
        <f t="shared" si="1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跳梁する化猫 クルミ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attack</v>
      </c>
      <c r="M21" s="7" t="str">
        <f>VLOOKUP(B21,[1]characters!$A:$M,13,FALSE)</f>
        <v>animal</v>
      </c>
      <c r="N21" s="7" t="str">
        <f>VLOOKUP(B21,[1]characters!$A:$G,7,FALSE)</f>
        <v>女性</v>
      </c>
      <c r="O21" s="45">
        <f t="shared" si="2"/>
        <v>225</v>
      </c>
      <c r="P21" s="46">
        <f>O21/SUM(O:O)</f>
        <v>4.6874999999999998E-3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input_499100!A$2</f>
        <v>499100</v>
      </c>
      <c r="B22" s="6">
        <v>670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陽天の噴煙 アグニ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2172</v>
      </c>
      <c r="P22" s="46">
        <f>O22/SUM(O:O)</f>
        <v>4.5249999999999999E-2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input_499100!A$2</f>
        <v>499100</v>
      </c>
      <c r="B23" s="6">
        <v>729</v>
      </c>
      <c r="C23" s="7" t="str">
        <f t="shared" si="0"/>
        <v>Premium5R3less</v>
      </c>
      <c r="D23" s="7" t="str">
        <f t="shared" si="1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暗厄の双刀 井伊直虎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t="shared" si="2"/>
        <v>2172</v>
      </c>
      <c r="P23" s="46">
        <f>O23/SUM(O:O)</f>
        <v>4.5249999999999999E-2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input_499100!A$2</f>
        <v>499100</v>
      </c>
      <c r="B24" s="6">
        <v>742</v>
      </c>
      <c r="C24" s="7" t="str">
        <f t="shared" si="0"/>
        <v>PremiumSS5R5only</v>
      </c>
      <c r="D24" s="7" t="str">
        <f t="shared" si="1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f t="shared" si="2"/>
        <v>225</v>
      </c>
      <c r="P24" s="46">
        <f>O24/SUM(O:O)</f>
        <v>4.6874999999999998E-3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input_499100!A$2</f>
        <v>499100</v>
      </c>
      <c r="B25" s="6">
        <v>771</v>
      </c>
      <c r="C25" s="7" t="str">
        <f t="shared" si="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天織羽鶴 ハヅル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45">
        <f t="shared" si="2"/>
        <v>225</v>
      </c>
      <c r="P25" s="46">
        <f>O25/SUM(O:O)</f>
        <v>4.6874999999999998E-3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input_499100!A$2</f>
        <v>499100</v>
      </c>
      <c r="B26" s="6">
        <v>848</v>
      </c>
      <c r="C26" s="7" t="str">
        <f t="shared" si="0"/>
        <v>PremiumSS5R5only</v>
      </c>
      <c r="D26" s="7" t="str">
        <f t="shared" si="1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メタトロン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男性</v>
      </c>
      <c r="O26" s="45">
        <f t="shared" si="2"/>
        <v>225</v>
      </c>
      <c r="P26" s="46">
        <f>O26/SUM(O:O)</f>
        <v>4.6874999999999998E-3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input_499100!A$2</f>
        <v>499100</v>
      </c>
      <c r="B27" s="6">
        <v>863</v>
      </c>
      <c r="C27" s="7" t="str">
        <f t="shared" si="0"/>
        <v>Premium5R3less</v>
      </c>
      <c r="D27" s="7" t="str">
        <f t="shared" si="1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歓揮の楽団長 ブレーメン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animal</v>
      </c>
      <c r="N27" s="7" t="str">
        <f>VLOOKUP(B27,[1]characters!$A:$G,7,FALSE)</f>
        <v>男性</v>
      </c>
      <c r="O27" s="45">
        <f t="shared" si="2"/>
        <v>2172</v>
      </c>
      <c r="P27" s="46">
        <f>O27/SUM(O:O)</f>
        <v>4.5249999999999999E-2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input_499100!A$2</f>
        <v>499100</v>
      </c>
      <c r="B28" s="6">
        <v>937</v>
      </c>
      <c r="C28" s="7" t="str">
        <f t="shared" si="0"/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ナポレオン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 t="shared" si="2"/>
        <v>225</v>
      </c>
      <c r="P28" s="46">
        <f>O28/SUM(O:O)</f>
        <v>4.6874999999999998E-3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input_499100!A$2</f>
        <v>499100</v>
      </c>
      <c r="B29" s="6">
        <v>1012</v>
      </c>
      <c r="C29" s="7" t="str">
        <f t="shared" si="0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ラー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balance</v>
      </c>
      <c r="M29" s="7" t="str">
        <f>VLOOKUP(B29,[1]characters!$A:$M,13,FALSE)</f>
        <v>god</v>
      </c>
      <c r="N29" s="7" t="str">
        <f>VLOOKUP(B29,[1]characters!$A:$G,7,FALSE)</f>
        <v>男性</v>
      </c>
      <c r="O29" s="45">
        <f t="shared" si="2"/>
        <v>225</v>
      </c>
      <c r="P29" s="46">
        <f>O29/SUM(O:O)</f>
        <v>4.6874999999999998E-3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input_499100!A$2</f>
        <v>499100</v>
      </c>
      <c r="B30" s="6">
        <v>1027</v>
      </c>
      <c r="C30" s="7" t="str">
        <f t="shared" si="0"/>
        <v>Premium5R3less</v>
      </c>
      <c r="D30" s="7" t="str">
        <f t="shared" si="1"/>
        <v>Premium</v>
      </c>
      <c r="E30" s="7" t="str">
        <f>IF(COUNTIF('R6追加前'!A:A,B30)=0,IF(OR(I30="PremiumSS",I30="PremiumSSw"),"R5only","R3less"),"")</f>
        <v>R3less</v>
      </c>
      <c r="F30" s="7" t="str">
        <f>IF(COUNTIF('R6開放'!A:A,B30)&gt;0,"R6release","")</f>
        <v/>
      </c>
      <c r="G30" s="7"/>
      <c r="H30" s="7" t="str">
        <f>VLOOKUP(B30,[1]characters!$A:$C,3,FALSE)</f>
        <v>弾丸多重奏 蝉丸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human</v>
      </c>
      <c r="N30" s="7" t="str">
        <f>VLOOKUP(B30,[1]characters!$A:$G,7,FALSE)</f>
        <v>男性</v>
      </c>
      <c r="O30" s="45">
        <f t="shared" si="2"/>
        <v>2172</v>
      </c>
      <c r="P30" s="46">
        <f>O30/SUM(O:O)</f>
        <v>4.5249999999999999E-2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input_499100!A$2</f>
        <v>499100</v>
      </c>
      <c r="B31" s="6">
        <v>1068</v>
      </c>
      <c r="C31" s="7" t="str">
        <f t="shared" si="0"/>
        <v>Premium5R3less</v>
      </c>
      <c r="D31" s="7" t="str">
        <f t="shared" si="1"/>
        <v>Premium</v>
      </c>
      <c r="E31" s="7" t="str">
        <f>IF(COUNTIF('R6追加前'!A:A,B31)=0,IF(OR(I31="PremiumSS",I31="PremiumSSw"),"R5only","R3less"),"")</f>
        <v>R3less</v>
      </c>
      <c r="F31" s="7" t="str">
        <f>IF(COUNTIF('R6開放'!A:A,B31)&gt;0,"R6release","")</f>
        <v/>
      </c>
      <c r="G31" s="7"/>
      <c r="H31" s="7" t="str">
        <f>VLOOKUP(B31,[1]characters!$A:$C,3,FALSE)</f>
        <v>想母の羽龍 ウシュムガル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dragon</v>
      </c>
      <c r="N31" s="7" t="str">
        <f>VLOOKUP(B31,[1]characters!$A:$G,7,FALSE)</f>
        <v>男性</v>
      </c>
      <c r="O31" s="45">
        <f t="shared" si="2"/>
        <v>2172</v>
      </c>
      <c r="P31" s="46">
        <f>O31/SUM(O:O)</f>
        <v>4.5249999999999999E-2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input_499100!A$2</f>
        <v>499100</v>
      </c>
      <c r="B32" s="6">
        <v>1100</v>
      </c>
      <c r="C32" s="7" t="str">
        <f t="shared" si="0"/>
        <v>PremiumSS5R5only</v>
      </c>
      <c r="D32" s="7" t="str">
        <f t="shared" si="1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北斎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attack</v>
      </c>
      <c r="M32" s="7" t="str">
        <f>VLOOKUP(B32,[1]characters!$A:$M,13,FALSE)</f>
        <v>human</v>
      </c>
      <c r="N32" s="7" t="str">
        <f>VLOOKUP(B32,[1]characters!$A:$G,7,FALSE)</f>
        <v>不明</v>
      </c>
      <c r="O32" s="45">
        <f t="shared" si="2"/>
        <v>225</v>
      </c>
      <c r="P32" s="46">
        <f>O32/SUM(O:O)</f>
        <v>4.6874999999999998E-3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input_499100!A$2</f>
        <v>499100</v>
      </c>
      <c r="B33" s="6">
        <v>1137</v>
      </c>
      <c r="C33" s="7" t="str">
        <f t="shared" si="0"/>
        <v>PremiumSS5R5only</v>
      </c>
      <c r="D33" s="7" t="str">
        <f t="shared" si="1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諸葛亮</v>
      </c>
      <c r="I33" s="7" t="str">
        <f>VLOOKUP(B33,[1]characters!$A:$J,10,FALSE)</f>
        <v>PremiumSSw</v>
      </c>
      <c r="J33" s="7">
        <f>VLOOKUP(B33,[1]characters!$A:$I,9,FALSE)</f>
        <v>5</v>
      </c>
      <c r="K33" s="7" t="str">
        <f>VLOOKUP(B33,[1]characters!$A:$H,8,FALSE)</f>
        <v>red</v>
      </c>
      <c r="L33" s="7" t="str">
        <f>VLOOKUP(B33,[1]characters!$A:$K,11,FALSE)</f>
        <v>technical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45">
        <f t="shared" si="2"/>
        <v>225</v>
      </c>
      <c r="P33" s="46">
        <f>O33/SUM(O:O)</f>
        <v>4.6874999999999998E-3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input_499100!A$2</f>
        <v>499100</v>
      </c>
      <c r="B34" s="6">
        <v>1152</v>
      </c>
      <c r="C34" s="7" t="str">
        <f t="shared" si="0"/>
        <v>Premium5R3less</v>
      </c>
      <c r="D34" s="7" t="str">
        <f t="shared" si="1"/>
        <v>Premium</v>
      </c>
      <c r="E34" s="7" t="str">
        <f>IF(COUNTIF('R6追加前'!A:A,B34)=0,IF(OR(I34="PremiumSS",I34="PremiumSSw"),"R5only","R3less"),"")</f>
        <v>R3less</v>
      </c>
      <c r="F34" s="7" t="str">
        <f>IF(COUNTIF('R6開放'!A:A,B34)&gt;0,"R6release","")</f>
        <v/>
      </c>
      <c r="G34" s="7"/>
      <c r="H34" s="7" t="str">
        <f>VLOOKUP(B34,[1]characters!$A:$C,3,FALSE)</f>
        <v>衆知の富益神 ガネーシャ</v>
      </c>
      <c r="I34" s="7" t="str">
        <f>VLOOKUP(B34,[1]characters!$A:$J,10,FALSE)</f>
        <v>PremiumS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god</v>
      </c>
      <c r="N34" s="7" t="str">
        <f>VLOOKUP(B34,[1]characters!$A:$G,7,FALSE)</f>
        <v>不明</v>
      </c>
      <c r="O34" s="45">
        <f t="shared" si="2"/>
        <v>2172</v>
      </c>
      <c r="P34" s="46">
        <f>O34/SUM(O:O)</f>
        <v>4.5249999999999999E-2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input_499100!A$2</f>
        <v>499100</v>
      </c>
      <c r="B35" s="6">
        <v>1208</v>
      </c>
      <c r="C35" s="7" t="str">
        <f t="shared" si="0"/>
        <v>PremiumSS5R5only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ネメシス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hp</v>
      </c>
      <c r="M35" s="7" t="str">
        <f>VLOOKUP(B35,[1]characters!$A:$M,13,FALSE)</f>
        <v>god</v>
      </c>
      <c r="N35" s="7">
        <f>VLOOKUP(B35,[1]characters!$A:$G,7,FALSE)</f>
        <v>0</v>
      </c>
      <c r="O35" s="45">
        <f t="shared" si="2"/>
        <v>225</v>
      </c>
      <c r="P35" s="46">
        <f>O35/SUM(O:O)</f>
        <v>4.6874999999999998E-3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input_499100!A$2</f>
        <v>499100</v>
      </c>
      <c r="B36" s="6">
        <v>1225</v>
      </c>
      <c r="C36" s="7" t="str">
        <f t="shared" si="0"/>
        <v>Premium5R3less</v>
      </c>
      <c r="D36" s="7" t="str">
        <f t="shared" si="1"/>
        <v>Premium</v>
      </c>
      <c r="E36" s="7" t="str">
        <f>IF(COUNTIF('R6追加前'!A:A,B36)=0,IF(OR(I36="PremiumSS",I36="PremiumSSw"),"R5only","R3less"),"")</f>
        <v>R3less</v>
      </c>
      <c r="F36" s="7" t="str">
        <f>IF(COUNTIF('R6開放'!A:A,B36)&gt;0,"R6release","")</f>
        <v/>
      </c>
      <c r="G36" s="7"/>
      <c r="H36" s="7" t="str">
        <f>VLOOKUP(B36,[1]characters!$A:$C,3,FALSE)</f>
        <v>優柔なる風断者 セルバンテス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45">
        <f t="shared" si="2"/>
        <v>2172</v>
      </c>
      <c r="P36" s="46">
        <f>O36/SUM(O:O)</f>
        <v>4.5249999999999999E-2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input_499100!A$2</f>
        <v>499100</v>
      </c>
      <c r="B37" s="6">
        <v>1244</v>
      </c>
      <c r="C37" s="7" t="str">
        <f t="shared" si="0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猿飛佐助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red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>
        <f>VLOOKUP(B37,[1]characters!$A:$G,7,FALSE)</f>
        <v>0</v>
      </c>
      <c r="O37" s="45">
        <f t="shared" si="2"/>
        <v>225</v>
      </c>
      <c r="P37" s="46">
        <f>O37/SUM(O:O)</f>
        <v>4.6874999999999998E-3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input_499100!A$2</f>
        <v>499100</v>
      </c>
      <c r="B38" s="60">
        <v>485</v>
      </c>
      <c r="C38" s="7" t="str">
        <f t="shared" ref="C38:C43" si="3">D38&amp;J38&amp;E38&amp;F38&amp;G38</f>
        <v>PremiumSSS5R3less</v>
      </c>
      <c r="D38" s="7" t="str">
        <f t="shared" ref="D38:D43" si="4">IF(OR(I38="PremiumSS",I38="PremiumSSw"),"PremiumSS",IF(I38="PremiumSSS",I38,IF(I38="PremiumW",IF(J38=5,"premium",I38),"Premium")))</f>
        <v>PremiumSSS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超越自我 ラグランジュ</v>
      </c>
      <c r="I38" s="7" t="str">
        <f>VLOOKUP(B38,[1]characters!$A:$J,10,FALSE)</f>
        <v>PremiumSSS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v>160</v>
      </c>
      <c r="P38" s="46">
        <f>O38/SUM(O:O)</f>
        <v>3.3333333333333335E-3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input_499100!A$2</f>
        <v>499100</v>
      </c>
      <c r="B39" s="60">
        <v>870</v>
      </c>
      <c r="C39" s="7" t="str">
        <f t="shared" si="3"/>
        <v>PremiumSSS5R3less</v>
      </c>
      <c r="D39" s="7" t="str">
        <f t="shared" si="4"/>
        <v>PremiumSSS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フロイト</v>
      </c>
      <c r="I39" s="7" t="str">
        <f>VLOOKUP(B39,[1]characters!$A:$J,10,FALSE)</f>
        <v>PremiumSSS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balance</v>
      </c>
      <c r="M39" s="7" t="str">
        <f>VLOOKUP(B39,[1]characters!$A:$M,13,FALSE)</f>
        <v>academia</v>
      </c>
      <c r="N39" s="7" t="str">
        <f>VLOOKUP(B39,[1]characters!$A:$G,7,FALSE)</f>
        <v>男性</v>
      </c>
      <c r="O39" s="45">
        <v>160</v>
      </c>
      <c r="P39" s="46">
        <f>O39/SUM(O:O)</f>
        <v>3.3333333333333335E-3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input_499100!A$2</f>
        <v>499100</v>
      </c>
      <c r="B40" s="90">
        <v>1109</v>
      </c>
      <c r="C40" s="7" t="str">
        <f t="shared" si="3"/>
        <v>PremiumSSS5R3less</v>
      </c>
      <c r="D40" s="7" t="str">
        <f t="shared" si="4"/>
        <v>PremiumSSS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セキ</v>
      </c>
      <c r="I40" s="7" t="str">
        <f>VLOOKUP(B40,[1]characters!$A:$J,10,FALSE)</f>
        <v>PremiumSSS</v>
      </c>
      <c r="J40" s="7">
        <f>VLOOKUP(B40,[1]characters!$A:$I,9,FALSE)</f>
        <v>5</v>
      </c>
      <c r="K40" s="7" t="str">
        <f>VLOOKUP(B40,[1]characters!$A:$H,8,FALSE)</f>
        <v>red</v>
      </c>
      <c r="L40" s="7" t="str">
        <f>VLOOKUP(B40,[1]characters!$A:$K,11,FALSE)</f>
        <v>technical</v>
      </c>
      <c r="M40" s="7" t="str">
        <f>VLOOKUP(B40,[1]characters!$A:$M,13,FALSE)</f>
        <v>academia</v>
      </c>
      <c r="N40" s="7" t="str">
        <f>VLOOKUP(B40,[1]characters!$A:$G,7,FALSE)</f>
        <v>不明</v>
      </c>
      <c r="O40" s="45">
        <v>160</v>
      </c>
      <c r="P40" s="46">
        <f>O40/SUM(O:O)</f>
        <v>3.3333333333333335E-3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input_499100!A$2</f>
        <v>499100</v>
      </c>
      <c r="B41" s="60">
        <v>486</v>
      </c>
      <c r="C41" s="7" t="str">
        <f t="shared" si="3"/>
        <v>PremiumSSS5R3less</v>
      </c>
      <c r="D41" s="7" t="str">
        <f t="shared" si="4"/>
        <v>PremiumSSS</v>
      </c>
      <c r="E41" s="7" t="str">
        <f>IF(COUNTIF('R6追加前'!A:A,B41)=0,IF(OR(I41="PremiumSS",I41="PremiumSSw"),"R5only","R3less"),"")</f>
        <v>R3less</v>
      </c>
      <c r="F41" s="7" t="str">
        <f>IF(COUNTIF('R6開放'!A:A,B41)&gt;0,"R6release","")</f>
        <v/>
      </c>
      <c r="G41" s="7"/>
      <c r="H41" s="7" t="str">
        <f>VLOOKUP(B41,[1]characters!$A:$C,3,FALSE)</f>
        <v>重なる世解 シュレディンガー</v>
      </c>
      <c r="I41" s="7" t="str">
        <f>VLOOKUP(B41,[1]characters!$A:$J,10,FALSE)</f>
        <v>PremiumSSS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animal</v>
      </c>
      <c r="N41" s="7" t="str">
        <f>VLOOKUP(B41,[1]characters!$A:$G,7,FALSE)</f>
        <v>男性</v>
      </c>
      <c r="O41" s="45">
        <v>160</v>
      </c>
      <c r="P41" s="46">
        <f>O41/SUM(O:O)</f>
        <v>3.3333333333333335E-3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input_499100!A$2</f>
        <v>499100</v>
      </c>
      <c r="B42" s="60">
        <v>783</v>
      </c>
      <c r="C42" s="7" t="str">
        <f t="shared" si="3"/>
        <v>PremiumSSS5R3less</v>
      </c>
      <c r="D42" s="7" t="str">
        <f t="shared" si="4"/>
        <v>PremiumSSS</v>
      </c>
      <c r="E42" s="7" t="str">
        <f>IF(COUNTIF('R6追加前'!A:A,B42)=0,IF(OR(I42="PremiumSS",I42="PremiumSSw"),"R5only","R3less"),"")</f>
        <v>R3less</v>
      </c>
      <c r="F42" s="7" t="str">
        <f>IF(COUNTIF('R6開放'!A:A,B42)&gt;0,"R6release","")</f>
        <v/>
      </c>
      <c r="G42" s="7"/>
      <c r="H42" s="7" t="str">
        <f>VLOOKUP(B42,[1]characters!$A:$C,3,FALSE)</f>
        <v>モールス</v>
      </c>
      <c r="I42" s="7" t="str">
        <f>VLOOKUP(B42,[1]characters!$A:$J,10,FALSE)</f>
        <v>PremiumSSS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technical</v>
      </c>
      <c r="M42" s="7" t="str">
        <f>VLOOKUP(B42,[1]characters!$A:$M,13,FALSE)</f>
        <v>academia</v>
      </c>
      <c r="N42" s="7" t="str">
        <f>VLOOKUP(B42,[1]characters!$A:$G,7,FALSE)</f>
        <v>男性</v>
      </c>
      <c r="O42" s="45">
        <v>160</v>
      </c>
      <c r="P42" s="46">
        <f>O42/SUM(O:O)</f>
        <v>3.3333333333333335E-3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input_499100!A$2</f>
        <v>499100</v>
      </c>
      <c r="B43" s="87">
        <v>1234</v>
      </c>
      <c r="C43" s="7" t="str">
        <f t="shared" si="3"/>
        <v>PremiumSSS5R3less</v>
      </c>
      <c r="D43" s="7" t="str">
        <f t="shared" si="4"/>
        <v>PremiumSSS</v>
      </c>
      <c r="E43" s="7" t="str">
        <f>IF(COUNTIF('R6追加前'!A:A,B43)=0,IF(OR(I43="PremiumSS",I43="PremiumSSw"),"R5only","R3less"),"")</f>
        <v>R3less</v>
      </c>
      <c r="F43" s="7" t="str">
        <f>IF(COUNTIF('R6開放'!A:A,B43)&gt;0,"R6release","")</f>
        <v/>
      </c>
      <c r="G43" s="7"/>
      <c r="H43" s="7" t="str">
        <f>VLOOKUP(B43,[1]characters!$A:$C,3,FALSE)</f>
        <v>ボーア</v>
      </c>
      <c r="I43" s="7" t="str">
        <f>VLOOKUP(B43,[1]characters!$A:$J,10,FALSE)</f>
        <v>PremiumSSS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academia</v>
      </c>
      <c r="N43" s="7">
        <f>VLOOKUP(B43,[1]characters!$A:$G,7,FALSE)</f>
        <v>0</v>
      </c>
      <c r="O43" s="45">
        <v>160</v>
      </c>
      <c r="P43" s="46">
        <f>O43/SUM(O:O)</f>
        <v>3.3333333333333335E-3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E44" s="1">
        <f>COUNTIF(D:D,"Premium")</f>
        <v>20</v>
      </c>
      <c r="F44" s="1">
        <f>E47*0.905/E44</f>
        <v>2172</v>
      </c>
    </row>
    <row r="45" spans="1:22" ht="21" customHeight="1" x14ac:dyDescent="0.15">
      <c r="E45" s="1">
        <f>COUNTIF(D:D,"PremiumSS")</f>
        <v>16</v>
      </c>
      <c r="F45" s="1">
        <f>E47*0.075/E45</f>
        <v>225</v>
      </c>
    </row>
    <row r="46" spans="1:22" ht="21" customHeight="1" x14ac:dyDescent="0.15">
      <c r="E46" s="1">
        <v>6</v>
      </c>
      <c r="F46" s="1">
        <f>E47*0.02/E46</f>
        <v>160</v>
      </c>
    </row>
    <row r="47" spans="1:22" ht="21" customHeight="1" x14ac:dyDescent="0.15">
      <c r="E47" s="1">
        <f>E44*E45*E46*25</f>
        <v>48000</v>
      </c>
      <c r="F47" s="1">
        <f>GCD(F44,F45,F46)</f>
        <v>1</v>
      </c>
    </row>
  </sheetData>
  <autoFilter ref="A1:V3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input_499010</vt:lpstr>
      <vt:lpstr>tables_499010</vt:lpstr>
      <vt:lpstr>input_499100</vt:lpstr>
      <vt:lpstr>tables_499100</vt:lpstr>
      <vt:lpstr>tables_settle_499100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2016-12-22T14:11:12Z</dcterms:modified>
</cp:coreProperties>
</file>