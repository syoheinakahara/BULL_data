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tables_7306" sheetId="159" r:id="rId4"/>
    <sheet name="R6追加前" sheetId="111" r:id="rId5"/>
    <sheet name="R6開放" sheetId="112" r:id="rId6"/>
  </sheets>
  <externalReferences>
    <externalReference r:id="rId7"/>
  </externalReferences>
  <definedNames>
    <definedName name="_xlnm._FilterDatabase" localSheetId="3" hidden="1">tables_7306!$A$1:$V$1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75" i="159" l="1"/>
  <c r="D75" i="159"/>
  <c r="J75" i="159"/>
  <c r="E75" i="159"/>
  <c r="F75" i="159"/>
  <c r="C75" i="159"/>
  <c r="H75" i="159"/>
  <c r="K75" i="159"/>
  <c r="L75" i="159"/>
  <c r="M75" i="159"/>
  <c r="N75" i="159"/>
  <c r="P75" i="159"/>
  <c r="I76" i="159"/>
  <c r="D76" i="159"/>
  <c r="J76" i="159"/>
  <c r="E76" i="159"/>
  <c r="F76" i="159"/>
  <c r="C76" i="159"/>
  <c r="H76" i="159"/>
  <c r="K76" i="159"/>
  <c r="L76" i="159"/>
  <c r="M76" i="159"/>
  <c r="N76" i="159"/>
  <c r="P76" i="159"/>
  <c r="I77" i="159"/>
  <c r="D77" i="159"/>
  <c r="J77" i="159"/>
  <c r="E77" i="159"/>
  <c r="F77" i="159"/>
  <c r="C77" i="159"/>
  <c r="H77" i="159"/>
  <c r="K77" i="159"/>
  <c r="L77" i="159"/>
  <c r="M77" i="159"/>
  <c r="N77" i="159"/>
  <c r="P77" i="159"/>
  <c r="I72" i="159"/>
  <c r="D72" i="159"/>
  <c r="J72" i="159"/>
  <c r="E72" i="159"/>
  <c r="F72" i="159"/>
  <c r="C72" i="159"/>
  <c r="H72" i="159"/>
  <c r="K72" i="159"/>
  <c r="L72" i="159"/>
  <c r="M72" i="159"/>
  <c r="N72" i="159"/>
  <c r="P72" i="159"/>
  <c r="I73" i="159"/>
  <c r="D73" i="159"/>
  <c r="J73" i="159"/>
  <c r="E73" i="159"/>
  <c r="F73" i="159"/>
  <c r="C73" i="159"/>
  <c r="H73" i="159"/>
  <c r="K73" i="159"/>
  <c r="L73" i="159"/>
  <c r="M73" i="159"/>
  <c r="N73" i="159"/>
  <c r="P73" i="159"/>
  <c r="I74" i="159"/>
  <c r="D74" i="159"/>
  <c r="J74" i="159"/>
  <c r="E74" i="159"/>
  <c r="F74" i="159"/>
  <c r="C74" i="159"/>
  <c r="H74" i="159"/>
  <c r="K74" i="159"/>
  <c r="L74" i="159"/>
  <c r="M74" i="159"/>
  <c r="N74" i="159"/>
  <c r="P74" i="159"/>
  <c r="C4" i="103"/>
  <c r="E4" i="103"/>
  <c r="C3" i="103"/>
  <c r="E3" i="103"/>
  <c r="I71" i="159"/>
  <c r="D71" i="159"/>
  <c r="J71" i="159"/>
  <c r="E71" i="159"/>
  <c r="F71" i="159"/>
  <c r="C71" i="159"/>
  <c r="H71" i="159"/>
  <c r="K71" i="159"/>
  <c r="L71" i="159"/>
  <c r="M71" i="159"/>
  <c r="N71" i="159"/>
  <c r="P71" i="159"/>
  <c r="I7" i="159"/>
  <c r="D7" i="159"/>
  <c r="J7" i="159"/>
  <c r="E7" i="159"/>
  <c r="F7" i="159"/>
  <c r="C7" i="159"/>
  <c r="H7" i="159"/>
  <c r="K7" i="159"/>
  <c r="L7" i="159"/>
  <c r="M7" i="159"/>
  <c r="N7" i="159"/>
  <c r="P7" i="159"/>
  <c r="I8" i="159"/>
  <c r="D8" i="159"/>
  <c r="J8" i="159"/>
  <c r="E8" i="159"/>
  <c r="F8" i="159"/>
  <c r="C8" i="159"/>
  <c r="H8" i="159"/>
  <c r="K8" i="159"/>
  <c r="L8" i="159"/>
  <c r="M8" i="159"/>
  <c r="N8" i="159"/>
  <c r="P8" i="159"/>
  <c r="I9" i="159"/>
  <c r="D9" i="159"/>
  <c r="J9" i="159"/>
  <c r="E9" i="159"/>
  <c r="F9" i="159"/>
  <c r="C9" i="159"/>
  <c r="H9" i="159"/>
  <c r="K9" i="159"/>
  <c r="L9" i="159"/>
  <c r="M9" i="159"/>
  <c r="N9" i="159"/>
  <c r="P9" i="159"/>
  <c r="I10" i="159"/>
  <c r="D10" i="159"/>
  <c r="J10" i="159"/>
  <c r="E10" i="159"/>
  <c r="F10" i="159"/>
  <c r="C10" i="159"/>
  <c r="H10" i="159"/>
  <c r="K10" i="159"/>
  <c r="L10" i="159"/>
  <c r="M10" i="159"/>
  <c r="N10" i="159"/>
  <c r="P10" i="159"/>
  <c r="I11" i="159"/>
  <c r="D11" i="159"/>
  <c r="J11" i="159"/>
  <c r="E11" i="159"/>
  <c r="F11" i="159"/>
  <c r="C11" i="159"/>
  <c r="H11" i="159"/>
  <c r="K11" i="159"/>
  <c r="L11" i="159"/>
  <c r="M11" i="159"/>
  <c r="N11" i="159"/>
  <c r="P11" i="159"/>
  <c r="I12" i="159"/>
  <c r="D12" i="159"/>
  <c r="J12" i="159"/>
  <c r="E12" i="159"/>
  <c r="F12" i="159"/>
  <c r="C12" i="159"/>
  <c r="H12" i="159"/>
  <c r="K12" i="159"/>
  <c r="L12" i="159"/>
  <c r="M12" i="159"/>
  <c r="N12" i="159"/>
  <c r="P12" i="159"/>
  <c r="I13" i="159"/>
  <c r="D13" i="159"/>
  <c r="J13" i="159"/>
  <c r="E13" i="159"/>
  <c r="F13" i="159"/>
  <c r="C13" i="159"/>
  <c r="H13" i="159"/>
  <c r="K13" i="159"/>
  <c r="L13" i="159"/>
  <c r="M13" i="159"/>
  <c r="N13" i="159"/>
  <c r="P13" i="159"/>
  <c r="I14" i="159"/>
  <c r="D14" i="159"/>
  <c r="J14" i="159"/>
  <c r="E14" i="159"/>
  <c r="F14" i="159"/>
  <c r="C14" i="159"/>
  <c r="H14" i="159"/>
  <c r="K14" i="159"/>
  <c r="L14" i="159"/>
  <c r="M14" i="159"/>
  <c r="N14" i="159"/>
  <c r="P14" i="159"/>
  <c r="I15" i="159"/>
  <c r="D15" i="159"/>
  <c r="J15" i="159"/>
  <c r="E15" i="159"/>
  <c r="F15" i="159"/>
  <c r="C15" i="159"/>
  <c r="H15" i="159"/>
  <c r="K15" i="159"/>
  <c r="L15" i="159"/>
  <c r="M15" i="159"/>
  <c r="N15" i="159"/>
  <c r="P15" i="159"/>
  <c r="I16" i="159"/>
  <c r="D16" i="159"/>
  <c r="J16" i="159"/>
  <c r="E16" i="159"/>
  <c r="F16" i="159"/>
  <c r="C16" i="159"/>
  <c r="H16" i="159"/>
  <c r="K16" i="159"/>
  <c r="L16" i="159"/>
  <c r="M16" i="159"/>
  <c r="N16" i="159"/>
  <c r="P16" i="159"/>
  <c r="I17" i="159"/>
  <c r="D17" i="159"/>
  <c r="J17" i="159"/>
  <c r="E17" i="159"/>
  <c r="F17" i="159"/>
  <c r="C17" i="159"/>
  <c r="H17" i="159"/>
  <c r="K17" i="159"/>
  <c r="L17" i="159"/>
  <c r="M17" i="159"/>
  <c r="N17" i="159"/>
  <c r="P17" i="159"/>
  <c r="I18" i="159"/>
  <c r="D18" i="159"/>
  <c r="J18" i="159"/>
  <c r="E18" i="159"/>
  <c r="F18" i="159"/>
  <c r="C18" i="159"/>
  <c r="H18" i="159"/>
  <c r="K18" i="159"/>
  <c r="L18" i="159"/>
  <c r="M18" i="159"/>
  <c r="N18" i="159"/>
  <c r="P18" i="159"/>
  <c r="I19" i="159"/>
  <c r="D19" i="159"/>
  <c r="J19" i="159"/>
  <c r="E19" i="159"/>
  <c r="F19" i="159"/>
  <c r="C19" i="159"/>
  <c r="H19" i="159"/>
  <c r="K19" i="159"/>
  <c r="L19" i="159"/>
  <c r="M19" i="159"/>
  <c r="N19" i="159"/>
  <c r="P19" i="159"/>
  <c r="I20" i="159"/>
  <c r="D20" i="159"/>
  <c r="J20" i="159"/>
  <c r="E20" i="159"/>
  <c r="F20" i="159"/>
  <c r="C20" i="159"/>
  <c r="H20" i="159"/>
  <c r="K20" i="159"/>
  <c r="L20" i="159"/>
  <c r="M20" i="159"/>
  <c r="N20" i="159"/>
  <c r="P20" i="159"/>
  <c r="I21" i="159"/>
  <c r="D21" i="159"/>
  <c r="J21" i="159"/>
  <c r="E21" i="159"/>
  <c r="F21" i="159"/>
  <c r="C21" i="159"/>
  <c r="H21" i="159"/>
  <c r="K21" i="159"/>
  <c r="L21" i="159"/>
  <c r="M21" i="159"/>
  <c r="N21" i="159"/>
  <c r="P21" i="159"/>
  <c r="I22" i="159"/>
  <c r="D22" i="159"/>
  <c r="J22" i="159"/>
  <c r="E22" i="159"/>
  <c r="F22" i="159"/>
  <c r="C22" i="159"/>
  <c r="H22" i="159"/>
  <c r="K22" i="159"/>
  <c r="L22" i="159"/>
  <c r="M22" i="159"/>
  <c r="N22" i="159"/>
  <c r="P22" i="159"/>
  <c r="I23" i="159"/>
  <c r="D23" i="159"/>
  <c r="J23" i="159"/>
  <c r="E23" i="159"/>
  <c r="F23" i="159"/>
  <c r="C23" i="159"/>
  <c r="H23" i="159"/>
  <c r="K23" i="159"/>
  <c r="L23" i="159"/>
  <c r="M23" i="159"/>
  <c r="N23" i="159"/>
  <c r="P23" i="159"/>
  <c r="I24" i="159"/>
  <c r="D24" i="159"/>
  <c r="J24" i="159"/>
  <c r="E24" i="159"/>
  <c r="F24" i="159"/>
  <c r="C24" i="159"/>
  <c r="H24" i="159"/>
  <c r="K24" i="159"/>
  <c r="L24" i="159"/>
  <c r="M24" i="159"/>
  <c r="N24" i="159"/>
  <c r="P24" i="159"/>
  <c r="I25" i="159"/>
  <c r="D25" i="159"/>
  <c r="J25" i="159"/>
  <c r="E25" i="159"/>
  <c r="F25" i="159"/>
  <c r="C25" i="159"/>
  <c r="H25" i="159"/>
  <c r="K25" i="159"/>
  <c r="L25" i="159"/>
  <c r="M25" i="159"/>
  <c r="N25" i="159"/>
  <c r="P25" i="159"/>
  <c r="I26" i="159"/>
  <c r="D26" i="159"/>
  <c r="J26" i="159"/>
  <c r="E26" i="159"/>
  <c r="F26" i="159"/>
  <c r="C26" i="159"/>
  <c r="H26" i="159"/>
  <c r="K26" i="159"/>
  <c r="L26" i="159"/>
  <c r="M26" i="159"/>
  <c r="N26" i="159"/>
  <c r="P26" i="159"/>
  <c r="I27" i="159"/>
  <c r="D27" i="159"/>
  <c r="J27" i="159"/>
  <c r="E27" i="159"/>
  <c r="F27" i="159"/>
  <c r="C27" i="159"/>
  <c r="H27" i="159"/>
  <c r="K27" i="159"/>
  <c r="L27" i="159"/>
  <c r="M27" i="159"/>
  <c r="N27" i="159"/>
  <c r="P27" i="159"/>
  <c r="I28" i="159"/>
  <c r="D28" i="159"/>
  <c r="J28" i="159"/>
  <c r="E28" i="159"/>
  <c r="F28" i="159"/>
  <c r="C28" i="159"/>
  <c r="H28" i="159"/>
  <c r="K28" i="159"/>
  <c r="L28" i="159"/>
  <c r="M28" i="159"/>
  <c r="N28" i="159"/>
  <c r="P28" i="159"/>
  <c r="I29" i="159"/>
  <c r="D29" i="159"/>
  <c r="J29" i="159"/>
  <c r="E29" i="159"/>
  <c r="F29" i="159"/>
  <c r="C29" i="159"/>
  <c r="H29" i="159"/>
  <c r="K29" i="159"/>
  <c r="L29" i="159"/>
  <c r="M29" i="159"/>
  <c r="N29" i="159"/>
  <c r="P29" i="159"/>
  <c r="I30" i="159"/>
  <c r="D30" i="159"/>
  <c r="J30" i="159"/>
  <c r="E30" i="159"/>
  <c r="F30" i="159"/>
  <c r="C30" i="159"/>
  <c r="H30" i="159"/>
  <c r="K30" i="159"/>
  <c r="L30" i="159"/>
  <c r="M30" i="159"/>
  <c r="N30" i="159"/>
  <c r="P30" i="159"/>
  <c r="I31" i="159"/>
  <c r="D31" i="159"/>
  <c r="J31" i="159"/>
  <c r="E31" i="159"/>
  <c r="F31" i="159"/>
  <c r="C31" i="159"/>
  <c r="H31" i="159"/>
  <c r="K31" i="159"/>
  <c r="L31" i="159"/>
  <c r="M31" i="159"/>
  <c r="N31" i="159"/>
  <c r="P31" i="159"/>
  <c r="I32" i="159"/>
  <c r="D32" i="159"/>
  <c r="J32" i="159"/>
  <c r="E32" i="159"/>
  <c r="F32" i="159"/>
  <c r="C32" i="159"/>
  <c r="H32" i="159"/>
  <c r="K32" i="159"/>
  <c r="L32" i="159"/>
  <c r="M32" i="159"/>
  <c r="N32" i="159"/>
  <c r="P32" i="159"/>
  <c r="I33" i="159"/>
  <c r="D33" i="159"/>
  <c r="J33" i="159"/>
  <c r="E33" i="159"/>
  <c r="F33" i="159"/>
  <c r="C33" i="159"/>
  <c r="H33" i="159"/>
  <c r="K33" i="159"/>
  <c r="L33" i="159"/>
  <c r="M33" i="159"/>
  <c r="N33" i="159"/>
  <c r="P33" i="159"/>
  <c r="I34" i="159"/>
  <c r="D34" i="159"/>
  <c r="J34" i="159"/>
  <c r="E34" i="159"/>
  <c r="F34" i="159"/>
  <c r="C34" i="159"/>
  <c r="H34" i="159"/>
  <c r="K34" i="159"/>
  <c r="L34" i="159"/>
  <c r="M34" i="159"/>
  <c r="N34" i="159"/>
  <c r="P34" i="159"/>
  <c r="I35" i="159"/>
  <c r="D35" i="159"/>
  <c r="J35" i="159"/>
  <c r="E35" i="159"/>
  <c r="F35" i="159"/>
  <c r="C35" i="159"/>
  <c r="H35" i="159"/>
  <c r="K35" i="159"/>
  <c r="L35" i="159"/>
  <c r="M35" i="159"/>
  <c r="N35" i="159"/>
  <c r="P35" i="159"/>
  <c r="I36" i="159"/>
  <c r="D36" i="159"/>
  <c r="J36" i="159"/>
  <c r="E36" i="159"/>
  <c r="F36" i="159"/>
  <c r="C36" i="159"/>
  <c r="H36" i="159"/>
  <c r="K36" i="159"/>
  <c r="L36" i="159"/>
  <c r="M36" i="159"/>
  <c r="N36" i="159"/>
  <c r="P36" i="159"/>
  <c r="I37" i="159"/>
  <c r="D37" i="159"/>
  <c r="J37" i="159"/>
  <c r="E37" i="159"/>
  <c r="F37" i="159"/>
  <c r="C37" i="159"/>
  <c r="H37" i="159"/>
  <c r="K37" i="159"/>
  <c r="L37" i="159"/>
  <c r="M37" i="159"/>
  <c r="N37" i="159"/>
  <c r="P37" i="159"/>
  <c r="I38" i="159"/>
  <c r="D38" i="159"/>
  <c r="J38" i="159"/>
  <c r="E38" i="159"/>
  <c r="F38" i="159"/>
  <c r="C38" i="159"/>
  <c r="H38" i="159"/>
  <c r="K38" i="159"/>
  <c r="L38" i="159"/>
  <c r="M38" i="159"/>
  <c r="N38" i="159"/>
  <c r="P38" i="159"/>
  <c r="I39" i="159"/>
  <c r="D39" i="159"/>
  <c r="J39" i="159"/>
  <c r="E39" i="159"/>
  <c r="F39" i="159"/>
  <c r="C39" i="159"/>
  <c r="H39" i="159"/>
  <c r="K39" i="159"/>
  <c r="L39" i="159"/>
  <c r="M39" i="159"/>
  <c r="N39" i="159"/>
  <c r="P39" i="159"/>
  <c r="I40" i="159"/>
  <c r="D40" i="159"/>
  <c r="J40" i="159"/>
  <c r="E40" i="159"/>
  <c r="F40" i="159"/>
  <c r="C40" i="159"/>
  <c r="H40" i="159"/>
  <c r="K40" i="159"/>
  <c r="L40" i="159"/>
  <c r="M40" i="159"/>
  <c r="N40" i="159"/>
  <c r="P40" i="159"/>
  <c r="I41" i="159"/>
  <c r="D41" i="159"/>
  <c r="J41" i="159"/>
  <c r="E41" i="159"/>
  <c r="F41" i="159"/>
  <c r="C41" i="159"/>
  <c r="H41" i="159"/>
  <c r="K41" i="159"/>
  <c r="L41" i="159"/>
  <c r="M41" i="159"/>
  <c r="N41" i="159"/>
  <c r="P41" i="159"/>
  <c r="I42" i="159"/>
  <c r="D42" i="159"/>
  <c r="J42" i="159"/>
  <c r="E42" i="159"/>
  <c r="F42" i="159"/>
  <c r="C42" i="159"/>
  <c r="H42" i="159"/>
  <c r="K42" i="159"/>
  <c r="L42" i="159"/>
  <c r="M42" i="159"/>
  <c r="N42" i="159"/>
  <c r="P42" i="159"/>
  <c r="I43" i="159"/>
  <c r="D43" i="159"/>
  <c r="J43" i="159"/>
  <c r="E43" i="159"/>
  <c r="F43" i="159"/>
  <c r="C43" i="159"/>
  <c r="H43" i="159"/>
  <c r="K43" i="159"/>
  <c r="L43" i="159"/>
  <c r="M43" i="159"/>
  <c r="N43" i="159"/>
  <c r="P43" i="159"/>
  <c r="I44" i="159"/>
  <c r="D44" i="159"/>
  <c r="J44" i="159"/>
  <c r="E44" i="159"/>
  <c r="F44" i="159"/>
  <c r="C44" i="159"/>
  <c r="H44" i="159"/>
  <c r="K44" i="159"/>
  <c r="L44" i="159"/>
  <c r="M44" i="159"/>
  <c r="N44" i="159"/>
  <c r="P44" i="159"/>
  <c r="I45" i="159"/>
  <c r="D45" i="159"/>
  <c r="J45" i="159"/>
  <c r="E45" i="159"/>
  <c r="F45" i="159"/>
  <c r="C45" i="159"/>
  <c r="H45" i="159"/>
  <c r="K45" i="159"/>
  <c r="L45" i="159"/>
  <c r="M45" i="159"/>
  <c r="N45" i="159"/>
  <c r="P45" i="159"/>
  <c r="I46" i="159"/>
  <c r="D46" i="159"/>
  <c r="J46" i="159"/>
  <c r="E46" i="159"/>
  <c r="F46" i="159"/>
  <c r="C46" i="159"/>
  <c r="H46" i="159"/>
  <c r="K46" i="159"/>
  <c r="L46" i="159"/>
  <c r="M46" i="159"/>
  <c r="N46" i="159"/>
  <c r="P46" i="159"/>
  <c r="I47" i="159"/>
  <c r="D47" i="159"/>
  <c r="J47" i="159"/>
  <c r="E47" i="159"/>
  <c r="F47" i="159"/>
  <c r="C47" i="159"/>
  <c r="H47" i="159"/>
  <c r="K47" i="159"/>
  <c r="L47" i="159"/>
  <c r="M47" i="159"/>
  <c r="N47" i="159"/>
  <c r="P47" i="159"/>
  <c r="I48" i="159"/>
  <c r="D48" i="159"/>
  <c r="J48" i="159"/>
  <c r="E48" i="159"/>
  <c r="F48" i="159"/>
  <c r="C48" i="159"/>
  <c r="H48" i="159"/>
  <c r="K48" i="159"/>
  <c r="L48" i="159"/>
  <c r="M48" i="159"/>
  <c r="N48" i="159"/>
  <c r="P48" i="159"/>
  <c r="I49" i="159"/>
  <c r="D49" i="159"/>
  <c r="J49" i="159"/>
  <c r="E49" i="159"/>
  <c r="F49" i="159"/>
  <c r="C49" i="159"/>
  <c r="H49" i="159"/>
  <c r="K49" i="159"/>
  <c r="L49" i="159"/>
  <c r="M49" i="159"/>
  <c r="N49" i="159"/>
  <c r="P49" i="159"/>
  <c r="I50" i="159"/>
  <c r="D50" i="159"/>
  <c r="J50" i="159"/>
  <c r="E50" i="159"/>
  <c r="F50" i="159"/>
  <c r="C50" i="159"/>
  <c r="H50" i="159"/>
  <c r="K50" i="159"/>
  <c r="L50" i="159"/>
  <c r="M50" i="159"/>
  <c r="N50" i="159"/>
  <c r="P50" i="159"/>
  <c r="I51" i="159"/>
  <c r="D51" i="159"/>
  <c r="J51" i="159"/>
  <c r="E51" i="159"/>
  <c r="F51" i="159"/>
  <c r="C51" i="159"/>
  <c r="H51" i="159"/>
  <c r="K51" i="159"/>
  <c r="L51" i="159"/>
  <c r="M51" i="159"/>
  <c r="N51" i="159"/>
  <c r="P51" i="159"/>
  <c r="I52" i="159"/>
  <c r="D52" i="159"/>
  <c r="J52" i="159"/>
  <c r="E52" i="159"/>
  <c r="F52" i="159"/>
  <c r="C52" i="159"/>
  <c r="H52" i="159"/>
  <c r="K52" i="159"/>
  <c r="L52" i="159"/>
  <c r="M52" i="159"/>
  <c r="N52" i="159"/>
  <c r="P52" i="159"/>
  <c r="I53" i="159"/>
  <c r="D53" i="159"/>
  <c r="J53" i="159"/>
  <c r="E53" i="159"/>
  <c r="F53" i="159"/>
  <c r="C53" i="159"/>
  <c r="H53" i="159"/>
  <c r="K53" i="159"/>
  <c r="L53" i="159"/>
  <c r="M53" i="159"/>
  <c r="N53" i="159"/>
  <c r="P53" i="159"/>
  <c r="I54" i="159"/>
  <c r="D54" i="159"/>
  <c r="J54" i="159"/>
  <c r="E54" i="159"/>
  <c r="F54" i="159"/>
  <c r="C54" i="159"/>
  <c r="H54" i="159"/>
  <c r="K54" i="159"/>
  <c r="L54" i="159"/>
  <c r="M54" i="159"/>
  <c r="N54" i="159"/>
  <c r="P54" i="159"/>
  <c r="I55" i="159"/>
  <c r="D55" i="159"/>
  <c r="J55" i="159"/>
  <c r="E55" i="159"/>
  <c r="F55" i="159"/>
  <c r="C55" i="159"/>
  <c r="H55" i="159"/>
  <c r="K55" i="159"/>
  <c r="L55" i="159"/>
  <c r="M55" i="159"/>
  <c r="N55" i="159"/>
  <c r="P55" i="159"/>
  <c r="I56" i="159"/>
  <c r="D56" i="159"/>
  <c r="J56" i="159"/>
  <c r="E56" i="159"/>
  <c r="F56" i="159"/>
  <c r="C56" i="159"/>
  <c r="H56" i="159"/>
  <c r="K56" i="159"/>
  <c r="L56" i="159"/>
  <c r="M56" i="159"/>
  <c r="N56" i="159"/>
  <c r="P56" i="159"/>
  <c r="I57" i="159"/>
  <c r="D57" i="159"/>
  <c r="J57" i="159"/>
  <c r="E57" i="159"/>
  <c r="F57" i="159"/>
  <c r="C57" i="159"/>
  <c r="H57" i="159"/>
  <c r="K57" i="159"/>
  <c r="L57" i="159"/>
  <c r="M57" i="159"/>
  <c r="N57" i="159"/>
  <c r="P57" i="159"/>
  <c r="I58" i="159"/>
  <c r="D58" i="159"/>
  <c r="J58" i="159"/>
  <c r="E58" i="159"/>
  <c r="F58" i="159"/>
  <c r="C58" i="159"/>
  <c r="H58" i="159"/>
  <c r="K58" i="159"/>
  <c r="L58" i="159"/>
  <c r="M58" i="159"/>
  <c r="N58" i="159"/>
  <c r="P58" i="159"/>
  <c r="I59" i="159"/>
  <c r="D59" i="159"/>
  <c r="J59" i="159"/>
  <c r="E59" i="159"/>
  <c r="F59" i="159"/>
  <c r="C59" i="159"/>
  <c r="H59" i="159"/>
  <c r="K59" i="159"/>
  <c r="L59" i="159"/>
  <c r="M59" i="159"/>
  <c r="N59" i="159"/>
  <c r="P59" i="159"/>
  <c r="I60" i="159"/>
  <c r="D60" i="159"/>
  <c r="J60" i="159"/>
  <c r="E60" i="159"/>
  <c r="F60" i="159"/>
  <c r="C60" i="159"/>
  <c r="H60" i="159"/>
  <c r="K60" i="159"/>
  <c r="L60" i="159"/>
  <c r="M60" i="159"/>
  <c r="N60" i="159"/>
  <c r="P60" i="159"/>
  <c r="I61" i="159"/>
  <c r="D61" i="159"/>
  <c r="J61" i="159"/>
  <c r="E61" i="159"/>
  <c r="F61" i="159"/>
  <c r="C61" i="159"/>
  <c r="H61" i="159"/>
  <c r="K61" i="159"/>
  <c r="L61" i="159"/>
  <c r="M61" i="159"/>
  <c r="N61" i="159"/>
  <c r="P61" i="159"/>
  <c r="I62" i="159"/>
  <c r="D62" i="159"/>
  <c r="J62" i="159"/>
  <c r="E62" i="159"/>
  <c r="F62" i="159"/>
  <c r="C62" i="159"/>
  <c r="H62" i="159"/>
  <c r="K62" i="159"/>
  <c r="L62" i="159"/>
  <c r="M62" i="159"/>
  <c r="N62" i="159"/>
  <c r="P62" i="159"/>
  <c r="I63" i="159"/>
  <c r="D63" i="159"/>
  <c r="J63" i="159"/>
  <c r="E63" i="159"/>
  <c r="F63" i="159"/>
  <c r="C63" i="159"/>
  <c r="H63" i="159"/>
  <c r="K63" i="159"/>
  <c r="L63" i="159"/>
  <c r="M63" i="159"/>
  <c r="N63" i="159"/>
  <c r="P63" i="159"/>
  <c r="I64" i="159"/>
  <c r="D64" i="159"/>
  <c r="J64" i="159"/>
  <c r="E64" i="159"/>
  <c r="F64" i="159"/>
  <c r="C64" i="159"/>
  <c r="H64" i="159"/>
  <c r="K64" i="159"/>
  <c r="L64" i="159"/>
  <c r="M64" i="159"/>
  <c r="N64" i="159"/>
  <c r="P64" i="159"/>
  <c r="I65" i="159"/>
  <c r="D65" i="159"/>
  <c r="J65" i="159"/>
  <c r="E65" i="159"/>
  <c r="F65" i="159"/>
  <c r="C65" i="159"/>
  <c r="H65" i="159"/>
  <c r="K65" i="159"/>
  <c r="L65" i="159"/>
  <c r="M65" i="159"/>
  <c r="N65" i="159"/>
  <c r="P65" i="159"/>
  <c r="I66" i="159"/>
  <c r="D66" i="159"/>
  <c r="J66" i="159"/>
  <c r="E66" i="159"/>
  <c r="F66" i="159"/>
  <c r="C66" i="159"/>
  <c r="H66" i="159"/>
  <c r="K66" i="159"/>
  <c r="L66" i="159"/>
  <c r="M66" i="159"/>
  <c r="N66" i="159"/>
  <c r="P66" i="159"/>
  <c r="I67" i="159"/>
  <c r="D67" i="159"/>
  <c r="J67" i="159"/>
  <c r="E67" i="159"/>
  <c r="F67" i="159"/>
  <c r="C67" i="159"/>
  <c r="H67" i="159"/>
  <c r="K67" i="159"/>
  <c r="L67" i="159"/>
  <c r="M67" i="159"/>
  <c r="N67" i="159"/>
  <c r="P67" i="159"/>
  <c r="I68" i="159"/>
  <c r="D68" i="159"/>
  <c r="J68" i="159"/>
  <c r="E68" i="159"/>
  <c r="F68" i="159"/>
  <c r="C68" i="159"/>
  <c r="H68" i="159"/>
  <c r="K68" i="159"/>
  <c r="L68" i="159"/>
  <c r="M68" i="159"/>
  <c r="N68" i="159"/>
  <c r="P68" i="159"/>
  <c r="I69" i="159"/>
  <c r="D69" i="159"/>
  <c r="J69" i="159"/>
  <c r="E69" i="159"/>
  <c r="F69" i="159"/>
  <c r="C69" i="159"/>
  <c r="H69" i="159"/>
  <c r="K69" i="159"/>
  <c r="L69" i="159"/>
  <c r="M69" i="159"/>
  <c r="N69" i="159"/>
  <c r="P69" i="159"/>
  <c r="I70" i="159"/>
  <c r="D70" i="159"/>
  <c r="J70" i="159"/>
  <c r="E70" i="159"/>
  <c r="F70" i="159"/>
  <c r="C70" i="159"/>
  <c r="H70" i="159"/>
  <c r="K70" i="159"/>
  <c r="L70" i="159"/>
  <c r="M70" i="159"/>
  <c r="N70" i="159"/>
  <c r="P70" i="159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P6" i="159"/>
  <c r="N6" i="159"/>
  <c r="M6" i="159"/>
  <c r="L6" i="159"/>
  <c r="K6" i="159"/>
  <c r="J6" i="159"/>
  <c r="H6" i="159"/>
  <c r="F6" i="159"/>
  <c r="C6" i="159"/>
  <c r="P5" i="159"/>
  <c r="N5" i="159"/>
  <c r="M5" i="159"/>
  <c r="L5" i="159"/>
  <c r="K5" i="159"/>
  <c r="J5" i="159"/>
  <c r="H5" i="159"/>
  <c r="F5" i="159"/>
  <c r="C5" i="159"/>
  <c r="P4" i="159"/>
  <c r="N4" i="159"/>
  <c r="M4" i="159"/>
  <c r="L4" i="159"/>
  <c r="K4" i="159"/>
  <c r="J4" i="159"/>
  <c r="H4" i="159"/>
  <c r="F4" i="159"/>
  <c r="C4" i="159"/>
  <c r="P3" i="159"/>
  <c r="N3" i="159"/>
  <c r="M3" i="159"/>
  <c r="L3" i="159"/>
  <c r="K3" i="159"/>
  <c r="J3" i="159"/>
  <c r="H3" i="159"/>
  <c r="F3" i="159"/>
  <c r="C3" i="159"/>
  <c r="P2" i="159"/>
  <c r="N2" i="159"/>
  <c r="M2" i="159"/>
  <c r="L2" i="159"/>
  <c r="K2" i="159"/>
  <c r="J2" i="159"/>
  <c r="H2" i="159"/>
  <c r="F2" i="159"/>
  <c r="C2" i="159"/>
  <c r="C5" i="103"/>
  <c r="E5" i="103"/>
  <c r="C6" i="103"/>
  <c r="E6" i="103"/>
  <c r="E2" i="10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10" i="103"/>
  <c r="E9" i="103"/>
  <c r="E8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<sst xmlns="http://schemas.openxmlformats.org/spreadsheetml/2006/main" count="290" uniqueCount="176">
  <si>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</si>
  <si>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</si>
  <si>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</si>
  <si>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</si>
  <si>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</si>
  <si>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</si>
  <si>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</si>
  <si>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</si>
  <si>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</si>
  <si>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</si>
  <si>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</si>
  <si>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</si>
  <si>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</si>
  <si>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</si>
  <si>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</si>
  <si>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</si>
  <si>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</si>
  <si>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</si>
  <si>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</si>
  <si>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</si>
  <si>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</si>
  <si>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</si>
  <si>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</si>
  <si>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</si>
  <si>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</si>
  <si>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</si>
  <si>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</si>
  <si>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</si>
  <si>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</si>
  <si>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</si>
  <si>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</si>
  <si>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</si>
  <si>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</si>
  <si>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</si>
  <si>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</si>
  <si>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</si>
  <si>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</si>
  <si>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</si>
  <si>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</si>
  <si>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</si>
  <si>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</si>
  <si>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</si>
  <si>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</si>
  <si>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</si>
  <si>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</si>
  <si>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性別</t>
    <rPh sb="0" eb="2">
      <t>セイベツ</t>
    </rPh>
    <phoneticPr fontId="20"/>
  </si>
  <si>
    <t>ピックアップ確率</t>
    <rPh sb="6" eb="8">
      <t>カクリツ</t>
    </rPh>
    <phoneticPr fontId="20"/>
  </si>
  <si>
    <t>確率</t>
    <rPh sb="0" eb="2">
      <t>カクリツ</t>
    </rPh>
    <phoneticPr fontId="20"/>
  </si>
  <si>
    <t>名前</t>
    <rPh sb="0" eb="2">
      <t>ナマエ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</si>
  <si>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</si>
  <si>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</si>
  <si>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</si>
  <si>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</si>
  <si>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table_no</t>
    <phoneticPr fontId="20"/>
  </si>
  <si>
    <t>table_no</t>
    <phoneticPr fontId="20"/>
  </si>
  <si>
    <t>skill_level</t>
  </si>
  <si>
    <t>level</t>
  </si>
  <si>
    <t>drop_label2</t>
    <phoneticPr fontId="20"/>
  </si>
  <si>
    <t>color2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</si>
  <si>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</si>
  <si>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</si>
  <si>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</si>
  <si>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</si>
  <si>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</si>
  <si>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</si>
  <si>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</si>
  <si>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</si>
  <si>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</si>
  <si>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</si>
  <si>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</si>
  <si>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</si>
  <si>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</si>
  <si>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</si>
  <si>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</si>
  <si>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</si>
  <si>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</si>
  <si>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</si>
  <si>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</si>
  <si>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</si>
  <si>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</si>
  <si>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</si>
  <si>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</si>
  <si>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</si>
  <si>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</si>
  <si>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</si>
  <si>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</si>
  <si>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</si>
  <si>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</si>
  <si>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</si>
  <si>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</si>
  <si>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</si>
  <si>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</si>
  <si>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</si>
  <si>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</si>
  <si>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</si>
  <si>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</si>
  <si>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</si>
  <si>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</si>
  <si>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</si>
  <si>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</si>
  <si>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</si>
  <si>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</si>
  <si>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</si>
  <si>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</si>
  <si>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</si>
  <si>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</si>
  <si>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</si>
  <si>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</si>
  <si>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</si>
  <si>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</si>
  <si>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</si>
  <si>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</si>
  <si>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</si>
  <si>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</si>
  <si>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</si>
  <si>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</si>
  <si>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</si>
  <si>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</si>
  <si>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</si>
  <si>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</si>
  <si>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</si>
  <si>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</si>
  <si>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</si>
  <si>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</si>
  <si>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</si>
  <si>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</si>
  <si>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</si>
  <si>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</si>
  <si>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</si>
  <si>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</si>
  <si>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</si>
  <si>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</si>
  <si>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</si>
  <si>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</si>
  <si>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</si>
  <si>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</si>
  <si>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</si>
  <si>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</si>
  <si>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</si>
  <si>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</si>
  <si>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</si>
  <si>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</si>
  <si>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</si>
  <si>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</si>
  <si>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</si>
  <si>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</si>
  <si>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</si>
  <si>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</si>
  <si>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</si>
  <si>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</si>
  <si>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</si>
  <si>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</si>
  <si>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</si>
  <si>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</si>
  <si>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</si>
  <si>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</si>
  <si>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</si>
  <si>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</si>
  <si>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</si>
  <si>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</si>
  <si>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</si>
  <si>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</si>
  <si>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</si>
  <si>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</si>
  <si>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</si>
  <si>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</si>
  <si>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skip</t>
    <phoneticPr fontId="20"/>
  </si>
  <si>
    <t>tables_363105</t>
    <phoneticPr fontId="20"/>
  </si>
  <si>
    <t>tables_363100</t>
    <phoneticPr fontId="20"/>
  </si>
  <si>
    <t>old</t>
    <phoneticPr fontId="20"/>
  </si>
  <si>
    <t>gacha_settle_tables_</t>
    <phoneticPr fontId="20"/>
  </si>
  <si>
    <t>.tmp</t>
    <phoneticPr fontId="53"/>
  </si>
  <si>
    <t>tables_settle_426104</t>
    <phoneticPr fontId="20"/>
  </si>
  <si>
    <t>tables_settle_426105</t>
    <phoneticPr fontId="20"/>
  </si>
  <si>
    <t>tables_426101</t>
    <phoneticPr fontId="20"/>
  </si>
  <si>
    <t>tables_7306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</si>
</sst>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2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669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60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3" xfId="0" applyFont="1" applyFill="1" applyBorder="1" applyAlignment="1">
      <alignment horizontal="right" vertical="center"/>
    </xf>
    <xf numFmtId="0" fontId="25" fillId="2" borderId="1" xfId="2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1" borderId="1" xfId="2978" applyFont="1" applyFill="1" applyBorder="1"/>
    <xf numFmtId="0" fontId="13" fillId="21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1" borderId="1" xfId="0" applyFont="1" applyFill="1" applyBorder="1"/>
    <xf numFmtId="0" fontId="52" fillId="22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10" fillId="0" borderId="1" xfId="2978" applyFont="1" applyBorder="1"/>
    <xf numFmtId="0" fontId="0" fillId="0" borderId="1" xfId="0" applyBorder="1"/>
    <xf numFmtId="0" fontId="0" fillId="3" borderId="1" xfId="0" applyFill="1" applyBorder="1"/>
    <xf numFmtId="0" fontId="0" fillId="24" borderId="0" xfId="0" applyFill="1"/>
    <xf numFmtId="0" fontId="0" fillId="25" borderId="1" xfId="0" applyFill="1" applyBorder="1"/>
    <xf numFmtId="176" fontId="0" fillId="25" borderId="1" xfId="3575" applyNumberFormat="1" applyFont="1" applyFill="1" applyBorder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24" fillId="23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0" fontId="6" fillId="0" borderId="0" xfId="3662" applyFont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4" fillId="4" borderId="1" xfId="2978" applyFont="1" applyFill="1" applyBorder="1"/>
    <xf numFmtId="0" fontId="4" fillId="0" borderId="1" xfId="3036" applyFont="1" applyBorder="1"/>
    <xf numFmtId="0" fontId="25" fillId="3" borderId="13" xfId="2" applyFont="1" applyFill="1" applyBorder="1" applyAlignment="1">
      <alignment vertical="center"/>
    </xf>
    <xf numFmtId="176" fontId="0" fillId="25" borderId="13" xfId="3575" applyNumberFormat="1" applyFont="1" applyFill="1" applyBorder="1"/>
    <xf numFmtId="0" fontId="52" fillId="3" borderId="13" xfId="0" applyFont="1" applyFill="1" applyBorder="1" applyAlignment="1">
      <alignment vertical="center"/>
    </xf>
    <xf numFmtId="0" fontId="0" fillId="0" borderId="0" xfId="0" applyFill="1" applyBorder="1"/>
    <xf numFmtId="176" fontId="0" fillId="0" borderId="0" xfId="3575" applyNumberFormat="1" applyFont="1" applyFill="1" applyBorder="1"/>
    <xf numFmtId="0" fontId="52" fillId="0" borderId="0" xfId="0" applyFont="1" applyFill="1" applyBorder="1" applyAlignment="1">
      <alignment vertical="center"/>
    </xf>
    <xf numFmtId="0" fontId="3" fillId="0" borderId="1" xfId="2978" applyFont="1" applyBorder="1"/>
    <xf numFmtId="0" fontId="3" fillId="4" borderId="1" xfId="2978" applyFont="1" applyFill="1" applyBorder="1"/>
    <xf numFmtId="0" fontId="2" fillId="4" borderId="1" xfId="2978" applyFont="1" applyFill="1" applyBorder="1"/>
    <xf numFmtId="0" fontId="1" fillId="4" borderId="1" xfId="2978" applyFont="1" applyFill="1" applyBorder="1"/>
  </cellXfs>
  <cellStyles count="3669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externalLink" Target="externalLinks/externalLink1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attack</v>
          </cell>
          <cell r="L1165" t="str">
            <v>攻撃タイプ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attack</v>
          </cell>
          <cell r="L1166" t="str">
            <v>攻撃タイプ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balance</v>
          </cell>
          <cell r="L1167" t="str">
            <v>バランスタイプ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balance</v>
          </cell>
          <cell r="L1168" t="str">
            <v>バランスタイプ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バルドルR6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attack</v>
          </cell>
          <cell r="L1187" t="str">
            <v>攻撃タイプ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unknown</v>
          </cell>
        </row>
        <row r="1220">
          <cell r="A1220">
            <v>1219</v>
          </cell>
          <cell r="B1220" t="str">
            <v>ja</v>
          </cell>
          <cell r="C1220" t="str">
            <v>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unknown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芥川龍之介</v>
          </cell>
          <cell r="H1230" t="str">
            <v>blue</v>
          </cell>
          <cell r="I1230">
            <v>6</v>
          </cell>
          <cell r="J1230" t="str">
            <v>PremiumSS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オリジナルガチャ当たり(サンタ)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オリジナルガチャ当たり(サンタ)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きせかえR5_ダイダラorトリスタン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ポーラ&amp;ダニー(マリア対抗ウィザード)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ポーラ&amp;ダニー(マリア対抗ウィザード)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スノーマン(ガチャ当たり対抗ウィザード)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スノーマン(ガチャ当たり対抗ウィザード)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マリアランキング対抗</v>
          </cell>
          <cell r="H1287" t="str">
            <v>blue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マリアランキング対抗</v>
          </cell>
          <cell r="H1288" t="str">
            <v>blue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マリアランキング対抗超覚醒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クリスマス報酬1</v>
          </cell>
          <cell r="H1290" t="str">
            <v>blue</v>
          </cell>
          <cell r="I1290">
            <v>6</v>
          </cell>
          <cell r="J1290" t="str">
            <v>DropWozSSS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クリスマス報酬2</v>
          </cell>
          <cell r="H1291" t="str">
            <v>blue</v>
          </cell>
          <cell r="I1291">
            <v>6</v>
          </cell>
          <cell r="J1291" t="str">
            <v>DropWozSSS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DropWizS</v>
          </cell>
          <cell r="K1317" t="str">
            <v>attack</v>
          </cell>
          <cell r="L1317" t="str">
            <v>攻撃タイプ</v>
          </cell>
          <cell r="M1317" t="str">
            <v>human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DropWizS</v>
          </cell>
          <cell r="K1318" t="str">
            <v>attack</v>
          </cell>
          <cell r="L1318" t="str">
            <v>攻撃タイプ</v>
          </cell>
          <cell r="M1318" t="str">
            <v>human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6001</v>
          </cell>
          <cell r="B1372" t="str">
            <v>ja</v>
          </cell>
          <cell r="C1372" t="str">
            <v>ジェリー</v>
          </cell>
          <cell r="D1372" t="str">
            <v>ノーマルクエスト</v>
          </cell>
          <cell r="E1372" t="str">
            <v>QoH</v>
          </cell>
          <cell r="F1372" t="str">
            <v>世界観</v>
          </cell>
          <cell r="G1372" t="str">
            <v>不明</v>
          </cell>
          <cell r="H1372" t="str">
            <v>red</v>
          </cell>
          <cell r="I1372">
            <v>1</v>
          </cell>
          <cell r="J1372" t="str">
            <v>Drop1T</v>
          </cell>
          <cell r="K1372" t="str">
            <v>ra</v>
          </cell>
          <cell r="L1372" t="str">
            <v>ラグランジュチャレンジ</v>
          </cell>
          <cell r="M1372" t="str">
            <v>unknown</v>
          </cell>
        </row>
        <row r="1373">
          <cell r="A1373">
            <v>6002</v>
          </cell>
          <cell r="B1373" t="str">
            <v>ja</v>
          </cell>
          <cell r="C1373" t="str">
            <v>ヨシタカ</v>
          </cell>
          <cell r="D1373" t="str">
            <v>ノーマルクエスト</v>
          </cell>
          <cell r="E1373" t="str">
            <v>アバター</v>
          </cell>
          <cell r="F1373" t="str">
            <v>世界観</v>
          </cell>
          <cell r="G1373" t="str">
            <v>男性</v>
          </cell>
          <cell r="H1373" t="str">
            <v>red</v>
          </cell>
          <cell r="I1373">
            <v>2</v>
          </cell>
          <cell r="J1373" t="str">
            <v>Drop1N</v>
          </cell>
          <cell r="K1373" t="str">
            <v>ra</v>
          </cell>
          <cell r="L1373" t="str">
            <v>ラグランジュチャレンジ</v>
          </cell>
          <cell r="M1373" t="str">
            <v>human</v>
          </cell>
        </row>
        <row r="1374">
          <cell r="A1374">
            <v>6003</v>
          </cell>
          <cell r="B1374" t="str">
            <v>ja</v>
          </cell>
          <cell r="C1374" t="str">
            <v>朱雀</v>
          </cell>
          <cell r="D1374" t="str">
            <v>リンクガチャ:4神</v>
          </cell>
          <cell r="E1374" t="str">
            <v>守護神</v>
          </cell>
          <cell r="F1374" t="str">
            <v>格好いい</v>
          </cell>
          <cell r="G1374" t="str">
            <v>不明</v>
          </cell>
          <cell r="H1374" t="str">
            <v>red</v>
          </cell>
          <cell r="I1374">
            <v>3</v>
          </cell>
          <cell r="J1374" t="str">
            <v>Drop2N</v>
          </cell>
          <cell r="K1374" t="str">
            <v>ra</v>
          </cell>
          <cell r="L1374" t="str">
            <v>ラグランジュチャレンジ</v>
          </cell>
          <cell r="M1374" t="str">
            <v>animal</v>
          </cell>
        </row>
        <row r="1375">
          <cell r="A1375">
            <v>6004</v>
          </cell>
          <cell r="B1375" t="str">
            <v>ja</v>
          </cell>
          <cell r="C1375" t="str">
            <v>ブレット</v>
          </cell>
          <cell r="D1375" t="str">
            <v>ノーマルクエスト</v>
          </cell>
          <cell r="E1375" t="str">
            <v>アバター</v>
          </cell>
          <cell r="F1375" t="str">
            <v>世界観</v>
          </cell>
          <cell r="G1375" t="str">
            <v>不明</v>
          </cell>
          <cell r="H1375" t="str">
            <v>red</v>
          </cell>
          <cell r="I1375">
            <v>1</v>
          </cell>
          <cell r="J1375" t="str">
            <v>Drop1W</v>
          </cell>
          <cell r="K1375" t="str">
            <v>ra</v>
          </cell>
          <cell r="L1375" t="str">
            <v>ラグランジュチャレンジ</v>
          </cell>
          <cell r="M1375" t="str">
            <v>animal</v>
          </cell>
        </row>
        <row r="1376">
          <cell r="A1376">
            <v>6005</v>
          </cell>
          <cell r="B1376" t="str">
            <v>ja</v>
          </cell>
          <cell r="C1376" t="str">
            <v>孤神 テティス</v>
          </cell>
          <cell r="D1376" t="str">
            <v>初期ガチャ</v>
          </cell>
          <cell r="E1376" t="str">
            <v>管理者</v>
          </cell>
          <cell r="F1376" t="str">
            <v>美しい</v>
          </cell>
          <cell r="G1376" t="str">
            <v>女性</v>
          </cell>
          <cell r="H1376" t="str">
            <v>blue</v>
          </cell>
          <cell r="I1376">
            <v>4</v>
          </cell>
          <cell r="J1376" t="str">
            <v>PremiumN</v>
          </cell>
          <cell r="K1376" t="str">
            <v>ra</v>
          </cell>
          <cell r="L1376" t="str">
            <v>ラグランジュチャレンジ</v>
          </cell>
          <cell r="M1376" t="str">
            <v>god</v>
          </cell>
        </row>
        <row r="1377">
          <cell r="A1377">
            <v>6006</v>
          </cell>
          <cell r="B1377" t="str">
            <v>ja</v>
          </cell>
          <cell r="C1377" t="str">
            <v>海底の孤高神 テティス</v>
          </cell>
          <cell r="D1377" t="str">
            <v>初期ガチャ</v>
          </cell>
          <cell r="E1377" t="str">
            <v>管理者</v>
          </cell>
          <cell r="F1377" t="str">
            <v>美しい</v>
          </cell>
          <cell r="G1377" t="str">
            <v>女性</v>
          </cell>
          <cell r="H1377" t="str">
            <v>blue</v>
          </cell>
          <cell r="I1377">
            <v>5</v>
          </cell>
          <cell r="J1377" t="str">
            <v>PremiumN</v>
          </cell>
          <cell r="K1377" t="str">
            <v>ra</v>
          </cell>
          <cell r="L1377" t="str">
            <v>ラグランジュチャレンジ</v>
          </cell>
          <cell r="M1377" t="str">
            <v>god</v>
          </cell>
        </row>
        <row r="1378">
          <cell r="A1378">
            <v>6007</v>
          </cell>
          <cell r="B1378" t="str">
            <v>ja</v>
          </cell>
          <cell r="C1378" t="str">
            <v>番犬 ケルベロス</v>
          </cell>
          <cell r="D1378" t="str">
            <v>初期ガチャ</v>
          </cell>
          <cell r="E1378" t="str">
            <v>破界者</v>
          </cell>
          <cell r="F1378" t="str">
            <v>可愛い</v>
          </cell>
          <cell r="G1378" t="str">
            <v>女性</v>
          </cell>
          <cell r="H1378" t="str">
            <v>red</v>
          </cell>
          <cell r="I1378">
            <v>4</v>
          </cell>
          <cell r="J1378" t="str">
            <v>PremiumN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6008</v>
          </cell>
          <cell r="B1379" t="str">
            <v>ja</v>
          </cell>
          <cell r="C1379" t="str">
            <v>焔神 プロメテウス</v>
          </cell>
          <cell r="D1379" t="str">
            <v>初期ガチャ</v>
          </cell>
          <cell r="E1379" t="str">
            <v>管理者</v>
          </cell>
          <cell r="F1379" t="str">
            <v>格好いい</v>
          </cell>
          <cell r="G1379" t="str">
            <v>男性</v>
          </cell>
          <cell r="H1379" t="str">
            <v>red</v>
          </cell>
          <cell r="I1379">
            <v>4</v>
          </cell>
          <cell r="J1379" t="str">
            <v>PremiumN</v>
          </cell>
          <cell r="K1379" t="str">
            <v>ra</v>
          </cell>
          <cell r="L1379" t="str">
            <v>ラグランジュチャレンジ</v>
          </cell>
          <cell r="M1379" t="str">
            <v>god</v>
          </cell>
        </row>
        <row r="1380">
          <cell r="A1380">
            <v>6009</v>
          </cell>
          <cell r="B1380" t="str">
            <v>ja</v>
          </cell>
          <cell r="C1380" t="str">
            <v>超越自我 ラグランジュ</v>
          </cell>
          <cell r="D1380" t="str">
            <v>ガチャ:フィーバーフェス02</v>
          </cell>
          <cell r="E1380" t="str">
            <v>執行者</v>
          </cell>
          <cell r="F1380" t="str">
            <v>格好いい</v>
          </cell>
          <cell r="G1380" t="str">
            <v>女性</v>
          </cell>
          <cell r="H1380" t="str">
            <v>red</v>
          </cell>
          <cell r="I1380">
            <v>5</v>
          </cell>
          <cell r="J1380" t="str">
            <v>PremiumSSS</v>
          </cell>
          <cell r="K1380" t="str">
            <v>ra</v>
          </cell>
          <cell r="L1380" t="str">
            <v>ラグランジュチャレンジ</v>
          </cell>
          <cell r="M1380" t="str">
            <v>human</v>
          </cell>
        </row>
        <row r="1381">
          <cell r="A1381">
            <v>6010</v>
          </cell>
          <cell r="B1381" t="str">
            <v>ja</v>
          </cell>
          <cell r="C1381" t="str">
            <v>超越凌駕 ラグランジュ</v>
          </cell>
          <cell r="D1381" t="str">
            <v>ガチャ:フィーバーフェス02</v>
          </cell>
          <cell r="E1381" t="str">
            <v>執行者</v>
          </cell>
          <cell r="F1381" t="str">
            <v>格好いい</v>
          </cell>
          <cell r="G1381" t="str">
            <v>女性</v>
          </cell>
          <cell r="H1381" t="str">
            <v>red</v>
          </cell>
          <cell r="I1381">
            <v>6</v>
          </cell>
          <cell r="J1381" t="str">
            <v>PremiumSSS</v>
          </cell>
          <cell r="K1381" t="str">
            <v>ra</v>
          </cell>
          <cell r="L1381" t="str">
            <v>ラグランジュチャレンジ</v>
          </cell>
          <cell r="M1381" t="str">
            <v>human</v>
          </cell>
        </row>
        <row r="1382">
          <cell r="A1382">
            <v>6011</v>
          </cell>
          <cell r="B1382" t="str">
            <v>ja</v>
          </cell>
          <cell r="C1382" t="str">
            <v>パトドッグリーダー ポチ</v>
          </cell>
          <cell r="D1382" t="str">
            <v>ガチャ:フィーバーフェス02</v>
          </cell>
          <cell r="E1382" t="str">
            <v>執行者</v>
          </cell>
          <cell r="F1382" t="str">
            <v>格好いい</v>
          </cell>
          <cell r="G1382" t="str">
            <v>男性</v>
          </cell>
          <cell r="H1382" t="str">
            <v>blue</v>
          </cell>
          <cell r="I1382">
            <v>2</v>
          </cell>
          <cell r="J1382" t="str">
            <v>Drop1T</v>
          </cell>
          <cell r="K1382" t="str">
            <v>ra002</v>
          </cell>
          <cell r="L1382" t="str">
            <v>ユークリッドチャレンジ</v>
          </cell>
          <cell r="M1382" t="str">
            <v>unknown</v>
          </cell>
        </row>
        <row r="1383">
          <cell r="A1383">
            <v>6012</v>
          </cell>
          <cell r="B1383" t="str">
            <v>ja</v>
          </cell>
          <cell r="C1383" t="str">
            <v>ミミ</v>
          </cell>
          <cell r="D1383" t="str">
            <v>ガチャ:フィーバーフェス02</v>
          </cell>
          <cell r="E1383" t="str">
            <v>執行者</v>
          </cell>
          <cell r="F1383" t="str">
            <v>格好いい</v>
          </cell>
          <cell r="G1383" t="str">
            <v>男性</v>
          </cell>
          <cell r="H1383" t="str">
            <v>yellow</v>
          </cell>
          <cell r="I1383">
            <v>1</v>
          </cell>
          <cell r="J1383" t="str">
            <v>Drop1W</v>
          </cell>
          <cell r="K1383" t="str">
            <v>ra002</v>
          </cell>
          <cell r="L1383" t="str">
            <v>ユークリッドチャレンジ</v>
          </cell>
          <cell r="M1383" t="str">
            <v>animal</v>
          </cell>
        </row>
        <row r="1384">
          <cell r="A1384">
            <v>6013</v>
          </cell>
          <cell r="B1384" t="str">
            <v>ja</v>
          </cell>
          <cell r="C1384" t="str">
            <v>護衛機人 スケアクロウ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男性</v>
          </cell>
          <cell r="H1384" t="str">
            <v>blue</v>
          </cell>
          <cell r="I1384">
            <v>2</v>
          </cell>
          <cell r="J1384" t="str">
            <v>Drop1N</v>
          </cell>
          <cell r="K1384" t="str">
            <v>ra002</v>
          </cell>
          <cell r="L1384" t="str">
            <v>ユークリッドチャレンジ</v>
          </cell>
          <cell r="M1384" t="str">
            <v>machine</v>
          </cell>
        </row>
        <row r="1385">
          <cell r="A1385">
            <v>6014</v>
          </cell>
          <cell r="B1385" t="str">
            <v>ja</v>
          </cell>
          <cell r="C1385" t="str">
            <v>月下の人狼 ローレンス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男性</v>
          </cell>
          <cell r="H1385" t="str">
            <v>blue</v>
          </cell>
          <cell r="I1385">
            <v>4</v>
          </cell>
          <cell r="J1385" t="str">
            <v>PremiumW</v>
          </cell>
          <cell r="K1385" t="str">
            <v>ra002</v>
          </cell>
          <cell r="L1385" t="str">
            <v>ユークリッドチャレンジ</v>
          </cell>
          <cell r="M1385" t="str">
            <v>animal</v>
          </cell>
        </row>
        <row r="1386">
          <cell r="A1386">
            <v>6015</v>
          </cell>
          <cell r="B1386" t="str">
            <v>ja</v>
          </cell>
          <cell r="C1386" t="str">
            <v>フレイヤ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4</v>
          </cell>
          <cell r="J1386" t="str">
            <v>PremiumSS</v>
          </cell>
          <cell r="K1386" t="str">
            <v>ra002</v>
          </cell>
          <cell r="L1386" t="str">
            <v>ユークリッドチャレンジ</v>
          </cell>
          <cell r="M1386" t="str">
            <v>animal</v>
          </cell>
        </row>
        <row r="1387">
          <cell r="A1387">
            <v>6016</v>
          </cell>
          <cell r="B1387" t="str">
            <v>ja</v>
          </cell>
          <cell r="C1387" t="str">
            <v>根原論理 ユークリッド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blue</v>
          </cell>
          <cell r="I1387">
            <v>5</v>
          </cell>
          <cell r="J1387" t="str">
            <v>PremiumSSS</v>
          </cell>
          <cell r="K1387" t="str">
            <v>ra002</v>
          </cell>
          <cell r="L1387" t="str">
            <v>ユークリッドチャレンジ</v>
          </cell>
          <cell r="M1387" t="str">
            <v>human</v>
          </cell>
        </row>
        <row r="1388">
          <cell r="A1388">
            <v>6017</v>
          </cell>
          <cell r="B1388" t="str">
            <v>ja</v>
          </cell>
          <cell r="C1388" t="str">
            <v>不朽の極論 ユークリッド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6</v>
          </cell>
          <cell r="J1388" t="str">
            <v>PremiumSSS</v>
          </cell>
          <cell r="K1388" t="str">
            <v>ra002</v>
          </cell>
          <cell r="L1388" t="str">
            <v>ユークリッドチャレンジ</v>
          </cell>
          <cell r="M1388" t="str">
            <v>human</v>
          </cell>
        </row>
        <row r="1389">
          <cell r="A1389">
            <v>6018</v>
          </cell>
          <cell r="B1389" t="str">
            <v>ja</v>
          </cell>
          <cell r="C1389" t="str">
            <v>ハヅル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red</v>
          </cell>
          <cell r="I1389">
            <v>4</v>
          </cell>
          <cell r="J1389" t="str">
            <v>PremiumSS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6019</v>
          </cell>
          <cell r="B1390" t="str">
            <v>ja</v>
          </cell>
          <cell r="C1390" t="str">
            <v>天織羽鶴 ハヅル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red</v>
          </cell>
          <cell r="I1390">
            <v>5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6020</v>
          </cell>
          <cell r="B1391" t="str">
            <v>ja</v>
          </cell>
          <cell r="C1391" t="str">
            <v>ミズチ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4</v>
          </cell>
          <cell r="J1391" t="str">
            <v>PremiumS</v>
          </cell>
          <cell r="K1391" t="str">
            <v>ra002</v>
          </cell>
          <cell r="L1391" t="str">
            <v>ユークリッドチャレンジ</v>
          </cell>
          <cell r="M1391" t="str">
            <v>dragon</v>
          </cell>
        </row>
        <row r="1392">
          <cell r="A1392">
            <v>8001</v>
          </cell>
          <cell r="B1392" t="str">
            <v>ja</v>
          </cell>
          <cell r="C1392" t="str">
            <v>媽祖</v>
          </cell>
          <cell r="D1392" t="str">
            <v>イベント:ミクコラボ01</v>
          </cell>
          <cell r="E1392" t="str">
            <v>執行者</v>
          </cell>
          <cell r="F1392" t="str">
            <v>格好いい</v>
          </cell>
          <cell r="G1392" t="str">
            <v>女性</v>
          </cell>
          <cell r="H1392" t="str">
            <v>yellow</v>
          </cell>
          <cell r="I1392">
            <v>5</v>
          </cell>
          <cell r="J1392" t="str">
            <v>PremiumSS</v>
          </cell>
          <cell r="K1392" t="str">
            <v>attack</v>
          </cell>
          <cell r="L1392" t="str">
            <v>攻撃タイプ</v>
          </cell>
          <cell r="M1392" t="str">
            <v>god</v>
          </cell>
        </row>
        <row r="1393">
          <cell r="A1393">
            <v>8002</v>
          </cell>
          <cell r="B1393" t="str">
            <v>ja</v>
          </cell>
          <cell r="C1393" t="str">
            <v>天后 媽祖</v>
          </cell>
          <cell r="D1393" t="str">
            <v>イベント:ミクコラボ01</v>
          </cell>
          <cell r="E1393" t="str">
            <v>執行者</v>
          </cell>
          <cell r="F1393" t="str">
            <v>格好いい</v>
          </cell>
          <cell r="G1393" t="str">
            <v>女性</v>
          </cell>
          <cell r="H1393" t="str">
            <v>yellow</v>
          </cell>
          <cell r="I1393">
            <v>6</v>
          </cell>
          <cell r="J1393" t="str">
            <v>PremiumSS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8003</v>
          </cell>
          <cell r="B1394" t="str">
            <v>ja</v>
          </cell>
          <cell r="C1394" t="str">
            <v>蛟龍</v>
          </cell>
          <cell r="D1394" t="str">
            <v>イベント:ミクコラボ01</v>
          </cell>
          <cell r="E1394" t="str">
            <v>執行者</v>
          </cell>
          <cell r="F1394" t="str">
            <v>格好いい</v>
          </cell>
          <cell r="G1394" t="str">
            <v>不明</v>
          </cell>
          <cell r="H1394" t="str">
            <v>blue</v>
          </cell>
          <cell r="I1394">
            <v>5</v>
          </cell>
          <cell r="J1394" t="str">
            <v>DropWizS</v>
          </cell>
          <cell r="K1394" t="str">
            <v>hp</v>
          </cell>
          <cell r="L1394" t="str">
            <v>体力タイプ</v>
          </cell>
          <cell r="M1394" t="str">
            <v>dragon</v>
          </cell>
        </row>
        <row r="1395">
          <cell r="A1395">
            <v>8004</v>
          </cell>
          <cell r="B1395" t="str">
            <v>ja</v>
          </cell>
          <cell r="C1395" t="str">
            <v>深海蛟龍怪‧晏公</v>
          </cell>
          <cell r="D1395" t="str">
            <v>イベント:ミクコラボ01</v>
          </cell>
          <cell r="E1395" t="str">
            <v>執行者</v>
          </cell>
          <cell r="F1395" t="str">
            <v>格好いい</v>
          </cell>
          <cell r="G1395" t="str">
            <v>不明</v>
          </cell>
          <cell r="H1395" t="str">
            <v>blue</v>
          </cell>
          <cell r="I1395">
            <v>6</v>
          </cell>
          <cell r="J1395" t="str">
            <v>DropWizS</v>
          </cell>
          <cell r="K1395" t="str">
            <v>hp</v>
          </cell>
          <cell r="L1395" t="str">
            <v>体力タイプ</v>
          </cell>
          <cell r="M1395" t="str">
            <v>dragon</v>
          </cell>
        </row>
        <row r="1396">
          <cell r="A1396">
            <v>8005</v>
          </cell>
          <cell r="B1396" t="str">
            <v>ja</v>
          </cell>
          <cell r="C1396" t="str">
            <v>三蔵法師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不明</v>
          </cell>
          <cell r="H1396" t="str">
            <v>blue</v>
          </cell>
          <cell r="I1396">
            <v>5</v>
          </cell>
          <cell r="J1396" t="str">
            <v>PremiumSS</v>
          </cell>
          <cell r="K1396" t="str">
            <v>balance</v>
          </cell>
          <cell r="L1396" t="str">
            <v>バランスタイプ</v>
          </cell>
          <cell r="M1396" t="str">
            <v>human</v>
          </cell>
        </row>
        <row r="1397">
          <cell r="A1397">
            <v>8006</v>
          </cell>
          <cell r="B1397" t="str">
            <v>ja</v>
          </cell>
          <cell r="C1397" t="str">
            <v>三蔵法師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不明</v>
          </cell>
          <cell r="H1397" t="str">
            <v>blue</v>
          </cell>
          <cell r="I1397">
            <v>6</v>
          </cell>
          <cell r="J1397" t="str">
            <v>PremiumSS</v>
          </cell>
          <cell r="K1397" t="str">
            <v>balance</v>
          </cell>
          <cell r="L1397" t="str">
            <v>バランスタイプ</v>
          </cell>
          <cell r="M1397" t="str">
            <v>human</v>
          </cell>
        </row>
        <row r="1398">
          <cell r="A1398">
            <v>8007</v>
          </cell>
          <cell r="B1398" t="str">
            <v>ja</v>
          </cell>
          <cell r="C1398" t="str">
            <v>孫悟空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red</v>
          </cell>
          <cell r="I1398">
            <v>5</v>
          </cell>
          <cell r="J1398" t="str">
            <v>DropWizS</v>
          </cell>
          <cell r="K1398" t="str">
            <v>attack</v>
          </cell>
          <cell r="L1398" t="str">
            <v>攻撃タイプ</v>
          </cell>
          <cell r="M1398" t="str">
            <v>animal</v>
          </cell>
        </row>
        <row r="1399">
          <cell r="A1399">
            <v>8008</v>
          </cell>
          <cell r="B1399" t="str">
            <v>ja</v>
          </cell>
          <cell r="C1399" t="str">
            <v>孫悟空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red</v>
          </cell>
          <cell r="I1399">
            <v>6</v>
          </cell>
          <cell r="J1399" t="str">
            <v>DropWizS</v>
          </cell>
          <cell r="K1399" t="str">
            <v>attack</v>
          </cell>
          <cell r="L1399" t="str">
            <v>攻撃タイプ</v>
          </cell>
          <cell r="M1399" t="str">
            <v>animal</v>
          </cell>
        </row>
        <row r="1400">
          <cell r="A1400">
            <v>8009</v>
          </cell>
          <cell r="B1400" t="str">
            <v>ja</v>
          </cell>
          <cell r="C1400" t="str">
            <v>西王娘娘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green</v>
          </cell>
          <cell r="I1400">
            <v>5</v>
          </cell>
          <cell r="J1400" t="str">
            <v>PremiumSS</v>
          </cell>
          <cell r="K1400" t="str">
            <v>attack</v>
          </cell>
          <cell r="L1400" t="str">
            <v>攻撃タイプ</v>
          </cell>
          <cell r="M1400" t="str">
            <v>god</v>
          </cell>
        </row>
        <row r="1401">
          <cell r="A1401">
            <v>8010</v>
          </cell>
          <cell r="B1401" t="str">
            <v>ja</v>
          </cell>
          <cell r="C1401" t="str">
            <v>西王娘娘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green</v>
          </cell>
          <cell r="I1401">
            <v>6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8011</v>
          </cell>
          <cell r="B1402" t="str">
            <v>ja</v>
          </cell>
          <cell r="C1402" t="str">
            <v>月下老人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5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god</v>
          </cell>
        </row>
        <row r="1403">
          <cell r="A1403">
            <v>8012</v>
          </cell>
          <cell r="B1403" t="str">
            <v>ja</v>
          </cell>
          <cell r="C1403" t="str">
            <v>良緣祈福 月下老人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女性</v>
          </cell>
          <cell r="H1403" t="str">
            <v>yellow</v>
          </cell>
          <cell r="I1403">
            <v>6</v>
          </cell>
          <cell r="J1403" t="str">
            <v>DropWizS</v>
          </cell>
          <cell r="K1403" t="str">
            <v>balance</v>
          </cell>
          <cell r="L1403" t="str">
            <v>バランスタイプ</v>
          </cell>
          <cell r="M1403" t="str">
            <v>god</v>
          </cell>
        </row>
        <row r="1404">
          <cell r="A1404">
            <v>8013</v>
          </cell>
          <cell r="B1404" t="str">
            <v>ja</v>
          </cell>
          <cell r="C1404" t="str">
            <v>初音ミクV3</v>
          </cell>
          <cell r="D1404" t="str">
            <v>初音ミクV3</v>
          </cell>
          <cell r="E1404" t="str">
            <v>執行者</v>
          </cell>
          <cell r="F1404" t="str">
            <v>格好いい</v>
          </cell>
          <cell r="G1404" t="str">
            <v>女性</v>
          </cell>
          <cell r="H1404" t="str">
            <v>yellow</v>
          </cell>
          <cell r="I1404">
            <v>4</v>
          </cell>
          <cell r="J1404" t="str">
            <v>DropWizS</v>
          </cell>
          <cell r="K1404" t="str">
            <v>balance</v>
          </cell>
          <cell r="L1404" t="str">
            <v>バランスタイプ</v>
          </cell>
          <cell r="M1404" t="str">
            <v>unknown</v>
          </cell>
        </row>
        <row r="1405">
          <cell r="A1405">
            <v>8014</v>
          </cell>
          <cell r="B1405" t="str">
            <v>ja</v>
          </cell>
          <cell r="C1405" t="str">
            <v>初音ミクV3</v>
          </cell>
          <cell r="D1405" t="str">
            <v>初音ミクV3</v>
          </cell>
          <cell r="E1405" t="str">
            <v>執行者</v>
          </cell>
          <cell r="F1405" t="str">
            <v>格好いい</v>
          </cell>
          <cell r="G1405" t="str">
            <v>女性</v>
          </cell>
          <cell r="H1405" t="str">
            <v>yellow</v>
          </cell>
          <cell r="I1405">
            <v>5</v>
          </cell>
          <cell r="J1405" t="str">
            <v>DropWizS</v>
          </cell>
          <cell r="K1405" t="str">
            <v>balance</v>
          </cell>
          <cell r="L1405" t="str">
            <v>バランスタイプ</v>
          </cell>
          <cell r="M1405" t="str">
            <v>unknown</v>
          </cell>
        </row>
        <row r="1406">
          <cell r="A1406">
            <v>8015</v>
          </cell>
          <cell r="B1406" t="str">
            <v>ja</v>
          </cell>
          <cell r="C1406" t="str">
            <v>初音ミク・アペンド</v>
          </cell>
          <cell r="D1406" t="str">
            <v>初音ミク・アペンド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green</v>
          </cell>
          <cell r="I1406">
            <v>4</v>
          </cell>
          <cell r="J1406" t="str">
            <v>PremiumSSS</v>
          </cell>
          <cell r="K1406" t="str">
            <v>technical</v>
          </cell>
          <cell r="L1406" t="str">
            <v>テクニカルタイプ</v>
          </cell>
          <cell r="M1406" t="str">
            <v>unknown</v>
          </cell>
        </row>
        <row r="1407">
          <cell r="A1407">
            <v>8016</v>
          </cell>
          <cell r="B1407" t="str">
            <v>ja</v>
          </cell>
          <cell r="C1407" t="str">
            <v>初音ミク・アペンド</v>
          </cell>
          <cell r="D1407" t="str">
            <v>初音ミク・アペンド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green</v>
          </cell>
          <cell r="I1407">
            <v>5</v>
          </cell>
          <cell r="J1407" t="str">
            <v>PremiumSSS</v>
          </cell>
          <cell r="K1407" t="str">
            <v>technical</v>
          </cell>
          <cell r="L1407" t="str">
            <v>テクニカルタイプ</v>
          </cell>
          <cell r="M1407" t="str">
            <v>unknown</v>
          </cell>
        </row>
        <row r="1408">
          <cell r="A1408">
            <v>8017</v>
          </cell>
          <cell r="B1408" t="str">
            <v>ja</v>
          </cell>
          <cell r="C1408" t="str">
            <v>初音ミク</v>
          </cell>
          <cell r="D1408" t="str">
            <v>初音ミク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green</v>
          </cell>
          <cell r="I1408">
            <v>4</v>
          </cell>
          <cell r="J1408" t="str">
            <v>PremiumSSS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8018</v>
          </cell>
          <cell r="B1409" t="str">
            <v>ja</v>
          </cell>
          <cell r="C1409" t="str">
            <v>初音ミク</v>
          </cell>
          <cell r="D1409" t="str">
            <v>初音ミク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green</v>
          </cell>
          <cell r="I1409">
            <v>5</v>
          </cell>
          <cell r="J1409" t="str">
            <v>PremiumSSS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8019</v>
          </cell>
          <cell r="B1410" t="str">
            <v>ja</v>
          </cell>
          <cell r="C1410" t="str">
            <v>鏡音リン</v>
          </cell>
          <cell r="D1410" t="str">
            <v>鏡音リン</v>
          </cell>
          <cell r="E1410" t="str">
            <v>執行者</v>
          </cell>
          <cell r="F1410" t="str">
            <v>格好いい</v>
          </cell>
          <cell r="G1410" t="str">
            <v>男性</v>
          </cell>
          <cell r="H1410" t="str">
            <v>yellow</v>
          </cell>
          <cell r="I1410">
            <v>4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8020</v>
          </cell>
          <cell r="B1411" t="str">
            <v>ja</v>
          </cell>
          <cell r="C1411" t="str">
            <v>鏡音リン</v>
          </cell>
          <cell r="D1411" t="str">
            <v>鏡音リン</v>
          </cell>
          <cell r="E1411" t="str">
            <v>執行者</v>
          </cell>
          <cell r="F1411" t="str">
            <v>格好いい</v>
          </cell>
          <cell r="G1411" t="str">
            <v>男性</v>
          </cell>
          <cell r="H1411" t="str">
            <v>yellow</v>
          </cell>
          <cell r="I1411">
            <v>5</v>
          </cell>
          <cell r="J1411" t="str">
            <v>PremiumSS</v>
          </cell>
          <cell r="K1411" t="str">
            <v>balance</v>
          </cell>
          <cell r="L1411" t="str">
            <v>バランスタイプ</v>
          </cell>
          <cell r="M1411" t="str">
            <v>unknown</v>
          </cell>
        </row>
        <row r="1412">
          <cell r="A1412">
            <v>8021</v>
          </cell>
          <cell r="B1412" t="str">
            <v>ja</v>
          </cell>
          <cell r="C1412" t="str">
            <v>鏡音レン</v>
          </cell>
          <cell r="D1412" t="str">
            <v>鏡音レン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4</v>
          </cell>
          <cell r="J1412" t="str">
            <v>PremiumSS</v>
          </cell>
          <cell r="K1412" t="str">
            <v>heal</v>
          </cell>
          <cell r="L1412" t="str">
            <v>回復タイプ</v>
          </cell>
          <cell r="M1412" t="str">
            <v>unknown</v>
          </cell>
        </row>
        <row r="1413">
          <cell r="A1413">
            <v>8022</v>
          </cell>
          <cell r="B1413" t="str">
            <v>ja</v>
          </cell>
          <cell r="C1413" t="str">
            <v>鏡音レン</v>
          </cell>
          <cell r="D1413" t="str">
            <v>鏡音レン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5</v>
          </cell>
          <cell r="J1413" t="str">
            <v>PremiumSS</v>
          </cell>
          <cell r="K1413" t="str">
            <v>heal</v>
          </cell>
          <cell r="L1413" t="str">
            <v>回復タイプ</v>
          </cell>
          <cell r="M1413" t="str">
            <v>unknown</v>
          </cell>
        </row>
        <row r="1414">
          <cell r="A1414">
            <v>8023</v>
          </cell>
          <cell r="B1414" t="str">
            <v>ja</v>
          </cell>
          <cell r="C1414" t="str">
            <v>巡音ルカ</v>
          </cell>
          <cell r="D1414" t="str">
            <v>巡音ルカ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red</v>
          </cell>
          <cell r="I1414">
            <v>3</v>
          </cell>
          <cell r="J1414" t="str">
            <v>PremiumS</v>
          </cell>
          <cell r="K1414" t="str">
            <v>attack</v>
          </cell>
          <cell r="L1414" t="str">
            <v>攻撃タイプ</v>
          </cell>
          <cell r="M1414" t="str">
            <v>unknown</v>
          </cell>
        </row>
        <row r="1415">
          <cell r="A1415">
            <v>8024</v>
          </cell>
          <cell r="B1415" t="str">
            <v>ja</v>
          </cell>
          <cell r="C1415" t="str">
            <v>巡音ルカ</v>
          </cell>
          <cell r="D1415" t="str">
            <v>巡音ルカ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red</v>
          </cell>
          <cell r="I1415">
            <v>4</v>
          </cell>
          <cell r="J1415" t="str">
            <v>PremiumS</v>
          </cell>
          <cell r="K1415" t="str">
            <v>attack</v>
          </cell>
          <cell r="L1415" t="str">
            <v>攻撃タイプ</v>
          </cell>
          <cell r="M1415" t="str">
            <v>unknown</v>
          </cell>
        </row>
        <row r="1416">
          <cell r="A1416">
            <v>8025</v>
          </cell>
          <cell r="B1416" t="str">
            <v>ja</v>
          </cell>
          <cell r="C1416" t="str">
            <v>MEIKO</v>
          </cell>
          <cell r="D1416" t="str">
            <v>MEIKO</v>
          </cell>
          <cell r="E1416" t="str">
            <v>執行者</v>
          </cell>
          <cell r="F1416" t="str">
            <v>格好いい</v>
          </cell>
          <cell r="G1416" t="str">
            <v>男性</v>
          </cell>
          <cell r="H1416" t="str">
            <v>red</v>
          </cell>
          <cell r="I1416">
            <v>3</v>
          </cell>
          <cell r="J1416" t="str">
            <v>PremiumS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8026</v>
          </cell>
          <cell r="B1417" t="str">
            <v>ja</v>
          </cell>
          <cell r="C1417" t="str">
            <v>MEIKO</v>
          </cell>
          <cell r="D1417" t="str">
            <v>MEIKO</v>
          </cell>
          <cell r="E1417" t="str">
            <v>執行者</v>
          </cell>
          <cell r="F1417" t="str">
            <v>格好いい</v>
          </cell>
          <cell r="G1417" t="str">
            <v>男性</v>
          </cell>
          <cell r="H1417" t="str">
            <v>red</v>
          </cell>
          <cell r="I1417">
            <v>4</v>
          </cell>
          <cell r="J1417" t="str">
            <v>PremiumS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8027</v>
          </cell>
          <cell r="B1418" t="str">
            <v>ja</v>
          </cell>
          <cell r="C1418" t="str">
            <v>KAITO</v>
          </cell>
          <cell r="D1418" t="str">
            <v>KAITO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blue</v>
          </cell>
          <cell r="I1418">
            <v>3</v>
          </cell>
          <cell r="J1418" t="str">
            <v>PremiumS</v>
          </cell>
          <cell r="K1418" t="str">
            <v>technical</v>
          </cell>
          <cell r="L1418" t="str">
            <v>テクニカルタイプ</v>
          </cell>
          <cell r="M1418" t="str">
            <v>unknown</v>
          </cell>
        </row>
        <row r="1419">
          <cell r="A1419">
            <v>8028</v>
          </cell>
          <cell r="B1419" t="str">
            <v>ja</v>
          </cell>
          <cell r="C1419" t="str">
            <v>KAITO</v>
          </cell>
          <cell r="D1419" t="str">
            <v>KAITO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blue</v>
          </cell>
          <cell r="I1419">
            <v>4</v>
          </cell>
          <cell r="J1419" t="str">
            <v>PremiumS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8029</v>
          </cell>
          <cell r="B1420" t="str">
            <v>ja</v>
          </cell>
          <cell r="C1420" t="str">
            <v>Expoミク</v>
          </cell>
          <cell r="D1420" t="str">
            <v>Expoミク</v>
          </cell>
          <cell r="E1420" t="str">
            <v>執行者</v>
          </cell>
          <cell r="F1420" t="str">
            <v>格好いい</v>
          </cell>
          <cell r="G1420" t="str">
            <v>女性</v>
          </cell>
          <cell r="H1420" t="str">
            <v>blue</v>
          </cell>
          <cell r="I1420">
            <v>4</v>
          </cell>
          <cell r="J1420" t="str">
            <v>Drop2N</v>
          </cell>
          <cell r="K1420" t="str">
            <v>heal</v>
          </cell>
          <cell r="L1420" t="str">
            <v>回復タイプ</v>
          </cell>
          <cell r="M1420" t="str">
            <v>unknown</v>
          </cell>
        </row>
        <row r="1421">
          <cell r="A1421">
            <v>8030</v>
          </cell>
          <cell r="B1421" t="str">
            <v>ja</v>
          </cell>
          <cell r="C1421" t="str">
            <v>Expoミク</v>
          </cell>
          <cell r="D1421" t="str">
            <v>Expoミク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blue</v>
          </cell>
          <cell r="I1421">
            <v>4</v>
          </cell>
          <cell r="J1421" t="str">
            <v>Drop2N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8031</v>
          </cell>
          <cell r="B1422" t="str">
            <v>ja</v>
          </cell>
          <cell r="C1422" t="str">
            <v>閻羅王</v>
          </cell>
          <cell r="D1422" t="str">
            <v>Expoミク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red</v>
          </cell>
          <cell r="I1422">
            <v>5</v>
          </cell>
          <cell r="J1422" t="str">
            <v>PremiumSS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8032</v>
          </cell>
          <cell r="B1423" t="str">
            <v>ja</v>
          </cell>
          <cell r="C1423" t="str">
            <v>十殿閻羅王</v>
          </cell>
          <cell r="D1423" t="str">
            <v>Expoミク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6</v>
          </cell>
          <cell r="J1423" t="str">
            <v>PremiumSS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8033</v>
          </cell>
          <cell r="B1424" t="str">
            <v>ja</v>
          </cell>
          <cell r="C1424" t="str">
            <v>牛頭馬面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green</v>
          </cell>
          <cell r="I1424">
            <v>5</v>
          </cell>
          <cell r="J1424" t="str">
            <v>DropWizS</v>
          </cell>
          <cell r="K1424" t="str">
            <v>attack</v>
          </cell>
          <cell r="L1424" t="str">
            <v>攻撃タイプ</v>
          </cell>
          <cell r="M1424" t="str">
            <v>god</v>
          </cell>
        </row>
        <row r="1425">
          <cell r="A1425">
            <v>8034</v>
          </cell>
          <cell r="B1425" t="str">
            <v>ja</v>
          </cell>
          <cell r="C1425" t="str">
            <v>牛頭馬面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green</v>
          </cell>
          <cell r="I1425">
            <v>6</v>
          </cell>
          <cell r="J1425" t="str">
            <v>DropWizS</v>
          </cell>
          <cell r="K1425" t="str">
            <v>attack</v>
          </cell>
          <cell r="L1425" t="str">
            <v>攻撃タイプ</v>
          </cell>
          <cell r="M1425" t="str">
            <v>god</v>
          </cell>
        </row>
        <row r="1426">
          <cell r="A1426">
            <v>8035</v>
          </cell>
          <cell r="B1426" t="str">
            <v>ja</v>
          </cell>
          <cell r="C1426" t="str">
            <v>嫦娥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blue</v>
          </cell>
          <cell r="I1426">
            <v>4</v>
          </cell>
          <cell r="J1426" t="str">
            <v>Drop2N</v>
          </cell>
          <cell r="K1426" t="str">
            <v>heal</v>
          </cell>
          <cell r="L1426" t="str">
            <v>回復タイプ</v>
          </cell>
          <cell r="M1426" t="str">
            <v>unknown</v>
          </cell>
        </row>
        <row r="1427">
          <cell r="A1427">
            <v>8036</v>
          </cell>
          <cell r="B1427" t="str">
            <v>ja</v>
          </cell>
          <cell r="C1427" t="str">
            <v>嫦娥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4</v>
          </cell>
          <cell r="J1427" t="str">
            <v>Drop2N</v>
          </cell>
          <cell r="K1427" t="str">
            <v>heal</v>
          </cell>
          <cell r="L1427" t="str">
            <v>回復タイプ</v>
          </cell>
          <cell r="M1427" t="str">
            <v>unknown</v>
          </cell>
        </row>
        <row r="1428">
          <cell r="A1428">
            <v>8037</v>
          </cell>
          <cell r="B1428" t="str">
            <v>ja</v>
          </cell>
          <cell r="C1428" t="str">
            <v>后羿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heal</v>
          </cell>
          <cell r="L1428" t="str">
            <v>回復タイプ</v>
          </cell>
          <cell r="M1428" t="str">
            <v>unknown</v>
          </cell>
        </row>
        <row r="1429">
          <cell r="A1429">
            <v>8038</v>
          </cell>
          <cell r="B1429" t="str">
            <v>ja</v>
          </cell>
          <cell r="C1429" t="str">
            <v>后羿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8039</v>
          </cell>
          <cell r="B1430" t="str">
            <v>ja</v>
          </cell>
          <cell r="C1430" t="str">
            <v>何仙姑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4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8040</v>
          </cell>
          <cell r="B1431" t="str">
            <v>ja</v>
          </cell>
          <cell r="C1431" t="str">
            <v>何仙姑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4</v>
          </cell>
          <cell r="J1431" t="str">
            <v>Drop2N</v>
          </cell>
          <cell r="K1431" t="str">
            <v>heal</v>
          </cell>
          <cell r="L1431" t="str">
            <v>回復タイプ</v>
          </cell>
          <cell r="M1431" t="str">
            <v>unknown</v>
          </cell>
        </row>
        <row r="1432">
          <cell r="A1432">
            <v>8041</v>
          </cell>
          <cell r="B1432" t="str">
            <v>ja</v>
          </cell>
          <cell r="C1432" t="str">
            <v>藍采和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blue</v>
          </cell>
          <cell r="I1432">
            <v>4</v>
          </cell>
          <cell r="J1432" t="str">
            <v>Drop2N</v>
          </cell>
          <cell r="K1432" t="str">
            <v>heal</v>
          </cell>
          <cell r="L1432" t="str">
            <v>回復タイプ</v>
          </cell>
          <cell r="M1432" t="str">
            <v>unknown</v>
          </cell>
        </row>
        <row r="1433">
          <cell r="A1433">
            <v>8042</v>
          </cell>
          <cell r="B1433" t="str">
            <v>ja</v>
          </cell>
          <cell r="C1433" t="str">
            <v>藍采和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blue</v>
          </cell>
          <cell r="I1433">
            <v>4</v>
          </cell>
          <cell r="J1433" t="str">
            <v>Drop2N</v>
          </cell>
          <cell r="K1433" t="str">
            <v>heal</v>
          </cell>
          <cell r="L1433" t="str">
            <v>回復タイプ</v>
          </cell>
          <cell r="M1433" t="str">
            <v>unknown</v>
          </cell>
        </row>
        <row r="1434">
          <cell r="A1434">
            <v>8043</v>
          </cell>
          <cell r="B1434" t="str">
            <v>ja</v>
          </cell>
          <cell r="C1434" t="str">
            <v>サンリオキャラ大集合+アザゼル</v>
          </cell>
          <cell r="D1434" t="str">
            <v>サンリオキャラ大集合+アザゼル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5</v>
          </cell>
          <cell r="J1434" t="str">
            <v>DropWizS</v>
          </cell>
          <cell r="K1434" t="str">
            <v>technical</v>
          </cell>
          <cell r="L1434" t="str">
            <v>テクニカルタイプ</v>
          </cell>
          <cell r="M1434" t="str">
            <v>ss</v>
          </cell>
        </row>
        <row r="1435">
          <cell r="A1435">
            <v>8044</v>
          </cell>
          <cell r="B1435" t="str">
            <v>ja</v>
          </cell>
          <cell r="C1435" t="str">
            <v>サンリオキャラ大集合+アザゼル</v>
          </cell>
          <cell r="D1435" t="str">
            <v>サンリオキャラ大集合+アザゼル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green</v>
          </cell>
          <cell r="I1435">
            <v>6</v>
          </cell>
          <cell r="J1435" t="str">
            <v>DropWizS</v>
          </cell>
          <cell r="K1435" t="str">
            <v>technical</v>
          </cell>
          <cell r="L1435" t="str">
            <v>テクニカルタイプ</v>
          </cell>
          <cell r="M1435" t="str">
            <v>ss</v>
          </cell>
        </row>
        <row r="1436">
          <cell r="A1436">
            <v>8045</v>
          </cell>
          <cell r="B1436" t="str">
            <v>ja</v>
          </cell>
          <cell r="C1436" t="str">
            <v>ニムダ_サンリオキャラ混じり</v>
          </cell>
          <cell r="D1436" t="str">
            <v>ニムダ_サンリオキャラ混じり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yellow</v>
          </cell>
          <cell r="I1436">
            <v>4</v>
          </cell>
          <cell r="J1436" t="str">
            <v>Drop2N</v>
          </cell>
          <cell r="K1436" t="str">
            <v>technical</v>
          </cell>
          <cell r="L1436" t="str">
            <v>テクニカルタイプ</v>
          </cell>
          <cell r="M1436" t="str">
            <v>ss</v>
          </cell>
        </row>
        <row r="1437">
          <cell r="A1437">
            <v>8046</v>
          </cell>
          <cell r="B1437" t="str">
            <v>ja</v>
          </cell>
          <cell r="C1437" t="str">
            <v>ニムダ_サンリオキャラ混じり</v>
          </cell>
          <cell r="D1437" t="str">
            <v>ニムダ_サンリオキャラ混じり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yellow</v>
          </cell>
          <cell r="I1437">
            <v>5</v>
          </cell>
          <cell r="J1437" t="str">
            <v>Drop2N</v>
          </cell>
          <cell r="K1437" t="str">
            <v>technical</v>
          </cell>
          <cell r="L1437" t="str">
            <v>テクニカルタイプ</v>
          </cell>
          <cell r="M1437" t="str">
            <v>ss</v>
          </cell>
        </row>
        <row r="1438">
          <cell r="A1438">
            <v>8047</v>
          </cell>
          <cell r="B1438" t="str">
            <v>ja</v>
          </cell>
          <cell r="C1438" t="str">
            <v>ハローキティ</v>
          </cell>
          <cell r="D1438" t="str">
            <v>ハローキティ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4</v>
          </cell>
          <cell r="J1438" t="str">
            <v>Drop2N</v>
          </cell>
          <cell r="K1438" t="str">
            <v>balance</v>
          </cell>
          <cell r="L1438" t="str">
            <v>バランスタイプ</v>
          </cell>
          <cell r="M1438" t="str">
            <v>ss</v>
          </cell>
        </row>
        <row r="1439">
          <cell r="A1439">
            <v>8048</v>
          </cell>
          <cell r="B1439" t="str">
            <v>ja</v>
          </cell>
          <cell r="C1439" t="str">
            <v>ハローキティ</v>
          </cell>
          <cell r="D1439" t="str">
            <v>ハローキティ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red</v>
          </cell>
          <cell r="I1439">
            <v>5</v>
          </cell>
          <cell r="J1439" t="str">
            <v>Drop2N</v>
          </cell>
          <cell r="K1439" t="str">
            <v>balance</v>
          </cell>
          <cell r="L1439" t="str">
            <v>バランスタイプ</v>
          </cell>
          <cell r="M1439" t="str">
            <v>ss</v>
          </cell>
        </row>
        <row r="1440">
          <cell r="A1440">
            <v>8049</v>
          </cell>
          <cell r="B1440" t="str">
            <v>ja</v>
          </cell>
          <cell r="C1440" t="str">
            <v>KIRIMIちゃん</v>
          </cell>
          <cell r="D1440" t="str">
            <v>KIRIMIちゃん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red</v>
          </cell>
          <cell r="I1440">
            <v>4</v>
          </cell>
          <cell r="J1440" t="str">
            <v>Drop2N</v>
          </cell>
          <cell r="K1440" t="str">
            <v>hp</v>
          </cell>
          <cell r="L1440" t="str">
            <v>体力タイプ</v>
          </cell>
          <cell r="M1440" t="str">
            <v>ss</v>
          </cell>
        </row>
        <row r="1441">
          <cell r="A1441">
            <v>8050</v>
          </cell>
          <cell r="B1441" t="str">
            <v>ja</v>
          </cell>
          <cell r="C1441" t="str">
            <v>KIRIMIちゃん</v>
          </cell>
          <cell r="D1441" t="str">
            <v>KIRIMIちゃん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red</v>
          </cell>
          <cell r="I1441">
            <v>5</v>
          </cell>
          <cell r="J1441" t="str">
            <v>Drop2N</v>
          </cell>
          <cell r="K1441" t="str">
            <v>hp</v>
          </cell>
          <cell r="L1441" t="str">
            <v>体力タイプ</v>
          </cell>
          <cell r="M1441" t="str">
            <v>ss</v>
          </cell>
        </row>
        <row r="1442">
          <cell r="A1442">
            <v>8051</v>
          </cell>
          <cell r="B1442" t="str">
            <v>ja</v>
          </cell>
          <cell r="C1442" t="str">
            <v>ハローキティのリボン</v>
          </cell>
          <cell r="D1442" t="str">
            <v>ハローキティのリボン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5</v>
          </cell>
          <cell r="J1442" t="str">
            <v>Drop2N</v>
          </cell>
          <cell r="K1442" t="str">
            <v>evolution</v>
          </cell>
          <cell r="L1442" t="str">
            <v>覚醒素材タイプ</v>
          </cell>
          <cell r="M1442" t="str">
            <v>ss</v>
          </cell>
        </row>
        <row r="1443">
          <cell r="A1443">
            <v>8052</v>
          </cell>
          <cell r="B1443" t="str">
            <v>ja</v>
          </cell>
          <cell r="C1443" t="str">
            <v>ママの作ったアップルパイ</v>
          </cell>
          <cell r="D1443" t="str">
            <v>ママの作ったアップルパイ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4</v>
          </cell>
          <cell r="J1443" t="str">
            <v>Drop2N</v>
          </cell>
          <cell r="K1443" t="str">
            <v>evolution</v>
          </cell>
          <cell r="L1443" t="str">
            <v>覚醒素材タイプ</v>
          </cell>
          <cell r="M1443" t="str">
            <v>ss</v>
          </cell>
        </row>
        <row r="1444">
          <cell r="A1444">
            <v>8053</v>
          </cell>
          <cell r="B1444" t="str">
            <v>ja</v>
          </cell>
          <cell r="C1444" t="str">
            <v>D.R.T.H__キティコスプレ</v>
          </cell>
          <cell r="D1444" t="str">
            <v>D.R.T.H__キティコスプレ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5</v>
          </cell>
          <cell r="J1444" t="str">
            <v>PremiumSS</v>
          </cell>
          <cell r="K1444" t="str">
            <v>balance</v>
          </cell>
          <cell r="L1444" t="str">
            <v>バランスタイプ</v>
          </cell>
          <cell r="M1444" t="str">
            <v>ss</v>
          </cell>
        </row>
        <row r="1445">
          <cell r="A1445">
            <v>8054</v>
          </cell>
          <cell r="B1445" t="str">
            <v>ja</v>
          </cell>
          <cell r="C1445" t="str">
            <v>D.R.T.H__キティコスプレ</v>
          </cell>
          <cell r="D1445" t="str">
            <v>D.R.T.H__キティコスプレ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6</v>
          </cell>
          <cell r="J1445" t="str">
            <v>PremiumSS</v>
          </cell>
          <cell r="K1445" t="str">
            <v>balance</v>
          </cell>
          <cell r="L1445" t="str">
            <v>バランスタイプ</v>
          </cell>
          <cell r="M1445" t="str">
            <v>ss</v>
          </cell>
        </row>
        <row r="1446">
          <cell r="A1446">
            <v>8055</v>
          </cell>
          <cell r="B1446" t="str">
            <v>ja</v>
          </cell>
          <cell r="C1446" t="str">
            <v>マイメロディ</v>
          </cell>
          <cell r="D1446" t="str">
            <v>マイメロディ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4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ss</v>
          </cell>
        </row>
        <row r="1447">
          <cell r="A1447">
            <v>8056</v>
          </cell>
          <cell r="B1447" t="str">
            <v>ja</v>
          </cell>
          <cell r="C1447" t="str">
            <v>マイメロディ</v>
          </cell>
          <cell r="D1447" t="str">
            <v>マイメロディ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5</v>
          </cell>
          <cell r="J1447" t="str">
            <v>PremiumS</v>
          </cell>
          <cell r="K1447" t="str">
            <v>attack</v>
          </cell>
          <cell r="L1447" t="str">
            <v>攻撃タイプ</v>
          </cell>
          <cell r="M1447" t="str">
            <v>ss</v>
          </cell>
        </row>
        <row r="1448">
          <cell r="A1448">
            <v>8057</v>
          </cell>
          <cell r="B1448" t="str">
            <v>ja</v>
          </cell>
          <cell r="C1448" t="str">
            <v>ニーベルゲン_シナモロールコスプレ</v>
          </cell>
          <cell r="D1448" t="str">
            <v>ニーベルゲン_シナモロールコスプレ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green</v>
          </cell>
          <cell r="I1448">
            <v>4</v>
          </cell>
          <cell r="J1448" t="str">
            <v>PremiumS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8058</v>
          </cell>
          <cell r="B1449" t="str">
            <v>ja</v>
          </cell>
          <cell r="C1449" t="str">
            <v>ニーベルゲン_シナモロールコスプレ</v>
          </cell>
          <cell r="D1449" t="str">
            <v>ニーベルゲン_シナモロールコスプレ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green</v>
          </cell>
          <cell r="I1449">
            <v>5</v>
          </cell>
          <cell r="J1449" t="str">
            <v>PremiumS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8059</v>
          </cell>
          <cell r="B1450" t="str">
            <v>ja</v>
          </cell>
          <cell r="C1450" t="str">
            <v>カカシ_マイメロディコスプレ</v>
          </cell>
          <cell r="D1450" t="str">
            <v>カカシ_マイメロディコスプレ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green</v>
          </cell>
          <cell r="I1450">
            <v>4</v>
          </cell>
          <cell r="J1450" t="str">
            <v>PremiumS</v>
          </cell>
          <cell r="K1450" t="str">
            <v>technical</v>
          </cell>
          <cell r="L1450" t="str">
            <v>テクニカルタイプ</v>
          </cell>
          <cell r="M1450" t="str">
            <v>ss</v>
          </cell>
        </row>
        <row r="1451">
          <cell r="A1451">
            <v>8060</v>
          </cell>
          <cell r="B1451" t="str">
            <v>ja</v>
          </cell>
          <cell r="C1451" t="str">
            <v>カカシ_マイメロディコスプレ</v>
          </cell>
          <cell r="D1451" t="str">
            <v>カカシ_マイメロディコスプレ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green</v>
          </cell>
          <cell r="I1451">
            <v>5</v>
          </cell>
          <cell r="J1451" t="str">
            <v>PremiumS</v>
          </cell>
          <cell r="K1451" t="str">
            <v>technical</v>
          </cell>
          <cell r="L1451" t="str">
            <v>テクニカルタイプ</v>
          </cell>
          <cell r="M1451" t="str">
            <v>ss</v>
          </cell>
        </row>
        <row r="1452">
          <cell r="A1452">
            <v>8061</v>
          </cell>
          <cell r="B1452" t="str">
            <v>ja</v>
          </cell>
          <cell r="C1452" t="str">
            <v>ケロケロけろっぴ</v>
          </cell>
          <cell r="D1452" t="str">
            <v>ケロケロけろっぴ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3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8062</v>
          </cell>
          <cell r="B1453" t="str">
            <v>ja</v>
          </cell>
          <cell r="C1453" t="str">
            <v>ケロケロけろっぴ</v>
          </cell>
          <cell r="D1453" t="str">
            <v>ケロケロけろっぴ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4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8063</v>
          </cell>
          <cell r="B1454" t="str">
            <v>ja</v>
          </cell>
          <cell r="C1454" t="str">
            <v>モルドレッド_ポムポムプリンコスプレ</v>
          </cell>
          <cell r="D1454" t="str">
            <v>モルドレッド_ポムポムプリンコスプレ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blue</v>
          </cell>
          <cell r="I1454">
            <v>5</v>
          </cell>
          <cell r="J1454" t="str">
            <v>PremiumSS</v>
          </cell>
          <cell r="K1454" t="str">
            <v>heal</v>
          </cell>
          <cell r="L1454" t="str">
            <v>回復タイプ</v>
          </cell>
          <cell r="M1454" t="str">
            <v>ss</v>
          </cell>
        </row>
        <row r="1455">
          <cell r="A1455">
            <v>8064</v>
          </cell>
          <cell r="B1455" t="str">
            <v>ja</v>
          </cell>
          <cell r="C1455" t="str">
            <v>モルドレッド_ポムポムプリンコスプレ</v>
          </cell>
          <cell r="D1455" t="str">
            <v>モルドレッド_ポムポムプリンコスプレ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heal</v>
          </cell>
          <cell r="L1455" t="str">
            <v>回復タイプ</v>
          </cell>
          <cell r="M1455" t="str">
            <v>ss</v>
          </cell>
        </row>
        <row r="1456">
          <cell r="A1456">
            <v>8065</v>
          </cell>
          <cell r="B1456" t="str">
            <v>ja</v>
          </cell>
          <cell r="C1456" t="str">
            <v>クロミ</v>
          </cell>
          <cell r="D1456" t="str">
            <v>クロミ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blue</v>
          </cell>
          <cell r="I1456">
            <v>3</v>
          </cell>
          <cell r="J1456" t="str">
            <v>PremiumS</v>
          </cell>
          <cell r="K1456" t="str">
            <v>technical</v>
          </cell>
          <cell r="L1456" t="str">
            <v>テクニカルタイプ</v>
          </cell>
          <cell r="M1456" t="str">
            <v>ss</v>
          </cell>
        </row>
        <row r="1457">
          <cell r="A1457">
            <v>8066</v>
          </cell>
          <cell r="B1457" t="str">
            <v>ja</v>
          </cell>
          <cell r="C1457" t="str">
            <v>クロミ</v>
          </cell>
          <cell r="D1457" t="str">
            <v>クロミ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blue</v>
          </cell>
          <cell r="I1457">
            <v>4</v>
          </cell>
          <cell r="J1457" t="str">
            <v>PremiumS</v>
          </cell>
          <cell r="K1457" t="str">
            <v>technical</v>
          </cell>
          <cell r="L1457" t="str">
            <v>テクニカルタイプ</v>
          </cell>
          <cell r="M1457" t="str">
            <v>ss</v>
          </cell>
        </row>
        <row r="1458">
          <cell r="A1458">
            <v>8067</v>
          </cell>
          <cell r="B1458" t="str">
            <v>ja</v>
          </cell>
          <cell r="C1458" t="str">
            <v>バッドばつ丸</v>
          </cell>
          <cell r="D1458" t="str">
            <v>バッドばつ丸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3</v>
          </cell>
          <cell r="J1458" t="str">
            <v>PremiumS</v>
          </cell>
          <cell r="K1458" t="str">
            <v>attack</v>
          </cell>
          <cell r="L1458" t="str">
            <v>攻撃タイプ</v>
          </cell>
          <cell r="M1458" t="str">
            <v>ss</v>
          </cell>
        </row>
        <row r="1459">
          <cell r="A1459">
            <v>8068</v>
          </cell>
          <cell r="B1459" t="str">
            <v>ja</v>
          </cell>
          <cell r="C1459" t="str">
            <v>バッドばつ丸</v>
          </cell>
          <cell r="D1459" t="str">
            <v>バッドばつ丸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4</v>
          </cell>
          <cell r="J1459" t="str">
            <v>PremiumS</v>
          </cell>
          <cell r="K1459" t="str">
            <v>attack</v>
          </cell>
          <cell r="L1459" t="str">
            <v>攻撃タイプ</v>
          </cell>
          <cell r="M1459" t="str">
            <v>ss</v>
          </cell>
        </row>
        <row r="1460">
          <cell r="A1460">
            <v>8069</v>
          </cell>
          <cell r="B1460" t="str">
            <v>ja</v>
          </cell>
          <cell r="C1460" t="str">
            <v>シナモロール</v>
          </cell>
          <cell r="D1460" t="str">
            <v>シナモロール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yellow</v>
          </cell>
          <cell r="I1460">
            <v>4</v>
          </cell>
          <cell r="J1460" t="str">
            <v>PremiumS</v>
          </cell>
          <cell r="K1460" t="str">
            <v>heal</v>
          </cell>
          <cell r="L1460" t="str">
            <v>回復タイプ</v>
          </cell>
          <cell r="M1460" t="str">
            <v>ss</v>
          </cell>
        </row>
        <row r="1461">
          <cell r="A1461">
            <v>8070</v>
          </cell>
          <cell r="B1461" t="str">
            <v>ja</v>
          </cell>
          <cell r="C1461" t="str">
            <v>シナモロール</v>
          </cell>
          <cell r="D1461" t="str">
            <v>シナモロール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yellow</v>
          </cell>
          <cell r="I1461">
            <v>5</v>
          </cell>
          <cell r="J1461" t="str">
            <v>PremiumS</v>
          </cell>
          <cell r="K1461" t="str">
            <v>heal</v>
          </cell>
          <cell r="L1461" t="str">
            <v>回復タイプ</v>
          </cell>
          <cell r="M1461" t="str">
            <v>ss</v>
          </cell>
        </row>
        <row r="1462">
          <cell r="A1462">
            <v>8071</v>
          </cell>
          <cell r="B1462" t="str">
            <v>ja</v>
          </cell>
          <cell r="C1462" t="str">
            <v>ポムポムプリン</v>
          </cell>
          <cell r="D1462" t="str">
            <v>ポムポムプリン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3</v>
          </cell>
          <cell r="J1462" t="str">
            <v>PremiumS</v>
          </cell>
          <cell r="K1462" t="str">
            <v>hp</v>
          </cell>
          <cell r="L1462" t="str">
            <v>体力タイプ</v>
          </cell>
          <cell r="M1462" t="str">
            <v>ss</v>
          </cell>
        </row>
        <row r="1463">
          <cell r="A1463">
            <v>8072</v>
          </cell>
          <cell r="B1463" t="str">
            <v>ja</v>
          </cell>
          <cell r="C1463" t="str">
            <v>ポムポムプリン</v>
          </cell>
          <cell r="D1463" t="str">
            <v>ポムポムプリン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4</v>
          </cell>
          <cell r="J1463" t="str">
            <v>PremiumS</v>
          </cell>
          <cell r="K1463" t="str">
            <v>hp</v>
          </cell>
          <cell r="L1463" t="str">
            <v>体力タイプ</v>
          </cell>
          <cell r="M1463" t="str">
            <v>ss</v>
          </cell>
        </row>
        <row r="1464">
          <cell r="A1464">
            <v>8077</v>
          </cell>
          <cell r="B1464" t="str">
            <v>ja</v>
          </cell>
          <cell r="C1464" t="str">
            <v>鄭成功</v>
          </cell>
          <cell r="D1464" t="str">
            <v>ポムポムプリン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5</v>
          </cell>
          <cell r="J1464" t="str">
            <v>PremiumSS</v>
          </cell>
          <cell r="K1464" t="str">
            <v>attack</v>
          </cell>
          <cell r="L1464" t="str">
            <v>攻撃タイプ</v>
          </cell>
          <cell r="M1464" t="str">
            <v>human</v>
          </cell>
        </row>
        <row r="1465">
          <cell r="A1465">
            <v>8078</v>
          </cell>
          <cell r="B1465" t="str">
            <v>ja</v>
          </cell>
          <cell r="C1465" t="str">
            <v>レア６鄭成功</v>
          </cell>
          <cell r="D1465" t="str">
            <v>ポムポムプリン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6</v>
          </cell>
          <cell r="J1465" t="str">
            <v>PremiumSS</v>
          </cell>
          <cell r="K1465" t="str">
            <v>attack</v>
          </cell>
          <cell r="L1465" t="str">
            <v>攻撃タイプ</v>
          </cell>
          <cell r="M1465" t="str">
            <v>human</v>
          </cell>
        </row>
        <row r="1466">
          <cell r="A1466">
            <v>8079</v>
          </cell>
          <cell r="B1466" t="str">
            <v>ja</v>
          </cell>
          <cell r="C1466" t="str">
            <v>赤鬼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red</v>
          </cell>
          <cell r="I1466">
            <v>5</v>
          </cell>
          <cell r="J1466" t="str">
            <v>DropWizS</v>
          </cell>
          <cell r="K1466" t="str">
            <v>hp</v>
          </cell>
          <cell r="L1466" t="str">
            <v>体力タイプ</v>
          </cell>
          <cell r="M1466" t="str">
            <v>dragon</v>
          </cell>
        </row>
        <row r="1467">
          <cell r="A1467">
            <v>8080</v>
          </cell>
          <cell r="B1467" t="str">
            <v>ja</v>
          </cell>
          <cell r="C1467" t="str">
            <v>レア６赤鬼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red</v>
          </cell>
          <cell r="I1467">
            <v>6</v>
          </cell>
          <cell r="J1467" t="str">
            <v>DropWizS</v>
          </cell>
          <cell r="K1467" t="str">
            <v>hp</v>
          </cell>
          <cell r="L1467" t="str">
            <v>体力タイプ</v>
          </cell>
          <cell r="M1467" t="str">
            <v>dragon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39" customWidth="1"/>
    <col min="2" max="16384" width="13" style="39"/>
  </cols>
  <sheetData>
    <row r="1" spans="1:13" x14ac:dyDescent="0.15">
      <c r="A1" s="39" t="s">
        <v>60</v>
      </c>
      <c r="B1" s="39" t="s">
        <v>61</v>
      </c>
    </row>
    <row r="2" spans="1:13" x14ac:dyDescent="0.15">
      <c r="A2" s="39" t="s">
        <v>62</v>
      </c>
      <c r="B2" s="39" t="s">
        <v>63</v>
      </c>
      <c r="C2" s="39" t="s">
        <v>64</v>
      </c>
      <c r="D2" s="39" t="s">
        <v>65</v>
      </c>
      <c r="E2" s="39" t="s">
        <v>66</v>
      </c>
      <c r="F2" s="39" t="s">
        <v>67</v>
      </c>
      <c r="G2" s="39" t="s">
        <v>68</v>
      </c>
      <c r="H2" s="39" t="s">
        <v>69</v>
      </c>
    </row>
    <row r="3" spans="1:13" x14ac:dyDescent="0.15">
      <c r="A3" s="39">
        <v>3</v>
      </c>
      <c r="B3" s="40" t="s">
        <v>70</v>
      </c>
      <c r="C3" s="40" t="s">
        <v>71</v>
      </c>
      <c r="D3" s="39">
        <v>0</v>
      </c>
      <c r="E3" s="40" t="s">
        <v>72</v>
      </c>
      <c r="F3" s="39">
        <v>0</v>
      </c>
      <c r="G3" s="39">
        <v>0</v>
      </c>
      <c r="H3" s="41">
        <v>0.5</v>
      </c>
    </row>
    <row r="4" spans="1:13" x14ac:dyDescent="0.15">
      <c r="A4" s="39">
        <v>4</v>
      </c>
      <c r="B4" s="40" t="s">
        <v>73</v>
      </c>
      <c r="C4" s="40" t="s">
        <v>74</v>
      </c>
      <c r="D4" s="40" t="s">
        <v>75</v>
      </c>
      <c r="E4" s="40" t="s">
        <v>76</v>
      </c>
      <c r="F4" s="40" t="s">
        <v>77</v>
      </c>
      <c r="G4" s="39">
        <v>0</v>
      </c>
      <c r="H4" s="41">
        <v>0.45</v>
      </c>
    </row>
    <row r="5" spans="1:13" x14ac:dyDescent="0.15">
      <c r="A5" s="39">
        <v>5</v>
      </c>
      <c r="B5" s="42">
        <v>0</v>
      </c>
      <c r="C5" s="40" t="s">
        <v>78</v>
      </c>
      <c r="D5" s="40" t="s">
        <v>79</v>
      </c>
      <c r="E5" s="40" t="s">
        <v>80</v>
      </c>
      <c r="F5" s="40" t="s">
        <v>81</v>
      </c>
      <c r="G5" s="40" t="s">
        <v>82</v>
      </c>
      <c r="H5" s="41">
        <v>0.05</v>
      </c>
    </row>
    <row r="6" spans="1:13" x14ac:dyDescent="0.15">
      <c r="B6" s="41" t="s">
        <v>83</v>
      </c>
      <c r="C6" s="41" t="s">
        <v>83</v>
      </c>
      <c r="D6" s="41" t="s">
        <v>84</v>
      </c>
      <c r="E6" s="41" t="s">
        <v>83</v>
      </c>
      <c r="F6" s="41" t="s">
        <v>83</v>
      </c>
      <c r="G6" s="43" t="s">
        <v>85</v>
      </c>
      <c r="H6" s="41">
        <v>1</v>
      </c>
    </row>
    <row r="7" spans="1:13" x14ac:dyDescent="0.15">
      <c r="B7" s="41"/>
      <c r="C7" s="41"/>
      <c r="D7" s="41"/>
      <c r="E7" s="41"/>
      <c r="F7" s="41"/>
      <c r="G7" s="43"/>
      <c r="H7" s="41"/>
    </row>
    <row r="8" spans="1:13" x14ac:dyDescent="0.15">
      <c r="A8" s="39" t="s">
        <v>86</v>
      </c>
      <c r="B8" s="41"/>
      <c r="C8" s="41"/>
      <c r="D8" s="41"/>
      <c r="E8" s="41"/>
      <c r="F8" s="41"/>
      <c r="G8" s="43"/>
      <c r="H8" s="41"/>
    </row>
    <row r="9" spans="1:13" x14ac:dyDescent="0.15">
      <c r="A9" s="39" t="s">
        <v>87</v>
      </c>
      <c r="B9" s="41"/>
      <c r="C9" s="41"/>
      <c r="D9" s="41"/>
      <c r="E9" s="41"/>
      <c r="F9" s="41"/>
      <c r="G9" s="43"/>
      <c r="H9" s="41"/>
    </row>
    <row r="10" spans="1:13" x14ac:dyDescent="0.15">
      <c r="A10" s="39" t="s">
        <v>88</v>
      </c>
      <c r="B10" s="41"/>
      <c r="C10" s="41"/>
      <c r="D10" s="41"/>
      <c r="E10" s="41"/>
      <c r="F10" s="41"/>
      <c r="G10" s="43"/>
      <c r="H10" s="41"/>
    </row>
    <row r="11" spans="1:13" x14ac:dyDescent="0.15">
      <c r="A11" s="39" t="s">
        <v>89</v>
      </c>
      <c r="B11" s="41"/>
      <c r="C11" s="41"/>
      <c r="D11" s="41"/>
      <c r="E11" s="41"/>
      <c r="F11" s="41"/>
      <c r="G11" s="43"/>
      <c r="H11" s="41"/>
    </row>
    <row r="12" spans="1:13" x14ac:dyDescent="0.15">
      <c r="A12" s="39" t="s">
        <v>82</v>
      </c>
      <c r="B12" s="41" t="s">
        <v>90</v>
      </c>
      <c r="C12" s="41" t="s">
        <v>91</v>
      </c>
      <c r="D12" s="41"/>
      <c r="E12" s="41"/>
      <c r="F12" s="41"/>
      <c r="G12" s="43"/>
      <c r="H12" s="41"/>
    </row>
    <row r="13" spans="1:13" x14ac:dyDescent="0.15">
      <c r="A13" s="39" t="s">
        <v>92</v>
      </c>
      <c r="B13" s="39" t="s">
        <v>93</v>
      </c>
      <c r="C13" s="39" t="s">
        <v>94</v>
      </c>
    </row>
    <row r="14" spans="1:13" x14ac:dyDescent="0.15">
      <c r="A14" s="39" t="s">
        <v>95</v>
      </c>
      <c r="B14" s="39" t="s">
        <v>90</v>
      </c>
      <c r="C14" s="42" t="s">
        <v>96</v>
      </c>
      <c r="E14" s="42"/>
      <c r="F14" s="42"/>
      <c r="M14" s="41"/>
    </row>
    <row r="15" spans="1:13" x14ac:dyDescent="0.15">
      <c r="A15" s="39" t="s">
        <v>72</v>
      </c>
      <c r="B15" s="41" t="s">
        <v>90</v>
      </c>
      <c r="C15" s="41" t="s">
        <v>97</v>
      </c>
      <c r="H15" s="44"/>
      <c r="M15" s="41"/>
    </row>
    <row r="16" spans="1:13" x14ac:dyDescent="0.15">
      <c r="A16" s="39" t="s">
        <v>76</v>
      </c>
      <c r="B16" s="41" t="s">
        <v>90</v>
      </c>
      <c r="C16" s="41" t="s">
        <v>98</v>
      </c>
      <c r="M16" s="41"/>
    </row>
    <row r="17" spans="1:13" x14ac:dyDescent="0.15">
      <c r="A17" s="39" t="s">
        <v>99</v>
      </c>
      <c r="B17" s="41" t="s">
        <v>90</v>
      </c>
      <c r="C17" s="41" t="s">
        <v>100</v>
      </c>
      <c r="M17" s="41"/>
    </row>
    <row r="18" spans="1:13" x14ac:dyDescent="0.15">
      <c r="B18" s="41"/>
      <c r="C18" s="41"/>
    </row>
    <row r="19" spans="1:13" x14ac:dyDescent="0.15">
      <c r="A19" s="39" t="s">
        <v>101</v>
      </c>
    </row>
    <row r="20" spans="1:13" x14ac:dyDescent="0.15">
      <c r="A20" s="39" t="s">
        <v>102</v>
      </c>
      <c r="B20" s="41"/>
      <c r="C20" s="41"/>
    </row>
    <row r="21" spans="1:13" x14ac:dyDescent="0.15">
      <c r="A21" s="39" t="s">
        <v>103</v>
      </c>
      <c r="B21" s="41" t="s">
        <v>104</v>
      </c>
      <c r="C21" s="41" t="s">
        <v>105</v>
      </c>
      <c r="D21" s="39" t="s">
        <v>106</v>
      </c>
    </row>
    <row r="22" spans="1:13" x14ac:dyDescent="0.15">
      <c r="A22" s="39" t="s">
        <v>107</v>
      </c>
      <c r="B22" s="41" t="s">
        <v>90</v>
      </c>
      <c r="C22" s="41" t="s">
        <v>108</v>
      </c>
      <c r="D22" s="39" t="s">
        <v>109</v>
      </c>
    </row>
    <row r="23" spans="1:13" x14ac:dyDescent="0.15">
      <c r="A23" s="39" t="s">
        <v>110</v>
      </c>
      <c r="B23" s="41" t="s">
        <v>90</v>
      </c>
      <c r="C23" s="39" t="s">
        <v>111</v>
      </c>
      <c r="D23" s="39" t="s">
        <v>112</v>
      </c>
    </row>
    <row r="24" spans="1:13" x14ac:dyDescent="0.15">
      <c r="A24" s="39" t="s">
        <v>113</v>
      </c>
      <c r="B24" s="41" t="s">
        <v>90</v>
      </c>
      <c r="C24" s="41" t="s">
        <v>114</v>
      </c>
      <c r="D24" s="39" t="s">
        <v>115</v>
      </c>
    </row>
    <row r="25" spans="1:13" x14ac:dyDescent="0.15">
      <c r="A25" s="39" t="s">
        <v>116</v>
      </c>
      <c r="B25" s="41" t="s">
        <v>90</v>
      </c>
      <c r="C25" s="41" t="s">
        <v>117</v>
      </c>
      <c r="D25" s="39" t="s">
        <v>118</v>
      </c>
    </row>
    <row r="26" spans="1:13" x14ac:dyDescent="0.15">
      <c r="A26" s="39" t="s">
        <v>119</v>
      </c>
      <c r="B26" s="41" t="s">
        <v>90</v>
      </c>
      <c r="C26" s="41" t="s">
        <v>120</v>
      </c>
      <c r="D26" s="39" t="s">
        <v>121</v>
      </c>
    </row>
    <row r="27" spans="1:13" x14ac:dyDescent="0.15">
      <c r="A27" s="39" t="s">
        <v>122</v>
      </c>
      <c r="B27" s="41" t="s">
        <v>90</v>
      </c>
      <c r="C27" s="41" t="s">
        <v>84</v>
      </c>
      <c r="D27" s="39" t="s">
        <v>123</v>
      </c>
      <c r="E27" s="39" t="s">
        <v>124</v>
      </c>
    </row>
    <row r="28" spans="1:13" x14ac:dyDescent="0.15">
      <c r="A28" s="39" t="s">
        <v>71</v>
      </c>
      <c r="B28" s="41" t="s">
        <v>90</v>
      </c>
      <c r="C28" s="41" t="s">
        <v>125</v>
      </c>
      <c r="E28" s="39" t="s">
        <v>126</v>
      </c>
    </row>
    <row r="29" spans="1:13" x14ac:dyDescent="0.15">
      <c r="A29" s="39" t="s">
        <v>74</v>
      </c>
      <c r="B29" s="41" t="s">
        <v>90</v>
      </c>
      <c r="C29" s="41" t="s">
        <v>127</v>
      </c>
    </row>
    <row r="30" spans="1:13" x14ac:dyDescent="0.15">
      <c r="B30" s="41"/>
    </row>
    <row r="31" spans="1:13" x14ac:dyDescent="0.15">
      <c r="A31" s="39" t="s">
        <v>128</v>
      </c>
    </row>
    <row r="32" spans="1:13" x14ac:dyDescent="0.15">
      <c r="A32" s="39" t="s">
        <v>129</v>
      </c>
      <c r="B32" s="41" t="s">
        <v>90</v>
      </c>
      <c r="C32" s="41" t="s">
        <v>130</v>
      </c>
    </row>
    <row r="33" spans="1:13" x14ac:dyDescent="0.15">
      <c r="A33" s="39" t="s">
        <v>74</v>
      </c>
      <c r="B33" s="41" t="s">
        <v>90</v>
      </c>
      <c r="C33" s="41" t="s">
        <v>131</v>
      </c>
    </row>
    <row r="34" spans="1:13" x14ac:dyDescent="0.15">
      <c r="A34" s="39" t="s">
        <v>71</v>
      </c>
      <c r="B34" s="41" t="s">
        <v>90</v>
      </c>
      <c r="C34" s="41" t="s">
        <v>132</v>
      </c>
    </row>
    <row r="35" spans="1:13" x14ac:dyDescent="0.15">
      <c r="A35" s="39" t="s">
        <v>70</v>
      </c>
      <c r="B35" s="41" t="s">
        <v>90</v>
      </c>
      <c r="C35" s="41" t="s">
        <v>133</v>
      </c>
    </row>
    <row r="36" spans="1:13" x14ac:dyDescent="0.15">
      <c r="A36" s="39" t="s">
        <v>73</v>
      </c>
      <c r="B36" s="41" t="s">
        <v>90</v>
      </c>
      <c r="C36" s="41" t="s">
        <v>134</v>
      </c>
    </row>
    <row r="37" spans="1:13" x14ac:dyDescent="0.15">
      <c r="A37" s="39" t="s">
        <v>79</v>
      </c>
      <c r="B37" s="41" t="s">
        <v>90</v>
      </c>
      <c r="C37" s="41" t="s">
        <v>135</v>
      </c>
    </row>
    <row r="38" spans="1:13" x14ac:dyDescent="0.15">
      <c r="A38" s="39" t="s">
        <v>75</v>
      </c>
      <c r="B38" s="41" t="s">
        <v>90</v>
      </c>
      <c r="C38" s="41" t="s">
        <v>136</v>
      </c>
    </row>
    <row r="40" spans="1:13" x14ac:dyDescent="0.15">
      <c r="J40" s="45" t="s">
        <v>140</v>
      </c>
      <c r="K40" s="45" t="s">
        <v>139</v>
      </c>
      <c r="M40" s="45" t="s">
        <v>165</v>
      </c>
    </row>
    <row r="41" spans="1:13" x14ac:dyDescent="0.15">
      <c r="J41" s="45" t="s">
        <v>141</v>
      </c>
      <c r="K41" s="45" t="s">
        <v>142</v>
      </c>
      <c r="M41" s="41" t="s">
        <v>134</v>
      </c>
    </row>
    <row r="42" spans="1:13" x14ac:dyDescent="0.15">
      <c r="J42" s="45" t="s">
        <v>143</v>
      </c>
      <c r="K42" s="45" t="s">
        <v>144</v>
      </c>
    </row>
    <row r="43" spans="1:13" x14ac:dyDescent="0.15">
      <c r="J43" s="45" t="s">
        <v>145</v>
      </c>
      <c r="K43" s="45" t="s">
        <v>146</v>
      </c>
    </row>
    <row r="44" spans="1:13" x14ac:dyDescent="0.15">
      <c r="J44" s="45" t="s">
        <v>147</v>
      </c>
      <c r="K44" s="45" t="s">
        <v>148</v>
      </c>
    </row>
    <row r="45" spans="1:13" x14ac:dyDescent="0.15">
      <c r="J45" s="45" t="s">
        <v>149</v>
      </c>
      <c r="K45" s="45" t="s">
        <v>150</v>
      </c>
    </row>
    <row r="46" spans="1:13" x14ac:dyDescent="0.15">
      <c r="J46" s="45" t="s">
        <v>151</v>
      </c>
      <c r="K46" s="45" t="s">
        <v>152</v>
      </c>
    </row>
    <row r="47" spans="1:13" x14ac:dyDescent="0.15">
      <c r="J47" s="45" t="s">
        <v>153</v>
      </c>
      <c r="K47" s="45" t="s">
        <v>157</v>
      </c>
    </row>
    <row r="48" spans="1:13" x14ac:dyDescent="0.15">
      <c r="J48" s="45" t="s">
        <v>154</v>
      </c>
      <c r="K48" s="45" t="s">
        <v>158</v>
      </c>
    </row>
    <row r="49" spans="10:11" x14ac:dyDescent="0.15">
      <c r="J49" s="45" t="s">
        <v>155</v>
      </c>
      <c r="K49" s="45" t="s">
        <v>159</v>
      </c>
    </row>
    <row r="50" spans="10:11" x14ac:dyDescent="0.15">
      <c r="J50" s="45" t="s">
        <v>156</v>
      </c>
      <c r="K50" s="45" t="s">
        <v>160</v>
      </c>
    </row>
    <row r="51" spans="10:11" x14ac:dyDescent="0.15">
      <c r="J51" s="45" t="s">
        <v>162</v>
      </c>
      <c r="K51" s="45" t="s">
        <v>161</v>
      </c>
    </row>
    <row r="52" spans="10:11" x14ac:dyDescent="0.15">
      <c r="J52" s="45" t="s">
        <v>163</v>
      </c>
      <c r="K52" s="45" t="s">
        <v>164</v>
      </c>
    </row>
    <row r="53" spans="10:11" x14ac:dyDescent="0.15">
      <c r="J53" s="45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49</v>
      </c>
    </row>
    <row r="2" spans="1:1" x14ac:dyDescent="0.15">
      <c r="A2" t="s">
        <v>50</v>
      </c>
    </row>
    <row r="3" spans="1:1" x14ac:dyDescent="0.15">
      <c r="A3" t="s">
        <v>51</v>
      </c>
    </row>
    <row r="4" spans="1:1" x14ac:dyDescent="0.15">
      <c r="A4" t="s">
        <v>52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C3" sqref="C3"/>
    </sheetView>
  </sheetViews>
  <sheetFormatPr baseColWidth="12" defaultRowHeight="15" x14ac:dyDescent="0.15"/>
  <cols>
    <col min="1" max="1" width="13" style="15"/>
    <col min="2" max="2" width="14.796875" style="15" bestFit="1" customWidth="1"/>
    <col min="3" max="4" width="13" style="15"/>
    <col min="5" max="5" width="17.59765625" style="15" bestFit="1" customWidth="1"/>
    <col min="6" max="6" width="22.19921875" style="15" bestFit="1" customWidth="1"/>
    <col min="7" max="16384" width="13" style="15"/>
  </cols>
  <sheetData>
    <row r="1" spans="1:21" x14ac:dyDescent="0.15">
      <c r="A1" s="25" t="s">
        <v>43</v>
      </c>
      <c r="B1" s="13" t="s">
        <v>31</v>
      </c>
      <c r="C1" s="13" t="s">
        <v>32</v>
      </c>
      <c r="D1" s="13" t="s">
        <v>33</v>
      </c>
      <c r="E1" s="13" t="s">
        <v>34</v>
      </c>
      <c r="F1" s="13" t="s">
        <v>35</v>
      </c>
      <c r="G1" s="13" t="s">
        <v>36</v>
      </c>
      <c r="H1" s="13"/>
      <c r="I1" s="13"/>
      <c r="J1" s="13"/>
      <c r="K1" s="13"/>
      <c r="L1" s="14"/>
      <c r="M1" s="14"/>
      <c r="N1" s="14"/>
      <c r="O1" s="14"/>
    </row>
    <row r="2" spans="1:21" x14ac:dyDescent="0.15">
      <c r="A2" s="49" t="s">
        <v>169</v>
      </c>
      <c r="B2" s="38" t="s">
        <v>59</v>
      </c>
      <c r="C2" s="35">
        <v>7306</v>
      </c>
      <c r="D2" s="16" t="s">
        <v>37</v>
      </c>
      <c r="E2" s="14" t="str">
        <f t="shared" ref="E2:E3" si="0">B2&amp;C2&amp;D2</f>
        <v>gacha_select_tables_7306.tmp</v>
      </c>
      <c r="F2" s="59" t="s">
        <v>175</v>
      </c>
      <c r="G2" s="34" t="s">
        <v>54</v>
      </c>
      <c r="H2" s="19" t="s">
        <v>0</v>
      </c>
      <c r="I2" s="19" t="s">
        <v>3</v>
      </c>
      <c r="J2" s="19" t="s">
        <v>4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</row>
    <row r="3" spans="1:21" x14ac:dyDescent="0.15">
      <c r="A3" s="47" t="s">
        <v>166</v>
      </c>
      <c r="B3" s="56" t="s">
        <v>170</v>
      </c>
      <c r="C3" s="57" t="str">
        <f t="shared" ref="C3" si="1">RIGHT(F3,6)</f>
        <v>426104</v>
      </c>
      <c r="D3" s="16" t="s">
        <v>171</v>
      </c>
      <c r="E3" s="14" t="str">
        <f t="shared" si="0"/>
        <v>gacha_settle_tables_426104.tmp</v>
      </c>
      <c r="F3" s="57" t="s">
        <v>172</v>
      </c>
      <c r="G3" s="34" t="s">
        <v>54</v>
      </c>
      <c r="H3" s="19" t="s">
        <v>0</v>
      </c>
      <c r="I3" s="19" t="s">
        <v>3</v>
      </c>
      <c r="J3" s="19" t="s">
        <v>4</v>
      </c>
      <c r="K3" s="19" t="s">
        <v>5</v>
      </c>
      <c r="L3" s="19" t="s">
        <v>6</v>
      </c>
      <c r="M3" s="19" t="s">
        <v>7</v>
      </c>
      <c r="N3" s="19" t="s">
        <v>8</v>
      </c>
      <c r="O3" s="19" t="s">
        <v>9</v>
      </c>
    </row>
    <row r="4" spans="1:21" x14ac:dyDescent="0.15">
      <c r="A4" s="47" t="s">
        <v>166</v>
      </c>
      <c r="B4" s="56" t="s">
        <v>170</v>
      </c>
      <c r="C4" s="57" t="str">
        <f t="shared" ref="C4" si="2">RIGHT(F4,6)</f>
        <v>426105</v>
      </c>
      <c r="D4" s="16" t="s">
        <v>171</v>
      </c>
      <c r="E4" s="14" t="str">
        <f t="shared" ref="E4" si="3">B4&amp;C4&amp;D4</f>
        <v>gacha_settle_tables_426105.tmp</v>
      </c>
      <c r="F4" s="57" t="s">
        <v>173</v>
      </c>
      <c r="G4" s="34" t="s">
        <v>54</v>
      </c>
      <c r="H4" s="19" t="s">
        <v>0</v>
      </c>
      <c r="I4" s="19" t="s">
        <v>3</v>
      </c>
      <c r="J4" s="19" t="s">
        <v>4</v>
      </c>
      <c r="K4" s="19" t="s">
        <v>5</v>
      </c>
      <c r="L4" s="19" t="s">
        <v>6</v>
      </c>
      <c r="M4" s="19" t="s">
        <v>7</v>
      </c>
      <c r="N4" s="19" t="s">
        <v>8</v>
      </c>
      <c r="O4" s="19" t="s">
        <v>9</v>
      </c>
    </row>
    <row r="5" spans="1:21" x14ac:dyDescent="0.15">
      <c r="A5" s="47" t="s">
        <v>166</v>
      </c>
      <c r="B5" s="38" t="s">
        <v>59</v>
      </c>
      <c r="C5" s="35" t="str">
        <f t="shared" ref="C5:C7" si="4">RIGHT(F5,6)</f>
        <v>426101</v>
      </c>
      <c r="D5" s="16" t="s">
        <v>37</v>
      </c>
      <c r="E5" s="14" t="str">
        <f t="shared" ref="E5:E7" si="5">B5&amp;C5&amp;D5</f>
        <v>gacha_select_tables_426101.tmp</v>
      </c>
      <c r="F5" s="58" t="s">
        <v>174</v>
      </c>
      <c r="G5" s="34" t="s">
        <v>53</v>
      </c>
      <c r="H5" s="19" t="s">
        <v>0</v>
      </c>
      <c r="I5" s="19" t="s">
        <v>3</v>
      </c>
      <c r="J5" s="19" t="s">
        <v>4</v>
      </c>
      <c r="K5" s="19" t="s">
        <v>5</v>
      </c>
      <c r="L5" s="19" t="s">
        <v>6</v>
      </c>
      <c r="M5" s="19" t="s">
        <v>7</v>
      </c>
      <c r="N5" s="19" t="s">
        <v>8</v>
      </c>
      <c r="O5" s="19" t="s">
        <v>9</v>
      </c>
    </row>
    <row r="6" spans="1:21" x14ac:dyDescent="0.15">
      <c r="A6" s="47" t="s">
        <v>166</v>
      </c>
      <c r="B6" s="38" t="s">
        <v>59</v>
      </c>
      <c r="C6" s="35" t="str">
        <f t="shared" ref="C6" si="6">RIGHT(F6,6)</f>
        <v>363105</v>
      </c>
      <c r="D6" s="16" t="s">
        <v>37</v>
      </c>
      <c r="E6" s="14" t="str">
        <f t="shared" ref="E6" si="7">B6&amp;C6&amp;D6</f>
        <v>gacha_select_tables_363105.tmp</v>
      </c>
      <c r="F6" s="48" t="s">
        <v>167</v>
      </c>
      <c r="G6" s="34" t="s">
        <v>53</v>
      </c>
      <c r="H6" s="19" t="s">
        <v>0</v>
      </c>
      <c r="I6" s="19" t="s">
        <v>3</v>
      </c>
      <c r="J6" s="19" t="s">
        <v>4</v>
      </c>
      <c r="K6" s="19" t="s">
        <v>5</v>
      </c>
      <c r="L6" s="19" t="s">
        <v>6</v>
      </c>
      <c r="M6" s="19" t="s">
        <v>7</v>
      </c>
      <c r="N6" s="19" t="s">
        <v>8</v>
      </c>
      <c r="O6" s="19" t="s">
        <v>9</v>
      </c>
    </row>
    <row r="7" spans="1:21" x14ac:dyDescent="0.15">
      <c r="A7" s="47" t="s">
        <v>166</v>
      </c>
      <c r="B7" s="38" t="s">
        <v>59</v>
      </c>
      <c r="C7" s="35" t="str">
        <f t="shared" si="4"/>
        <v>363100</v>
      </c>
      <c r="D7" s="16" t="s">
        <v>37</v>
      </c>
      <c r="E7" s="14" t="str">
        <f t="shared" si="5"/>
        <v>gacha_select_tables_363100.tmp</v>
      </c>
      <c r="F7" s="48" t="s">
        <v>168</v>
      </c>
      <c r="G7" s="34" t="s">
        <v>53</v>
      </c>
      <c r="H7" s="19" t="s">
        <v>0</v>
      </c>
      <c r="I7" s="19" t="s">
        <v>3</v>
      </c>
      <c r="J7" s="19" t="s">
        <v>4</v>
      </c>
      <c r="K7" s="19" t="s">
        <v>5</v>
      </c>
      <c r="L7" s="19" t="s">
        <v>6</v>
      </c>
      <c r="M7" s="19" t="s">
        <v>7</v>
      </c>
      <c r="N7" s="19" t="s">
        <v>8</v>
      </c>
      <c r="O7" s="19" t="s">
        <v>9</v>
      </c>
    </row>
    <row r="8" spans="1:21" x14ac:dyDescent="0.15">
      <c r="A8" s="47" t="s">
        <v>166</v>
      </c>
      <c r="B8" s="24" t="s">
        <v>42</v>
      </c>
      <c r="C8" s="28">
        <v>426</v>
      </c>
      <c r="D8" s="16" t="s">
        <v>38</v>
      </c>
      <c r="E8" s="14" t="str">
        <f t="shared" ref="E8:E10" si="8">B8&amp;C8&amp;D8</f>
        <v>gacha_bonus_tables_426.tmp</v>
      </c>
      <c r="F8" s="16" t="s">
        <v>39</v>
      </c>
      <c r="G8" s="18" t="s">
        <v>10</v>
      </c>
      <c r="H8" s="20" t="s">
        <v>13</v>
      </c>
      <c r="I8" s="18" t="s">
        <v>11</v>
      </c>
      <c r="J8" s="17"/>
      <c r="K8" s="17"/>
      <c r="L8" s="17"/>
      <c r="M8" s="17"/>
      <c r="N8" s="17"/>
      <c r="O8" s="17"/>
    </row>
    <row r="9" spans="1:21" x14ac:dyDescent="0.15">
      <c r="A9" s="47" t="s">
        <v>166</v>
      </c>
      <c r="B9" s="16" t="s">
        <v>40</v>
      </c>
      <c r="C9" s="28">
        <v>426</v>
      </c>
      <c r="D9" s="16" t="s">
        <v>38</v>
      </c>
      <c r="E9" s="14" t="str">
        <f t="shared" si="8"/>
        <v>gifts_tmp_426.tmp</v>
      </c>
      <c r="F9" s="16" t="s">
        <v>39</v>
      </c>
      <c r="G9" s="20" t="s">
        <v>14</v>
      </c>
      <c r="H9" s="21" t="s">
        <v>22</v>
      </c>
      <c r="I9" s="20" t="s">
        <v>15</v>
      </c>
      <c r="J9" s="20" t="s">
        <v>16</v>
      </c>
      <c r="K9" s="20" t="s">
        <v>16</v>
      </c>
      <c r="L9" s="20" t="s">
        <v>17</v>
      </c>
      <c r="M9" s="20" t="s">
        <v>17</v>
      </c>
      <c r="N9" s="20" t="s">
        <v>17</v>
      </c>
      <c r="O9" s="36" t="s">
        <v>7</v>
      </c>
      <c r="P9" s="36" t="s">
        <v>9</v>
      </c>
      <c r="Q9" s="36" t="s">
        <v>6</v>
      </c>
      <c r="R9" s="36" t="s">
        <v>55</v>
      </c>
      <c r="S9" s="36" t="s">
        <v>8</v>
      </c>
      <c r="T9" s="36" t="s">
        <v>56</v>
      </c>
      <c r="U9" s="36" t="s">
        <v>5</v>
      </c>
    </row>
    <row r="10" spans="1:21" x14ac:dyDescent="0.15">
      <c r="A10" s="47" t="s">
        <v>166</v>
      </c>
      <c r="B10" s="16" t="s">
        <v>41</v>
      </c>
      <c r="C10" s="28">
        <v>426</v>
      </c>
      <c r="D10" s="16" t="s">
        <v>38</v>
      </c>
      <c r="E10" s="14" t="str">
        <f t="shared" si="8"/>
        <v>gifts_i18n_426.tmp</v>
      </c>
      <c r="F10" s="16" t="s">
        <v>39</v>
      </c>
      <c r="G10" s="20" t="s">
        <v>12</v>
      </c>
      <c r="H10" s="22" t="s">
        <v>18</v>
      </c>
      <c r="I10" s="22" t="s">
        <v>19</v>
      </c>
      <c r="J10" s="22" t="s">
        <v>20</v>
      </c>
      <c r="K10" s="22" t="s">
        <v>21</v>
      </c>
      <c r="L10" s="23"/>
      <c r="M10" s="20"/>
      <c r="N10" s="20"/>
      <c r="O10" s="16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89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D81" sqref="D8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1" t="s">
        <v>53</v>
      </c>
      <c r="B1" s="12" t="s">
        <v>1</v>
      </c>
      <c r="C1" s="3" t="s">
        <v>23</v>
      </c>
      <c r="D1" s="3" t="s">
        <v>57</v>
      </c>
      <c r="E1" s="3" t="s">
        <v>137</v>
      </c>
      <c r="F1" s="3" t="s">
        <v>138</v>
      </c>
      <c r="G1" s="3" t="s">
        <v>58</v>
      </c>
      <c r="H1" s="3" t="s">
        <v>25</v>
      </c>
      <c r="I1" s="3" t="s">
        <v>26</v>
      </c>
      <c r="J1" s="3" t="s">
        <v>27</v>
      </c>
      <c r="K1" s="3" t="s">
        <v>44</v>
      </c>
      <c r="L1" s="3" t="s">
        <v>28</v>
      </c>
      <c r="M1" s="3" t="s">
        <v>29</v>
      </c>
      <c r="N1" s="3" t="s">
        <v>45</v>
      </c>
      <c r="O1" s="12" t="s">
        <v>2</v>
      </c>
      <c r="P1" s="3" t="s">
        <v>47</v>
      </c>
      <c r="Q1" s="12" t="s">
        <v>30</v>
      </c>
      <c r="R1" s="26" t="s">
        <v>5</v>
      </c>
      <c r="S1" s="26" t="s">
        <v>6</v>
      </c>
      <c r="T1" s="26" t="s">
        <v>7</v>
      </c>
      <c r="U1" s="26" t="s">
        <v>8</v>
      </c>
      <c r="V1" s="26" t="s">
        <v>9</v>
      </c>
    </row>
    <row r="2" spans="1:22" ht="21" customHeight="1" x14ac:dyDescent="0.15">
      <c r="A2" s="2">
        <v>7306010</v>
      </c>
      <c r="B2" s="5">
        <v>320</v>
      </c>
      <c r="C2" s="7" t="str">
        <f t="shared" ref="C2:C6" si="0">D2&amp;J2&amp;E2&amp;F2&amp;G2</f>
        <v>PremiumSS4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烈志士 近藤勇</v>
      </c>
      <c r="I2" s="7" t="str">
        <f>VLOOKUP(B2,[1]characters!$A:$J,10,FALSE)</f>
        <v>PremiumSS</v>
      </c>
      <c r="J2" s="7">
        <f>VLOOKUP(B2,[1]characters!$A:$I,9,FALSE)</f>
        <v>4</v>
      </c>
      <c r="K2" s="7" t="str">
        <f>VLOOKUP(B2,[1]characters!$A:$H,8,FALSE)</f>
        <v>red</v>
      </c>
      <c r="L2" s="7" t="str">
        <f>VLOOKUP(B2,[1]characters!$A:$K,11,FALSE)</f>
        <v>hp</v>
      </c>
      <c r="M2" s="7" t="str">
        <f>VLOOKUP(B2,[1]characters!$A:$M,13,FALSE)</f>
        <v>human</v>
      </c>
      <c r="N2" s="7" t="str">
        <f>VLOOKUP(B2,[1]characters!$A:$G,7,FALSE)</f>
        <v>男性</v>
      </c>
      <c r="O2" s="32">
        <v>19</v>
      </c>
      <c r="P2" s="33">
        <f>O2/SUM(O:O)</f>
        <v>1.7163504968383016E-2</v>
      </c>
      <c r="Q2" s="27">
        <v>1</v>
      </c>
      <c r="R2" s="27">
        <v>0</v>
      </c>
      <c r="S2" s="27">
        <v>0</v>
      </c>
      <c r="T2" s="27">
        <v>0</v>
      </c>
      <c r="U2" s="27">
        <v>0</v>
      </c>
      <c r="V2" s="27">
        <v>1</v>
      </c>
    </row>
    <row r="3" spans="1:22" ht="21" customHeight="1" x14ac:dyDescent="0.15">
      <c r="A3" s="2">
        <v>7306010</v>
      </c>
      <c r="B3" s="5">
        <v>321</v>
      </c>
      <c r="C3" s="7" t="str">
        <f t="shared" si="0"/>
        <v>PremiumSS5</v>
      </c>
      <c r="D3" s="7" t="str">
        <f t="shared" ref="D3:D6" si="1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巌鉄の烈志士 近藤勇</v>
      </c>
      <c r="I3" s="7" t="str">
        <f>VLOOKUP(B3,[1]characters!$A:$J,10,FALSE)</f>
        <v>PremiumSS</v>
      </c>
      <c r="J3" s="7">
        <f>VLOOKUP(B3,[1]characters!$A:$I,9,FALSE)</f>
        <v>5</v>
      </c>
      <c r="K3" s="7" t="str">
        <f>VLOOKUP(B3,[1]characters!$A:$H,8,FALSE)</f>
        <v>red</v>
      </c>
      <c r="L3" s="7" t="str">
        <f>VLOOKUP(B3,[1]characters!$A:$K,11,FALSE)</f>
        <v>hp</v>
      </c>
      <c r="M3" s="7" t="str">
        <f>VLOOKUP(B3,[1]characters!$A:$M,13,FALSE)</f>
        <v>human</v>
      </c>
      <c r="N3" s="7" t="str">
        <f>VLOOKUP(B3,[1]characters!$A:$G,7,FALSE)</f>
        <v>男性</v>
      </c>
      <c r="O3" s="32">
        <v>1</v>
      </c>
      <c r="P3" s="33">
        <f>O3/SUM(O:O)</f>
        <v>9.0334236675700087E-4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27">
        <v>1</v>
      </c>
    </row>
    <row r="4" spans="1:22" ht="21" customHeight="1" x14ac:dyDescent="0.15">
      <c r="A4" s="2">
        <v>7306010</v>
      </c>
      <c r="B4" s="5">
        <v>324</v>
      </c>
      <c r="C4" s="7" t="str">
        <f t="shared" si="0"/>
        <v>PremiumSS4</v>
      </c>
      <c r="D4" s="7" t="str">
        <f t="shared" si="1"/>
        <v>PremiumSS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凛志士 沖田総司</v>
      </c>
      <c r="I4" s="7" t="str">
        <f>VLOOKUP(B4,[1]characters!$A:$J,10,FALSE)</f>
        <v>PremiumSS</v>
      </c>
      <c r="J4" s="7">
        <f>VLOOKUP(B4,[1]characters!$A:$I,9,FALSE)</f>
        <v>4</v>
      </c>
      <c r="K4" s="7" t="str">
        <f>VLOOKUP(B4,[1]characters!$A:$H,8,FALSE)</f>
        <v>blue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32">
        <v>19</v>
      </c>
      <c r="P4" s="33">
        <f>O4/SUM(O:O)</f>
        <v>1.7163504968383016E-2</v>
      </c>
      <c r="Q4" s="27">
        <v>1</v>
      </c>
      <c r="R4" s="27">
        <v>0</v>
      </c>
      <c r="S4" s="27">
        <v>0</v>
      </c>
      <c r="T4" s="27">
        <v>0</v>
      </c>
      <c r="U4" s="27">
        <v>0</v>
      </c>
      <c r="V4" s="27">
        <v>1</v>
      </c>
    </row>
    <row r="5" spans="1:22" ht="21" customHeight="1" x14ac:dyDescent="0.15">
      <c r="A5" s="2">
        <v>7306010</v>
      </c>
      <c r="B5" s="5">
        <v>325</v>
      </c>
      <c r="C5" s="7" t="str">
        <f t="shared" si="0"/>
        <v>PremiumSS5</v>
      </c>
      <c r="D5" s="7" t="str">
        <f t="shared" si="1"/>
        <v>PremiumSS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天賦の凛志士 沖田総司</v>
      </c>
      <c r="I5" s="7" t="str">
        <f>VLOOKUP(B5,[1]characters!$A:$J,10,FALSE)</f>
        <v>PremiumSS</v>
      </c>
      <c r="J5" s="7">
        <f>VLOOKUP(B5,[1]characters!$A:$I,9,FALSE)</f>
        <v>5</v>
      </c>
      <c r="K5" s="7" t="str">
        <f>VLOOKUP(B5,[1]characters!$A:$H,8,FALSE)</f>
        <v>blue</v>
      </c>
      <c r="L5" s="7" t="str">
        <f>VLOOKUP(B5,[1]characters!$A:$K,11,FALSE)</f>
        <v>balance</v>
      </c>
      <c r="M5" s="7" t="str">
        <f>VLOOKUP(B5,[1]characters!$A:$M,13,FALSE)</f>
        <v>human</v>
      </c>
      <c r="N5" s="7" t="str">
        <f>VLOOKUP(B5,[1]characters!$A:$G,7,FALSE)</f>
        <v>女性</v>
      </c>
      <c r="O5" s="32">
        <v>1</v>
      </c>
      <c r="P5" s="33">
        <f>O5/SUM(O:O)</f>
        <v>9.0334236675700087E-4</v>
      </c>
      <c r="Q5" s="27">
        <v>1</v>
      </c>
      <c r="R5" s="27">
        <v>0</v>
      </c>
      <c r="S5" s="27">
        <v>0</v>
      </c>
      <c r="T5" s="27">
        <v>0</v>
      </c>
      <c r="U5" s="27">
        <v>0</v>
      </c>
      <c r="V5" s="27">
        <v>1</v>
      </c>
    </row>
    <row r="6" spans="1:22" ht="21" customHeight="1" x14ac:dyDescent="0.15">
      <c r="A6" s="2">
        <v>7306010</v>
      </c>
      <c r="B6" s="5">
        <v>383</v>
      </c>
      <c r="C6" s="7" t="str">
        <f t="shared" si="0"/>
        <v>PremiumSS4</v>
      </c>
      <c r="D6" s="7" t="str">
        <f t="shared" si="1"/>
        <v>PremiumSS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酒宴の蟒蛇 ヤマタノオロチ</v>
      </c>
      <c r="I6" s="7" t="str">
        <f>VLOOKUP(B6,[1]characters!$A:$J,10,FALSE)</f>
        <v>PremiumSS</v>
      </c>
      <c r="J6" s="7">
        <f>VLOOKUP(B6,[1]characters!$A:$I,9,FALSE)</f>
        <v>4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32">
        <v>19</v>
      </c>
      <c r="P6" s="33">
        <f>O6/SUM(O:O)</f>
        <v>1.7163504968383016E-2</v>
      </c>
      <c r="Q6" s="27">
        <v>1</v>
      </c>
      <c r="R6" s="27">
        <v>0</v>
      </c>
      <c r="S6" s="27">
        <v>0</v>
      </c>
      <c r="T6" s="27">
        <v>0</v>
      </c>
      <c r="U6" s="27">
        <v>0</v>
      </c>
      <c r="V6" s="27">
        <v>1</v>
      </c>
    </row>
    <row r="7" spans="1:22" ht="21" customHeight="1" x14ac:dyDescent="0.15">
      <c r="A7" s="2">
        <v>7306010</v>
      </c>
      <c r="B7" s="2">
        <v>384</v>
      </c>
      <c r="C7" s="7" t="str">
        <f t="shared" ref="C7:C70" si="2">D7&amp;J7&amp;E7&amp;F7&amp;G7</f>
        <v>PremiumSS5</v>
      </c>
      <c r="D7" s="7" t="str">
        <f t="shared" ref="D7:D70" si="3">IF(OR(I7="PremiumSS",I7="PremiumSSw"),"PremiumSS",IF(I7="PremiumSSS",I7,IF(I7="PremiumW",I7,"Premium")))</f>
        <v>PremiumSS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破国の呑龍 ヤマタノオロチ</v>
      </c>
      <c r="I7" s="7" t="str">
        <f>VLOOKUP(B7,[1]characters!$A:$J,10,FALSE)</f>
        <v>PremiumSS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hp</v>
      </c>
      <c r="M7" s="7" t="str">
        <f>VLOOKUP(B7,[1]characters!$A:$M,13,FALSE)</f>
        <v>dragon</v>
      </c>
      <c r="N7" s="7" t="str">
        <f>VLOOKUP(B7,[1]characters!$A:$G,7,FALSE)</f>
        <v>女性</v>
      </c>
      <c r="O7" s="32">
        <v>10</v>
      </c>
      <c r="P7" s="33">
        <f t="shared" ref="P7:P71" si="4">O7/SUM(O:O)</f>
        <v>9.0334236675700084E-3</v>
      </c>
      <c r="Q7" s="27">
        <v>1</v>
      </c>
      <c r="R7" s="27">
        <v>0</v>
      </c>
      <c r="S7" s="27">
        <v>0</v>
      </c>
      <c r="T7" s="27">
        <v>0</v>
      </c>
      <c r="U7" s="27">
        <v>0</v>
      </c>
      <c r="V7" s="27">
        <v>1</v>
      </c>
    </row>
    <row r="8" spans="1:22" ht="21" customHeight="1" x14ac:dyDescent="0.15">
      <c r="A8" s="2">
        <v>7306010</v>
      </c>
      <c r="B8" s="2">
        <v>385</v>
      </c>
      <c r="C8" s="7" t="str">
        <f t="shared" si="2"/>
        <v>PremiumSS4</v>
      </c>
      <c r="D8" s="7" t="str">
        <f t="shared" si="3"/>
        <v>PremiumSS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波烈の出奔 リヴァイアサン</v>
      </c>
      <c r="I8" s="7" t="str">
        <f>VLOOKUP(B8,[1]characters!$A:$J,10,FALSE)</f>
        <v>PremiumSS</v>
      </c>
      <c r="J8" s="7">
        <f>VLOOKUP(B8,[1]characters!$A:$I,9,FALSE)</f>
        <v>4</v>
      </c>
      <c r="K8" s="7" t="str">
        <f>VLOOKUP(B8,[1]characters!$A:$H,8,FALSE)</f>
        <v>blue</v>
      </c>
      <c r="L8" s="7" t="str">
        <f>VLOOKUP(B8,[1]characters!$A:$K,11,FALSE)</f>
        <v>balance</v>
      </c>
      <c r="M8" s="7" t="str">
        <f>VLOOKUP(B8,[1]characters!$A:$M,13,FALSE)</f>
        <v>dragon</v>
      </c>
      <c r="N8" s="7" t="str">
        <f>VLOOKUP(B8,[1]characters!$A:$G,7,FALSE)</f>
        <v>女性</v>
      </c>
      <c r="O8" s="32">
        <v>19</v>
      </c>
      <c r="P8" s="33">
        <f t="shared" si="4"/>
        <v>1.7163504968383016E-2</v>
      </c>
      <c r="Q8" s="27">
        <v>1</v>
      </c>
      <c r="R8" s="27">
        <v>0</v>
      </c>
      <c r="S8" s="27">
        <v>0</v>
      </c>
      <c r="T8" s="27">
        <v>0</v>
      </c>
      <c r="U8" s="27">
        <v>0</v>
      </c>
      <c r="V8" s="27">
        <v>1</v>
      </c>
    </row>
    <row r="9" spans="1:22" ht="21" customHeight="1" x14ac:dyDescent="0.15">
      <c r="A9" s="2">
        <v>7306010</v>
      </c>
      <c r="B9" s="2">
        <v>386</v>
      </c>
      <c r="C9" s="7" t="str">
        <f t="shared" si="2"/>
        <v>PremiumSS5</v>
      </c>
      <c r="D9" s="7" t="str">
        <f t="shared" si="3"/>
        <v>PremiumSS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氾乱の海龍 リヴァイアサン</v>
      </c>
      <c r="I9" s="7" t="str">
        <f>VLOOKUP(B9,[1]characters!$A:$J,10,FALSE)</f>
        <v>PremiumSS</v>
      </c>
      <c r="J9" s="7">
        <f>VLOOKUP(B9,[1]characters!$A:$I,9,FALSE)</f>
        <v>5</v>
      </c>
      <c r="K9" s="7" t="str">
        <f>VLOOKUP(B9,[1]characters!$A:$H,8,FALSE)</f>
        <v>blue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32">
        <v>1</v>
      </c>
      <c r="P9" s="33">
        <f t="shared" si="4"/>
        <v>9.0334236675700087E-4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27">
        <v>1</v>
      </c>
    </row>
    <row r="10" spans="1:22" ht="21" customHeight="1" x14ac:dyDescent="0.15">
      <c r="A10" s="2">
        <v>7306010</v>
      </c>
      <c r="B10" s="2">
        <v>390</v>
      </c>
      <c r="C10" s="7" t="str">
        <f t="shared" si="2"/>
        <v>PremiumSS4</v>
      </c>
      <c r="D10" s="7" t="str">
        <f t="shared" si="3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華環の旅客 親指姫</v>
      </c>
      <c r="I10" s="7" t="str">
        <f>VLOOKUP(B10,[1]characters!$A:$J,10,FALSE)</f>
        <v>PremiumSS</v>
      </c>
      <c r="J10" s="7">
        <f>VLOOKUP(B10,[1]characters!$A:$I,9,FALSE)</f>
        <v>4</v>
      </c>
      <c r="K10" s="7" t="str">
        <f>VLOOKUP(B10,[1]characters!$A:$H,8,FALSE)</f>
        <v>red</v>
      </c>
      <c r="L10" s="7" t="str">
        <f>VLOOKUP(B10,[1]characters!$A:$K,11,FALSE)</f>
        <v>heal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32">
        <v>19</v>
      </c>
      <c r="P10" s="33">
        <f t="shared" si="4"/>
        <v>1.7163504968383016E-2</v>
      </c>
      <c r="Q10" s="27">
        <v>1</v>
      </c>
      <c r="R10" s="27">
        <v>0</v>
      </c>
      <c r="S10" s="27">
        <v>0</v>
      </c>
      <c r="T10" s="27">
        <v>0</v>
      </c>
      <c r="U10" s="27">
        <v>0</v>
      </c>
      <c r="V10" s="27">
        <v>1</v>
      </c>
    </row>
    <row r="11" spans="1:22" ht="21" customHeight="1" x14ac:dyDescent="0.15">
      <c r="A11" s="2">
        <v>7306010</v>
      </c>
      <c r="B11" s="2">
        <v>391</v>
      </c>
      <c r="C11" s="7" t="str">
        <f t="shared" si="2"/>
        <v>PremiumSS5</v>
      </c>
      <c r="D11" s="7" t="str">
        <f t="shared" si="3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燕翼の旅人 親指姫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red</v>
      </c>
      <c r="L11" s="7" t="str">
        <f>VLOOKUP(B11,[1]characters!$A:$K,11,FALSE)</f>
        <v>heal</v>
      </c>
      <c r="M11" s="7" t="str">
        <f>VLOOKUP(B11,[1]characters!$A:$M,13,FALSE)</f>
        <v>human</v>
      </c>
      <c r="N11" s="7" t="str">
        <f>VLOOKUP(B11,[1]characters!$A:$G,7,FALSE)</f>
        <v>女性</v>
      </c>
      <c r="O11" s="32">
        <v>1</v>
      </c>
      <c r="P11" s="33">
        <f t="shared" si="4"/>
        <v>9.0334236675700087E-4</v>
      </c>
      <c r="Q11" s="27">
        <v>1</v>
      </c>
      <c r="R11" s="27">
        <v>0</v>
      </c>
      <c r="S11" s="27">
        <v>0</v>
      </c>
      <c r="T11" s="27">
        <v>0</v>
      </c>
      <c r="U11" s="27">
        <v>0</v>
      </c>
      <c r="V11" s="27">
        <v>1</v>
      </c>
    </row>
    <row r="12" spans="1:22" ht="21" customHeight="1" x14ac:dyDescent="0.15">
      <c r="A12" s="2">
        <v>7306010</v>
      </c>
      <c r="B12" s="2">
        <v>398</v>
      </c>
      <c r="C12" s="7" t="str">
        <f t="shared" si="2"/>
        <v>PremiumSS4</v>
      </c>
      <c r="D12" s="7" t="str">
        <f t="shared" si="3"/>
        <v>PremiumSS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ヘンゼル＆グレーテル</v>
      </c>
      <c r="I12" s="7" t="str">
        <f>VLOOKUP(B12,[1]characters!$A:$J,10,FALSE)</f>
        <v>PremiumSS</v>
      </c>
      <c r="J12" s="7">
        <f>VLOOKUP(B12,[1]characters!$A:$I,9,FALSE)</f>
        <v>4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32">
        <v>19</v>
      </c>
      <c r="P12" s="33">
        <f t="shared" si="4"/>
        <v>1.7163504968383016E-2</v>
      </c>
      <c r="Q12" s="27">
        <v>1</v>
      </c>
      <c r="R12" s="27">
        <v>0</v>
      </c>
      <c r="S12" s="27">
        <v>0</v>
      </c>
      <c r="T12" s="27">
        <v>0</v>
      </c>
      <c r="U12" s="27">
        <v>0</v>
      </c>
      <c r="V12" s="27">
        <v>1</v>
      </c>
    </row>
    <row r="13" spans="1:22" ht="21" customHeight="1" x14ac:dyDescent="0.15">
      <c r="A13" s="2">
        <v>7306010</v>
      </c>
      <c r="B13" s="2">
        <v>399</v>
      </c>
      <c r="C13" s="7" t="str">
        <f t="shared" si="2"/>
        <v>PremiumSS5</v>
      </c>
      <c r="D13" s="7" t="str">
        <f t="shared" si="3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信愛の兄妹 ヘンゼル＆グレーテル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32">
        <v>1</v>
      </c>
      <c r="P13" s="33">
        <f t="shared" si="4"/>
        <v>9.0334236675700087E-4</v>
      </c>
      <c r="Q13" s="27">
        <v>1</v>
      </c>
      <c r="R13" s="27">
        <v>0</v>
      </c>
      <c r="S13" s="27">
        <v>0</v>
      </c>
      <c r="T13" s="27">
        <v>0</v>
      </c>
      <c r="U13" s="27">
        <v>0</v>
      </c>
      <c r="V13" s="27">
        <v>1</v>
      </c>
    </row>
    <row r="14" spans="1:22" ht="21" customHeight="1" x14ac:dyDescent="0.15">
      <c r="A14" s="2">
        <v>7306010</v>
      </c>
      <c r="B14" s="2">
        <v>403</v>
      </c>
      <c r="C14" s="7" t="str">
        <f t="shared" si="2"/>
        <v>PremiumSS4</v>
      </c>
      <c r="D14" s="7" t="str">
        <f t="shared" si="3"/>
        <v>PremiumSS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静撃の翠眼 八咫烏</v>
      </c>
      <c r="I14" s="7" t="str">
        <f>VLOOKUP(B14,[1]characters!$A:$J,10,FALSE)</f>
        <v>PremiumSS</v>
      </c>
      <c r="J14" s="7">
        <f>VLOOKUP(B14,[1]characters!$A:$I,9,FALSE)</f>
        <v>4</v>
      </c>
      <c r="K14" s="7" t="str">
        <f>VLOOKUP(B14,[1]characters!$A:$H,8,FALSE)</f>
        <v>green</v>
      </c>
      <c r="L14" s="7" t="str">
        <f>VLOOKUP(B14,[1]characters!$A:$K,11,FALSE)</f>
        <v>balance</v>
      </c>
      <c r="M14" s="7" t="str">
        <f>VLOOKUP(B14,[1]characters!$A:$M,13,FALSE)</f>
        <v>animal</v>
      </c>
      <c r="N14" s="7" t="str">
        <f>VLOOKUP(B14,[1]characters!$A:$G,7,FALSE)</f>
        <v>女性</v>
      </c>
      <c r="O14" s="32">
        <v>19</v>
      </c>
      <c r="P14" s="33">
        <f t="shared" si="4"/>
        <v>1.7163504968383016E-2</v>
      </c>
      <c r="Q14" s="27">
        <v>1</v>
      </c>
      <c r="R14" s="27">
        <v>0</v>
      </c>
      <c r="S14" s="27">
        <v>0</v>
      </c>
      <c r="T14" s="27">
        <v>0</v>
      </c>
      <c r="U14" s="27">
        <v>0</v>
      </c>
      <c r="V14" s="27">
        <v>1</v>
      </c>
    </row>
    <row r="15" spans="1:22" ht="21" customHeight="1" x14ac:dyDescent="0.15">
      <c r="A15" s="2">
        <v>7306010</v>
      </c>
      <c r="B15" s="2">
        <v>404</v>
      </c>
      <c r="C15" s="7" t="str">
        <f t="shared" si="2"/>
        <v>PremiumSS5</v>
      </c>
      <c r="D15" s="7" t="str">
        <f t="shared" si="3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空襲の神眼 八咫烏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animal</v>
      </c>
      <c r="N15" s="7" t="str">
        <f>VLOOKUP(B15,[1]characters!$A:$G,7,FALSE)</f>
        <v>女性</v>
      </c>
      <c r="O15" s="32">
        <v>1</v>
      </c>
      <c r="P15" s="33">
        <f t="shared" si="4"/>
        <v>9.0334236675700087E-4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27">
        <v>1</v>
      </c>
    </row>
    <row r="16" spans="1:22" ht="21" customHeight="1" x14ac:dyDescent="0.15">
      <c r="A16" s="2">
        <v>7306010</v>
      </c>
      <c r="B16" s="2">
        <v>434</v>
      </c>
      <c r="C16" s="7" t="str">
        <f t="shared" si="2"/>
        <v>PremiumSS4</v>
      </c>
      <c r="D16" s="7" t="str">
        <f t="shared" si="3"/>
        <v>PremiumSS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D.R.T.H.</v>
      </c>
      <c r="I16" s="7" t="str">
        <f>VLOOKUP(B16,[1]characters!$A:$J,10,FALSE)</f>
        <v>PremiumSS</v>
      </c>
      <c r="J16" s="7">
        <f>VLOOKUP(B16,[1]characters!$A:$I,9,FALSE)</f>
        <v>4</v>
      </c>
      <c r="K16" s="7" t="str">
        <f>VLOOKUP(B16,[1]characters!$A:$H,8,FALSE)</f>
        <v>red</v>
      </c>
      <c r="L16" s="7" t="str">
        <f>VLOOKUP(B16,[1]characters!$A:$K,11,FALSE)</f>
        <v>balance</v>
      </c>
      <c r="M16" s="7" t="str">
        <f>VLOOKUP(B16,[1]characters!$A:$M,13,FALSE)</f>
        <v>human</v>
      </c>
      <c r="N16" s="7" t="str">
        <f>VLOOKUP(B16,[1]characters!$A:$G,7,FALSE)</f>
        <v>女性</v>
      </c>
      <c r="O16" s="32">
        <v>19</v>
      </c>
      <c r="P16" s="33">
        <f t="shared" si="4"/>
        <v>1.7163504968383016E-2</v>
      </c>
      <c r="Q16" s="27">
        <v>1</v>
      </c>
      <c r="R16" s="27">
        <v>0</v>
      </c>
      <c r="S16" s="27">
        <v>0</v>
      </c>
      <c r="T16" s="27">
        <v>0</v>
      </c>
      <c r="U16" s="27">
        <v>0</v>
      </c>
      <c r="V16" s="27">
        <v>1</v>
      </c>
    </row>
    <row r="17" spans="1:22" ht="21" customHeight="1" x14ac:dyDescent="0.15">
      <c r="A17" s="2">
        <v>7306010</v>
      </c>
      <c r="B17" s="2">
        <v>435</v>
      </c>
      <c r="C17" s="7" t="str">
        <f t="shared" si="2"/>
        <v>PremiumSS5</v>
      </c>
      <c r="D17" s="7" t="str">
        <f t="shared" si="3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曝弾の密偵 D.R.T.H.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red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32">
        <v>10</v>
      </c>
      <c r="P17" s="33">
        <f t="shared" si="4"/>
        <v>9.0334236675700084E-3</v>
      </c>
      <c r="Q17" s="27">
        <v>1</v>
      </c>
      <c r="R17" s="27">
        <v>0</v>
      </c>
      <c r="S17" s="27">
        <v>0</v>
      </c>
      <c r="T17" s="27">
        <v>0</v>
      </c>
      <c r="U17" s="27">
        <v>0</v>
      </c>
      <c r="V17" s="27">
        <v>1</v>
      </c>
    </row>
    <row r="18" spans="1:22" ht="21" customHeight="1" x14ac:dyDescent="0.15">
      <c r="A18" s="2">
        <v>7306010</v>
      </c>
      <c r="B18" s="2">
        <v>465</v>
      </c>
      <c r="C18" s="7" t="str">
        <f t="shared" si="2"/>
        <v>PremiumSS4</v>
      </c>
      <c r="D18" s="7" t="str">
        <f t="shared" si="3"/>
        <v>PremiumSS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真撃 ランスロット</v>
      </c>
      <c r="I18" s="7" t="str">
        <f>VLOOKUP(B18,[1]characters!$A:$J,10,FALSE)</f>
        <v>PremiumSS</v>
      </c>
      <c r="J18" s="7">
        <f>VLOOKUP(B18,[1]characters!$A:$I,9,FALSE)</f>
        <v>4</v>
      </c>
      <c r="K18" s="7" t="str">
        <f>VLOOKUP(B18,[1]characters!$A:$H,8,FALSE)</f>
        <v>green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男性</v>
      </c>
      <c r="O18" s="32">
        <v>19</v>
      </c>
      <c r="P18" s="33">
        <f t="shared" si="4"/>
        <v>1.7163504968383016E-2</v>
      </c>
      <c r="Q18" s="27">
        <v>1</v>
      </c>
      <c r="R18" s="27">
        <v>0</v>
      </c>
      <c r="S18" s="27">
        <v>0</v>
      </c>
      <c r="T18" s="27">
        <v>0</v>
      </c>
      <c r="U18" s="27">
        <v>0</v>
      </c>
      <c r="V18" s="27">
        <v>1</v>
      </c>
    </row>
    <row r="19" spans="1:22" ht="21" customHeight="1" x14ac:dyDescent="0.15">
      <c r="A19" s="2">
        <v>7306010</v>
      </c>
      <c r="B19" s="2">
        <v>466</v>
      </c>
      <c r="C19" s="7" t="str">
        <f t="shared" si="2"/>
        <v>PremiumSS5</v>
      </c>
      <c r="D19" s="7" t="str">
        <f t="shared" si="3"/>
        <v>PremiumSS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真断の勇覇 ランスロット</v>
      </c>
      <c r="I19" s="7" t="str">
        <f>VLOOKUP(B19,[1]characters!$A:$J,10,FALSE)</f>
        <v>PremiumSS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男性</v>
      </c>
      <c r="O19" s="32">
        <v>1</v>
      </c>
      <c r="P19" s="33">
        <f t="shared" si="4"/>
        <v>9.0334236675700087E-4</v>
      </c>
      <c r="Q19" s="27">
        <v>1</v>
      </c>
      <c r="R19" s="27">
        <v>0</v>
      </c>
      <c r="S19" s="27">
        <v>0</v>
      </c>
      <c r="T19" s="27">
        <v>0</v>
      </c>
      <c r="U19" s="27">
        <v>0</v>
      </c>
      <c r="V19" s="27">
        <v>1</v>
      </c>
    </row>
    <row r="20" spans="1:22" ht="21" customHeight="1" x14ac:dyDescent="0.15">
      <c r="A20" s="2">
        <v>7306010</v>
      </c>
      <c r="B20" s="2">
        <v>467</v>
      </c>
      <c r="C20" s="7" t="str">
        <f t="shared" si="2"/>
        <v>PremiumSS4</v>
      </c>
      <c r="D20" s="7" t="str">
        <f t="shared" si="3"/>
        <v>PremiumSS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報復 モルドレッド</v>
      </c>
      <c r="I20" s="7" t="str">
        <f>VLOOKUP(B20,[1]characters!$A:$J,10,FALSE)</f>
        <v>PremiumSS</v>
      </c>
      <c r="J20" s="7">
        <f>VLOOKUP(B20,[1]characters!$A:$I,9,FALSE)</f>
        <v>4</v>
      </c>
      <c r="K20" s="7" t="str">
        <f>VLOOKUP(B20,[1]characters!$A:$H,8,FALSE)</f>
        <v>blue</v>
      </c>
      <c r="L20" s="7" t="str">
        <f>VLOOKUP(B20,[1]characters!$A:$K,11,FALSE)</f>
        <v>technical</v>
      </c>
      <c r="M20" s="7" t="str">
        <f>VLOOKUP(B20,[1]characters!$A:$M,13,FALSE)</f>
        <v>human</v>
      </c>
      <c r="N20" s="7" t="str">
        <f>VLOOKUP(B20,[1]characters!$A:$G,7,FALSE)</f>
        <v>女性</v>
      </c>
      <c r="O20" s="32">
        <v>19</v>
      </c>
      <c r="P20" s="33">
        <f t="shared" si="4"/>
        <v>1.7163504968383016E-2</v>
      </c>
      <c r="Q20" s="27">
        <v>1</v>
      </c>
      <c r="R20" s="27">
        <v>0</v>
      </c>
      <c r="S20" s="27">
        <v>0</v>
      </c>
      <c r="T20" s="27">
        <v>0</v>
      </c>
      <c r="U20" s="27">
        <v>0</v>
      </c>
      <c r="V20" s="27">
        <v>1</v>
      </c>
    </row>
    <row r="21" spans="1:22" ht="21" customHeight="1" x14ac:dyDescent="0.15">
      <c r="A21" s="2">
        <v>7306010</v>
      </c>
      <c r="B21" s="2">
        <v>468</v>
      </c>
      <c r="C21" s="7" t="str">
        <f t="shared" si="2"/>
        <v>PremiumSS5</v>
      </c>
      <c r="D21" s="7" t="str">
        <f t="shared" si="3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憎愛の尖鋒 モルドレッド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blue</v>
      </c>
      <c r="L21" s="7" t="str">
        <f>VLOOKUP(B21,[1]characters!$A:$K,11,FALSE)</f>
        <v>technical</v>
      </c>
      <c r="M21" s="7" t="str">
        <f>VLOOKUP(B21,[1]characters!$A:$M,13,FALSE)</f>
        <v>human</v>
      </c>
      <c r="N21" s="7" t="str">
        <f>VLOOKUP(B21,[1]characters!$A:$G,7,FALSE)</f>
        <v>女性</v>
      </c>
      <c r="O21" s="32">
        <v>1</v>
      </c>
      <c r="P21" s="33">
        <f t="shared" si="4"/>
        <v>9.0334236675700087E-4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27">
        <v>1</v>
      </c>
    </row>
    <row r="22" spans="1:22" ht="21" customHeight="1" x14ac:dyDescent="0.15">
      <c r="A22" s="2">
        <v>7306010</v>
      </c>
      <c r="B22" s="2">
        <v>474</v>
      </c>
      <c r="C22" s="7" t="str">
        <f t="shared" si="2"/>
        <v>PremiumSS4</v>
      </c>
      <c r="D22" s="7" t="str">
        <f t="shared" si="3"/>
        <v>PremiumSS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キング・ドライグ</v>
      </c>
      <c r="I22" s="7" t="str">
        <f>VLOOKUP(B22,[1]characters!$A:$J,10,FALSE)</f>
        <v>PremiumSS</v>
      </c>
      <c r="J22" s="7">
        <f>VLOOKUP(B22,[1]characters!$A:$I,9,FALSE)</f>
        <v>4</v>
      </c>
      <c r="K22" s="7" t="str">
        <f>VLOOKUP(B22,[1]characters!$A:$H,8,FALSE)</f>
        <v>red</v>
      </c>
      <c r="L22" s="7" t="str">
        <f>VLOOKUP(B22,[1]characters!$A:$K,11,FALSE)</f>
        <v>attack</v>
      </c>
      <c r="M22" s="7" t="str">
        <f>VLOOKUP(B22,[1]characters!$A:$M,13,FALSE)</f>
        <v>dragon</v>
      </c>
      <c r="N22" s="7" t="str">
        <f>VLOOKUP(B22,[1]characters!$A:$G,7,FALSE)</f>
        <v>不明</v>
      </c>
      <c r="O22" s="32">
        <v>19</v>
      </c>
      <c r="P22" s="33">
        <f t="shared" si="4"/>
        <v>1.7163504968383016E-2</v>
      </c>
      <c r="Q22" s="27">
        <v>1</v>
      </c>
      <c r="R22" s="27">
        <v>0</v>
      </c>
      <c r="S22" s="27">
        <v>0</v>
      </c>
      <c r="T22" s="27">
        <v>0</v>
      </c>
      <c r="U22" s="27">
        <v>0</v>
      </c>
      <c r="V22" s="27">
        <v>1</v>
      </c>
    </row>
    <row r="23" spans="1:22" ht="21" customHeight="1" x14ac:dyDescent="0.15">
      <c r="A23" s="2">
        <v>7306010</v>
      </c>
      <c r="B23" s="2">
        <v>475</v>
      </c>
      <c r="C23" s="7" t="str">
        <f t="shared" si="2"/>
        <v>PremiumSS5</v>
      </c>
      <c r="D23" s="7" t="str">
        <f t="shared" si="3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緋王 キング・ドライグ</v>
      </c>
      <c r="I23" s="7" t="str">
        <f>VLOOKUP(B23,[1]characters!$A:$J,10,FALSE)</f>
        <v>PremiumSS</v>
      </c>
      <c r="J23" s="7">
        <f>VLOOKUP(B23,[1]characters!$A:$I,9,FALSE)</f>
        <v>5</v>
      </c>
      <c r="K23" s="7" t="str">
        <f>VLOOKUP(B23,[1]characters!$A:$H,8,FALSE)</f>
        <v>red</v>
      </c>
      <c r="L23" s="7" t="str">
        <f>VLOOKUP(B23,[1]characters!$A:$K,11,FALSE)</f>
        <v>attack</v>
      </c>
      <c r="M23" s="7" t="str">
        <f>VLOOKUP(B23,[1]characters!$A:$M,13,FALSE)</f>
        <v>dragon</v>
      </c>
      <c r="N23" s="7" t="str">
        <f>VLOOKUP(B23,[1]characters!$A:$G,7,FALSE)</f>
        <v>不明</v>
      </c>
      <c r="O23" s="32">
        <v>1</v>
      </c>
      <c r="P23" s="33">
        <f t="shared" si="4"/>
        <v>9.0334236675700087E-4</v>
      </c>
      <c r="Q23" s="27">
        <v>1</v>
      </c>
      <c r="R23" s="27">
        <v>0</v>
      </c>
      <c r="S23" s="27">
        <v>0</v>
      </c>
      <c r="T23" s="27">
        <v>0</v>
      </c>
      <c r="U23" s="27">
        <v>0</v>
      </c>
      <c r="V23" s="27">
        <v>1</v>
      </c>
    </row>
    <row r="24" spans="1:22" ht="21" customHeight="1" x14ac:dyDescent="0.15">
      <c r="A24" s="2">
        <v>7306010</v>
      </c>
      <c r="B24" s="2">
        <v>492</v>
      </c>
      <c r="C24" s="7" t="str">
        <f t="shared" si="2"/>
        <v>PremiumSS4</v>
      </c>
      <c r="D24" s="7" t="str">
        <f t="shared" si="3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ブートレグ・ペロー</v>
      </c>
      <c r="I24" s="7" t="str">
        <f>VLOOKUP(B24,[1]characters!$A:$J,10,FALSE)</f>
        <v>PremiumSS</v>
      </c>
      <c r="J24" s="7">
        <f>VLOOKUP(B24,[1]characters!$A:$I,9,FALSE)</f>
        <v>4</v>
      </c>
      <c r="K24" s="7" t="str">
        <f>VLOOKUP(B24,[1]characters!$A:$H,8,FALSE)</f>
        <v>red</v>
      </c>
      <c r="L24" s="7" t="str">
        <f>VLOOKUP(B24,[1]characters!$A:$K,11,FALSE)</f>
        <v>hp</v>
      </c>
      <c r="M24" s="7" t="str">
        <f>VLOOKUP(B24,[1]characters!$A:$M,13,FALSE)</f>
        <v>animal</v>
      </c>
      <c r="N24" s="7" t="str">
        <f>VLOOKUP(B24,[1]characters!$A:$G,7,FALSE)</f>
        <v>不明</v>
      </c>
      <c r="O24" s="32">
        <v>19</v>
      </c>
      <c r="P24" s="33">
        <f t="shared" si="4"/>
        <v>1.7163504968383016E-2</v>
      </c>
      <c r="Q24" s="27">
        <v>1</v>
      </c>
      <c r="R24" s="27">
        <v>0</v>
      </c>
      <c r="S24" s="27">
        <v>0</v>
      </c>
      <c r="T24" s="27">
        <v>0</v>
      </c>
      <c r="U24" s="27">
        <v>0</v>
      </c>
      <c r="V24" s="27">
        <v>1</v>
      </c>
    </row>
    <row r="25" spans="1:22" ht="21" customHeight="1" x14ac:dyDescent="0.15">
      <c r="A25" s="2">
        <v>7306010</v>
      </c>
      <c r="B25" s="2">
        <v>493</v>
      </c>
      <c r="C25" s="7" t="str">
        <f t="shared" si="2"/>
        <v>PremiumSS5</v>
      </c>
      <c r="D25" s="7" t="str">
        <f t="shared" si="3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跋扈の機脚 ブートレグ・ペロー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red</v>
      </c>
      <c r="L25" s="7" t="str">
        <f>VLOOKUP(B25,[1]characters!$A:$K,11,FALSE)</f>
        <v>hp</v>
      </c>
      <c r="M25" s="7" t="str">
        <f>VLOOKUP(B25,[1]characters!$A:$M,13,FALSE)</f>
        <v>animal</v>
      </c>
      <c r="N25" s="7" t="str">
        <f>VLOOKUP(B25,[1]characters!$A:$G,7,FALSE)</f>
        <v>不明</v>
      </c>
      <c r="O25" s="32">
        <v>1</v>
      </c>
      <c r="P25" s="33">
        <f t="shared" si="4"/>
        <v>9.0334236675700087E-4</v>
      </c>
      <c r="Q25" s="27">
        <v>1</v>
      </c>
      <c r="R25" s="27">
        <v>0</v>
      </c>
      <c r="S25" s="27">
        <v>0</v>
      </c>
      <c r="T25" s="27">
        <v>0</v>
      </c>
      <c r="U25" s="27">
        <v>0</v>
      </c>
      <c r="V25" s="27">
        <v>1</v>
      </c>
    </row>
    <row r="26" spans="1:22" ht="21" customHeight="1" x14ac:dyDescent="0.15">
      <c r="A26" s="2">
        <v>7306010</v>
      </c>
      <c r="B26" s="2">
        <v>494</v>
      </c>
      <c r="C26" s="7" t="str">
        <f t="shared" si="2"/>
        <v>PremiumSS4</v>
      </c>
      <c r="D26" s="7" t="str">
        <f t="shared" si="3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ハーメルン</v>
      </c>
      <c r="I26" s="7" t="str">
        <f>VLOOKUP(B26,[1]characters!$A:$J,10,FALSE)</f>
        <v>PremiumSS</v>
      </c>
      <c r="J26" s="7">
        <f>VLOOKUP(B26,[1]characters!$A:$I,9,FALSE)</f>
        <v>4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男性</v>
      </c>
      <c r="O26" s="32">
        <v>19</v>
      </c>
      <c r="P26" s="33">
        <f t="shared" si="4"/>
        <v>1.7163504968383016E-2</v>
      </c>
      <c r="Q26" s="27">
        <v>1</v>
      </c>
      <c r="R26" s="27">
        <v>0</v>
      </c>
      <c r="S26" s="27">
        <v>0</v>
      </c>
      <c r="T26" s="27">
        <v>0</v>
      </c>
      <c r="U26" s="27">
        <v>0</v>
      </c>
      <c r="V26" s="27">
        <v>1</v>
      </c>
    </row>
    <row r="27" spans="1:22" ht="21" customHeight="1" x14ac:dyDescent="0.15">
      <c r="A27" s="2">
        <v>7306010</v>
      </c>
      <c r="B27" s="2">
        <v>495</v>
      </c>
      <c r="C27" s="7" t="str">
        <f t="shared" si="2"/>
        <v>PremiumSS5</v>
      </c>
      <c r="D27" s="7" t="str">
        <f t="shared" si="3"/>
        <v>PremiumSS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鼠災呼ぶ笛音 ハーメルン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男性</v>
      </c>
      <c r="O27" s="32">
        <v>1</v>
      </c>
      <c r="P27" s="33">
        <f t="shared" si="4"/>
        <v>9.0334236675700087E-4</v>
      </c>
      <c r="Q27" s="27">
        <v>1</v>
      </c>
      <c r="R27" s="27">
        <v>0</v>
      </c>
      <c r="S27" s="27">
        <v>0</v>
      </c>
      <c r="T27" s="27">
        <v>0</v>
      </c>
      <c r="U27" s="27">
        <v>0</v>
      </c>
      <c r="V27" s="27">
        <v>1</v>
      </c>
    </row>
    <row r="28" spans="1:22" ht="21" customHeight="1" x14ac:dyDescent="0.15">
      <c r="A28" s="2">
        <v>7306010</v>
      </c>
      <c r="B28" s="2">
        <v>499</v>
      </c>
      <c r="C28" s="7" t="str">
        <f t="shared" si="2"/>
        <v>PremiumSS4</v>
      </c>
      <c r="D28" s="7" t="str">
        <f t="shared" si="3"/>
        <v>PremiumSS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ラプンツェル</v>
      </c>
      <c r="I28" s="7" t="str">
        <f>VLOOKUP(B28,[1]characters!$A:$J,10,FALSE)</f>
        <v>PremiumSS</v>
      </c>
      <c r="J28" s="7">
        <f>VLOOKUP(B28,[1]characters!$A:$I,9,FALSE)</f>
        <v>4</v>
      </c>
      <c r="K28" s="7" t="str">
        <f>VLOOKUP(B28,[1]characters!$A:$H,8,FALSE)</f>
        <v>yellow</v>
      </c>
      <c r="L28" s="7" t="str">
        <f>VLOOKUP(B28,[1]characters!$A:$K,11,FALSE)</f>
        <v>balance</v>
      </c>
      <c r="M28" s="7" t="str">
        <f>VLOOKUP(B28,[1]characters!$A:$M,13,FALSE)</f>
        <v>human</v>
      </c>
      <c r="N28" s="7" t="str">
        <f>VLOOKUP(B28,[1]characters!$A:$G,7,FALSE)</f>
        <v>女性</v>
      </c>
      <c r="O28" s="32">
        <v>19</v>
      </c>
      <c r="P28" s="33">
        <f t="shared" si="4"/>
        <v>1.7163504968383016E-2</v>
      </c>
      <c r="Q28" s="27">
        <v>1</v>
      </c>
      <c r="R28" s="27">
        <v>0</v>
      </c>
      <c r="S28" s="27">
        <v>0</v>
      </c>
      <c r="T28" s="27">
        <v>0</v>
      </c>
      <c r="U28" s="27">
        <v>0</v>
      </c>
      <c r="V28" s="27">
        <v>1</v>
      </c>
    </row>
    <row r="29" spans="1:22" ht="21" customHeight="1" x14ac:dyDescent="0.15">
      <c r="A29" s="2">
        <v>7306010</v>
      </c>
      <c r="B29" s="2">
        <v>500</v>
      </c>
      <c r="C29" s="7" t="str">
        <f t="shared" si="2"/>
        <v>PremiumSS5</v>
      </c>
      <c r="D29" s="7" t="str">
        <f t="shared" si="3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脈動の禁髪 ラプンツェル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yellow</v>
      </c>
      <c r="L29" s="7" t="str">
        <f>VLOOKUP(B29,[1]characters!$A:$K,11,FALSE)</f>
        <v>balance</v>
      </c>
      <c r="M29" s="7" t="str">
        <f>VLOOKUP(B29,[1]characters!$A:$M,13,FALSE)</f>
        <v>human</v>
      </c>
      <c r="N29" s="7" t="str">
        <f>VLOOKUP(B29,[1]characters!$A:$G,7,FALSE)</f>
        <v>女性</v>
      </c>
      <c r="O29" s="32">
        <v>1</v>
      </c>
      <c r="P29" s="33">
        <f t="shared" si="4"/>
        <v>9.0334236675700087E-4</v>
      </c>
      <c r="Q29" s="27">
        <v>1</v>
      </c>
      <c r="R29" s="27">
        <v>0</v>
      </c>
      <c r="S29" s="27">
        <v>0</v>
      </c>
      <c r="T29" s="27">
        <v>0</v>
      </c>
      <c r="U29" s="27">
        <v>0</v>
      </c>
      <c r="V29" s="27">
        <v>1</v>
      </c>
    </row>
    <row r="30" spans="1:22" ht="21" customHeight="1" x14ac:dyDescent="0.15">
      <c r="A30" s="2">
        <v>7306010</v>
      </c>
      <c r="B30" s="2">
        <v>594</v>
      </c>
      <c r="C30" s="7" t="str">
        <f t="shared" si="2"/>
        <v>PremiumSS4</v>
      </c>
      <c r="D30" s="7" t="str">
        <f t="shared" si="3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アルフヘイム</v>
      </c>
      <c r="I30" s="7" t="str">
        <f>VLOOKUP(B30,[1]characters!$A:$J,10,FALSE)</f>
        <v>PremiumSS</v>
      </c>
      <c r="J30" s="7">
        <f>VLOOKUP(B30,[1]characters!$A:$I,9,FALSE)</f>
        <v>4</v>
      </c>
      <c r="K30" s="7" t="str">
        <f>VLOOKUP(B30,[1]characters!$A:$H,8,FALSE)</f>
        <v>yellow</v>
      </c>
      <c r="L30" s="7" t="str">
        <f>VLOOKUP(B30,[1]characters!$A:$K,11,FALSE)</f>
        <v>attack</v>
      </c>
      <c r="M30" s="7" t="str">
        <f>VLOOKUP(B30,[1]characters!$A:$M,13,FALSE)</f>
        <v>dragon</v>
      </c>
      <c r="N30" s="7" t="str">
        <f>VLOOKUP(B30,[1]characters!$A:$G,7,FALSE)</f>
        <v>不明</v>
      </c>
      <c r="O30" s="32">
        <v>19</v>
      </c>
      <c r="P30" s="33">
        <f t="shared" si="4"/>
        <v>1.7163504968383016E-2</v>
      </c>
      <c r="Q30" s="27">
        <v>1</v>
      </c>
      <c r="R30" s="27">
        <v>0</v>
      </c>
      <c r="S30" s="27">
        <v>0</v>
      </c>
      <c r="T30" s="27">
        <v>0</v>
      </c>
      <c r="U30" s="27">
        <v>0</v>
      </c>
      <c r="V30" s="27">
        <v>1</v>
      </c>
    </row>
    <row r="31" spans="1:22" ht="21" customHeight="1" x14ac:dyDescent="0.15">
      <c r="A31" s="2">
        <v>7306010</v>
      </c>
      <c r="B31" s="2">
        <v>595</v>
      </c>
      <c r="C31" s="7" t="str">
        <f t="shared" si="2"/>
        <v>PremiumSS5</v>
      </c>
      <c r="D31" s="7" t="str">
        <f t="shared" si="3"/>
        <v>PremiumSS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光華なる神域 アルフヘイム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yellow</v>
      </c>
      <c r="L31" s="7" t="str">
        <f>VLOOKUP(B31,[1]characters!$A:$K,11,FALSE)</f>
        <v>attack</v>
      </c>
      <c r="M31" s="7" t="str">
        <f>VLOOKUP(B31,[1]characters!$A:$M,13,FALSE)</f>
        <v>dragon</v>
      </c>
      <c r="N31" s="7" t="str">
        <f>VLOOKUP(B31,[1]characters!$A:$G,7,FALSE)</f>
        <v>不明</v>
      </c>
      <c r="O31" s="32">
        <v>1</v>
      </c>
      <c r="P31" s="33">
        <f t="shared" si="4"/>
        <v>9.0334236675700087E-4</v>
      </c>
      <c r="Q31" s="27">
        <v>1</v>
      </c>
      <c r="R31" s="27">
        <v>0</v>
      </c>
      <c r="S31" s="27">
        <v>0</v>
      </c>
      <c r="T31" s="27">
        <v>0</v>
      </c>
      <c r="U31" s="27">
        <v>0</v>
      </c>
      <c r="V31" s="27">
        <v>1</v>
      </c>
    </row>
    <row r="32" spans="1:22" ht="21" customHeight="1" x14ac:dyDescent="0.15">
      <c r="A32" s="2">
        <v>7306010</v>
      </c>
      <c r="B32" s="2">
        <v>602</v>
      </c>
      <c r="C32" s="7" t="str">
        <f t="shared" si="2"/>
        <v>PremiumSS4</v>
      </c>
      <c r="D32" s="7" t="str">
        <f t="shared" si="3"/>
        <v>PremiumSS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フレイヤ</v>
      </c>
      <c r="I32" s="7" t="str">
        <f>VLOOKUP(B32,[1]characters!$A:$J,10,FALSE)</f>
        <v>PremiumSS</v>
      </c>
      <c r="J32" s="7">
        <f>VLOOKUP(B32,[1]characters!$A:$I,9,FALSE)</f>
        <v>4</v>
      </c>
      <c r="K32" s="7" t="str">
        <f>VLOOKUP(B32,[1]characters!$A:$H,8,FALSE)</f>
        <v>blue</v>
      </c>
      <c r="L32" s="7" t="str">
        <f>VLOOKUP(B32,[1]characters!$A:$K,11,FALSE)</f>
        <v>heal</v>
      </c>
      <c r="M32" s="7" t="str">
        <f>VLOOKUP(B32,[1]characters!$A:$M,13,FALSE)</f>
        <v>animal</v>
      </c>
      <c r="N32" s="7" t="str">
        <f>VLOOKUP(B32,[1]characters!$A:$G,7,FALSE)</f>
        <v>女性</v>
      </c>
      <c r="O32" s="32">
        <v>19</v>
      </c>
      <c r="P32" s="33">
        <f t="shared" si="4"/>
        <v>1.7163504968383016E-2</v>
      </c>
      <c r="Q32" s="27">
        <v>1</v>
      </c>
      <c r="R32" s="27">
        <v>0</v>
      </c>
      <c r="S32" s="27">
        <v>0</v>
      </c>
      <c r="T32" s="27">
        <v>0</v>
      </c>
      <c r="U32" s="27">
        <v>0</v>
      </c>
      <c r="V32" s="27">
        <v>1</v>
      </c>
    </row>
    <row r="33" spans="1:22" ht="21" customHeight="1" x14ac:dyDescent="0.15">
      <c r="A33" s="2">
        <v>7306010</v>
      </c>
      <c r="B33" s="2">
        <v>603</v>
      </c>
      <c r="C33" s="7" t="str">
        <f t="shared" si="2"/>
        <v>PremiumSS5</v>
      </c>
      <c r="D33" s="7" t="str">
        <f t="shared" si="3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掌愛の豊穣女神 フレイヤ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blue</v>
      </c>
      <c r="L33" s="7" t="str">
        <f>VLOOKUP(B33,[1]characters!$A:$K,11,FALSE)</f>
        <v>heal</v>
      </c>
      <c r="M33" s="7" t="str">
        <f>VLOOKUP(B33,[1]characters!$A:$M,13,FALSE)</f>
        <v>animal</v>
      </c>
      <c r="N33" s="7" t="str">
        <f>VLOOKUP(B33,[1]characters!$A:$G,7,FALSE)</f>
        <v>女性</v>
      </c>
      <c r="O33" s="32">
        <v>1</v>
      </c>
      <c r="P33" s="33">
        <f t="shared" si="4"/>
        <v>9.0334236675700087E-4</v>
      </c>
      <c r="Q33" s="27">
        <v>1</v>
      </c>
      <c r="R33" s="27">
        <v>0</v>
      </c>
      <c r="S33" s="27">
        <v>0</v>
      </c>
      <c r="T33" s="27">
        <v>0</v>
      </c>
      <c r="U33" s="27">
        <v>0</v>
      </c>
      <c r="V33" s="27">
        <v>1</v>
      </c>
    </row>
    <row r="34" spans="1:22" ht="21" customHeight="1" x14ac:dyDescent="0.15">
      <c r="A34" s="2">
        <v>7306010</v>
      </c>
      <c r="B34" s="2">
        <v>658</v>
      </c>
      <c r="C34" s="7" t="str">
        <f t="shared" si="2"/>
        <v>PremiumSS4</v>
      </c>
      <c r="D34" s="7" t="str">
        <f t="shared" si="3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猫又 クルミ</v>
      </c>
      <c r="I34" s="7" t="str">
        <f>VLOOKUP(B34,[1]characters!$A:$J,10,FALSE)</f>
        <v>PremiumSS</v>
      </c>
      <c r="J34" s="7">
        <f>VLOOKUP(B34,[1]characters!$A:$I,9,FALSE)</f>
        <v>4</v>
      </c>
      <c r="K34" s="7" t="str">
        <f>VLOOKUP(B34,[1]characters!$A:$H,8,FALSE)</f>
        <v>red</v>
      </c>
      <c r="L34" s="7" t="str">
        <f>VLOOKUP(B34,[1]characters!$A:$K,11,FALSE)</f>
        <v>attack</v>
      </c>
      <c r="M34" s="7" t="str">
        <f>VLOOKUP(B34,[1]characters!$A:$M,13,FALSE)</f>
        <v>animal</v>
      </c>
      <c r="N34" s="7" t="str">
        <f>VLOOKUP(B34,[1]characters!$A:$G,7,FALSE)</f>
        <v>女性</v>
      </c>
      <c r="O34" s="32">
        <v>19</v>
      </c>
      <c r="P34" s="33">
        <f t="shared" si="4"/>
        <v>1.7163504968383016E-2</v>
      </c>
      <c r="Q34" s="27">
        <v>1</v>
      </c>
      <c r="R34" s="27">
        <v>0</v>
      </c>
      <c r="S34" s="27">
        <v>0</v>
      </c>
      <c r="T34" s="27">
        <v>0</v>
      </c>
      <c r="U34" s="27">
        <v>0</v>
      </c>
      <c r="V34" s="27">
        <v>1</v>
      </c>
    </row>
    <row r="35" spans="1:22" ht="21" customHeight="1" x14ac:dyDescent="0.15">
      <c r="A35" s="2">
        <v>7306010</v>
      </c>
      <c r="B35" s="2">
        <v>659</v>
      </c>
      <c r="C35" s="7" t="str">
        <f t="shared" si="2"/>
        <v>PremiumSS5</v>
      </c>
      <c r="D35" s="7" t="str">
        <f t="shared" si="3"/>
        <v>PremiumSS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跳梁する化猫 クルミ</v>
      </c>
      <c r="I35" s="7" t="str">
        <f>VLOOKUP(B35,[1]characters!$A:$J,10,FALSE)</f>
        <v>PremiumSS</v>
      </c>
      <c r="J35" s="7">
        <f>VLOOKUP(B35,[1]characters!$A:$I,9,FALSE)</f>
        <v>5</v>
      </c>
      <c r="K35" s="7" t="str">
        <f>VLOOKUP(B35,[1]characters!$A:$H,8,FALSE)</f>
        <v>red</v>
      </c>
      <c r="L35" s="7" t="str">
        <f>VLOOKUP(B35,[1]characters!$A:$K,11,FALSE)</f>
        <v>attack</v>
      </c>
      <c r="M35" s="7" t="str">
        <f>VLOOKUP(B35,[1]characters!$A:$M,13,FALSE)</f>
        <v>animal</v>
      </c>
      <c r="N35" s="7" t="str">
        <f>VLOOKUP(B35,[1]characters!$A:$G,7,FALSE)</f>
        <v>女性</v>
      </c>
      <c r="O35" s="32">
        <v>1</v>
      </c>
      <c r="P35" s="33">
        <f t="shared" si="4"/>
        <v>9.0334236675700087E-4</v>
      </c>
      <c r="Q35" s="27">
        <v>1</v>
      </c>
      <c r="R35" s="27">
        <v>0</v>
      </c>
      <c r="S35" s="27">
        <v>0</v>
      </c>
      <c r="T35" s="27">
        <v>0</v>
      </c>
      <c r="U35" s="27">
        <v>0</v>
      </c>
      <c r="V35" s="27">
        <v>1</v>
      </c>
    </row>
    <row r="36" spans="1:22" ht="21" customHeight="1" x14ac:dyDescent="0.15">
      <c r="A36" s="2">
        <v>7306010</v>
      </c>
      <c r="B36" s="2">
        <v>660</v>
      </c>
      <c r="C36" s="7" t="str">
        <f t="shared" si="2"/>
        <v>PremiumSS4</v>
      </c>
      <c r="D36" s="7" t="str">
        <f t="shared" si="3"/>
        <v>PremiumSS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烏天狗 フウガ</v>
      </c>
      <c r="I36" s="7" t="str">
        <f>VLOOKUP(B36,[1]characters!$A:$J,10,FALSE)</f>
        <v>PremiumSS</v>
      </c>
      <c r="J36" s="7">
        <f>VLOOKUP(B36,[1]characters!$A:$I,9,FALSE)</f>
        <v>4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animal</v>
      </c>
      <c r="N36" s="7" t="str">
        <f>VLOOKUP(B36,[1]characters!$A:$G,7,FALSE)</f>
        <v>男性</v>
      </c>
      <c r="O36" s="32">
        <v>19</v>
      </c>
      <c r="P36" s="33">
        <f t="shared" si="4"/>
        <v>1.7163504968383016E-2</v>
      </c>
      <c r="Q36" s="27">
        <v>1</v>
      </c>
      <c r="R36" s="27">
        <v>0</v>
      </c>
      <c r="S36" s="27">
        <v>0</v>
      </c>
      <c r="T36" s="27">
        <v>0</v>
      </c>
      <c r="U36" s="27">
        <v>0</v>
      </c>
      <c r="V36" s="27">
        <v>1</v>
      </c>
    </row>
    <row r="37" spans="1:22" ht="21" customHeight="1" x14ac:dyDescent="0.15">
      <c r="A37" s="2">
        <v>7306010</v>
      </c>
      <c r="B37" s="2">
        <v>661</v>
      </c>
      <c r="C37" s="7" t="str">
        <f t="shared" si="2"/>
        <v>PremiumSS5</v>
      </c>
      <c r="D37" s="7" t="str">
        <f t="shared" si="3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疾風の天狗礫 フウガ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animal</v>
      </c>
      <c r="N37" s="7" t="str">
        <f>VLOOKUP(B37,[1]characters!$A:$G,7,FALSE)</f>
        <v>男性</v>
      </c>
      <c r="O37" s="32">
        <v>10</v>
      </c>
      <c r="P37" s="33">
        <f t="shared" si="4"/>
        <v>9.0334236675700084E-3</v>
      </c>
      <c r="Q37" s="27">
        <v>1</v>
      </c>
      <c r="R37" s="27">
        <v>0</v>
      </c>
      <c r="S37" s="27">
        <v>0</v>
      </c>
      <c r="T37" s="27">
        <v>0</v>
      </c>
      <c r="U37" s="27">
        <v>0</v>
      </c>
      <c r="V37" s="27">
        <v>1</v>
      </c>
    </row>
    <row r="38" spans="1:22" ht="21" customHeight="1" x14ac:dyDescent="0.15">
      <c r="A38" s="2">
        <v>7306010</v>
      </c>
      <c r="B38" s="2">
        <v>674</v>
      </c>
      <c r="C38" s="7" t="str">
        <f t="shared" si="2"/>
        <v>PremiumSS4</v>
      </c>
      <c r="D38" s="7" t="str">
        <f t="shared" si="3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サラスヴァティ</v>
      </c>
      <c r="I38" s="7" t="str">
        <f>VLOOKUP(B38,[1]characters!$A:$J,10,FALSE)</f>
        <v>PremiumSS</v>
      </c>
      <c r="J38" s="7">
        <f>VLOOKUP(B38,[1]characters!$A:$I,9,FALSE)</f>
        <v>4</v>
      </c>
      <c r="K38" s="7" t="str">
        <f>VLOOKUP(B38,[1]characters!$A:$H,8,FALSE)</f>
        <v>blue</v>
      </c>
      <c r="L38" s="7" t="str">
        <f>VLOOKUP(B38,[1]characters!$A:$K,11,FALSE)</f>
        <v>balance</v>
      </c>
      <c r="M38" s="7" t="str">
        <f>VLOOKUP(B38,[1]characters!$A:$M,13,FALSE)</f>
        <v>god</v>
      </c>
      <c r="N38" s="7" t="str">
        <f>VLOOKUP(B38,[1]characters!$A:$G,7,FALSE)</f>
        <v>女性</v>
      </c>
      <c r="O38" s="32">
        <v>19</v>
      </c>
      <c r="P38" s="33">
        <f t="shared" si="4"/>
        <v>1.7163504968383016E-2</v>
      </c>
      <c r="Q38" s="27">
        <v>1</v>
      </c>
      <c r="R38" s="27">
        <v>0</v>
      </c>
      <c r="S38" s="27">
        <v>0</v>
      </c>
      <c r="T38" s="27">
        <v>0</v>
      </c>
      <c r="U38" s="27">
        <v>0</v>
      </c>
      <c r="V38" s="27">
        <v>1</v>
      </c>
    </row>
    <row r="39" spans="1:22" ht="21" customHeight="1" x14ac:dyDescent="0.15">
      <c r="A39" s="2">
        <v>7306010</v>
      </c>
      <c r="B39" s="2">
        <v>675</v>
      </c>
      <c r="C39" s="7" t="str">
        <f t="shared" si="2"/>
        <v>PremiumSS5</v>
      </c>
      <c r="D39" s="7" t="str">
        <f t="shared" si="3"/>
        <v>PremiumSS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芸楽の奔流 サラスヴァティ</v>
      </c>
      <c r="I39" s="7" t="str">
        <f>VLOOKUP(B39,[1]characters!$A:$J,10,FALSE)</f>
        <v>PremiumSS</v>
      </c>
      <c r="J39" s="7">
        <f>VLOOKUP(B39,[1]characters!$A:$I,9,FALSE)</f>
        <v>5</v>
      </c>
      <c r="K39" s="7" t="str">
        <f>VLOOKUP(B39,[1]characters!$A:$H,8,FALSE)</f>
        <v>blue</v>
      </c>
      <c r="L39" s="7" t="str">
        <f>VLOOKUP(B39,[1]characters!$A:$K,11,FALSE)</f>
        <v>balance</v>
      </c>
      <c r="M39" s="7" t="str">
        <f>VLOOKUP(B39,[1]characters!$A:$M,13,FALSE)</f>
        <v>god</v>
      </c>
      <c r="N39" s="7" t="str">
        <f>VLOOKUP(B39,[1]characters!$A:$G,7,FALSE)</f>
        <v>女性</v>
      </c>
      <c r="O39" s="32">
        <v>1</v>
      </c>
      <c r="P39" s="33">
        <f t="shared" si="4"/>
        <v>9.0334236675700087E-4</v>
      </c>
      <c r="Q39" s="27">
        <v>1</v>
      </c>
      <c r="R39" s="27">
        <v>0</v>
      </c>
      <c r="S39" s="27">
        <v>0</v>
      </c>
      <c r="T39" s="27">
        <v>0</v>
      </c>
      <c r="U39" s="27">
        <v>0</v>
      </c>
      <c r="V39" s="27">
        <v>1</v>
      </c>
    </row>
    <row r="40" spans="1:22" ht="21" customHeight="1" x14ac:dyDescent="0.15">
      <c r="A40" s="2">
        <v>7306010</v>
      </c>
      <c r="B40" s="2">
        <v>676</v>
      </c>
      <c r="C40" s="7" t="str">
        <f t="shared" si="2"/>
        <v>PremiumSS4</v>
      </c>
      <c r="D40" s="7" t="str">
        <f t="shared" si="3"/>
        <v>PremiumSS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ヴィシュヌ</v>
      </c>
      <c r="I40" s="7" t="str">
        <f>VLOOKUP(B40,[1]characters!$A:$J,10,FALSE)</f>
        <v>PremiumSS</v>
      </c>
      <c r="J40" s="7">
        <f>VLOOKUP(B40,[1]characters!$A:$I,9,FALSE)</f>
        <v>4</v>
      </c>
      <c r="K40" s="7" t="str">
        <f>VLOOKUP(B40,[1]characters!$A:$H,8,FALSE)</f>
        <v>yellow</v>
      </c>
      <c r="L40" s="7" t="str">
        <f>VLOOKUP(B40,[1]characters!$A:$K,11,FALSE)</f>
        <v>attack</v>
      </c>
      <c r="M40" s="7" t="str">
        <f>VLOOKUP(B40,[1]characters!$A:$M,13,FALSE)</f>
        <v>god</v>
      </c>
      <c r="N40" s="7" t="str">
        <f>VLOOKUP(B40,[1]characters!$A:$G,7,FALSE)</f>
        <v>女性</v>
      </c>
      <c r="O40" s="32">
        <v>19</v>
      </c>
      <c r="P40" s="33">
        <f t="shared" si="4"/>
        <v>1.7163504968383016E-2</v>
      </c>
      <c r="Q40" s="27">
        <v>1</v>
      </c>
      <c r="R40" s="27">
        <v>0</v>
      </c>
      <c r="S40" s="27">
        <v>0</v>
      </c>
      <c r="T40" s="27">
        <v>0</v>
      </c>
      <c r="U40" s="27">
        <v>0</v>
      </c>
      <c r="V40" s="27">
        <v>1</v>
      </c>
    </row>
    <row r="41" spans="1:22" ht="21" customHeight="1" x14ac:dyDescent="0.15">
      <c r="A41" s="2">
        <v>7306010</v>
      </c>
      <c r="B41" s="2">
        <v>677</v>
      </c>
      <c r="C41" s="7" t="str">
        <f t="shared" si="2"/>
        <v>PremiumSS5</v>
      </c>
      <c r="D41" s="7" t="str">
        <f t="shared" si="3"/>
        <v>PremiumSS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武遊闊歩 ヴィシュヌ</v>
      </c>
      <c r="I41" s="7" t="str">
        <f>VLOOKUP(B41,[1]characters!$A:$J,10,FALSE)</f>
        <v>PremiumSS</v>
      </c>
      <c r="J41" s="7">
        <f>VLOOKUP(B41,[1]characters!$A:$I,9,FALSE)</f>
        <v>5</v>
      </c>
      <c r="K41" s="7" t="str">
        <f>VLOOKUP(B41,[1]characters!$A:$H,8,FALSE)</f>
        <v>yellow</v>
      </c>
      <c r="L41" s="7" t="str">
        <f>VLOOKUP(B41,[1]characters!$A:$K,11,FALSE)</f>
        <v>attack</v>
      </c>
      <c r="M41" s="7" t="str">
        <f>VLOOKUP(B41,[1]characters!$A:$M,13,FALSE)</f>
        <v>god</v>
      </c>
      <c r="N41" s="7" t="str">
        <f>VLOOKUP(B41,[1]characters!$A:$G,7,FALSE)</f>
        <v>女性</v>
      </c>
      <c r="O41" s="32">
        <v>1</v>
      </c>
      <c r="P41" s="33">
        <f t="shared" si="4"/>
        <v>9.0334236675700087E-4</v>
      </c>
      <c r="Q41" s="27">
        <v>1</v>
      </c>
      <c r="R41" s="27">
        <v>0</v>
      </c>
      <c r="S41" s="27">
        <v>0</v>
      </c>
      <c r="T41" s="27">
        <v>0</v>
      </c>
      <c r="U41" s="27">
        <v>0</v>
      </c>
      <c r="V41" s="27">
        <v>1</v>
      </c>
    </row>
    <row r="42" spans="1:22" ht="21" customHeight="1" x14ac:dyDescent="0.15">
      <c r="A42" s="2">
        <v>7306010</v>
      </c>
      <c r="B42" s="2">
        <v>732</v>
      </c>
      <c r="C42" s="7" t="str">
        <f t="shared" si="2"/>
        <v>PremiumSS5R5only</v>
      </c>
      <c r="D42" s="7" t="str">
        <f t="shared" si="3"/>
        <v>PremiumSS</v>
      </c>
      <c r="E42" s="7" t="str">
        <f>IF(COUNTIF('R6追加前'!A:A,B42)=0,IF(OR(I42="PremiumSS",I42="PremiumSSw"),"R5only","R3less"),"")</f>
        <v>R5only</v>
      </c>
      <c r="F42" s="7" t="str">
        <f>IF(COUNTIF('R6開放'!A:A,B42)&gt;0,"R6release","")</f>
        <v/>
      </c>
      <c r="G42" s="7"/>
      <c r="H42" s="7" t="str">
        <f>VLOOKUP(B42,[1]characters!$A:$C,3,FALSE)</f>
        <v>上杉謙信</v>
      </c>
      <c r="I42" s="7" t="str">
        <f>VLOOKUP(B42,[1]characters!$A:$J,10,FALSE)</f>
        <v>PremiumSS</v>
      </c>
      <c r="J42" s="7">
        <f>VLOOKUP(B42,[1]characters!$A:$I,9,FALSE)</f>
        <v>5</v>
      </c>
      <c r="K42" s="7" t="str">
        <f>VLOOKUP(B42,[1]characters!$A:$H,8,FALSE)</f>
        <v>blue</v>
      </c>
      <c r="L42" s="7" t="str">
        <f>VLOOKUP(B42,[1]characters!$A:$K,11,FALSE)</f>
        <v>attack</v>
      </c>
      <c r="M42" s="7" t="str">
        <f>VLOOKUP(B42,[1]characters!$A:$M,13,FALSE)</f>
        <v>human</v>
      </c>
      <c r="N42" s="7" t="str">
        <f>VLOOKUP(B42,[1]characters!$A:$G,7,FALSE)</f>
        <v>女性</v>
      </c>
      <c r="O42" s="32">
        <v>20</v>
      </c>
      <c r="P42" s="33">
        <f t="shared" si="4"/>
        <v>1.8066847335140017E-2</v>
      </c>
      <c r="Q42" s="27">
        <v>1</v>
      </c>
      <c r="R42" s="27">
        <v>0</v>
      </c>
      <c r="S42" s="27">
        <v>0</v>
      </c>
      <c r="T42" s="27">
        <v>0</v>
      </c>
      <c r="U42" s="27">
        <v>0</v>
      </c>
      <c r="V42" s="27">
        <v>1</v>
      </c>
    </row>
    <row r="43" spans="1:22" ht="21" customHeight="1" x14ac:dyDescent="0.15">
      <c r="A43" s="2">
        <v>7306010</v>
      </c>
      <c r="B43" s="2">
        <v>734</v>
      </c>
      <c r="C43" s="7" t="str">
        <f t="shared" si="2"/>
        <v>PremiumSS5R5only</v>
      </c>
      <c r="D43" s="7" t="str">
        <f t="shared" si="3"/>
        <v>PremiumSS</v>
      </c>
      <c r="E43" s="7" t="str">
        <f>IF(COUNTIF('R6追加前'!A:A,B43)=0,IF(OR(I43="PremiumSS",I43="PremiumSSw"),"R5only","R3less"),"")</f>
        <v>R5only</v>
      </c>
      <c r="F43" s="7" t="str">
        <f>IF(COUNTIF('R6開放'!A:A,B43)&gt;0,"R6release","")</f>
        <v/>
      </c>
      <c r="G43" s="7"/>
      <c r="H43" s="7" t="str">
        <f>VLOOKUP(B43,[1]characters!$A:$C,3,FALSE)</f>
        <v>伊達政宗</v>
      </c>
      <c r="I43" s="7" t="str">
        <f>VLOOKUP(B43,[1]characters!$A:$J,10,FALSE)</f>
        <v>PremiumSS</v>
      </c>
      <c r="J43" s="7">
        <f>VLOOKUP(B43,[1]characters!$A:$I,9,FALSE)</f>
        <v>5</v>
      </c>
      <c r="K43" s="7" t="str">
        <f>VLOOKUP(B43,[1]characters!$A:$H,8,FALSE)</f>
        <v>yellow</v>
      </c>
      <c r="L43" s="7" t="str">
        <f>VLOOKUP(B43,[1]characters!$A:$K,11,FALSE)</f>
        <v>balance</v>
      </c>
      <c r="M43" s="7" t="str">
        <f>VLOOKUP(B43,[1]characters!$A:$M,13,FALSE)</f>
        <v>human</v>
      </c>
      <c r="N43" s="7" t="str">
        <f>VLOOKUP(B43,[1]characters!$A:$G,7,FALSE)</f>
        <v>男性</v>
      </c>
      <c r="O43" s="32">
        <v>20</v>
      </c>
      <c r="P43" s="33">
        <f t="shared" si="4"/>
        <v>1.8066847335140017E-2</v>
      </c>
      <c r="Q43" s="27">
        <v>1</v>
      </c>
      <c r="R43" s="27">
        <v>0</v>
      </c>
      <c r="S43" s="27">
        <v>0</v>
      </c>
      <c r="T43" s="27">
        <v>0</v>
      </c>
      <c r="U43" s="27">
        <v>0</v>
      </c>
      <c r="V43" s="27">
        <v>1</v>
      </c>
    </row>
    <row r="44" spans="1:22" ht="21" customHeight="1" x14ac:dyDescent="0.15">
      <c r="A44" s="2">
        <v>7306010</v>
      </c>
      <c r="B44" s="2">
        <v>770</v>
      </c>
      <c r="C44" s="7" t="str">
        <f t="shared" si="2"/>
        <v>PremiumSS4</v>
      </c>
      <c r="D44" s="7" t="str">
        <f t="shared" si="3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ハヅル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red</v>
      </c>
      <c r="L44" s="7" t="str">
        <f>VLOOKUP(B44,[1]characters!$A:$K,11,FALSE)</f>
        <v>balance</v>
      </c>
      <c r="M44" s="7" t="str">
        <f>VLOOKUP(B44,[1]characters!$A:$M,13,FALSE)</f>
        <v>animal</v>
      </c>
      <c r="N44" s="7" t="str">
        <f>VLOOKUP(B44,[1]characters!$A:$G,7,FALSE)</f>
        <v>女性</v>
      </c>
      <c r="O44" s="32">
        <v>19</v>
      </c>
      <c r="P44" s="33">
        <f t="shared" si="4"/>
        <v>1.7163504968383016E-2</v>
      </c>
      <c r="Q44" s="27">
        <v>1</v>
      </c>
      <c r="R44" s="27">
        <v>0</v>
      </c>
      <c r="S44" s="27">
        <v>0</v>
      </c>
      <c r="T44" s="27">
        <v>0</v>
      </c>
      <c r="U44" s="27">
        <v>0</v>
      </c>
      <c r="V44" s="27">
        <v>1</v>
      </c>
    </row>
    <row r="45" spans="1:22" ht="21" customHeight="1" x14ac:dyDescent="0.15">
      <c r="A45" s="2">
        <v>7306010</v>
      </c>
      <c r="B45" s="2">
        <v>771</v>
      </c>
      <c r="C45" s="7" t="str">
        <f t="shared" si="2"/>
        <v>PremiumSS5</v>
      </c>
      <c r="D45" s="7" t="str">
        <f t="shared" si="3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天織羽鶴 ハヅル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red</v>
      </c>
      <c r="L45" s="7" t="str">
        <f>VLOOKUP(B45,[1]characters!$A:$K,11,FALSE)</f>
        <v>balance</v>
      </c>
      <c r="M45" s="7" t="str">
        <f>VLOOKUP(B45,[1]characters!$A:$M,13,FALSE)</f>
        <v>animal</v>
      </c>
      <c r="N45" s="7" t="str">
        <f>VLOOKUP(B45,[1]characters!$A:$G,7,FALSE)</f>
        <v>女性</v>
      </c>
      <c r="O45" s="32">
        <v>1</v>
      </c>
      <c r="P45" s="33">
        <f t="shared" si="4"/>
        <v>9.0334236675700087E-4</v>
      </c>
      <c r="Q45" s="27">
        <v>1</v>
      </c>
      <c r="R45" s="27">
        <v>0</v>
      </c>
      <c r="S45" s="27">
        <v>0</v>
      </c>
      <c r="T45" s="27">
        <v>0</v>
      </c>
      <c r="U45" s="27">
        <v>0</v>
      </c>
      <c r="V45" s="27">
        <v>1</v>
      </c>
    </row>
    <row r="46" spans="1:22" ht="21" customHeight="1" x14ac:dyDescent="0.15">
      <c r="A46" s="2">
        <v>7306010</v>
      </c>
      <c r="B46" s="2">
        <v>772</v>
      </c>
      <c r="C46" s="7" t="str">
        <f t="shared" si="2"/>
        <v>PremiumSS4</v>
      </c>
      <c r="D46" s="7" t="str">
        <f t="shared" si="3"/>
        <v>PremiumSS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イナバ</v>
      </c>
      <c r="I46" s="7" t="str">
        <f>VLOOKUP(B46,[1]characters!$A:$J,10,FALSE)</f>
        <v>PremiumSS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balance</v>
      </c>
      <c r="M46" s="7" t="str">
        <f>VLOOKUP(B46,[1]characters!$A:$M,13,FALSE)</f>
        <v>animal</v>
      </c>
      <c r="N46" s="7" t="str">
        <f>VLOOKUP(B46,[1]characters!$A:$G,7,FALSE)</f>
        <v>女性</v>
      </c>
      <c r="O46" s="32">
        <v>19</v>
      </c>
      <c r="P46" s="33">
        <f t="shared" si="4"/>
        <v>1.7163504968383016E-2</v>
      </c>
      <c r="Q46" s="27">
        <v>1</v>
      </c>
      <c r="R46" s="27">
        <v>0</v>
      </c>
      <c r="S46" s="27">
        <v>0</v>
      </c>
      <c r="T46" s="27">
        <v>0</v>
      </c>
      <c r="U46" s="27">
        <v>0</v>
      </c>
      <c r="V46" s="27">
        <v>1</v>
      </c>
    </row>
    <row r="47" spans="1:22" ht="21" customHeight="1" x14ac:dyDescent="0.15">
      <c r="A47" s="2">
        <v>7306010</v>
      </c>
      <c r="B47" s="2">
        <v>773</v>
      </c>
      <c r="C47" s="7" t="str">
        <f t="shared" si="2"/>
        <v>PremiumSS5</v>
      </c>
      <c r="D47" s="7" t="str">
        <f t="shared" si="3"/>
        <v>PremiumSS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浮跳天兎 イナバ</v>
      </c>
      <c r="I47" s="7" t="str">
        <f>VLOOKUP(B47,[1]characters!$A:$J,10,FALSE)</f>
        <v>PremiumSS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balance</v>
      </c>
      <c r="M47" s="7" t="str">
        <f>VLOOKUP(B47,[1]characters!$A:$M,13,FALSE)</f>
        <v>animal</v>
      </c>
      <c r="N47" s="7" t="str">
        <f>VLOOKUP(B47,[1]characters!$A:$G,7,FALSE)</f>
        <v>女性</v>
      </c>
      <c r="O47" s="32">
        <v>1</v>
      </c>
      <c r="P47" s="33">
        <f t="shared" si="4"/>
        <v>9.0334236675700087E-4</v>
      </c>
      <c r="Q47" s="27">
        <v>1</v>
      </c>
      <c r="R47" s="27">
        <v>0</v>
      </c>
      <c r="S47" s="27">
        <v>0</v>
      </c>
      <c r="T47" s="27">
        <v>0</v>
      </c>
      <c r="U47" s="27">
        <v>0</v>
      </c>
      <c r="V47" s="27">
        <v>1</v>
      </c>
    </row>
    <row r="48" spans="1:22" ht="21" customHeight="1" x14ac:dyDescent="0.15">
      <c r="A48" s="2">
        <v>7306010</v>
      </c>
      <c r="B48" s="2">
        <v>848</v>
      </c>
      <c r="C48" s="7" t="str">
        <f t="shared" si="2"/>
        <v>PremiumSS5R5only</v>
      </c>
      <c r="D48" s="7" t="str">
        <f t="shared" si="3"/>
        <v>PremiumSS</v>
      </c>
      <c r="E48" s="7" t="str">
        <f>IF(COUNTIF('R6追加前'!A:A,B48)=0,IF(OR(I48="PremiumSS",I48="PremiumSSw"),"R5only","R3less"),"")</f>
        <v>R5only</v>
      </c>
      <c r="F48" s="7" t="str">
        <f>IF(COUNTIF('R6開放'!A:A,B48)&gt;0,"R6release","")</f>
        <v/>
      </c>
      <c r="G48" s="7"/>
      <c r="H48" s="7" t="str">
        <f>VLOOKUP(B48,[1]characters!$A:$C,3,FALSE)</f>
        <v>メタトロン</v>
      </c>
      <c r="I48" s="7" t="str">
        <f>VLOOKUP(B48,[1]characters!$A:$J,10,FALSE)</f>
        <v>PremiumSS</v>
      </c>
      <c r="J48" s="7">
        <f>VLOOKUP(B48,[1]characters!$A:$I,9,FALSE)</f>
        <v>5</v>
      </c>
      <c r="K48" s="7" t="str">
        <f>VLOOKUP(B48,[1]characters!$A:$H,8,FALSE)</f>
        <v>red</v>
      </c>
      <c r="L48" s="7" t="str">
        <f>VLOOKUP(B48,[1]characters!$A:$K,11,FALSE)</f>
        <v>balance</v>
      </c>
      <c r="M48" s="7" t="str">
        <f>VLOOKUP(B48,[1]characters!$A:$M,13,FALSE)</f>
        <v>god</v>
      </c>
      <c r="N48" s="7" t="str">
        <f>VLOOKUP(B48,[1]characters!$A:$G,7,FALSE)</f>
        <v>男性</v>
      </c>
      <c r="O48" s="32">
        <v>20</v>
      </c>
      <c r="P48" s="33">
        <f t="shared" si="4"/>
        <v>1.8066847335140017E-2</v>
      </c>
      <c r="Q48" s="27">
        <v>1</v>
      </c>
      <c r="R48" s="27">
        <v>0</v>
      </c>
      <c r="S48" s="27">
        <v>0</v>
      </c>
      <c r="T48" s="27">
        <v>0</v>
      </c>
      <c r="U48" s="27">
        <v>0</v>
      </c>
      <c r="V48" s="27">
        <v>1</v>
      </c>
    </row>
    <row r="49" spans="1:22" ht="21" customHeight="1" x14ac:dyDescent="0.15">
      <c r="A49" s="2">
        <v>7306010</v>
      </c>
      <c r="B49" s="2">
        <v>850</v>
      </c>
      <c r="C49" s="7" t="str">
        <f t="shared" si="2"/>
        <v>PremiumSS5R5only</v>
      </c>
      <c r="D49" s="7" t="str">
        <f t="shared" si="3"/>
        <v>PremiumSS</v>
      </c>
      <c r="E49" s="7" t="str">
        <f>IF(COUNTIF('R6追加前'!A:A,B49)=0,IF(OR(I49="PremiumSS",I49="PremiumSSw"),"R5only","R3less"),"")</f>
        <v>R5only</v>
      </c>
      <c r="F49" s="7" t="str">
        <f>IF(COUNTIF('R6開放'!A:A,B49)&gt;0,"R6release","")</f>
        <v/>
      </c>
      <c r="G49" s="7"/>
      <c r="H49" s="7" t="str">
        <f>VLOOKUP(B49,[1]characters!$A:$C,3,FALSE)</f>
        <v>バアル</v>
      </c>
      <c r="I49" s="7" t="str">
        <f>VLOOKUP(B49,[1]characters!$A:$J,10,FALSE)</f>
        <v>PremiumSS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technical</v>
      </c>
      <c r="M49" s="7" t="str">
        <f>VLOOKUP(B49,[1]characters!$A:$M,13,FALSE)</f>
        <v>god</v>
      </c>
      <c r="N49" s="7" t="str">
        <f>VLOOKUP(B49,[1]characters!$A:$G,7,FALSE)</f>
        <v>男性</v>
      </c>
      <c r="O49" s="32">
        <v>20</v>
      </c>
      <c r="P49" s="33">
        <f t="shared" si="4"/>
        <v>1.8066847335140017E-2</v>
      </c>
      <c r="Q49" s="27">
        <v>1</v>
      </c>
      <c r="R49" s="27">
        <v>0</v>
      </c>
      <c r="S49" s="27">
        <v>0</v>
      </c>
      <c r="T49" s="27">
        <v>0</v>
      </c>
      <c r="U49" s="27">
        <v>0</v>
      </c>
      <c r="V49" s="27">
        <v>1</v>
      </c>
    </row>
    <row r="50" spans="1:22" ht="21" customHeight="1" x14ac:dyDescent="0.15">
      <c r="A50" s="2">
        <v>7306010</v>
      </c>
      <c r="B50" s="2">
        <v>866</v>
      </c>
      <c r="C50" s="7" t="str">
        <f t="shared" si="2"/>
        <v>PremiumSS5R5only</v>
      </c>
      <c r="D50" s="7" t="str">
        <f t="shared" si="3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無敗の司令姫 白雪姫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balance</v>
      </c>
      <c r="M50" s="7" t="str">
        <f>VLOOKUP(B50,[1]characters!$A:$M,13,FALSE)</f>
        <v>human</v>
      </c>
      <c r="N50" s="7" t="str">
        <f>VLOOKUP(B50,[1]characters!$A:$G,7,FALSE)</f>
        <v>男性</v>
      </c>
      <c r="O50" s="32">
        <v>20</v>
      </c>
      <c r="P50" s="33">
        <f t="shared" si="4"/>
        <v>1.8066847335140017E-2</v>
      </c>
      <c r="Q50" s="27">
        <v>1</v>
      </c>
      <c r="R50" s="27">
        <v>0</v>
      </c>
      <c r="S50" s="27">
        <v>0</v>
      </c>
      <c r="T50" s="27">
        <v>0</v>
      </c>
      <c r="U50" s="27">
        <v>0</v>
      </c>
      <c r="V50" s="27">
        <v>1</v>
      </c>
    </row>
    <row r="51" spans="1:22" ht="21" customHeight="1" x14ac:dyDescent="0.15">
      <c r="A51" s="2">
        <v>7306010</v>
      </c>
      <c r="B51" s="2">
        <v>868</v>
      </c>
      <c r="C51" s="7" t="str">
        <f t="shared" si="2"/>
        <v>PremiumSS5R5only</v>
      </c>
      <c r="D51" s="7" t="str">
        <f t="shared" si="3"/>
        <v>PremiumSS</v>
      </c>
      <c r="E51" s="7" t="str">
        <f>IF(COUNTIF('R6追加前'!A:A,B51)=0,IF(OR(I51="PremiumSS",I51="PremiumSSw"),"R5only","R3less"),"")</f>
        <v>R5only</v>
      </c>
      <c r="F51" s="7" t="str">
        <f>IF(COUNTIF('R6開放'!A:A,B51)&gt;0,"R6release","")</f>
        <v/>
      </c>
      <c r="G51" s="7"/>
      <c r="H51" s="7" t="str">
        <f>VLOOKUP(B51,[1]characters!$A:$C,3,FALSE)</f>
        <v>アラジンと殲滅機兵LAMP</v>
      </c>
      <c r="I51" s="7" t="str">
        <f>VLOOKUP(B51,[1]characters!$A:$J,10,FALSE)</f>
        <v>PremiumSS</v>
      </c>
      <c r="J51" s="7">
        <f>VLOOKUP(B51,[1]characters!$A:$I,9,FALSE)</f>
        <v>5</v>
      </c>
      <c r="K51" s="7" t="str">
        <f>VLOOKUP(B51,[1]characters!$A:$H,8,FALSE)</f>
        <v>yellow</v>
      </c>
      <c r="L51" s="7" t="str">
        <f>VLOOKUP(B51,[1]characters!$A:$K,11,FALSE)</f>
        <v>hp</v>
      </c>
      <c r="M51" s="7" t="str">
        <f>VLOOKUP(B51,[1]characters!$A:$M,13,FALSE)</f>
        <v>human</v>
      </c>
      <c r="N51" s="7" t="str">
        <f>VLOOKUP(B51,[1]characters!$A:$G,7,FALSE)</f>
        <v>男性</v>
      </c>
      <c r="O51" s="32">
        <v>20</v>
      </c>
      <c r="P51" s="33">
        <f t="shared" si="4"/>
        <v>1.8066847335140017E-2</v>
      </c>
      <c r="Q51" s="27">
        <v>1</v>
      </c>
      <c r="R51" s="27">
        <v>0</v>
      </c>
      <c r="S51" s="27">
        <v>0</v>
      </c>
      <c r="T51" s="27">
        <v>0</v>
      </c>
      <c r="U51" s="27">
        <v>0</v>
      </c>
      <c r="V51" s="27">
        <v>1</v>
      </c>
    </row>
    <row r="52" spans="1:22" ht="21" customHeight="1" x14ac:dyDescent="0.15">
      <c r="A52" s="2">
        <v>7306010</v>
      </c>
      <c r="B52" s="2">
        <v>742</v>
      </c>
      <c r="C52" s="7" t="str">
        <f t="shared" si="2"/>
        <v>PremiumSS5R5only</v>
      </c>
      <c r="D52" s="7" t="str">
        <f t="shared" si="3"/>
        <v>PremiumSS</v>
      </c>
      <c r="E52" s="7" t="str">
        <f>IF(COUNTIF('R6追加前'!A:A,B52)=0,IF(OR(I52="PremiumSS",I52="PremiumSSw"),"R5only","R3less"),"")</f>
        <v>R5only</v>
      </c>
      <c r="F52" s="7" t="str">
        <f>IF(COUNTIF('R6開放'!A:A,B52)&gt;0,"R6release","")</f>
        <v/>
      </c>
      <c r="G52" s="7"/>
      <c r="H52" s="7" t="str">
        <f>VLOOKUP(B52,[1]characters!$A:$C,3,FALSE)</f>
        <v>アポロン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red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男性</v>
      </c>
      <c r="O52" s="32">
        <v>20</v>
      </c>
      <c r="P52" s="33">
        <f t="shared" si="4"/>
        <v>1.8066847335140017E-2</v>
      </c>
      <c r="Q52" s="27">
        <v>1</v>
      </c>
      <c r="R52" s="27">
        <v>0</v>
      </c>
      <c r="S52" s="27">
        <v>0</v>
      </c>
      <c r="T52" s="27">
        <v>0</v>
      </c>
      <c r="U52" s="27">
        <v>0</v>
      </c>
      <c r="V52" s="27">
        <v>1</v>
      </c>
    </row>
    <row r="53" spans="1:22" ht="21" customHeight="1" x14ac:dyDescent="0.15">
      <c r="A53" s="2">
        <v>7306010</v>
      </c>
      <c r="B53" s="2">
        <v>744</v>
      </c>
      <c r="C53" s="7" t="str">
        <f t="shared" si="2"/>
        <v>PremiumSS5R5only</v>
      </c>
      <c r="D53" s="7" t="str">
        <f t="shared" si="3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ヘルメス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green</v>
      </c>
      <c r="L53" s="7" t="str">
        <f>VLOOKUP(B53,[1]characters!$A:$K,11,FALSE)</f>
        <v>technical</v>
      </c>
      <c r="M53" s="7" t="str">
        <f>VLOOKUP(B53,[1]characters!$A:$M,13,FALSE)</f>
        <v>god</v>
      </c>
      <c r="N53" s="7" t="str">
        <f>VLOOKUP(B53,[1]characters!$A:$G,7,FALSE)</f>
        <v>男性</v>
      </c>
      <c r="O53" s="32">
        <v>20</v>
      </c>
      <c r="P53" s="33">
        <f t="shared" si="4"/>
        <v>1.8066847335140017E-2</v>
      </c>
      <c r="Q53" s="27">
        <v>1</v>
      </c>
      <c r="R53" s="27">
        <v>0</v>
      </c>
      <c r="S53" s="27">
        <v>0</v>
      </c>
      <c r="T53" s="27">
        <v>0</v>
      </c>
      <c r="U53" s="27">
        <v>0</v>
      </c>
      <c r="V53" s="27">
        <v>1</v>
      </c>
    </row>
    <row r="54" spans="1:22" ht="21" customHeight="1" x14ac:dyDescent="0.15">
      <c r="A54" s="2">
        <v>7306010</v>
      </c>
      <c r="B54" s="2">
        <v>937</v>
      </c>
      <c r="C54" s="7" t="str">
        <f t="shared" si="2"/>
        <v>PremiumSS5R5only</v>
      </c>
      <c r="D54" s="7" t="str">
        <f t="shared" si="3"/>
        <v>PremiumSS</v>
      </c>
      <c r="E54" s="7" t="str">
        <f>IF(COUNTIF('R6追加前'!A:A,B54)=0,IF(OR(I54="PremiumSS",I54="PremiumSSw"),"R5only","R3less"),"")</f>
        <v>R5only</v>
      </c>
      <c r="F54" s="7" t="str">
        <f>IF(COUNTIF('R6開放'!A:A,B54)&gt;0,"R6release","")</f>
        <v/>
      </c>
      <c r="G54" s="7"/>
      <c r="H54" s="7" t="str">
        <f>VLOOKUP(B54,[1]characters!$A:$C,3,FALSE)</f>
        <v>ナポレオン</v>
      </c>
      <c r="I54" s="7" t="str">
        <f>VLOOKUP(B54,[1]characters!$A:$J,10,FALSE)</f>
        <v>PremiumSS</v>
      </c>
      <c r="J54" s="7">
        <f>VLOOKUP(B54,[1]characters!$A:$I,9,FALSE)</f>
        <v>5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human</v>
      </c>
      <c r="N54" s="7" t="str">
        <f>VLOOKUP(B54,[1]characters!$A:$G,7,FALSE)</f>
        <v>男性</v>
      </c>
      <c r="O54" s="32">
        <v>20</v>
      </c>
      <c r="P54" s="33">
        <f t="shared" si="4"/>
        <v>1.8066847335140017E-2</v>
      </c>
      <c r="Q54" s="27">
        <v>1</v>
      </c>
      <c r="R54" s="27">
        <v>0</v>
      </c>
      <c r="S54" s="27">
        <v>0</v>
      </c>
      <c r="T54" s="27">
        <v>0</v>
      </c>
      <c r="U54" s="27">
        <v>0</v>
      </c>
      <c r="V54" s="27">
        <v>1</v>
      </c>
    </row>
    <row r="55" spans="1:22" ht="21" customHeight="1" x14ac:dyDescent="0.15">
      <c r="A55" s="2">
        <v>7306010</v>
      </c>
      <c r="B55" s="2">
        <v>941</v>
      </c>
      <c r="C55" s="7" t="str">
        <f t="shared" si="2"/>
        <v>PremiumSS5R5only</v>
      </c>
      <c r="D55" s="7" t="str">
        <f t="shared" si="3"/>
        <v>PremiumSS</v>
      </c>
      <c r="E55" s="7" t="str">
        <f>IF(COUNTIF('R6追加前'!A:A,B55)=0,IF(OR(I55="PremiumSS",I55="PremiumSSw"),"R5only","R3less"),"")</f>
        <v>R5only</v>
      </c>
      <c r="F55" s="7" t="str">
        <f>IF(COUNTIF('R6開放'!A:A,B55)&gt;0,"R6release","")</f>
        <v/>
      </c>
      <c r="G55" s="7"/>
      <c r="H55" s="7" t="str">
        <f>VLOOKUP(B55,[1]characters!$A:$C,3,FALSE)</f>
        <v>アントワネット</v>
      </c>
      <c r="I55" s="7" t="str">
        <f>VLOOKUP(B55,[1]characters!$A:$J,10,FALSE)</f>
        <v>PremiumSS</v>
      </c>
      <c r="J55" s="7">
        <f>VLOOKUP(B55,[1]characters!$A:$I,9,FALSE)</f>
        <v>5</v>
      </c>
      <c r="K55" s="7" t="str">
        <f>VLOOKUP(B55,[1]characters!$A:$H,8,FALSE)</f>
        <v>blue</v>
      </c>
      <c r="L55" s="7" t="str">
        <f>VLOOKUP(B55,[1]characters!$A:$K,11,FALSE)</f>
        <v>technical</v>
      </c>
      <c r="M55" s="7" t="str">
        <f>VLOOKUP(B55,[1]characters!$A:$M,13,FALSE)</f>
        <v>human</v>
      </c>
      <c r="N55" s="7" t="str">
        <f>VLOOKUP(B55,[1]characters!$A:$G,7,FALSE)</f>
        <v>男性</v>
      </c>
      <c r="O55" s="32">
        <v>20</v>
      </c>
      <c r="P55" s="33">
        <f t="shared" si="4"/>
        <v>1.8066847335140017E-2</v>
      </c>
      <c r="Q55" s="27">
        <v>1</v>
      </c>
      <c r="R55" s="27">
        <v>0</v>
      </c>
      <c r="S55" s="27">
        <v>0</v>
      </c>
      <c r="T55" s="27">
        <v>0</v>
      </c>
      <c r="U55" s="27">
        <v>0</v>
      </c>
      <c r="V55" s="27">
        <v>1</v>
      </c>
    </row>
    <row r="56" spans="1:22" ht="21" customHeight="1" x14ac:dyDescent="0.15">
      <c r="A56" s="2">
        <v>7306010</v>
      </c>
      <c r="B56" s="2">
        <v>943</v>
      </c>
      <c r="C56" s="7" t="str">
        <f t="shared" si="2"/>
        <v>PremiumSS5R5only</v>
      </c>
      <c r="D56" s="7" t="str">
        <f t="shared" si="3"/>
        <v>PremiumSS</v>
      </c>
      <c r="E56" s="7" t="str">
        <f>IF(COUNTIF('R6追加前'!A:A,B56)=0,IF(OR(I56="PremiumSS",I56="PremiumSSw"),"R5only","R3less"),"")</f>
        <v>R5only</v>
      </c>
      <c r="F56" s="7" t="str">
        <f>IF(COUNTIF('R6開放'!A:A,B56)&gt;0,"R6release","")</f>
        <v/>
      </c>
      <c r="G56" s="7"/>
      <c r="H56" s="7" t="str">
        <f>VLOOKUP(B56,[1]characters!$A:$C,3,FALSE)</f>
        <v>サンソン</v>
      </c>
      <c r="I56" s="7" t="str">
        <f>VLOOKUP(B56,[1]characters!$A:$J,10,FALSE)</f>
        <v>PremiumSS</v>
      </c>
      <c r="J56" s="7">
        <f>VLOOKUP(B56,[1]characters!$A:$I,9,FALSE)</f>
        <v>5</v>
      </c>
      <c r="K56" s="7" t="str">
        <f>VLOOKUP(B56,[1]characters!$A:$H,8,FALSE)</f>
        <v>yellow</v>
      </c>
      <c r="L56" s="7" t="str">
        <f>VLOOKUP(B56,[1]characters!$A:$K,11,FALSE)</f>
        <v>attack</v>
      </c>
      <c r="M56" s="7" t="str">
        <f>VLOOKUP(B56,[1]characters!$A:$M,13,FALSE)</f>
        <v>human</v>
      </c>
      <c r="N56" s="7" t="str">
        <f>VLOOKUP(B56,[1]characters!$A:$G,7,FALSE)</f>
        <v>男性</v>
      </c>
      <c r="O56" s="32">
        <v>20</v>
      </c>
      <c r="P56" s="33">
        <f t="shared" si="4"/>
        <v>1.8066847335140017E-2</v>
      </c>
      <c r="Q56" s="27">
        <v>1</v>
      </c>
      <c r="R56" s="27">
        <v>0</v>
      </c>
      <c r="S56" s="27">
        <v>0</v>
      </c>
      <c r="T56" s="27">
        <v>0</v>
      </c>
      <c r="U56" s="27">
        <v>0</v>
      </c>
      <c r="V56" s="27">
        <v>1</v>
      </c>
    </row>
    <row r="57" spans="1:22" ht="21" customHeight="1" x14ac:dyDescent="0.15">
      <c r="A57" s="2">
        <v>7306010</v>
      </c>
      <c r="B57" s="2">
        <v>1012</v>
      </c>
      <c r="C57" s="7" t="str">
        <f t="shared" si="2"/>
        <v>PremiumSS5R5only</v>
      </c>
      <c r="D57" s="7" t="str">
        <f t="shared" si="3"/>
        <v>PremiumSS</v>
      </c>
      <c r="E57" s="7" t="str">
        <f>IF(COUNTIF('R6追加前'!A:A,B57)=0,IF(OR(I57="PremiumSS",I57="PremiumSSw"),"R5only","R3less"),"")</f>
        <v>R5only</v>
      </c>
      <c r="F57" s="7" t="str">
        <f>IF(COUNTIF('R6開放'!A:A,B57)&gt;0,"R6release","")</f>
        <v/>
      </c>
      <c r="G57" s="7"/>
      <c r="H57" s="7" t="str">
        <f>VLOOKUP(B57,[1]characters!$A:$C,3,FALSE)</f>
        <v>ラー</v>
      </c>
      <c r="I57" s="7" t="str">
        <f>VLOOKUP(B57,[1]characters!$A:$J,10,FALSE)</f>
        <v>PremiumSS</v>
      </c>
      <c r="J57" s="7">
        <f>VLOOKUP(B57,[1]characters!$A:$I,9,FALSE)</f>
        <v>5</v>
      </c>
      <c r="K57" s="7" t="str">
        <f>VLOOKUP(B57,[1]characters!$A:$H,8,FALSE)</f>
        <v>red</v>
      </c>
      <c r="L57" s="7" t="str">
        <f>VLOOKUP(B57,[1]characters!$A:$K,11,FALSE)</f>
        <v>balance</v>
      </c>
      <c r="M57" s="7" t="str">
        <f>VLOOKUP(B57,[1]characters!$A:$M,13,FALSE)</f>
        <v>god</v>
      </c>
      <c r="N57" s="7" t="str">
        <f>VLOOKUP(B57,[1]characters!$A:$G,7,FALSE)</f>
        <v>男性</v>
      </c>
      <c r="O57" s="32">
        <v>20</v>
      </c>
      <c r="P57" s="33">
        <f t="shared" si="4"/>
        <v>1.8066847335140017E-2</v>
      </c>
      <c r="Q57" s="27">
        <v>1</v>
      </c>
      <c r="R57" s="27">
        <v>0</v>
      </c>
      <c r="S57" s="27">
        <v>0</v>
      </c>
      <c r="T57" s="27">
        <v>0</v>
      </c>
      <c r="U57" s="27">
        <v>0</v>
      </c>
      <c r="V57" s="27">
        <v>1</v>
      </c>
    </row>
    <row r="58" spans="1:22" ht="21" customHeight="1" x14ac:dyDescent="0.15">
      <c r="A58" s="2">
        <v>7306010</v>
      </c>
      <c r="B58" s="2">
        <v>1014</v>
      </c>
      <c r="C58" s="7" t="str">
        <f t="shared" si="2"/>
        <v>PremiumSS5R5only</v>
      </c>
      <c r="D58" s="7" t="str">
        <f t="shared" si="3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イシス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god</v>
      </c>
      <c r="N58" s="7" t="str">
        <f>VLOOKUP(B58,[1]characters!$A:$G,7,FALSE)</f>
        <v>男性</v>
      </c>
      <c r="O58" s="32">
        <v>20</v>
      </c>
      <c r="P58" s="33">
        <f t="shared" si="4"/>
        <v>1.8066847335140017E-2</v>
      </c>
      <c r="Q58" s="27">
        <v>1</v>
      </c>
      <c r="R58" s="27">
        <v>0</v>
      </c>
      <c r="S58" s="27">
        <v>0</v>
      </c>
      <c r="T58" s="27">
        <v>0</v>
      </c>
      <c r="U58" s="27">
        <v>0</v>
      </c>
      <c r="V58" s="27">
        <v>1</v>
      </c>
    </row>
    <row r="59" spans="1:22" ht="21" customHeight="1" x14ac:dyDescent="0.15">
      <c r="A59" s="2">
        <v>7306010</v>
      </c>
      <c r="B59" s="2">
        <v>1018</v>
      </c>
      <c r="C59" s="7" t="str">
        <f t="shared" si="2"/>
        <v>PremiumSS5R5only</v>
      </c>
      <c r="D59" s="7" t="str">
        <f t="shared" si="3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バステト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yellow</v>
      </c>
      <c r="L59" s="7" t="str">
        <f>VLOOKUP(B59,[1]characters!$A:$K,11,FALSE)</f>
        <v>attack</v>
      </c>
      <c r="M59" s="7" t="str">
        <f>VLOOKUP(B59,[1]characters!$A:$M,13,FALSE)</f>
        <v>god</v>
      </c>
      <c r="N59" s="7" t="str">
        <f>VLOOKUP(B59,[1]characters!$A:$G,7,FALSE)</f>
        <v>男性</v>
      </c>
      <c r="O59" s="32">
        <v>20</v>
      </c>
      <c r="P59" s="33">
        <f t="shared" si="4"/>
        <v>1.8066847335140017E-2</v>
      </c>
      <c r="Q59" s="27">
        <v>1</v>
      </c>
      <c r="R59" s="27">
        <v>0</v>
      </c>
      <c r="S59" s="27">
        <v>0</v>
      </c>
      <c r="T59" s="27">
        <v>0</v>
      </c>
      <c r="U59" s="27">
        <v>0</v>
      </c>
      <c r="V59" s="27">
        <v>1</v>
      </c>
    </row>
    <row r="60" spans="1:22" ht="21" customHeight="1" x14ac:dyDescent="0.15">
      <c r="A60" s="2">
        <v>7306010</v>
      </c>
      <c r="B60" s="2">
        <v>1028</v>
      </c>
      <c r="C60" s="7" t="str">
        <f t="shared" si="2"/>
        <v>PremiumSS5R5only</v>
      </c>
      <c r="D60" s="7" t="str">
        <f t="shared" si="3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牛若丸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green</v>
      </c>
      <c r="L60" s="7" t="str">
        <f>VLOOKUP(B60,[1]characters!$A:$K,11,FALSE)</f>
        <v>balance</v>
      </c>
      <c r="M60" s="7" t="str">
        <f>VLOOKUP(B60,[1]characters!$A:$M,13,FALSE)</f>
        <v>human</v>
      </c>
      <c r="N60" s="7" t="str">
        <f>VLOOKUP(B60,[1]characters!$A:$G,7,FALSE)</f>
        <v>男性</v>
      </c>
      <c r="O60" s="32">
        <v>20</v>
      </c>
      <c r="P60" s="33">
        <f t="shared" si="4"/>
        <v>1.8066847335140017E-2</v>
      </c>
      <c r="Q60" s="27">
        <v>1</v>
      </c>
      <c r="R60" s="27">
        <v>0</v>
      </c>
      <c r="S60" s="27">
        <v>0</v>
      </c>
      <c r="T60" s="27">
        <v>0</v>
      </c>
      <c r="U60" s="27">
        <v>0</v>
      </c>
      <c r="V60" s="27">
        <v>1</v>
      </c>
    </row>
    <row r="61" spans="1:22" ht="21" customHeight="1" x14ac:dyDescent="0.15">
      <c r="A61" s="2">
        <v>7306010</v>
      </c>
      <c r="B61" s="2">
        <v>1031</v>
      </c>
      <c r="C61" s="7" t="str">
        <f t="shared" si="2"/>
        <v>PremiumSS5R5only</v>
      </c>
      <c r="D61" s="7" t="str">
        <f t="shared" si="3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紫式部</v>
      </c>
      <c r="I61" s="7" t="str">
        <f>VLOOKUP(B61,[1]characters!$A:$J,10,FALSE)</f>
        <v>PremiumSS</v>
      </c>
      <c r="J61" s="7">
        <f>VLOOKUP(B61,[1]characters!$A:$I,9,FALSE)</f>
        <v>5</v>
      </c>
      <c r="K61" s="7" t="str">
        <f>VLOOKUP(B61,[1]characters!$A:$H,8,FALSE)</f>
        <v>blue</v>
      </c>
      <c r="L61" s="7" t="str">
        <f>VLOOKUP(B61,[1]characters!$A:$K,11,FALSE)</f>
        <v>technical</v>
      </c>
      <c r="M61" s="7" t="str">
        <f>VLOOKUP(B61,[1]characters!$A:$M,13,FALSE)</f>
        <v>human</v>
      </c>
      <c r="N61" s="7" t="str">
        <f>VLOOKUP(B61,[1]characters!$A:$G,7,FALSE)</f>
        <v>男性</v>
      </c>
      <c r="O61" s="32">
        <v>20</v>
      </c>
      <c r="P61" s="33">
        <f t="shared" si="4"/>
        <v>1.8066847335140017E-2</v>
      </c>
      <c r="Q61" s="27">
        <v>1</v>
      </c>
      <c r="R61" s="27">
        <v>0</v>
      </c>
      <c r="S61" s="27">
        <v>0</v>
      </c>
      <c r="T61" s="27">
        <v>0</v>
      </c>
      <c r="U61" s="27">
        <v>0</v>
      </c>
      <c r="V61" s="27">
        <v>1</v>
      </c>
    </row>
    <row r="62" spans="1:22" ht="21" customHeight="1" x14ac:dyDescent="0.15">
      <c r="A62" s="2">
        <v>7306010</v>
      </c>
      <c r="B62" s="2">
        <v>1033</v>
      </c>
      <c r="C62" s="7" t="str">
        <f t="shared" si="2"/>
        <v>PremiumSS5R5only</v>
      </c>
      <c r="D62" s="7" t="str">
        <f t="shared" si="3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清少納言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yellow</v>
      </c>
      <c r="L62" s="7" t="str">
        <f>VLOOKUP(B62,[1]characters!$A:$K,11,FALSE)</f>
        <v>heal</v>
      </c>
      <c r="M62" s="7" t="str">
        <f>VLOOKUP(B62,[1]characters!$A:$M,13,FALSE)</f>
        <v>human</v>
      </c>
      <c r="N62" s="7" t="str">
        <f>VLOOKUP(B62,[1]characters!$A:$G,7,FALSE)</f>
        <v>男性</v>
      </c>
      <c r="O62" s="32">
        <v>20</v>
      </c>
      <c r="P62" s="33">
        <f t="shared" si="4"/>
        <v>1.8066847335140017E-2</v>
      </c>
      <c r="Q62" s="27">
        <v>1</v>
      </c>
      <c r="R62" s="27">
        <v>0</v>
      </c>
      <c r="S62" s="27">
        <v>0</v>
      </c>
      <c r="T62" s="27">
        <v>0</v>
      </c>
      <c r="U62" s="27">
        <v>0</v>
      </c>
      <c r="V62" s="27">
        <v>1</v>
      </c>
    </row>
    <row r="63" spans="1:22" ht="21" customHeight="1" x14ac:dyDescent="0.15">
      <c r="A63" s="2">
        <v>7306010</v>
      </c>
      <c r="B63" s="2">
        <v>1072</v>
      </c>
      <c r="C63" s="7" t="str">
        <f t="shared" si="2"/>
        <v>PremiumSS5R5only</v>
      </c>
      <c r="D63" s="7" t="str">
        <f t="shared" si="3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エンキドゥ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blue</v>
      </c>
      <c r="L63" s="7" t="str">
        <f>VLOOKUP(B63,[1]characters!$A:$K,11,FALSE)</f>
        <v>attack</v>
      </c>
      <c r="M63" s="7" t="str">
        <f>VLOOKUP(B63,[1]characters!$A:$M,13,FALSE)</f>
        <v>human</v>
      </c>
      <c r="N63" s="7" t="str">
        <f>VLOOKUP(B63,[1]characters!$A:$G,7,FALSE)</f>
        <v>男性</v>
      </c>
      <c r="O63" s="32">
        <v>20</v>
      </c>
      <c r="P63" s="33">
        <f t="shared" si="4"/>
        <v>1.8066847335140017E-2</v>
      </c>
      <c r="Q63" s="27">
        <v>1</v>
      </c>
      <c r="R63" s="27">
        <v>0</v>
      </c>
      <c r="S63" s="27">
        <v>0</v>
      </c>
      <c r="T63" s="27">
        <v>0</v>
      </c>
      <c r="U63" s="27">
        <v>0</v>
      </c>
      <c r="V63" s="27">
        <v>1</v>
      </c>
    </row>
    <row r="64" spans="1:22" ht="21" customHeight="1" x14ac:dyDescent="0.15">
      <c r="A64" s="2">
        <v>7306010</v>
      </c>
      <c r="B64" s="2">
        <v>1074</v>
      </c>
      <c r="C64" s="7" t="str">
        <f t="shared" si="2"/>
        <v>PremiumSS5R5only</v>
      </c>
      <c r="D64" s="7" t="str">
        <f t="shared" si="3"/>
        <v>PremiumSS</v>
      </c>
      <c r="E64" s="7" t="str">
        <f>IF(COUNTIF('R6追加前'!A:A,B64)=0,IF(OR(I64="PremiumSS",I64="PremiumSSw"),"R5only","R3less"),"")</f>
        <v>R5only</v>
      </c>
      <c r="F64" s="7" t="str">
        <f>IF(COUNTIF('R6開放'!A:A,B64)&gt;0,"R6release","")</f>
        <v/>
      </c>
      <c r="G64" s="7"/>
      <c r="H64" s="7" t="str">
        <f>VLOOKUP(B64,[1]characters!$A:$C,3,FALSE)</f>
        <v>マルドゥク</v>
      </c>
      <c r="I64" s="7" t="str">
        <f>VLOOKUP(B64,[1]characters!$A:$J,10,FALSE)</f>
        <v>PremiumSS</v>
      </c>
      <c r="J64" s="7">
        <f>VLOOKUP(B64,[1]characters!$A:$I,9,FALSE)</f>
        <v>5</v>
      </c>
      <c r="K64" s="7" t="str">
        <f>VLOOKUP(B64,[1]characters!$A:$H,8,FALSE)</f>
        <v>yellow</v>
      </c>
      <c r="L64" s="7" t="str">
        <f>VLOOKUP(B64,[1]characters!$A:$K,11,FALSE)</f>
        <v>technical</v>
      </c>
      <c r="M64" s="7" t="str">
        <f>VLOOKUP(B64,[1]characters!$A:$M,13,FALSE)</f>
        <v>god</v>
      </c>
      <c r="N64" s="7" t="str">
        <f>VLOOKUP(B64,[1]characters!$A:$G,7,FALSE)</f>
        <v>男性</v>
      </c>
      <c r="O64" s="32">
        <v>20</v>
      </c>
      <c r="P64" s="33">
        <f t="shared" si="4"/>
        <v>1.8066847335140017E-2</v>
      </c>
      <c r="Q64" s="27">
        <v>1</v>
      </c>
      <c r="R64" s="27">
        <v>0</v>
      </c>
      <c r="S64" s="27">
        <v>0</v>
      </c>
      <c r="T64" s="27">
        <v>0</v>
      </c>
      <c r="U64" s="27">
        <v>0</v>
      </c>
      <c r="V64" s="27">
        <v>1</v>
      </c>
    </row>
    <row r="65" spans="1:22" ht="21" customHeight="1" x14ac:dyDescent="0.15">
      <c r="A65" s="2">
        <v>7306010</v>
      </c>
      <c r="B65" s="2">
        <v>1069</v>
      </c>
      <c r="C65" s="7" t="str">
        <f t="shared" si="2"/>
        <v>PremiumSS5R5only</v>
      </c>
      <c r="D65" s="7" t="str">
        <f t="shared" si="3"/>
        <v>PremiumSS</v>
      </c>
      <c r="E65" s="7" t="str">
        <f>IF(COUNTIF('R6追加前'!A:A,B65)=0,IF(OR(I65="PremiumSS",I65="PremiumSSw"),"R5only","R3less"),"")</f>
        <v>R5only</v>
      </c>
      <c r="F65" s="7" t="str">
        <f>IF(COUNTIF('R6開放'!A:A,B65)&gt;0,"R6release","")</f>
        <v/>
      </c>
      <c r="G65" s="7"/>
      <c r="H65" s="7" t="str">
        <f>VLOOKUP(B65,[1]characters!$A:$C,3,FALSE)</f>
        <v>イシュタル</v>
      </c>
      <c r="I65" s="7" t="str">
        <f>VLOOKUP(B65,[1]characters!$A:$J,10,FALSE)</f>
        <v>PremiumSS</v>
      </c>
      <c r="J65" s="7">
        <f>VLOOKUP(B65,[1]characters!$A:$I,9,FALSE)</f>
        <v>5</v>
      </c>
      <c r="K65" s="7" t="str">
        <f>VLOOKUP(B65,[1]characters!$A:$H,8,FALSE)</f>
        <v>green</v>
      </c>
      <c r="L65" s="7" t="str">
        <f>VLOOKUP(B65,[1]characters!$A:$K,11,FALSE)</f>
        <v>technical</v>
      </c>
      <c r="M65" s="7" t="str">
        <f>VLOOKUP(B65,[1]characters!$A:$M,13,FALSE)</f>
        <v>god</v>
      </c>
      <c r="N65" s="7" t="str">
        <f>VLOOKUP(B65,[1]characters!$A:$G,7,FALSE)</f>
        <v>男性</v>
      </c>
      <c r="O65" s="32">
        <v>20</v>
      </c>
      <c r="P65" s="33">
        <f t="shared" si="4"/>
        <v>1.8066847335140017E-2</v>
      </c>
      <c r="Q65" s="27">
        <v>1</v>
      </c>
      <c r="R65" s="27">
        <v>0</v>
      </c>
      <c r="S65" s="27">
        <v>0</v>
      </c>
      <c r="T65" s="27">
        <v>0</v>
      </c>
      <c r="U65" s="27">
        <v>0</v>
      </c>
      <c r="V65" s="27">
        <v>1</v>
      </c>
    </row>
    <row r="66" spans="1:22" ht="21" customHeight="1" x14ac:dyDescent="0.15">
      <c r="A66" s="2">
        <v>7306010</v>
      </c>
      <c r="B66" s="2">
        <v>1100</v>
      </c>
      <c r="C66" s="7" t="str">
        <f t="shared" si="2"/>
        <v>PremiumSS5R5only</v>
      </c>
      <c r="D66" s="7" t="str">
        <f t="shared" si="3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北斎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red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 t="str">
        <f>VLOOKUP(B66,[1]characters!$A:$G,7,FALSE)</f>
        <v>不明</v>
      </c>
      <c r="O66" s="32">
        <v>20</v>
      </c>
      <c r="P66" s="33">
        <f t="shared" si="4"/>
        <v>1.8066847335140017E-2</v>
      </c>
      <c r="Q66" s="27">
        <v>1</v>
      </c>
      <c r="R66" s="27">
        <v>0</v>
      </c>
      <c r="S66" s="27">
        <v>0</v>
      </c>
      <c r="T66" s="27">
        <v>0</v>
      </c>
      <c r="U66" s="27">
        <v>0</v>
      </c>
      <c r="V66" s="27">
        <v>1</v>
      </c>
    </row>
    <row r="67" spans="1:22" ht="21" customHeight="1" x14ac:dyDescent="0.15">
      <c r="A67" s="2">
        <v>7306010</v>
      </c>
      <c r="B67" s="2">
        <v>1102</v>
      </c>
      <c r="C67" s="7" t="str">
        <f t="shared" si="2"/>
        <v>PremiumSS5R5only</v>
      </c>
      <c r="D67" s="7" t="str">
        <f t="shared" si="3"/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ドガ</v>
      </c>
      <c r="I67" s="7" t="str">
        <f>VLOOKUP(B67,[1]characters!$A:$J,10,FALSE)</f>
        <v>PremiumSSW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balance</v>
      </c>
      <c r="M67" s="7" t="str">
        <f>VLOOKUP(B67,[1]characters!$A:$M,13,FALSE)</f>
        <v>animal</v>
      </c>
      <c r="N67" s="7" t="str">
        <f>VLOOKUP(B67,[1]characters!$A:$G,7,FALSE)</f>
        <v>不明</v>
      </c>
      <c r="O67" s="32">
        <v>20</v>
      </c>
      <c r="P67" s="33">
        <f t="shared" si="4"/>
        <v>1.8066847335140017E-2</v>
      </c>
      <c r="Q67" s="27">
        <v>1</v>
      </c>
      <c r="R67" s="27">
        <v>0</v>
      </c>
      <c r="S67" s="27">
        <v>0</v>
      </c>
      <c r="T67" s="27">
        <v>0</v>
      </c>
      <c r="U67" s="27">
        <v>0</v>
      </c>
      <c r="V67" s="27">
        <v>1</v>
      </c>
    </row>
    <row r="68" spans="1:22" ht="21" customHeight="1" x14ac:dyDescent="0.15">
      <c r="A68" s="2">
        <v>7306010</v>
      </c>
      <c r="B68" s="2">
        <v>1106</v>
      </c>
      <c r="C68" s="7" t="str">
        <f t="shared" si="2"/>
        <v>PremiumSS5R5only</v>
      </c>
      <c r="D68" s="7" t="str">
        <f t="shared" si="3"/>
        <v>PremiumSS</v>
      </c>
      <c r="E68" s="7" t="str">
        <f>IF(COUNTIF('R6追加前'!A:A,B68)=0,IF(OR(I68="PremiumSS",I68="PremiumSSw"),"R5only","R3less"),"")</f>
        <v>R5only</v>
      </c>
      <c r="F68" s="7" t="str">
        <f>IF(COUNTIF('R6開放'!A:A,B68)&gt;0,"R6release","")</f>
        <v/>
      </c>
      <c r="G68" s="7"/>
      <c r="H68" s="7" t="str">
        <f>VLOOKUP(B68,[1]characters!$A:$C,3,FALSE)</f>
        <v>ラファエロ</v>
      </c>
      <c r="I68" s="7" t="str">
        <f>VLOOKUP(B68,[1]characters!$A:$J,10,FALSE)</f>
        <v>PremiumSS</v>
      </c>
      <c r="J68" s="7">
        <f>VLOOKUP(B68,[1]characters!$A:$I,9,FALSE)</f>
        <v>5</v>
      </c>
      <c r="K68" s="7" t="str">
        <f>VLOOKUP(B68,[1]characters!$A:$H,8,FALSE)</f>
        <v>yellow</v>
      </c>
      <c r="L68" s="7" t="str">
        <f>VLOOKUP(B68,[1]characters!$A:$K,11,FALSE)</f>
        <v>attack</v>
      </c>
      <c r="M68" s="7" t="str">
        <f>VLOOKUP(B68,[1]characters!$A:$M,13,FALSE)</f>
        <v>human</v>
      </c>
      <c r="N68" s="7" t="str">
        <f>VLOOKUP(B68,[1]characters!$A:$G,7,FALSE)</f>
        <v>不明</v>
      </c>
      <c r="O68" s="32">
        <v>20</v>
      </c>
      <c r="P68" s="33">
        <f t="shared" si="4"/>
        <v>1.8066847335140017E-2</v>
      </c>
      <c r="Q68" s="27">
        <v>1</v>
      </c>
      <c r="R68" s="27">
        <v>0</v>
      </c>
      <c r="S68" s="27">
        <v>0</v>
      </c>
      <c r="T68" s="27">
        <v>0</v>
      </c>
      <c r="U68" s="27">
        <v>0</v>
      </c>
      <c r="V68" s="27">
        <v>1</v>
      </c>
    </row>
    <row r="69" spans="1:22" ht="21" customHeight="1" x14ac:dyDescent="0.15">
      <c r="A69" s="2">
        <v>7306010</v>
      </c>
      <c r="B69" s="2">
        <v>1137</v>
      </c>
      <c r="C69" s="7" t="str">
        <f t="shared" si="2"/>
        <v>PremiumSS5R5only</v>
      </c>
      <c r="D69" s="7" t="str">
        <f t="shared" si="3"/>
        <v>PremiumSS</v>
      </c>
      <c r="E69" s="7" t="str">
        <f>IF(COUNTIF('R6追加前'!A:A,B69)=0,IF(OR(I69="PremiumSS",I69="PremiumSSw"),"R5only","R3less"),"")</f>
        <v>R5only</v>
      </c>
      <c r="F69" s="7" t="str">
        <f>IF(COUNTIF('R6開放'!A:A,B69)&gt;0,"R6release","")</f>
        <v/>
      </c>
      <c r="G69" s="7"/>
      <c r="H69" s="7" t="str">
        <f>VLOOKUP(B69,[1]characters!$A:$C,3,FALSE)</f>
        <v>諸葛亮</v>
      </c>
      <c r="I69" s="7" t="str">
        <f>VLOOKUP(B69,[1]characters!$A:$J,10,FALSE)</f>
        <v>PremiumSSW</v>
      </c>
      <c r="J69" s="7">
        <f>VLOOKUP(B69,[1]characters!$A:$I,9,FALSE)</f>
        <v>5</v>
      </c>
      <c r="K69" s="7" t="str">
        <f>VLOOKUP(B69,[1]characters!$A:$H,8,FALSE)</f>
        <v>red</v>
      </c>
      <c r="L69" s="7" t="str">
        <f>VLOOKUP(B69,[1]characters!$A:$K,11,FALSE)</f>
        <v>technical</v>
      </c>
      <c r="M69" s="7" t="str">
        <f>VLOOKUP(B69,[1]characters!$A:$M,13,FALSE)</f>
        <v>samurai</v>
      </c>
      <c r="N69" s="7" t="str">
        <f>VLOOKUP(B69,[1]characters!$A:$G,7,FALSE)</f>
        <v>不明</v>
      </c>
      <c r="O69" s="32">
        <v>20</v>
      </c>
      <c r="P69" s="33">
        <f t="shared" si="4"/>
        <v>1.8066847335140017E-2</v>
      </c>
      <c r="Q69" s="27">
        <v>1</v>
      </c>
      <c r="R69" s="27">
        <v>0</v>
      </c>
      <c r="S69" s="27">
        <v>0</v>
      </c>
      <c r="T69" s="27">
        <v>0</v>
      </c>
      <c r="U69" s="27">
        <v>0</v>
      </c>
      <c r="V69" s="27">
        <v>1</v>
      </c>
    </row>
    <row r="70" spans="1:22" ht="21" customHeight="1" x14ac:dyDescent="0.15">
      <c r="A70" s="2">
        <v>7306010</v>
      </c>
      <c r="B70" s="2">
        <v>1141</v>
      </c>
      <c r="C70" s="50" t="str">
        <f t="shared" si="2"/>
        <v>PremiumSS5R5only</v>
      </c>
      <c r="D70" s="50" t="str">
        <f t="shared" si="3"/>
        <v>PremiumSS</v>
      </c>
      <c r="E70" s="50" t="str">
        <f>IF(COUNTIF('R6追加前'!A:A,B70)=0,IF(OR(I70="PremiumSS",I70="PremiumSSw"),"R5only","R3less"),"")</f>
        <v>R5only</v>
      </c>
      <c r="F70" s="50" t="str">
        <f>IF(COUNTIF('R6開放'!A:A,B70)&gt;0,"R6release","")</f>
        <v/>
      </c>
      <c r="G70" s="50"/>
      <c r="H70" s="50" t="str">
        <f>VLOOKUP(B70,[1]characters!$A:$C,3,FALSE)</f>
        <v>月英</v>
      </c>
      <c r="I70" s="50" t="str">
        <f>VLOOKUP(B70,[1]characters!$A:$J,10,FALSE)</f>
        <v>PremiumSS</v>
      </c>
      <c r="J70" s="50">
        <f>VLOOKUP(B70,[1]characters!$A:$I,9,FALSE)</f>
        <v>5</v>
      </c>
      <c r="K70" s="50" t="str">
        <f>VLOOKUP(B70,[1]characters!$A:$H,8,FALSE)</f>
        <v>blue</v>
      </c>
      <c r="L70" s="50" t="str">
        <f>VLOOKUP(B70,[1]characters!$A:$K,11,FALSE)</f>
        <v>balance</v>
      </c>
      <c r="M70" s="50" t="str">
        <f>VLOOKUP(B70,[1]characters!$A:$M,13,FALSE)</f>
        <v>human</v>
      </c>
      <c r="N70" s="50" t="str">
        <f>VLOOKUP(B70,[1]characters!$A:$G,7,FALSE)</f>
        <v>不明</v>
      </c>
      <c r="O70" s="32">
        <v>20</v>
      </c>
      <c r="P70" s="51">
        <f t="shared" si="4"/>
        <v>1.8066847335140017E-2</v>
      </c>
      <c r="Q70" s="52">
        <v>1</v>
      </c>
      <c r="R70" s="52">
        <v>0</v>
      </c>
      <c r="S70" s="52">
        <v>0</v>
      </c>
      <c r="T70" s="52">
        <v>0</v>
      </c>
      <c r="U70" s="52">
        <v>0</v>
      </c>
      <c r="V70" s="52">
        <v>1</v>
      </c>
    </row>
    <row r="71" spans="1:22" ht="21" customHeight="1" x14ac:dyDescent="0.15">
      <c r="A71" s="2">
        <v>7306010</v>
      </c>
      <c r="B71" s="2">
        <v>1139</v>
      </c>
      <c r="C71" s="7" t="str">
        <f t="shared" ref="C71" si="5">D71&amp;J71&amp;E71&amp;F71&amp;G71</f>
        <v>PremiumSS5R5only</v>
      </c>
      <c r="D71" s="7" t="str">
        <f t="shared" ref="D71" si="6">IF(OR(I71="PremiumSS",I71="PremiumSSw"),"PremiumSS",IF(I71="PremiumSSS",I71,IF(I71="PremiumW",I71,"Premium")))</f>
        <v>PremiumSS</v>
      </c>
      <c r="E71" s="7" t="str">
        <f>IF(COUNTIF('R6追加前'!A:A,B71)=0,IF(OR(I71="PremiumSS",I71="PremiumSSw"),"R5only","R3less"),"")</f>
        <v>R5only</v>
      </c>
      <c r="F71" s="7" t="str">
        <f>IF(COUNTIF('R6開放'!A:A,B71)&gt;0,"R6release","")</f>
        <v/>
      </c>
      <c r="G71" s="7"/>
      <c r="H71" s="7" t="str">
        <f>VLOOKUP(B71,[1]characters!$A:$C,3,FALSE)</f>
        <v>趙雲</v>
      </c>
      <c r="I71" s="7" t="str">
        <f>VLOOKUP(B71,[1]characters!$A:$J,10,FALSE)</f>
        <v>PremiumSS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samurai</v>
      </c>
      <c r="N71" s="7" t="str">
        <f>VLOOKUP(B71,[1]characters!$A:$G,7,FALSE)</f>
        <v>不明</v>
      </c>
      <c r="O71" s="32">
        <v>20</v>
      </c>
      <c r="P71" s="33">
        <f t="shared" si="4"/>
        <v>1.8066847335140017E-2</v>
      </c>
      <c r="Q71" s="27">
        <v>1</v>
      </c>
      <c r="R71" s="27">
        <v>0</v>
      </c>
      <c r="S71" s="27">
        <v>0</v>
      </c>
      <c r="T71" s="27">
        <v>0</v>
      </c>
      <c r="U71" s="27">
        <v>0</v>
      </c>
      <c r="V71" s="27">
        <v>1</v>
      </c>
    </row>
    <row r="72" spans="1:22" ht="21" customHeight="1" x14ac:dyDescent="0.15">
      <c r="A72" s="2">
        <v>7306010</v>
      </c>
      <c r="B72" s="2">
        <v>1153</v>
      </c>
      <c r="C72" s="7" t="str">
        <f t="shared" ref="C72:C74" si="7">D72&amp;J72&amp;E72&amp;F72&amp;G72</f>
        <v>PremiumSS5R5only</v>
      </c>
      <c r="D72" s="7" t="str">
        <f t="shared" ref="D72:D74" si="8">IF(OR(I72="PremiumSS",I72="PremiumSSw"),"PremiumSS",IF(I72="PremiumSSS",I72,IF(I72="PremiumW",I72,"Premium")))</f>
        <v>PremiumSS</v>
      </c>
      <c r="E72" s="7" t="str">
        <f>IF(COUNTIF('R6追加前'!A:A,B72)=0,IF(OR(I72="PremiumSS",I72="PremiumSSw"),"R5only","R3less"),"")</f>
        <v>R5only</v>
      </c>
      <c r="F72" s="7" t="str">
        <f>IF(COUNTIF('R6開放'!A:A,B72)&gt;0,"R6release","")</f>
        <v/>
      </c>
      <c r="G72" s="7"/>
      <c r="H72" s="7" t="str">
        <f>VLOOKUP(B72,[1]characters!$A:$C,3,FALSE)</f>
        <v>ラクシュミー</v>
      </c>
      <c r="I72" s="7" t="str">
        <f>VLOOKUP(B72,[1]characters!$A:$J,10,FALSE)</f>
        <v>PremiumSSW</v>
      </c>
      <c r="J72" s="7">
        <f>VLOOKUP(B72,[1]characters!$A:$I,9,FALSE)</f>
        <v>5</v>
      </c>
      <c r="K72" s="7" t="str">
        <f>VLOOKUP(B72,[1]characters!$A:$H,8,FALSE)</f>
        <v>green</v>
      </c>
      <c r="L72" s="7" t="str">
        <f>VLOOKUP(B72,[1]characters!$A:$K,11,FALSE)</f>
        <v>hp</v>
      </c>
      <c r="M72" s="7" t="str">
        <f>VLOOKUP(B72,[1]characters!$A:$M,13,FALSE)</f>
        <v>god</v>
      </c>
      <c r="N72" s="7" t="str">
        <f>VLOOKUP(B72,[1]characters!$A:$G,7,FALSE)</f>
        <v>不明</v>
      </c>
      <c r="O72" s="32">
        <v>20</v>
      </c>
      <c r="P72" s="33">
        <f t="shared" ref="P72:P74" si="9">O72/SUM(O:O)</f>
        <v>1.8066847335140017E-2</v>
      </c>
      <c r="Q72" s="27">
        <v>1</v>
      </c>
      <c r="R72" s="27">
        <v>0</v>
      </c>
      <c r="S72" s="27">
        <v>0</v>
      </c>
      <c r="T72" s="27">
        <v>0</v>
      </c>
      <c r="U72" s="27">
        <v>0</v>
      </c>
      <c r="V72" s="27">
        <v>1</v>
      </c>
    </row>
    <row r="73" spans="1:22" ht="21" customHeight="1" x14ac:dyDescent="0.15">
      <c r="A73" s="2">
        <v>7306010</v>
      </c>
      <c r="B73" s="2">
        <v>1155</v>
      </c>
      <c r="C73" s="7" t="str">
        <f t="shared" si="7"/>
        <v>PremiumSS5R5only</v>
      </c>
      <c r="D73" s="7" t="str">
        <f t="shared" si="8"/>
        <v>PremiumSS</v>
      </c>
      <c r="E73" s="7" t="str">
        <f>IF(COUNTIF('R6追加前'!A:A,B73)=0,IF(OR(I73="PremiumSS",I73="PremiumSSw"),"R5only","R3less"),"")</f>
        <v>R5only</v>
      </c>
      <c r="F73" s="7" t="str">
        <f>IF(COUNTIF('R6開放'!A:A,B73)&gt;0,"R6release","")</f>
        <v/>
      </c>
      <c r="G73" s="7"/>
      <c r="H73" s="7" t="str">
        <f>VLOOKUP(B73,[1]characters!$A:$C,3,FALSE)</f>
        <v>ドゥルガー</v>
      </c>
      <c r="I73" s="7" t="str">
        <f>VLOOKUP(B73,[1]characters!$A:$J,10,FALSE)</f>
        <v>PremiumSS</v>
      </c>
      <c r="J73" s="7">
        <f>VLOOKUP(B73,[1]characters!$A:$I,9,FALSE)</f>
        <v>5</v>
      </c>
      <c r="K73" s="7" t="str">
        <f>VLOOKUP(B73,[1]characters!$A:$H,8,FALSE)</f>
        <v>blue</v>
      </c>
      <c r="L73" s="7" t="str">
        <f>VLOOKUP(B73,[1]characters!$A:$K,11,FALSE)</f>
        <v>balance</v>
      </c>
      <c r="M73" s="7" t="str">
        <f>VLOOKUP(B73,[1]characters!$A:$M,13,FALSE)</f>
        <v>god</v>
      </c>
      <c r="N73" s="7" t="str">
        <f>VLOOKUP(B73,[1]characters!$A:$G,7,FALSE)</f>
        <v>不明</v>
      </c>
      <c r="O73" s="32">
        <v>20</v>
      </c>
      <c r="P73" s="33">
        <f t="shared" si="9"/>
        <v>1.8066847335140017E-2</v>
      </c>
      <c r="Q73" s="27">
        <v>1</v>
      </c>
      <c r="R73" s="27">
        <v>0</v>
      </c>
      <c r="S73" s="27">
        <v>0</v>
      </c>
      <c r="T73" s="27">
        <v>0</v>
      </c>
      <c r="U73" s="27">
        <v>0</v>
      </c>
      <c r="V73" s="27">
        <v>1</v>
      </c>
    </row>
    <row r="74" spans="1:22" ht="21" customHeight="1" x14ac:dyDescent="0.15">
      <c r="A74" s="2">
        <v>7306010</v>
      </c>
      <c r="B74" s="2">
        <v>1157</v>
      </c>
      <c r="C74" s="7" t="str">
        <f t="shared" si="7"/>
        <v>PremiumSS5R5only</v>
      </c>
      <c r="D74" s="7" t="str">
        <f t="shared" si="8"/>
        <v>PremiumSS</v>
      </c>
      <c r="E74" s="7" t="str">
        <f>IF(COUNTIF('R6追加前'!A:A,B74)=0,IF(OR(I74="PremiumSS",I74="PremiumSSw"),"R5only","R3less"),"")</f>
        <v>R5only</v>
      </c>
      <c r="F74" s="7" t="str">
        <f>IF(COUNTIF('R6開放'!A:A,B74)&gt;0,"R6release","")</f>
        <v/>
      </c>
      <c r="G74" s="7"/>
      <c r="H74" s="7" t="str">
        <f>VLOOKUP(B74,[1]characters!$A:$C,3,FALSE)</f>
        <v>インドラ</v>
      </c>
      <c r="I74" s="7" t="str">
        <f>VLOOKUP(B74,[1]characters!$A:$J,10,FALSE)</f>
        <v>PremiumSS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attack</v>
      </c>
      <c r="M74" s="7" t="str">
        <f>VLOOKUP(B74,[1]characters!$A:$M,13,FALSE)</f>
        <v>god</v>
      </c>
      <c r="N74" s="7" t="str">
        <f>VLOOKUP(B74,[1]characters!$A:$G,7,FALSE)</f>
        <v>不明</v>
      </c>
      <c r="O74" s="32">
        <v>20</v>
      </c>
      <c r="P74" s="33">
        <f t="shared" si="9"/>
        <v>1.8066847335140017E-2</v>
      </c>
      <c r="Q74" s="27">
        <v>1</v>
      </c>
      <c r="R74" s="27">
        <v>0</v>
      </c>
      <c r="S74" s="27">
        <v>0</v>
      </c>
      <c r="T74" s="27">
        <v>0</v>
      </c>
      <c r="U74" s="27">
        <v>0</v>
      </c>
      <c r="V74" s="27">
        <v>1</v>
      </c>
    </row>
    <row r="75" spans="1:22" ht="21" customHeight="1" x14ac:dyDescent="0.15">
      <c r="A75" s="2">
        <v>7306010</v>
      </c>
      <c r="B75" s="37">
        <v>1214</v>
      </c>
      <c r="C75" s="7" t="str">
        <f t="shared" ref="C75:C77" si="10">D75&amp;J75&amp;E75&amp;F75&amp;G75</f>
        <v>PremiumSS5R5only</v>
      </c>
      <c r="D75" s="7" t="str">
        <f t="shared" ref="D75:D77" si="11">IF(OR(I75="PremiumSS",I75="PremiumSSw"),"PremiumSS",IF(I75="PremiumSSS",I75,IF(I75="PremiumW",I75,"Premium")))</f>
        <v>PremiumSS</v>
      </c>
      <c r="E75" s="7" t="str">
        <f>IF(COUNTIF('R6追加前'!A:A,B75)=0,IF(OR(I75="PremiumSS",I75="PremiumSSw"),"R5only","R3less"),"")</f>
        <v>R5only</v>
      </c>
      <c r="F75" s="7" t="str">
        <f>IF(COUNTIF('R6開放'!A:A,B75)&gt;0,"R6release","")</f>
        <v/>
      </c>
      <c r="G75" s="7"/>
      <c r="H75" s="7" t="str">
        <f>VLOOKUP(B75,[1]characters!$A:$C,3,FALSE)</f>
        <v>アルテミス</v>
      </c>
      <c r="I75" s="7" t="str">
        <f>VLOOKUP(B75,[1]characters!$A:$J,10,FALSE)</f>
        <v>PremiumSSw</v>
      </c>
      <c r="J75" s="7">
        <f>VLOOKUP(B75,[1]characters!$A:$I,9,FALSE)</f>
        <v>5</v>
      </c>
      <c r="K75" s="7" t="str">
        <f>VLOOKUP(B75,[1]characters!$A:$H,8,FALSE)</f>
        <v>yellow</v>
      </c>
      <c r="L75" s="7" t="str">
        <f>VLOOKUP(B75,[1]characters!$A:$K,11,FALSE)</f>
        <v>balance</v>
      </c>
      <c r="M75" s="7" t="str">
        <f>VLOOKUP(B75,[1]characters!$A:$M,13,FALSE)</f>
        <v>god</v>
      </c>
      <c r="N75" s="7">
        <f>VLOOKUP(B75,[1]characters!$A:$G,7,FALSE)</f>
        <v>0</v>
      </c>
      <c r="O75" s="32">
        <v>20</v>
      </c>
      <c r="P75" s="33">
        <f t="shared" ref="P75:P77" si="12">O75/SUM(O:O)</f>
        <v>1.8066847335140017E-2</v>
      </c>
      <c r="Q75" s="27">
        <v>1</v>
      </c>
      <c r="R75" s="27">
        <v>0</v>
      </c>
      <c r="S75" s="27">
        <v>0</v>
      </c>
      <c r="T75" s="27">
        <v>0</v>
      </c>
      <c r="U75" s="27">
        <v>0</v>
      </c>
      <c r="V75" s="27">
        <v>1</v>
      </c>
    </row>
    <row r="76" spans="1:22" ht="21" customHeight="1" x14ac:dyDescent="0.15">
      <c r="A76" s="2">
        <v>7306010</v>
      </c>
      <c r="B76" s="37">
        <v>1212</v>
      </c>
      <c r="C76" s="7" t="str">
        <f t="shared" si="10"/>
        <v>PremiumSS5R5only</v>
      </c>
      <c r="D76" s="7" t="str">
        <f t="shared" si="11"/>
        <v>PremiumSS</v>
      </c>
      <c r="E76" s="7" t="str">
        <f>IF(COUNTIF('R6追加前'!A:A,B76)=0,IF(OR(I76="PremiumSS",I76="PremiumSSw"),"R5only","R3less"),"")</f>
        <v>R5only</v>
      </c>
      <c r="F76" s="7" t="str">
        <f>IF(COUNTIF('R6開放'!A:A,B76)&gt;0,"R6release","")</f>
        <v/>
      </c>
      <c r="G76" s="7"/>
      <c r="H76" s="7" t="str">
        <f>VLOOKUP(B76,[1]characters!$A:$C,3,FALSE)</f>
        <v>クロノス</v>
      </c>
      <c r="I76" s="7" t="str">
        <f>VLOOKUP(B76,[1]characters!$A:$J,10,FALSE)</f>
        <v>PremiumSS</v>
      </c>
      <c r="J76" s="7">
        <f>VLOOKUP(B76,[1]characters!$A:$I,9,FALSE)</f>
        <v>5</v>
      </c>
      <c r="K76" s="7" t="str">
        <f>VLOOKUP(B76,[1]characters!$A:$H,8,FALSE)</f>
        <v>blue</v>
      </c>
      <c r="L76" s="7" t="str">
        <f>VLOOKUP(B76,[1]characters!$A:$K,11,FALSE)</f>
        <v>technical</v>
      </c>
      <c r="M76" s="7" t="str">
        <f>VLOOKUP(B76,[1]characters!$A:$M,13,FALSE)</f>
        <v>god</v>
      </c>
      <c r="N76" s="7">
        <f>VLOOKUP(B76,[1]characters!$A:$G,7,FALSE)</f>
        <v>0</v>
      </c>
      <c r="O76" s="32">
        <v>20</v>
      </c>
      <c r="P76" s="33">
        <f t="shared" si="12"/>
        <v>1.8066847335140017E-2</v>
      </c>
      <c r="Q76" s="27">
        <v>1</v>
      </c>
      <c r="R76" s="27">
        <v>0</v>
      </c>
      <c r="S76" s="27">
        <v>0</v>
      </c>
      <c r="T76" s="27">
        <v>0</v>
      </c>
      <c r="U76" s="27">
        <v>0</v>
      </c>
      <c r="V76" s="27">
        <v>1</v>
      </c>
    </row>
    <row r="77" spans="1:22" ht="21" customHeight="1" x14ac:dyDescent="0.15">
      <c r="A77" s="2">
        <v>7306010</v>
      </c>
      <c r="B77" s="37">
        <v>1208</v>
      </c>
      <c r="C77" s="7" t="str">
        <f t="shared" si="10"/>
        <v>PremiumSS5R5only</v>
      </c>
      <c r="D77" s="7" t="str">
        <f t="shared" si="11"/>
        <v>PremiumSS</v>
      </c>
      <c r="E77" s="7" t="str">
        <f>IF(COUNTIF('R6追加前'!A:A,B77)=0,IF(OR(I77="PremiumSS",I77="PremiumSSw"),"R5only","R3less"),"")</f>
        <v>R5only</v>
      </c>
      <c r="F77" s="7" t="str">
        <f>IF(COUNTIF('R6開放'!A:A,B77)&gt;0,"R6release","")</f>
        <v/>
      </c>
      <c r="G77" s="7"/>
      <c r="H77" s="7" t="str">
        <f>VLOOKUP(B77,[1]characters!$A:$C,3,FALSE)</f>
        <v>ネメシス</v>
      </c>
      <c r="I77" s="7" t="str">
        <f>VLOOKUP(B77,[1]characters!$A:$J,10,FALSE)</f>
        <v>PremiumSS</v>
      </c>
      <c r="J77" s="7">
        <f>VLOOKUP(B77,[1]characters!$A:$I,9,FALSE)</f>
        <v>5</v>
      </c>
      <c r="K77" s="7" t="str">
        <f>VLOOKUP(B77,[1]characters!$A:$H,8,FALSE)</f>
        <v>red</v>
      </c>
      <c r="L77" s="7" t="str">
        <f>VLOOKUP(B77,[1]characters!$A:$K,11,FALSE)</f>
        <v>hp</v>
      </c>
      <c r="M77" s="7" t="str">
        <f>VLOOKUP(B77,[1]characters!$A:$M,13,FALSE)</f>
        <v>god</v>
      </c>
      <c r="N77" s="7">
        <f>VLOOKUP(B77,[1]characters!$A:$G,7,FALSE)</f>
        <v>0</v>
      </c>
      <c r="O77" s="32">
        <v>20</v>
      </c>
      <c r="P77" s="33">
        <f t="shared" si="12"/>
        <v>1.8066847335140017E-2</v>
      </c>
      <c r="Q77" s="27">
        <v>1</v>
      </c>
      <c r="R77" s="27">
        <v>0</v>
      </c>
      <c r="S77" s="27">
        <v>0</v>
      </c>
      <c r="T77" s="27">
        <v>0</v>
      </c>
      <c r="U77" s="27">
        <v>0</v>
      </c>
      <c r="V77" s="27">
        <v>1</v>
      </c>
    </row>
    <row r="78" spans="1:22" ht="21" customHeight="1" x14ac:dyDescent="0.1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53"/>
      <c r="P78" s="54"/>
      <c r="Q78" s="55"/>
      <c r="R78" s="55"/>
      <c r="S78" s="55"/>
      <c r="T78" s="55"/>
      <c r="U78" s="55"/>
      <c r="V78" s="55"/>
    </row>
    <row r="79" spans="1:22" ht="21" customHeight="1" x14ac:dyDescent="0.1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53"/>
      <c r="P79" s="54"/>
      <c r="Q79" s="55"/>
      <c r="R79" s="55"/>
      <c r="S79" s="55"/>
      <c r="T79" s="55"/>
      <c r="U79" s="55"/>
      <c r="V79" s="55"/>
    </row>
    <row r="80" spans="1:22" ht="21" customHeight="1" x14ac:dyDescent="0.1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53"/>
      <c r="P80" s="54"/>
      <c r="Q80" s="55"/>
      <c r="R80" s="55"/>
      <c r="S80" s="55"/>
      <c r="T80" s="55"/>
      <c r="U80" s="55"/>
      <c r="V80" s="55"/>
    </row>
    <row r="81" spans="1:22" ht="21" customHeight="1" x14ac:dyDescent="0.1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53"/>
      <c r="P81" s="54"/>
      <c r="Q81" s="55"/>
      <c r="R81" s="55"/>
      <c r="S81" s="55"/>
      <c r="T81" s="55"/>
      <c r="U81" s="55"/>
      <c r="V81" s="55"/>
    </row>
    <row r="82" spans="1:22" ht="21" customHeight="1" x14ac:dyDescent="0.1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53"/>
      <c r="P82" s="54"/>
      <c r="Q82" s="55"/>
      <c r="R82" s="55"/>
      <c r="S82" s="55"/>
      <c r="T82" s="55"/>
      <c r="U82" s="55"/>
      <c r="V82" s="55"/>
    </row>
    <row r="83" spans="1:22" ht="21" customHeight="1" x14ac:dyDescent="0.1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53"/>
      <c r="P83" s="54"/>
      <c r="Q83" s="55"/>
      <c r="R83" s="55"/>
      <c r="S83" s="55"/>
      <c r="T83" s="55"/>
      <c r="U83" s="55"/>
      <c r="V83" s="55"/>
    </row>
    <row r="84" spans="1:22" ht="21" customHeight="1" x14ac:dyDescent="0.1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53"/>
      <c r="P84" s="54"/>
      <c r="Q84" s="55"/>
      <c r="R84" s="55"/>
      <c r="S84" s="55"/>
      <c r="T84" s="55"/>
      <c r="U84" s="55"/>
      <c r="V84" s="55"/>
    </row>
    <row r="85" spans="1:22" ht="21" customHeight="1" x14ac:dyDescent="0.1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53"/>
      <c r="P85" s="54"/>
      <c r="Q85" s="55"/>
      <c r="R85" s="55"/>
      <c r="S85" s="55"/>
      <c r="T85" s="55"/>
      <c r="U85" s="55"/>
      <c r="V85" s="55"/>
    </row>
    <row r="86" spans="1:22" ht="21" customHeight="1" x14ac:dyDescent="0.1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53"/>
      <c r="P86" s="54"/>
      <c r="Q86" s="55"/>
      <c r="R86" s="55"/>
      <c r="S86" s="55"/>
      <c r="T86" s="55"/>
      <c r="U86" s="55"/>
      <c r="V86" s="55"/>
    </row>
    <row r="87" spans="1:22" ht="21" customHeight="1" x14ac:dyDescent="0.1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53"/>
      <c r="P87" s="54"/>
      <c r="Q87" s="55"/>
      <c r="R87" s="55"/>
      <c r="S87" s="55"/>
      <c r="T87" s="55"/>
      <c r="U87" s="55"/>
      <c r="V87" s="55"/>
    </row>
    <row r="88" spans="1:22" ht="21" customHeight="1" x14ac:dyDescent="0.1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53"/>
      <c r="P88" s="54"/>
      <c r="Q88" s="55"/>
      <c r="R88" s="55"/>
      <c r="S88" s="55"/>
      <c r="T88" s="55"/>
      <c r="U88" s="55"/>
      <c r="V88" s="55"/>
    </row>
    <row r="89" spans="1:22" ht="21" customHeight="1" x14ac:dyDescent="0.1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53"/>
      <c r="P89" s="54"/>
      <c r="Q89" s="55"/>
      <c r="R89" s="55"/>
      <c r="S89" s="55"/>
      <c r="T89" s="55"/>
      <c r="U89" s="55"/>
      <c r="V89" s="55"/>
    </row>
  </sheetData>
  <autoFilter ref="A1:V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2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9">
        <v>140</v>
      </c>
      <c r="B16" s="7" t="str">
        <f>VLOOKUP(A16,[1]characters!$A:$C,3,FALSE)</f>
        <v>秋祭のタマモ</v>
      </c>
    </row>
    <row r="17" spans="1:2" x14ac:dyDescent="0.15">
      <c r="A17" s="10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9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9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9">
        <v>196</v>
      </c>
      <c r="B72" s="7" t="str">
        <f>VLOOKUP(A72,[1]characters!$A:$C,3,FALSE)</f>
        <v>アキレス</v>
      </c>
    </row>
    <row r="73" spans="1:2" x14ac:dyDescent="0.15">
      <c r="A73" s="10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37">
        <v>668</v>
      </c>
      <c r="B246" s="7" t="str">
        <f>VLOOKUP(A246,[1]characters!$A:$C,3,FALSE)</f>
        <v>アグニ</v>
      </c>
    </row>
    <row r="247" spans="1:2" x14ac:dyDescent="0.15">
      <c r="A247" s="37">
        <v>669</v>
      </c>
      <c r="B247" s="7" t="str">
        <f>VLOOKUP(A247,[1]characters!$A:$C,3,FALSE)</f>
        <v>天地の仲界 アグニ</v>
      </c>
    </row>
    <row r="248" spans="1:2" x14ac:dyDescent="0.15">
      <c r="A248" s="37">
        <v>670</v>
      </c>
      <c r="B248" s="7" t="str">
        <f>VLOOKUP(A248,[1]characters!$A:$C,3,FALSE)</f>
        <v>陽天の噴煙 アグニ</v>
      </c>
    </row>
    <row r="249" spans="1:2" x14ac:dyDescent="0.15">
      <c r="A249" s="37">
        <v>671</v>
      </c>
      <c r="B249" s="7" t="str">
        <f>VLOOKUP(A249,[1]characters!$A:$C,3,FALSE)</f>
        <v>ハヌマーン</v>
      </c>
    </row>
    <row r="250" spans="1:2" x14ac:dyDescent="0.15">
      <c r="A250" s="37">
        <v>672</v>
      </c>
      <c r="B250" s="7" t="str">
        <f>VLOOKUP(A250,[1]characters!$A:$C,3,FALSE)</f>
        <v>西遊韋駄天 ハヌマーン</v>
      </c>
    </row>
    <row r="251" spans="1:2" x14ac:dyDescent="0.15">
      <c r="A251" s="37">
        <v>673</v>
      </c>
      <c r="B251" s="7" t="str">
        <f>VLOOKUP(A251,[1]characters!$A:$C,3,FALSE)</f>
        <v>変幻自在の猿王 ハヌマーン</v>
      </c>
    </row>
    <row r="252" spans="1:2" x14ac:dyDescent="0.15">
      <c r="A252" s="37">
        <v>674</v>
      </c>
      <c r="B252" s="7" t="str">
        <f>VLOOKUP(A252,[1]characters!$A:$C,3,FALSE)</f>
        <v>サラスヴァティ</v>
      </c>
    </row>
    <row r="253" spans="1:2" x14ac:dyDescent="0.15">
      <c r="A253" s="37">
        <v>675</v>
      </c>
      <c r="B253" s="7" t="str">
        <f>VLOOKUP(A253,[1]characters!$A:$C,3,FALSE)</f>
        <v>芸楽の奔流 サラスヴァティ</v>
      </c>
    </row>
    <row r="254" spans="1:2" x14ac:dyDescent="0.15">
      <c r="A254" s="37">
        <v>676</v>
      </c>
      <c r="B254" s="7" t="str">
        <f>VLOOKUP(A254,[1]characters!$A:$C,3,FALSE)</f>
        <v>ヴィシュヌ</v>
      </c>
    </row>
    <row r="255" spans="1:2" x14ac:dyDescent="0.15">
      <c r="A255" s="37">
        <v>677</v>
      </c>
      <c r="B255" s="7" t="str">
        <f>VLOOKUP(A255,[1]characters!$A:$C,3,FALSE)</f>
        <v>武遊闊歩 ヴィシュヌ</v>
      </c>
    </row>
    <row r="256" spans="1:2" x14ac:dyDescent="0.15">
      <c r="A256" s="37">
        <v>770</v>
      </c>
      <c r="B256" s="7" t="str">
        <f>VLOOKUP(A256,[1]characters!$A:$C,3,FALSE)</f>
        <v>ハヅル</v>
      </c>
    </row>
    <row r="257" spans="1:2" x14ac:dyDescent="0.15">
      <c r="A257" s="37">
        <v>771</v>
      </c>
      <c r="B257" s="7" t="str">
        <f>VLOOKUP(A257,[1]characters!$A:$C,3,FALSE)</f>
        <v>天織羽鶴 ハヅル</v>
      </c>
    </row>
    <row r="258" spans="1:2" x14ac:dyDescent="0.15">
      <c r="A258" s="37">
        <v>772</v>
      </c>
      <c r="B258" s="7" t="str">
        <f>VLOOKUP(A258,[1]characters!$A:$C,3,FALSE)</f>
        <v>イナバ</v>
      </c>
    </row>
    <row r="259" spans="1:2" x14ac:dyDescent="0.15">
      <c r="A259" s="37">
        <v>773</v>
      </c>
      <c r="B259" s="7" t="str">
        <f>VLOOKUP(A259,[1]characters!$A:$C,3,FALSE)</f>
        <v>浮跳天兎 イナバ</v>
      </c>
    </row>
    <row r="260" spans="1:2" x14ac:dyDescent="0.15">
      <c r="A260" s="37">
        <v>774</v>
      </c>
      <c r="B260" s="7" t="str">
        <f>VLOOKUP(A260,[1]characters!$A:$C,3,FALSE)</f>
        <v>ミズチ</v>
      </c>
    </row>
    <row r="261" spans="1:2" x14ac:dyDescent="0.15">
      <c r="A261" s="37">
        <v>775</v>
      </c>
      <c r="B261" s="7" t="str">
        <f>VLOOKUP(A261,[1]characters!$A:$C,3,FALSE)</f>
        <v>水底霊竜 ミズチ</v>
      </c>
    </row>
    <row r="262" spans="1:2" x14ac:dyDescent="0.15">
      <c r="A262" s="37">
        <v>776</v>
      </c>
      <c r="B262" s="7" t="str">
        <f>VLOOKUP(A262,[1]characters!$A:$C,3,FALSE)</f>
        <v>水竜底主 ミズチ</v>
      </c>
    </row>
    <row r="263" spans="1:2" x14ac:dyDescent="0.15">
      <c r="A263" s="37">
        <v>777</v>
      </c>
      <c r="B263" s="7" t="str">
        <f>VLOOKUP(A263,[1]characters!$A:$C,3,FALSE)</f>
        <v>ガメック</v>
      </c>
    </row>
    <row r="264" spans="1:2" x14ac:dyDescent="0.15">
      <c r="A264" s="37">
        <v>778</v>
      </c>
      <c r="B264" s="7" t="str">
        <f>VLOOKUP(A264,[1]characters!$A:$C,3,FALSE)</f>
        <v>一亀懸明 ガメック</v>
      </c>
    </row>
    <row r="265" spans="1:2" x14ac:dyDescent="0.15">
      <c r="A265" s="37">
        <v>779</v>
      </c>
      <c r="B265" s="7" t="str">
        <f>VLOOKUP(A265,[1]characters!$A:$C,3,FALSE)</f>
        <v>頑堅咬亀 ガメック</v>
      </c>
    </row>
    <row r="266" spans="1:2" x14ac:dyDescent="0.15">
      <c r="A266" s="37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1" t="s">
        <v>46</v>
      </c>
      <c r="B1" s="31"/>
    </row>
    <row r="2" spans="1:2" x14ac:dyDescent="0.15">
      <c r="A2" s="29" t="s">
        <v>1</v>
      </c>
      <c r="B2" s="30" t="s">
        <v>48</v>
      </c>
    </row>
    <row r="3" spans="1:2" x14ac:dyDescent="0.15">
      <c r="A3" s="6">
        <v>166</v>
      </c>
      <c r="B3" s="30" t="str">
        <f>VLOOKUP(A3,[1]characters!$A:$C,3,FALSE)</f>
        <v>ベリアル</v>
      </c>
    </row>
    <row r="4" spans="1:2" x14ac:dyDescent="0.15">
      <c r="A4" s="6">
        <v>167</v>
      </c>
      <c r="B4" s="30" t="str">
        <f>VLOOKUP(A4,[1]characters!$A:$C,3,FALSE)</f>
        <v>逆徒 ベリアル</v>
      </c>
    </row>
    <row r="5" spans="1:2" x14ac:dyDescent="0.15">
      <c r="A5" s="6">
        <v>168</v>
      </c>
      <c r="B5" s="30" t="str">
        <f>VLOOKUP(A5,[1]characters!$A:$C,3,FALSE)</f>
        <v>猛進の大逆者 ベリアル</v>
      </c>
    </row>
    <row r="6" spans="1:2" x14ac:dyDescent="0.15">
      <c r="A6" s="29">
        <v>169</v>
      </c>
      <c r="B6" s="30" t="str">
        <f>VLOOKUP(A6,[1]characters!$A:$C,3,FALSE)</f>
        <v>オセ</v>
      </c>
    </row>
    <row r="7" spans="1:2" x14ac:dyDescent="0.15">
      <c r="A7" s="29">
        <v>170</v>
      </c>
      <c r="B7" s="30" t="str">
        <f>VLOOKUP(A7,[1]characters!$A:$C,3,FALSE)</f>
        <v>識徒 オセ</v>
      </c>
    </row>
    <row r="8" spans="1:2" x14ac:dyDescent="0.15">
      <c r="A8" s="29">
        <v>171</v>
      </c>
      <c r="B8" s="30" t="str">
        <f>VLOOKUP(A8,[1]characters!$A:$C,3,FALSE)</f>
        <v>精解の預知者 オセ</v>
      </c>
    </row>
    <row r="9" spans="1:2" x14ac:dyDescent="0.15">
      <c r="A9" s="29">
        <v>172</v>
      </c>
      <c r="B9" s="30" t="str">
        <f>VLOOKUP(A9,[1]characters!$A:$C,3,FALSE)</f>
        <v>フォルネウス</v>
      </c>
    </row>
    <row r="10" spans="1:2" x14ac:dyDescent="0.15">
      <c r="A10" s="29">
        <v>173</v>
      </c>
      <c r="B10" s="30" t="str">
        <f>VLOOKUP(A10,[1]characters!$A:$C,3,FALSE)</f>
        <v>公爵 フォルネウス</v>
      </c>
    </row>
    <row r="11" spans="1:2" x14ac:dyDescent="0.15">
      <c r="A11" s="29">
        <v>174</v>
      </c>
      <c r="B11" s="30" t="str">
        <f>VLOOKUP(A11,[1]characters!$A:$C,3,FALSE)</f>
        <v>偽愛の大公爵 フォルネウス</v>
      </c>
    </row>
    <row r="12" spans="1:2" x14ac:dyDescent="0.15">
      <c r="A12" s="29">
        <v>235</v>
      </c>
      <c r="B12" s="30" t="str">
        <f>VLOOKUP(A12,[1]characters!$A:$C,3,FALSE)</f>
        <v>イザナミ</v>
      </c>
    </row>
    <row r="13" spans="1:2" x14ac:dyDescent="0.15">
      <c r="A13" s="29">
        <v>236</v>
      </c>
      <c r="B13" s="30" t="str">
        <f>VLOOKUP(A13,[1]characters!$A:$C,3,FALSE)</f>
        <v>神産 イザナミ</v>
      </c>
    </row>
    <row r="14" spans="1:2" x14ac:dyDescent="0.15">
      <c r="A14" s="29">
        <v>237</v>
      </c>
      <c r="B14" s="30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確率の考え方</vt:lpstr>
      <vt:lpstr>Sheet1</vt:lpstr>
      <vt:lpstr>output</vt:lpstr>
      <vt:lpstr>tables_7306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2016-11-11T02:33:32Z</dcterms:modified>
</cp:coreProperties>
</file>