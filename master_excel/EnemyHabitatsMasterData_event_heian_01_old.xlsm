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011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user/BULL_data/master_excel/"/>
    </mc:Choice>
  </mc:AlternateContent>
  <bookViews>
    <workbookView xWindow="-5400" yWindow="-20500" windowWidth="34760" windowHeight="19200" tabRatio="740" activeTab="2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xlnm._FilterDatabase" localSheetId="3" hidden="1">enemy_habitat_S!$B$1:$AA$1</definedName>
    <definedName name="_xlnm._FilterDatabase" localSheetId="2" hidden="1">enemy_habitats!$B$1:$AJ$2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stage_hints_complete!$B$1:$L$2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8" i="1" l="1"/>
  <c r="Y7" i="1"/>
  <c r="Y6" i="1"/>
  <c r="Y5" i="1"/>
  <c r="Y4" i="1"/>
  <c r="Y3" i="1"/>
  <c r="X8" i="1"/>
  <c r="X7" i="1"/>
  <c r="X6" i="1"/>
  <c r="X5" i="1"/>
  <c r="X4" i="1"/>
  <c r="X3" i="1"/>
  <c r="B9" i="21"/>
  <c r="I9" i="21"/>
  <c r="J9" i="21"/>
  <c r="G9" i="21"/>
  <c r="F9" i="21"/>
  <c r="D9" i="21"/>
  <c r="C9" i="21"/>
  <c r="B8" i="21"/>
  <c r="I8" i="21"/>
  <c r="J8" i="21"/>
  <c r="G8" i="21"/>
  <c r="F8" i="21"/>
  <c r="D8" i="21"/>
  <c r="C8" i="21"/>
  <c r="B7" i="21"/>
  <c r="I7" i="21"/>
  <c r="J7" i="21"/>
  <c r="G7" i="21"/>
  <c r="F7" i="21"/>
  <c r="D7" i="21"/>
  <c r="C7" i="21"/>
  <c r="B6" i="21"/>
  <c r="I6" i="21"/>
  <c r="J6" i="21"/>
  <c r="G6" i="21"/>
  <c r="F6" i="21"/>
  <c r="D6" i="21"/>
  <c r="C6" i="21"/>
  <c r="B5" i="21"/>
  <c r="I5" i="21"/>
  <c r="J5" i="21"/>
  <c r="G5" i="21"/>
  <c r="F5" i="21"/>
  <c r="D5" i="21"/>
  <c r="C5" i="21"/>
  <c r="B4" i="21"/>
  <c r="I4" i="21"/>
  <c r="J4" i="21"/>
  <c r="G4" i="21"/>
  <c r="F4" i="21"/>
  <c r="D4" i="21"/>
  <c r="C4" i="21"/>
  <c r="B3" i="21"/>
  <c r="I3" i="21"/>
  <c r="J3" i="21"/>
  <c r="G3" i="21"/>
  <c r="F3" i="21"/>
  <c r="D3" i="21"/>
  <c r="C3" i="21"/>
  <c r="AD8" i="1"/>
  <c r="AF8" i="1"/>
  <c r="AI8" i="1"/>
  <c r="AG8" i="1"/>
  <c r="AE8" i="1"/>
  <c r="AC8" i="1"/>
  <c r="V8" i="1"/>
  <c r="T8" i="1"/>
  <c r="Q8" i="1"/>
  <c r="P8" i="1"/>
  <c r="O8" i="1"/>
  <c r="N8" i="1"/>
  <c r="M8" i="1"/>
  <c r="H8" i="1"/>
  <c r="G2" i="2"/>
  <c r="A2" i="2"/>
  <c r="G3" i="2"/>
  <c r="A3" i="2"/>
  <c r="G4" i="2"/>
  <c r="A4" i="2"/>
  <c r="G5" i="2"/>
  <c r="A5" i="2"/>
  <c r="J8" i="1"/>
  <c r="I8" i="1"/>
  <c r="D8" i="1"/>
  <c r="F8" i="1"/>
  <c r="E8" i="1"/>
  <c r="A8" i="1"/>
  <c r="AD7" i="1"/>
  <c r="AF7" i="1"/>
  <c r="AI7" i="1"/>
  <c r="AG7" i="1"/>
  <c r="AE7" i="1"/>
  <c r="AC7" i="1"/>
  <c r="V7" i="1"/>
  <c r="T7" i="1"/>
  <c r="Q7" i="1"/>
  <c r="P7" i="1"/>
  <c r="O7" i="1"/>
  <c r="N7" i="1"/>
  <c r="M7" i="1"/>
  <c r="H7" i="1"/>
  <c r="J7" i="1"/>
  <c r="I7" i="1"/>
  <c r="D7" i="1"/>
  <c r="F7" i="1"/>
  <c r="E7" i="1"/>
  <c r="A7" i="1"/>
  <c r="AD6" i="1"/>
  <c r="AF6" i="1"/>
  <c r="AI6" i="1"/>
  <c r="AG6" i="1"/>
  <c r="AE6" i="1"/>
  <c r="AC6" i="1"/>
  <c r="V6" i="1"/>
  <c r="T6" i="1"/>
  <c r="Q6" i="1"/>
  <c r="P6" i="1"/>
  <c r="O6" i="1"/>
  <c r="N6" i="1"/>
  <c r="M6" i="1"/>
  <c r="H6" i="1"/>
  <c r="J6" i="1"/>
  <c r="I6" i="1"/>
  <c r="D6" i="1"/>
  <c r="F6" i="1"/>
  <c r="E6" i="1"/>
  <c r="A6" i="1"/>
  <c r="AD5" i="1"/>
  <c r="AF5" i="1"/>
  <c r="AI5" i="1"/>
  <c r="AG5" i="1"/>
  <c r="AE5" i="1"/>
  <c r="AC5" i="1"/>
  <c r="V5" i="1"/>
  <c r="T5" i="1"/>
  <c r="Q5" i="1"/>
  <c r="P5" i="1"/>
  <c r="O5" i="1"/>
  <c r="N5" i="1"/>
  <c r="M5" i="1"/>
  <c r="H5" i="1"/>
  <c r="J5" i="1"/>
  <c r="I5" i="1"/>
  <c r="D5" i="1"/>
  <c r="F5" i="1"/>
  <c r="E5" i="1"/>
  <c r="A5" i="1"/>
  <c r="AD4" i="1"/>
  <c r="AF4" i="1"/>
  <c r="AI4" i="1"/>
  <c r="AG4" i="1"/>
  <c r="AE4" i="1"/>
  <c r="AC4" i="1"/>
  <c r="V4" i="1"/>
  <c r="T4" i="1"/>
  <c r="Q4" i="1"/>
  <c r="P4" i="1"/>
  <c r="O4" i="1"/>
  <c r="N4" i="1"/>
  <c r="M4" i="1"/>
  <c r="H4" i="1"/>
  <c r="J4" i="1"/>
  <c r="I4" i="1"/>
  <c r="D4" i="1"/>
  <c r="F4" i="1"/>
  <c r="E4" i="1"/>
  <c r="A4" i="1"/>
  <c r="H2" i="1"/>
  <c r="H3" i="1"/>
  <c r="H5" i="2"/>
  <c r="E5" i="2"/>
  <c r="D5" i="2"/>
  <c r="B5" i="2"/>
  <c r="H4" i="2"/>
  <c r="E4" i="2"/>
  <c r="D4" i="2"/>
  <c r="B4" i="2"/>
  <c r="H3" i="2"/>
  <c r="E3" i="2"/>
  <c r="D3" i="2"/>
  <c r="B3" i="2"/>
  <c r="V3" i="1"/>
  <c r="V2" i="1"/>
  <c r="T3" i="1"/>
  <c r="T2" i="1"/>
  <c r="N3" i="22"/>
  <c r="G3" i="22"/>
  <c r="F3" i="22"/>
  <c r="D3" i="22"/>
  <c r="C3" i="22"/>
  <c r="A3" i="22"/>
  <c r="C13" i="16"/>
  <c r="E13" i="16"/>
  <c r="N2" i="22"/>
  <c r="G2" i="22"/>
  <c r="F2" i="22"/>
  <c r="D2" i="22"/>
  <c r="C2" i="22"/>
  <c r="A2" i="22"/>
  <c r="B61" i="19"/>
  <c r="C61" i="19"/>
  <c r="D61" i="19"/>
  <c r="F61" i="19"/>
  <c r="G61" i="19"/>
  <c r="B62" i="19"/>
  <c r="C62" i="19"/>
  <c r="D62" i="19"/>
  <c r="F62" i="19"/>
  <c r="G62" i="19"/>
  <c r="B63" i="19"/>
  <c r="C63" i="19"/>
  <c r="D63" i="19"/>
  <c r="F63" i="19"/>
  <c r="G63" i="19"/>
  <c r="B64" i="19"/>
  <c r="C64" i="19"/>
  <c r="D64" i="19"/>
  <c r="F64" i="19"/>
  <c r="G64" i="19"/>
  <c r="B65" i="19"/>
  <c r="C65" i="19"/>
  <c r="D65" i="19"/>
  <c r="F65" i="19"/>
  <c r="G65" i="19"/>
  <c r="B66" i="19"/>
  <c r="C66" i="19"/>
  <c r="D66" i="19"/>
  <c r="F66" i="19"/>
  <c r="G66" i="19"/>
  <c r="B67" i="19"/>
  <c r="C67" i="19"/>
  <c r="D67" i="19"/>
  <c r="F67" i="19"/>
  <c r="G67" i="19"/>
  <c r="B68" i="19"/>
  <c r="C68" i="19"/>
  <c r="D68" i="19"/>
  <c r="F68" i="19"/>
  <c r="G68" i="19"/>
  <c r="B69" i="19"/>
  <c r="C69" i="19"/>
  <c r="D69" i="19"/>
  <c r="F69" i="19"/>
  <c r="G69" i="19"/>
  <c r="B70" i="19"/>
  <c r="C70" i="19"/>
  <c r="D70" i="19"/>
  <c r="F70" i="19"/>
  <c r="G70" i="19"/>
  <c r="B71" i="19"/>
  <c r="C71" i="19"/>
  <c r="D71" i="19"/>
  <c r="F71" i="19"/>
  <c r="G71" i="19"/>
  <c r="B72" i="19"/>
  <c r="C72" i="19"/>
  <c r="D72" i="19"/>
  <c r="F72" i="19"/>
  <c r="G72" i="19"/>
  <c r="B73" i="19"/>
  <c r="C73" i="19"/>
  <c r="D73" i="19"/>
  <c r="F73" i="19"/>
  <c r="G73" i="19"/>
  <c r="B74" i="19"/>
  <c r="C74" i="19"/>
  <c r="D74" i="19"/>
  <c r="F74" i="19"/>
  <c r="G74" i="19"/>
  <c r="B75" i="19"/>
  <c r="C75" i="19"/>
  <c r="D75" i="19"/>
  <c r="F75" i="19"/>
  <c r="G75" i="19"/>
  <c r="B76" i="19"/>
  <c r="C76" i="19"/>
  <c r="D76" i="19"/>
  <c r="F76" i="19"/>
  <c r="G76" i="19"/>
  <c r="B77" i="19"/>
  <c r="C77" i="19"/>
  <c r="D77" i="19"/>
  <c r="F77" i="19"/>
  <c r="G77" i="19"/>
  <c r="B78" i="19"/>
  <c r="C78" i="19"/>
  <c r="D78" i="19"/>
  <c r="F78" i="19"/>
  <c r="G78" i="19"/>
  <c r="B79" i="19"/>
  <c r="C79" i="19"/>
  <c r="D79" i="19"/>
  <c r="F79" i="19"/>
  <c r="G79" i="19"/>
  <c r="B80" i="19"/>
  <c r="C80" i="19"/>
  <c r="D80" i="19"/>
  <c r="F80" i="19"/>
  <c r="G80" i="19"/>
  <c r="B81" i="19"/>
  <c r="C81" i="19"/>
  <c r="D81" i="19"/>
  <c r="F81" i="19"/>
  <c r="G81" i="19"/>
  <c r="B82" i="19"/>
  <c r="C82" i="19"/>
  <c r="D82" i="19"/>
  <c r="F82" i="19"/>
  <c r="G82" i="19"/>
  <c r="B83" i="19"/>
  <c r="C83" i="19"/>
  <c r="D83" i="19"/>
  <c r="F83" i="19"/>
  <c r="G83" i="19"/>
  <c r="B84" i="19"/>
  <c r="C84" i="19"/>
  <c r="D84" i="19"/>
  <c r="F84" i="19"/>
  <c r="G84" i="19"/>
  <c r="B85" i="19"/>
  <c r="C85" i="19"/>
  <c r="D85" i="19"/>
  <c r="F85" i="19"/>
  <c r="G85" i="19"/>
  <c r="B86" i="19"/>
  <c r="C86" i="19"/>
  <c r="D86" i="19"/>
  <c r="F86" i="19"/>
  <c r="G86" i="19"/>
  <c r="B87" i="19"/>
  <c r="C87" i="19"/>
  <c r="D87" i="19"/>
  <c r="F87" i="19"/>
  <c r="G87" i="19"/>
  <c r="B88" i="19"/>
  <c r="C88" i="19"/>
  <c r="D88" i="19"/>
  <c r="F88" i="19"/>
  <c r="G88" i="19"/>
  <c r="B89" i="19"/>
  <c r="C89" i="19"/>
  <c r="D89" i="19"/>
  <c r="F89" i="19"/>
  <c r="G89" i="19"/>
  <c r="B90" i="19"/>
  <c r="C90" i="19"/>
  <c r="D90" i="19"/>
  <c r="F90" i="19"/>
  <c r="G90" i="19"/>
  <c r="B91" i="19"/>
  <c r="C91" i="19"/>
  <c r="D91" i="19"/>
  <c r="F91" i="19"/>
  <c r="G91" i="19"/>
  <c r="B92" i="19"/>
  <c r="C92" i="19"/>
  <c r="D92" i="19"/>
  <c r="F92" i="19"/>
  <c r="G92" i="19"/>
  <c r="B93" i="19"/>
  <c r="C93" i="19"/>
  <c r="D93" i="19"/>
  <c r="F93" i="19"/>
  <c r="G93" i="19"/>
  <c r="K60" i="19"/>
  <c r="L60" i="19"/>
  <c r="K61" i="19"/>
  <c r="L61" i="19"/>
  <c r="K62" i="19"/>
  <c r="L62" i="19"/>
  <c r="K63" i="19"/>
  <c r="L63" i="19"/>
  <c r="K64" i="19"/>
  <c r="L64" i="19"/>
  <c r="K65" i="19"/>
  <c r="L65" i="19"/>
  <c r="K66" i="19"/>
  <c r="L66" i="19"/>
  <c r="K67" i="19"/>
  <c r="L67" i="19"/>
  <c r="K68" i="19"/>
  <c r="L68" i="19"/>
  <c r="K69" i="19"/>
  <c r="L69" i="19"/>
  <c r="K70" i="19"/>
  <c r="L70" i="19"/>
  <c r="K71" i="19"/>
  <c r="L71" i="19"/>
  <c r="K72" i="19"/>
  <c r="L72" i="19"/>
  <c r="K73" i="19"/>
  <c r="L73" i="19"/>
  <c r="K74" i="19"/>
  <c r="L74" i="19"/>
  <c r="K75" i="19"/>
  <c r="L75" i="19"/>
  <c r="K76" i="19"/>
  <c r="L76" i="19"/>
  <c r="K77" i="19"/>
  <c r="L77" i="19"/>
  <c r="K78" i="19"/>
  <c r="L78" i="19"/>
  <c r="K79" i="19"/>
  <c r="L79" i="19"/>
  <c r="K80" i="19"/>
  <c r="L80" i="19"/>
  <c r="K81" i="19"/>
  <c r="L81" i="19"/>
  <c r="K82" i="19"/>
  <c r="L82" i="19"/>
  <c r="K83" i="19"/>
  <c r="L83" i="19"/>
  <c r="K84" i="19"/>
  <c r="L84" i="19"/>
  <c r="K85" i="19"/>
  <c r="L85" i="19"/>
  <c r="K86" i="19"/>
  <c r="L86" i="19"/>
  <c r="K87" i="19"/>
  <c r="L87" i="19"/>
  <c r="K88" i="19"/>
  <c r="L88" i="19"/>
  <c r="K89" i="19"/>
  <c r="L89" i="19"/>
  <c r="K90" i="19"/>
  <c r="L90" i="19"/>
  <c r="K91" i="19"/>
  <c r="L91" i="19"/>
  <c r="K92" i="19"/>
  <c r="L92" i="19"/>
  <c r="K93" i="19"/>
  <c r="L93" i="19"/>
  <c r="B60" i="19"/>
  <c r="C60" i="19"/>
  <c r="D60" i="19"/>
  <c r="F60" i="19"/>
  <c r="G60" i="19"/>
  <c r="B29" i="19"/>
  <c r="C29" i="19"/>
  <c r="D29" i="19"/>
  <c r="F29" i="19"/>
  <c r="G29" i="19"/>
  <c r="B30" i="19"/>
  <c r="C30" i="19"/>
  <c r="D30" i="19"/>
  <c r="F30" i="19"/>
  <c r="G30" i="19"/>
  <c r="B31" i="19"/>
  <c r="C31" i="19"/>
  <c r="D31" i="19"/>
  <c r="F31" i="19"/>
  <c r="G31" i="19"/>
  <c r="B32" i="19"/>
  <c r="C32" i="19"/>
  <c r="D32" i="19"/>
  <c r="F32" i="19"/>
  <c r="G32" i="19"/>
  <c r="B33" i="19"/>
  <c r="C33" i="19"/>
  <c r="D33" i="19"/>
  <c r="F33" i="19"/>
  <c r="G33" i="19"/>
  <c r="B34" i="19"/>
  <c r="C34" i="19"/>
  <c r="D34" i="19"/>
  <c r="F34" i="19"/>
  <c r="G34" i="19"/>
  <c r="B35" i="19"/>
  <c r="C35" i="19"/>
  <c r="D35" i="19"/>
  <c r="F35" i="19"/>
  <c r="G35" i="19"/>
  <c r="B36" i="19"/>
  <c r="C36" i="19"/>
  <c r="D36" i="19"/>
  <c r="F36" i="19"/>
  <c r="G36" i="19"/>
  <c r="B37" i="19"/>
  <c r="C37" i="19"/>
  <c r="D37" i="19"/>
  <c r="F37" i="19"/>
  <c r="G37" i="19"/>
  <c r="B38" i="19"/>
  <c r="C38" i="19"/>
  <c r="D38" i="19"/>
  <c r="F38" i="19"/>
  <c r="G38" i="19"/>
  <c r="B39" i="19"/>
  <c r="C39" i="19"/>
  <c r="D39" i="19"/>
  <c r="F39" i="19"/>
  <c r="G39" i="19"/>
  <c r="B40" i="19"/>
  <c r="C40" i="19"/>
  <c r="D40" i="19"/>
  <c r="F40" i="19"/>
  <c r="G40" i="19"/>
  <c r="B41" i="19"/>
  <c r="C41" i="19"/>
  <c r="D41" i="19"/>
  <c r="F41" i="19"/>
  <c r="G41" i="19"/>
  <c r="B42" i="19"/>
  <c r="C42" i="19"/>
  <c r="D42" i="19"/>
  <c r="F42" i="19"/>
  <c r="G42" i="19"/>
  <c r="B43" i="19"/>
  <c r="C43" i="19"/>
  <c r="D43" i="19"/>
  <c r="F43" i="19"/>
  <c r="G43" i="19"/>
  <c r="B44" i="19"/>
  <c r="C44" i="19"/>
  <c r="D44" i="19"/>
  <c r="F44" i="19"/>
  <c r="G44" i="19"/>
  <c r="B45" i="19"/>
  <c r="C45" i="19"/>
  <c r="D45" i="19"/>
  <c r="F45" i="19"/>
  <c r="G45" i="19"/>
  <c r="B46" i="19"/>
  <c r="C46" i="19"/>
  <c r="D46" i="19"/>
  <c r="F46" i="19"/>
  <c r="G46" i="19"/>
  <c r="B47" i="19"/>
  <c r="C47" i="19"/>
  <c r="D47" i="19"/>
  <c r="F47" i="19"/>
  <c r="G47" i="19"/>
  <c r="B48" i="19"/>
  <c r="C48" i="19"/>
  <c r="D48" i="19"/>
  <c r="F48" i="19"/>
  <c r="G48" i="19"/>
  <c r="B49" i="19"/>
  <c r="C49" i="19"/>
  <c r="D49" i="19"/>
  <c r="F49" i="19"/>
  <c r="G49" i="19"/>
  <c r="B50" i="19"/>
  <c r="C50" i="19"/>
  <c r="D50" i="19"/>
  <c r="F50" i="19"/>
  <c r="G50" i="19"/>
  <c r="B51" i="19"/>
  <c r="C51" i="19"/>
  <c r="D51" i="19"/>
  <c r="F51" i="19"/>
  <c r="G51" i="19"/>
  <c r="B52" i="19"/>
  <c r="C52" i="19"/>
  <c r="D52" i="19"/>
  <c r="F52" i="19"/>
  <c r="G52" i="19"/>
  <c r="B53" i="19"/>
  <c r="C53" i="19"/>
  <c r="D53" i="19"/>
  <c r="F53" i="19"/>
  <c r="G53" i="19"/>
  <c r="B54" i="19"/>
  <c r="C54" i="19"/>
  <c r="D54" i="19"/>
  <c r="F54" i="19"/>
  <c r="G54" i="19"/>
  <c r="B55" i="19"/>
  <c r="C55" i="19"/>
  <c r="D55" i="19"/>
  <c r="F55" i="19"/>
  <c r="G55" i="19"/>
  <c r="B56" i="19"/>
  <c r="C56" i="19"/>
  <c r="D56" i="19"/>
  <c r="F56" i="19"/>
  <c r="G56" i="19"/>
  <c r="B57" i="19"/>
  <c r="C57" i="19"/>
  <c r="D57" i="19"/>
  <c r="F57" i="19"/>
  <c r="G57" i="19"/>
  <c r="B58" i="19"/>
  <c r="C58" i="19"/>
  <c r="D58" i="19"/>
  <c r="F58" i="19"/>
  <c r="G58" i="19"/>
  <c r="B59" i="19"/>
  <c r="C59" i="19"/>
  <c r="D59" i="19"/>
  <c r="F59" i="19"/>
  <c r="G59" i="19"/>
  <c r="K28" i="19"/>
  <c r="L28" i="19"/>
  <c r="K29" i="19"/>
  <c r="L29" i="19"/>
  <c r="K30" i="19"/>
  <c r="L30" i="19"/>
  <c r="K31" i="19"/>
  <c r="L31" i="19"/>
  <c r="K32" i="19"/>
  <c r="L32" i="19"/>
  <c r="K33" i="19"/>
  <c r="L33" i="19"/>
  <c r="K34" i="19"/>
  <c r="L34" i="19"/>
  <c r="K35" i="19"/>
  <c r="L35" i="19"/>
  <c r="K36" i="19"/>
  <c r="L36" i="19"/>
  <c r="K37" i="19"/>
  <c r="L37" i="19"/>
  <c r="K38" i="19"/>
  <c r="L38" i="19"/>
  <c r="K39" i="19"/>
  <c r="L39" i="19"/>
  <c r="K40" i="19"/>
  <c r="L40" i="19"/>
  <c r="K41" i="19"/>
  <c r="L41" i="19"/>
  <c r="K42" i="19"/>
  <c r="L42" i="19"/>
  <c r="K43" i="19"/>
  <c r="L43" i="19"/>
  <c r="K44" i="19"/>
  <c r="L44" i="19"/>
  <c r="K45" i="19"/>
  <c r="L45" i="19"/>
  <c r="K46" i="19"/>
  <c r="L46" i="19"/>
  <c r="K47" i="19"/>
  <c r="L47" i="19"/>
  <c r="K48" i="19"/>
  <c r="L48" i="19"/>
  <c r="K49" i="19"/>
  <c r="L49" i="19"/>
  <c r="K50" i="19"/>
  <c r="L50" i="19"/>
  <c r="K51" i="19"/>
  <c r="L51" i="19"/>
  <c r="K52" i="19"/>
  <c r="L52" i="19"/>
  <c r="K53" i="19"/>
  <c r="L53" i="19"/>
  <c r="K54" i="19"/>
  <c r="L54" i="19"/>
  <c r="K55" i="19"/>
  <c r="L55" i="19"/>
  <c r="K56" i="19"/>
  <c r="L56" i="19"/>
  <c r="K57" i="19"/>
  <c r="L57" i="19"/>
  <c r="K58" i="19"/>
  <c r="L58" i="19"/>
  <c r="K59" i="19"/>
  <c r="L59" i="19"/>
  <c r="B28" i="19"/>
  <c r="C28" i="19"/>
  <c r="D28" i="19"/>
  <c r="F28" i="19"/>
  <c r="G28" i="19"/>
  <c r="B3" i="19"/>
  <c r="C3" i="19"/>
  <c r="D3" i="19"/>
  <c r="F3" i="19"/>
  <c r="G3" i="19"/>
  <c r="B4" i="19"/>
  <c r="C4" i="19"/>
  <c r="D4" i="19"/>
  <c r="F4" i="19"/>
  <c r="G4" i="19"/>
  <c r="B5" i="19"/>
  <c r="C5" i="19"/>
  <c r="D5" i="19"/>
  <c r="F5" i="19"/>
  <c r="G5" i="19"/>
  <c r="B6" i="19"/>
  <c r="C6" i="19"/>
  <c r="D6" i="19"/>
  <c r="F6" i="19"/>
  <c r="G6" i="19"/>
  <c r="B7" i="19"/>
  <c r="C7" i="19"/>
  <c r="D7" i="19"/>
  <c r="F7" i="19"/>
  <c r="G7" i="19"/>
  <c r="B8" i="19"/>
  <c r="C8" i="19"/>
  <c r="D8" i="19"/>
  <c r="F8" i="19"/>
  <c r="G8" i="19"/>
  <c r="B9" i="19"/>
  <c r="C9" i="19"/>
  <c r="D9" i="19"/>
  <c r="F9" i="19"/>
  <c r="G9" i="19"/>
  <c r="B10" i="19"/>
  <c r="C10" i="19"/>
  <c r="D10" i="19"/>
  <c r="F10" i="19"/>
  <c r="G10" i="19"/>
  <c r="B11" i="19"/>
  <c r="C11" i="19"/>
  <c r="D11" i="19"/>
  <c r="F11" i="19"/>
  <c r="G11" i="19"/>
  <c r="B12" i="19"/>
  <c r="C12" i="19"/>
  <c r="D12" i="19"/>
  <c r="F12" i="19"/>
  <c r="G12" i="19"/>
  <c r="B13" i="19"/>
  <c r="C13" i="19"/>
  <c r="D13" i="19"/>
  <c r="F13" i="19"/>
  <c r="G13" i="19"/>
  <c r="B14" i="19"/>
  <c r="C14" i="19"/>
  <c r="D14" i="19"/>
  <c r="F14" i="19"/>
  <c r="G14" i="19"/>
  <c r="B15" i="19"/>
  <c r="C15" i="19"/>
  <c r="D15" i="19"/>
  <c r="F15" i="19"/>
  <c r="G15" i="19"/>
  <c r="B16" i="19"/>
  <c r="C16" i="19"/>
  <c r="D16" i="19"/>
  <c r="F16" i="19"/>
  <c r="G16" i="19"/>
  <c r="B17" i="19"/>
  <c r="C17" i="19"/>
  <c r="D17" i="19"/>
  <c r="F17" i="19"/>
  <c r="G17" i="19"/>
  <c r="B18" i="19"/>
  <c r="C18" i="19"/>
  <c r="D18" i="19"/>
  <c r="F18" i="19"/>
  <c r="G18" i="19"/>
  <c r="B19" i="19"/>
  <c r="C19" i="19"/>
  <c r="D19" i="19"/>
  <c r="F19" i="19"/>
  <c r="G19" i="19"/>
  <c r="B20" i="19"/>
  <c r="C20" i="19"/>
  <c r="D20" i="19"/>
  <c r="F20" i="19"/>
  <c r="G20" i="19"/>
  <c r="B21" i="19"/>
  <c r="C21" i="19"/>
  <c r="D21" i="19"/>
  <c r="F21" i="19"/>
  <c r="G21" i="19"/>
  <c r="B22" i="19"/>
  <c r="C22" i="19"/>
  <c r="D22" i="19"/>
  <c r="F22" i="19"/>
  <c r="G22" i="19"/>
  <c r="B23" i="19"/>
  <c r="C23" i="19"/>
  <c r="D23" i="19"/>
  <c r="F23" i="19"/>
  <c r="G23" i="19"/>
  <c r="B24" i="19"/>
  <c r="C24" i="19"/>
  <c r="D24" i="19"/>
  <c r="F24" i="19"/>
  <c r="G24" i="19"/>
  <c r="B25" i="19"/>
  <c r="C25" i="19"/>
  <c r="D25" i="19"/>
  <c r="F25" i="19"/>
  <c r="G25" i="19"/>
  <c r="B26" i="19"/>
  <c r="C26" i="19"/>
  <c r="D26" i="19"/>
  <c r="F26" i="19"/>
  <c r="G26" i="19"/>
  <c r="B27" i="19"/>
  <c r="C27" i="19"/>
  <c r="D27" i="19"/>
  <c r="F27" i="19"/>
  <c r="G27" i="19"/>
  <c r="K27" i="19"/>
  <c r="L27" i="19"/>
  <c r="K3" i="19"/>
  <c r="L3" i="19"/>
  <c r="K4" i="19"/>
  <c r="L4" i="19"/>
  <c r="K5" i="19"/>
  <c r="L5" i="19"/>
  <c r="K6" i="19"/>
  <c r="L6" i="19"/>
  <c r="K7" i="19"/>
  <c r="L7" i="19"/>
  <c r="K8" i="19"/>
  <c r="L8" i="19"/>
  <c r="K9" i="19"/>
  <c r="L9" i="19"/>
  <c r="K10" i="19"/>
  <c r="L10" i="19"/>
  <c r="K11" i="19"/>
  <c r="L11" i="19"/>
  <c r="K12" i="19"/>
  <c r="L12" i="19"/>
  <c r="K13" i="19"/>
  <c r="L13" i="19"/>
  <c r="K14" i="19"/>
  <c r="L14" i="19"/>
  <c r="K15" i="19"/>
  <c r="L15" i="19"/>
  <c r="K16" i="19"/>
  <c r="L16" i="19"/>
  <c r="K17" i="19"/>
  <c r="L17" i="19"/>
  <c r="K18" i="19"/>
  <c r="L18" i="19"/>
  <c r="K19" i="19"/>
  <c r="L19" i="19"/>
  <c r="K20" i="19"/>
  <c r="L20" i="19"/>
  <c r="K21" i="19"/>
  <c r="L21" i="19"/>
  <c r="K22" i="19"/>
  <c r="L22" i="19"/>
  <c r="K23" i="19"/>
  <c r="L23" i="19"/>
  <c r="K24" i="19"/>
  <c r="L24" i="19"/>
  <c r="K25" i="19"/>
  <c r="L25" i="19"/>
  <c r="K26" i="19"/>
  <c r="L26" i="19"/>
  <c r="K2" i="19"/>
  <c r="C12" i="16"/>
  <c r="L2" i="19"/>
  <c r="B2" i="21"/>
  <c r="I2" i="21"/>
  <c r="J2" i="21"/>
  <c r="G2" i="21"/>
  <c r="F2" i="21"/>
  <c r="D2" i="21"/>
  <c r="C2" i="21"/>
  <c r="E12" i="16"/>
  <c r="C10" i="16"/>
  <c r="C11" i="16"/>
  <c r="E11" i="16"/>
  <c r="B2" i="19"/>
  <c r="G2" i="19"/>
  <c r="F2" i="19"/>
  <c r="D2" i="19"/>
  <c r="C2" i="19"/>
  <c r="E10" i="16"/>
  <c r="A2" i="18"/>
  <c r="C2" i="18"/>
  <c r="D2" i="18"/>
  <c r="C4" i="16"/>
  <c r="C5" i="16"/>
  <c r="C6" i="16"/>
  <c r="C7" i="16"/>
  <c r="C8" i="16"/>
  <c r="C9" i="16"/>
  <c r="C3" i="16"/>
  <c r="E9" i="16"/>
  <c r="Y2" i="1"/>
  <c r="X2" i="1"/>
  <c r="AD3" i="1"/>
  <c r="AG3" i="1"/>
  <c r="AF3" i="1"/>
  <c r="AE3" i="1"/>
  <c r="AD2" i="1"/>
  <c r="AG2" i="1"/>
  <c r="AF2" i="1"/>
  <c r="AE2" i="1"/>
  <c r="AC3" i="1"/>
  <c r="AC2" i="1"/>
  <c r="Q3" i="1"/>
  <c r="P3" i="1"/>
  <c r="O3" i="1"/>
  <c r="N3" i="1"/>
  <c r="M3" i="1"/>
  <c r="Q2" i="1"/>
  <c r="P2" i="1"/>
  <c r="O2" i="1"/>
  <c r="N2" i="1"/>
  <c r="M2" i="1"/>
  <c r="AI2" i="1"/>
  <c r="E8" i="16"/>
  <c r="E7" i="16"/>
  <c r="E6" i="16"/>
  <c r="E5" i="16"/>
  <c r="E4" i="16"/>
  <c r="E3" i="16"/>
  <c r="E2" i="16"/>
  <c r="A3" i="1"/>
  <c r="A2" i="1"/>
  <c r="AI3" i="1"/>
  <c r="J3" i="1"/>
  <c r="I3" i="1"/>
  <c r="D3" i="1"/>
  <c r="F3" i="1"/>
  <c r="E3" i="1"/>
  <c r="J2" i="1"/>
  <c r="I2" i="1"/>
  <c r="D2" i="2"/>
  <c r="E2" i="2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<sst xmlns="http://schemas.openxmlformats.org/spreadsheetml/2006/main" count="709" uniqueCount="261">
  <si>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</si>
  <si>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</si>
  <si>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</si>
  <si>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</si>
  <si>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</si>
  <si>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</si>
  <si>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</si>
  <si>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</si>
  <si>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</si>
  <si>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</si>
  <si>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</si>
  <si>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</si>
  <si>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</si>
  <si>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</si>
  <si>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</si>
  <si>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</si>
  <si>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</si>
  <si>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</si>
  <si>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</si>
  <si>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</si>
  <si>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</si>
  <si>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</si>
  <si>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</si>
  <si>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</si>
  <si>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</si>
  <si>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</si>
  <si>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</si>
  <si>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</si>
  <si>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</si>
  <si>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</si>
  <si>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</si>
  <si>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</si>
  <si>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</si>
  <si>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</si>
  <si>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</si>
  <si>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</si>
  <si>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</si>
  <si>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</si>
  <si>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</si>
  <si>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</si>
  <si>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</si>
  <si>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</si>
  <si>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</si>
  <si>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</si>
  <si>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</si>
  <si>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</si>
  <si>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</si>
  <si>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</si>
  <si>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</si>
  <si>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</si>
  <si>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</si>
  <si>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</si>
  <si>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</si>
  <si>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</si>
  <si>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</si>
  <si>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</si>
  <si>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</si>
  <si>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</si>
  <si>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</si>
  <si>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</si>
  <si>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</si>
  <si>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</si>
  <si>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</si>
  <si>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</si>
  <si>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</si>
  <si>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</si>
  <si>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</si>
  <si>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</si>
  <si>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</si>
  <si>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</si>
  <si>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</si>
  <si>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</si>
  <si>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</si>
  <si>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</si>
  <si>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</si>
  <si>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</si>
  <si>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</si>
  <si>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</si>
  <si>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</si>
  <si>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</si>
  <si>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</si>
  <si>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</si>
  <si>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</si>
  <si>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</si>
  <si>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</si>
  <si>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</si>
  <si>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</si>
  <si>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</si>
  <si>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</si>
  <si>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</si>
  <si>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</si>
  <si>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</si>
  <si>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</si>
  <si>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</si>
  <si>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</si>
  <si>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</si>
  <si>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</si>
  <si>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</si>
  <si>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</si>
  <si>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</si>
  <si>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</si>
  <si>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</si>
  <si>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</si>
  <si>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</si>
  <si>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</si>
  <si>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</si>
  <si>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</si>
  <si>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</si>
  <si>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</si>
  <si>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</si>
  <si>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</si>
  <si>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</si>
  <si>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</si>
  <si>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</si>
  <si>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</si>
  <si>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</si>
  <si>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</si>
  <si>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</si>
  <si>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</si>
  <si>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</si>
  <si>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</si>
  <si>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</si>
  <si>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</si>
  <si>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</si>
  <si>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</si>
  <si>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</si>
  <si>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</si>
  <si>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</si>
  <si>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</si>
  <si>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</si>
  <si>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</si>
  <si>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</si>
  <si>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</si>
  <si>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</si>
  <si>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</si>
  <si>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</si>
  <si>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</si>
  <si>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</si>
  <si>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</si>
  <si>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</si>
  <si>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</si>
  <si>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</si>
  <si>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</si>
  <si>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</si>
  <si>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</si>
  <si>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</si>
  <si>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</si>
  <si>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</si>
  <si>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</si>
  <si>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</si>
  <si>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</si>
  <si>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</si>
  <si>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</si>
  <si>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</si>
  <si>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</si>
  <si>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</si>
  <si>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</si>
  <si>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</si>
  <si>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</si>
  <si>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</si>
  <si>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</si>
  <si>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</si>
  <si>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</si>
  <si>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</si>
  <si>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</si>
  <si>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</si>
  <si>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</si>
  <si>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null</t>
    <phoneticPr fontId="5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</si>
  <si>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</si>
  <si>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</si>
  <si>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</si>
  <si>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</si>
  <si>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</si>
  <si>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</si>
  <si>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</si>
  <si>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</si>
  <si>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</si>
  <si>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</si>
  <si>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</si>
  <si>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</si>
  <si>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</si>
  <si>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</si>
  <si>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</si>
  <si>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</si>
  <si>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</si>
  <si>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</si>
  <si>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skip</t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</si>
  <si>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</si>
  <si>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</si>
  <si>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</si>
  <si>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</si>
  <si>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</si>
  <si>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</si>
  <si>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</si>
  <si>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</si>
  <si>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</si>
  <si>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</si>
  <si>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</si>
  <si>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</si>
  <si>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</si>
  <si>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complete</t>
  </si>
  <si>
    <t>敵が強すぎます</t>
    <rPh sb="0" eb="2">
      <t>テk</t>
    </rPh>
    <rPh sb="2" eb="7">
      <t>ツヨs</t>
    </rPh>
    <phoneticPr fontId="5"/>
  </si>
  <si>
    <t>stage_hints_data_c_</t>
    <phoneticPr fontId="5"/>
  </si>
  <si>
    <t>stage_hints_data_f_</t>
    <phoneticPr fontId="5"/>
  </si>
  <si>
    <t>skip</t>
    <phoneticPr fontId="7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</si>
  <si>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</si>
  <si>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</si>
  <si>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</si>
  <si>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</si>
  <si>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</si>
  <si>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</si>
  <si>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</si>
  <si>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NULL</t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</si>
  <si>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</si>
  <si>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</si>
  <si>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</si>
  <si>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</si>
  <si>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</si>
  <si>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</si>
  <si>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</si>
  <si>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</si>
  <si>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</si>
  <si>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</si>
  <si>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</si>
  <si>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</si>
  <si>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</si>
  <si>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</si>
  <si>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</si>
  <si>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</si>
  <si>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everyone</t>
    <phoneticPr fontId="5"/>
  </si>
  <si>
    <t>clear</t>
    <phoneticPr fontId="5"/>
  </si>
  <si>
    <t>unit</t>
    <phoneticPr fontId="5"/>
  </si>
  <si>
    <t>2016-5-27 0:00:00</t>
    <phoneticPr fontId="5"/>
  </si>
  <si>
    <t>2970-01-01 09:00:00</t>
    <phoneticPr fontId="5"/>
  </si>
  <si>
    <t>no_continue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</si>
  <si>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</si>
  <si>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</si>
  <si>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</si>
  <si>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</si>
  <si>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</si>
  <si>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</si>
  <si>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</si>
  <si>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</si>
  <si>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</si>
  <si>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</si>
  <si>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</si>
  <si>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</si>
  <si>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</si>
  <si>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</si>
  <si>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</si>
  <si>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</si>
  <si>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</si>
  <si>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</si>
  <si>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</si>
  <si>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</si>
  <si>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</si>
  <si>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skip</t>
    <phoneticPr fontId="7"/>
  </si>
  <si>
    <t>hp</t>
    <phoneticPr fontId="5"/>
  </si>
  <si>
    <t>attack</t>
    <phoneticPr fontId="5"/>
  </si>
  <si>
    <t>old</t>
  </si>
  <si>
    <t>null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</si>
</sst>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2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</fonts>
  <fills count="32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</borders>
  <cellStyleXfs count="69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7" applyNumberFormat="0" applyAlignment="0" applyProtection="0"/>
    <xf numFmtId="0" fontId="33" fillId="17" borderId="0" applyNumberFormat="0" applyBorder="0" applyAlignment="0" applyProtection="0"/>
    <xf numFmtId="0" fontId="34" fillId="18" borderId="8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9" applyNumberFormat="0" applyAlignment="0" applyProtection="0"/>
    <xf numFmtId="0" fontId="38" fillId="0" borderId="0" applyNumberFormat="0" applyFill="0" applyBorder="0" applyAlignment="0" applyProtection="0"/>
    <xf numFmtId="0" fontId="39" fillId="0" borderId="10" applyNumberFormat="0" applyFill="0" applyAlignment="0" applyProtection="0"/>
    <xf numFmtId="0" fontId="40" fillId="0" borderId="11" applyNumberFormat="0" applyFill="0" applyAlignment="0" applyProtection="0"/>
    <xf numFmtId="0" fontId="41" fillId="0" borderId="12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3" applyNumberFormat="0" applyFill="0" applyAlignment="0" applyProtection="0"/>
    <xf numFmtId="0" fontId="46" fillId="18" borderId="14" applyNumberFormat="0" applyAlignment="0" applyProtection="0"/>
    <xf numFmtId="0" fontId="46" fillId="29" borderId="14" applyNumberFormat="0" applyAlignment="0" applyProtection="0"/>
    <xf numFmtId="0" fontId="34" fillId="17" borderId="8" applyNumberFormat="0" applyAlignment="0" applyProtection="0"/>
    <xf numFmtId="0" fontId="47" fillId="0" borderId="15" applyNumberFormat="0" applyFill="0" applyAlignment="0" applyProtection="0"/>
    <xf numFmtId="0" fontId="48" fillId="29" borderId="8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16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05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3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3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vertical="center"/>
    </xf>
    <xf numFmtId="0" fontId="4" fillId="2" borderId="3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3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4" xfId="0" applyFont="1" applyFill="1" applyBorder="1" applyAlignment="1">
      <alignment horizontal="left" vertical="center"/>
    </xf>
    <xf numFmtId="0" fontId="4" fillId="3" borderId="5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3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3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3" xfId="0" applyFont="1" applyFill="1" applyBorder="1" applyAlignment="1">
      <alignment horizontal="center" vertical="center"/>
    </xf>
    <xf numFmtId="0" fontId="16" fillId="3" borderId="3" xfId="0" applyFont="1" applyFill="1" applyBorder="1" applyAlignment="1">
      <alignment horizontal="center" vertical="center"/>
    </xf>
    <xf numFmtId="0" fontId="11" fillId="6" borderId="3" xfId="0" applyFont="1" applyFill="1" applyBorder="1" applyAlignment="1">
      <alignment horizontal="center" vertical="center"/>
    </xf>
    <xf numFmtId="0" fontId="11" fillId="3" borderId="3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0" borderId="0" xfId="0" applyFont="1" applyFill="1" applyAlignment="1">
      <alignment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3" xfId="0" applyFont="1" applyFill="1" applyBorder="1"/>
    <xf numFmtId="0" fontId="0" fillId="11" borderId="3" xfId="0" applyFill="1" applyBorder="1"/>
    <xf numFmtId="0" fontId="0" fillId="0" borderId="3" xfId="0" applyBorder="1"/>
    <xf numFmtId="0" fontId="0" fillId="6" borderId="3" xfId="0" applyFill="1" applyBorder="1"/>
    <xf numFmtId="0" fontId="26" fillId="12" borderId="3" xfId="0" applyFont="1" applyFill="1" applyBorder="1"/>
    <xf numFmtId="0" fontId="13" fillId="11" borderId="3" xfId="434" applyFont="1" applyFill="1" applyBorder="1" applyAlignment="1"/>
    <xf numFmtId="0" fontId="24" fillId="0" borderId="3" xfId="434" applyBorder="1" applyAlignment="1"/>
    <xf numFmtId="0" fontId="0" fillId="13" borderId="3" xfId="0" applyFill="1" applyBorder="1"/>
    <xf numFmtId="0" fontId="16" fillId="6" borderId="3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3" xfId="615" applyFont="1" applyFill="1" applyBorder="1"/>
    <xf numFmtId="0" fontId="0" fillId="0" borderId="3" xfId="615" applyFont="1" applyBorder="1"/>
    <xf numFmtId="0" fontId="2" fillId="11" borderId="3" xfId="615" applyFill="1" applyBorder="1"/>
    <xf numFmtId="0" fontId="0" fillId="3" borderId="3" xfId="0" applyFill="1" applyBorder="1"/>
    <xf numFmtId="0" fontId="16" fillId="3" borderId="3" xfId="614" applyFont="1" applyFill="1" applyBorder="1" applyAlignment="1">
      <alignment horizontal="left"/>
    </xf>
    <xf numFmtId="0" fontId="16" fillId="6" borderId="3" xfId="0" applyFont="1" applyFill="1" applyBorder="1" applyAlignment="1">
      <alignment horizontal="center"/>
    </xf>
    <xf numFmtId="56" fontId="16" fillId="6" borderId="3" xfId="0" applyNumberFormat="1" applyFont="1" applyFill="1" applyBorder="1" applyAlignment="1">
      <alignment horizontal="center"/>
    </xf>
    <xf numFmtId="0" fontId="2" fillId="0" borderId="0" xfId="615"/>
    <xf numFmtId="0" fontId="27" fillId="6" borderId="3" xfId="0" applyFont="1" applyFill="1" applyBorder="1" applyAlignment="1">
      <alignment horizontal="center"/>
    </xf>
    <xf numFmtId="0" fontId="16" fillId="3" borderId="3" xfId="0" applyFont="1" applyFill="1" applyBorder="1" applyAlignment="1">
      <alignment horizontal="center"/>
    </xf>
    <xf numFmtId="0" fontId="16" fillId="14" borderId="3" xfId="0" applyFont="1" applyFill="1" applyBorder="1" applyAlignment="1">
      <alignment horizontal="center"/>
    </xf>
    <xf numFmtId="0" fontId="16" fillId="15" borderId="3" xfId="0" applyFont="1" applyFill="1" applyBorder="1" applyAlignment="1">
      <alignment horizontal="center"/>
    </xf>
    <xf numFmtId="0" fontId="0" fillId="15" borderId="3" xfId="0" applyFill="1" applyBorder="1"/>
    <xf numFmtId="0" fontId="27" fillId="0" borderId="3" xfId="0" applyFont="1" applyFill="1" applyBorder="1"/>
    <xf numFmtId="0" fontId="28" fillId="0" borderId="3" xfId="0" applyFont="1" applyFill="1" applyBorder="1"/>
    <xf numFmtId="0" fontId="29" fillId="3" borderId="6" xfId="0" applyFont="1" applyFill="1" applyBorder="1" applyAlignment="1">
      <alignment vertical="center"/>
    </xf>
    <xf numFmtId="0" fontId="30" fillId="0" borderId="3" xfId="0" applyFont="1" applyFill="1" applyBorder="1"/>
    <xf numFmtId="0" fontId="29" fillId="0" borderId="6" xfId="0" applyFont="1" applyFill="1" applyBorder="1" applyAlignment="1">
      <alignment vertical="center"/>
    </xf>
    <xf numFmtId="0" fontId="30" fillId="14" borderId="3" xfId="0" applyFont="1" applyFill="1" applyBorder="1"/>
    <xf numFmtId="0" fontId="31" fillId="0" borderId="3" xfId="0" applyFont="1" applyFill="1" applyBorder="1"/>
    <xf numFmtId="38" fontId="16" fillId="0" borderId="3" xfId="628" applyFont="1" applyFill="1" applyBorder="1" applyAlignment="1"/>
    <xf numFmtId="0" fontId="27" fillId="0" borderId="0" xfId="0" applyFont="1" applyFill="1"/>
    <xf numFmtId="0" fontId="16" fillId="30" borderId="3" xfId="0" applyFont="1" applyFill="1" applyBorder="1" applyAlignment="1">
      <alignment horizontal="center"/>
    </xf>
    <xf numFmtId="0" fontId="30" fillId="30" borderId="3" xfId="0" applyFont="1" applyFill="1" applyBorder="1"/>
    <xf numFmtId="0" fontId="16" fillId="13" borderId="3" xfId="0" applyFont="1" applyFill="1" applyBorder="1" applyAlignment="1">
      <alignment horizontal="center"/>
    </xf>
    <xf numFmtId="56" fontId="16" fillId="14" borderId="3" xfId="0" applyNumberFormat="1" applyFont="1" applyFill="1" applyBorder="1" applyAlignment="1">
      <alignment horizontal="center"/>
    </xf>
    <xf numFmtId="0" fontId="31" fillId="14" borderId="3" xfId="0" applyFont="1" applyFill="1" applyBorder="1"/>
    <xf numFmtId="38" fontId="16" fillId="14" borderId="3" xfId="628" applyFont="1" applyFill="1" applyBorder="1" applyAlignment="1"/>
    <xf numFmtId="0" fontId="16" fillId="6" borderId="3" xfId="11" applyFont="1" applyFill="1" applyBorder="1" applyAlignment="1">
      <alignment horizontal="left"/>
    </xf>
    <xf numFmtId="0" fontId="26" fillId="0" borderId="0" xfId="0" applyFont="1"/>
    <xf numFmtId="0" fontId="13" fillId="7" borderId="0" xfId="0" applyFont="1" applyFill="1" applyAlignment="1">
      <alignment horizontal="center"/>
    </xf>
    <xf numFmtId="0" fontId="51" fillId="6" borderId="3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3" xfId="0" applyFont="1" applyFill="1" applyBorder="1"/>
    <xf numFmtId="22" fontId="30" fillId="0" borderId="3" xfId="0" quotePrefix="1" applyNumberFormat="1" applyFont="1" applyFill="1" applyBorder="1"/>
    <xf numFmtId="0" fontId="30" fillId="0" borderId="3" xfId="0" quotePrefix="1" applyFont="1" applyFill="1" applyBorder="1"/>
    <xf numFmtId="0" fontId="2" fillId="0" borderId="3" xfId="615" applyBorder="1"/>
    <xf numFmtId="0" fontId="2" fillId="6" borderId="3" xfId="615" applyFill="1" applyBorder="1"/>
    <xf numFmtId="0" fontId="4" fillId="31" borderId="3" xfId="0" applyFont="1" applyFill="1" applyBorder="1" applyAlignment="1">
      <alignment horizontal="left" vertical="center"/>
    </xf>
    <xf numFmtId="1" fontId="32" fillId="31" borderId="3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4" fillId="0" borderId="3" xfId="0" applyFont="1" applyFill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0" borderId="3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left" vertical="center"/>
    </xf>
    <xf numFmtId="0" fontId="4" fillId="6" borderId="2" xfId="0" applyFont="1" applyFill="1" applyBorder="1" applyAlignment="1">
      <alignment horizontal="left" vertical="center"/>
    </xf>
    <xf numFmtId="0" fontId="4" fillId="3" borderId="17" xfId="0" applyFont="1" applyFill="1" applyBorder="1" applyAlignment="1">
      <alignment horizontal="left" vertical="center"/>
    </xf>
    <xf numFmtId="0" fontId="4" fillId="3" borderId="18" xfId="0" applyFont="1" applyFill="1" applyBorder="1" applyAlignment="1">
      <alignment horizontal="left" vertical="center"/>
    </xf>
    <xf numFmtId="0" fontId="4" fillId="31" borderId="2" xfId="0" applyFont="1" applyFill="1" applyBorder="1" applyAlignment="1">
      <alignment horizontal="left" vertical="center"/>
    </xf>
    <xf numFmtId="0" fontId="6" fillId="4" borderId="2" xfId="0" applyFont="1" applyFill="1" applyBorder="1" applyAlignment="1">
      <alignment horizontal="left" vertical="center"/>
    </xf>
    <xf numFmtId="0" fontId="12" fillId="7" borderId="3" xfId="0" applyFont="1" applyFill="1" applyBorder="1" applyAlignment="1">
      <alignment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8" fillId="0" borderId="3" xfId="0" applyFont="1" applyBorder="1" applyAlignment="1">
      <alignment vertical="center"/>
    </xf>
    <xf numFmtId="177" fontId="8" fillId="0" borderId="3" xfId="0" applyNumberFormat="1" applyFont="1" applyBorder="1" applyAlignment="1">
      <alignment vertical="center"/>
    </xf>
    <xf numFmtId="0" fontId="4" fillId="0" borderId="3" xfId="0" applyFont="1" applyBorder="1" applyAlignment="1">
      <alignment vertical="center"/>
    </xf>
  </cellXfs>
  <cellStyles count="69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赤字強調" xfId="431"/>
    <cellStyle name="青字強調" xfId="43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externalLink" Target="externalLinks/externalLink6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11207</v>
          </cell>
        </row>
        <row r="67">
          <cell r="A67">
            <v>11208</v>
          </cell>
        </row>
        <row r="68">
          <cell r="A68">
            <v>11209</v>
          </cell>
        </row>
        <row r="69">
          <cell r="A69">
            <v>11210</v>
          </cell>
        </row>
        <row r="70">
          <cell r="A70">
            <v>11211</v>
          </cell>
        </row>
        <row r="71">
          <cell r="A71">
            <v>11212</v>
          </cell>
        </row>
        <row r="72">
          <cell r="A72">
            <v>11213</v>
          </cell>
        </row>
        <row r="73">
          <cell r="A73">
            <v>11214</v>
          </cell>
        </row>
        <row r="74">
          <cell r="A74">
            <v>11215</v>
          </cell>
        </row>
        <row r="75">
          <cell r="A75">
            <v>11216</v>
          </cell>
        </row>
        <row r="76">
          <cell r="A76">
            <v>11217</v>
          </cell>
        </row>
        <row r="77">
          <cell r="A77">
            <v>11218</v>
          </cell>
        </row>
        <row r="78">
          <cell r="A78">
            <v>11219</v>
          </cell>
        </row>
        <row r="79">
          <cell r="A79">
            <v>11220</v>
          </cell>
        </row>
        <row r="80">
          <cell r="A80">
            <v>11221</v>
          </cell>
        </row>
        <row r="81">
          <cell r="A81">
            <v>11224</v>
          </cell>
        </row>
        <row r="82">
          <cell r="A82">
            <v>11225</v>
          </cell>
        </row>
        <row r="83">
          <cell r="A83">
            <v>11226</v>
          </cell>
        </row>
        <row r="84">
          <cell r="A84">
            <v>12001</v>
          </cell>
        </row>
        <row r="85">
          <cell r="A85">
            <v>12002</v>
          </cell>
        </row>
        <row r="86">
          <cell r="A86">
            <v>12003</v>
          </cell>
        </row>
        <row r="87">
          <cell r="A87">
            <v>12004</v>
          </cell>
        </row>
        <row r="88">
          <cell r="A88">
            <v>13001</v>
          </cell>
        </row>
        <row r="89">
          <cell r="A89">
            <v>14001</v>
          </cell>
        </row>
        <row r="90">
          <cell r="A90">
            <v>14002</v>
          </cell>
        </row>
        <row r="91">
          <cell r="A91">
            <v>14003</v>
          </cell>
        </row>
        <row r="92">
          <cell r="A92">
            <v>14004</v>
          </cell>
        </row>
        <row r="93">
          <cell r="A93">
            <v>14005</v>
          </cell>
        </row>
        <row r="94">
          <cell r="A94">
            <v>14006</v>
          </cell>
        </row>
        <row r="95">
          <cell r="A95">
            <v>15027</v>
          </cell>
        </row>
        <row r="96">
          <cell r="A96">
            <v>15028</v>
          </cell>
        </row>
        <row r="97">
          <cell r="A97">
            <v>15029</v>
          </cell>
        </row>
        <row r="98">
          <cell r="A98">
            <v>15030</v>
          </cell>
        </row>
        <row r="99">
          <cell r="A99">
            <v>15031</v>
          </cell>
        </row>
        <row r="100">
          <cell r="A100">
            <v>20001</v>
          </cell>
        </row>
        <row r="101">
          <cell r="A101">
            <v>20002</v>
          </cell>
        </row>
        <row r="102">
          <cell r="A102">
            <v>20003</v>
          </cell>
        </row>
        <row r="103">
          <cell r="A103">
            <v>20004</v>
          </cell>
        </row>
        <row r="104">
          <cell r="A104">
            <v>20005</v>
          </cell>
        </row>
        <row r="105">
          <cell r="A105">
            <v>20006</v>
          </cell>
        </row>
        <row r="106">
          <cell r="A106">
            <v>20007</v>
          </cell>
        </row>
        <row r="107">
          <cell r="A107">
            <v>20008</v>
          </cell>
        </row>
        <row r="108">
          <cell r="A108">
            <v>20009</v>
          </cell>
        </row>
        <row r="109">
          <cell r="A109">
            <v>20010</v>
          </cell>
        </row>
        <row r="110">
          <cell r="A110">
            <v>20011</v>
          </cell>
        </row>
        <row r="111">
          <cell r="A111">
            <v>20012</v>
          </cell>
        </row>
        <row r="112">
          <cell r="A112">
            <v>20013</v>
          </cell>
        </row>
        <row r="113">
          <cell r="A113">
            <v>20014</v>
          </cell>
        </row>
        <row r="114">
          <cell r="A114">
            <v>20015</v>
          </cell>
        </row>
        <row r="115">
          <cell r="A115">
            <v>20016</v>
          </cell>
        </row>
        <row r="116">
          <cell r="A116">
            <v>20017</v>
          </cell>
        </row>
        <row r="117">
          <cell r="A117">
            <v>20018</v>
          </cell>
        </row>
        <row r="118">
          <cell r="A118">
            <v>20019</v>
          </cell>
        </row>
        <row r="119">
          <cell r="A119">
            <v>30001</v>
          </cell>
        </row>
        <row r="120">
          <cell r="A120">
            <v>30002</v>
          </cell>
        </row>
        <row r="121">
          <cell r="A121">
            <v>30003</v>
          </cell>
        </row>
        <row r="122">
          <cell r="A122">
            <v>30004</v>
          </cell>
        </row>
        <row r="123">
          <cell r="A123">
            <v>30005</v>
          </cell>
        </row>
        <row r="124">
          <cell r="A124">
            <v>30006</v>
          </cell>
        </row>
        <row r="125">
          <cell r="A125">
            <v>30007</v>
          </cell>
        </row>
        <row r="126">
          <cell r="A126">
            <v>30008</v>
          </cell>
        </row>
        <row r="127">
          <cell r="A127">
            <v>30009</v>
          </cell>
        </row>
        <row r="128">
          <cell r="A128">
            <v>30010</v>
          </cell>
        </row>
        <row r="129">
          <cell r="A129">
            <v>30011</v>
          </cell>
        </row>
        <row r="130">
          <cell r="A130">
            <v>30012</v>
          </cell>
        </row>
        <row r="131">
          <cell r="A131">
            <v>30013</v>
          </cell>
        </row>
        <row r="132">
          <cell r="A132">
            <v>30014</v>
          </cell>
        </row>
        <row r="133">
          <cell r="A133">
            <v>30015</v>
          </cell>
        </row>
        <row r="134">
          <cell r="A134">
            <v>30016</v>
          </cell>
        </row>
        <row r="135">
          <cell r="A135">
            <v>30017</v>
          </cell>
        </row>
        <row r="136">
          <cell r="A136">
            <v>30018</v>
          </cell>
        </row>
        <row r="137">
          <cell r="A137">
            <v>30019</v>
          </cell>
        </row>
        <row r="138">
          <cell r="A138">
            <v>30020</v>
          </cell>
        </row>
        <row r="139">
          <cell r="A139">
            <v>30021</v>
          </cell>
        </row>
        <row r="140">
          <cell r="A140">
            <v>30022</v>
          </cell>
        </row>
        <row r="141">
          <cell r="A141">
            <v>30023</v>
          </cell>
        </row>
        <row r="142">
          <cell r="A142">
            <v>30024</v>
          </cell>
        </row>
        <row r="143">
          <cell r="A143">
            <v>30025</v>
          </cell>
        </row>
        <row r="144">
          <cell r="A144">
            <v>30026</v>
          </cell>
        </row>
        <row r="145">
          <cell r="A145">
            <v>30027</v>
          </cell>
        </row>
        <row r="146">
          <cell r="A146">
            <v>30028</v>
          </cell>
        </row>
        <row r="147">
          <cell r="A147">
            <v>30029</v>
          </cell>
        </row>
        <row r="148">
          <cell r="A148">
            <v>30030</v>
          </cell>
        </row>
        <row r="149">
          <cell r="A149">
            <v>30031</v>
          </cell>
        </row>
        <row r="150">
          <cell r="A150">
            <v>30032</v>
          </cell>
        </row>
        <row r="151">
          <cell r="A151">
            <v>30033</v>
          </cell>
        </row>
        <row r="152">
          <cell r="A152">
            <v>30034</v>
          </cell>
        </row>
        <row r="153">
          <cell r="A153">
            <v>30035</v>
          </cell>
        </row>
        <row r="154">
          <cell r="A154">
            <v>30036</v>
          </cell>
        </row>
        <row r="155">
          <cell r="A155">
            <v>30037</v>
          </cell>
        </row>
        <row r="156">
          <cell r="A156">
            <v>30038</v>
          </cell>
        </row>
        <row r="157">
          <cell r="A157">
            <v>39001</v>
          </cell>
        </row>
        <row r="158">
          <cell r="A158">
            <v>39002</v>
          </cell>
        </row>
        <row r="159">
          <cell r="A159">
            <v>39003</v>
          </cell>
        </row>
        <row r="160">
          <cell r="A160">
            <v>39004</v>
          </cell>
        </row>
        <row r="161">
          <cell r="A161">
            <v>39005</v>
          </cell>
        </row>
        <row r="162">
          <cell r="A162">
            <v>39006</v>
          </cell>
        </row>
        <row r="163">
          <cell r="A163">
            <v>40001</v>
          </cell>
        </row>
        <row r="164">
          <cell r="A164">
            <v>40002</v>
          </cell>
        </row>
        <row r="165">
          <cell r="A165">
            <v>40003</v>
          </cell>
        </row>
        <row r="166">
          <cell r="A166">
            <v>40004</v>
          </cell>
        </row>
        <row r="167">
          <cell r="A167">
            <v>40005</v>
          </cell>
        </row>
        <row r="168">
          <cell r="A168">
            <v>40006</v>
          </cell>
        </row>
        <row r="169">
          <cell r="A169">
            <v>40007</v>
          </cell>
        </row>
        <row r="170">
          <cell r="A170">
            <v>40008</v>
          </cell>
        </row>
        <row r="171">
          <cell r="A171">
            <v>40009</v>
          </cell>
        </row>
        <row r="172">
          <cell r="A172">
            <v>40010</v>
          </cell>
        </row>
        <row r="173">
          <cell r="A173">
            <v>40011</v>
          </cell>
        </row>
        <row r="174">
          <cell r="A174">
            <v>40012</v>
          </cell>
        </row>
        <row r="175">
          <cell r="A175">
            <v>40013</v>
          </cell>
        </row>
        <row r="176">
          <cell r="A176">
            <v>40014</v>
          </cell>
        </row>
        <row r="177">
          <cell r="A177">
            <v>40015</v>
          </cell>
        </row>
        <row r="178">
          <cell r="A178">
            <v>40016</v>
          </cell>
        </row>
        <row r="179">
          <cell r="A179">
            <v>40017</v>
          </cell>
        </row>
        <row r="180">
          <cell r="A180">
            <v>40018</v>
          </cell>
        </row>
        <row r="181">
          <cell r="A181">
            <v>40019</v>
          </cell>
        </row>
        <row r="182">
          <cell r="A182">
            <v>40021</v>
          </cell>
        </row>
        <row r="183">
          <cell r="A183">
            <v>40022</v>
          </cell>
        </row>
        <row r="184">
          <cell r="A184">
            <v>48001</v>
          </cell>
        </row>
        <row r="185">
          <cell r="A185">
            <v>48002</v>
          </cell>
        </row>
        <row r="186">
          <cell r="A186">
            <v>48003</v>
          </cell>
        </row>
        <row r="187">
          <cell r="A187">
            <v>48004</v>
          </cell>
        </row>
        <row r="188">
          <cell r="A188">
            <v>41001</v>
          </cell>
        </row>
        <row r="189">
          <cell r="A189">
            <v>41002</v>
          </cell>
        </row>
        <row r="190">
          <cell r="A190">
            <v>41003</v>
          </cell>
        </row>
        <row r="191">
          <cell r="A191">
            <v>41004</v>
          </cell>
        </row>
        <row r="192">
          <cell r="A192">
            <v>41005</v>
          </cell>
        </row>
        <row r="193">
          <cell r="A193">
            <v>41006</v>
          </cell>
        </row>
        <row r="194">
          <cell r="A194">
            <v>41007</v>
          </cell>
        </row>
        <row r="195">
          <cell r="A195">
            <v>41008</v>
          </cell>
        </row>
        <row r="196">
          <cell r="A196">
            <v>41009</v>
          </cell>
        </row>
        <row r="197">
          <cell r="A197">
            <v>41010</v>
          </cell>
        </row>
        <row r="198">
          <cell r="A198">
            <v>41011</v>
          </cell>
        </row>
        <row r="199">
          <cell r="A199">
            <v>41012</v>
          </cell>
        </row>
        <row r="200">
          <cell r="A200">
            <v>41013</v>
          </cell>
        </row>
        <row r="201">
          <cell r="A201">
            <v>41014</v>
          </cell>
        </row>
        <row r="202">
          <cell r="A202">
            <v>41015</v>
          </cell>
        </row>
        <row r="203">
          <cell r="A203">
            <v>47001</v>
          </cell>
        </row>
        <row r="204">
          <cell r="A204">
            <v>47002</v>
          </cell>
        </row>
        <row r="205">
          <cell r="A205">
            <v>49001</v>
          </cell>
        </row>
        <row r="206">
          <cell r="A206">
            <v>49002</v>
          </cell>
        </row>
        <row r="207">
          <cell r="A207">
            <v>49003</v>
          </cell>
        </row>
        <row r="208">
          <cell r="A208">
            <v>49004</v>
          </cell>
        </row>
        <row r="209">
          <cell r="A209">
            <v>49005</v>
          </cell>
        </row>
        <row r="210">
          <cell r="A210">
            <v>49006</v>
          </cell>
        </row>
        <row r="211">
          <cell r="A211">
            <v>50001</v>
          </cell>
        </row>
        <row r="212">
          <cell r="A212">
            <v>50002</v>
          </cell>
        </row>
        <row r="213">
          <cell r="A213">
            <v>50003</v>
          </cell>
        </row>
        <row r="214">
          <cell r="A214">
            <v>50004</v>
          </cell>
        </row>
        <row r="215">
          <cell r="A215">
            <v>50005</v>
          </cell>
        </row>
        <row r="216">
          <cell r="A216">
            <v>50006</v>
          </cell>
        </row>
        <row r="217">
          <cell r="A217">
            <v>51001</v>
          </cell>
        </row>
        <row r="218">
          <cell r="A218">
            <v>51002</v>
          </cell>
        </row>
        <row r="219">
          <cell r="A219">
            <v>60001</v>
          </cell>
        </row>
        <row r="220">
          <cell r="A220">
            <v>60002</v>
          </cell>
        </row>
        <row r="221">
          <cell r="A221">
            <v>60003</v>
          </cell>
        </row>
        <row r="222">
          <cell r="A222">
            <v>60004</v>
          </cell>
        </row>
        <row r="223">
          <cell r="A223">
            <v>60005</v>
          </cell>
        </row>
        <row r="224">
          <cell r="A224">
            <v>60006</v>
          </cell>
        </row>
        <row r="225">
          <cell r="A225">
            <v>60007</v>
          </cell>
        </row>
        <row r="226">
          <cell r="A226">
            <v>60010</v>
          </cell>
        </row>
        <row r="227">
          <cell r="A227">
            <v>60011</v>
          </cell>
        </row>
        <row r="228">
          <cell r="A228">
            <v>61011</v>
          </cell>
        </row>
        <row r="229">
          <cell r="A229">
            <v>60012</v>
          </cell>
        </row>
        <row r="230">
          <cell r="A230">
            <v>60013</v>
          </cell>
        </row>
        <row r="231">
          <cell r="A231">
            <v>60014</v>
          </cell>
        </row>
        <row r="232">
          <cell r="A232">
            <v>65534</v>
          </cell>
        </row>
        <row r="233">
          <cell r="A233">
            <v>65535</v>
          </cell>
        </row>
        <row r="234">
          <cell r="A234">
            <v>60021</v>
          </cell>
        </row>
        <row r="235">
          <cell r="A235">
            <v>60022</v>
          </cell>
        </row>
        <row r="236">
          <cell r="A236">
            <v>60023</v>
          </cell>
        </row>
        <row r="237">
          <cell r="A237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11007_1</v>
          </cell>
        </row>
        <row r="224">
          <cell r="A224" t="str">
            <v>11007_2</v>
          </cell>
        </row>
        <row r="225">
          <cell r="A225" t="str">
            <v>11007_3</v>
          </cell>
        </row>
        <row r="226">
          <cell r="A226" t="str">
            <v>11007_4</v>
          </cell>
        </row>
        <row r="227">
          <cell r="A227" t="str">
            <v>11007_5</v>
          </cell>
        </row>
        <row r="228">
          <cell r="A228" t="str">
            <v>11008_1</v>
          </cell>
        </row>
        <row r="229">
          <cell r="A229" t="str">
            <v>11008_2</v>
          </cell>
        </row>
        <row r="230">
          <cell r="A230" t="str">
            <v>11008_3</v>
          </cell>
        </row>
        <row r="231">
          <cell r="A231" t="str">
            <v>11008_4</v>
          </cell>
        </row>
        <row r="232">
          <cell r="A232" t="str">
            <v>11008_5</v>
          </cell>
        </row>
        <row r="233">
          <cell r="A233" t="str">
            <v>11101_1</v>
          </cell>
        </row>
        <row r="234">
          <cell r="A234" t="str">
            <v>11101_2</v>
          </cell>
        </row>
        <row r="235">
          <cell r="A235" t="str">
            <v>11101_3</v>
          </cell>
        </row>
        <row r="236">
          <cell r="A236" t="str">
            <v>11101_4</v>
          </cell>
        </row>
        <row r="237">
          <cell r="A237" t="str">
            <v>11101_10</v>
          </cell>
        </row>
        <row r="238">
          <cell r="A238" t="str">
            <v>11102_1</v>
          </cell>
        </row>
        <row r="239">
          <cell r="A239" t="str">
            <v>11102_2</v>
          </cell>
        </row>
        <row r="240">
          <cell r="A240" t="str">
            <v>11102_3</v>
          </cell>
        </row>
        <row r="241">
          <cell r="A241" t="str">
            <v>11102_4</v>
          </cell>
        </row>
        <row r="242">
          <cell r="A242" t="str">
            <v>11102_10</v>
          </cell>
        </row>
        <row r="243">
          <cell r="A243" t="str">
            <v>11103_1</v>
          </cell>
        </row>
        <row r="244">
          <cell r="A244" t="str">
            <v>11103_2</v>
          </cell>
        </row>
        <row r="245">
          <cell r="A245" t="str">
            <v>11103_3</v>
          </cell>
        </row>
        <row r="246">
          <cell r="A246" t="str">
            <v>11103_4</v>
          </cell>
        </row>
        <row r="247">
          <cell r="A247" t="str">
            <v>11103_10</v>
          </cell>
        </row>
        <row r="248">
          <cell r="A248" t="str">
            <v>11104_1</v>
          </cell>
        </row>
        <row r="249">
          <cell r="A249" t="str">
            <v>11104_2</v>
          </cell>
        </row>
        <row r="250">
          <cell r="A250" t="str">
            <v>11104_3</v>
          </cell>
        </row>
        <row r="251">
          <cell r="A251" t="str">
            <v>11104_4</v>
          </cell>
        </row>
        <row r="252">
          <cell r="A252" t="str">
            <v>11104_10</v>
          </cell>
        </row>
        <row r="253">
          <cell r="A253" t="str">
            <v>11105_1</v>
          </cell>
        </row>
        <row r="254">
          <cell r="A254" t="str">
            <v>11105_2</v>
          </cell>
        </row>
        <row r="255">
          <cell r="A255" t="str">
            <v>11105_3</v>
          </cell>
        </row>
        <row r="256">
          <cell r="A256" t="str">
            <v>11105_4</v>
          </cell>
        </row>
        <row r="257">
          <cell r="A257" t="str">
            <v>11106_1</v>
          </cell>
        </row>
        <row r="258">
          <cell r="A258" t="str">
            <v>11106_2</v>
          </cell>
        </row>
        <row r="259">
          <cell r="A259" t="str">
            <v>11106_3</v>
          </cell>
        </row>
        <row r="260">
          <cell r="A260" t="str">
            <v>11206_1</v>
          </cell>
        </row>
        <row r="261">
          <cell r="A261" t="str">
            <v>11206_2</v>
          </cell>
        </row>
        <row r="262">
          <cell r="A262" t="str">
            <v>11206_3</v>
          </cell>
        </row>
        <row r="263">
          <cell r="A263" t="str">
            <v>11016_1</v>
          </cell>
        </row>
        <row r="264">
          <cell r="A264" t="str">
            <v>11017_1</v>
          </cell>
        </row>
        <row r="265">
          <cell r="A265" t="str">
            <v>11207_1</v>
          </cell>
        </row>
        <row r="266">
          <cell r="A266" t="str">
            <v>11207_2</v>
          </cell>
        </row>
        <row r="267">
          <cell r="A267" t="str">
            <v>11208_1</v>
          </cell>
        </row>
        <row r="268">
          <cell r="A268" t="str">
            <v>11208_2</v>
          </cell>
        </row>
        <row r="269">
          <cell r="A269" t="str">
            <v>11209_1</v>
          </cell>
        </row>
        <row r="270">
          <cell r="A270" t="str">
            <v>11209_2</v>
          </cell>
        </row>
        <row r="271">
          <cell r="A271" t="str">
            <v>11212_1</v>
          </cell>
        </row>
        <row r="272">
          <cell r="A272" t="str">
            <v>11213_1</v>
          </cell>
        </row>
        <row r="273">
          <cell r="A273" t="str">
            <v>11214_1</v>
          </cell>
        </row>
        <row r="274">
          <cell r="A274" t="str">
            <v>11214_2</v>
          </cell>
        </row>
        <row r="275">
          <cell r="A275" t="str">
            <v>11214_3</v>
          </cell>
        </row>
        <row r="276">
          <cell r="A276" t="str">
            <v>11215_1</v>
          </cell>
        </row>
        <row r="277">
          <cell r="A277" t="str">
            <v>11216_1</v>
          </cell>
        </row>
        <row r="278">
          <cell r="A278" t="str">
            <v>11217_1</v>
          </cell>
        </row>
        <row r="279">
          <cell r="A279" t="str">
            <v>11218_1</v>
          </cell>
        </row>
        <row r="280">
          <cell r="A280" t="str">
            <v>11219_1</v>
          </cell>
        </row>
        <row r="281">
          <cell r="A281" t="str">
            <v>11220_1</v>
          </cell>
        </row>
        <row r="282">
          <cell r="A282" t="str">
            <v>11221_1</v>
          </cell>
        </row>
        <row r="283">
          <cell r="A283" t="str">
            <v>11224_1</v>
          </cell>
        </row>
        <row r="284">
          <cell r="A284" t="str">
            <v>11225_1</v>
          </cell>
        </row>
        <row r="285">
          <cell r="A285" t="str">
            <v>11226_1</v>
          </cell>
        </row>
        <row r="286">
          <cell r="A286" t="str">
            <v>11226_2</v>
          </cell>
        </row>
        <row r="287">
          <cell r="A287" t="str">
            <v>11226_3</v>
          </cell>
        </row>
        <row r="288">
          <cell r="A288" t="str">
            <v>11226_4</v>
          </cell>
        </row>
        <row r="289">
          <cell r="A289" t="str">
            <v>11226_5</v>
          </cell>
        </row>
        <row r="290">
          <cell r="A290" t="str">
            <v>11226_6</v>
          </cell>
        </row>
        <row r="291">
          <cell r="A291" t="str">
            <v>11226_7</v>
          </cell>
        </row>
        <row r="292">
          <cell r="A292" t="str">
            <v>11226_8</v>
          </cell>
        </row>
        <row r="293">
          <cell r="A293" t="str">
            <v>12001_1</v>
          </cell>
        </row>
        <row r="294">
          <cell r="A294" t="str">
            <v>12001_2</v>
          </cell>
        </row>
        <row r="295">
          <cell r="A295" t="str">
            <v>12001_3</v>
          </cell>
        </row>
        <row r="296">
          <cell r="A296" t="str">
            <v>12002_1</v>
          </cell>
        </row>
        <row r="297">
          <cell r="A297" t="str">
            <v>12002_2</v>
          </cell>
        </row>
        <row r="298">
          <cell r="A298" t="str">
            <v>12003_1</v>
          </cell>
        </row>
        <row r="299">
          <cell r="A299" t="str">
            <v>12003_2</v>
          </cell>
        </row>
        <row r="300">
          <cell r="A300" t="str">
            <v>12003_3</v>
          </cell>
        </row>
        <row r="301">
          <cell r="A301" t="str">
            <v>12003_4</v>
          </cell>
        </row>
        <row r="302">
          <cell r="A302" t="str">
            <v>12004_1</v>
          </cell>
        </row>
        <row r="303">
          <cell r="A303" t="str">
            <v>13001_1</v>
          </cell>
        </row>
        <row r="304">
          <cell r="A304" t="str">
            <v>13001_2</v>
          </cell>
        </row>
        <row r="305">
          <cell r="A305" t="str">
            <v>13001_3</v>
          </cell>
        </row>
        <row r="306">
          <cell r="A306" t="str">
            <v>13001_4</v>
          </cell>
        </row>
        <row r="307">
          <cell r="A307" t="str">
            <v>13001_5</v>
          </cell>
        </row>
        <row r="308">
          <cell r="A308" t="str">
            <v>13001_6</v>
          </cell>
        </row>
        <row r="309">
          <cell r="A309" t="str">
            <v>13001_7</v>
          </cell>
        </row>
        <row r="310">
          <cell r="A310" t="str">
            <v>13001_8</v>
          </cell>
        </row>
        <row r="311">
          <cell r="A311" t="str">
            <v>13001_9</v>
          </cell>
        </row>
        <row r="312">
          <cell r="A312" t="str">
            <v>13001_10</v>
          </cell>
        </row>
        <row r="313">
          <cell r="A313" t="str">
            <v>13001_11</v>
          </cell>
        </row>
        <row r="314">
          <cell r="A314" t="str">
            <v>13001_12</v>
          </cell>
        </row>
        <row r="315">
          <cell r="A315" t="str">
            <v>13001_13</v>
          </cell>
        </row>
        <row r="316">
          <cell r="A316" t="str">
            <v>13001_14</v>
          </cell>
        </row>
        <row r="317">
          <cell r="A317" t="str">
            <v>13001_15</v>
          </cell>
        </row>
        <row r="318">
          <cell r="A318" t="str">
            <v>13001_16</v>
          </cell>
        </row>
        <row r="319">
          <cell r="A319" t="str">
            <v>13001_17</v>
          </cell>
        </row>
        <row r="320">
          <cell r="A320" t="str">
            <v>13001_18</v>
          </cell>
        </row>
        <row r="321">
          <cell r="A321" t="str">
            <v>13001_19</v>
          </cell>
        </row>
        <row r="322">
          <cell r="A322" t="str">
            <v>13001_20</v>
          </cell>
        </row>
        <row r="323">
          <cell r="A323" t="str">
            <v>13001_21</v>
          </cell>
        </row>
        <row r="324">
          <cell r="A324" t="str">
            <v>13001_22</v>
          </cell>
        </row>
        <row r="325">
          <cell r="A325" t="str">
            <v>13001_23</v>
          </cell>
        </row>
        <row r="326">
          <cell r="A326" t="str">
            <v>13001_24</v>
          </cell>
        </row>
        <row r="327">
          <cell r="A327" t="str">
            <v>13001_25</v>
          </cell>
        </row>
        <row r="328">
          <cell r="A328" t="str">
            <v>14001_1</v>
          </cell>
        </row>
        <row r="329">
          <cell r="A329" t="str">
            <v>14001_2</v>
          </cell>
        </row>
        <row r="330">
          <cell r="A330" t="str">
            <v>14001_3</v>
          </cell>
        </row>
        <row r="331">
          <cell r="A331" t="str">
            <v>14001_4</v>
          </cell>
        </row>
        <row r="332">
          <cell r="A332" t="str">
            <v>14001_5</v>
          </cell>
        </row>
        <row r="333">
          <cell r="A333" t="str">
            <v>14001_6</v>
          </cell>
        </row>
        <row r="334">
          <cell r="A334" t="str">
            <v>14001_7</v>
          </cell>
        </row>
        <row r="335">
          <cell r="A335" t="str">
            <v>14001_8</v>
          </cell>
        </row>
        <row r="336">
          <cell r="A336" t="str">
            <v>14002_1</v>
          </cell>
        </row>
        <row r="337">
          <cell r="A337" t="str">
            <v>14002_2</v>
          </cell>
        </row>
        <row r="338">
          <cell r="A338" t="str">
            <v>14003_1</v>
          </cell>
        </row>
        <row r="339">
          <cell r="A339" t="str">
            <v>14003_2</v>
          </cell>
        </row>
        <row r="340">
          <cell r="A340" t="str">
            <v>14003_3</v>
          </cell>
        </row>
        <row r="341">
          <cell r="A341" t="str">
            <v>14003_4</v>
          </cell>
        </row>
        <row r="342">
          <cell r="A342" t="str">
            <v>14004_1</v>
          </cell>
        </row>
        <row r="343">
          <cell r="A343" t="str">
            <v>14004_2</v>
          </cell>
        </row>
        <row r="344">
          <cell r="A344" t="str">
            <v>14004_3</v>
          </cell>
        </row>
        <row r="345">
          <cell r="A345" t="str">
            <v>14004_4</v>
          </cell>
        </row>
        <row r="346">
          <cell r="A346" t="str">
            <v>14005_1</v>
          </cell>
        </row>
        <row r="347">
          <cell r="A347" t="str">
            <v>14006_1</v>
          </cell>
        </row>
        <row r="348">
          <cell r="A348" t="str">
            <v>15027_1</v>
          </cell>
        </row>
        <row r="349">
          <cell r="A349" t="str">
            <v>15027_2</v>
          </cell>
        </row>
        <row r="350">
          <cell r="A350" t="str">
            <v>15027_3</v>
          </cell>
        </row>
        <row r="351">
          <cell r="A351" t="str">
            <v>15027_4</v>
          </cell>
        </row>
        <row r="352">
          <cell r="A352" t="str">
            <v>15028_1</v>
          </cell>
        </row>
        <row r="353">
          <cell r="A353" t="str">
            <v>15028_2</v>
          </cell>
        </row>
        <row r="354">
          <cell r="A354" t="str">
            <v>15028_3</v>
          </cell>
        </row>
        <row r="355">
          <cell r="A355" t="str">
            <v>15028_4</v>
          </cell>
        </row>
        <row r="356">
          <cell r="A356" t="str">
            <v>15029_1</v>
          </cell>
        </row>
        <row r="357">
          <cell r="A357" t="str">
            <v>15029_2</v>
          </cell>
        </row>
        <row r="358">
          <cell r="A358" t="str">
            <v>15029_3</v>
          </cell>
        </row>
        <row r="359">
          <cell r="A359" t="str">
            <v>15029_4</v>
          </cell>
        </row>
        <row r="360">
          <cell r="A360" t="str">
            <v>15030_1</v>
          </cell>
        </row>
        <row r="361">
          <cell r="A361" t="str">
            <v>15030_2</v>
          </cell>
        </row>
        <row r="362">
          <cell r="A362" t="str">
            <v>15030_3</v>
          </cell>
        </row>
        <row r="363">
          <cell r="A363" t="str">
            <v>15030_4</v>
          </cell>
        </row>
        <row r="364">
          <cell r="A364" t="str">
            <v>15031_1</v>
          </cell>
        </row>
        <row r="365">
          <cell r="A365" t="str">
            <v>15031_2</v>
          </cell>
        </row>
        <row r="366">
          <cell r="A366" t="str">
            <v>15031_3</v>
          </cell>
        </row>
        <row r="367">
          <cell r="A367" t="str">
            <v>15031_4</v>
          </cell>
        </row>
        <row r="368">
          <cell r="A368" t="str">
            <v>20001_1</v>
          </cell>
        </row>
        <row r="369">
          <cell r="A369" t="str">
            <v>20001_2</v>
          </cell>
        </row>
        <row r="370">
          <cell r="A370" t="str">
            <v>20001_3</v>
          </cell>
        </row>
        <row r="371">
          <cell r="A371" t="str">
            <v>20002_1</v>
          </cell>
        </row>
        <row r="372">
          <cell r="A372" t="str">
            <v>20002_2</v>
          </cell>
        </row>
        <row r="373">
          <cell r="A373" t="str">
            <v>20002_3</v>
          </cell>
        </row>
        <row r="374">
          <cell r="A374" t="str">
            <v>20003_1</v>
          </cell>
        </row>
        <row r="375">
          <cell r="A375" t="str">
            <v>20003_2</v>
          </cell>
        </row>
        <row r="376">
          <cell r="A376" t="str">
            <v>20003_3</v>
          </cell>
        </row>
        <row r="377">
          <cell r="A377" t="str">
            <v>20004_1</v>
          </cell>
        </row>
        <row r="378">
          <cell r="A378" t="str">
            <v>20004_2</v>
          </cell>
        </row>
        <row r="379">
          <cell r="A379" t="str">
            <v>20004_3</v>
          </cell>
        </row>
        <row r="380">
          <cell r="A380" t="str">
            <v>20005_1</v>
          </cell>
        </row>
        <row r="381">
          <cell r="A381" t="str">
            <v>20005_2</v>
          </cell>
        </row>
        <row r="382">
          <cell r="A382" t="str">
            <v>20005_3</v>
          </cell>
        </row>
        <row r="383">
          <cell r="A383" t="str">
            <v>20006_1</v>
          </cell>
        </row>
        <row r="384">
          <cell r="A384" t="str">
            <v>20006_2</v>
          </cell>
        </row>
        <row r="385">
          <cell r="A385" t="str">
            <v>20006_3</v>
          </cell>
        </row>
        <row r="386">
          <cell r="A386" t="str">
            <v>20007_1</v>
          </cell>
        </row>
        <row r="387">
          <cell r="A387" t="str">
            <v>20007_2</v>
          </cell>
        </row>
        <row r="388">
          <cell r="A388" t="str">
            <v>20007_3</v>
          </cell>
        </row>
        <row r="389">
          <cell r="A389" t="str">
            <v>20008_1</v>
          </cell>
        </row>
        <row r="390">
          <cell r="A390" t="str">
            <v>20008_2</v>
          </cell>
        </row>
        <row r="391">
          <cell r="A391" t="str">
            <v>20008_3</v>
          </cell>
        </row>
        <row r="392">
          <cell r="A392" t="str">
            <v>20009_1</v>
          </cell>
        </row>
        <row r="393">
          <cell r="A393" t="str">
            <v>20009_2</v>
          </cell>
        </row>
        <row r="394">
          <cell r="A394" t="str">
            <v>20009_3</v>
          </cell>
        </row>
        <row r="395">
          <cell r="A395" t="str">
            <v>20010_1</v>
          </cell>
        </row>
        <row r="396">
          <cell r="A396" t="str">
            <v>20010_2</v>
          </cell>
        </row>
        <row r="397">
          <cell r="A397" t="str">
            <v>20010_3</v>
          </cell>
        </row>
        <row r="398">
          <cell r="A398" t="str">
            <v>20011_1</v>
          </cell>
        </row>
        <row r="399">
          <cell r="A399" t="str">
            <v>20011_2</v>
          </cell>
        </row>
        <row r="400">
          <cell r="A400" t="str">
            <v>20011_3</v>
          </cell>
        </row>
        <row r="401">
          <cell r="A401" t="str">
            <v>20012_1</v>
          </cell>
        </row>
        <row r="402">
          <cell r="A402" t="str">
            <v>20012_2</v>
          </cell>
        </row>
        <row r="403">
          <cell r="A403" t="str">
            <v>20012_3</v>
          </cell>
        </row>
        <row r="404">
          <cell r="A404" t="str">
            <v>20013_1</v>
          </cell>
        </row>
        <row r="405">
          <cell r="A405" t="str">
            <v>20013_2</v>
          </cell>
        </row>
        <row r="406">
          <cell r="A406" t="str">
            <v>20013_3</v>
          </cell>
        </row>
        <row r="407">
          <cell r="A407" t="str">
            <v>20014_1</v>
          </cell>
        </row>
        <row r="408">
          <cell r="A408" t="str">
            <v>20014_2</v>
          </cell>
        </row>
        <row r="409">
          <cell r="A409" t="str">
            <v>20014_3</v>
          </cell>
        </row>
        <row r="410">
          <cell r="A410" t="str">
            <v>20015_1</v>
          </cell>
        </row>
        <row r="411">
          <cell r="A411" t="str">
            <v>20015_2</v>
          </cell>
        </row>
        <row r="412">
          <cell r="A412" t="str">
            <v>20015_3</v>
          </cell>
        </row>
        <row r="413">
          <cell r="A413" t="str">
            <v>20016_1</v>
          </cell>
        </row>
        <row r="414">
          <cell r="A414" t="str">
            <v>20016_2</v>
          </cell>
        </row>
        <row r="415">
          <cell r="A415" t="str">
            <v>20016_3</v>
          </cell>
        </row>
        <row r="416">
          <cell r="A416" t="str">
            <v>20017_1</v>
          </cell>
        </row>
        <row r="417">
          <cell r="A417" t="str">
            <v>20017_2</v>
          </cell>
        </row>
        <row r="418">
          <cell r="A418" t="str">
            <v>20017_3</v>
          </cell>
        </row>
        <row r="419">
          <cell r="A419" t="str">
            <v>20018_1</v>
          </cell>
        </row>
        <row r="420">
          <cell r="A420" t="str">
            <v>20018_2</v>
          </cell>
        </row>
        <row r="421">
          <cell r="A421" t="str">
            <v>20018_3</v>
          </cell>
        </row>
        <row r="422">
          <cell r="A422" t="str">
            <v>20019_1</v>
          </cell>
        </row>
        <row r="423">
          <cell r="A423" t="str">
            <v>20019_2</v>
          </cell>
        </row>
        <row r="424">
          <cell r="A424" t="str">
            <v>20019_3</v>
          </cell>
        </row>
        <row r="425">
          <cell r="A425" t="str">
            <v>30001_1</v>
          </cell>
        </row>
        <row r="426">
          <cell r="A426" t="str">
            <v>30001_2</v>
          </cell>
        </row>
        <row r="427">
          <cell r="A427" t="str">
            <v>30001_3</v>
          </cell>
        </row>
        <row r="428">
          <cell r="A428" t="str">
            <v>30002_1</v>
          </cell>
        </row>
        <row r="429">
          <cell r="A429" t="str">
            <v>30002_2</v>
          </cell>
        </row>
        <row r="430">
          <cell r="A430" t="str">
            <v>30002_3</v>
          </cell>
        </row>
        <row r="431">
          <cell r="A431" t="str">
            <v>30003_1</v>
          </cell>
        </row>
        <row r="432">
          <cell r="A432" t="str">
            <v>30003_2</v>
          </cell>
        </row>
        <row r="433">
          <cell r="A433" t="str">
            <v>30003_3</v>
          </cell>
        </row>
        <row r="434">
          <cell r="A434" t="str">
            <v>30004_1</v>
          </cell>
        </row>
        <row r="435">
          <cell r="A435" t="str">
            <v>30004_2</v>
          </cell>
        </row>
        <row r="436">
          <cell r="A436" t="str">
            <v>30004_3</v>
          </cell>
        </row>
        <row r="437">
          <cell r="A437" t="str">
            <v>30005_1</v>
          </cell>
        </row>
        <row r="438">
          <cell r="A438" t="str">
            <v>30005_2</v>
          </cell>
        </row>
        <row r="439">
          <cell r="A439" t="str">
            <v>30005_3</v>
          </cell>
        </row>
        <row r="440">
          <cell r="A440" t="str">
            <v>30006_1</v>
          </cell>
        </row>
        <row r="441">
          <cell r="A441" t="str">
            <v>30006_2</v>
          </cell>
        </row>
        <row r="442">
          <cell r="A442" t="str">
            <v>30006_3</v>
          </cell>
        </row>
        <row r="443">
          <cell r="A443" t="str">
            <v>30007_1</v>
          </cell>
        </row>
        <row r="444">
          <cell r="A444" t="str">
            <v>30007_2</v>
          </cell>
        </row>
        <row r="445">
          <cell r="A445" t="str">
            <v>30007_3</v>
          </cell>
        </row>
        <row r="446">
          <cell r="A446" t="str">
            <v>30008_1</v>
          </cell>
        </row>
        <row r="447">
          <cell r="A447" t="str">
            <v>30008_2</v>
          </cell>
        </row>
        <row r="448">
          <cell r="A448" t="str">
            <v>30008_3</v>
          </cell>
        </row>
        <row r="449">
          <cell r="A449" t="str">
            <v>30009_3</v>
          </cell>
        </row>
        <row r="450">
          <cell r="A450" t="str">
            <v>30009_1</v>
          </cell>
        </row>
        <row r="451">
          <cell r="A451" t="str">
            <v>30009_2</v>
          </cell>
        </row>
        <row r="452">
          <cell r="A452" t="str">
            <v>30010_1</v>
          </cell>
        </row>
        <row r="453">
          <cell r="A453" t="str">
            <v>30010_2</v>
          </cell>
        </row>
        <row r="454">
          <cell r="A454" t="str">
            <v>30010_3</v>
          </cell>
        </row>
        <row r="455">
          <cell r="A455" t="str">
            <v>30011_1</v>
          </cell>
        </row>
        <row r="456">
          <cell r="A456" t="str">
            <v>30011_2</v>
          </cell>
        </row>
        <row r="457">
          <cell r="A457" t="str">
            <v>30011_3</v>
          </cell>
        </row>
        <row r="458">
          <cell r="A458" t="str">
            <v>30012_1</v>
          </cell>
        </row>
        <row r="459">
          <cell r="A459" t="str">
            <v>30012_2</v>
          </cell>
        </row>
        <row r="460">
          <cell r="A460" t="str">
            <v>30012_3</v>
          </cell>
        </row>
        <row r="461">
          <cell r="A461" t="str">
            <v>30013_1</v>
          </cell>
        </row>
        <row r="462">
          <cell r="A462" t="str">
            <v>30013_2</v>
          </cell>
        </row>
        <row r="463">
          <cell r="A463" t="str">
            <v>30014_1</v>
          </cell>
        </row>
        <row r="464">
          <cell r="A464" t="str">
            <v>30014_2</v>
          </cell>
        </row>
        <row r="465">
          <cell r="A465" t="str">
            <v>30015_1</v>
          </cell>
        </row>
        <row r="466">
          <cell r="A466" t="str">
            <v>30015_2</v>
          </cell>
        </row>
        <row r="467">
          <cell r="A467" t="str">
            <v>30016_1</v>
          </cell>
        </row>
        <row r="468">
          <cell r="A468" t="str">
            <v>30016_2</v>
          </cell>
        </row>
        <row r="469">
          <cell r="A469" t="str">
            <v>30017_1</v>
          </cell>
        </row>
        <row r="470">
          <cell r="A470" t="str">
            <v>30017_2</v>
          </cell>
        </row>
        <row r="471">
          <cell r="A471" t="str">
            <v>30018_1</v>
          </cell>
        </row>
        <row r="472">
          <cell r="A472" t="str">
            <v>30018_2</v>
          </cell>
        </row>
        <row r="473">
          <cell r="A473" t="str">
            <v>30019_1</v>
          </cell>
        </row>
        <row r="474">
          <cell r="A474" t="str">
            <v>30019_2</v>
          </cell>
        </row>
        <row r="475">
          <cell r="A475" t="str">
            <v>30020_1</v>
          </cell>
        </row>
        <row r="476">
          <cell r="A476" t="str">
            <v>30020_2</v>
          </cell>
        </row>
        <row r="477">
          <cell r="A477" t="str">
            <v>30021_1</v>
          </cell>
        </row>
        <row r="478">
          <cell r="A478" t="str">
            <v>30021_2</v>
          </cell>
        </row>
        <row r="479">
          <cell r="A479" t="str">
            <v>30021_3</v>
          </cell>
        </row>
        <row r="480">
          <cell r="A480" t="str">
            <v>30022_1</v>
          </cell>
        </row>
        <row r="481">
          <cell r="A481" t="str">
            <v>30022_2</v>
          </cell>
        </row>
        <row r="482">
          <cell r="A482" t="str">
            <v>30023_1</v>
          </cell>
        </row>
        <row r="483">
          <cell r="A483" t="str">
            <v>30023_2</v>
          </cell>
        </row>
        <row r="484">
          <cell r="A484" t="str">
            <v>30023_3</v>
          </cell>
        </row>
        <row r="485">
          <cell r="A485" t="str">
            <v>30024_1</v>
          </cell>
        </row>
        <row r="486">
          <cell r="A486" t="str">
            <v>30024_2</v>
          </cell>
        </row>
        <row r="487">
          <cell r="A487" t="str">
            <v>30024_3</v>
          </cell>
        </row>
        <row r="488">
          <cell r="A488" t="str">
            <v>30025_1</v>
          </cell>
        </row>
        <row r="489">
          <cell r="A489" t="str">
            <v>30025_2</v>
          </cell>
        </row>
        <row r="490">
          <cell r="A490" t="str">
            <v>30025_3</v>
          </cell>
        </row>
        <row r="491">
          <cell r="A491" t="str">
            <v>30026_1</v>
          </cell>
        </row>
        <row r="492">
          <cell r="A492" t="str">
            <v>30026_2</v>
          </cell>
        </row>
        <row r="493">
          <cell r="A493" t="str">
            <v>30026_3</v>
          </cell>
        </row>
        <row r="494">
          <cell r="A494" t="str">
            <v>30027_1</v>
          </cell>
        </row>
        <row r="495">
          <cell r="A495" t="str">
            <v>30027_2</v>
          </cell>
        </row>
        <row r="496">
          <cell r="A496" t="str">
            <v>30027_3</v>
          </cell>
        </row>
        <row r="497">
          <cell r="A497" t="str">
            <v>30028_1</v>
          </cell>
        </row>
        <row r="498">
          <cell r="A498" t="str">
            <v>30028_2</v>
          </cell>
        </row>
        <row r="499">
          <cell r="A499" t="str">
            <v>30028_3</v>
          </cell>
        </row>
        <row r="500">
          <cell r="A500" t="str">
            <v>30029_1</v>
          </cell>
        </row>
        <row r="501">
          <cell r="A501" t="str">
            <v>30029_2</v>
          </cell>
        </row>
        <row r="502">
          <cell r="A502" t="str">
            <v>30029_3</v>
          </cell>
        </row>
        <row r="503">
          <cell r="A503" t="str">
            <v>30030_1</v>
          </cell>
        </row>
        <row r="504">
          <cell r="A504" t="str">
            <v>30030_2</v>
          </cell>
        </row>
        <row r="505">
          <cell r="A505" t="str">
            <v>30030_3</v>
          </cell>
        </row>
        <row r="506">
          <cell r="A506" t="str">
            <v>30031_1</v>
          </cell>
        </row>
        <row r="507">
          <cell r="A507" t="str">
            <v>30031_2</v>
          </cell>
        </row>
        <row r="508">
          <cell r="A508" t="str">
            <v>30031_3</v>
          </cell>
        </row>
        <row r="509">
          <cell r="A509" t="str">
            <v>30032_1</v>
          </cell>
        </row>
        <row r="510">
          <cell r="A510" t="str">
            <v>30032_2</v>
          </cell>
        </row>
        <row r="511">
          <cell r="A511" t="str">
            <v>30032_3</v>
          </cell>
        </row>
        <row r="512">
          <cell r="A512" t="str">
            <v>30033_1</v>
          </cell>
        </row>
        <row r="513">
          <cell r="A513" t="str">
            <v>30033_2</v>
          </cell>
        </row>
        <row r="514">
          <cell r="A514" t="str">
            <v>30033_3</v>
          </cell>
        </row>
        <row r="515">
          <cell r="A515" t="str">
            <v>30034_1</v>
          </cell>
        </row>
        <row r="516">
          <cell r="A516" t="str">
            <v>30034_2</v>
          </cell>
        </row>
        <row r="517">
          <cell r="A517" t="str">
            <v>30034_3</v>
          </cell>
        </row>
        <row r="518">
          <cell r="A518" t="str">
            <v>30035_1</v>
          </cell>
        </row>
        <row r="519">
          <cell r="A519" t="str">
            <v>30035_2</v>
          </cell>
        </row>
        <row r="520">
          <cell r="A520" t="str">
            <v>30035_3</v>
          </cell>
        </row>
        <row r="521">
          <cell r="A521" t="str">
            <v>30036_1</v>
          </cell>
        </row>
        <row r="522">
          <cell r="A522" t="str">
            <v>30036_2</v>
          </cell>
        </row>
        <row r="523">
          <cell r="A523" t="str">
            <v>30036_3</v>
          </cell>
        </row>
        <row r="524">
          <cell r="A524" t="str">
            <v>30037_1</v>
          </cell>
        </row>
        <row r="525">
          <cell r="A525" t="str">
            <v>30037_2</v>
          </cell>
        </row>
        <row r="526">
          <cell r="A526" t="str">
            <v>30037_3</v>
          </cell>
        </row>
        <row r="527">
          <cell r="A527" t="str">
            <v>30038_1</v>
          </cell>
        </row>
        <row r="528">
          <cell r="A528" t="str">
            <v>30038_2</v>
          </cell>
        </row>
        <row r="529">
          <cell r="A529" t="str">
            <v>30038_3</v>
          </cell>
        </row>
        <row r="530">
          <cell r="A530" t="str">
            <v>39001_1</v>
          </cell>
        </row>
        <row r="531">
          <cell r="A531" t="str">
            <v>39001_2</v>
          </cell>
        </row>
        <row r="532">
          <cell r="A532" t="str">
            <v>39001_3</v>
          </cell>
        </row>
        <row r="533">
          <cell r="A533" t="str">
            <v>39001_4</v>
          </cell>
        </row>
        <row r="534">
          <cell r="A534" t="str">
            <v>39001_5</v>
          </cell>
        </row>
        <row r="535">
          <cell r="A535" t="str">
            <v>39002_1</v>
          </cell>
        </row>
        <row r="536">
          <cell r="A536" t="str">
            <v>39002_2</v>
          </cell>
        </row>
        <row r="537">
          <cell r="A537" t="str">
            <v>39002_3</v>
          </cell>
        </row>
        <row r="538">
          <cell r="A538" t="str">
            <v>39002_4</v>
          </cell>
        </row>
        <row r="539">
          <cell r="A539" t="str">
            <v>39003_1</v>
          </cell>
        </row>
        <row r="540">
          <cell r="A540" t="str">
            <v>39003_2</v>
          </cell>
        </row>
        <row r="541">
          <cell r="A541" t="str">
            <v>39003_3</v>
          </cell>
        </row>
        <row r="542">
          <cell r="A542" t="str">
            <v>39003_4</v>
          </cell>
        </row>
        <row r="543">
          <cell r="A543" t="str">
            <v>39004_1</v>
          </cell>
        </row>
        <row r="544">
          <cell r="A544" t="str">
            <v>39004_2</v>
          </cell>
        </row>
        <row r="545">
          <cell r="A545" t="str">
            <v>39004_3</v>
          </cell>
        </row>
        <row r="546">
          <cell r="A546" t="str">
            <v>39004_4</v>
          </cell>
        </row>
        <row r="547">
          <cell r="A547" t="str">
            <v>39005_1</v>
          </cell>
        </row>
        <row r="548">
          <cell r="A548" t="str">
            <v>39005_2</v>
          </cell>
        </row>
        <row r="549">
          <cell r="A549" t="str">
            <v>39005_3</v>
          </cell>
        </row>
        <row r="550">
          <cell r="A550" t="str">
            <v>39005_4</v>
          </cell>
        </row>
        <row r="551">
          <cell r="A551" t="str">
            <v>39005_5</v>
          </cell>
        </row>
        <row r="552">
          <cell r="A552" t="str">
            <v>39006_1</v>
          </cell>
        </row>
        <row r="553">
          <cell r="A553" t="str">
            <v>39006_2</v>
          </cell>
        </row>
        <row r="554">
          <cell r="A554" t="str">
            <v>39006_3</v>
          </cell>
        </row>
        <row r="555">
          <cell r="A555" t="str">
            <v>39006_4</v>
          </cell>
        </row>
        <row r="556">
          <cell r="A556" t="str">
            <v>40001_1</v>
          </cell>
        </row>
        <row r="557">
          <cell r="A557" t="str">
            <v>40002_1</v>
          </cell>
        </row>
        <row r="558">
          <cell r="A558" t="str">
            <v>40002_2</v>
          </cell>
        </row>
        <row r="559">
          <cell r="A559" t="str">
            <v>40002_3</v>
          </cell>
        </row>
        <row r="560">
          <cell r="A560" t="str">
            <v>40003_1</v>
          </cell>
        </row>
        <row r="561">
          <cell r="A561" t="str">
            <v>40004_1</v>
          </cell>
        </row>
        <row r="562">
          <cell r="A562" t="str">
            <v>40005_1</v>
          </cell>
        </row>
        <row r="563">
          <cell r="A563" t="str">
            <v>40006_1</v>
          </cell>
        </row>
        <row r="564">
          <cell r="A564" t="str">
            <v>40007_1</v>
          </cell>
        </row>
        <row r="565">
          <cell r="A565" t="str">
            <v>40008_1</v>
          </cell>
        </row>
        <row r="566">
          <cell r="A566" t="str">
            <v>40009_1</v>
          </cell>
        </row>
        <row r="567">
          <cell r="A567" t="str">
            <v>40010_1</v>
          </cell>
        </row>
        <row r="568">
          <cell r="A568" t="str">
            <v>40011_1</v>
          </cell>
        </row>
        <row r="569">
          <cell r="A569" t="str">
            <v>40012_1</v>
          </cell>
        </row>
        <row r="570">
          <cell r="A570" t="str">
            <v>40013_1</v>
          </cell>
        </row>
        <row r="571">
          <cell r="A571" t="str">
            <v>40014_1</v>
          </cell>
        </row>
        <row r="572">
          <cell r="A572" t="str">
            <v>40015_1</v>
          </cell>
        </row>
        <row r="573">
          <cell r="A573" t="str">
            <v>40016_1</v>
          </cell>
        </row>
        <row r="574">
          <cell r="A574" t="str">
            <v>40016_2</v>
          </cell>
        </row>
        <row r="575">
          <cell r="A575" t="str">
            <v>40017_1</v>
          </cell>
        </row>
        <row r="576">
          <cell r="A576" t="str">
            <v>40017_2</v>
          </cell>
        </row>
        <row r="577">
          <cell r="A577" t="str">
            <v>40017_3</v>
          </cell>
        </row>
        <row r="578">
          <cell r="A578" t="str">
            <v>40018_1</v>
          </cell>
        </row>
        <row r="579">
          <cell r="A579" t="str">
            <v>40018_2</v>
          </cell>
        </row>
        <row r="580">
          <cell r="A580" t="str">
            <v>40018_3</v>
          </cell>
        </row>
        <row r="581">
          <cell r="A581" t="str">
            <v>40019_1</v>
          </cell>
        </row>
        <row r="582">
          <cell r="A582" t="str">
            <v>40019_2</v>
          </cell>
        </row>
        <row r="583">
          <cell r="A583" t="str">
            <v>40019_3</v>
          </cell>
        </row>
        <row r="584">
          <cell r="A584" t="str">
            <v>40021_1</v>
          </cell>
        </row>
        <row r="585">
          <cell r="A585" t="str">
            <v>40021_2</v>
          </cell>
        </row>
        <row r="586">
          <cell r="A586" t="str">
            <v>40022_1</v>
          </cell>
        </row>
        <row r="587">
          <cell r="A587" t="str">
            <v>40022_2</v>
          </cell>
        </row>
        <row r="588">
          <cell r="A588" t="str">
            <v>48001_1</v>
          </cell>
        </row>
        <row r="589">
          <cell r="A589" t="str">
            <v>48002_1</v>
          </cell>
        </row>
        <row r="590">
          <cell r="A590" t="str">
            <v>48002_2</v>
          </cell>
        </row>
        <row r="591">
          <cell r="A591" t="str">
            <v>48002_3</v>
          </cell>
        </row>
        <row r="592">
          <cell r="A592" t="str">
            <v>48003_1</v>
          </cell>
        </row>
        <row r="593">
          <cell r="A593" t="str">
            <v>48003_2</v>
          </cell>
        </row>
        <row r="594">
          <cell r="A594" t="str">
            <v>48003_3</v>
          </cell>
        </row>
        <row r="595">
          <cell r="A595" t="str">
            <v>48004_1</v>
          </cell>
        </row>
        <row r="596">
          <cell r="A596" t="str">
            <v>48004_2</v>
          </cell>
        </row>
        <row r="597">
          <cell r="A597" t="str">
            <v>41001_1</v>
          </cell>
        </row>
        <row r="598">
          <cell r="A598" t="str">
            <v>41001_2</v>
          </cell>
        </row>
        <row r="599">
          <cell r="A599" t="str">
            <v>41001_3</v>
          </cell>
        </row>
        <row r="600">
          <cell r="A600" t="str">
            <v>41002_1</v>
          </cell>
        </row>
        <row r="601">
          <cell r="A601" t="str">
            <v>41002_2</v>
          </cell>
        </row>
        <row r="602">
          <cell r="A602" t="str">
            <v>41002_3</v>
          </cell>
        </row>
        <row r="603">
          <cell r="A603" t="str">
            <v>41003_1</v>
          </cell>
        </row>
        <row r="604">
          <cell r="A604" t="str">
            <v>41003_2</v>
          </cell>
        </row>
        <row r="605">
          <cell r="A605" t="str">
            <v>41003_3</v>
          </cell>
        </row>
        <row r="606">
          <cell r="A606" t="str">
            <v>41004_1</v>
          </cell>
        </row>
        <row r="607">
          <cell r="A607" t="str">
            <v>41004_2</v>
          </cell>
        </row>
        <row r="608">
          <cell r="A608" t="str">
            <v>41004_3</v>
          </cell>
        </row>
        <row r="609">
          <cell r="A609" t="str">
            <v>41005_1</v>
          </cell>
        </row>
        <row r="610">
          <cell r="A610" t="str">
            <v>41005_2</v>
          </cell>
        </row>
        <row r="611">
          <cell r="A611" t="str">
            <v>41005_3</v>
          </cell>
        </row>
        <row r="612">
          <cell r="A612" t="str">
            <v>41006_1</v>
          </cell>
        </row>
        <row r="613">
          <cell r="A613" t="str">
            <v>41006_2</v>
          </cell>
        </row>
        <row r="614">
          <cell r="A614" t="str">
            <v>41006_3</v>
          </cell>
        </row>
        <row r="615">
          <cell r="A615" t="str">
            <v>41007_1</v>
          </cell>
        </row>
        <row r="616">
          <cell r="A616" t="str">
            <v>41007_2</v>
          </cell>
        </row>
        <row r="617">
          <cell r="A617" t="str">
            <v>41007_3</v>
          </cell>
        </row>
        <row r="618">
          <cell r="A618" t="str">
            <v>41008_1</v>
          </cell>
        </row>
        <row r="619">
          <cell r="A619" t="str">
            <v>41008_2</v>
          </cell>
        </row>
        <row r="620">
          <cell r="A620" t="str">
            <v>41008_3</v>
          </cell>
        </row>
        <row r="621">
          <cell r="A621" t="str">
            <v>41009_1</v>
          </cell>
        </row>
        <row r="622">
          <cell r="A622" t="str">
            <v>41009_2</v>
          </cell>
        </row>
        <row r="623">
          <cell r="A623" t="str">
            <v>41009_3</v>
          </cell>
        </row>
        <row r="624">
          <cell r="A624" t="str">
            <v>41010_1</v>
          </cell>
        </row>
        <row r="625">
          <cell r="A625" t="str">
            <v>41010_2</v>
          </cell>
        </row>
        <row r="626">
          <cell r="A626" t="str">
            <v>41010_3</v>
          </cell>
        </row>
        <row r="627">
          <cell r="A627" t="str">
            <v>41011_1</v>
          </cell>
        </row>
        <row r="628">
          <cell r="A628" t="str">
            <v>41011_2</v>
          </cell>
        </row>
        <row r="629">
          <cell r="A629" t="str">
            <v>41012_1</v>
          </cell>
        </row>
        <row r="630">
          <cell r="A630" t="str">
            <v>41012_2</v>
          </cell>
        </row>
        <row r="631">
          <cell r="A631" t="str">
            <v>41013_1</v>
          </cell>
        </row>
        <row r="632">
          <cell r="A632" t="str">
            <v>41013_2</v>
          </cell>
        </row>
        <row r="633">
          <cell r="A633" t="str">
            <v>41014_1</v>
          </cell>
        </row>
        <row r="634">
          <cell r="A634" t="str">
            <v>41014_2</v>
          </cell>
        </row>
        <row r="635">
          <cell r="A635" t="str">
            <v>41015_1</v>
          </cell>
        </row>
        <row r="636">
          <cell r="A636" t="str">
            <v>41015_2</v>
          </cell>
        </row>
        <row r="637">
          <cell r="A637" t="str">
            <v>47001_1</v>
          </cell>
        </row>
        <row r="638">
          <cell r="A638" t="str">
            <v>47001_2</v>
          </cell>
        </row>
        <row r="639">
          <cell r="A639" t="str">
            <v>47002_1</v>
          </cell>
        </row>
        <row r="640">
          <cell r="A640" t="str">
            <v>47002_2</v>
          </cell>
        </row>
        <row r="641">
          <cell r="A641" t="str">
            <v>49001_1</v>
          </cell>
        </row>
        <row r="642">
          <cell r="A642" t="str">
            <v>49002_1</v>
          </cell>
        </row>
        <row r="643">
          <cell r="A643" t="str">
            <v>49002_2</v>
          </cell>
        </row>
        <row r="644">
          <cell r="A644" t="str">
            <v>49003_1</v>
          </cell>
        </row>
        <row r="645">
          <cell r="A645" t="str">
            <v>49003_2</v>
          </cell>
        </row>
        <row r="646">
          <cell r="A646" t="str">
            <v>49004_1</v>
          </cell>
        </row>
        <row r="647">
          <cell r="A647" t="str">
            <v>49004_2</v>
          </cell>
        </row>
        <row r="648">
          <cell r="A648" t="str">
            <v>49004_3</v>
          </cell>
        </row>
        <row r="649">
          <cell r="A649" t="str">
            <v>49005_1</v>
          </cell>
        </row>
        <row r="650">
          <cell r="A650" t="str">
            <v>49006_1</v>
          </cell>
        </row>
        <row r="651">
          <cell r="A651" t="str">
            <v>49006_2</v>
          </cell>
        </row>
        <row r="652">
          <cell r="A652" t="str">
            <v>50001_1</v>
          </cell>
        </row>
        <row r="653">
          <cell r="A653" t="str">
            <v>50002_1</v>
          </cell>
        </row>
        <row r="654">
          <cell r="A654" t="str">
            <v>50003_1</v>
          </cell>
        </row>
        <row r="655">
          <cell r="A655" t="str">
            <v>50004_1</v>
          </cell>
        </row>
        <row r="656">
          <cell r="A656" t="str">
            <v>50005_1</v>
          </cell>
        </row>
        <row r="657">
          <cell r="A657" t="str">
            <v>50006_1</v>
          </cell>
        </row>
        <row r="658">
          <cell r="A658" t="str">
            <v>51001_1</v>
          </cell>
        </row>
        <row r="659">
          <cell r="A659" t="str">
            <v>51002_1</v>
          </cell>
        </row>
        <row r="660">
          <cell r="A660" t="str">
            <v>60001_1</v>
          </cell>
        </row>
        <row r="661">
          <cell r="A661" t="str">
            <v>60002_1</v>
          </cell>
        </row>
        <row r="662">
          <cell r="A662" t="str">
            <v>60002_2</v>
          </cell>
        </row>
        <row r="663">
          <cell r="A663" t="str">
            <v>60003_1</v>
          </cell>
        </row>
        <row r="664">
          <cell r="A664" t="str">
            <v>60003_2</v>
          </cell>
        </row>
        <row r="665">
          <cell r="A665" t="str">
            <v>60003_3</v>
          </cell>
        </row>
        <row r="666">
          <cell r="A666" t="str">
            <v>60004_1</v>
          </cell>
        </row>
        <row r="667">
          <cell r="A667" t="str">
            <v>60005_1</v>
          </cell>
        </row>
        <row r="668">
          <cell r="A668" t="str">
            <v>60006_1</v>
          </cell>
        </row>
        <row r="669">
          <cell r="A669" t="str">
            <v>60006_2</v>
          </cell>
        </row>
        <row r="670">
          <cell r="A670" t="str">
            <v>60006_3</v>
          </cell>
        </row>
        <row r="671">
          <cell r="A671" t="str">
            <v>60007_1</v>
          </cell>
        </row>
        <row r="672">
          <cell r="A672" t="str">
            <v>60007_2</v>
          </cell>
        </row>
        <row r="673">
          <cell r="A673" t="str">
            <v>60007_3</v>
          </cell>
        </row>
        <row r="674">
          <cell r="A674" t="str">
            <v>60010_1</v>
          </cell>
        </row>
        <row r="675">
          <cell r="A675" t="str">
            <v>60011_1</v>
          </cell>
        </row>
        <row r="676">
          <cell r="A676" t="str">
            <v>60011_2</v>
          </cell>
        </row>
        <row r="677">
          <cell r="A677" t="str">
            <v>61011_1</v>
          </cell>
        </row>
        <row r="678">
          <cell r="A678" t="str">
            <v>60012_1</v>
          </cell>
        </row>
        <row r="679">
          <cell r="A679" t="str">
            <v>60013_1</v>
          </cell>
        </row>
        <row r="680">
          <cell r="A680" t="str">
            <v>60013_2</v>
          </cell>
        </row>
        <row r="681">
          <cell r="A681" t="str">
            <v>60013_3</v>
          </cell>
        </row>
        <row r="682">
          <cell r="A682" t="str">
            <v>60014_1</v>
          </cell>
        </row>
        <row r="683">
          <cell r="A683" t="str">
            <v>65535_1</v>
          </cell>
        </row>
        <row r="684">
          <cell r="A684" t="str">
            <v>65535_2</v>
          </cell>
        </row>
        <row r="685">
          <cell r="A685" t="str">
            <v>65535_3</v>
          </cell>
        </row>
        <row r="686">
          <cell r="A686" t="str">
            <v>65535_4</v>
          </cell>
        </row>
        <row r="687">
          <cell r="A687" t="str">
            <v>65535_5</v>
          </cell>
        </row>
        <row r="688">
          <cell r="A688" t="str">
            <v>65535_6</v>
          </cell>
        </row>
        <row r="689">
          <cell r="A689" t="str">
            <v>65535_7</v>
          </cell>
        </row>
        <row r="690">
          <cell r="A690" t="str">
            <v>65535_8</v>
          </cell>
        </row>
        <row r="691">
          <cell r="A691" t="str">
            <v>60021_3</v>
          </cell>
        </row>
        <row r="692">
          <cell r="A692" t="str">
            <v>60022_3</v>
          </cell>
        </row>
        <row r="693">
          <cell r="A693" t="str">
            <v>60023_3</v>
          </cell>
        </row>
        <row r="694">
          <cell r="A694" t="str">
            <v>60024_3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1079</v>
          </cell>
        </row>
        <row r="1061">
          <cell r="A1061">
            <v>1080</v>
          </cell>
        </row>
        <row r="1062">
          <cell r="A1062">
            <v>1081</v>
          </cell>
        </row>
        <row r="1063">
          <cell r="A1063">
            <v>1082</v>
          </cell>
        </row>
        <row r="1064">
          <cell r="A1064">
            <v>6001</v>
          </cell>
        </row>
        <row r="1065">
          <cell r="A1065">
            <v>6002</v>
          </cell>
        </row>
        <row r="1066">
          <cell r="A1066">
            <v>6003</v>
          </cell>
        </row>
        <row r="1067">
          <cell r="A1067">
            <v>6004</v>
          </cell>
        </row>
        <row r="1068">
          <cell r="A1068">
            <v>6005</v>
          </cell>
        </row>
        <row r="1069">
          <cell r="A1069">
            <v>6006</v>
          </cell>
        </row>
        <row r="1070">
          <cell r="A1070">
            <v>6007</v>
          </cell>
        </row>
        <row r="1071">
          <cell r="A1071">
            <v>6008</v>
          </cell>
        </row>
        <row r="1072">
          <cell r="A1072">
            <v>6009</v>
          </cell>
        </row>
        <row r="1073">
          <cell r="A1073">
            <v>6010</v>
          </cell>
        </row>
        <row r="1074">
          <cell r="A1074">
            <v>6011</v>
          </cell>
        </row>
        <row r="1075">
          <cell r="A1075">
            <v>6012</v>
          </cell>
        </row>
        <row r="1076">
          <cell r="A1076">
            <v>6013</v>
          </cell>
        </row>
        <row r="1077">
          <cell r="A1077">
            <v>6014</v>
          </cell>
        </row>
        <row r="1078">
          <cell r="A1078">
            <v>6015</v>
          </cell>
        </row>
        <row r="1079">
          <cell r="A1079">
            <v>6016</v>
          </cell>
        </row>
        <row r="1080">
          <cell r="A1080">
            <v>6017</v>
          </cell>
        </row>
        <row r="1081">
          <cell r="A1081">
            <v>6018</v>
          </cell>
        </row>
        <row r="1082">
          <cell r="A1082">
            <v>6019</v>
          </cell>
        </row>
        <row r="1083">
          <cell r="A1083">
            <v>6020</v>
          </cell>
        </row>
        <row r="1084">
          <cell r="A1084">
            <v>8001</v>
          </cell>
        </row>
        <row r="1085">
          <cell r="A1085">
            <v>8002</v>
          </cell>
        </row>
        <row r="1086">
          <cell r="A1086">
            <v>8003</v>
          </cell>
        </row>
        <row r="1087">
          <cell r="A1087">
            <v>8004</v>
          </cell>
        </row>
        <row r="1088">
          <cell r="A1088">
            <v>8005</v>
          </cell>
        </row>
        <row r="1089">
          <cell r="A1089">
            <v>8006</v>
          </cell>
        </row>
        <row r="1090">
          <cell r="A1090">
            <v>8007</v>
          </cell>
        </row>
        <row r="1091">
          <cell r="A1091">
            <v>8008</v>
          </cell>
        </row>
        <row r="1092">
          <cell r="A1092">
            <v>8009</v>
          </cell>
        </row>
        <row r="1093">
          <cell r="A1093">
            <v>8010</v>
          </cell>
        </row>
        <row r="1094">
          <cell r="A1094">
            <v>8011</v>
          </cell>
        </row>
        <row r="1095">
          <cell r="A1095">
            <v>8012</v>
          </cell>
        </row>
        <row r="1096">
          <cell r="A1096">
            <v>8013</v>
          </cell>
        </row>
        <row r="1097">
          <cell r="A1097">
            <v>8014</v>
          </cell>
        </row>
        <row r="1098">
          <cell r="A1098">
            <v>8015</v>
          </cell>
        </row>
        <row r="1099">
          <cell r="A1099">
            <v>8016</v>
          </cell>
        </row>
        <row r="1100">
          <cell r="A1100">
            <v>8017</v>
          </cell>
        </row>
        <row r="1101">
          <cell r="A1101">
            <v>8018</v>
          </cell>
        </row>
        <row r="1102">
          <cell r="A1102">
            <v>8019</v>
          </cell>
        </row>
        <row r="1103">
          <cell r="A1103">
            <v>8020</v>
          </cell>
        </row>
        <row r="1104">
          <cell r="A1104">
            <v>8021</v>
          </cell>
        </row>
        <row r="1105">
          <cell r="A1105">
            <v>8022</v>
          </cell>
        </row>
        <row r="1106">
          <cell r="A1106">
            <v>8023</v>
          </cell>
        </row>
        <row r="1107">
          <cell r="A1107">
            <v>8024</v>
          </cell>
        </row>
        <row r="1108">
          <cell r="A1108">
            <v>8025</v>
          </cell>
        </row>
        <row r="1109">
          <cell r="A1109">
            <v>8026</v>
          </cell>
        </row>
        <row r="1110">
          <cell r="A1110">
            <v>8027</v>
          </cell>
        </row>
        <row r="1111">
          <cell r="A1111">
            <v>8028</v>
          </cell>
        </row>
        <row r="1112">
          <cell r="A1112">
            <v>8029</v>
          </cell>
        </row>
        <row r="1113">
          <cell r="A1113">
            <v>8030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6001</v>
          </cell>
        </row>
        <row r="1131">
          <cell r="A1131">
            <v>6002</v>
          </cell>
        </row>
        <row r="1132">
          <cell r="A1132">
            <v>6003</v>
          </cell>
        </row>
        <row r="1133">
          <cell r="A1133">
            <v>6004</v>
          </cell>
        </row>
        <row r="1134">
          <cell r="A1134">
            <v>6005</v>
          </cell>
        </row>
        <row r="1135">
          <cell r="A1135">
            <v>6006</v>
          </cell>
        </row>
        <row r="1136">
          <cell r="A1136">
            <v>6007</v>
          </cell>
        </row>
        <row r="1137">
          <cell r="A1137">
            <v>6008</v>
          </cell>
        </row>
        <row r="1138">
          <cell r="A1138">
            <v>6009</v>
          </cell>
        </row>
        <row r="1139">
          <cell r="A1139">
            <v>6010</v>
          </cell>
        </row>
        <row r="1140">
          <cell r="A1140">
            <v>6011</v>
          </cell>
        </row>
        <row r="1141">
          <cell r="A1141">
            <v>6012</v>
          </cell>
        </row>
        <row r="1142">
          <cell r="A1142">
            <v>6013</v>
          </cell>
        </row>
        <row r="1143">
          <cell r="A1143">
            <v>6014</v>
          </cell>
        </row>
        <row r="1144">
          <cell r="A1144">
            <v>6015</v>
          </cell>
        </row>
        <row r="1145">
          <cell r="A1145">
            <v>6016</v>
          </cell>
        </row>
        <row r="1146">
          <cell r="A1146">
            <v>6017</v>
          </cell>
        </row>
        <row r="1147">
          <cell r="A1147">
            <v>6018</v>
          </cell>
        </row>
        <row r="1148">
          <cell r="A1148">
            <v>6019</v>
          </cell>
        </row>
        <row r="1149">
          <cell r="A1149">
            <v>6020</v>
          </cell>
        </row>
        <row r="1150">
          <cell r="A1150">
            <v>8001</v>
          </cell>
        </row>
        <row r="1151">
          <cell r="A1151">
            <v>8002</v>
          </cell>
        </row>
        <row r="1152">
          <cell r="A1152">
            <v>8003</v>
          </cell>
        </row>
        <row r="1153">
          <cell r="A1153">
            <v>8004</v>
          </cell>
        </row>
        <row r="1154">
          <cell r="A1154">
            <v>8005</v>
          </cell>
        </row>
        <row r="1155">
          <cell r="A1155">
            <v>8006</v>
          </cell>
        </row>
        <row r="1156">
          <cell r="A1156">
            <v>8007</v>
          </cell>
        </row>
        <row r="1157">
          <cell r="A1157">
            <v>8008</v>
          </cell>
        </row>
        <row r="1158">
          <cell r="A1158">
            <v>8009</v>
          </cell>
        </row>
        <row r="1159">
          <cell r="A1159">
            <v>8010</v>
          </cell>
        </row>
        <row r="1160">
          <cell r="A1160">
            <v>8011</v>
          </cell>
        </row>
        <row r="1161">
          <cell r="A1161">
            <v>8012</v>
          </cell>
        </row>
        <row r="1162">
          <cell r="A1162">
            <v>8013</v>
          </cell>
        </row>
        <row r="1163">
          <cell r="A1163">
            <v>8014</v>
          </cell>
        </row>
        <row r="1164">
          <cell r="A1164">
            <v>8015</v>
          </cell>
        </row>
        <row r="1165">
          <cell r="A1165">
            <v>8016</v>
          </cell>
        </row>
        <row r="1166">
          <cell r="A1166">
            <v>8017</v>
          </cell>
        </row>
        <row r="1167">
          <cell r="A1167">
            <v>8018</v>
          </cell>
        </row>
        <row r="1168">
          <cell r="A1168">
            <v>8019</v>
          </cell>
        </row>
        <row r="1169">
          <cell r="A1169">
            <v>8020</v>
          </cell>
        </row>
        <row r="1170">
          <cell r="A1170">
            <v>8021</v>
          </cell>
        </row>
        <row r="1171">
          <cell r="A1171">
            <v>8022</v>
          </cell>
        </row>
        <row r="1172">
          <cell r="A1172">
            <v>8023</v>
          </cell>
        </row>
        <row r="1173">
          <cell r="A1173">
            <v>8024</v>
          </cell>
        </row>
        <row r="1174">
          <cell r="A1174">
            <v>8025</v>
          </cell>
        </row>
        <row r="1175">
          <cell r="A1175">
            <v>8026</v>
          </cell>
        </row>
        <row r="1176">
          <cell r="A1176">
            <v>8027</v>
          </cell>
        </row>
        <row r="1177">
          <cell r="A1177">
            <v>8028</v>
          </cell>
        </row>
        <row r="1178">
          <cell r="A1178">
            <v>8029</v>
          </cell>
        </row>
        <row r="1179">
          <cell r="A1179">
            <v>8030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ランク解放クエスト</v>
          </cell>
          <cell r="D12" t="str">
            <v>一定ランクに到達すると_x000D_報酬付きのランク開放クエストが現れます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ソロ専用チャレンジタワー</v>
          </cell>
          <cell r="D20" t="str">
            <v>ソロ専用の「チャレンジタワー」では_x000D_各フロアごとにクリア報酬がもらえます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りんごを使って限界突破</v>
          </cell>
          <cell r="D25" t="str">
            <v>赤りんご(攻撃力) 青りんご(回復力)_x000D_緑りんご(体力)をユニット強化に使うと_x000D_ステータスが限界突破します（計99個迄）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「クリスタルのりんご」を強化に使うと_x000D_スキルレベルを上げることができます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チャレンジタワーのボス</v>
          </cell>
          <cell r="D38" t="str">
            <v>チャレンジタワーでのみ登場するボスは_x000D_一定確率で獲得することができます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 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「ケロケロ」を育てて_x000D_「メタルフロッグ」に覚醒させましょう_x000D__x000D_超大量の経験値素材になります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E3" sqref="E3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44" t="s">
        <v>128</v>
      </c>
      <c r="B1" s="39" t="s">
        <v>99</v>
      </c>
      <c r="C1" s="39" t="s">
        <v>100</v>
      </c>
      <c r="D1" s="39" t="s">
        <v>101</v>
      </c>
      <c r="E1" s="39" t="s">
        <v>102</v>
      </c>
      <c r="F1" s="39" t="s">
        <v>103</v>
      </c>
      <c r="G1" s="39" t="s">
        <v>104</v>
      </c>
      <c r="H1" s="39"/>
      <c r="I1" s="39"/>
      <c r="J1" s="39"/>
      <c r="K1" s="39"/>
      <c r="L1" s="40"/>
      <c r="M1" s="40"/>
      <c r="N1" s="40"/>
      <c r="O1" s="40"/>
      <c r="P1" s="40"/>
      <c r="Q1" s="40"/>
      <c r="R1" s="40"/>
      <c r="S1" s="40"/>
      <c r="T1" s="40"/>
      <c r="U1" s="40"/>
      <c r="V1" s="40"/>
      <c r="W1" s="40"/>
      <c r="X1" s="40"/>
      <c r="Y1" s="40"/>
      <c r="Z1" s="40"/>
      <c r="AA1" s="40"/>
      <c r="AB1" s="40"/>
      <c r="AC1" s="40"/>
      <c r="AD1" s="40"/>
    </row>
    <row r="2" spans="1:30" x14ac:dyDescent="0.15">
      <c r="A2" s="45" t="s">
        <v>259</v>
      </c>
      <c r="B2" s="41" t="s">
        <v>105</v>
      </c>
      <c r="C2" s="46">
        <v>20019</v>
      </c>
      <c r="D2" s="41" t="s">
        <v>106</v>
      </c>
      <c r="E2" s="40" t="str">
        <f>B2&amp;C2&amp;D2</f>
        <v>floors_20019.tmp</v>
      </c>
      <c r="F2" s="41" t="s">
        <v>107</v>
      </c>
      <c r="G2" s="42" t="s">
        <v>0</v>
      </c>
      <c r="H2" s="42" t="s">
        <v>1</v>
      </c>
      <c r="I2" s="42" t="s">
        <v>13</v>
      </c>
      <c r="J2" s="42" t="s">
        <v>14</v>
      </c>
      <c r="K2" s="42" t="s">
        <v>15</v>
      </c>
      <c r="L2" s="41"/>
      <c r="M2" s="41"/>
      <c r="N2" s="41"/>
      <c r="O2" s="41"/>
      <c r="P2" s="41"/>
      <c r="Q2" s="41"/>
      <c r="R2" s="41"/>
      <c r="S2" s="41"/>
      <c r="T2" s="41"/>
      <c r="U2" s="41"/>
      <c r="V2" s="41"/>
      <c r="W2" s="41"/>
      <c r="X2" s="41"/>
      <c r="Y2" s="41"/>
      <c r="Z2" s="41"/>
      <c r="AA2" s="41"/>
      <c r="AB2" s="41"/>
      <c r="AC2" s="41"/>
      <c r="AD2" s="41"/>
    </row>
    <row r="3" spans="1:30" x14ac:dyDescent="0.15">
      <c r="A3" s="45" t="s">
        <v>259</v>
      </c>
      <c r="B3" s="41" t="s">
        <v>108</v>
      </c>
      <c r="C3" s="46">
        <f>C$2</f>
        <v>20019</v>
      </c>
      <c r="D3" s="41" t="s">
        <v>106</v>
      </c>
      <c r="E3" s="40" t="str">
        <f>B3&amp;C3&amp;D3</f>
        <v>enemy_habitats_20019.tmp</v>
      </c>
      <c r="F3" s="41" t="s">
        <v>109</v>
      </c>
      <c r="G3" s="42" t="s">
        <v>0</v>
      </c>
      <c r="H3" s="42" t="s">
        <v>1</v>
      </c>
      <c r="I3" s="42" t="s">
        <v>13</v>
      </c>
      <c r="J3" s="42" t="s">
        <v>2</v>
      </c>
      <c r="K3" s="42" t="s">
        <v>3</v>
      </c>
      <c r="L3" s="42" t="s">
        <v>47</v>
      </c>
      <c r="M3" s="42" t="s">
        <v>49</v>
      </c>
      <c r="N3" s="42" t="s">
        <v>51</v>
      </c>
      <c r="O3" s="42" t="s">
        <v>22</v>
      </c>
      <c r="P3" s="42" t="s">
        <v>5</v>
      </c>
      <c r="Q3" s="42" t="s">
        <v>6</v>
      </c>
      <c r="R3" s="42" t="s">
        <v>7</v>
      </c>
      <c r="S3" s="42" t="s">
        <v>8</v>
      </c>
      <c r="T3" s="42" t="s">
        <v>9</v>
      </c>
      <c r="U3" s="42" t="s">
        <v>10</v>
      </c>
      <c r="V3" s="42" t="s">
        <v>11</v>
      </c>
      <c r="W3" s="42" t="s">
        <v>12</v>
      </c>
      <c r="X3" s="42" t="s">
        <v>37</v>
      </c>
      <c r="Y3" s="42" t="s">
        <v>39</v>
      </c>
      <c r="Z3" s="42" t="s">
        <v>41</v>
      </c>
      <c r="AA3" s="42" t="s">
        <v>43</v>
      </c>
      <c r="AB3" s="42" t="s">
        <v>45</v>
      </c>
      <c r="AC3" s="42" t="s">
        <v>54</v>
      </c>
      <c r="AD3" s="42" t="s">
        <v>177</v>
      </c>
    </row>
    <row r="4" spans="1:30" x14ac:dyDescent="0.15">
      <c r="A4" s="45" t="s">
        <v>186</v>
      </c>
      <c r="B4" s="41" t="s">
        <v>110</v>
      </c>
      <c r="C4" s="46">
        <f t="shared" ref="C4:C13" si="0">C$2</f>
        <v>20019</v>
      </c>
      <c r="D4" s="41" t="s">
        <v>106</v>
      </c>
      <c r="E4" s="40" t="str">
        <f>B4&amp;C4&amp;D4</f>
        <v>enemy_habitat_S_20019.tmp</v>
      </c>
      <c r="F4" s="41" t="s">
        <v>111</v>
      </c>
      <c r="G4" s="42" t="s">
        <v>0</v>
      </c>
      <c r="H4" s="42" t="s">
        <v>1</v>
      </c>
      <c r="I4" s="42" t="s">
        <v>13</v>
      </c>
      <c r="J4" s="42" t="s">
        <v>54</v>
      </c>
      <c r="K4" s="42" t="s">
        <v>55</v>
      </c>
      <c r="L4" s="42" t="s">
        <v>56</v>
      </c>
      <c r="M4" s="42" t="s">
        <v>57</v>
      </c>
      <c r="N4" s="42" t="s">
        <v>58</v>
      </c>
      <c r="O4" s="42" t="s">
        <v>59</v>
      </c>
      <c r="P4" s="42" t="s">
        <v>48</v>
      </c>
      <c r="Q4" s="42" t="s">
        <v>50</v>
      </c>
      <c r="R4" s="42" t="s">
        <v>52</v>
      </c>
      <c r="S4" s="41"/>
      <c r="T4" s="41"/>
      <c r="U4" s="41"/>
      <c r="V4" s="41"/>
      <c r="W4" s="41"/>
      <c r="X4" s="41"/>
      <c r="Y4" s="41"/>
      <c r="Z4" s="41"/>
      <c r="AA4" s="41"/>
      <c r="AB4" s="41"/>
      <c r="AC4" s="41"/>
      <c r="AD4" s="41"/>
    </row>
    <row r="5" spans="1:30" x14ac:dyDescent="0.15">
      <c r="A5" s="45" t="s">
        <v>186</v>
      </c>
      <c r="B5" s="41" t="s">
        <v>112</v>
      </c>
      <c r="C5" s="46">
        <f t="shared" si="0"/>
        <v>20019</v>
      </c>
      <c r="D5" s="41" t="s">
        <v>106</v>
      </c>
      <c r="E5" s="40" t="str">
        <f>B5&amp;C5&amp;D5</f>
        <v>enemy_skill_sets_20019.tmp</v>
      </c>
      <c r="F5" s="41" t="s">
        <v>113</v>
      </c>
      <c r="G5" s="43" t="s">
        <v>22</v>
      </c>
      <c r="H5" s="43" t="s">
        <v>98</v>
      </c>
      <c r="I5" s="43" t="s">
        <v>93</v>
      </c>
      <c r="J5" s="41"/>
      <c r="K5" s="41"/>
      <c r="L5" s="41"/>
      <c r="M5" s="41"/>
      <c r="N5" s="41"/>
      <c r="O5" s="41"/>
      <c r="P5" s="41"/>
      <c r="Q5" s="41"/>
      <c r="R5" s="41"/>
      <c r="S5" s="41"/>
      <c r="T5" s="41"/>
      <c r="U5" s="41"/>
      <c r="V5" s="41"/>
      <c r="W5" s="41"/>
      <c r="X5" s="41"/>
      <c r="Y5" s="41"/>
      <c r="Z5" s="41"/>
      <c r="AA5" s="41"/>
      <c r="AB5" s="41"/>
      <c r="AC5" s="41"/>
      <c r="AD5" s="41"/>
    </row>
    <row r="6" spans="1:30" x14ac:dyDescent="0.15">
      <c r="A6" s="45" t="s">
        <v>186</v>
      </c>
      <c r="B6" s="41" t="s">
        <v>114</v>
      </c>
      <c r="C6" s="46">
        <f t="shared" si="0"/>
        <v>20019</v>
      </c>
      <c r="D6" s="41" t="s">
        <v>115</v>
      </c>
      <c r="E6" s="40" t="str">
        <f t="shared" ref="E6:E10" si="1">B6&amp;C6&amp;D6</f>
        <v>enemy_skills_tmp_20019.tmp</v>
      </c>
      <c r="F6" s="41" t="s">
        <v>89</v>
      </c>
      <c r="G6" s="42" t="s">
        <v>79</v>
      </c>
      <c r="H6" s="42" t="s">
        <v>80</v>
      </c>
      <c r="I6" s="42" t="s">
        <v>81</v>
      </c>
      <c r="J6" s="41"/>
      <c r="K6" s="41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1"/>
      <c r="AB6" s="41"/>
      <c r="AC6" s="41"/>
      <c r="AD6" s="41"/>
    </row>
    <row r="7" spans="1:30" x14ac:dyDescent="0.15">
      <c r="A7" s="45" t="s">
        <v>186</v>
      </c>
      <c r="B7" s="41" t="s">
        <v>116</v>
      </c>
      <c r="C7" s="46">
        <f t="shared" si="0"/>
        <v>20019</v>
      </c>
      <c r="D7" s="41" t="s">
        <v>106</v>
      </c>
      <c r="E7" s="40" t="str">
        <f>B7&amp;C7&amp;D7</f>
        <v>enemy_skills_i18n_20019.tmp</v>
      </c>
      <c r="F7" s="41" t="s">
        <v>117</v>
      </c>
      <c r="G7" s="42" t="s">
        <v>79</v>
      </c>
      <c r="H7" s="42" t="s">
        <v>90</v>
      </c>
      <c r="I7" s="42" t="s">
        <v>91</v>
      </c>
      <c r="J7" s="42" t="s">
        <v>92</v>
      </c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</row>
    <row r="8" spans="1:30" x14ac:dyDescent="0.15">
      <c r="A8" s="45" t="s">
        <v>186</v>
      </c>
      <c r="B8" s="41" t="s">
        <v>118</v>
      </c>
      <c r="C8" s="46">
        <f t="shared" si="0"/>
        <v>20019</v>
      </c>
      <c r="D8" s="41" t="s">
        <v>119</v>
      </c>
      <c r="E8" s="40" t="str">
        <f t="shared" si="1"/>
        <v>enemy_skill_triggers_20019.tmp</v>
      </c>
      <c r="F8" s="41" t="s">
        <v>120</v>
      </c>
      <c r="G8" s="42" t="s">
        <v>93</v>
      </c>
      <c r="H8" s="42" t="s">
        <v>94</v>
      </c>
      <c r="I8" s="42" t="s">
        <v>95</v>
      </c>
      <c r="J8" s="42" t="s">
        <v>96</v>
      </c>
      <c r="K8" s="42" t="s">
        <v>121</v>
      </c>
      <c r="L8" s="42" t="s">
        <v>97</v>
      </c>
      <c r="M8" s="42" t="s">
        <v>122</v>
      </c>
      <c r="N8" s="42" t="s">
        <v>123</v>
      </c>
      <c r="O8" s="42" t="s">
        <v>124</v>
      </c>
      <c r="P8" s="42" t="s">
        <v>67</v>
      </c>
      <c r="Q8" s="41"/>
      <c r="R8" s="41"/>
      <c r="S8" s="41"/>
      <c r="T8" s="41"/>
      <c r="U8" s="41"/>
      <c r="V8" s="41"/>
      <c r="W8" s="41"/>
      <c r="X8" s="41"/>
      <c r="Y8" s="41"/>
      <c r="Z8" s="41"/>
      <c r="AA8" s="41"/>
      <c r="AB8" s="41"/>
      <c r="AC8" s="41"/>
      <c r="AD8" s="41"/>
    </row>
    <row r="9" spans="1:30" x14ac:dyDescent="0.15">
      <c r="A9" s="45" t="s">
        <v>186</v>
      </c>
      <c r="B9" s="50" t="s">
        <v>176</v>
      </c>
      <c r="C9" s="46">
        <f t="shared" si="0"/>
        <v>20019</v>
      </c>
      <c r="D9" s="50" t="s">
        <v>170</v>
      </c>
      <c r="E9" s="51" t="str">
        <f t="shared" si="1"/>
        <v>stage_bug_bonuses_20019.tmp</v>
      </c>
      <c r="F9" s="50" t="s">
        <v>171</v>
      </c>
      <c r="G9" s="47" t="s">
        <v>148</v>
      </c>
      <c r="H9" s="47" t="s">
        <v>172</v>
      </c>
      <c r="I9" s="47" t="s">
        <v>173</v>
      </c>
      <c r="J9" s="49" t="s">
        <v>174</v>
      </c>
      <c r="K9" s="47" t="s">
        <v>175</v>
      </c>
      <c r="L9" s="47" t="s">
        <v>154</v>
      </c>
      <c r="M9" s="47" t="s">
        <v>155</v>
      </c>
      <c r="N9" s="47" t="s">
        <v>156</v>
      </c>
      <c r="O9" s="47" t="s">
        <v>157</v>
      </c>
      <c r="P9" s="47" t="s">
        <v>158</v>
      </c>
      <c r="Q9" s="47" t="s">
        <v>159</v>
      </c>
      <c r="R9" s="47" t="s">
        <v>160</v>
      </c>
      <c r="S9" s="47" t="s">
        <v>161</v>
      </c>
      <c r="T9" s="47" t="s">
        <v>162</v>
      </c>
      <c r="U9" s="47" t="s">
        <v>163</v>
      </c>
      <c r="V9" s="47" t="s">
        <v>164</v>
      </c>
      <c r="W9" s="47" t="s">
        <v>165</v>
      </c>
      <c r="X9" s="41"/>
      <c r="Y9" s="41"/>
      <c r="Z9" s="41"/>
      <c r="AA9" s="41"/>
      <c r="AB9" s="41"/>
      <c r="AC9" s="41"/>
      <c r="AD9" s="41"/>
    </row>
    <row r="10" spans="1:30" s="56" customFormat="1" x14ac:dyDescent="0.15">
      <c r="A10" s="45" t="s">
        <v>186</v>
      </c>
      <c r="B10" s="50" t="s">
        <v>202</v>
      </c>
      <c r="C10" s="46">
        <f>C$2</f>
        <v>20019</v>
      </c>
      <c r="D10" s="50" t="s">
        <v>179</v>
      </c>
      <c r="E10" s="51" t="str">
        <f t="shared" si="1"/>
        <v>stage_hints_data_c_20019.tmp</v>
      </c>
      <c r="F10" s="50" t="s">
        <v>211</v>
      </c>
      <c r="G10" s="54" t="s">
        <v>180</v>
      </c>
      <c r="H10" s="54" t="s">
        <v>172</v>
      </c>
      <c r="I10" s="55" t="s">
        <v>181</v>
      </c>
      <c r="J10" s="49" t="s">
        <v>182</v>
      </c>
      <c r="K10" s="49" t="s">
        <v>183</v>
      </c>
      <c r="L10" s="85"/>
      <c r="M10" s="85"/>
      <c r="N10" s="85"/>
      <c r="O10" s="85"/>
      <c r="P10" s="85"/>
      <c r="Q10" s="85"/>
      <c r="R10" s="85"/>
      <c r="S10" s="85"/>
      <c r="T10" s="85"/>
      <c r="U10" s="85"/>
      <c r="V10" s="85"/>
      <c r="W10" s="85"/>
      <c r="X10" s="85"/>
      <c r="Y10" s="85"/>
      <c r="Z10" s="85"/>
      <c r="AA10" s="85"/>
      <c r="AB10" s="85"/>
      <c r="AC10" s="85"/>
      <c r="AD10" s="85"/>
    </row>
    <row r="11" spans="1:30" s="56" customFormat="1" x14ac:dyDescent="0.15">
      <c r="A11" s="45" t="s">
        <v>186</v>
      </c>
      <c r="B11" s="50" t="s">
        <v>203</v>
      </c>
      <c r="C11" s="46">
        <f t="shared" si="0"/>
        <v>20019</v>
      </c>
      <c r="D11" s="50" t="s">
        <v>170</v>
      </c>
      <c r="E11" s="51" t="str">
        <f t="shared" ref="E11:E13" si="2">B11&amp;C11&amp;D11</f>
        <v>stage_hints_data_f_20019.tmp</v>
      </c>
      <c r="F11" s="50" t="s">
        <v>213</v>
      </c>
      <c r="G11" s="54" t="s">
        <v>180</v>
      </c>
      <c r="H11" s="54" t="s">
        <v>172</v>
      </c>
      <c r="I11" s="55" t="s">
        <v>181</v>
      </c>
      <c r="J11" s="49" t="s">
        <v>182</v>
      </c>
      <c r="K11" s="49" t="s">
        <v>183</v>
      </c>
      <c r="L11" s="85"/>
      <c r="M11" s="85"/>
      <c r="N11" s="85"/>
      <c r="O11" s="85"/>
      <c r="P11" s="85"/>
      <c r="Q11" s="85"/>
      <c r="R11" s="85"/>
      <c r="S11" s="85"/>
      <c r="T11" s="85"/>
      <c r="U11" s="85"/>
      <c r="V11" s="85"/>
      <c r="W11" s="85"/>
      <c r="X11" s="85"/>
      <c r="Y11" s="85"/>
      <c r="Z11" s="85"/>
      <c r="AA11" s="85"/>
      <c r="AB11" s="85"/>
      <c r="AC11" s="85"/>
      <c r="AD11" s="85"/>
    </row>
    <row r="12" spans="1:30" s="56" customFormat="1" x14ac:dyDescent="0.15">
      <c r="A12" s="50" t="s">
        <v>204</v>
      </c>
      <c r="B12" s="50" t="s">
        <v>205</v>
      </c>
      <c r="C12" s="46">
        <f t="shared" si="0"/>
        <v>20019</v>
      </c>
      <c r="D12" s="50" t="s">
        <v>170</v>
      </c>
      <c r="E12" s="51" t="str">
        <f t="shared" si="2"/>
        <v>stage_hints_i18n_20019.tmp</v>
      </c>
      <c r="F12" s="50" t="s">
        <v>214</v>
      </c>
      <c r="G12" s="55" t="s">
        <v>206</v>
      </c>
      <c r="H12" s="77" t="s">
        <v>207</v>
      </c>
      <c r="I12" s="54" t="s">
        <v>208</v>
      </c>
      <c r="J12" s="86" t="s">
        <v>209</v>
      </c>
      <c r="K12" s="49" t="s">
        <v>210</v>
      </c>
      <c r="L12" s="85"/>
      <c r="M12" s="85"/>
      <c r="N12" s="85"/>
      <c r="O12" s="85"/>
      <c r="P12" s="85"/>
      <c r="Q12" s="85"/>
      <c r="R12" s="85"/>
      <c r="S12" s="85"/>
      <c r="T12" s="85"/>
      <c r="U12" s="85"/>
      <c r="V12" s="85"/>
      <c r="W12" s="85"/>
      <c r="X12" s="85"/>
      <c r="Y12" s="85"/>
      <c r="Z12" s="85"/>
      <c r="AA12" s="85"/>
      <c r="AB12" s="85"/>
      <c r="AC12" s="85"/>
      <c r="AD12" s="85"/>
    </row>
    <row r="13" spans="1:30" s="56" customFormat="1" x14ac:dyDescent="0.15">
      <c r="A13" s="50" t="s">
        <v>256</v>
      </c>
      <c r="B13" s="50" t="s">
        <v>255</v>
      </c>
      <c r="C13" s="46">
        <f t="shared" si="0"/>
        <v>20019</v>
      </c>
      <c r="D13" s="50" t="s">
        <v>236</v>
      </c>
      <c r="E13" s="51" t="str">
        <f t="shared" si="2"/>
        <v>stage_bonuses_20019.tmp</v>
      </c>
      <c r="F13" s="50" t="s">
        <v>235</v>
      </c>
      <c r="G13" s="54" t="s">
        <v>237</v>
      </c>
      <c r="H13" s="54" t="s">
        <v>238</v>
      </c>
      <c r="I13" s="54" t="s">
        <v>239</v>
      </c>
      <c r="J13" s="54" t="s">
        <v>240</v>
      </c>
      <c r="K13" s="54" t="s">
        <v>241</v>
      </c>
      <c r="L13" s="54" t="s">
        <v>242</v>
      </c>
      <c r="M13" s="54" t="s">
        <v>243</v>
      </c>
      <c r="N13" s="54" t="s">
        <v>244</v>
      </c>
      <c r="O13" s="54" t="s">
        <v>245</v>
      </c>
      <c r="P13" s="54" t="s">
        <v>246</v>
      </c>
      <c r="Q13" s="54" t="s">
        <v>247</v>
      </c>
      <c r="R13" s="54" t="s">
        <v>248</v>
      </c>
      <c r="S13" s="54" t="s">
        <v>249</v>
      </c>
      <c r="T13" s="54" t="s">
        <v>250</v>
      </c>
      <c r="U13" s="54" t="s">
        <v>251</v>
      </c>
      <c r="V13" s="54" t="s">
        <v>252</v>
      </c>
      <c r="W13" s="54" t="s">
        <v>253</v>
      </c>
      <c r="X13" s="54" t="s">
        <v>254</v>
      </c>
      <c r="Y13" s="85"/>
      <c r="Z13" s="85"/>
      <c r="AA13" s="85"/>
      <c r="AB13" s="85"/>
      <c r="AC13" s="85"/>
      <c r="AD13" s="85"/>
    </row>
  </sheetData>
  <phoneticPr fontId="5"/>
  <dataValidations count="1">
    <dataValidation type="list" allowBlank="1" showInputMessage="1" showErrorMessage="1" sqref="A2:A11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5"/>
  <sheetViews>
    <sheetView showGridLines="0" workbookViewId="0">
      <pane ySplit="1" topLeftCell="A2" activePane="bottomLeft" state="frozen"/>
      <selection activeCell="V2" sqref="V2:X34"/>
      <selection pane="bottomLeft" activeCell="J4" sqref="J4"/>
    </sheetView>
  </sheetViews>
  <sheetFormatPr baseColWidth="12" defaultColWidth="13" defaultRowHeight="21" customHeight="1" outlineLevelCol="1" x14ac:dyDescent="0.15"/>
  <cols>
    <col min="1" max="1" width="8.83203125" style="14" bestFit="1" customWidth="1"/>
    <col min="2" max="2" width="5" style="14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4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2" t="s">
        <v>30</v>
      </c>
      <c r="B1" s="12" t="s">
        <v>36</v>
      </c>
      <c r="C1" s="1" t="s">
        <v>0</v>
      </c>
      <c r="D1" s="2" t="s">
        <v>18</v>
      </c>
      <c r="E1" s="11" t="s">
        <v>33</v>
      </c>
      <c r="F1" s="1" t="s">
        <v>1</v>
      </c>
      <c r="G1" s="16" t="s">
        <v>32</v>
      </c>
      <c r="H1" s="11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2" t="str">
        <f t="shared" ref="A2:A5" si="0">G2&amp;"-"&amp;I2</f>
        <v>20019_1-1</v>
      </c>
      <c r="B2" s="12" t="str">
        <f>IF(COUNTIF(enemy_habitats!$H:$H,A2),"OK","NG")</f>
        <v>OK</v>
      </c>
      <c r="C2" s="4">
        <v>20019</v>
      </c>
      <c r="D2" s="7" t="str">
        <f ca="1">VLOOKUP($C2,OFFSET([2]quests!$A$1,0,0,COUNTA([2]quests!$A:$A),MATCH(D$1,[2]quests!$1:$1,0)-MATCH($C$1,[2]quests!$1:$1,0)+1),MATCH(D$1,[2]quests!$1:$1,0)-MATCH($C$1,[2]quests!$1:$1,0)+1,FALSE)</f>
        <v>平安編０１（仮）</v>
      </c>
      <c r="E2" s="13" t="str">
        <f ca="1">VLOOKUP($C2,OFFSET([2]quests!$A$1,0,0,COUNTA([2]quests!$A:$A),MATCH(E$1,[2]quests!$1:$1,0)-MATCH($C$1,[2]quests!$1:$1,0)+1),MATCH(E$1,[2]quests!$1:$1,0)-MATCH($C$1,[2]quests!$1:$1,0)+1,FALSE)</f>
        <v>平安01</v>
      </c>
      <c r="F2" s="15">
        <v>1</v>
      </c>
      <c r="G2" s="16" t="str">
        <f t="shared" ref="G2:G5" si="1">C2&amp;"_"&amp;F2</f>
        <v>20019_1</v>
      </c>
      <c r="H2" s="11" t="str">
        <f ca="1">VLOOKUP($G2,OFFSET([2]stages!$A$1,0,0,COUNTA([2]stages!$A:$A),MATCH(H$1,[2]stages!$2:$2,0)-MATCH($G$1,[2]stages!$2:$2,0)+1),MATCH(H$1,[2]stages!$2:$2,0)-MATCH($G$1,[2]stages!$2:$2,0)+1,FALSE)</f>
        <v>【初級】平安編０１（仮）</v>
      </c>
      <c r="I2" s="15">
        <v>1</v>
      </c>
      <c r="J2" s="8">
        <v>60</v>
      </c>
      <c r="K2" s="8">
        <v>60</v>
      </c>
    </row>
    <row r="3" spans="1:11" ht="21" customHeight="1" x14ac:dyDescent="0.15">
      <c r="A3" s="12" t="str">
        <f t="shared" si="0"/>
        <v>20019_1-2</v>
      </c>
      <c r="B3" s="12" t="str">
        <f>IF(COUNTIF(enemy_habitats!$H:$H,A3),"OK","NG")</f>
        <v>OK</v>
      </c>
      <c r="C3" s="4">
        <v>20019</v>
      </c>
      <c r="D3" s="7" t="str">
        <f ca="1">VLOOKUP($C3,OFFSET([2]quests!$A$1,0,0,COUNTA([2]quests!$A:$A),MATCH(D$1,[2]quests!$1:$1,0)-MATCH($C$1,[2]quests!$1:$1,0)+1),MATCH(D$1,[2]quests!$1:$1,0)-MATCH($C$1,[2]quests!$1:$1,0)+1,FALSE)</f>
        <v>平安編０１（仮）</v>
      </c>
      <c r="E3" s="13" t="str">
        <f ca="1">VLOOKUP($C3,OFFSET([2]quests!$A$1,0,0,COUNTA([2]quests!$A:$A),MATCH(E$1,[2]quests!$1:$1,0)-MATCH($C$1,[2]quests!$1:$1,0)+1),MATCH(E$1,[2]quests!$1:$1,0)-MATCH($C$1,[2]quests!$1:$1,0)+1,FALSE)</f>
        <v>平安01</v>
      </c>
      <c r="F3" s="15">
        <v>1</v>
      </c>
      <c r="G3" s="16" t="str">
        <f t="shared" si="1"/>
        <v>20019_1</v>
      </c>
      <c r="H3" s="11" t="str">
        <f ca="1">VLOOKUP($G3,OFFSET([2]stages!$A$1,0,0,COUNTA([2]stages!$A:$A),MATCH(H$1,[2]stages!$2:$2,0)-MATCH($G$1,[2]stages!$2:$2,0)+1),MATCH(H$1,[2]stages!$2:$2,0)-MATCH($G$1,[2]stages!$2:$2,0)+1,FALSE)</f>
        <v>【初級】平安編０１（仮）</v>
      </c>
      <c r="I3" s="15">
        <v>2</v>
      </c>
      <c r="J3" s="8">
        <v>60</v>
      </c>
      <c r="K3" s="8">
        <v>60</v>
      </c>
    </row>
    <row r="4" spans="1:11" ht="21" customHeight="1" x14ac:dyDescent="0.15">
      <c r="A4" s="12" t="str">
        <f t="shared" si="0"/>
        <v>20019_1-3</v>
      </c>
      <c r="B4" s="12" t="str">
        <f>IF(COUNTIF(enemy_habitats!$H:$H,A4),"OK","NG")</f>
        <v>OK</v>
      </c>
      <c r="C4" s="4">
        <v>20019</v>
      </c>
      <c r="D4" s="7" t="str">
        <f ca="1">VLOOKUP($C4,OFFSET([2]quests!$A$1,0,0,COUNTA([2]quests!$A:$A),MATCH(D$1,[2]quests!$1:$1,0)-MATCH($C$1,[2]quests!$1:$1,0)+1),MATCH(D$1,[2]quests!$1:$1,0)-MATCH($C$1,[2]quests!$1:$1,0)+1,FALSE)</f>
        <v>平安編０１（仮）</v>
      </c>
      <c r="E4" s="13" t="str">
        <f ca="1">VLOOKUP($C4,OFFSET([2]quests!$A$1,0,0,COUNTA([2]quests!$A:$A),MATCH(E$1,[2]quests!$1:$1,0)-MATCH($C$1,[2]quests!$1:$1,0)+1),MATCH(E$1,[2]quests!$1:$1,0)-MATCH($C$1,[2]quests!$1:$1,0)+1,FALSE)</f>
        <v>平安01</v>
      </c>
      <c r="F4" s="15">
        <v>1</v>
      </c>
      <c r="G4" s="16" t="str">
        <f t="shared" si="1"/>
        <v>20019_1</v>
      </c>
      <c r="H4" s="11" t="str">
        <f ca="1">VLOOKUP($G4,OFFSET([2]stages!$A$1,0,0,COUNTA([2]stages!$A:$A),MATCH(H$1,[2]stages!$2:$2,0)-MATCH($G$1,[2]stages!$2:$2,0)+1),MATCH(H$1,[2]stages!$2:$2,0)-MATCH($G$1,[2]stages!$2:$2,0)+1,FALSE)</f>
        <v>【初級】平安編０１（仮）</v>
      </c>
      <c r="I4" s="15">
        <v>3</v>
      </c>
      <c r="J4" s="8">
        <v>60</v>
      </c>
      <c r="K4" s="8">
        <v>60</v>
      </c>
    </row>
    <row r="5" spans="1:11" ht="21" customHeight="1" x14ac:dyDescent="0.15">
      <c r="A5" s="12" t="str">
        <f t="shared" si="0"/>
        <v>20019_1-4</v>
      </c>
      <c r="B5" s="12" t="str">
        <f>IF(COUNTIF(enemy_habitats!$H:$H,A5),"OK","NG")</f>
        <v>OK</v>
      </c>
      <c r="C5" s="4">
        <v>20019</v>
      </c>
      <c r="D5" s="7" t="str">
        <f ca="1">VLOOKUP($C5,OFFSET([2]quests!$A$1,0,0,COUNTA([2]quests!$A:$A),MATCH(D$1,[2]quests!$1:$1,0)-MATCH($C$1,[2]quests!$1:$1,0)+1),MATCH(D$1,[2]quests!$1:$1,0)-MATCH($C$1,[2]quests!$1:$1,0)+1,FALSE)</f>
        <v>平安編０１（仮）</v>
      </c>
      <c r="E5" s="13" t="str">
        <f ca="1">VLOOKUP($C5,OFFSET([2]quests!$A$1,0,0,COUNTA([2]quests!$A:$A),MATCH(E$1,[2]quests!$1:$1,0)-MATCH($C$1,[2]quests!$1:$1,0)+1),MATCH(E$1,[2]quests!$1:$1,0)-MATCH($C$1,[2]quests!$1:$1,0)+1,FALSE)</f>
        <v>平安01</v>
      </c>
      <c r="F5" s="15">
        <v>1</v>
      </c>
      <c r="G5" s="16" t="str">
        <f t="shared" si="1"/>
        <v>20019_1</v>
      </c>
      <c r="H5" s="11" t="str">
        <f ca="1">VLOOKUP($G5,OFFSET([2]stages!$A$1,0,0,COUNTA([2]stages!$A:$A),MATCH(H$1,[2]stages!$2:$2,0)-MATCH($G$1,[2]stages!$2:$2,0)+1),MATCH(H$1,[2]stages!$2:$2,0)-MATCH($G$1,[2]stages!$2:$2,0)+1,FALSE)</f>
        <v>【初級】平安編０１（仮）</v>
      </c>
      <c r="I5" s="15">
        <v>4</v>
      </c>
      <c r="J5" s="8">
        <v>60</v>
      </c>
      <c r="K5" s="8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8"/>
  <sheetViews>
    <sheetView showGridLines="0" tabSelected="1" zoomScale="75" zoomScaleNormal="75" zoomScalePageLayoutView="75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A2" sqref="A2"/>
    </sheetView>
  </sheetViews>
  <sheetFormatPr baseColWidth="12" defaultColWidth="13" defaultRowHeight="21" customHeight="1" outlineLevelCol="1" x14ac:dyDescent="0.15"/>
  <cols>
    <col min="1" max="1" width="15.83203125" style="14" bestFit="1" customWidth="1"/>
    <col min="2" max="2" width="10.83203125" style="3" bestFit="1" customWidth="1"/>
    <col min="3" max="3" width="10.6640625" style="3" bestFit="1" customWidth="1"/>
    <col min="4" max="4" width="13" style="10" customWidth="1" outlineLevel="1"/>
    <col min="5" max="5" width="11.6640625" style="3" customWidth="1" outlineLevel="1"/>
    <col min="6" max="6" width="16.1640625" style="3" customWidth="1" outlineLevel="1"/>
    <col min="7" max="7" width="10" style="3" bestFit="1" customWidth="1"/>
    <col min="8" max="10" width="12.33203125" style="3" customWidth="1" outlineLevel="1"/>
    <col min="11" max="11" width="12.33203125" style="3" customWidth="1"/>
    <col min="12" max="12" width="13.5" style="5" bestFit="1" customWidth="1"/>
    <col min="13" max="13" width="8.8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4.83203125" style="89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8.83203125" style="9" bestFit="1" customWidth="1" outlineLevel="1"/>
    <col min="32" max="32" width="8" style="10" bestFit="1" customWidth="1" outlineLevel="1"/>
    <col min="33" max="33" width="12" style="10" bestFit="1" customWidth="1" outlineLevel="1"/>
    <col min="34" max="34" width="15" style="6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25" customFormat="1" ht="21" customHeight="1" x14ac:dyDescent="0.15">
      <c r="A1" s="18" t="s">
        <v>29</v>
      </c>
      <c r="B1" s="24" t="s">
        <v>0</v>
      </c>
      <c r="C1" s="24" t="s">
        <v>1</v>
      </c>
      <c r="D1" s="94" t="s">
        <v>28</v>
      </c>
      <c r="E1" s="94" t="s">
        <v>20</v>
      </c>
      <c r="F1" s="94" t="s">
        <v>20</v>
      </c>
      <c r="G1" s="24" t="s">
        <v>19</v>
      </c>
      <c r="H1" s="94" t="s">
        <v>35</v>
      </c>
      <c r="I1" s="94" t="s">
        <v>14</v>
      </c>
      <c r="J1" s="94" t="s">
        <v>15</v>
      </c>
      <c r="K1" s="95" t="s">
        <v>54</v>
      </c>
      <c r="L1" s="95" t="s">
        <v>2</v>
      </c>
      <c r="M1" s="96" t="s">
        <v>21</v>
      </c>
      <c r="N1" s="94" t="s">
        <v>24</v>
      </c>
      <c r="O1" s="94" t="s">
        <v>23</v>
      </c>
      <c r="P1" s="97" t="s">
        <v>26</v>
      </c>
      <c r="Q1" s="94" t="s">
        <v>25</v>
      </c>
      <c r="R1" s="24" t="s">
        <v>3</v>
      </c>
      <c r="S1" s="24" t="s">
        <v>48</v>
      </c>
      <c r="T1" s="98" t="s">
        <v>257</v>
      </c>
      <c r="U1" s="24" t="s">
        <v>50</v>
      </c>
      <c r="V1" s="98" t="s">
        <v>258</v>
      </c>
      <c r="W1" s="24" t="s">
        <v>52</v>
      </c>
      <c r="X1" s="94" t="s">
        <v>31</v>
      </c>
      <c r="Y1" s="24" t="s">
        <v>4</v>
      </c>
      <c r="Z1" s="24" t="s">
        <v>5</v>
      </c>
      <c r="AA1" s="24" t="s">
        <v>6</v>
      </c>
      <c r="AB1" s="24" t="s">
        <v>7</v>
      </c>
      <c r="AC1" s="24" t="s">
        <v>8</v>
      </c>
      <c r="AD1" s="24" t="s">
        <v>9</v>
      </c>
      <c r="AE1" s="99" t="s">
        <v>16</v>
      </c>
      <c r="AF1" s="99" t="s">
        <v>17</v>
      </c>
      <c r="AG1" s="99" t="s">
        <v>27</v>
      </c>
      <c r="AH1" s="24" t="s">
        <v>10</v>
      </c>
      <c r="AI1" s="24" t="s">
        <v>11</v>
      </c>
      <c r="AJ1" s="24" t="s">
        <v>12</v>
      </c>
      <c r="AK1" s="24" t="s">
        <v>38</v>
      </c>
      <c r="AL1" s="24" t="s">
        <v>40</v>
      </c>
      <c r="AM1" s="24" t="s">
        <v>42</v>
      </c>
      <c r="AN1" s="24" t="s">
        <v>44</v>
      </c>
      <c r="AO1" s="24" t="s">
        <v>46</v>
      </c>
      <c r="AP1" s="95" t="s">
        <v>178</v>
      </c>
    </row>
    <row r="2" spans="1:42" ht="21" customHeight="1" x14ac:dyDescent="0.15">
      <c r="A2" s="100" t="str">
        <f t="shared" ref="A2:A8" ca="1" si="0">B2&amp;"_"&amp;C2&amp;"-"&amp;G2&amp;"/"&amp;L2&amp;"&lt;lv"&amp;R2&amp;"&gt;s"&amp;AC2</f>
        <v>20019_1-1/360&lt;lv10&gt;s3</v>
      </c>
      <c r="B2" s="101">
        <v>20019</v>
      </c>
      <c r="C2" s="90">
        <v>1</v>
      </c>
      <c r="D2" s="11" t="str">
        <f t="shared" ref="D2:D8" si="1">B2&amp;"_"&amp;C2</f>
        <v>20019_1</v>
      </c>
      <c r="E2" s="13" t="str">
        <f ca="1">VLOOKUP($B2,OFFSET([2]quests!$A$1,0,0,COUNTA([2]quests!$A:$A),MATCH(E$1,[2]quests!$1:$1,0)-MATCH($B$1,[2]quests!$1:$1,0)+1),MATCH(E$1,[2]quests!$1:$1,0)-MATCH($B$1,[2]quests!$1:$1,0)+1,FALSE)</f>
        <v>平安編０１（仮）</v>
      </c>
      <c r="F2" s="13" t="str">
        <f ca="1">VLOOKUP($D2,OFFSET([2]stages!$A$1,0,0,COUNTA([2]stages!$A:$A),MATCH(F$1,[2]stages!$2:$2,0)-MATCH($D$1,[2]stages!$2:$2,0)+1),MATCH(F$1,[2]stages!$2:$2,0)-MATCH($D$1,[2]stages!$2:$2,0)+1,FALSE)</f>
        <v>【初級】平安編０１（仮）</v>
      </c>
      <c r="G2" s="90">
        <v>1</v>
      </c>
      <c r="H2" s="11" t="str">
        <f t="shared" ref="H2:H8" si="2">B2&amp;"_"&amp;C2&amp;"-"&amp;G2</f>
        <v>20019_1-1</v>
      </c>
      <c r="I2" s="13">
        <f ca="1">VLOOKUP($H2,OFFSET(floors!$A$1,0,0,COUNTA(floors!$A:$A),MATCH(I$1,floors!$1:$1,0)-MATCH($H$1,floors!$1:$1,0)+1),MATCH(I$1,floors!$1:$1,0)-MATCH($H$1,floors!$1:$1,0)+1,FALSE)</f>
        <v>60</v>
      </c>
      <c r="J2" s="13">
        <f ca="1">VLOOKUP($H2,OFFSET(floors!$A$1,0,0,COUNTA(floors!$A:$A),MATCH(J$1,floors!$1:$1,0)-MATCH($H$1,floors!$1:$1,0)+1),MATCH(J$1,floors!$1:$1,0)-MATCH($H$1,floors!$1:$1,0)+1,FALSE)</f>
        <v>60</v>
      </c>
      <c r="K2" s="28" t="s">
        <v>53</v>
      </c>
      <c r="L2" s="91">
        <v>360</v>
      </c>
      <c r="M2" s="13" t="str">
        <f ca="1">VLOOKUP($L2,OFFSET([3]enemies!$A$1,0,0,COUNTA([3]enemies!$A:$A),MATCH(M$1,[3]enemies!$1:$1,0)-MATCH($L$1,[3]enemies!$1:$1,0)+1),MATCH(M$1,[3]enemies!$1:$1,0)-MATCH($L$1,[3]enemies!$1:$1,0)+1,FALSE)</f>
        <v>ガンテツ</v>
      </c>
      <c r="N2" s="13" t="str">
        <f ca="1">VLOOKUP($L2,OFFSET([3]enemies!$A$1,0,0,COUNTA([3]enemies!$A:$A),MATCH(N$1,[3]enemies!$1:$1,0)-MATCH($L$1,[3]enemies!$1:$1,0)+1),MATCH(N$1,[3]enemies!$1:$1,0)-MATCH($L$1,[3]enemies!$1:$1,0)+1,FALSE)</f>
        <v>red</v>
      </c>
      <c r="O2" s="13" t="str">
        <f ca="1">VLOOKUP($L2,OFFSET([4]characters!$A$1,0,0,COUNTA([4]characters!$A:$A),MATCH(O$1,[4]characters!$1:$1,0)-MATCH($L$1,[4]characters!$1:$1,0)+1),MATCH(O$1,[4]characters!$1:$1,0)-MATCH($L$1,[4]characters!$1:$1,0)+1,FALSE)</f>
        <v>Drop1S</v>
      </c>
      <c r="P2" s="13" t="str">
        <f ca="1">VLOOKUP($L2,OFFSET([3]enemies!$A$1,0,0,COUNTA([3]enemies!$A:$A),MATCH(P$1,[3]enemies!$1:$1,0)-MATCH($L$1,[3]enemies!$1:$1,0)+1),MATCH(P$1,[3]enemies!$1:$1,0)-MATCH($L$1,[3]enemies!$1:$1,0)+1,FALSE)</f>
        <v>animal</v>
      </c>
      <c r="Q2" s="13">
        <f ca="1">VLOOKUP($L2,OFFSET([3]enemies!$A$1,0,0,COUNTA([3]enemies!$A:$A),MATCH(Q$1,[3]enemies!$1:$1,0)-MATCH($L$1,[3]enemies!$1:$1,0)+1),MATCH(Q$1,[3]enemies!$1:$1,0)-MATCH($L$1,[3]enemies!$1:$1,0)+1,FALSE)</f>
        <v>15</v>
      </c>
      <c r="R2" s="102">
        <v>10</v>
      </c>
      <c r="S2" s="103">
        <v>0.9</v>
      </c>
      <c r="T2" s="88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3001.5</v>
      </c>
      <c r="U2" s="103">
        <v>0.7</v>
      </c>
      <c r="V2" s="88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460.59999999999997</v>
      </c>
      <c r="W2" s="102">
        <v>0</v>
      </c>
      <c r="X2" s="13" t="str">
        <f ca="1">VLOOKUP($Y2,OFFSET([5]enemy_skill_sets!$B$1,0,0,COUNTA([5]enemy_skill_sets!$B:$B),MATCH(M$1,[5]enemy_skill_sets!$1:$1,0)-MATCH($Y$1,[5]enemy_skill_sets!$1:$1,0)+2),MATCH(M$1,[5]enemy_skill_sets!$1:$1,0)-MATCH($Y$1,[5]enemy_skill_sets!$1:$1,0)+2,FALSE)</f>
        <v>なし</v>
      </c>
      <c r="Y2" s="13">
        <f ca="1">VLOOKUP($L2,OFFSET([3]enemies!$A$1,0,0,COUNTA([3]enemies!$A:$A),MATCH(Y$1,[3]enemies!$1:$1,0)-MATCH($L$1,[3]enemies!$1:$1,0)+1),MATCH(Y$1,[3]enemies!$1:$1,0)-MATCH($L$1,[3]enemies!$1:$1,0)+1,FALSE)</f>
        <v>0</v>
      </c>
      <c r="Z2" s="104">
        <v>2</v>
      </c>
      <c r="AA2" s="104">
        <v>100</v>
      </c>
      <c r="AB2" s="104">
        <v>0</v>
      </c>
      <c r="AC2" s="13">
        <f ca="1">VLOOKUP($L2,OFFSET([3]enemies!$A$1,0,0,COUNTA([3]enemies!$A:$A),MATCH(AC$1,[3]enemies!$1:$1,0)-MATCH($L$1,[3]enemies!$1:$1,0)+1),MATCH(AC$1,[3]enemies!$1:$1,0)-MATCH($L$1,[3]enemies!$1:$1,0)+1,FALSE)</f>
        <v>3</v>
      </c>
      <c r="AD2" s="92">
        <f t="shared" ref="AD2:AD8" si="3">L2</f>
        <v>360</v>
      </c>
      <c r="AE2" s="13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ガンテツ</v>
      </c>
      <c r="AF2" s="13">
        <f ca="1">VLOOKUP($AD2,OFFSET([4]characters!$A$1,0,0,COUNTA([4]characters!$A:$A),MATCH(AF$1,[4]characters!$1:$1,0)-MATCH("character_id",[4]characters!$1:$1,0)+1),MATCH(AF$1,[4]characters!$1:$1,0)-MATCH("character_id",[4]characters!$1:$1,0)+1,FALSE)</f>
        <v>2</v>
      </c>
      <c r="AG2" s="13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Drop1S</v>
      </c>
      <c r="AH2" s="93">
        <v>1</v>
      </c>
      <c r="AI2" s="92">
        <f t="shared" ref="AI2:AI8" ca="1" si="4">AF2</f>
        <v>2</v>
      </c>
      <c r="AJ2" s="104">
        <v>0</v>
      </c>
      <c r="AK2" s="93">
        <v>0</v>
      </c>
      <c r="AL2" s="93">
        <v>0</v>
      </c>
      <c r="AM2" s="93">
        <v>0</v>
      </c>
      <c r="AN2" s="93">
        <v>0</v>
      </c>
      <c r="AO2" s="93">
        <v>1</v>
      </c>
      <c r="AP2" s="104">
        <v>1</v>
      </c>
    </row>
    <row r="3" spans="1:42" ht="21" customHeight="1" x14ac:dyDescent="0.15">
      <c r="A3" s="100" t="str">
        <f t="shared" ca="1" si="0"/>
        <v>20019_1-1/370&lt;lv10&gt;s2</v>
      </c>
      <c r="B3" s="101">
        <v>20019</v>
      </c>
      <c r="C3" s="90">
        <v>1</v>
      </c>
      <c r="D3" s="11" t="str">
        <f t="shared" si="1"/>
        <v>20019_1</v>
      </c>
      <c r="E3" s="13" t="str">
        <f ca="1">VLOOKUP($B3,OFFSET([2]quests!$A$1,0,0,COUNTA([2]quests!$A:$A),MATCH(E$1,[2]quests!$1:$1,0)-MATCH($B$1,[2]quests!$1:$1,0)+1),MATCH(E$1,[2]quests!$1:$1,0)-MATCH($B$1,[2]quests!$1:$1,0)+1,FALSE)</f>
        <v>平安編０１（仮）</v>
      </c>
      <c r="F3" s="13" t="str">
        <f ca="1">VLOOKUP($D3,OFFSET([2]stages!$A$1,0,0,COUNTA([2]stages!$A:$A),MATCH(F$1,[2]stages!$2:$2,0)-MATCH($D$1,[2]stages!$2:$2,0)+1),MATCH(F$1,[2]stages!$2:$2,0)-MATCH($D$1,[2]stages!$2:$2,0)+1,FALSE)</f>
        <v>【初級】平安編０１（仮）</v>
      </c>
      <c r="G3" s="90">
        <v>1</v>
      </c>
      <c r="H3" s="11" t="str">
        <f t="shared" si="2"/>
        <v>20019_1-1</v>
      </c>
      <c r="I3" s="13">
        <f ca="1">VLOOKUP($H3,OFFSET(floors!$A$1,0,0,COUNTA(floors!$A:$A),MATCH(I$1,floors!$1:$1,0)-MATCH($H$1,floors!$1:$1,0)+1),MATCH(I$1,floors!$1:$1,0)-MATCH($H$1,floors!$1:$1,0)+1,FALSE)</f>
        <v>60</v>
      </c>
      <c r="J3" s="13">
        <f ca="1">VLOOKUP($H3,OFFSET(floors!$A$1,0,0,COUNTA(floors!$A:$A),MATCH(J$1,floors!$1:$1,0)-MATCH($H$1,floors!$1:$1,0)+1),MATCH(J$1,floors!$1:$1,0)-MATCH($H$1,floors!$1:$1,0)+1,FALSE)</f>
        <v>60</v>
      </c>
      <c r="K3" s="28" t="s">
        <v>53</v>
      </c>
      <c r="L3" s="91">
        <v>370</v>
      </c>
      <c r="M3" s="13" t="str">
        <f ca="1">VLOOKUP($L3,OFFSET([3]enemies!$A$1,0,0,COUNTA([3]enemies!$A:$A),MATCH(M$1,[3]enemies!$1:$1,0)-MATCH($L$1,[3]enemies!$1:$1,0)+1),MATCH(M$1,[3]enemies!$1:$1,0)-MATCH($L$1,[3]enemies!$1:$1,0)+1,FALSE)</f>
        <v>タイチ</v>
      </c>
      <c r="N3" s="13" t="str">
        <f ca="1">VLOOKUP($L3,OFFSET([3]enemies!$A$1,0,0,COUNTA([3]enemies!$A:$A),MATCH(N$1,[3]enemies!$1:$1,0)-MATCH($L$1,[3]enemies!$1:$1,0)+1),MATCH(N$1,[3]enemies!$1:$1,0)-MATCH($L$1,[3]enemies!$1:$1,0)+1,FALSE)</f>
        <v>red</v>
      </c>
      <c r="O3" s="13" t="str">
        <f ca="1">VLOOKUP($L3,OFFSET([4]characters!$A$1,0,0,COUNTA([4]characters!$A:$A),MATCH(O$1,[4]characters!$1:$1,0)-MATCH($L$1,[4]characters!$1:$1,0)+1),MATCH(O$1,[4]characters!$1:$1,0)-MATCH($L$1,[4]characters!$1:$1,0)+1,FALSE)</f>
        <v>Drop1S</v>
      </c>
      <c r="P3" s="13" t="str">
        <f ca="1">VLOOKUP($L3,OFFSET([3]enemies!$A$1,0,0,COUNTA([3]enemies!$A:$A),MATCH(P$1,[3]enemies!$1:$1,0)-MATCH($L$1,[3]enemies!$1:$1,0)+1),MATCH(P$1,[3]enemies!$1:$1,0)-MATCH($L$1,[3]enemies!$1:$1,0)+1,FALSE)</f>
        <v>unknown</v>
      </c>
      <c r="Q3" s="13">
        <f ca="1">VLOOKUP($L3,OFFSET([3]enemies!$A$1,0,0,COUNTA([3]enemies!$A:$A),MATCH(Q$1,[3]enemies!$1:$1,0)-MATCH($L$1,[3]enemies!$1:$1,0)+1),MATCH(Q$1,[3]enemies!$1:$1,0)-MATCH($L$1,[3]enemies!$1:$1,0)+1,FALSE)</f>
        <v>15</v>
      </c>
      <c r="R3" s="102">
        <v>10</v>
      </c>
      <c r="S3" s="103">
        <v>1.3</v>
      </c>
      <c r="T3" s="88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2990</v>
      </c>
      <c r="U3" s="103">
        <v>0.5</v>
      </c>
      <c r="V3" s="88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468</v>
      </c>
      <c r="W3" s="102">
        <v>0</v>
      </c>
      <c r="X3" s="13" t="str">
        <f ca="1">VLOOKUP($Y3,OFFSET([5]enemy_skill_sets!$B$1,0,0,COUNTA([5]enemy_skill_sets!$B:$B),MATCH(M$1,[5]enemy_skill_sets!$1:$1,0)-MATCH($Y$1,[5]enemy_skill_sets!$1:$1,0)+2),MATCH(M$1,[5]enemy_skill_sets!$1:$1,0)-MATCH($Y$1,[5]enemy_skill_sets!$1:$1,0)+2,FALSE)</f>
        <v>なし</v>
      </c>
      <c r="Y3" s="13">
        <f ca="1">VLOOKUP($L3,OFFSET([3]enemies!$A$1,0,0,COUNTA([3]enemies!$A:$A),MATCH(Y$1,[3]enemies!$1:$1,0)-MATCH($L$1,[3]enemies!$1:$1,0)+1),MATCH(Y$1,[3]enemies!$1:$1,0)-MATCH($L$1,[3]enemies!$1:$1,0)+1,FALSE)</f>
        <v>0</v>
      </c>
      <c r="Z3" s="104">
        <v>2</v>
      </c>
      <c r="AA3" s="104">
        <v>100</v>
      </c>
      <c r="AB3" s="104">
        <v>0</v>
      </c>
      <c r="AC3" s="13">
        <f ca="1">VLOOKUP($L3,OFFSET([3]enemies!$A$1,0,0,COUNTA([3]enemies!$A:$A),MATCH(AC$1,[3]enemies!$1:$1,0)-MATCH($L$1,[3]enemies!$1:$1,0)+1),MATCH(AC$1,[3]enemies!$1:$1,0)-MATCH($L$1,[3]enemies!$1:$1,0)+1,FALSE)</f>
        <v>2</v>
      </c>
      <c r="AD3" s="92">
        <f t="shared" si="3"/>
        <v>370</v>
      </c>
      <c r="AE3" s="13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タイチ</v>
      </c>
      <c r="AF3" s="13">
        <f ca="1">VLOOKUP($AD3,OFFSET([4]characters!$A$1,0,0,COUNTA([4]characters!$A:$A),MATCH(AF$1,[4]characters!$1:$1,0)-MATCH("character_id",[4]characters!$1:$1,0)+1),MATCH(AF$1,[4]characters!$1:$1,0)-MATCH("character_id",[4]characters!$1:$1,0)+1,FALSE)</f>
        <v>2</v>
      </c>
      <c r="AG3" s="13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Drop1S</v>
      </c>
      <c r="AH3" s="93">
        <v>1</v>
      </c>
      <c r="AI3" s="92">
        <f t="shared" ca="1" si="4"/>
        <v>2</v>
      </c>
      <c r="AJ3" s="104">
        <v>0</v>
      </c>
      <c r="AK3" s="93">
        <v>0</v>
      </c>
      <c r="AL3" s="93">
        <v>0</v>
      </c>
      <c r="AM3" s="93">
        <v>0</v>
      </c>
      <c r="AN3" s="93">
        <v>0</v>
      </c>
      <c r="AO3" s="93">
        <v>1</v>
      </c>
      <c r="AP3" s="104">
        <v>1</v>
      </c>
    </row>
    <row r="4" spans="1:42" ht="21" customHeight="1" x14ac:dyDescent="0.15">
      <c r="A4" s="100" t="str">
        <f t="shared" ca="1" si="0"/>
        <v>20019_1-2/85&lt;lv10&gt;s2</v>
      </c>
      <c r="B4" s="101">
        <v>20019</v>
      </c>
      <c r="C4" s="90">
        <v>1</v>
      </c>
      <c r="D4" s="11" t="str">
        <f t="shared" si="1"/>
        <v>20019_1</v>
      </c>
      <c r="E4" s="13" t="str">
        <f ca="1">VLOOKUP($B4,OFFSET([2]quests!$A$1,0,0,COUNTA([2]quests!$A:$A),MATCH(E$1,[2]quests!$1:$1,0)-MATCH($B$1,[2]quests!$1:$1,0)+1),MATCH(E$1,[2]quests!$1:$1,0)-MATCH($B$1,[2]quests!$1:$1,0)+1,FALSE)</f>
        <v>平安編０１（仮）</v>
      </c>
      <c r="F4" s="13" t="str">
        <f ca="1">VLOOKUP($D4,OFFSET([2]stages!$A$1,0,0,COUNTA([2]stages!$A:$A),MATCH(F$1,[2]stages!$2:$2,0)-MATCH($D$1,[2]stages!$2:$2,0)+1),MATCH(F$1,[2]stages!$2:$2,0)-MATCH($D$1,[2]stages!$2:$2,0)+1,FALSE)</f>
        <v>【初級】平安編０１（仮）</v>
      </c>
      <c r="G4" s="90">
        <v>2</v>
      </c>
      <c r="H4" s="11" t="str">
        <f t="shared" si="2"/>
        <v>20019_1-2</v>
      </c>
      <c r="I4" s="13">
        <f ca="1">VLOOKUP($H4,OFFSET(floors!$A$1,0,0,COUNTA(floors!$A:$A),MATCH(I$1,floors!$1:$1,0)-MATCH($H$1,floors!$1:$1,0)+1),MATCH(I$1,floors!$1:$1,0)-MATCH($H$1,floors!$1:$1,0)+1,FALSE)</f>
        <v>60</v>
      </c>
      <c r="J4" s="13">
        <f ca="1">VLOOKUP($H4,OFFSET(floors!$A$1,0,0,COUNTA(floors!$A:$A),MATCH(J$1,floors!$1:$1,0)-MATCH($H$1,floors!$1:$1,0)+1),MATCH(J$1,floors!$1:$1,0)-MATCH($H$1,floors!$1:$1,0)+1,FALSE)</f>
        <v>60</v>
      </c>
      <c r="K4" s="28" t="s">
        <v>53</v>
      </c>
      <c r="L4" s="91">
        <v>85</v>
      </c>
      <c r="M4" s="13" t="str">
        <f ca="1">VLOOKUP($L4,OFFSET([3]enemies!$A$1,0,0,COUNTA([3]enemies!$A:$A),MATCH(M$1,[3]enemies!$1:$1,0)-MATCH($L$1,[3]enemies!$1:$1,0)+1),MATCH(M$1,[3]enemies!$1:$1,0)-MATCH($L$1,[3]enemies!$1:$1,0)+1,FALSE)</f>
        <v>朱雀</v>
      </c>
      <c r="N4" s="13" t="str">
        <f ca="1">VLOOKUP($L4,OFFSET([3]enemies!$A$1,0,0,COUNTA([3]enemies!$A:$A),MATCH(N$1,[3]enemies!$1:$1,0)-MATCH($L$1,[3]enemies!$1:$1,0)+1),MATCH(N$1,[3]enemies!$1:$1,0)-MATCH($L$1,[3]enemies!$1:$1,0)+1,FALSE)</f>
        <v>red</v>
      </c>
      <c r="O4" s="13" t="str">
        <f ca="1">VLOOKUP($L4,OFFSET([4]characters!$A$1,0,0,COUNTA([4]characters!$A:$A),MATCH(O$1,[4]characters!$1:$1,0)-MATCH($L$1,[4]characters!$1:$1,0)+1),MATCH(O$1,[4]characters!$1:$1,0)-MATCH($L$1,[4]characters!$1:$1,0)+1,FALSE)</f>
        <v>Drop2N</v>
      </c>
      <c r="P4" s="13" t="str">
        <f ca="1">VLOOKUP($L4,OFFSET([3]enemies!$A$1,0,0,COUNTA([3]enemies!$A:$A),MATCH(P$1,[3]enemies!$1:$1,0)-MATCH($L$1,[3]enemies!$1:$1,0)+1),MATCH(P$1,[3]enemies!$1:$1,0)-MATCH($L$1,[3]enemies!$1:$1,0)+1,FALSE)</f>
        <v>animal</v>
      </c>
      <c r="Q4" s="13">
        <f ca="1">VLOOKUP($L4,OFFSET([3]enemies!$A$1,0,0,COUNTA([3]enemies!$A:$A),MATCH(Q$1,[3]enemies!$1:$1,0)-MATCH($L$1,[3]enemies!$1:$1,0)+1),MATCH(Q$1,[3]enemies!$1:$1,0)-MATCH($L$1,[3]enemies!$1:$1,0)+1,FALSE)</f>
        <v>20</v>
      </c>
      <c r="R4" s="102">
        <v>10</v>
      </c>
      <c r="S4" s="103">
        <v>0.7</v>
      </c>
      <c r="T4" s="88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11511.5</v>
      </c>
      <c r="U4" s="103">
        <v>0.4</v>
      </c>
      <c r="V4" s="88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386.40000000000003</v>
      </c>
      <c r="W4" s="102">
        <v>0</v>
      </c>
      <c r="X4" s="13" t="str">
        <f ca="1">VLOOKUP($Y4,OFFSET([5]enemy_skill_sets!$B$1,0,0,COUNTA([5]enemy_skill_sets!$B:$B),MATCH(M$1,[5]enemy_skill_sets!$1:$1,0)-MATCH($Y$1,[5]enemy_skill_sets!$1:$1,0)+2),MATCH(M$1,[5]enemy_skill_sets!$1:$1,0)-MATCH($Y$1,[5]enemy_skill_sets!$1:$1,0)+2,FALSE)</f>
        <v>3ターンの間ダメージを受ける</v>
      </c>
      <c r="Y4" s="13">
        <f ca="1">VLOOKUP($L4,OFFSET([3]enemies!$A$1,0,0,COUNTA([3]enemies!$A:$A),MATCH(Y$1,[3]enemies!$1:$1,0)-MATCH($L$1,[3]enemies!$1:$1,0)+1),MATCH(Y$1,[3]enemies!$1:$1,0)-MATCH($L$1,[3]enemies!$1:$1,0)+1,FALSE)</f>
        <v>85</v>
      </c>
      <c r="Z4" s="104">
        <v>1</v>
      </c>
      <c r="AA4" s="104">
        <v>100</v>
      </c>
      <c r="AB4" s="104">
        <v>0</v>
      </c>
      <c r="AC4" s="13">
        <f ca="1">VLOOKUP($L4,OFFSET([3]enemies!$A$1,0,0,COUNTA([3]enemies!$A:$A),MATCH(AC$1,[3]enemies!$1:$1,0)-MATCH($L$1,[3]enemies!$1:$1,0)+1),MATCH(AC$1,[3]enemies!$1:$1,0)-MATCH($L$1,[3]enemies!$1:$1,0)+1,FALSE)</f>
        <v>2</v>
      </c>
      <c r="AD4" s="92">
        <f t="shared" si="3"/>
        <v>85</v>
      </c>
      <c r="AE4" s="13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朱雀</v>
      </c>
      <c r="AF4" s="13">
        <f ca="1">VLOOKUP($AD4,OFFSET([4]characters!$A$1,0,0,COUNTA([4]characters!$A:$A),MATCH(AF$1,[4]characters!$1:$1,0)-MATCH("character_id",[4]characters!$1:$1,0)+1),MATCH(AF$1,[4]characters!$1:$1,0)-MATCH("character_id",[4]characters!$1:$1,0)+1,FALSE)</f>
        <v>3</v>
      </c>
      <c r="AG4" s="13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Drop2N</v>
      </c>
      <c r="AH4" s="93">
        <v>1</v>
      </c>
      <c r="AI4" s="92">
        <f t="shared" ca="1" si="4"/>
        <v>3</v>
      </c>
      <c r="AJ4" s="104">
        <v>0</v>
      </c>
      <c r="AK4" s="93">
        <v>0</v>
      </c>
      <c r="AL4" s="93">
        <v>0</v>
      </c>
      <c r="AM4" s="93">
        <v>0</v>
      </c>
      <c r="AN4" s="93">
        <v>0</v>
      </c>
      <c r="AO4" s="93">
        <v>1</v>
      </c>
      <c r="AP4" s="104">
        <v>1</v>
      </c>
    </row>
    <row r="5" spans="1:42" ht="21" customHeight="1" x14ac:dyDescent="0.15">
      <c r="A5" s="100" t="str">
        <f t="shared" ca="1" si="0"/>
        <v>20019_1-2/190&lt;lv10&gt;s3</v>
      </c>
      <c r="B5" s="101">
        <v>20019</v>
      </c>
      <c r="C5" s="90">
        <v>1</v>
      </c>
      <c r="D5" s="11" t="str">
        <f t="shared" si="1"/>
        <v>20019_1</v>
      </c>
      <c r="E5" s="13" t="str">
        <f ca="1">VLOOKUP($B5,OFFSET([2]quests!$A$1,0,0,COUNTA([2]quests!$A:$A),MATCH(E$1,[2]quests!$1:$1,0)-MATCH($B$1,[2]quests!$1:$1,0)+1),MATCH(E$1,[2]quests!$1:$1,0)-MATCH($B$1,[2]quests!$1:$1,0)+1,FALSE)</f>
        <v>平安編０１（仮）</v>
      </c>
      <c r="F5" s="13" t="str">
        <f ca="1">VLOOKUP($D5,OFFSET([2]stages!$A$1,0,0,COUNTA([2]stages!$A:$A),MATCH(F$1,[2]stages!$2:$2,0)-MATCH($D$1,[2]stages!$2:$2,0)+1),MATCH(F$1,[2]stages!$2:$2,0)-MATCH($D$1,[2]stages!$2:$2,0)+1,FALSE)</f>
        <v>【初級】平安編０１（仮）</v>
      </c>
      <c r="G5" s="90">
        <v>2</v>
      </c>
      <c r="H5" s="11" t="str">
        <f t="shared" si="2"/>
        <v>20019_1-2</v>
      </c>
      <c r="I5" s="13">
        <f ca="1">VLOOKUP($H5,OFFSET(floors!$A$1,0,0,COUNTA(floors!$A:$A),MATCH(I$1,floors!$1:$1,0)-MATCH($H$1,floors!$1:$1,0)+1),MATCH(I$1,floors!$1:$1,0)-MATCH($H$1,floors!$1:$1,0)+1,FALSE)</f>
        <v>60</v>
      </c>
      <c r="J5" s="13">
        <f ca="1">VLOOKUP($H5,OFFSET(floors!$A$1,0,0,COUNTA(floors!$A:$A),MATCH(J$1,floors!$1:$1,0)-MATCH($H$1,floors!$1:$1,0)+1),MATCH(J$1,floors!$1:$1,0)-MATCH($H$1,floors!$1:$1,0)+1,FALSE)</f>
        <v>60</v>
      </c>
      <c r="K5" s="28" t="s">
        <v>53</v>
      </c>
      <c r="L5" s="91">
        <v>190</v>
      </c>
      <c r="M5" s="13" t="str">
        <f ca="1">VLOOKUP($L5,OFFSET([3]enemies!$A$1,0,0,COUNTA([3]enemies!$A:$A),MATCH(M$1,[3]enemies!$1:$1,0)-MATCH($L$1,[3]enemies!$1:$1,0)+1),MATCH(M$1,[3]enemies!$1:$1,0)-MATCH($L$1,[3]enemies!$1:$1,0)+1,FALSE)</f>
        <v>卑弥呼</v>
      </c>
      <c r="N5" s="13" t="str">
        <f ca="1">VLOOKUP($L5,OFFSET([3]enemies!$A$1,0,0,COUNTA([3]enemies!$A:$A),MATCH(N$1,[3]enemies!$1:$1,0)-MATCH($L$1,[3]enemies!$1:$1,0)+1),MATCH(N$1,[3]enemies!$1:$1,0)-MATCH($L$1,[3]enemies!$1:$1,0)+1,FALSE)</f>
        <v>red</v>
      </c>
      <c r="O5" s="13" t="str">
        <f ca="1">VLOOKUP($L5,OFFSET([4]characters!$A$1,0,0,COUNTA([4]characters!$A:$A),MATCH(O$1,[4]characters!$1:$1,0)-MATCH($L$1,[4]characters!$1:$1,0)+1),MATCH(O$1,[4]characters!$1:$1,0)-MATCH($L$1,[4]characters!$1:$1,0)+1,FALSE)</f>
        <v>PremiumN</v>
      </c>
      <c r="P5" s="13" t="str">
        <f ca="1">VLOOKUP($L5,OFFSET([3]enemies!$A$1,0,0,COUNTA([3]enemies!$A:$A),MATCH(P$1,[3]enemies!$1:$1,0)-MATCH($L$1,[3]enemies!$1:$1,0)+1),MATCH(P$1,[3]enemies!$1:$1,0)-MATCH($L$1,[3]enemies!$1:$1,0)+1,FALSE)</f>
        <v>human</v>
      </c>
      <c r="Q5" s="13">
        <f ca="1">VLOOKUP($L5,OFFSET([3]enemies!$A$1,0,0,COUNTA([3]enemies!$A:$A),MATCH(Q$1,[3]enemies!$1:$1,0)-MATCH($L$1,[3]enemies!$1:$1,0)+1),MATCH(Q$1,[3]enemies!$1:$1,0)-MATCH($L$1,[3]enemies!$1:$1,0)+1,FALSE)</f>
        <v>20</v>
      </c>
      <c r="R5" s="102">
        <v>10</v>
      </c>
      <c r="S5" s="103">
        <v>1</v>
      </c>
      <c r="T5" s="88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11891</v>
      </c>
      <c r="U5" s="103">
        <v>0.5</v>
      </c>
      <c r="V5" s="88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543.5</v>
      </c>
      <c r="W5" s="102">
        <v>0</v>
      </c>
      <c r="X5" s="13" t="str">
        <f ca="1">VLOOKUP($Y5,OFFSET([5]enemy_skill_sets!$B$1,0,0,COUNTA([5]enemy_skill_sets!$B:$B),MATCH(M$1,[5]enemy_skill_sets!$1:$1,0)-MATCH($Y$1,[5]enemy_skill_sets!$1:$1,0)+2),MATCH(M$1,[5]enemy_skill_sets!$1:$1,0)-MATCH($Y$1,[5]enemy_skill_sets!$1:$1,0)+2,FALSE)</f>
        <v>なし</v>
      </c>
      <c r="Y5" s="13">
        <f ca="1">VLOOKUP($L5,OFFSET([3]enemies!$A$1,0,0,COUNTA([3]enemies!$A:$A),MATCH(Y$1,[3]enemies!$1:$1,0)-MATCH($L$1,[3]enemies!$1:$1,0)+1),MATCH(Y$1,[3]enemies!$1:$1,0)-MATCH($L$1,[3]enemies!$1:$1,0)+1,FALSE)</f>
        <v>0</v>
      </c>
      <c r="Z5" s="104">
        <v>1</v>
      </c>
      <c r="AA5" s="104">
        <v>100</v>
      </c>
      <c r="AB5" s="104">
        <v>1</v>
      </c>
      <c r="AC5" s="13">
        <f ca="1">VLOOKUP($L5,OFFSET([3]enemies!$A$1,0,0,COUNTA([3]enemies!$A:$A),MATCH(AC$1,[3]enemies!$1:$1,0)-MATCH($L$1,[3]enemies!$1:$1,0)+1),MATCH(AC$1,[3]enemies!$1:$1,0)-MATCH($L$1,[3]enemies!$1:$1,0)+1,FALSE)</f>
        <v>3</v>
      </c>
      <c r="AD5" s="92">
        <f t="shared" si="3"/>
        <v>190</v>
      </c>
      <c r="AE5" s="13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卑弥呼</v>
      </c>
      <c r="AF5" s="13">
        <f ca="1">VLOOKUP($AD5,OFFSET([4]characters!$A$1,0,0,COUNTA([4]characters!$A:$A),MATCH(AF$1,[4]characters!$1:$1,0)-MATCH("character_id",[4]characters!$1:$1,0)+1),MATCH(AF$1,[4]characters!$1:$1,0)-MATCH("character_id",[4]characters!$1:$1,0)+1,FALSE)</f>
        <v>3</v>
      </c>
      <c r="AG5" s="13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PremiumN</v>
      </c>
      <c r="AH5" s="93">
        <v>1</v>
      </c>
      <c r="AI5" s="92">
        <f t="shared" ca="1" si="4"/>
        <v>3</v>
      </c>
      <c r="AJ5" s="104">
        <v>0</v>
      </c>
      <c r="AK5" s="93">
        <v>0</v>
      </c>
      <c r="AL5" s="93">
        <v>0</v>
      </c>
      <c r="AM5" s="93">
        <v>0</v>
      </c>
      <c r="AN5" s="93">
        <v>0</v>
      </c>
      <c r="AO5" s="93">
        <v>1</v>
      </c>
      <c r="AP5" s="104">
        <v>1</v>
      </c>
    </row>
    <row r="6" spans="1:42" ht="21" customHeight="1" x14ac:dyDescent="0.15">
      <c r="A6" s="100" t="str">
        <f t="shared" ca="1" si="0"/>
        <v>20019_1-3/65&lt;lv10&gt;s2</v>
      </c>
      <c r="B6" s="101">
        <v>20019</v>
      </c>
      <c r="C6" s="90">
        <v>1</v>
      </c>
      <c r="D6" s="11" t="str">
        <f t="shared" si="1"/>
        <v>20019_1</v>
      </c>
      <c r="E6" s="13" t="str">
        <f ca="1">VLOOKUP($B6,OFFSET([2]quests!$A$1,0,0,COUNTA([2]quests!$A:$A),MATCH(E$1,[2]quests!$1:$1,0)-MATCH($B$1,[2]quests!$1:$1,0)+1),MATCH(E$1,[2]quests!$1:$1,0)-MATCH($B$1,[2]quests!$1:$1,0)+1,FALSE)</f>
        <v>平安編０１（仮）</v>
      </c>
      <c r="F6" s="13" t="str">
        <f ca="1">VLOOKUP($D6,OFFSET([2]stages!$A$1,0,0,COUNTA([2]stages!$A:$A),MATCH(F$1,[2]stages!$2:$2,0)-MATCH($D$1,[2]stages!$2:$2,0)+1),MATCH(F$1,[2]stages!$2:$2,0)-MATCH($D$1,[2]stages!$2:$2,0)+1,FALSE)</f>
        <v>【初級】平安編０１（仮）</v>
      </c>
      <c r="G6" s="90">
        <v>3</v>
      </c>
      <c r="H6" s="11" t="str">
        <f t="shared" si="2"/>
        <v>20019_1-3</v>
      </c>
      <c r="I6" s="13">
        <f ca="1">VLOOKUP($H6,OFFSET(floors!$A$1,0,0,COUNTA(floors!$A:$A),MATCH(I$1,floors!$1:$1,0)-MATCH($H$1,floors!$1:$1,0)+1),MATCH(I$1,floors!$1:$1,0)-MATCH($H$1,floors!$1:$1,0)+1,FALSE)</f>
        <v>60</v>
      </c>
      <c r="J6" s="13">
        <f ca="1">VLOOKUP($H6,OFFSET(floors!$A$1,0,0,COUNTA(floors!$A:$A),MATCH(J$1,floors!$1:$1,0)-MATCH($H$1,floors!$1:$1,0)+1),MATCH(J$1,floors!$1:$1,0)-MATCH($H$1,floors!$1:$1,0)+1,FALSE)</f>
        <v>60</v>
      </c>
      <c r="K6" s="28" t="s">
        <v>53</v>
      </c>
      <c r="L6" s="91">
        <v>65</v>
      </c>
      <c r="M6" s="13" t="str">
        <f ca="1">VLOOKUP($L6,OFFSET([3]enemies!$A$1,0,0,COUNTA([3]enemies!$A:$A),MATCH(M$1,[3]enemies!$1:$1,0)-MATCH($L$1,[3]enemies!$1:$1,0)+1),MATCH(M$1,[3]enemies!$1:$1,0)-MATCH($L$1,[3]enemies!$1:$1,0)+1,FALSE)</f>
        <v>ファイアフォックス</v>
      </c>
      <c r="N6" s="13" t="str">
        <f ca="1">VLOOKUP($L6,OFFSET([3]enemies!$A$1,0,0,COUNTA([3]enemies!$A:$A),MATCH(N$1,[3]enemies!$1:$1,0)-MATCH($L$1,[3]enemies!$1:$1,0)+1),MATCH(N$1,[3]enemies!$1:$1,0)-MATCH($L$1,[3]enemies!$1:$1,0)+1,FALSE)</f>
        <v>red</v>
      </c>
      <c r="O6" s="13" t="str">
        <f ca="1">VLOOKUP($L6,OFFSET([4]characters!$A$1,0,0,COUNTA([4]characters!$A:$A),MATCH(O$1,[4]characters!$1:$1,0)-MATCH($L$1,[4]characters!$1:$1,0)+1),MATCH(O$1,[4]characters!$1:$1,0)-MATCH($L$1,[4]characters!$1:$1,0)+1,FALSE)</f>
        <v>Drop1S</v>
      </c>
      <c r="P6" s="13" t="str">
        <f ca="1">VLOOKUP($L6,OFFSET([3]enemies!$A$1,0,0,COUNTA([3]enemies!$A:$A),MATCH(P$1,[3]enemies!$1:$1,0)-MATCH($L$1,[3]enemies!$1:$1,0)+1),MATCH(P$1,[3]enemies!$1:$1,0)-MATCH($L$1,[3]enemies!$1:$1,0)+1,FALSE)</f>
        <v>animal</v>
      </c>
      <c r="Q6" s="13">
        <f ca="1">VLOOKUP($L6,OFFSET([3]enemies!$A$1,0,0,COUNTA([3]enemies!$A:$A),MATCH(Q$1,[3]enemies!$1:$1,0)-MATCH($L$1,[3]enemies!$1:$1,0)+1),MATCH(Q$1,[3]enemies!$1:$1,0)-MATCH($L$1,[3]enemies!$1:$1,0)+1,FALSE)</f>
        <v>15</v>
      </c>
      <c r="R6" s="102">
        <v>10</v>
      </c>
      <c r="S6" s="103">
        <v>1.5</v>
      </c>
      <c r="T6" s="88">
        <f ca="1">ROUND(VLOOKUP(R6,[3]enemy_base_stats!$A:$F,2,FALSE)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INDIRECT("[EnemyMasterData.xlsm]enemies!AD"&amp;(L6+1))*[4]ステータス!$B$2,0)*S6</f>
        <v>3450</v>
      </c>
      <c r="U6" s="103">
        <v>0.4</v>
      </c>
      <c r="V6" s="88">
        <f ca="1">ROUND(VLOOKUP(R6,[3]enemy_base_stats!$A:$F,3,FALSE)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INDIRECT("[EnemyMasterData.xlsm]enemies!AE"&amp;(L6+1))*[4]ステータス!$C$2,0)*U6</f>
        <v>412</v>
      </c>
      <c r="W6" s="102">
        <v>0</v>
      </c>
      <c r="X6" s="13" t="str">
        <f ca="1">VLOOKUP($Y6,OFFSET([5]enemy_skill_sets!$B$1,0,0,COUNTA([5]enemy_skill_sets!$B:$B),MATCH(M$1,[5]enemy_skill_sets!$1:$1,0)-MATCH($Y$1,[5]enemy_skill_sets!$1:$1,0)+2),MATCH(M$1,[5]enemy_skill_sets!$1:$1,0)-MATCH($Y$1,[5]enemy_skill_sets!$1:$1,0)+2,FALSE)</f>
        <v>なし</v>
      </c>
      <c r="Y6" s="13">
        <f ca="1">VLOOKUP($L6,OFFSET([3]enemies!$A$1,0,0,COUNTA([3]enemies!$A:$A),MATCH(Y$1,[3]enemies!$1:$1,0)-MATCH($L$1,[3]enemies!$1:$1,0)+1),MATCH(Y$1,[3]enemies!$1:$1,0)-MATCH($L$1,[3]enemies!$1:$1,0)+1,FALSE)</f>
        <v>0</v>
      </c>
      <c r="Z6" s="104">
        <v>2</v>
      </c>
      <c r="AA6" s="104">
        <v>100</v>
      </c>
      <c r="AB6" s="104">
        <v>0</v>
      </c>
      <c r="AC6" s="13">
        <f ca="1">VLOOKUP($L6,OFFSET([3]enemies!$A$1,0,0,COUNTA([3]enemies!$A:$A),MATCH(AC$1,[3]enemies!$1:$1,0)-MATCH($L$1,[3]enemies!$1:$1,0)+1),MATCH(AC$1,[3]enemies!$1:$1,0)-MATCH($L$1,[3]enemies!$1:$1,0)+1,FALSE)</f>
        <v>2</v>
      </c>
      <c r="AD6" s="92">
        <f t="shared" si="3"/>
        <v>65</v>
      </c>
      <c r="AE6" s="13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ファイアフォックス</v>
      </c>
      <c r="AF6" s="13">
        <f ca="1">VLOOKUP($AD6,OFFSET([4]characters!$A$1,0,0,COUNTA([4]characters!$A:$A),MATCH(AF$1,[4]characters!$1:$1,0)-MATCH("character_id",[4]characters!$1:$1,0)+1),MATCH(AF$1,[4]characters!$1:$1,0)-MATCH("character_id",[4]characters!$1:$1,0)+1,FALSE)</f>
        <v>2</v>
      </c>
      <c r="AG6" s="13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Drop1S</v>
      </c>
      <c r="AH6" s="93">
        <v>1</v>
      </c>
      <c r="AI6" s="92">
        <f t="shared" ca="1" si="4"/>
        <v>2</v>
      </c>
      <c r="AJ6" s="104">
        <v>0</v>
      </c>
      <c r="AK6" s="93">
        <v>0</v>
      </c>
      <c r="AL6" s="93">
        <v>0</v>
      </c>
      <c r="AM6" s="93">
        <v>0</v>
      </c>
      <c r="AN6" s="93">
        <v>0</v>
      </c>
      <c r="AO6" s="93">
        <v>1</v>
      </c>
      <c r="AP6" s="104">
        <v>1</v>
      </c>
    </row>
    <row r="7" spans="1:42" ht="21" customHeight="1" x14ac:dyDescent="0.15">
      <c r="A7" s="100" t="str">
        <f t="shared" ca="1" si="0"/>
        <v>20019_1-3/134&lt;lv10&gt;s3</v>
      </c>
      <c r="B7" s="101">
        <v>20019</v>
      </c>
      <c r="C7" s="90">
        <v>1</v>
      </c>
      <c r="D7" s="11" t="str">
        <f t="shared" si="1"/>
        <v>20019_1</v>
      </c>
      <c r="E7" s="13" t="str">
        <f ca="1">VLOOKUP($B7,OFFSET([2]quests!$A$1,0,0,COUNTA([2]quests!$A:$A),MATCH(E$1,[2]quests!$1:$1,0)-MATCH($B$1,[2]quests!$1:$1,0)+1),MATCH(E$1,[2]quests!$1:$1,0)-MATCH($B$1,[2]quests!$1:$1,0)+1,FALSE)</f>
        <v>平安編０１（仮）</v>
      </c>
      <c r="F7" s="13" t="str">
        <f ca="1">VLOOKUP($D7,OFFSET([2]stages!$A$1,0,0,COUNTA([2]stages!$A:$A),MATCH(F$1,[2]stages!$2:$2,0)-MATCH($D$1,[2]stages!$2:$2,0)+1),MATCH(F$1,[2]stages!$2:$2,0)-MATCH($D$1,[2]stages!$2:$2,0)+1,FALSE)</f>
        <v>【初級】平安編０１（仮）</v>
      </c>
      <c r="G7" s="90">
        <v>3</v>
      </c>
      <c r="H7" s="11" t="str">
        <f t="shared" si="2"/>
        <v>20019_1-3</v>
      </c>
      <c r="I7" s="13">
        <f ca="1">VLOOKUP($H7,OFFSET(floors!$A$1,0,0,COUNTA(floors!$A:$A),MATCH(I$1,floors!$1:$1,0)-MATCH($H$1,floors!$1:$1,0)+1),MATCH(I$1,floors!$1:$1,0)-MATCH($H$1,floors!$1:$1,0)+1,FALSE)</f>
        <v>60</v>
      </c>
      <c r="J7" s="13">
        <f ca="1">VLOOKUP($H7,OFFSET(floors!$A$1,0,0,COUNTA(floors!$A:$A),MATCH(J$1,floors!$1:$1,0)-MATCH($H$1,floors!$1:$1,0)+1),MATCH(J$1,floors!$1:$1,0)-MATCH($H$1,floors!$1:$1,0)+1,FALSE)</f>
        <v>60</v>
      </c>
      <c r="K7" s="28" t="s">
        <v>53</v>
      </c>
      <c r="L7" s="91">
        <v>134</v>
      </c>
      <c r="M7" s="13" t="str">
        <f ca="1">VLOOKUP($L7,OFFSET([3]enemies!$A$1,0,0,COUNTA([3]enemies!$A:$A),MATCH(M$1,[3]enemies!$1:$1,0)-MATCH($L$1,[3]enemies!$1:$1,0)+1),MATCH(M$1,[3]enemies!$1:$1,0)-MATCH($L$1,[3]enemies!$1:$1,0)+1,FALSE)</f>
        <v>妖炎の夕霧</v>
      </c>
      <c r="N7" s="13" t="str">
        <f ca="1">VLOOKUP($L7,OFFSET([3]enemies!$A$1,0,0,COUNTA([3]enemies!$A:$A),MATCH(N$1,[3]enemies!$1:$1,0)-MATCH($L$1,[3]enemies!$1:$1,0)+1),MATCH(N$1,[3]enemies!$1:$1,0)-MATCH($L$1,[3]enemies!$1:$1,0)+1,FALSE)</f>
        <v>red</v>
      </c>
      <c r="O7" s="13" t="str">
        <f ca="1">VLOOKUP($L7,OFFSET([4]characters!$A$1,0,0,COUNTA([4]characters!$A:$A),MATCH(O$1,[4]characters!$1:$1,0)-MATCH($L$1,[4]characters!$1:$1,0)+1),MATCH(O$1,[4]characters!$1:$1,0)-MATCH($L$1,[4]characters!$1:$1,0)+1,FALSE)</f>
        <v>PremiumW</v>
      </c>
      <c r="P7" s="13" t="str">
        <f ca="1">VLOOKUP($L7,OFFSET([3]enemies!$A$1,0,0,COUNTA([3]enemies!$A:$A),MATCH(P$1,[3]enemies!$1:$1,0)-MATCH($L$1,[3]enemies!$1:$1,0)+1),MATCH(P$1,[3]enemies!$1:$1,0)-MATCH($L$1,[3]enemies!$1:$1,0)+1,FALSE)</f>
        <v>human</v>
      </c>
      <c r="Q7" s="13">
        <f ca="1">VLOOKUP($L7,OFFSET([3]enemies!$A$1,0,0,COUNTA([3]enemies!$A:$A),MATCH(Q$1,[3]enemies!$1:$1,0)-MATCH($L$1,[3]enemies!$1:$1,0)+1),MATCH(Q$1,[3]enemies!$1:$1,0)-MATCH($L$1,[3]enemies!$1:$1,0)+1,FALSE)</f>
        <v>20</v>
      </c>
      <c r="R7" s="102">
        <v>10</v>
      </c>
      <c r="S7" s="103">
        <v>1</v>
      </c>
      <c r="T7" s="88">
        <f ca="1">ROUND(VLOOKUP(R7,[3]enemy_base_stats!$A:$F,2,FALSE)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INDIRECT("[EnemyMasterData.xlsm]enemies!AD"&amp;(L7+1))*[4]ステータス!$B$2,0)*S7</f>
        <v>11891</v>
      </c>
      <c r="U7" s="103">
        <v>0.4</v>
      </c>
      <c r="V7" s="88">
        <f ca="1">ROUND(VLOOKUP(R7,[3]enemy_base_stats!$A:$F,3,FALSE) *INDIRECT("[EnemyMasterData.xlsm]enemies!Z"&amp;(L7+1))*  INDIRECT("[EnemyMasterData.xlsm]enemies!K"&amp;(L7+1))* INDIRECT("[EnemyMasterData.xlsm]enemies!P"&amp;(L7+1))* INDIRECT("[EnemyMasterData.xlsm]enemies!F"&amp;(L7+1))* INDIRECT("[EnemyMasterData.xlsm]enemies!T"&amp;(L7+1))* INDIRECT("[EnemyMasterData.xlsm]enemies!AE"&amp;(L7+1))*[4]ステータス!$C$2,0)*U7</f>
        <v>434.8</v>
      </c>
      <c r="W7" s="102">
        <v>0</v>
      </c>
      <c r="X7" s="13" t="str">
        <f ca="1">VLOOKUP($Y7,OFFSET([5]enemy_skill_sets!$B$1,0,0,COUNTA([5]enemy_skill_sets!$B:$B),MATCH(M$1,[5]enemy_skill_sets!$1:$1,0)-MATCH($Y$1,[5]enemy_skill_sets!$1:$1,0)+2),MATCH(M$1,[5]enemy_skill_sets!$1:$1,0)-MATCH($Y$1,[5]enemy_skill_sets!$1:$1,0)+2,FALSE)</f>
        <v>3ターンの間ダメージを受ける</v>
      </c>
      <c r="Y7" s="13">
        <f ca="1">VLOOKUP($L7,OFFSET([3]enemies!$A$1,0,0,COUNTA([3]enemies!$A:$A),MATCH(Y$1,[3]enemies!$1:$1,0)-MATCH($L$1,[3]enemies!$1:$1,0)+1),MATCH(Y$1,[3]enemies!$1:$1,0)-MATCH($L$1,[3]enemies!$1:$1,0)+1,FALSE)</f>
        <v>134</v>
      </c>
      <c r="Z7" s="104">
        <v>1</v>
      </c>
      <c r="AA7" s="104">
        <v>100</v>
      </c>
      <c r="AB7" s="104">
        <v>1</v>
      </c>
      <c r="AC7" s="13">
        <f ca="1">VLOOKUP($L7,OFFSET([3]enemies!$A$1,0,0,COUNTA([3]enemies!$A:$A),MATCH(AC$1,[3]enemies!$1:$1,0)-MATCH($L$1,[3]enemies!$1:$1,0)+1),MATCH(AC$1,[3]enemies!$1:$1,0)-MATCH($L$1,[3]enemies!$1:$1,0)+1,FALSE)</f>
        <v>3</v>
      </c>
      <c r="AD7" s="92">
        <f t="shared" si="3"/>
        <v>134</v>
      </c>
      <c r="AE7" s="13" t="str">
        <f ca="1">VLOOKUP($AD7,OFFSET([4]characters!$A$1,0,0,COUNTA([4]characters!$A:$A),MATCH(AE$1,[4]characters!$1:$1,0)-MATCH("character_id",[4]characters!$1:$1,0)+1),MATCH(AE$1,[4]characters!$1:$1,0)-MATCH("character_id",[4]characters!$1:$1,0)+1,FALSE)</f>
        <v>妖炎の夕霧</v>
      </c>
      <c r="AF7" s="13">
        <f ca="1">VLOOKUP($AD7,OFFSET([4]characters!$A$1,0,0,COUNTA([4]characters!$A:$A),MATCH(AF$1,[4]characters!$1:$1,0)-MATCH("character_id",[4]characters!$1:$1,0)+1),MATCH(AF$1,[4]characters!$1:$1,0)-MATCH("character_id",[4]characters!$1:$1,0)+1,FALSE)</f>
        <v>3</v>
      </c>
      <c r="AG7" s="13" t="str">
        <f ca="1">VLOOKUP($AD7,OFFSET([4]characters!$A$1,0,0,COUNTA([4]characters!$A:$A),MATCH(AG$1,[4]characters!$1:$1,0)-MATCH("character_id",[4]characters!$1:$1,0)+1),MATCH(AG$1,[4]characters!$1:$1,0)-MATCH("character_id",[4]characters!$1:$1,0)+1,FALSE)</f>
        <v>PremiumW</v>
      </c>
      <c r="AH7" s="93">
        <v>1</v>
      </c>
      <c r="AI7" s="92">
        <f t="shared" ca="1" si="4"/>
        <v>3</v>
      </c>
      <c r="AJ7" s="104">
        <v>0</v>
      </c>
      <c r="AK7" s="93">
        <v>0</v>
      </c>
      <c r="AL7" s="93">
        <v>0</v>
      </c>
      <c r="AM7" s="93">
        <v>0</v>
      </c>
      <c r="AN7" s="93">
        <v>0</v>
      </c>
      <c r="AO7" s="93">
        <v>1</v>
      </c>
      <c r="AP7" s="104">
        <v>1</v>
      </c>
    </row>
    <row r="8" spans="1:42" ht="21" customHeight="1" x14ac:dyDescent="0.15">
      <c r="A8" s="100" t="str">
        <f t="shared" ca="1" si="0"/>
        <v>20019_1-4/1020&lt;lv10&gt;s3</v>
      </c>
      <c r="B8" s="101">
        <v>20019</v>
      </c>
      <c r="C8" s="90">
        <v>1</v>
      </c>
      <c r="D8" s="11" t="str">
        <f t="shared" si="1"/>
        <v>20019_1</v>
      </c>
      <c r="E8" s="13" t="str">
        <f ca="1">VLOOKUP($B8,OFFSET([2]quests!$A$1,0,0,COUNTA([2]quests!$A:$A),MATCH(E$1,[2]quests!$1:$1,0)-MATCH($B$1,[2]quests!$1:$1,0)+1),MATCH(E$1,[2]quests!$1:$1,0)-MATCH($B$1,[2]quests!$1:$1,0)+1,FALSE)</f>
        <v>平安編０１（仮）</v>
      </c>
      <c r="F8" s="13" t="str">
        <f ca="1">VLOOKUP($D8,OFFSET([2]stages!$A$1,0,0,COUNTA([2]stages!$A:$A),MATCH(F$1,[2]stages!$2:$2,0)-MATCH($D$1,[2]stages!$2:$2,0)+1),MATCH(F$1,[2]stages!$2:$2,0)-MATCH($D$1,[2]stages!$2:$2,0)+1,FALSE)</f>
        <v>【初級】平安編０１（仮）</v>
      </c>
      <c r="G8" s="90">
        <v>4</v>
      </c>
      <c r="H8" s="11" t="str">
        <f t="shared" si="2"/>
        <v>20019_1-4</v>
      </c>
      <c r="I8" s="13">
        <f ca="1">VLOOKUP($H8,OFFSET(floors!$A$1,0,0,COUNTA(floors!$A:$A),MATCH(I$1,floors!$1:$1,0)-MATCH($H$1,floors!$1:$1,0)+1),MATCH(I$1,floors!$1:$1,0)-MATCH($H$1,floors!$1:$1,0)+1,FALSE)</f>
        <v>60</v>
      </c>
      <c r="J8" s="13">
        <f ca="1">VLOOKUP($H8,OFFSET(floors!$A$1,0,0,COUNTA(floors!$A:$A),MATCH(J$1,floors!$1:$1,0)-MATCH($H$1,floors!$1:$1,0)+1),MATCH(J$1,floors!$1:$1,0)-MATCH($H$1,floors!$1:$1,0)+1,FALSE)</f>
        <v>60</v>
      </c>
      <c r="K8" s="28" t="s">
        <v>260</v>
      </c>
      <c r="L8" s="91">
        <v>1020</v>
      </c>
      <c r="M8" s="13" t="str">
        <f ca="1">VLOOKUP($L8,OFFSET([3]enemies!$A$1,0,0,COUNTA([3]enemies!$A:$A),MATCH(M$1,[3]enemies!$1:$1,0)-MATCH($L$1,[3]enemies!$1:$1,0)+1),MATCH(M$1,[3]enemies!$1:$1,0)-MATCH($L$1,[3]enemies!$1:$1,0)+1,FALSE)</f>
        <v>静御前</v>
      </c>
      <c r="N8" s="13" t="str">
        <f ca="1">VLOOKUP($L8,OFFSET([3]enemies!$A$1,0,0,COUNTA([3]enemies!$A:$A),MATCH(N$1,[3]enemies!$1:$1,0)-MATCH($L$1,[3]enemies!$1:$1,0)+1),MATCH(N$1,[3]enemies!$1:$1,0)-MATCH($L$1,[3]enemies!$1:$1,0)+1,FALSE)</f>
        <v>red</v>
      </c>
      <c r="O8" s="13" t="str">
        <f ca="1">VLOOKUP($L8,OFFSET([4]characters!$A$1,0,0,COUNTA([4]characters!$A:$A),MATCH(O$1,[4]characters!$1:$1,0)-MATCH($L$1,[4]characters!$1:$1,0)+1),MATCH(O$1,[4]characters!$1:$1,0)-MATCH($L$1,[4]characters!$1:$1,0)+1,FALSE)</f>
        <v>Drop2N</v>
      </c>
      <c r="P8" s="13" t="str">
        <f ca="1">VLOOKUP($L8,OFFSET([3]enemies!$A$1,0,0,COUNTA([3]enemies!$A:$A),MATCH(P$1,[3]enemies!$1:$1,0)-MATCH($L$1,[3]enemies!$1:$1,0)+1),MATCH(P$1,[3]enemies!$1:$1,0)-MATCH($L$1,[3]enemies!$1:$1,0)+1,FALSE)</f>
        <v>human</v>
      </c>
      <c r="Q8" s="13">
        <f ca="1">VLOOKUP($L8,OFFSET([3]enemies!$A$1,0,0,COUNTA([3]enemies!$A:$A),MATCH(Q$1,[3]enemies!$1:$1,0)-MATCH($L$1,[3]enemies!$1:$1,0)+1),MATCH(Q$1,[3]enemies!$1:$1,0)-MATCH($L$1,[3]enemies!$1:$1,0)+1,FALSE)</f>
        <v>30</v>
      </c>
      <c r="R8" s="102">
        <v>10</v>
      </c>
      <c r="S8" s="103">
        <v>2.7</v>
      </c>
      <c r="T8" s="88">
        <f ca="1">ROUND(VLOOKUP(R8,[3]enemy_base_stats!$A:$F,2,FALSE) *INDIRECT("[EnemyMasterData.xlsm]enemies!Y"&amp;(L8+1))*  INDIRECT("[EnemyMasterData.xlsm]enemies!J"&amp;(L8+1))* INDIRECT("[EnemyMasterData.xlsm]enemies!O"&amp;(L8+1))* INDIRECT("[EnemyMasterData.xlsm]enemies!E"&amp;(L8+1))* INDIRECT("[EnemyMasterData.xlsm]enemies!S"&amp;(L8+1))* INDIRECT("[EnemyMasterData.xlsm]enemies!AD"&amp;(L8+1))*[4]ステータス!$B$2,0)*S8</f>
        <v>34149.600000000006</v>
      </c>
      <c r="U8" s="103">
        <v>0.5</v>
      </c>
      <c r="V8" s="88">
        <f ca="1">ROUND(VLOOKUP(R8,[3]enemy_base_stats!$A:$F,3,FALSE) *INDIRECT("[EnemyMasterData.xlsm]enemies!Z"&amp;(L8+1))*  INDIRECT("[EnemyMasterData.xlsm]enemies!K"&amp;(L8+1))* INDIRECT("[EnemyMasterData.xlsm]enemies!P"&amp;(L8+1))* INDIRECT("[EnemyMasterData.xlsm]enemies!F"&amp;(L8+1))* INDIRECT("[EnemyMasterData.xlsm]enemies!T"&amp;(L8+1))* INDIRECT("[EnemyMasterData.xlsm]enemies!AE"&amp;(L8+1))*[4]ステータス!$C$2,0)*U8</f>
        <v>530</v>
      </c>
      <c r="W8" s="102">
        <v>0</v>
      </c>
      <c r="X8" s="13" t="str">
        <f ca="1">VLOOKUP($Y8,OFFSET([5]enemy_skill_sets!$B$1,0,0,COUNTA([5]enemy_skill_sets!$B:$B),MATCH(M$1,[5]enemy_skill_sets!$1:$1,0)-MATCH($Y$1,[5]enemy_skill_sets!$1:$1,0)+2),MATCH(M$1,[5]enemy_skill_sets!$1:$1,0)-MATCH($Y$1,[5]enemy_skill_sets!$1:$1,0)+2,FALSE)</f>
        <v>なし</v>
      </c>
      <c r="Y8" s="13">
        <f ca="1">VLOOKUP($L8,OFFSET([3]enemies!$A$1,0,0,COUNTA([3]enemies!$A:$A),MATCH(Y$1,[3]enemies!$1:$1,0)-MATCH($L$1,[3]enemies!$1:$1,0)+1),MATCH(Y$1,[3]enemies!$1:$1,0)-MATCH($L$1,[3]enemies!$1:$1,0)+1,FALSE)</f>
        <v>0</v>
      </c>
      <c r="Z8" s="104">
        <v>1</v>
      </c>
      <c r="AA8" s="104">
        <v>100</v>
      </c>
      <c r="AB8" s="104">
        <v>1</v>
      </c>
      <c r="AC8" s="13">
        <f ca="1">VLOOKUP($L8,OFFSET([3]enemies!$A$1,0,0,COUNTA([3]enemies!$A:$A),MATCH(AC$1,[3]enemies!$1:$1,0)-MATCH($L$1,[3]enemies!$1:$1,0)+1),MATCH(AC$1,[3]enemies!$1:$1,0)-MATCH($L$1,[3]enemies!$1:$1,0)+1,FALSE)</f>
        <v>3</v>
      </c>
      <c r="AD8" s="92">
        <f t="shared" si="3"/>
        <v>1020</v>
      </c>
      <c r="AE8" s="13" t="str">
        <f ca="1">VLOOKUP($AD8,OFFSET([4]characters!$A$1,0,0,COUNTA([4]characters!$A:$A),MATCH(AE$1,[4]characters!$1:$1,0)-MATCH("character_id",[4]characters!$1:$1,0)+1),MATCH(AE$1,[4]characters!$1:$1,0)-MATCH("character_id",[4]characters!$1:$1,0)+1,FALSE)</f>
        <v>静御前</v>
      </c>
      <c r="AF8" s="13">
        <f ca="1">VLOOKUP($AD8,OFFSET([4]characters!$A$1,0,0,COUNTA([4]characters!$A:$A),MATCH(AF$1,[4]characters!$1:$1,0)-MATCH("character_id",[4]characters!$1:$1,0)+1),MATCH(AF$1,[4]characters!$1:$1,0)-MATCH("character_id",[4]characters!$1:$1,0)+1,FALSE)</f>
        <v>4</v>
      </c>
      <c r="AG8" s="13" t="str">
        <f ca="1">VLOOKUP($AD8,OFFSET([4]characters!$A$1,0,0,COUNTA([4]characters!$A:$A),MATCH(AG$1,[4]characters!$1:$1,0)-MATCH("character_id",[4]characters!$1:$1,0)+1),MATCH(AG$1,[4]characters!$1:$1,0)-MATCH("character_id",[4]characters!$1:$1,0)+1,FALSE)</f>
        <v>Drop2N</v>
      </c>
      <c r="AH8" s="93">
        <v>1</v>
      </c>
      <c r="AI8" s="92">
        <f t="shared" ca="1" si="4"/>
        <v>4</v>
      </c>
      <c r="AJ8" s="104">
        <v>20</v>
      </c>
      <c r="AK8" s="93">
        <v>0</v>
      </c>
      <c r="AL8" s="93">
        <v>0</v>
      </c>
      <c r="AM8" s="93">
        <v>0</v>
      </c>
      <c r="AN8" s="93">
        <v>0</v>
      </c>
      <c r="AO8" s="93">
        <v>1</v>
      </c>
      <c r="AP8" s="104">
        <v>1</v>
      </c>
    </row>
  </sheetData>
  <sheetProtection selectLockedCells="1" selectUnlockedCells="1"/>
  <autoFilter ref="B1:AJ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1"/>
  <sheetViews>
    <sheetView showGridLines="0" zoomScale="75" zoomScaleNormal="75" zoomScalePageLayoutView="75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A2" sqref="A2"/>
    </sheetView>
  </sheetViews>
  <sheetFormatPr baseColWidth="12" defaultColWidth="13" defaultRowHeight="21" customHeight="1" outlineLevelCol="1" x14ac:dyDescent="0.15"/>
  <cols>
    <col min="1" max="1" width="17" style="14" bestFit="1" customWidth="1"/>
    <col min="2" max="2" width="10.83203125" style="3" bestFit="1" customWidth="1"/>
    <col min="3" max="3" width="10.6640625" style="3" bestFit="1" customWidth="1" collapsed="1"/>
    <col min="4" max="4" width="13" style="10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5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25" customFormat="1" ht="21" customHeight="1" x14ac:dyDescent="0.15">
      <c r="A1" s="18" t="s">
        <v>29</v>
      </c>
      <c r="B1" s="19" t="s">
        <v>0</v>
      </c>
      <c r="C1" s="19" t="s">
        <v>1</v>
      </c>
      <c r="D1" s="20" t="s">
        <v>28</v>
      </c>
      <c r="E1" s="21" t="s">
        <v>16</v>
      </c>
      <c r="F1" s="21" t="s">
        <v>16</v>
      </c>
      <c r="G1" s="19" t="s">
        <v>19</v>
      </c>
      <c r="H1" s="20" t="s">
        <v>30</v>
      </c>
      <c r="I1" s="20" t="s">
        <v>14</v>
      </c>
      <c r="J1" s="20" t="s">
        <v>15</v>
      </c>
      <c r="K1" s="26" t="s">
        <v>54</v>
      </c>
      <c r="L1" s="26" t="s">
        <v>55</v>
      </c>
      <c r="M1" s="27" t="s">
        <v>2</v>
      </c>
      <c r="N1" s="22" t="s">
        <v>16</v>
      </c>
      <c r="O1" s="20" t="s">
        <v>24</v>
      </c>
      <c r="P1" s="20" t="s">
        <v>23</v>
      </c>
      <c r="Q1" s="23" t="s">
        <v>26</v>
      </c>
      <c r="R1" s="21" t="s">
        <v>25</v>
      </c>
      <c r="S1" s="19" t="s">
        <v>3</v>
      </c>
      <c r="T1" s="17" t="s">
        <v>48</v>
      </c>
      <c r="U1" s="87" t="s">
        <v>257</v>
      </c>
      <c r="V1" s="17" t="s">
        <v>50</v>
      </c>
      <c r="W1" s="87" t="s">
        <v>258</v>
      </c>
      <c r="X1" s="17" t="s">
        <v>52</v>
      </c>
      <c r="Y1" s="19" t="s">
        <v>127</v>
      </c>
      <c r="Z1" s="20" t="s">
        <v>126</v>
      </c>
      <c r="AA1" s="19" t="s">
        <v>8</v>
      </c>
    </row>
  </sheetData>
  <sheetProtection selectLockedCells="1" selectUnlockedCells="1"/>
  <autoFilter ref="B1:AA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1"/>
  <sheetViews>
    <sheetView showGridLines="0" workbookViewId="0">
      <pane xSplit="5" ySplit="1" topLeftCell="F2" activePane="bottomRight" state="frozen"/>
      <selection pane="topRight"/>
      <selection pane="bottomLeft"/>
      <selection pane="bottomRight" activeCell="D15" sqref="D15"/>
    </sheetView>
  </sheetViews>
  <sheetFormatPr baseColWidth="12" defaultColWidth="12.83203125" defaultRowHeight="21" customHeight="1" outlineLevelCol="1" x14ac:dyDescent="0.15"/>
  <cols>
    <col min="1" max="1" width="11.33203125" style="29" bestFit="1" customWidth="1"/>
    <col min="2" max="2" width="9.5" style="36" bestFit="1" customWidth="1"/>
    <col min="3" max="3" width="9.6640625" style="36" customWidth="1"/>
    <col min="4" max="4" width="18.5" style="36" customWidth="1" outlineLevel="1"/>
    <col min="5" max="5" width="44.1640625" style="36" bestFit="1" customWidth="1" outlineLevel="1"/>
    <col min="6" max="6" width="10.83203125" style="36" bestFit="1" customWidth="1"/>
    <col min="7" max="7" width="8.33203125" style="36" bestFit="1" customWidth="1" outlineLevel="1"/>
    <col min="8" max="9" width="12.83203125" style="36" outlineLevel="1"/>
    <col min="10" max="10" width="17.6640625" style="36" bestFit="1" customWidth="1" outlineLevel="1"/>
    <col min="11" max="15" width="12.83203125" style="36" outlineLevel="1"/>
    <col min="16" max="16" width="8.33203125" style="35" bestFit="1" customWidth="1"/>
    <col min="17" max="17" width="9.6640625" style="35" customWidth="1"/>
    <col min="18" max="18" width="56.5" style="35" bestFit="1" customWidth="1"/>
    <col min="19" max="16384" width="12.83203125" style="35"/>
  </cols>
  <sheetData>
    <row r="1" spans="1:18" ht="21" customHeight="1" x14ac:dyDescent="0.15">
      <c r="A1" s="29" t="s">
        <v>60</v>
      </c>
      <c r="B1" s="30" t="s">
        <v>61</v>
      </c>
      <c r="C1" s="30" t="s">
        <v>62</v>
      </c>
      <c r="D1" s="31" t="s">
        <v>63</v>
      </c>
      <c r="E1" s="31" t="s">
        <v>64</v>
      </c>
      <c r="F1" s="32" t="s">
        <v>65</v>
      </c>
      <c r="G1" s="33" t="s">
        <v>66</v>
      </c>
      <c r="H1" s="33" t="s">
        <v>68</v>
      </c>
      <c r="I1" s="33" t="s">
        <v>69</v>
      </c>
      <c r="J1" s="33" t="s">
        <v>70</v>
      </c>
      <c r="K1" s="34" t="s">
        <v>71</v>
      </c>
      <c r="L1" s="34" t="s">
        <v>72</v>
      </c>
      <c r="M1" s="33" t="s">
        <v>73</v>
      </c>
      <c r="N1" s="33" t="s">
        <v>74</v>
      </c>
      <c r="O1" s="33" t="s">
        <v>75</v>
      </c>
      <c r="P1" s="31" t="s">
        <v>76</v>
      </c>
      <c r="Q1" s="31" t="s">
        <v>77</v>
      </c>
      <c r="R1" s="31" t="s">
        <v>78</v>
      </c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1"/>
  <sheetViews>
    <sheetView showGridLines="0" zoomScale="75" zoomScaleNormal="75" zoomScalePageLayoutView="75" workbookViewId="0">
      <pane ySplit="1" topLeftCell="A2" activePane="bottomLeft" state="frozenSplit"/>
      <selection pane="bottomLeft" activeCell="A2" sqref="A2:XFD2"/>
    </sheetView>
  </sheetViews>
  <sheetFormatPr baseColWidth="12" defaultColWidth="12.83203125" defaultRowHeight="21" customHeight="1" outlineLevelCol="1" x14ac:dyDescent="0.15"/>
  <cols>
    <col min="1" max="1" width="12.83203125" style="36"/>
    <col min="2" max="2" width="67.1640625" style="36" customWidth="1"/>
    <col min="3" max="4" width="12.83203125" style="36"/>
    <col min="5" max="5" width="23.6640625" style="36" bestFit="1" customWidth="1"/>
    <col min="6" max="6" width="44.1640625" style="36" bestFit="1" customWidth="1"/>
    <col min="7" max="7" width="52" style="36" hidden="1" customWidth="1" outlineLevel="1"/>
    <col min="8" max="8" width="18.33203125" style="36" hidden="1" customWidth="1" outlineLevel="1"/>
    <col min="9" max="11" width="18.6640625" style="36" hidden="1" customWidth="1" outlineLevel="1"/>
    <col min="12" max="12" width="23.6640625" style="36" customWidth="1" collapsed="1"/>
    <col min="13" max="18" width="23.6640625" style="36" hidden="1" customWidth="1" outlineLevel="1"/>
    <col min="19" max="19" width="23.6640625" style="36" customWidth="1" collapsed="1"/>
    <col min="20" max="24" width="23.6640625" style="36" hidden="1" customWidth="1" outlineLevel="1"/>
    <col min="25" max="25" width="23.6640625" style="36" customWidth="1" collapsed="1"/>
    <col min="26" max="27" width="12.83203125" style="36"/>
    <col min="28" max="28" width="44.5" style="36" customWidth="1"/>
    <col min="29" max="16384" width="12.83203125" style="36"/>
  </cols>
  <sheetData>
    <row r="1" spans="1:28" ht="21" customHeight="1" x14ac:dyDescent="0.15">
      <c r="A1" s="30" t="s">
        <v>79</v>
      </c>
      <c r="B1" s="30" t="s">
        <v>80</v>
      </c>
      <c r="C1" s="30" t="s">
        <v>81</v>
      </c>
      <c r="D1" s="30" t="s">
        <v>125</v>
      </c>
      <c r="E1" s="30" t="s">
        <v>82</v>
      </c>
      <c r="F1" s="30" t="s">
        <v>83</v>
      </c>
      <c r="G1" s="31" t="s">
        <v>130</v>
      </c>
      <c r="H1" s="31" t="s">
        <v>136</v>
      </c>
      <c r="I1" s="31" t="s">
        <v>138</v>
      </c>
      <c r="J1" s="31" t="s">
        <v>137</v>
      </c>
      <c r="K1" s="31" t="s">
        <v>139</v>
      </c>
      <c r="L1" s="31" t="s">
        <v>131</v>
      </c>
      <c r="M1" s="31" t="s">
        <v>129</v>
      </c>
      <c r="N1" s="31" t="s">
        <v>132</v>
      </c>
      <c r="O1" s="31" t="s">
        <v>140</v>
      </c>
      <c r="P1" s="31" t="s">
        <v>141</v>
      </c>
      <c r="Q1" s="31" t="s">
        <v>142</v>
      </c>
      <c r="R1" s="31" t="s">
        <v>143</v>
      </c>
      <c r="S1" s="31" t="s">
        <v>133</v>
      </c>
      <c r="T1" s="31" t="s">
        <v>134</v>
      </c>
      <c r="U1" s="31" t="s">
        <v>144</v>
      </c>
      <c r="V1" s="31" t="s">
        <v>145</v>
      </c>
      <c r="W1" s="31" t="s">
        <v>146</v>
      </c>
      <c r="X1" s="31" t="s">
        <v>147</v>
      </c>
      <c r="Y1" s="31" t="s">
        <v>135</v>
      </c>
      <c r="Z1" s="31" t="s">
        <v>76</v>
      </c>
      <c r="AA1" s="31" t="s">
        <v>77</v>
      </c>
      <c r="AB1" s="31" t="s">
        <v>78</v>
      </c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1"/>
  <sheetViews>
    <sheetView showGridLines="0" zoomScale="75" zoomScaleNormal="75" zoomScalePageLayoutView="75" workbookViewId="0">
      <pane ySplit="1" topLeftCell="A2" activePane="bottomLeft" state="frozenSplit"/>
      <selection pane="bottomLeft" activeCell="A2" sqref="A2:XFD2"/>
    </sheetView>
  </sheetViews>
  <sheetFormatPr baseColWidth="12" defaultColWidth="12.83203125" defaultRowHeight="21" customHeight="1" x14ac:dyDescent="0.15"/>
  <cols>
    <col min="1" max="1" width="16.1640625" style="36" bestFit="1" customWidth="1"/>
    <col min="2" max="2" width="13.33203125" style="36" bestFit="1" customWidth="1"/>
    <col min="3" max="3" width="11.83203125" style="36" bestFit="1" customWidth="1"/>
    <col min="4" max="4" width="14.6640625" style="36" bestFit="1" customWidth="1"/>
    <col min="5" max="5" width="15.6640625" style="36" bestFit="1" customWidth="1"/>
    <col min="6" max="6" width="17" style="36" bestFit="1" customWidth="1"/>
    <col min="7" max="7" width="15.6640625" style="36" bestFit="1" customWidth="1"/>
    <col min="8" max="9" width="14.6640625" style="36" customWidth="1"/>
    <col min="10" max="10" width="14.6640625" style="36" bestFit="1" customWidth="1"/>
    <col min="11" max="11" width="22.83203125" style="29" bestFit="1" customWidth="1"/>
    <col min="12" max="16384" width="12.83203125" style="35"/>
  </cols>
  <sheetData>
    <row r="1" spans="1:11" ht="21" customHeight="1" x14ac:dyDescent="0.15">
      <c r="A1" s="32" t="s">
        <v>84</v>
      </c>
      <c r="B1" s="32" t="s">
        <v>85</v>
      </c>
      <c r="C1" s="32" t="s">
        <v>86</v>
      </c>
      <c r="D1" s="32" t="s">
        <v>87</v>
      </c>
      <c r="E1" s="32" t="s">
        <v>70</v>
      </c>
      <c r="F1" s="37" t="s">
        <v>71</v>
      </c>
      <c r="G1" s="37" t="s">
        <v>72</v>
      </c>
      <c r="H1" s="32" t="s">
        <v>73</v>
      </c>
      <c r="I1" s="32" t="s">
        <v>74</v>
      </c>
      <c r="J1" s="32" t="s">
        <v>75</v>
      </c>
      <c r="K1" s="38" t="s">
        <v>88</v>
      </c>
    </row>
  </sheetData>
  <autoFilter ref="A1:G1"/>
  <phoneticPr fontId="5"/>
  <conditionalFormatting sqref="K1:K1048576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5"/>
  <sheetViews>
    <sheetView workbookViewId="0">
      <selection activeCell="A6" sqref="A6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47" t="s">
        <v>148</v>
      </c>
      <c r="B1" s="47" t="s">
        <v>149</v>
      </c>
      <c r="C1" s="48" t="s">
        <v>150</v>
      </c>
      <c r="D1" s="53" t="s">
        <v>151</v>
      </c>
      <c r="E1" s="49" t="s">
        <v>152</v>
      </c>
      <c r="F1" s="47" t="s">
        <v>153</v>
      </c>
      <c r="G1" s="47" t="s">
        <v>154</v>
      </c>
      <c r="H1" s="47" t="s">
        <v>155</v>
      </c>
      <c r="I1" s="47" t="s">
        <v>156</v>
      </c>
      <c r="J1" s="47" t="s">
        <v>157</v>
      </c>
      <c r="K1" s="47" t="s">
        <v>158</v>
      </c>
      <c r="L1" s="47" t="s">
        <v>159</v>
      </c>
      <c r="M1" s="47" t="s">
        <v>160</v>
      </c>
      <c r="N1" s="47" t="s">
        <v>161</v>
      </c>
      <c r="O1" s="47" t="s">
        <v>162</v>
      </c>
      <c r="P1" s="47" t="s">
        <v>163</v>
      </c>
      <c r="Q1" s="47" t="s">
        <v>164</v>
      </c>
      <c r="R1" s="47" t="s">
        <v>165</v>
      </c>
    </row>
    <row r="2" spans="1:18" x14ac:dyDescent="0.15">
      <c r="A2" s="41">
        <f>floors!C2</f>
        <v>20019</v>
      </c>
      <c r="B2" s="41">
        <v>1</v>
      </c>
      <c r="C2" s="52" t="str">
        <f>A2&amp; "_"&amp;B2</f>
        <v>20019_1</v>
      </c>
      <c r="D2" s="7" t="str">
        <f ca="1">VLOOKUP($C2,OFFSET([2]stages!$A$1,0,0,COUNTA([2]stages!$A:$A),MATCH(D$1,[2]stages!$2:$2,0)-MATCH($C$1,[2]stages!$2:$2,0)+1),MATCH(D$1,[2]stages!$2:$2,0)-MATCH($C$1,[2]stages!$2:$2,0)+1,FALSE)</f>
        <v>everyone</v>
      </c>
      <c r="E2" s="41">
        <v>1</v>
      </c>
      <c r="F2" s="41" t="s">
        <v>166</v>
      </c>
      <c r="G2" s="41">
        <v>1000</v>
      </c>
      <c r="H2" s="41" t="s">
        <v>167</v>
      </c>
      <c r="I2" s="41">
        <v>1</v>
      </c>
      <c r="J2" s="41">
        <v>1</v>
      </c>
      <c r="K2" s="41">
        <v>0</v>
      </c>
      <c r="L2" s="41">
        <v>0</v>
      </c>
      <c r="M2" s="41">
        <v>0</v>
      </c>
      <c r="N2" s="41">
        <v>0</v>
      </c>
      <c r="O2" s="41">
        <v>1</v>
      </c>
      <c r="P2" s="41">
        <v>100</v>
      </c>
      <c r="Q2" s="41" t="s">
        <v>168</v>
      </c>
      <c r="R2" s="41" t="s">
        <v>169</v>
      </c>
    </row>
    <row r="3" spans="1:18" x14ac:dyDescent="0.15">
      <c r="A3" s="41"/>
      <c r="B3" s="41"/>
      <c r="C3" s="41"/>
      <c r="D3" s="41"/>
      <c r="E3" s="41"/>
      <c r="F3" s="41"/>
      <c r="G3" s="41"/>
      <c r="H3" s="41"/>
      <c r="I3" s="41"/>
      <c r="J3" s="41"/>
      <c r="K3" s="41"/>
      <c r="L3" s="41"/>
      <c r="M3" s="41"/>
      <c r="N3" s="41"/>
      <c r="O3" s="41"/>
      <c r="P3" s="41"/>
      <c r="Q3" s="41"/>
      <c r="R3" s="41"/>
    </row>
    <row r="4" spans="1:18" x14ac:dyDescent="0.15">
      <c r="A4" s="41"/>
      <c r="B4" s="41"/>
      <c r="C4" s="41"/>
      <c r="D4" s="41"/>
      <c r="E4" s="41"/>
      <c r="F4" s="41"/>
      <c r="G4" s="41"/>
      <c r="H4" s="41"/>
      <c r="I4" s="41"/>
      <c r="J4" s="41"/>
      <c r="K4" s="41"/>
      <c r="L4" s="41"/>
      <c r="M4" s="41"/>
      <c r="N4" s="41"/>
      <c r="O4" s="41"/>
      <c r="P4" s="41"/>
      <c r="Q4" s="41"/>
      <c r="R4" s="41"/>
    </row>
    <row r="5" spans="1:18" x14ac:dyDescent="0.15">
      <c r="A5" s="41"/>
      <c r="B5" s="41"/>
      <c r="C5" s="41"/>
      <c r="D5" s="41"/>
      <c r="E5" s="41"/>
      <c r="F5" s="41"/>
      <c r="G5" s="41"/>
      <c r="H5" s="41"/>
      <c r="I5" s="41"/>
      <c r="J5" s="41"/>
      <c r="K5" s="41"/>
      <c r="L5" s="41"/>
      <c r="M5" s="41"/>
      <c r="N5" s="41"/>
      <c r="O5" s="41"/>
      <c r="P5" s="41"/>
      <c r="Q5" s="41"/>
      <c r="R5" s="41"/>
    </row>
  </sheetData>
  <phoneticPr fontId="5"/>
  <dataValidations disablePrompts="1" count="1">
    <dataValidation type="list" allowBlank="1" showInputMessage="1" showErrorMessage="1" sqref="F2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93"/>
  <sheetViews>
    <sheetView showGridLines="0" workbookViewId="0">
      <pane ySplit="1" topLeftCell="A2" activePane="bottomLeft" state="frozen"/>
      <selection pane="bottomLeft" activeCell="N2" sqref="N2"/>
    </sheetView>
  </sheetViews>
  <sheetFormatPr baseColWidth="12" defaultColWidth="13" defaultRowHeight="15" outlineLevelCol="1" x14ac:dyDescent="0.15"/>
  <cols>
    <col min="1" max="1" width="13" style="70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57" t="s">
        <v>187</v>
      </c>
      <c r="B1" s="54" t="s">
        <v>188</v>
      </c>
      <c r="C1" s="58" t="s">
        <v>189</v>
      </c>
      <c r="D1" s="58" t="s">
        <v>33</v>
      </c>
      <c r="E1" s="54" t="s">
        <v>190</v>
      </c>
      <c r="F1" s="58" t="s">
        <v>191</v>
      </c>
      <c r="G1" s="58" t="s">
        <v>33</v>
      </c>
      <c r="H1" s="54" t="s">
        <v>192</v>
      </c>
      <c r="I1" s="73" t="s">
        <v>194</v>
      </c>
      <c r="J1" s="60" t="s">
        <v>125</v>
      </c>
      <c r="K1" s="59" t="s">
        <v>185</v>
      </c>
      <c r="L1" s="74" t="s">
        <v>184</v>
      </c>
      <c r="M1" s="61" t="s">
        <v>195</v>
      </c>
    </row>
    <row r="2" spans="1:13" x14ac:dyDescent="0.15">
      <c r="A2" s="62" t="s">
        <v>200</v>
      </c>
      <c r="B2" s="63">
        <f>floors!$C$2</f>
        <v>20019</v>
      </c>
      <c r="C2" s="64" t="str">
        <f ca="1">VLOOKUP($B2,OFFSET([2]quests!$A$1,0,0,COUNTA([2]quests!$A:$A),MATCH(C$1,[2]quests!$1:$1,0)-MATCH($B$1,[2]quests!$1:$1,0)+1),MATCH(C$1,[2]quests!$1:$1,0)-MATCH($B$1,[2]quests!$1:$1,0)+1,FALSE)</f>
        <v>平安編０１（仮）</v>
      </c>
      <c r="D2" s="64" t="str">
        <f ca="1">VLOOKUP($B2,OFFSET([2]quests!$A$1,0,0,COUNTA([2]quests!$A:$A),MATCH(D$1,[2]quests!$1:$1,0)-MATCH($B$1,[2]quests!$1:$1,0)+1),MATCH(D$1,[2]quests!$1:$1,0)-MATCH($B$1,[2]quests!$1:$1,0)+1,FALSE)</f>
        <v>平安01</v>
      </c>
      <c r="E2" s="68">
        <v>1</v>
      </c>
      <c r="F2" s="64" t="str">
        <f ca="1">VLOOKUP($B2&amp;"_"&amp;$E2,OFFSET([2]stages!$A$1,0,0,COUNTA([2]stages!$A:$A),MATCH(F$1,[2]stages!$2:$2,0)-MATCH("temp_stage",[2]stages!$2:$2,0)+1),MATCH(F$1,[2]stages!$2:$2,0)-MATCH("temp_stage",[2]stages!$2:$2,0)+1,FALSE)</f>
        <v>【初級】平安編０１（仮）</v>
      </c>
      <c r="G2" s="64" t="str">
        <f ca="1">VLOOKUP($B2&amp;"_"&amp;$E2,OFFSET([2]stages!$A$1,0,0,COUNTA([2]stages!$A:$A),MATCH(G$1,[2]stages!$2:$2,0)-MATCH("temp_stage",[2]stages!$2:$2,0)+1),MATCH(G$1,[2]stages!$2:$2,0)-MATCH("temp_stage",[2]stages!$2:$2,0)+1,FALSE)</f>
        <v>平安01</v>
      </c>
      <c r="H2" s="66">
        <v>0</v>
      </c>
      <c r="I2">
        <v>1</v>
      </c>
      <c r="J2" s="65" t="s">
        <v>197</v>
      </c>
      <c r="K2" s="75" t="str">
        <f>VLOOKUP(I2,[6]stage_hints!$A:$C,3,FALSE)</f>
        <v>長くつなげて大ダメージ</v>
      </c>
      <c r="L2" s="76" t="str">
        <f>VLOOKUP(I2,[6]stage_hints!$A:$D,4,FALSE)</f>
        <v>パネルを長くつなげるほど_x000D_大ダメージを与えることができます</v>
      </c>
      <c r="M2" s="41" t="s">
        <v>212</v>
      </c>
    </row>
    <row r="3" spans="1:13" x14ac:dyDescent="0.15">
      <c r="A3" s="62" t="s">
        <v>200</v>
      </c>
      <c r="B3" s="63">
        <f>floors!$C$2</f>
        <v>20019</v>
      </c>
      <c r="C3" s="64" t="str">
        <f ca="1">VLOOKUP($B3,OFFSET([2]quests!$A$1,0,0,COUNTA([2]quests!$A:$A),MATCH(C$1,[2]quests!$1:$1,0)-MATCH($B$1,[2]quests!$1:$1,0)+1),MATCH(C$1,[2]quests!$1:$1,0)-MATCH($B$1,[2]quests!$1:$1,0)+1,FALSE)</f>
        <v>平安編０１（仮）</v>
      </c>
      <c r="D3" s="64" t="str">
        <f ca="1">VLOOKUP($B3,OFFSET([2]quests!$A$1,0,0,COUNTA([2]quests!$A:$A),MATCH(D$1,[2]quests!$1:$1,0)-MATCH($B$1,[2]quests!$1:$1,0)+1),MATCH(D$1,[2]quests!$1:$1,0)-MATCH($B$1,[2]quests!$1:$1,0)+1,FALSE)</f>
        <v>平安01</v>
      </c>
      <c r="E3" s="68">
        <v>1</v>
      </c>
      <c r="F3" s="64" t="str">
        <f ca="1">VLOOKUP($B3&amp;"_"&amp;$E3,OFFSET([2]stages!$A$1,0,0,COUNTA([2]stages!$A:$A),MATCH(F$1,[2]stages!$2:$2,0)-MATCH("temp_stage",[2]stages!$2:$2,0)+1),MATCH(F$1,[2]stages!$2:$2,0)-MATCH("temp_stage",[2]stages!$2:$2,0)+1,FALSE)</f>
        <v>【初級】平安編０１（仮）</v>
      </c>
      <c r="G3" s="64" t="str">
        <f ca="1">VLOOKUP($B3&amp;"_"&amp;$E3,OFFSET([2]stages!$A$1,0,0,COUNTA([2]stages!$A:$A),MATCH(G$1,[2]stages!$2:$2,0)-MATCH("temp_stage",[2]stages!$2:$2,0)+1),MATCH(G$1,[2]stages!$2:$2,0)-MATCH("temp_stage",[2]stages!$2:$2,0)+1,FALSE)</f>
        <v>平安01</v>
      </c>
      <c r="H3" s="66">
        <v>0</v>
      </c>
      <c r="I3">
        <v>2</v>
      </c>
      <c r="J3" s="65" t="s">
        <v>197</v>
      </c>
      <c r="K3" s="75" t="str">
        <f>VLOOKUP(I3,[6]stage_hints!$A:$C,3,FALSE)</f>
        <v>属性の相性</v>
      </c>
      <c r="L3" s="76" t="str">
        <f>VLOOKUP(I3,[6]stage_hints!$A:$D,4,FALSE)</f>
        <v>赤＞青　青＞黄　黄＞緑　緑＞赤_x000D_敵属性に最適なパーティがオススメです</v>
      </c>
      <c r="M3" s="41" t="s">
        <v>212</v>
      </c>
    </row>
    <row r="4" spans="1:13" x14ac:dyDescent="0.15">
      <c r="A4" s="62" t="s">
        <v>200</v>
      </c>
      <c r="B4" s="63">
        <f>floors!$C$2</f>
        <v>20019</v>
      </c>
      <c r="C4" s="64" t="str">
        <f ca="1">VLOOKUP($B4,OFFSET([2]quests!$A$1,0,0,COUNTA([2]quests!$A:$A),MATCH(C$1,[2]quests!$1:$1,0)-MATCH($B$1,[2]quests!$1:$1,0)+1),MATCH(C$1,[2]quests!$1:$1,0)-MATCH($B$1,[2]quests!$1:$1,0)+1,FALSE)</f>
        <v>平安編０１（仮）</v>
      </c>
      <c r="D4" s="64" t="str">
        <f ca="1">VLOOKUP($B4,OFFSET([2]quests!$A$1,0,0,COUNTA([2]quests!$A:$A),MATCH(D$1,[2]quests!$1:$1,0)-MATCH($B$1,[2]quests!$1:$1,0)+1),MATCH(D$1,[2]quests!$1:$1,0)-MATCH($B$1,[2]quests!$1:$1,0)+1,FALSE)</f>
        <v>平安01</v>
      </c>
      <c r="E4" s="68">
        <v>1</v>
      </c>
      <c r="F4" s="64" t="str">
        <f ca="1">VLOOKUP($B4&amp;"_"&amp;$E4,OFFSET([2]stages!$A$1,0,0,COUNTA([2]stages!$A:$A),MATCH(F$1,[2]stages!$2:$2,0)-MATCH("temp_stage",[2]stages!$2:$2,0)+1),MATCH(F$1,[2]stages!$2:$2,0)-MATCH("temp_stage",[2]stages!$2:$2,0)+1,FALSE)</f>
        <v>【初級】平安編０１（仮）</v>
      </c>
      <c r="G4" s="64" t="str">
        <f ca="1">VLOOKUP($B4&amp;"_"&amp;$E4,OFFSET([2]stages!$A$1,0,0,COUNTA([2]stages!$A:$A),MATCH(G$1,[2]stages!$2:$2,0)-MATCH("temp_stage",[2]stages!$2:$2,0)+1),MATCH(G$1,[2]stages!$2:$2,0)-MATCH("temp_stage",[2]stages!$2:$2,0)+1,FALSE)</f>
        <v>平安01</v>
      </c>
      <c r="H4" s="66">
        <v>0</v>
      </c>
      <c r="I4">
        <v>3</v>
      </c>
      <c r="J4" s="65" t="s">
        <v>197</v>
      </c>
      <c r="K4" s="75" t="str">
        <f>VLOOKUP(I4,[6]stage_hints!$A:$C,3,FALSE)</f>
        <v>ターゲット</v>
      </c>
      <c r="L4" s="76" t="str">
        <f>VLOOKUP(I4,[6]stage_hints!$A:$D,4,FALSE)</f>
        <v>敵ユニットをタップすると_x000D_その敵を狙い撃ちできます</v>
      </c>
      <c r="M4" s="41" t="s">
        <v>212</v>
      </c>
    </row>
    <row r="5" spans="1:13" x14ac:dyDescent="0.15">
      <c r="A5" s="62" t="s">
        <v>200</v>
      </c>
      <c r="B5" s="63">
        <f>floors!$C$2</f>
        <v>20019</v>
      </c>
      <c r="C5" s="64" t="str">
        <f ca="1">VLOOKUP($B5,OFFSET([2]quests!$A$1,0,0,COUNTA([2]quests!$A:$A),MATCH(C$1,[2]quests!$1:$1,0)-MATCH($B$1,[2]quests!$1:$1,0)+1),MATCH(C$1,[2]quests!$1:$1,0)-MATCH($B$1,[2]quests!$1:$1,0)+1,FALSE)</f>
        <v>平安編０１（仮）</v>
      </c>
      <c r="D5" s="64" t="str">
        <f ca="1">VLOOKUP($B5,OFFSET([2]quests!$A$1,0,0,COUNTA([2]quests!$A:$A),MATCH(D$1,[2]quests!$1:$1,0)-MATCH($B$1,[2]quests!$1:$1,0)+1),MATCH(D$1,[2]quests!$1:$1,0)-MATCH($B$1,[2]quests!$1:$1,0)+1,FALSE)</f>
        <v>平安01</v>
      </c>
      <c r="E5" s="68">
        <v>1</v>
      </c>
      <c r="F5" s="64" t="str">
        <f ca="1">VLOOKUP($B5&amp;"_"&amp;$E5,OFFSET([2]stages!$A$1,0,0,COUNTA([2]stages!$A:$A),MATCH(F$1,[2]stages!$2:$2,0)-MATCH("temp_stage",[2]stages!$2:$2,0)+1),MATCH(F$1,[2]stages!$2:$2,0)-MATCH("temp_stage",[2]stages!$2:$2,0)+1,FALSE)</f>
        <v>【初級】平安編０１（仮）</v>
      </c>
      <c r="G5" s="64" t="str">
        <f ca="1">VLOOKUP($B5&amp;"_"&amp;$E5,OFFSET([2]stages!$A$1,0,0,COUNTA([2]stages!$A:$A),MATCH(G$1,[2]stages!$2:$2,0)-MATCH("temp_stage",[2]stages!$2:$2,0)+1),MATCH(G$1,[2]stages!$2:$2,0)-MATCH("temp_stage",[2]stages!$2:$2,0)+1,FALSE)</f>
        <v>平安01</v>
      </c>
      <c r="H5" s="66">
        <v>0</v>
      </c>
      <c r="I5">
        <v>5</v>
      </c>
      <c r="J5" s="65" t="s">
        <v>197</v>
      </c>
      <c r="K5" s="75" t="str">
        <f>VLOOKUP(I5,[6]stage_hints!$A:$C,3,FALSE)</f>
        <v>ユニット強化でレベルアップ</v>
      </c>
      <c r="L5" s="76" t="str">
        <f>VLOOKUP(I5,[6]stage_hints!$A:$D,4,FALSE)</f>
        <v>「ユニット強化」でレベルアップすると_x000D_勝てない敵にも勝てるようになります</v>
      </c>
      <c r="M5" s="41" t="s">
        <v>212</v>
      </c>
    </row>
    <row r="6" spans="1:13" x14ac:dyDescent="0.15">
      <c r="A6" s="62" t="s">
        <v>200</v>
      </c>
      <c r="B6" s="63">
        <f>floors!$C$2</f>
        <v>20019</v>
      </c>
      <c r="C6" s="64" t="str">
        <f ca="1">VLOOKUP($B6,OFFSET([2]quests!$A$1,0,0,COUNTA([2]quests!$A:$A),MATCH(C$1,[2]quests!$1:$1,0)-MATCH($B$1,[2]quests!$1:$1,0)+1),MATCH(C$1,[2]quests!$1:$1,0)-MATCH($B$1,[2]quests!$1:$1,0)+1,FALSE)</f>
        <v>平安編０１（仮）</v>
      </c>
      <c r="D6" s="64" t="str">
        <f ca="1">VLOOKUP($B6,OFFSET([2]quests!$A$1,0,0,COUNTA([2]quests!$A:$A),MATCH(D$1,[2]quests!$1:$1,0)-MATCH($B$1,[2]quests!$1:$1,0)+1),MATCH(D$1,[2]quests!$1:$1,0)-MATCH($B$1,[2]quests!$1:$1,0)+1,FALSE)</f>
        <v>平安01</v>
      </c>
      <c r="E6" s="68">
        <v>1</v>
      </c>
      <c r="F6" s="64" t="str">
        <f ca="1">VLOOKUP($B6&amp;"_"&amp;$E6,OFFSET([2]stages!$A$1,0,0,COUNTA([2]stages!$A:$A),MATCH(F$1,[2]stages!$2:$2,0)-MATCH("temp_stage",[2]stages!$2:$2,0)+1),MATCH(F$1,[2]stages!$2:$2,0)-MATCH("temp_stage",[2]stages!$2:$2,0)+1,FALSE)</f>
        <v>【初級】平安編０１（仮）</v>
      </c>
      <c r="G6" s="64" t="str">
        <f ca="1">VLOOKUP($B6&amp;"_"&amp;$E6,OFFSET([2]stages!$A$1,0,0,COUNTA([2]stages!$A:$A),MATCH(G$1,[2]stages!$2:$2,0)-MATCH("temp_stage",[2]stages!$2:$2,0)+1),MATCH(G$1,[2]stages!$2:$2,0)-MATCH("temp_stage",[2]stages!$2:$2,0)+1,FALSE)</f>
        <v>平安01</v>
      </c>
      <c r="H6" s="66">
        <v>0</v>
      </c>
      <c r="I6">
        <v>6</v>
      </c>
      <c r="J6" s="65" t="s">
        <v>197</v>
      </c>
      <c r="K6" s="75" t="str">
        <f>VLOOKUP(I6,[6]stage_hints!$A:$C,3,FALSE)</f>
        <v>ユニット強化の属性ボーナス</v>
      </c>
      <c r="L6" s="76" t="str">
        <f>VLOOKUP(I6,[6]stage_hints!$A:$D,4,FALSE)</f>
        <v>同属性ユニットを強化素材にすると_x000D_経験値が多くもらえます</v>
      </c>
      <c r="M6" s="41" t="s">
        <v>212</v>
      </c>
    </row>
    <row r="7" spans="1:13" x14ac:dyDescent="0.15">
      <c r="A7" s="62" t="s">
        <v>200</v>
      </c>
      <c r="B7" s="63">
        <f>floors!$C$2</f>
        <v>20019</v>
      </c>
      <c r="C7" s="64" t="str">
        <f ca="1">VLOOKUP($B7,OFFSET([2]quests!$A$1,0,0,COUNTA([2]quests!$A:$A),MATCH(C$1,[2]quests!$1:$1,0)-MATCH($B$1,[2]quests!$1:$1,0)+1),MATCH(C$1,[2]quests!$1:$1,0)-MATCH($B$1,[2]quests!$1:$1,0)+1,FALSE)</f>
        <v>平安編０１（仮）</v>
      </c>
      <c r="D7" s="64" t="str">
        <f ca="1">VLOOKUP($B7,OFFSET([2]quests!$A$1,0,0,COUNTA([2]quests!$A:$A),MATCH(D$1,[2]quests!$1:$1,0)-MATCH($B$1,[2]quests!$1:$1,0)+1),MATCH(D$1,[2]quests!$1:$1,0)-MATCH($B$1,[2]quests!$1:$1,0)+1,FALSE)</f>
        <v>平安01</v>
      </c>
      <c r="E7" s="68">
        <v>1</v>
      </c>
      <c r="F7" s="64" t="str">
        <f ca="1">VLOOKUP($B7&amp;"_"&amp;$E7,OFFSET([2]stages!$A$1,0,0,COUNTA([2]stages!$A:$A),MATCH(F$1,[2]stages!$2:$2,0)-MATCH("temp_stage",[2]stages!$2:$2,0)+1),MATCH(F$1,[2]stages!$2:$2,0)-MATCH("temp_stage",[2]stages!$2:$2,0)+1,FALSE)</f>
        <v>【初級】平安編０１（仮）</v>
      </c>
      <c r="G7" s="64" t="str">
        <f ca="1">VLOOKUP($B7&amp;"_"&amp;$E7,OFFSET([2]stages!$A$1,0,0,COUNTA([2]stages!$A:$A),MATCH(G$1,[2]stages!$2:$2,0)-MATCH("temp_stage",[2]stages!$2:$2,0)+1),MATCH(G$1,[2]stages!$2:$2,0)-MATCH("temp_stage",[2]stages!$2:$2,0)+1,FALSE)</f>
        <v>平安01</v>
      </c>
      <c r="H7" s="66">
        <v>0</v>
      </c>
      <c r="I7">
        <v>7</v>
      </c>
      <c r="J7" s="65" t="s">
        <v>197</v>
      </c>
      <c r="K7" s="75" t="str">
        <f>VLOOKUP(I7,[6]stage_hints!$A:$C,3,FALSE)</f>
        <v>メタルダックで経験値を獲得</v>
      </c>
      <c r="L7" s="76" t="str">
        <f>VLOOKUP(I7,[6]stage_hints!$A:$D,4,FALSE)</f>
        <v>「メタルなアヒル」を強化素材にすると_x000D_大量の経験値がもらえます</v>
      </c>
      <c r="M7" s="41" t="s">
        <v>212</v>
      </c>
    </row>
    <row r="8" spans="1:13" x14ac:dyDescent="0.15">
      <c r="A8" s="62" t="s">
        <v>200</v>
      </c>
      <c r="B8" s="63">
        <f>floors!$C$2</f>
        <v>20019</v>
      </c>
      <c r="C8" s="64" t="str">
        <f ca="1">VLOOKUP($B8,OFFSET([2]quests!$A$1,0,0,COUNTA([2]quests!$A:$A),MATCH(C$1,[2]quests!$1:$1,0)-MATCH($B$1,[2]quests!$1:$1,0)+1),MATCH(C$1,[2]quests!$1:$1,0)-MATCH($B$1,[2]quests!$1:$1,0)+1,FALSE)</f>
        <v>平安編０１（仮）</v>
      </c>
      <c r="D8" s="64" t="str">
        <f ca="1">VLOOKUP($B8,OFFSET([2]quests!$A$1,0,0,COUNTA([2]quests!$A:$A),MATCH(D$1,[2]quests!$1:$1,0)-MATCH($B$1,[2]quests!$1:$1,0)+1),MATCH(D$1,[2]quests!$1:$1,0)-MATCH($B$1,[2]quests!$1:$1,0)+1,FALSE)</f>
        <v>平安01</v>
      </c>
      <c r="E8" s="68">
        <v>1</v>
      </c>
      <c r="F8" s="64" t="str">
        <f ca="1">VLOOKUP($B8&amp;"_"&amp;$E8,OFFSET([2]stages!$A$1,0,0,COUNTA([2]stages!$A:$A),MATCH(F$1,[2]stages!$2:$2,0)-MATCH("temp_stage",[2]stages!$2:$2,0)+1),MATCH(F$1,[2]stages!$2:$2,0)-MATCH("temp_stage",[2]stages!$2:$2,0)+1,FALSE)</f>
        <v>【初級】平安編０１（仮）</v>
      </c>
      <c r="G8" s="64" t="str">
        <f ca="1">VLOOKUP($B8&amp;"_"&amp;$E8,OFFSET([2]stages!$A$1,0,0,COUNTA([2]stages!$A:$A),MATCH(G$1,[2]stages!$2:$2,0)-MATCH("temp_stage",[2]stages!$2:$2,0)+1),MATCH(G$1,[2]stages!$2:$2,0)-MATCH("temp_stage",[2]stages!$2:$2,0)+1,FALSE)</f>
        <v>平安01</v>
      </c>
      <c r="H8" s="66">
        <v>0</v>
      </c>
      <c r="I8">
        <v>8</v>
      </c>
      <c r="J8" s="65" t="s">
        <v>197</v>
      </c>
      <c r="K8" s="75" t="str">
        <f>VLOOKUP(I8,[6]stage_hints!$A:$C,3,FALSE)</f>
        <v>ゲリラクエストは要チェック</v>
      </c>
      <c r="L8" s="76" t="str">
        <f>VLOOKUP(I8,[6]stage_hints!$A:$D,4,FALSE)</f>
        <v>時間限定の「アヒル捕獲作戦」では_x000D_経験値素材ユニットが多く手に入ります</v>
      </c>
      <c r="M8" s="41" t="s">
        <v>212</v>
      </c>
    </row>
    <row r="9" spans="1:13" x14ac:dyDescent="0.15">
      <c r="A9" s="62" t="s">
        <v>200</v>
      </c>
      <c r="B9" s="63">
        <f>floors!$C$2</f>
        <v>20019</v>
      </c>
      <c r="C9" s="64" t="str">
        <f ca="1">VLOOKUP($B9,OFFSET([2]quests!$A$1,0,0,COUNTA([2]quests!$A:$A),MATCH(C$1,[2]quests!$1:$1,0)-MATCH($B$1,[2]quests!$1:$1,0)+1),MATCH(C$1,[2]quests!$1:$1,0)-MATCH($B$1,[2]quests!$1:$1,0)+1,FALSE)</f>
        <v>平安編０１（仮）</v>
      </c>
      <c r="D9" s="64" t="str">
        <f ca="1">VLOOKUP($B9,OFFSET([2]quests!$A$1,0,0,COUNTA([2]quests!$A:$A),MATCH(D$1,[2]quests!$1:$1,0)-MATCH($B$1,[2]quests!$1:$1,0)+1),MATCH(D$1,[2]quests!$1:$1,0)-MATCH($B$1,[2]quests!$1:$1,0)+1,FALSE)</f>
        <v>平安01</v>
      </c>
      <c r="E9" s="68">
        <v>1</v>
      </c>
      <c r="F9" s="64" t="str">
        <f ca="1">VLOOKUP($B9&amp;"_"&amp;$E9,OFFSET([2]stages!$A$1,0,0,COUNTA([2]stages!$A:$A),MATCH(F$1,[2]stages!$2:$2,0)-MATCH("temp_stage",[2]stages!$2:$2,0)+1),MATCH(F$1,[2]stages!$2:$2,0)-MATCH("temp_stage",[2]stages!$2:$2,0)+1,FALSE)</f>
        <v>【初級】平安編０１（仮）</v>
      </c>
      <c r="G9" s="64" t="str">
        <f ca="1">VLOOKUP($B9&amp;"_"&amp;$E9,OFFSET([2]stages!$A$1,0,0,COUNTA([2]stages!$A:$A),MATCH(G$1,[2]stages!$2:$2,0)-MATCH("temp_stage",[2]stages!$2:$2,0)+1),MATCH(G$1,[2]stages!$2:$2,0)-MATCH("temp_stage",[2]stages!$2:$2,0)+1,FALSE)</f>
        <v>平安01</v>
      </c>
      <c r="H9" s="66">
        <v>0</v>
      </c>
      <c r="I9">
        <v>9</v>
      </c>
      <c r="J9" s="65" t="s">
        <v>197</v>
      </c>
      <c r="K9" s="75" t="str">
        <f>VLOOKUP(I9,[6]stage_hints!$A:$C,3,FALSE)</f>
        <v>ゴールドダックでビットを獲得</v>
      </c>
      <c r="L9" s="76" t="str">
        <f>VLOOKUP(I9,[6]stage_hints!$A:$D,4,FALSE)</f>
        <v>「ゴールドなアヒル」を売却すると_x000D_大量のビットがもらえます</v>
      </c>
      <c r="M9" s="41" t="s">
        <v>212</v>
      </c>
    </row>
    <row r="10" spans="1:13" x14ac:dyDescent="0.15">
      <c r="A10" s="62" t="s">
        <v>200</v>
      </c>
      <c r="B10" s="63">
        <f>floors!$C$2</f>
        <v>20019</v>
      </c>
      <c r="C10" s="64" t="str">
        <f ca="1">VLOOKUP($B10,OFFSET([2]quests!$A$1,0,0,COUNTA([2]quests!$A:$A),MATCH(C$1,[2]quests!$1:$1,0)-MATCH($B$1,[2]quests!$1:$1,0)+1),MATCH(C$1,[2]quests!$1:$1,0)-MATCH($B$1,[2]quests!$1:$1,0)+1,FALSE)</f>
        <v>平安編０１（仮）</v>
      </c>
      <c r="D10" s="64" t="str">
        <f ca="1">VLOOKUP($B10,OFFSET([2]quests!$A$1,0,0,COUNTA([2]quests!$A:$A),MATCH(D$1,[2]quests!$1:$1,0)-MATCH($B$1,[2]quests!$1:$1,0)+1),MATCH(D$1,[2]quests!$1:$1,0)-MATCH($B$1,[2]quests!$1:$1,0)+1,FALSE)</f>
        <v>平安01</v>
      </c>
      <c r="E10" s="68">
        <v>1</v>
      </c>
      <c r="F10" s="64" t="str">
        <f ca="1">VLOOKUP($B10&amp;"_"&amp;$E10,OFFSET([2]stages!$A$1,0,0,COUNTA([2]stages!$A:$A),MATCH(F$1,[2]stages!$2:$2,0)-MATCH("temp_stage",[2]stages!$2:$2,0)+1),MATCH(F$1,[2]stages!$2:$2,0)-MATCH("temp_stage",[2]stages!$2:$2,0)+1,FALSE)</f>
        <v>【初級】平安編０１（仮）</v>
      </c>
      <c r="G10" s="64" t="str">
        <f ca="1">VLOOKUP($B10&amp;"_"&amp;$E10,OFFSET([2]stages!$A$1,0,0,COUNTA([2]stages!$A:$A),MATCH(G$1,[2]stages!$2:$2,0)-MATCH("temp_stage",[2]stages!$2:$2,0)+1),MATCH(G$1,[2]stages!$2:$2,0)-MATCH("temp_stage",[2]stages!$2:$2,0)+1,FALSE)</f>
        <v>平安01</v>
      </c>
      <c r="H10" s="66">
        <v>0</v>
      </c>
      <c r="I10">
        <v>10</v>
      </c>
      <c r="J10" s="65" t="s">
        <v>197</v>
      </c>
      <c r="K10" s="75" t="str">
        <f>VLOOKUP(I10,[6]stage_hints!$A:$C,3,FALSE)</f>
        <v>土日に大量のビットを獲得</v>
      </c>
      <c r="L10" s="76" t="str">
        <f>VLOOKUP(I10,[6]stage_hints!$A:$D,4,FALSE)</f>
        <v>土日限定の「ゴールドカジノ」では_x000D_売却素材ユニットが多く手に入ります</v>
      </c>
      <c r="M10" s="41" t="s">
        <v>212</v>
      </c>
    </row>
    <row r="11" spans="1:13" x14ac:dyDescent="0.15">
      <c r="A11" s="62" t="s">
        <v>200</v>
      </c>
      <c r="B11" s="63">
        <f>floors!$C$2</f>
        <v>20019</v>
      </c>
      <c r="C11" s="64" t="str">
        <f ca="1">VLOOKUP($B11,OFFSET([2]quests!$A$1,0,0,COUNTA([2]quests!$A:$A),MATCH(C$1,[2]quests!$1:$1,0)-MATCH($B$1,[2]quests!$1:$1,0)+1),MATCH(C$1,[2]quests!$1:$1,0)-MATCH($B$1,[2]quests!$1:$1,0)+1,FALSE)</f>
        <v>平安編０１（仮）</v>
      </c>
      <c r="D11" s="64" t="str">
        <f ca="1">VLOOKUP($B11,OFFSET([2]quests!$A$1,0,0,COUNTA([2]quests!$A:$A),MATCH(D$1,[2]quests!$1:$1,0)-MATCH($B$1,[2]quests!$1:$1,0)+1),MATCH(D$1,[2]quests!$1:$1,0)-MATCH($B$1,[2]quests!$1:$1,0)+1,FALSE)</f>
        <v>平安01</v>
      </c>
      <c r="E11" s="68">
        <v>1</v>
      </c>
      <c r="F11" s="64" t="str">
        <f ca="1">VLOOKUP($B11&amp;"_"&amp;$E11,OFFSET([2]stages!$A$1,0,0,COUNTA([2]stages!$A:$A),MATCH(F$1,[2]stages!$2:$2,0)-MATCH("temp_stage",[2]stages!$2:$2,0)+1),MATCH(F$1,[2]stages!$2:$2,0)-MATCH("temp_stage",[2]stages!$2:$2,0)+1,FALSE)</f>
        <v>【初級】平安編０１（仮）</v>
      </c>
      <c r="G11" s="64" t="str">
        <f ca="1">VLOOKUP($B11&amp;"_"&amp;$E11,OFFSET([2]stages!$A$1,0,0,COUNTA([2]stages!$A:$A),MATCH(G$1,[2]stages!$2:$2,0)-MATCH("temp_stage",[2]stages!$2:$2,0)+1),MATCH(G$1,[2]stages!$2:$2,0)-MATCH("temp_stage",[2]stages!$2:$2,0)+1,FALSE)</f>
        <v>平安01</v>
      </c>
      <c r="H11" s="66">
        <v>0</v>
      </c>
      <c r="I11">
        <v>11</v>
      </c>
      <c r="J11" s="65" t="s">
        <v>197</v>
      </c>
      <c r="K11" s="75" t="str">
        <f>VLOOKUP(I11,[6]stage_hints!$A:$C,3,FALSE)</f>
        <v>ランク解放クエスト</v>
      </c>
      <c r="L11" s="76" t="str">
        <f>VLOOKUP(I11,[6]stage_hints!$A:$D,4,FALSE)</f>
        <v>一定ランクに到達すると_x000D_報酬付きのランク開放クエストが現れます</v>
      </c>
      <c r="M11" s="41" t="s">
        <v>212</v>
      </c>
    </row>
    <row r="12" spans="1:13" x14ac:dyDescent="0.15">
      <c r="A12" s="62" t="s">
        <v>200</v>
      </c>
      <c r="B12" s="63">
        <f>floors!$C$2</f>
        <v>20019</v>
      </c>
      <c r="C12" s="64" t="str">
        <f ca="1">VLOOKUP($B12,OFFSET([2]quests!$A$1,0,0,COUNTA([2]quests!$A:$A),MATCH(C$1,[2]quests!$1:$1,0)-MATCH($B$1,[2]quests!$1:$1,0)+1),MATCH(C$1,[2]quests!$1:$1,0)-MATCH($B$1,[2]quests!$1:$1,0)+1,FALSE)</f>
        <v>平安編０１（仮）</v>
      </c>
      <c r="D12" s="64" t="str">
        <f ca="1">VLOOKUP($B12,OFFSET([2]quests!$A$1,0,0,COUNTA([2]quests!$A:$A),MATCH(D$1,[2]quests!$1:$1,0)-MATCH($B$1,[2]quests!$1:$1,0)+1),MATCH(D$1,[2]quests!$1:$1,0)-MATCH($B$1,[2]quests!$1:$1,0)+1,FALSE)</f>
        <v>平安01</v>
      </c>
      <c r="E12" s="68">
        <v>1</v>
      </c>
      <c r="F12" s="64" t="str">
        <f ca="1">VLOOKUP($B12&amp;"_"&amp;$E12,OFFSET([2]stages!$A$1,0,0,COUNTA([2]stages!$A:$A),MATCH(F$1,[2]stages!$2:$2,0)-MATCH("temp_stage",[2]stages!$2:$2,0)+1),MATCH(F$1,[2]stages!$2:$2,0)-MATCH("temp_stage",[2]stages!$2:$2,0)+1,FALSE)</f>
        <v>【初級】平安編０１（仮）</v>
      </c>
      <c r="G12" s="64" t="str">
        <f ca="1">VLOOKUP($B12&amp;"_"&amp;$E12,OFFSET([2]stages!$A$1,0,0,COUNTA([2]stages!$A:$A),MATCH(G$1,[2]stages!$2:$2,0)-MATCH("temp_stage",[2]stages!$2:$2,0)+1),MATCH(G$1,[2]stages!$2:$2,0)-MATCH("temp_stage",[2]stages!$2:$2,0)+1,FALSE)</f>
        <v>平安01</v>
      </c>
      <c r="H12" s="66">
        <v>0</v>
      </c>
      <c r="I12">
        <v>12</v>
      </c>
      <c r="J12" s="65" t="s">
        <v>197</v>
      </c>
      <c r="K12" s="75" t="str">
        <f>VLOOKUP(I12,[6]stage_hints!$A:$C,3,FALSE)</f>
        <v>ユニットのお気に入り登録</v>
      </c>
      <c r="L12" s="76" t="str">
        <f>VLOOKUP(I12,[6]stage_hints!$A:$D,4,FALSE)</f>
        <v>大事なユニットを誤って消さないように_x000D_フォルダから「お気に入り登録」しましょう</v>
      </c>
      <c r="M12" s="41" t="s">
        <v>212</v>
      </c>
    </row>
    <row r="13" spans="1:13" x14ac:dyDescent="0.15">
      <c r="A13" s="62" t="s">
        <v>200</v>
      </c>
      <c r="B13" s="63">
        <f>floors!$C$2</f>
        <v>20019</v>
      </c>
      <c r="C13" s="64" t="str">
        <f ca="1">VLOOKUP($B13,OFFSET([2]quests!$A$1,0,0,COUNTA([2]quests!$A:$A),MATCH(C$1,[2]quests!$1:$1,0)-MATCH($B$1,[2]quests!$1:$1,0)+1),MATCH(C$1,[2]quests!$1:$1,0)-MATCH($B$1,[2]quests!$1:$1,0)+1,FALSE)</f>
        <v>平安編０１（仮）</v>
      </c>
      <c r="D13" s="64" t="str">
        <f ca="1">VLOOKUP($B13,OFFSET([2]quests!$A$1,0,0,COUNTA([2]quests!$A:$A),MATCH(D$1,[2]quests!$1:$1,0)-MATCH($B$1,[2]quests!$1:$1,0)+1),MATCH(D$1,[2]quests!$1:$1,0)-MATCH($B$1,[2]quests!$1:$1,0)+1,FALSE)</f>
        <v>平安01</v>
      </c>
      <c r="E13" s="68">
        <v>1</v>
      </c>
      <c r="F13" s="64" t="str">
        <f ca="1">VLOOKUP($B13&amp;"_"&amp;$E13,OFFSET([2]stages!$A$1,0,0,COUNTA([2]stages!$A:$A),MATCH(F$1,[2]stages!$2:$2,0)-MATCH("temp_stage",[2]stages!$2:$2,0)+1),MATCH(F$1,[2]stages!$2:$2,0)-MATCH("temp_stage",[2]stages!$2:$2,0)+1,FALSE)</f>
        <v>【初級】平安編０１（仮）</v>
      </c>
      <c r="G13" s="64" t="str">
        <f ca="1">VLOOKUP($B13&amp;"_"&amp;$E13,OFFSET([2]stages!$A$1,0,0,COUNTA([2]stages!$A:$A),MATCH(G$1,[2]stages!$2:$2,0)-MATCH("temp_stage",[2]stages!$2:$2,0)+1),MATCH(G$1,[2]stages!$2:$2,0)-MATCH("temp_stage",[2]stages!$2:$2,0)+1,FALSE)</f>
        <v>平安01</v>
      </c>
      <c r="H13" s="66">
        <v>0</v>
      </c>
      <c r="I13">
        <v>13</v>
      </c>
      <c r="J13" s="65" t="s">
        <v>197</v>
      </c>
      <c r="K13" s="75" t="str">
        <f>VLOOKUP(I13,[6]stage_hints!$A:$C,3,FALSE)</f>
        <v>ユニットの覚醒</v>
      </c>
      <c r="L13" s="76" t="str">
        <f>VLOOKUP(I13,[6]stage_hints!$A:$D,4,FALSE)</f>
        <v>ユニットを覚醒させると_x000D_比べものにならない強さが手に入ります</v>
      </c>
      <c r="M13" s="41" t="s">
        <v>212</v>
      </c>
    </row>
    <row r="14" spans="1:13" x14ac:dyDescent="0.15">
      <c r="A14" s="62" t="s">
        <v>200</v>
      </c>
      <c r="B14" s="63">
        <f>floors!$C$2</f>
        <v>20019</v>
      </c>
      <c r="C14" s="64" t="str">
        <f ca="1">VLOOKUP($B14,OFFSET([2]quests!$A$1,0,0,COUNTA([2]quests!$A:$A),MATCH(C$1,[2]quests!$1:$1,0)-MATCH($B$1,[2]quests!$1:$1,0)+1),MATCH(C$1,[2]quests!$1:$1,0)-MATCH($B$1,[2]quests!$1:$1,0)+1,FALSE)</f>
        <v>平安編０１（仮）</v>
      </c>
      <c r="D14" s="64" t="str">
        <f ca="1">VLOOKUP($B14,OFFSET([2]quests!$A$1,0,0,COUNTA([2]quests!$A:$A),MATCH(D$1,[2]quests!$1:$1,0)-MATCH($B$1,[2]quests!$1:$1,0)+1),MATCH(D$1,[2]quests!$1:$1,0)-MATCH($B$1,[2]quests!$1:$1,0)+1,FALSE)</f>
        <v>平安01</v>
      </c>
      <c r="E14" s="68">
        <v>1</v>
      </c>
      <c r="F14" s="64" t="str">
        <f ca="1">VLOOKUP($B14&amp;"_"&amp;$E14,OFFSET([2]stages!$A$1,0,0,COUNTA([2]stages!$A:$A),MATCH(F$1,[2]stages!$2:$2,0)-MATCH("temp_stage",[2]stages!$2:$2,0)+1),MATCH(F$1,[2]stages!$2:$2,0)-MATCH("temp_stage",[2]stages!$2:$2,0)+1,FALSE)</f>
        <v>【初級】平安編０１（仮）</v>
      </c>
      <c r="G14" s="64" t="str">
        <f ca="1">VLOOKUP($B14&amp;"_"&amp;$E14,OFFSET([2]stages!$A$1,0,0,COUNTA([2]stages!$A:$A),MATCH(G$1,[2]stages!$2:$2,0)-MATCH("temp_stage",[2]stages!$2:$2,0)+1),MATCH(G$1,[2]stages!$2:$2,0)-MATCH("temp_stage",[2]stages!$2:$2,0)+1,FALSE)</f>
        <v>平安01</v>
      </c>
      <c r="H14" s="66">
        <v>0</v>
      </c>
      <c r="I14">
        <v>14</v>
      </c>
      <c r="J14" s="65" t="s">
        <v>197</v>
      </c>
      <c r="K14" s="75" t="str">
        <f>VLOOKUP(I14,[6]stage_hints!$A:$C,3,FALSE)</f>
        <v>覚醒するにはレベルを最大に</v>
      </c>
      <c r="L14" s="76" t="str">
        <f>VLOOKUP(I14,[6]stage_hints!$A:$D,4,FALSE)</f>
        <v>覚醒するにはユニットのレベルを_x000D_最大まで上げる必要があります</v>
      </c>
      <c r="M14" s="41" t="s">
        <v>212</v>
      </c>
    </row>
    <row r="15" spans="1:13" x14ac:dyDescent="0.15">
      <c r="A15" s="62" t="s">
        <v>200</v>
      </c>
      <c r="B15" s="63">
        <f>floors!$C$2</f>
        <v>20019</v>
      </c>
      <c r="C15" s="64" t="str">
        <f ca="1">VLOOKUP($B15,OFFSET([2]quests!$A$1,0,0,COUNTA([2]quests!$A:$A),MATCH(C$1,[2]quests!$1:$1,0)-MATCH($B$1,[2]quests!$1:$1,0)+1),MATCH(C$1,[2]quests!$1:$1,0)-MATCH($B$1,[2]quests!$1:$1,0)+1,FALSE)</f>
        <v>平安編０１（仮）</v>
      </c>
      <c r="D15" s="64" t="str">
        <f ca="1">VLOOKUP($B15,OFFSET([2]quests!$A$1,0,0,COUNTA([2]quests!$A:$A),MATCH(D$1,[2]quests!$1:$1,0)-MATCH($B$1,[2]quests!$1:$1,0)+1),MATCH(D$1,[2]quests!$1:$1,0)-MATCH($B$1,[2]quests!$1:$1,0)+1,FALSE)</f>
        <v>平安01</v>
      </c>
      <c r="E15" s="68">
        <v>1</v>
      </c>
      <c r="F15" s="64" t="str">
        <f ca="1">VLOOKUP($B15&amp;"_"&amp;$E15,OFFSET([2]stages!$A$1,0,0,COUNTA([2]stages!$A:$A),MATCH(F$1,[2]stages!$2:$2,0)-MATCH("temp_stage",[2]stages!$2:$2,0)+1),MATCH(F$1,[2]stages!$2:$2,0)-MATCH("temp_stage",[2]stages!$2:$2,0)+1,FALSE)</f>
        <v>【初級】平安編０１（仮）</v>
      </c>
      <c r="G15" s="64" t="str">
        <f ca="1">VLOOKUP($B15&amp;"_"&amp;$E15,OFFSET([2]stages!$A$1,0,0,COUNTA([2]stages!$A:$A),MATCH(G$1,[2]stages!$2:$2,0)-MATCH("temp_stage",[2]stages!$2:$2,0)+1),MATCH(G$1,[2]stages!$2:$2,0)-MATCH("temp_stage",[2]stages!$2:$2,0)+1,FALSE)</f>
        <v>平安01</v>
      </c>
      <c r="H15" s="66">
        <v>0</v>
      </c>
      <c r="I15">
        <v>15</v>
      </c>
      <c r="J15" s="65" t="s">
        <v>197</v>
      </c>
      <c r="K15" s="75" t="str">
        <f>VLOOKUP(I15,[6]stage_hints!$A:$C,3,FALSE)</f>
        <v>覚醒素材を獲得</v>
      </c>
      <c r="L15" s="76" t="str">
        <f>VLOOKUP(I15,[6]stage_hints!$A:$D,4,FALSE)</f>
        <v>「曜日クエスト」では_x000D_ユニットの覚醒に必要な素材が手に入ります</v>
      </c>
      <c r="M15" s="41" t="s">
        <v>212</v>
      </c>
    </row>
    <row r="16" spans="1:13" x14ac:dyDescent="0.15">
      <c r="A16" s="62" t="s">
        <v>200</v>
      </c>
      <c r="B16" s="63">
        <f>floors!$C$2</f>
        <v>20019</v>
      </c>
      <c r="C16" s="64" t="str">
        <f ca="1">VLOOKUP($B16,OFFSET([2]quests!$A$1,0,0,COUNTA([2]quests!$A:$A),MATCH(C$1,[2]quests!$1:$1,0)-MATCH($B$1,[2]quests!$1:$1,0)+1),MATCH(C$1,[2]quests!$1:$1,0)-MATCH($B$1,[2]quests!$1:$1,0)+1,FALSE)</f>
        <v>平安編０１（仮）</v>
      </c>
      <c r="D16" s="64" t="str">
        <f ca="1">VLOOKUP($B16,OFFSET([2]quests!$A$1,0,0,COUNTA([2]quests!$A:$A),MATCH(D$1,[2]quests!$1:$1,0)-MATCH($B$1,[2]quests!$1:$1,0)+1),MATCH(D$1,[2]quests!$1:$1,0)-MATCH($B$1,[2]quests!$1:$1,0)+1,FALSE)</f>
        <v>平安01</v>
      </c>
      <c r="E16" s="68">
        <v>1</v>
      </c>
      <c r="F16" s="64" t="str">
        <f ca="1">VLOOKUP($B16&amp;"_"&amp;$E16,OFFSET([2]stages!$A$1,0,0,COUNTA([2]stages!$A:$A),MATCH(F$1,[2]stages!$2:$2,0)-MATCH("temp_stage",[2]stages!$2:$2,0)+1),MATCH(F$1,[2]stages!$2:$2,0)-MATCH("temp_stage",[2]stages!$2:$2,0)+1,FALSE)</f>
        <v>【初級】平安編０１（仮）</v>
      </c>
      <c r="G16" s="64" t="str">
        <f ca="1">VLOOKUP($B16&amp;"_"&amp;$E16,OFFSET([2]stages!$A$1,0,0,COUNTA([2]stages!$A:$A),MATCH(G$1,[2]stages!$2:$2,0)-MATCH("temp_stage",[2]stages!$2:$2,0)+1),MATCH(G$1,[2]stages!$2:$2,0)-MATCH("temp_stage",[2]stages!$2:$2,0)+1,FALSE)</f>
        <v>平安01</v>
      </c>
      <c r="H16" s="66">
        <v>0</v>
      </c>
      <c r="I16">
        <v>16</v>
      </c>
      <c r="J16" s="65" t="s">
        <v>197</v>
      </c>
      <c r="K16" s="75" t="str">
        <f>VLOOKUP(I16,[6]stage_hints!$A:$C,3,FALSE)</f>
        <v>マルチプレイのメリット（その1）</v>
      </c>
      <c r="L16" s="76" t="str">
        <f>VLOOKUP(I16,[6]stage_hints!$A:$D,4,FALSE)</f>
        <v>他のプレイヤーとマルチプレイで遊ぶと_x000D_ポリゴンがもらえます（100人まで）</v>
      </c>
      <c r="M16" s="41" t="s">
        <v>212</v>
      </c>
    </row>
    <row r="17" spans="1:13" x14ac:dyDescent="0.15">
      <c r="A17" s="62" t="s">
        <v>200</v>
      </c>
      <c r="B17" s="63">
        <f>floors!$C$2</f>
        <v>20019</v>
      </c>
      <c r="C17" s="64" t="str">
        <f ca="1">VLOOKUP($B17,OFFSET([2]quests!$A$1,0,0,COUNTA([2]quests!$A:$A),MATCH(C$1,[2]quests!$1:$1,0)-MATCH($B$1,[2]quests!$1:$1,0)+1),MATCH(C$1,[2]quests!$1:$1,0)-MATCH($B$1,[2]quests!$1:$1,0)+1,FALSE)</f>
        <v>平安編０１（仮）</v>
      </c>
      <c r="D17" s="64" t="str">
        <f ca="1">VLOOKUP($B17,OFFSET([2]quests!$A$1,0,0,COUNTA([2]quests!$A:$A),MATCH(D$1,[2]quests!$1:$1,0)-MATCH($B$1,[2]quests!$1:$1,0)+1),MATCH(D$1,[2]quests!$1:$1,0)-MATCH($B$1,[2]quests!$1:$1,0)+1,FALSE)</f>
        <v>平安01</v>
      </c>
      <c r="E17" s="68">
        <v>1</v>
      </c>
      <c r="F17" s="64" t="str">
        <f ca="1">VLOOKUP($B17&amp;"_"&amp;$E17,OFFSET([2]stages!$A$1,0,0,COUNTA([2]stages!$A:$A),MATCH(F$1,[2]stages!$2:$2,0)-MATCH("temp_stage",[2]stages!$2:$2,0)+1),MATCH(F$1,[2]stages!$2:$2,0)-MATCH("temp_stage",[2]stages!$2:$2,0)+1,FALSE)</f>
        <v>【初級】平安編０１（仮）</v>
      </c>
      <c r="G17" s="64" t="str">
        <f ca="1">VLOOKUP($B17&amp;"_"&amp;$E17,OFFSET([2]stages!$A$1,0,0,COUNTA([2]stages!$A:$A),MATCH(G$1,[2]stages!$2:$2,0)-MATCH("temp_stage",[2]stages!$2:$2,0)+1),MATCH(G$1,[2]stages!$2:$2,0)-MATCH("temp_stage",[2]stages!$2:$2,0)+1,FALSE)</f>
        <v>平安01</v>
      </c>
      <c r="H17" s="66">
        <v>0</v>
      </c>
      <c r="I17">
        <v>17</v>
      </c>
      <c r="J17" s="65" t="s">
        <v>197</v>
      </c>
      <c r="K17" s="75" t="str">
        <f>VLOOKUP(I17,[6]stage_hints!$A:$C,3,FALSE)</f>
        <v>リンクガチャ</v>
      </c>
      <c r="L17" s="76" t="str">
        <f>VLOOKUP(I17,[6]stage_hints!$A:$D,4,FALSE)</f>
        <v>無料のリンクガチャを回して_x000D_経験値素材や売却素材を獲得しましょう</v>
      </c>
      <c r="M17" s="41" t="s">
        <v>212</v>
      </c>
    </row>
    <row r="18" spans="1:13" x14ac:dyDescent="0.15">
      <c r="A18" s="62" t="s">
        <v>200</v>
      </c>
      <c r="B18" s="63">
        <f>floors!$C$2</f>
        <v>20019</v>
      </c>
      <c r="C18" s="64" t="str">
        <f ca="1">VLOOKUP($B18,OFFSET([2]quests!$A$1,0,0,COUNTA([2]quests!$A:$A),MATCH(C$1,[2]quests!$1:$1,0)-MATCH($B$1,[2]quests!$1:$1,0)+1),MATCH(C$1,[2]quests!$1:$1,0)-MATCH($B$1,[2]quests!$1:$1,0)+1,FALSE)</f>
        <v>平安編０１（仮）</v>
      </c>
      <c r="D18" s="64" t="str">
        <f ca="1">VLOOKUP($B18,OFFSET([2]quests!$A$1,0,0,COUNTA([2]quests!$A:$A),MATCH(D$1,[2]quests!$1:$1,0)-MATCH($B$1,[2]quests!$1:$1,0)+1),MATCH(D$1,[2]quests!$1:$1,0)-MATCH($B$1,[2]quests!$1:$1,0)+1,FALSE)</f>
        <v>平安01</v>
      </c>
      <c r="E18" s="68">
        <v>1</v>
      </c>
      <c r="F18" s="64" t="str">
        <f ca="1">VLOOKUP($B18&amp;"_"&amp;$E18,OFFSET([2]stages!$A$1,0,0,COUNTA([2]stages!$A:$A),MATCH(F$1,[2]stages!$2:$2,0)-MATCH("temp_stage",[2]stages!$2:$2,0)+1),MATCH(F$1,[2]stages!$2:$2,0)-MATCH("temp_stage",[2]stages!$2:$2,0)+1,FALSE)</f>
        <v>【初級】平安編０１（仮）</v>
      </c>
      <c r="G18" s="64" t="str">
        <f ca="1">VLOOKUP($B18&amp;"_"&amp;$E18,OFFSET([2]stages!$A$1,0,0,COUNTA([2]stages!$A:$A),MATCH(G$1,[2]stages!$2:$2,0)-MATCH("temp_stage",[2]stages!$2:$2,0)+1),MATCH(G$1,[2]stages!$2:$2,0)-MATCH("temp_stage",[2]stages!$2:$2,0)+1,FALSE)</f>
        <v>平安01</v>
      </c>
      <c r="H18" s="66">
        <v>0</v>
      </c>
      <c r="I18">
        <v>18</v>
      </c>
      <c r="J18" s="65" t="s">
        <v>197</v>
      </c>
      <c r="K18" s="75" t="str">
        <f>VLOOKUP(I18,[6]stage_hints!$A:$C,3,FALSE)</f>
        <v>マルチプレイのメリット（その2）</v>
      </c>
      <c r="L18" s="76" t="str">
        <f>VLOOKUP(I18,[6]stage_hints!$A:$D,4,FALSE)</f>
        <v>マルチプレイならリンクが2倍もらえます_x000D_リンクガチャをたくさん回しましょう</v>
      </c>
      <c r="M18" s="41" t="s">
        <v>212</v>
      </c>
    </row>
    <row r="19" spans="1:13" x14ac:dyDescent="0.15">
      <c r="A19" s="62" t="s">
        <v>200</v>
      </c>
      <c r="B19" s="63">
        <f>floors!$C$2</f>
        <v>20019</v>
      </c>
      <c r="C19" s="64" t="str">
        <f ca="1">VLOOKUP($B19,OFFSET([2]quests!$A$1,0,0,COUNTA([2]quests!$A:$A),MATCH(C$1,[2]quests!$1:$1,0)-MATCH($B$1,[2]quests!$1:$1,0)+1),MATCH(C$1,[2]quests!$1:$1,0)-MATCH($B$1,[2]quests!$1:$1,0)+1,FALSE)</f>
        <v>平安編０１（仮）</v>
      </c>
      <c r="D19" s="64" t="str">
        <f ca="1">VLOOKUP($B19,OFFSET([2]quests!$A$1,0,0,COUNTA([2]quests!$A:$A),MATCH(D$1,[2]quests!$1:$1,0)-MATCH($B$1,[2]quests!$1:$1,0)+1),MATCH(D$1,[2]quests!$1:$1,0)-MATCH($B$1,[2]quests!$1:$1,0)+1,FALSE)</f>
        <v>平安01</v>
      </c>
      <c r="E19" s="68">
        <v>1</v>
      </c>
      <c r="F19" s="64" t="str">
        <f ca="1">VLOOKUP($B19&amp;"_"&amp;$E19,OFFSET([2]stages!$A$1,0,0,COUNTA([2]stages!$A:$A),MATCH(F$1,[2]stages!$2:$2,0)-MATCH("temp_stage",[2]stages!$2:$2,0)+1),MATCH(F$1,[2]stages!$2:$2,0)-MATCH("temp_stage",[2]stages!$2:$2,0)+1,FALSE)</f>
        <v>【初級】平安編０１（仮）</v>
      </c>
      <c r="G19" s="64" t="str">
        <f ca="1">VLOOKUP($B19&amp;"_"&amp;$E19,OFFSET([2]stages!$A$1,0,0,COUNTA([2]stages!$A:$A),MATCH(G$1,[2]stages!$2:$2,0)-MATCH("temp_stage",[2]stages!$2:$2,0)+1),MATCH(G$1,[2]stages!$2:$2,0)-MATCH("temp_stage",[2]stages!$2:$2,0)+1,FALSE)</f>
        <v>平安01</v>
      </c>
      <c r="H19" s="66">
        <v>0</v>
      </c>
      <c r="I19">
        <v>19</v>
      </c>
      <c r="J19" s="65" t="s">
        <v>197</v>
      </c>
      <c r="K19" s="75" t="str">
        <f>VLOOKUP(I19,[6]stage_hints!$A:$C,3,FALSE)</f>
        <v>ソロ専用チャレンジタワー</v>
      </c>
      <c r="L19" s="76" t="str">
        <f>VLOOKUP(I19,[6]stage_hints!$A:$D,4,FALSE)</f>
        <v>ソロ専用の「チャレンジタワー」では_x000D_各フロアごとにクリア報酬がもらえます</v>
      </c>
      <c r="M19" s="41" t="s">
        <v>212</v>
      </c>
    </row>
    <row r="20" spans="1:13" x14ac:dyDescent="0.15">
      <c r="A20" s="62" t="s">
        <v>200</v>
      </c>
      <c r="B20" s="63">
        <f>floors!$C$2</f>
        <v>20019</v>
      </c>
      <c r="C20" s="64" t="str">
        <f ca="1">VLOOKUP($B20,OFFSET([2]quests!$A$1,0,0,COUNTA([2]quests!$A:$A),MATCH(C$1,[2]quests!$1:$1,0)-MATCH($B$1,[2]quests!$1:$1,0)+1),MATCH(C$1,[2]quests!$1:$1,0)-MATCH($B$1,[2]quests!$1:$1,0)+1,FALSE)</f>
        <v>平安編０１（仮）</v>
      </c>
      <c r="D20" s="64" t="str">
        <f ca="1">VLOOKUP($B20,OFFSET([2]quests!$A$1,0,0,COUNTA([2]quests!$A:$A),MATCH(D$1,[2]quests!$1:$1,0)-MATCH($B$1,[2]quests!$1:$1,0)+1),MATCH(D$1,[2]quests!$1:$1,0)-MATCH($B$1,[2]quests!$1:$1,0)+1,FALSE)</f>
        <v>平安01</v>
      </c>
      <c r="E20" s="68">
        <v>1</v>
      </c>
      <c r="F20" s="64" t="str">
        <f ca="1">VLOOKUP($B20&amp;"_"&amp;$E20,OFFSET([2]stages!$A$1,0,0,COUNTA([2]stages!$A:$A),MATCH(F$1,[2]stages!$2:$2,0)-MATCH("temp_stage",[2]stages!$2:$2,0)+1),MATCH(F$1,[2]stages!$2:$2,0)-MATCH("temp_stage",[2]stages!$2:$2,0)+1,FALSE)</f>
        <v>【初級】平安編０１（仮）</v>
      </c>
      <c r="G20" s="64" t="str">
        <f ca="1">VLOOKUP($B20&amp;"_"&amp;$E20,OFFSET([2]stages!$A$1,0,0,COUNTA([2]stages!$A:$A),MATCH(G$1,[2]stages!$2:$2,0)-MATCH("temp_stage",[2]stages!$2:$2,0)+1),MATCH(G$1,[2]stages!$2:$2,0)-MATCH("temp_stage",[2]stages!$2:$2,0)+1,FALSE)</f>
        <v>平安01</v>
      </c>
      <c r="H20" s="66">
        <v>0</v>
      </c>
      <c r="I20">
        <v>20</v>
      </c>
      <c r="J20" s="65" t="s">
        <v>197</v>
      </c>
      <c r="K20" s="75" t="str">
        <f>VLOOKUP(I20,[6]stage_hints!$A:$C,3,FALSE)</f>
        <v>マルチプレイのメリット（その3）</v>
      </c>
      <c r="L20" s="76" t="str">
        <f>VLOOKUP(I20,[6]stage_hints!$A:$D,4,FALSE)</f>
        <v>マルチプレイへの参加はエナジー消費ゼロ_x000D_いつでも好きなだけ遊ぶことができます</v>
      </c>
      <c r="M20" s="41" t="s">
        <v>212</v>
      </c>
    </row>
    <row r="21" spans="1:13" x14ac:dyDescent="0.15">
      <c r="A21" s="62" t="s">
        <v>200</v>
      </c>
      <c r="B21" s="63">
        <f>floors!$C$2</f>
        <v>20019</v>
      </c>
      <c r="C21" s="64" t="str">
        <f ca="1">VLOOKUP($B21,OFFSET([2]quests!$A$1,0,0,COUNTA([2]quests!$A:$A),MATCH(C$1,[2]quests!$1:$1,0)-MATCH($B$1,[2]quests!$1:$1,0)+1),MATCH(C$1,[2]quests!$1:$1,0)-MATCH($B$1,[2]quests!$1:$1,0)+1,FALSE)</f>
        <v>平安編０１（仮）</v>
      </c>
      <c r="D21" s="64" t="str">
        <f ca="1">VLOOKUP($B21,OFFSET([2]quests!$A$1,0,0,COUNTA([2]quests!$A:$A),MATCH(D$1,[2]quests!$1:$1,0)-MATCH($B$1,[2]quests!$1:$1,0)+1),MATCH(D$1,[2]quests!$1:$1,0)-MATCH($B$1,[2]quests!$1:$1,0)+1,FALSE)</f>
        <v>平安01</v>
      </c>
      <c r="E21" s="68">
        <v>1</v>
      </c>
      <c r="F21" s="64" t="str">
        <f ca="1">VLOOKUP($B21&amp;"_"&amp;$E21,OFFSET([2]stages!$A$1,0,0,COUNTA([2]stages!$A:$A),MATCH(F$1,[2]stages!$2:$2,0)-MATCH("temp_stage",[2]stages!$2:$2,0)+1),MATCH(F$1,[2]stages!$2:$2,0)-MATCH("temp_stage",[2]stages!$2:$2,0)+1,FALSE)</f>
        <v>【初級】平安編０１（仮）</v>
      </c>
      <c r="G21" s="64" t="str">
        <f ca="1">VLOOKUP($B21&amp;"_"&amp;$E21,OFFSET([2]stages!$A$1,0,0,COUNTA([2]stages!$A:$A),MATCH(G$1,[2]stages!$2:$2,0)-MATCH("temp_stage",[2]stages!$2:$2,0)+1),MATCH(G$1,[2]stages!$2:$2,0)-MATCH("temp_stage",[2]stages!$2:$2,0)+1,FALSE)</f>
        <v>平安01</v>
      </c>
      <c r="H21" s="66">
        <v>0</v>
      </c>
      <c r="I21">
        <v>21</v>
      </c>
      <c r="J21" s="65" t="s">
        <v>197</v>
      </c>
      <c r="K21" s="75" t="str">
        <f>VLOOKUP(I21,[6]stage_hints!$A:$C,3,FALSE)</f>
        <v>スキルを有効に</v>
      </c>
      <c r="L21" s="76" t="str">
        <f>VLOOKUP(I21,[6]stage_hints!$A:$D,4,FALSE)</f>
        <v>ターン経過でユニットのスキルが使えます_x000D_強力スキルでバトルを有利に進めましょう</v>
      </c>
      <c r="M21" s="41" t="s">
        <v>212</v>
      </c>
    </row>
    <row r="22" spans="1:13" x14ac:dyDescent="0.15">
      <c r="A22" s="62" t="s">
        <v>200</v>
      </c>
      <c r="B22" s="63">
        <f>floors!$C$2</f>
        <v>20019</v>
      </c>
      <c r="C22" s="64" t="str">
        <f ca="1">VLOOKUP($B22,OFFSET([2]quests!$A$1,0,0,COUNTA([2]quests!$A:$A),MATCH(C$1,[2]quests!$1:$1,0)-MATCH($B$1,[2]quests!$1:$1,0)+1),MATCH(C$1,[2]quests!$1:$1,0)-MATCH($B$1,[2]quests!$1:$1,0)+1,FALSE)</f>
        <v>平安編０１（仮）</v>
      </c>
      <c r="D22" s="64" t="str">
        <f ca="1">VLOOKUP($B22,OFFSET([2]quests!$A$1,0,0,COUNTA([2]quests!$A:$A),MATCH(D$1,[2]quests!$1:$1,0)-MATCH($B$1,[2]quests!$1:$1,0)+1),MATCH(D$1,[2]quests!$1:$1,0)-MATCH($B$1,[2]quests!$1:$1,0)+1,FALSE)</f>
        <v>平安01</v>
      </c>
      <c r="E22" s="68">
        <v>1</v>
      </c>
      <c r="F22" s="64" t="str">
        <f ca="1">VLOOKUP($B22&amp;"_"&amp;$E22,OFFSET([2]stages!$A$1,0,0,COUNTA([2]stages!$A:$A),MATCH(F$1,[2]stages!$2:$2,0)-MATCH("temp_stage",[2]stages!$2:$2,0)+1),MATCH(F$1,[2]stages!$2:$2,0)-MATCH("temp_stage",[2]stages!$2:$2,0)+1,FALSE)</f>
        <v>【初級】平安編０１（仮）</v>
      </c>
      <c r="G22" s="64" t="str">
        <f ca="1">VLOOKUP($B22&amp;"_"&amp;$E22,OFFSET([2]stages!$A$1,0,0,COUNTA([2]stages!$A:$A),MATCH(G$1,[2]stages!$2:$2,0)-MATCH("temp_stage",[2]stages!$2:$2,0)+1),MATCH(G$1,[2]stages!$2:$2,0)-MATCH("temp_stage",[2]stages!$2:$2,0)+1,FALSE)</f>
        <v>平安01</v>
      </c>
      <c r="H22" s="66">
        <v>0</v>
      </c>
      <c r="I22">
        <v>22</v>
      </c>
      <c r="J22" s="65" t="s">
        <v>197</v>
      </c>
      <c r="K22" s="75" t="str">
        <f>VLOOKUP(I22,[6]stage_hints!$A:$C,3,FALSE)</f>
        <v>フィーバーで一発逆転（その1）</v>
      </c>
      <c r="L22" s="76" t="str">
        <f>VLOOKUP(I22,[6]stage_hints!$A:$D,4,FALSE)</f>
        <v>フィーバーは攻撃と回復を兼ね備えます_x000D_ピンチからの一発逆転を狙いましょう</v>
      </c>
      <c r="M22" s="41" t="s">
        <v>212</v>
      </c>
    </row>
    <row r="23" spans="1:13" x14ac:dyDescent="0.15">
      <c r="A23" s="62" t="s">
        <v>200</v>
      </c>
      <c r="B23" s="63">
        <f>floors!$C$2</f>
        <v>20019</v>
      </c>
      <c r="C23" s="64" t="str">
        <f ca="1">VLOOKUP($B23,OFFSET([2]quests!$A$1,0,0,COUNTA([2]quests!$A:$A),MATCH(C$1,[2]quests!$1:$1,0)-MATCH($B$1,[2]quests!$1:$1,0)+1),MATCH(C$1,[2]quests!$1:$1,0)-MATCH($B$1,[2]quests!$1:$1,0)+1,FALSE)</f>
        <v>平安編０１（仮）</v>
      </c>
      <c r="D23" s="64" t="str">
        <f ca="1">VLOOKUP($B23,OFFSET([2]quests!$A$1,0,0,COUNTA([2]quests!$A:$A),MATCH(D$1,[2]quests!$1:$1,0)-MATCH($B$1,[2]quests!$1:$1,0)+1),MATCH(D$1,[2]quests!$1:$1,0)-MATCH($B$1,[2]quests!$1:$1,0)+1,FALSE)</f>
        <v>平安01</v>
      </c>
      <c r="E23" s="68">
        <v>1</v>
      </c>
      <c r="F23" s="64" t="str">
        <f ca="1">VLOOKUP($B23&amp;"_"&amp;$E23,OFFSET([2]stages!$A$1,0,0,COUNTA([2]stages!$A:$A),MATCH(F$1,[2]stages!$2:$2,0)-MATCH("temp_stage",[2]stages!$2:$2,0)+1),MATCH(F$1,[2]stages!$2:$2,0)-MATCH("temp_stage",[2]stages!$2:$2,0)+1,FALSE)</f>
        <v>【初級】平安編０１（仮）</v>
      </c>
      <c r="G23" s="64" t="str">
        <f ca="1">VLOOKUP($B23&amp;"_"&amp;$E23,OFFSET([2]stages!$A$1,0,0,COUNTA([2]stages!$A:$A),MATCH(G$1,[2]stages!$2:$2,0)-MATCH("temp_stage",[2]stages!$2:$2,0)+1),MATCH(G$1,[2]stages!$2:$2,0)-MATCH("temp_stage",[2]stages!$2:$2,0)+1,FALSE)</f>
        <v>平安01</v>
      </c>
      <c r="H23" s="66">
        <v>0</v>
      </c>
      <c r="I23">
        <v>23</v>
      </c>
      <c r="J23" s="65" t="s">
        <v>197</v>
      </c>
      <c r="K23" s="75" t="str">
        <f>VLOOKUP(I23,[6]stage_hints!$A:$C,3,FALSE)</f>
        <v>フィーバーで一発逆転（その2）</v>
      </c>
      <c r="L23" s="76" t="str">
        <f>VLOOKUP(I23,[6]stage_hints!$A:$D,4,FALSE)</f>
        <v>フィーバー中は虹色のボムパネルを狙って_x000D_画面上のパネルを一気に破壊しましょう</v>
      </c>
      <c r="M23" s="41" t="s">
        <v>212</v>
      </c>
    </row>
    <row r="24" spans="1:13" x14ac:dyDescent="0.15">
      <c r="A24" s="62" t="s">
        <v>200</v>
      </c>
      <c r="B24" s="63">
        <f>floors!$C$2</f>
        <v>20019</v>
      </c>
      <c r="C24" s="64" t="str">
        <f ca="1">VLOOKUP($B24,OFFSET([2]quests!$A$1,0,0,COUNTA([2]quests!$A:$A),MATCH(C$1,[2]quests!$1:$1,0)-MATCH($B$1,[2]quests!$1:$1,0)+1),MATCH(C$1,[2]quests!$1:$1,0)-MATCH($B$1,[2]quests!$1:$1,0)+1,FALSE)</f>
        <v>平安編０１（仮）</v>
      </c>
      <c r="D24" s="64" t="str">
        <f ca="1">VLOOKUP($B24,OFFSET([2]quests!$A$1,0,0,COUNTA([2]quests!$A:$A),MATCH(D$1,[2]quests!$1:$1,0)-MATCH($B$1,[2]quests!$1:$1,0)+1),MATCH(D$1,[2]quests!$1:$1,0)-MATCH($B$1,[2]quests!$1:$1,0)+1,FALSE)</f>
        <v>平安01</v>
      </c>
      <c r="E24" s="68">
        <v>1</v>
      </c>
      <c r="F24" s="64" t="str">
        <f ca="1">VLOOKUP($B24&amp;"_"&amp;$E24,OFFSET([2]stages!$A$1,0,0,COUNTA([2]stages!$A:$A),MATCH(F$1,[2]stages!$2:$2,0)-MATCH("temp_stage",[2]stages!$2:$2,0)+1),MATCH(F$1,[2]stages!$2:$2,0)-MATCH("temp_stage",[2]stages!$2:$2,0)+1,FALSE)</f>
        <v>【初級】平安編０１（仮）</v>
      </c>
      <c r="G24" s="64" t="str">
        <f ca="1">VLOOKUP($B24&amp;"_"&amp;$E24,OFFSET([2]stages!$A$1,0,0,COUNTA([2]stages!$A:$A),MATCH(G$1,[2]stages!$2:$2,0)-MATCH("temp_stage",[2]stages!$2:$2,0)+1),MATCH(G$1,[2]stages!$2:$2,0)-MATCH("temp_stage",[2]stages!$2:$2,0)+1,FALSE)</f>
        <v>平安01</v>
      </c>
      <c r="H24" s="66">
        <v>0</v>
      </c>
      <c r="I24">
        <v>24</v>
      </c>
      <c r="J24" s="65" t="s">
        <v>197</v>
      </c>
      <c r="K24" s="75" t="str">
        <f>VLOOKUP(I24,[6]stage_hints!$A:$C,3,FALSE)</f>
        <v>りんごを使って限界突破</v>
      </c>
      <c r="L24" s="76" t="str">
        <f>VLOOKUP(I24,[6]stage_hints!$A:$D,4,FALSE)</f>
        <v>赤りんご(攻撃力) 青りんご(回復力)_x000D_緑りんご(体力)をユニット強化に使うと_x000D_ステータスが限界突破します（計99個迄）</v>
      </c>
      <c r="M24" s="41" t="s">
        <v>212</v>
      </c>
    </row>
    <row r="25" spans="1:13" x14ac:dyDescent="0.15">
      <c r="A25" s="62" t="s">
        <v>200</v>
      </c>
      <c r="B25" s="63">
        <f>floors!$C$2</f>
        <v>20019</v>
      </c>
      <c r="C25" s="64" t="str">
        <f ca="1">VLOOKUP($B25,OFFSET([2]quests!$A$1,0,0,COUNTA([2]quests!$A:$A),MATCH(C$1,[2]quests!$1:$1,0)-MATCH($B$1,[2]quests!$1:$1,0)+1),MATCH(C$1,[2]quests!$1:$1,0)-MATCH($B$1,[2]quests!$1:$1,0)+1,FALSE)</f>
        <v>平安編０１（仮）</v>
      </c>
      <c r="D25" s="64" t="str">
        <f ca="1">VLOOKUP($B25,OFFSET([2]quests!$A$1,0,0,COUNTA([2]quests!$A:$A),MATCH(D$1,[2]quests!$1:$1,0)-MATCH($B$1,[2]quests!$1:$1,0)+1),MATCH(D$1,[2]quests!$1:$1,0)-MATCH($B$1,[2]quests!$1:$1,0)+1,FALSE)</f>
        <v>平安01</v>
      </c>
      <c r="E25" s="68">
        <v>1</v>
      </c>
      <c r="F25" s="64" t="str">
        <f ca="1">VLOOKUP($B25&amp;"_"&amp;$E25,OFFSET([2]stages!$A$1,0,0,COUNTA([2]stages!$A:$A),MATCH(F$1,[2]stages!$2:$2,0)-MATCH("temp_stage",[2]stages!$2:$2,0)+1),MATCH(F$1,[2]stages!$2:$2,0)-MATCH("temp_stage",[2]stages!$2:$2,0)+1,FALSE)</f>
        <v>【初級】平安編０１（仮）</v>
      </c>
      <c r="G25" s="64" t="str">
        <f ca="1">VLOOKUP($B25&amp;"_"&amp;$E25,OFFSET([2]stages!$A$1,0,0,COUNTA([2]stages!$A:$A),MATCH(G$1,[2]stages!$2:$2,0)-MATCH("temp_stage",[2]stages!$2:$2,0)+1),MATCH(G$1,[2]stages!$2:$2,0)-MATCH("temp_stage",[2]stages!$2:$2,0)+1,FALSE)</f>
        <v>平安01</v>
      </c>
      <c r="H25" s="66">
        <v>0</v>
      </c>
      <c r="I25">
        <v>25</v>
      </c>
      <c r="J25" s="65" t="s">
        <v>197</v>
      </c>
      <c r="K25" s="75" t="str">
        <f>VLOOKUP(I25,[6]stage_hints!$A:$C,3,FALSE)</f>
        <v>スキルレベルアップ</v>
      </c>
      <c r="L25" s="76" t="str">
        <f>VLOOKUP(I25,[6]stage_hints!$A:$D,4,FALSE)</f>
        <v>「クリスタルのりんご」を強化に使うと_x000D_スキルレベルを上げることができます</v>
      </c>
      <c r="M25" s="41" t="s">
        <v>212</v>
      </c>
    </row>
    <row r="26" spans="1:13" x14ac:dyDescent="0.15">
      <c r="A26" s="62" t="s">
        <v>200</v>
      </c>
      <c r="B26" s="63">
        <f>floors!$C$2</f>
        <v>20019</v>
      </c>
      <c r="C26" s="64" t="str">
        <f ca="1">VLOOKUP($B26,OFFSET([2]quests!$A$1,0,0,COUNTA([2]quests!$A:$A),MATCH(C$1,[2]quests!$1:$1,0)-MATCH($B$1,[2]quests!$1:$1,0)+1),MATCH(C$1,[2]quests!$1:$1,0)-MATCH($B$1,[2]quests!$1:$1,0)+1,FALSE)</f>
        <v>平安編０１（仮）</v>
      </c>
      <c r="D26" s="64" t="str">
        <f ca="1">VLOOKUP($B26,OFFSET([2]quests!$A$1,0,0,COUNTA([2]quests!$A:$A),MATCH(D$1,[2]quests!$1:$1,0)-MATCH($B$1,[2]quests!$1:$1,0)+1),MATCH(D$1,[2]quests!$1:$1,0)-MATCH($B$1,[2]quests!$1:$1,0)+1,FALSE)</f>
        <v>平安01</v>
      </c>
      <c r="E26" s="68">
        <v>1</v>
      </c>
      <c r="F26" s="64" t="str">
        <f ca="1">VLOOKUP($B26&amp;"_"&amp;$E26,OFFSET([2]stages!$A$1,0,0,COUNTA([2]stages!$A:$A),MATCH(F$1,[2]stages!$2:$2,0)-MATCH("temp_stage",[2]stages!$2:$2,0)+1),MATCH(F$1,[2]stages!$2:$2,0)-MATCH("temp_stage",[2]stages!$2:$2,0)+1,FALSE)</f>
        <v>【初級】平安編０１（仮）</v>
      </c>
      <c r="G26" s="64" t="str">
        <f ca="1">VLOOKUP($B26&amp;"_"&amp;$E26,OFFSET([2]stages!$A$1,0,0,COUNTA([2]stages!$A:$A),MATCH(G$1,[2]stages!$2:$2,0)-MATCH("temp_stage",[2]stages!$2:$2,0)+1),MATCH(G$1,[2]stages!$2:$2,0)-MATCH("temp_stage",[2]stages!$2:$2,0)+1,FALSE)</f>
        <v>平安01</v>
      </c>
      <c r="H26" s="66">
        <v>0</v>
      </c>
      <c r="I26">
        <v>26</v>
      </c>
      <c r="J26" s="65" t="s">
        <v>197</v>
      </c>
      <c r="K26" s="75" t="str">
        <f>VLOOKUP(I26,[6]stage_hints!$A:$C,3,FALSE)</f>
        <v>スキルレベルの効果</v>
      </c>
      <c r="L26" s="76" t="str">
        <f>VLOOKUP(I26,[6]stage_hints!$A:$D,4,FALSE)</f>
        <v>スキルレベルが上がると_x000D_短いターンでスキルを使うことができます</v>
      </c>
      <c r="M26" s="41" t="s">
        <v>212</v>
      </c>
    </row>
    <row r="27" spans="1:13" x14ac:dyDescent="0.15">
      <c r="A27" s="62" t="s">
        <v>200</v>
      </c>
      <c r="B27" s="63">
        <f>floors!$C$2</f>
        <v>20019</v>
      </c>
      <c r="C27" s="64" t="str">
        <f ca="1">VLOOKUP($B27,OFFSET([2]quests!$A$1,0,0,COUNTA([2]quests!$A:$A),MATCH(C$1,[2]quests!$1:$1,0)-MATCH($B$1,[2]quests!$1:$1,0)+1),MATCH(C$1,[2]quests!$1:$1,0)-MATCH($B$1,[2]quests!$1:$1,0)+1,FALSE)</f>
        <v>平安編０１（仮）</v>
      </c>
      <c r="D27" s="64" t="str">
        <f ca="1">VLOOKUP($B27,OFFSET([2]quests!$A$1,0,0,COUNTA([2]quests!$A:$A),MATCH(D$1,[2]quests!$1:$1,0)-MATCH($B$1,[2]quests!$1:$1,0)+1),MATCH(D$1,[2]quests!$1:$1,0)-MATCH($B$1,[2]quests!$1:$1,0)+1,FALSE)</f>
        <v>平安01</v>
      </c>
      <c r="E27" s="68">
        <v>1</v>
      </c>
      <c r="F27" s="64" t="str">
        <f ca="1">VLOOKUP($B27&amp;"_"&amp;$E27,OFFSET([2]stages!$A$1,0,0,COUNTA([2]stages!$A:$A),MATCH(F$1,[2]stages!$2:$2,0)-MATCH("temp_stage",[2]stages!$2:$2,0)+1),MATCH(F$1,[2]stages!$2:$2,0)-MATCH("temp_stage",[2]stages!$2:$2,0)+1,FALSE)</f>
        <v>【初級】平安編０１（仮）</v>
      </c>
      <c r="G27" s="64" t="str">
        <f ca="1">VLOOKUP($B27&amp;"_"&amp;$E27,OFFSET([2]stages!$A$1,0,0,COUNTA([2]stages!$A:$A),MATCH(G$1,[2]stages!$2:$2,0)-MATCH("temp_stage",[2]stages!$2:$2,0)+1),MATCH(G$1,[2]stages!$2:$2,0)-MATCH("temp_stage",[2]stages!$2:$2,0)+1,FALSE)</f>
        <v>平安01</v>
      </c>
      <c r="H27" s="66">
        <v>0</v>
      </c>
      <c r="I27">
        <v>39</v>
      </c>
      <c r="J27" s="65" t="s">
        <v>197</v>
      </c>
      <c r="K27" s="75" t="str">
        <f>VLOOKUP(I27,[6]stage_hints!$A:$C,3,FALSE)</f>
        <v>システム適合者を確認</v>
      </c>
      <c r="L27" s="76" t="str">
        <f>VLOOKUP(I27,[6]stage_hints!$A:$D,4,FALSE)</f>
        <v>ALICEが 「アナタ」を呼んでいます</v>
      </c>
      <c r="M27" s="41" t="s">
        <v>212</v>
      </c>
    </row>
    <row r="28" spans="1:13" x14ac:dyDescent="0.15">
      <c r="A28" s="62" t="s">
        <v>200</v>
      </c>
      <c r="B28" s="63">
        <f>floors!$C$2</f>
        <v>20019</v>
      </c>
      <c r="C28" s="64" t="str">
        <f ca="1">VLOOKUP($B28,OFFSET([2]quests!$A$1,0,0,COUNTA([2]quests!$A:$A),MATCH(C$1,[2]quests!$1:$1,0)-MATCH($B$1,[2]quests!$1:$1,0)+1),MATCH(C$1,[2]quests!$1:$1,0)-MATCH($B$1,[2]quests!$1:$1,0)+1,FALSE)</f>
        <v>平安編０１（仮）</v>
      </c>
      <c r="D28" s="64" t="str">
        <f ca="1">VLOOKUP($B28,OFFSET([2]quests!$A$1,0,0,COUNTA([2]quests!$A:$A),MATCH(D$1,[2]quests!$1:$1,0)-MATCH($B$1,[2]quests!$1:$1,0)+1),MATCH(D$1,[2]quests!$1:$1,0)-MATCH($B$1,[2]quests!$1:$1,0)+1,FALSE)</f>
        <v>平安01</v>
      </c>
      <c r="E28" s="68">
        <v>2</v>
      </c>
      <c r="F28" s="64" t="str">
        <f ca="1">VLOOKUP($B28&amp;"_"&amp;$E28,OFFSET([2]stages!$A$1,0,0,COUNTA([2]stages!$A:$A),MATCH(F$1,[2]stages!$2:$2,0)-MATCH("temp_stage",[2]stages!$2:$2,0)+1),MATCH(F$1,[2]stages!$2:$2,0)-MATCH("temp_stage",[2]stages!$2:$2,0)+1,FALSE)</f>
        <v>【中級】平安編０１（仮）</v>
      </c>
      <c r="G28" s="64" t="str">
        <f ca="1">VLOOKUP($B28&amp;"_"&amp;$E28,OFFSET([2]stages!$A$1,0,0,COUNTA([2]stages!$A:$A),MATCH(G$1,[2]stages!$2:$2,0)-MATCH("temp_stage",[2]stages!$2:$2,0)+1),MATCH(G$1,[2]stages!$2:$2,0)-MATCH("temp_stage",[2]stages!$2:$2,0)+1,FALSE)</f>
        <v>平安01</v>
      </c>
      <c r="H28" s="66">
        <v>0</v>
      </c>
      <c r="I28">
        <v>3</v>
      </c>
      <c r="J28" s="65" t="s">
        <v>197</v>
      </c>
      <c r="K28" s="75" t="str">
        <f>VLOOKUP(I28,[6]stage_hints!$A:$C,3,FALSE)</f>
        <v>ターゲット</v>
      </c>
      <c r="L28" s="76" t="str">
        <f>VLOOKUP(I28,[6]stage_hints!$A:$D,4,FALSE)</f>
        <v>敵ユニットをタップすると_x000D_その敵を狙い撃ちできます</v>
      </c>
      <c r="M28" s="41" t="s">
        <v>212</v>
      </c>
    </row>
    <row r="29" spans="1:13" x14ac:dyDescent="0.15">
      <c r="A29" s="62" t="s">
        <v>200</v>
      </c>
      <c r="B29" s="63">
        <f>floors!$C$2</f>
        <v>20019</v>
      </c>
      <c r="C29" s="64" t="str">
        <f ca="1">VLOOKUP($B29,OFFSET([2]quests!$A$1,0,0,COUNTA([2]quests!$A:$A),MATCH(C$1,[2]quests!$1:$1,0)-MATCH($B$1,[2]quests!$1:$1,0)+1),MATCH(C$1,[2]quests!$1:$1,0)-MATCH($B$1,[2]quests!$1:$1,0)+1,FALSE)</f>
        <v>平安編０１（仮）</v>
      </c>
      <c r="D29" s="64" t="str">
        <f ca="1">VLOOKUP($B29,OFFSET([2]quests!$A$1,0,0,COUNTA([2]quests!$A:$A),MATCH(D$1,[2]quests!$1:$1,0)-MATCH($B$1,[2]quests!$1:$1,0)+1),MATCH(D$1,[2]quests!$1:$1,0)-MATCH($B$1,[2]quests!$1:$1,0)+1,FALSE)</f>
        <v>平安01</v>
      </c>
      <c r="E29" s="68">
        <v>2</v>
      </c>
      <c r="F29" s="64" t="str">
        <f ca="1">VLOOKUP($B29&amp;"_"&amp;$E29,OFFSET([2]stages!$A$1,0,0,COUNTA([2]stages!$A:$A),MATCH(F$1,[2]stages!$2:$2,0)-MATCH("temp_stage",[2]stages!$2:$2,0)+1),MATCH(F$1,[2]stages!$2:$2,0)-MATCH("temp_stage",[2]stages!$2:$2,0)+1,FALSE)</f>
        <v>【中級】平安編０１（仮）</v>
      </c>
      <c r="G29" s="64" t="str">
        <f ca="1">VLOOKUP($B29&amp;"_"&amp;$E29,OFFSET([2]stages!$A$1,0,0,COUNTA([2]stages!$A:$A),MATCH(G$1,[2]stages!$2:$2,0)-MATCH("temp_stage",[2]stages!$2:$2,0)+1),MATCH(G$1,[2]stages!$2:$2,0)-MATCH("temp_stage",[2]stages!$2:$2,0)+1,FALSE)</f>
        <v>平安01</v>
      </c>
      <c r="H29" s="66">
        <v>0</v>
      </c>
      <c r="I29">
        <v>6</v>
      </c>
      <c r="J29" s="65" t="s">
        <v>197</v>
      </c>
      <c r="K29" s="75" t="str">
        <f>VLOOKUP(I29,[6]stage_hints!$A:$C,3,FALSE)</f>
        <v>ユニット強化の属性ボーナス</v>
      </c>
      <c r="L29" s="76" t="str">
        <f>VLOOKUP(I29,[6]stage_hints!$A:$D,4,FALSE)</f>
        <v>同属性ユニットを強化素材にすると_x000D_経験値が多くもらえます</v>
      </c>
      <c r="M29" s="41" t="s">
        <v>212</v>
      </c>
    </row>
    <row r="30" spans="1:13" x14ac:dyDescent="0.15">
      <c r="A30" s="62" t="s">
        <v>200</v>
      </c>
      <c r="B30" s="63">
        <f>floors!$C$2</f>
        <v>20019</v>
      </c>
      <c r="C30" s="64" t="str">
        <f ca="1">VLOOKUP($B30,OFFSET([2]quests!$A$1,0,0,COUNTA([2]quests!$A:$A),MATCH(C$1,[2]quests!$1:$1,0)-MATCH($B$1,[2]quests!$1:$1,0)+1),MATCH(C$1,[2]quests!$1:$1,0)-MATCH($B$1,[2]quests!$1:$1,0)+1,FALSE)</f>
        <v>平安編０１（仮）</v>
      </c>
      <c r="D30" s="64" t="str">
        <f ca="1">VLOOKUP($B30,OFFSET([2]quests!$A$1,0,0,COUNTA([2]quests!$A:$A),MATCH(D$1,[2]quests!$1:$1,0)-MATCH($B$1,[2]quests!$1:$1,0)+1),MATCH(D$1,[2]quests!$1:$1,0)-MATCH($B$1,[2]quests!$1:$1,0)+1,FALSE)</f>
        <v>平安01</v>
      </c>
      <c r="E30" s="68">
        <v>2</v>
      </c>
      <c r="F30" s="64" t="str">
        <f ca="1">VLOOKUP($B30&amp;"_"&amp;$E30,OFFSET([2]stages!$A$1,0,0,COUNTA([2]stages!$A:$A),MATCH(F$1,[2]stages!$2:$2,0)-MATCH("temp_stage",[2]stages!$2:$2,0)+1),MATCH(F$1,[2]stages!$2:$2,0)-MATCH("temp_stage",[2]stages!$2:$2,0)+1,FALSE)</f>
        <v>【中級】平安編０１（仮）</v>
      </c>
      <c r="G30" s="64" t="str">
        <f ca="1">VLOOKUP($B30&amp;"_"&amp;$E30,OFFSET([2]stages!$A$1,0,0,COUNTA([2]stages!$A:$A),MATCH(G$1,[2]stages!$2:$2,0)-MATCH("temp_stage",[2]stages!$2:$2,0)+1),MATCH(G$1,[2]stages!$2:$2,0)-MATCH("temp_stage",[2]stages!$2:$2,0)+1,FALSE)</f>
        <v>平安01</v>
      </c>
      <c r="H30" s="66">
        <v>0</v>
      </c>
      <c r="I30">
        <v>7</v>
      </c>
      <c r="J30" s="65" t="s">
        <v>197</v>
      </c>
      <c r="K30" s="75" t="str">
        <f>VLOOKUP(I30,[6]stage_hints!$A:$C,3,FALSE)</f>
        <v>メタルダックで経験値を獲得</v>
      </c>
      <c r="L30" s="76" t="str">
        <f>VLOOKUP(I30,[6]stage_hints!$A:$D,4,FALSE)</f>
        <v>「メタルなアヒル」を強化素材にすると_x000D_大量の経験値がもらえます</v>
      </c>
      <c r="M30" s="41" t="s">
        <v>212</v>
      </c>
    </row>
    <row r="31" spans="1:13" x14ac:dyDescent="0.15">
      <c r="A31" s="62" t="s">
        <v>200</v>
      </c>
      <c r="B31" s="63">
        <f>floors!$C$2</f>
        <v>20019</v>
      </c>
      <c r="C31" s="64" t="str">
        <f ca="1">VLOOKUP($B31,OFFSET([2]quests!$A$1,0,0,COUNTA([2]quests!$A:$A),MATCH(C$1,[2]quests!$1:$1,0)-MATCH($B$1,[2]quests!$1:$1,0)+1),MATCH(C$1,[2]quests!$1:$1,0)-MATCH($B$1,[2]quests!$1:$1,0)+1,FALSE)</f>
        <v>平安編０１（仮）</v>
      </c>
      <c r="D31" s="64" t="str">
        <f ca="1">VLOOKUP($B31,OFFSET([2]quests!$A$1,0,0,COUNTA([2]quests!$A:$A),MATCH(D$1,[2]quests!$1:$1,0)-MATCH($B$1,[2]quests!$1:$1,0)+1),MATCH(D$1,[2]quests!$1:$1,0)-MATCH($B$1,[2]quests!$1:$1,0)+1,FALSE)</f>
        <v>平安01</v>
      </c>
      <c r="E31" s="68">
        <v>2</v>
      </c>
      <c r="F31" s="64" t="str">
        <f ca="1">VLOOKUP($B31&amp;"_"&amp;$E31,OFFSET([2]stages!$A$1,0,0,COUNTA([2]stages!$A:$A),MATCH(F$1,[2]stages!$2:$2,0)-MATCH("temp_stage",[2]stages!$2:$2,0)+1),MATCH(F$1,[2]stages!$2:$2,0)-MATCH("temp_stage",[2]stages!$2:$2,0)+1,FALSE)</f>
        <v>【中級】平安編０１（仮）</v>
      </c>
      <c r="G31" s="64" t="str">
        <f ca="1">VLOOKUP($B31&amp;"_"&amp;$E31,OFFSET([2]stages!$A$1,0,0,COUNTA([2]stages!$A:$A),MATCH(G$1,[2]stages!$2:$2,0)-MATCH("temp_stage",[2]stages!$2:$2,0)+1),MATCH(G$1,[2]stages!$2:$2,0)-MATCH("temp_stage",[2]stages!$2:$2,0)+1,FALSE)</f>
        <v>平安01</v>
      </c>
      <c r="H31" s="66">
        <v>0</v>
      </c>
      <c r="I31">
        <v>8</v>
      </c>
      <c r="J31" s="65" t="s">
        <v>197</v>
      </c>
      <c r="K31" s="75" t="str">
        <f>VLOOKUP(I31,[6]stage_hints!$A:$C,3,FALSE)</f>
        <v>ゲリラクエストは要チェック</v>
      </c>
      <c r="L31" s="76" t="str">
        <f>VLOOKUP(I31,[6]stage_hints!$A:$D,4,FALSE)</f>
        <v>時間限定の「アヒル捕獲作戦」では_x000D_経験値素材ユニットが多く手に入ります</v>
      </c>
      <c r="M31" s="41" t="s">
        <v>212</v>
      </c>
    </row>
    <row r="32" spans="1:13" x14ac:dyDescent="0.15">
      <c r="A32" s="62" t="s">
        <v>200</v>
      </c>
      <c r="B32" s="63">
        <f>floors!$C$2</f>
        <v>20019</v>
      </c>
      <c r="C32" s="64" t="str">
        <f ca="1">VLOOKUP($B32,OFFSET([2]quests!$A$1,0,0,COUNTA([2]quests!$A:$A),MATCH(C$1,[2]quests!$1:$1,0)-MATCH($B$1,[2]quests!$1:$1,0)+1),MATCH(C$1,[2]quests!$1:$1,0)-MATCH($B$1,[2]quests!$1:$1,0)+1,FALSE)</f>
        <v>平安編０１（仮）</v>
      </c>
      <c r="D32" s="64" t="str">
        <f ca="1">VLOOKUP($B32,OFFSET([2]quests!$A$1,0,0,COUNTA([2]quests!$A:$A),MATCH(D$1,[2]quests!$1:$1,0)-MATCH($B$1,[2]quests!$1:$1,0)+1),MATCH(D$1,[2]quests!$1:$1,0)-MATCH($B$1,[2]quests!$1:$1,0)+1,FALSE)</f>
        <v>平安01</v>
      </c>
      <c r="E32" s="68">
        <v>2</v>
      </c>
      <c r="F32" s="64" t="str">
        <f ca="1">VLOOKUP($B32&amp;"_"&amp;$E32,OFFSET([2]stages!$A$1,0,0,COUNTA([2]stages!$A:$A),MATCH(F$1,[2]stages!$2:$2,0)-MATCH("temp_stage",[2]stages!$2:$2,0)+1),MATCH(F$1,[2]stages!$2:$2,0)-MATCH("temp_stage",[2]stages!$2:$2,0)+1,FALSE)</f>
        <v>【中級】平安編０１（仮）</v>
      </c>
      <c r="G32" s="64" t="str">
        <f ca="1">VLOOKUP($B32&amp;"_"&amp;$E32,OFFSET([2]stages!$A$1,0,0,COUNTA([2]stages!$A:$A),MATCH(G$1,[2]stages!$2:$2,0)-MATCH("temp_stage",[2]stages!$2:$2,0)+1),MATCH(G$1,[2]stages!$2:$2,0)-MATCH("temp_stage",[2]stages!$2:$2,0)+1,FALSE)</f>
        <v>平安01</v>
      </c>
      <c r="H32" s="66">
        <v>0</v>
      </c>
      <c r="I32">
        <v>9</v>
      </c>
      <c r="J32" s="65" t="s">
        <v>197</v>
      </c>
      <c r="K32" s="75" t="str">
        <f>VLOOKUP(I32,[6]stage_hints!$A:$C,3,FALSE)</f>
        <v>ゴールドダックでビットを獲得</v>
      </c>
      <c r="L32" s="76" t="str">
        <f>VLOOKUP(I32,[6]stage_hints!$A:$D,4,FALSE)</f>
        <v>「ゴールドなアヒル」を売却すると_x000D_大量のビットがもらえます</v>
      </c>
      <c r="M32" s="41" t="s">
        <v>212</v>
      </c>
    </row>
    <row r="33" spans="1:13" x14ac:dyDescent="0.15">
      <c r="A33" s="62" t="s">
        <v>200</v>
      </c>
      <c r="B33" s="63">
        <f>floors!$C$2</f>
        <v>20019</v>
      </c>
      <c r="C33" s="64" t="str">
        <f ca="1">VLOOKUP($B33,OFFSET([2]quests!$A$1,0,0,COUNTA([2]quests!$A:$A),MATCH(C$1,[2]quests!$1:$1,0)-MATCH($B$1,[2]quests!$1:$1,0)+1),MATCH(C$1,[2]quests!$1:$1,0)-MATCH($B$1,[2]quests!$1:$1,0)+1,FALSE)</f>
        <v>平安編０１（仮）</v>
      </c>
      <c r="D33" s="64" t="str">
        <f ca="1">VLOOKUP($B33,OFFSET([2]quests!$A$1,0,0,COUNTA([2]quests!$A:$A),MATCH(D$1,[2]quests!$1:$1,0)-MATCH($B$1,[2]quests!$1:$1,0)+1),MATCH(D$1,[2]quests!$1:$1,0)-MATCH($B$1,[2]quests!$1:$1,0)+1,FALSE)</f>
        <v>平安01</v>
      </c>
      <c r="E33" s="68">
        <v>2</v>
      </c>
      <c r="F33" s="64" t="str">
        <f ca="1">VLOOKUP($B33&amp;"_"&amp;$E33,OFFSET([2]stages!$A$1,0,0,COUNTA([2]stages!$A:$A),MATCH(F$1,[2]stages!$2:$2,0)-MATCH("temp_stage",[2]stages!$2:$2,0)+1),MATCH(F$1,[2]stages!$2:$2,0)-MATCH("temp_stage",[2]stages!$2:$2,0)+1,FALSE)</f>
        <v>【中級】平安編０１（仮）</v>
      </c>
      <c r="G33" s="64" t="str">
        <f ca="1">VLOOKUP($B33&amp;"_"&amp;$E33,OFFSET([2]stages!$A$1,0,0,COUNTA([2]stages!$A:$A),MATCH(G$1,[2]stages!$2:$2,0)-MATCH("temp_stage",[2]stages!$2:$2,0)+1),MATCH(G$1,[2]stages!$2:$2,0)-MATCH("temp_stage",[2]stages!$2:$2,0)+1,FALSE)</f>
        <v>平安01</v>
      </c>
      <c r="H33" s="66">
        <v>0</v>
      </c>
      <c r="I33">
        <v>10</v>
      </c>
      <c r="J33" s="65" t="s">
        <v>197</v>
      </c>
      <c r="K33" s="75" t="str">
        <f>VLOOKUP(I33,[6]stage_hints!$A:$C,3,FALSE)</f>
        <v>土日に大量のビットを獲得</v>
      </c>
      <c r="L33" s="76" t="str">
        <f>VLOOKUP(I33,[6]stage_hints!$A:$D,4,FALSE)</f>
        <v>土日限定の「ゴールドカジノ」では_x000D_売却素材ユニットが多く手に入ります</v>
      </c>
      <c r="M33" s="41" t="s">
        <v>212</v>
      </c>
    </row>
    <row r="34" spans="1:13" x14ac:dyDescent="0.15">
      <c r="A34" s="62" t="s">
        <v>200</v>
      </c>
      <c r="B34" s="63">
        <f>floors!$C$2</f>
        <v>20019</v>
      </c>
      <c r="C34" s="64" t="str">
        <f ca="1">VLOOKUP($B34,OFFSET([2]quests!$A$1,0,0,COUNTA([2]quests!$A:$A),MATCH(C$1,[2]quests!$1:$1,0)-MATCH($B$1,[2]quests!$1:$1,0)+1),MATCH(C$1,[2]quests!$1:$1,0)-MATCH($B$1,[2]quests!$1:$1,0)+1,FALSE)</f>
        <v>平安編０１（仮）</v>
      </c>
      <c r="D34" s="64" t="str">
        <f ca="1">VLOOKUP($B34,OFFSET([2]quests!$A$1,0,0,COUNTA([2]quests!$A:$A),MATCH(D$1,[2]quests!$1:$1,0)-MATCH($B$1,[2]quests!$1:$1,0)+1),MATCH(D$1,[2]quests!$1:$1,0)-MATCH($B$1,[2]quests!$1:$1,0)+1,FALSE)</f>
        <v>平安01</v>
      </c>
      <c r="E34" s="68">
        <v>2</v>
      </c>
      <c r="F34" s="64" t="str">
        <f ca="1">VLOOKUP($B34&amp;"_"&amp;$E34,OFFSET([2]stages!$A$1,0,0,COUNTA([2]stages!$A:$A),MATCH(F$1,[2]stages!$2:$2,0)-MATCH("temp_stage",[2]stages!$2:$2,0)+1),MATCH(F$1,[2]stages!$2:$2,0)-MATCH("temp_stage",[2]stages!$2:$2,0)+1,FALSE)</f>
        <v>【中級】平安編０１（仮）</v>
      </c>
      <c r="G34" s="64" t="str">
        <f ca="1">VLOOKUP($B34&amp;"_"&amp;$E34,OFFSET([2]stages!$A$1,0,0,COUNTA([2]stages!$A:$A),MATCH(G$1,[2]stages!$2:$2,0)-MATCH("temp_stage",[2]stages!$2:$2,0)+1),MATCH(G$1,[2]stages!$2:$2,0)-MATCH("temp_stage",[2]stages!$2:$2,0)+1,FALSE)</f>
        <v>平安01</v>
      </c>
      <c r="H34" s="66">
        <v>0</v>
      </c>
      <c r="I34">
        <v>11</v>
      </c>
      <c r="J34" s="65" t="s">
        <v>197</v>
      </c>
      <c r="K34" s="75" t="str">
        <f>VLOOKUP(I34,[6]stage_hints!$A:$C,3,FALSE)</f>
        <v>ランク解放クエスト</v>
      </c>
      <c r="L34" s="76" t="str">
        <f>VLOOKUP(I34,[6]stage_hints!$A:$D,4,FALSE)</f>
        <v>一定ランクに到達すると_x000D_報酬付きのランク開放クエストが現れます</v>
      </c>
      <c r="M34" s="41" t="s">
        <v>212</v>
      </c>
    </row>
    <row r="35" spans="1:13" x14ac:dyDescent="0.15">
      <c r="A35" s="62" t="s">
        <v>200</v>
      </c>
      <c r="B35" s="63">
        <f>floors!$C$2</f>
        <v>20019</v>
      </c>
      <c r="C35" s="64" t="str">
        <f ca="1">VLOOKUP($B35,OFFSET([2]quests!$A$1,0,0,COUNTA([2]quests!$A:$A),MATCH(C$1,[2]quests!$1:$1,0)-MATCH($B$1,[2]quests!$1:$1,0)+1),MATCH(C$1,[2]quests!$1:$1,0)-MATCH($B$1,[2]quests!$1:$1,0)+1,FALSE)</f>
        <v>平安編０１（仮）</v>
      </c>
      <c r="D35" s="64" t="str">
        <f ca="1">VLOOKUP($B35,OFFSET([2]quests!$A$1,0,0,COUNTA([2]quests!$A:$A),MATCH(D$1,[2]quests!$1:$1,0)-MATCH($B$1,[2]quests!$1:$1,0)+1),MATCH(D$1,[2]quests!$1:$1,0)-MATCH($B$1,[2]quests!$1:$1,0)+1,FALSE)</f>
        <v>平安01</v>
      </c>
      <c r="E35" s="68">
        <v>2</v>
      </c>
      <c r="F35" s="64" t="str">
        <f ca="1">VLOOKUP($B35&amp;"_"&amp;$E35,OFFSET([2]stages!$A$1,0,0,COUNTA([2]stages!$A:$A),MATCH(F$1,[2]stages!$2:$2,0)-MATCH("temp_stage",[2]stages!$2:$2,0)+1),MATCH(F$1,[2]stages!$2:$2,0)-MATCH("temp_stage",[2]stages!$2:$2,0)+1,FALSE)</f>
        <v>【中級】平安編０１（仮）</v>
      </c>
      <c r="G35" s="64" t="str">
        <f ca="1">VLOOKUP($B35&amp;"_"&amp;$E35,OFFSET([2]stages!$A$1,0,0,COUNTA([2]stages!$A:$A),MATCH(G$1,[2]stages!$2:$2,0)-MATCH("temp_stage",[2]stages!$2:$2,0)+1),MATCH(G$1,[2]stages!$2:$2,0)-MATCH("temp_stage",[2]stages!$2:$2,0)+1,FALSE)</f>
        <v>平安01</v>
      </c>
      <c r="H35" s="66">
        <v>0</v>
      </c>
      <c r="I35">
        <v>12</v>
      </c>
      <c r="J35" s="65" t="s">
        <v>197</v>
      </c>
      <c r="K35" s="75" t="str">
        <f>VLOOKUP(I35,[6]stage_hints!$A:$C,3,FALSE)</f>
        <v>ユニットのお気に入り登録</v>
      </c>
      <c r="L35" s="76" t="str">
        <f>VLOOKUP(I35,[6]stage_hints!$A:$D,4,FALSE)</f>
        <v>大事なユニットを誤って消さないように_x000D_フォルダから「お気に入り登録」しましょう</v>
      </c>
      <c r="M35" s="41" t="s">
        <v>212</v>
      </c>
    </row>
    <row r="36" spans="1:13" x14ac:dyDescent="0.15">
      <c r="A36" s="62" t="s">
        <v>200</v>
      </c>
      <c r="B36" s="63">
        <f>floors!$C$2</f>
        <v>20019</v>
      </c>
      <c r="C36" s="64" t="str">
        <f ca="1">VLOOKUP($B36,OFFSET([2]quests!$A$1,0,0,COUNTA([2]quests!$A:$A),MATCH(C$1,[2]quests!$1:$1,0)-MATCH($B$1,[2]quests!$1:$1,0)+1),MATCH(C$1,[2]quests!$1:$1,0)-MATCH($B$1,[2]quests!$1:$1,0)+1,FALSE)</f>
        <v>平安編０１（仮）</v>
      </c>
      <c r="D36" s="64" t="str">
        <f ca="1">VLOOKUP($B36,OFFSET([2]quests!$A$1,0,0,COUNTA([2]quests!$A:$A),MATCH(D$1,[2]quests!$1:$1,0)-MATCH($B$1,[2]quests!$1:$1,0)+1),MATCH(D$1,[2]quests!$1:$1,0)-MATCH($B$1,[2]quests!$1:$1,0)+1,FALSE)</f>
        <v>平安01</v>
      </c>
      <c r="E36" s="68">
        <v>2</v>
      </c>
      <c r="F36" s="64" t="str">
        <f ca="1">VLOOKUP($B36&amp;"_"&amp;$E36,OFFSET([2]stages!$A$1,0,0,COUNTA([2]stages!$A:$A),MATCH(F$1,[2]stages!$2:$2,0)-MATCH("temp_stage",[2]stages!$2:$2,0)+1),MATCH(F$1,[2]stages!$2:$2,0)-MATCH("temp_stage",[2]stages!$2:$2,0)+1,FALSE)</f>
        <v>【中級】平安編０１（仮）</v>
      </c>
      <c r="G36" s="64" t="str">
        <f ca="1">VLOOKUP($B36&amp;"_"&amp;$E36,OFFSET([2]stages!$A$1,0,0,COUNTA([2]stages!$A:$A),MATCH(G$1,[2]stages!$2:$2,0)-MATCH("temp_stage",[2]stages!$2:$2,0)+1),MATCH(G$1,[2]stages!$2:$2,0)-MATCH("temp_stage",[2]stages!$2:$2,0)+1,FALSE)</f>
        <v>平安01</v>
      </c>
      <c r="H36" s="66">
        <v>0</v>
      </c>
      <c r="I36">
        <v>13</v>
      </c>
      <c r="J36" s="65" t="s">
        <v>197</v>
      </c>
      <c r="K36" s="75" t="str">
        <f>VLOOKUP(I36,[6]stage_hints!$A:$C,3,FALSE)</f>
        <v>ユニットの覚醒</v>
      </c>
      <c r="L36" s="76" t="str">
        <f>VLOOKUP(I36,[6]stage_hints!$A:$D,4,FALSE)</f>
        <v>ユニットを覚醒させると_x000D_比べものにならない強さが手に入ります</v>
      </c>
      <c r="M36" s="41" t="s">
        <v>212</v>
      </c>
    </row>
    <row r="37" spans="1:13" x14ac:dyDescent="0.15">
      <c r="A37" s="62" t="s">
        <v>200</v>
      </c>
      <c r="B37" s="63">
        <f>floors!$C$2</f>
        <v>20019</v>
      </c>
      <c r="C37" s="64" t="str">
        <f ca="1">VLOOKUP($B37,OFFSET([2]quests!$A$1,0,0,COUNTA([2]quests!$A:$A),MATCH(C$1,[2]quests!$1:$1,0)-MATCH($B$1,[2]quests!$1:$1,0)+1),MATCH(C$1,[2]quests!$1:$1,0)-MATCH($B$1,[2]quests!$1:$1,0)+1,FALSE)</f>
        <v>平安編０１（仮）</v>
      </c>
      <c r="D37" s="64" t="str">
        <f ca="1">VLOOKUP($B37,OFFSET([2]quests!$A$1,0,0,COUNTA([2]quests!$A:$A),MATCH(D$1,[2]quests!$1:$1,0)-MATCH($B$1,[2]quests!$1:$1,0)+1),MATCH(D$1,[2]quests!$1:$1,0)-MATCH($B$1,[2]quests!$1:$1,0)+1,FALSE)</f>
        <v>平安01</v>
      </c>
      <c r="E37" s="68">
        <v>2</v>
      </c>
      <c r="F37" s="64" t="str">
        <f ca="1">VLOOKUP($B37&amp;"_"&amp;$E37,OFFSET([2]stages!$A$1,0,0,COUNTA([2]stages!$A:$A),MATCH(F$1,[2]stages!$2:$2,0)-MATCH("temp_stage",[2]stages!$2:$2,0)+1),MATCH(F$1,[2]stages!$2:$2,0)-MATCH("temp_stage",[2]stages!$2:$2,0)+1,FALSE)</f>
        <v>【中級】平安編０１（仮）</v>
      </c>
      <c r="G37" s="64" t="str">
        <f ca="1">VLOOKUP($B37&amp;"_"&amp;$E37,OFFSET([2]stages!$A$1,0,0,COUNTA([2]stages!$A:$A),MATCH(G$1,[2]stages!$2:$2,0)-MATCH("temp_stage",[2]stages!$2:$2,0)+1),MATCH(G$1,[2]stages!$2:$2,0)-MATCH("temp_stage",[2]stages!$2:$2,0)+1,FALSE)</f>
        <v>平安01</v>
      </c>
      <c r="H37" s="66">
        <v>0</v>
      </c>
      <c r="I37">
        <v>14</v>
      </c>
      <c r="J37" s="65" t="s">
        <v>197</v>
      </c>
      <c r="K37" s="75" t="str">
        <f>VLOOKUP(I37,[6]stage_hints!$A:$C,3,FALSE)</f>
        <v>覚醒するにはレベルを最大に</v>
      </c>
      <c r="L37" s="76" t="str">
        <f>VLOOKUP(I37,[6]stage_hints!$A:$D,4,FALSE)</f>
        <v>覚醒するにはユニットのレベルを_x000D_最大まで上げる必要があります</v>
      </c>
      <c r="M37" s="41" t="s">
        <v>212</v>
      </c>
    </row>
    <row r="38" spans="1:13" x14ac:dyDescent="0.15">
      <c r="A38" s="62" t="s">
        <v>200</v>
      </c>
      <c r="B38" s="63">
        <f>floors!$C$2</f>
        <v>20019</v>
      </c>
      <c r="C38" s="64" t="str">
        <f ca="1">VLOOKUP($B38,OFFSET([2]quests!$A$1,0,0,COUNTA([2]quests!$A:$A),MATCH(C$1,[2]quests!$1:$1,0)-MATCH($B$1,[2]quests!$1:$1,0)+1),MATCH(C$1,[2]quests!$1:$1,0)-MATCH($B$1,[2]quests!$1:$1,0)+1,FALSE)</f>
        <v>平安編０１（仮）</v>
      </c>
      <c r="D38" s="64" t="str">
        <f ca="1">VLOOKUP($B38,OFFSET([2]quests!$A$1,0,0,COUNTA([2]quests!$A:$A),MATCH(D$1,[2]quests!$1:$1,0)-MATCH($B$1,[2]quests!$1:$1,0)+1),MATCH(D$1,[2]quests!$1:$1,0)-MATCH($B$1,[2]quests!$1:$1,0)+1,FALSE)</f>
        <v>平安01</v>
      </c>
      <c r="E38" s="68">
        <v>2</v>
      </c>
      <c r="F38" s="64" t="str">
        <f ca="1">VLOOKUP($B38&amp;"_"&amp;$E38,OFFSET([2]stages!$A$1,0,0,COUNTA([2]stages!$A:$A),MATCH(F$1,[2]stages!$2:$2,0)-MATCH("temp_stage",[2]stages!$2:$2,0)+1),MATCH(F$1,[2]stages!$2:$2,0)-MATCH("temp_stage",[2]stages!$2:$2,0)+1,FALSE)</f>
        <v>【中級】平安編０１（仮）</v>
      </c>
      <c r="G38" s="64" t="str">
        <f ca="1">VLOOKUP($B38&amp;"_"&amp;$E38,OFFSET([2]stages!$A$1,0,0,COUNTA([2]stages!$A:$A),MATCH(G$1,[2]stages!$2:$2,0)-MATCH("temp_stage",[2]stages!$2:$2,0)+1),MATCH(G$1,[2]stages!$2:$2,0)-MATCH("temp_stage",[2]stages!$2:$2,0)+1,FALSE)</f>
        <v>平安01</v>
      </c>
      <c r="H38" s="66">
        <v>0</v>
      </c>
      <c r="I38">
        <v>15</v>
      </c>
      <c r="J38" s="65" t="s">
        <v>197</v>
      </c>
      <c r="K38" s="75" t="str">
        <f>VLOOKUP(I38,[6]stage_hints!$A:$C,3,FALSE)</f>
        <v>覚醒素材を獲得</v>
      </c>
      <c r="L38" s="76" t="str">
        <f>VLOOKUP(I38,[6]stage_hints!$A:$D,4,FALSE)</f>
        <v>「曜日クエスト」では_x000D_ユニットの覚醒に必要な素材が手に入ります</v>
      </c>
      <c r="M38" s="41" t="s">
        <v>212</v>
      </c>
    </row>
    <row r="39" spans="1:13" x14ac:dyDescent="0.15">
      <c r="A39" s="62" t="s">
        <v>200</v>
      </c>
      <c r="B39" s="63">
        <f>floors!$C$2</f>
        <v>20019</v>
      </c>
      <c r="C39" s="64" t="str">
        <f ca="1">VLOOKUP($B39,OFFSET([2]quests!$A$1,0,0,COUNTA([2]quests!$A:$A),MATCH(C$1,[2]quests!$1:$1,0)-MATCH($B$1,[2]quests!$1:$1,0)+1),MATCH(C$1,[2]quests!$1:$1,0)-MATCH($B$1,[2]quests!$1:$1,0)+1,FALSE)</f>
        <v>平安編０１（仮）</v>
      </c>
      <c r="D39" s="64" t="str">
        <f ca="1">VLOOKUP($B39,OFFSET([2]quests!$A$1,0,0,COUNTA([2]quests!$A:$A),MATCH(D$1,[2]quests!$1:$1,0)-MATCH($B$1,[2]quests!$1:$1,0)+1),MATCH(D$1,[2]quests!$1:$1,0)-MATCH($B$1,[2]quests!$1:$1,0)+1,FALSE)</f>
        <v>平安01</v>
      </c>
      <c r="E39" s="68">
        <v>2</v>
      </c>
      <c r="F39" s="64" t="str">
        <f ca="1">VLOOKUP($B39&amp;"_"&amp;$E39,OFFSET([2]stages!$A$1,0,0,COUNTA([2]stages!$A:$A),MATCH(F$1,[2]stages!$2:$2,0)-MATCH("temp_stage",[2]stages!$2:$2,0)+1),MATCH(F$1,[2]stages!$2:$2,0)-MATCH("temp_stage",[2]stages!$2:$2,0)+1,FALSE)</f>
        <v>【中級】平安編０１（仮）</v>
      </c>
      <c r="G39" s="64" t="str">
        <f ca="1">VLOOKUP($B39&amp;"_"&amp;$E39,OFFSET([2]stages!$A$1,0,0,COUNTA([2]stages!$A:$A),MATCH(G$1,[2]stages!$2:$2,0)-MATCH("temp_stage",[2]stages!$2:$2,0)+1),MATCH(G$1,[2]stages!$2:$2,0)-MATCH("temp_stage",[2]stages!$2:$2,0)+1,FALSE)</f>
        <v>平安01</v>
      </c>
      <c r="H39" s="66">
        <v>0</v>
      </c>
      <c r="I39">
        <v>16</v>
      </c>
      <c r="J39" s="65" t="s">
        <v>197</v>
      </c>
      <c r="K39" s="75" t="str">
        <f>VLOOKUP(I39,[6]stage_hints!$A:$C,3,FALSE)</f>
        <v>マルチプレイのメリット（その1）</v>
      </c>
      <c r="L39" s="76" t="str">
        <f>VLOOKUP(I39,[6]stage_hints!$A:$D,4,FALSE)</f>
        <v>他のプレイヤーとマルチプレイで遊ぶと_x000D_ポリゴンがもらえます（100人まで）</v>
      </c>
      <c r="M39" s="41" t="s">
        <v>212</v>
      </c>
    </row>
    <row r="40" spans="1:13" x14ac:dyDescent="0.15">
      <c r="A40" s="62" t="s">
        <v>200</v>
      </c>
      <c r="B40" s="63">
        <f>floors!$C$2</f>
        <v>20019</v>
      </c>
      <c r="C40" s="64" t="str">
        <f ca="1">VLOOKUP($B40,OFFSET([2]quests!$A$1,0,0,COUNTA([2]quests!$A:$A),MATCH(C$1,[2]quests!$1:$1,0)-MATCH($B$1,[2]quests!$1:$1,0)+1),MATCH(C$1,[2]quests!$1:$1,0)-MATCH($B$1,[2]quests!$1:$1,0)+1,FALSE)</f>
        <v>平安編０１（仮）</v>
      </c>
      <c r="D40" s="64" t="str">
        <f ca="1">VLOOKUP($B40,OFFSET([2]quests!$A$1,0,0,COUNTA([2]quests!$A:$A),MATCH(D$1,[2]quests!$1:$1,0)-MATCH($B$1,[2]quests!$1:$1,0)+1),MATCH(D$1,[2]quests!$1:$1,0)-MATCH($B$1,[2]quests!$1:$1,0)+1,FALSE)</f>
        <v>平安01</v>
      </c>
      <c r="E40" s="68">
        <v>2</v>
      </c>
      <c r="F40" s="64" t="str">
        <f ca="1">VLOOKUP($B40&amp;"_"&amp;$E40,OFFSET([2]stages!$A$1,0,0,COUNTA([2]stages!$A:$A),MATCH(F$1,[2]stages!$2:$2,0)-MATCH("temp_stage",[2]stages!$2:$2,0)+1),MATCH(F$1,[2]stages!$2:$2,0)-MATCH("temp_stage",[2]stages!$2:$2,0)+1,FALSE)</f>
        <v>【中級】平安編０１（仮）</v>
      </c>
      <c r="G40" s="64" t="str">
        <f ca="1">VLOOKUP($B40&amp;"_"&amp;$E40,OFFSET([2]stages!$A$1,0,0,COUNTA([2]stages!$A:$A),MATCH(G$1,[2]stages!$2:$2,0)-MATCH("temp_stage",[2]stages!$2:$2,0)+1),MATCH(G$1,[2]stages!$2:$2,0)-MATCH("temp_stage",[2]stages!$2:$2,0)+1,FALSE)</f>
        <v>平安01</v>
      </c>
      <c r="H40" s="66">
        <v>0</v>
      </c>
      <c r="I40">
        <v>17</v>
      </c>
      <c r="J40" s="65" t="s">
        <v>197</v>
      </c>
      <c r="K40" s="75" t="str">
        <f>VLOOKUP(I40,[6]stage_hints!$A:$C,3,FALSE)</f>
        <v>リンクガチャ</v>
      </c>
      <c r="L40" s="76" t="str">
        <f>VLOOKUP(I40,[6]stage_hints!$A:$D,4,FALSE)</f>
        <v>無料のリンクガチャを回して_x000D_経験値素材や売却素材を獲得しましょう</v>
      </c>
      <c r="M40" s="41" t="s">
        <v>212</v>
      </c>
    </row>
    <row r="41" spans="1:13" x14ac:dyDescent="0.15">
      <c r="A41" s="62" t="s">
        <v>200</v>
      </c>
      <c r="B41" s="63">
        <f>floors!$C$2</f>
        <v>20019</v>
      </c>
      <c r="C41" s="64" t="str">
        <f ca="1">VLOOKUP($B41,OFFSET([2]quests!$A$1,0,0,COUNTA([2]quests!$A:$A),MATCH(C$1,[2]quests!$1:$1,0)-MATCH($B$1,[2]quests!$1:$1,0)+1),MATCH(C$1,[2]quests!$1:$1,0)-MATCH($B$1,[2]quests!$1:$1,0)+1,FALSE)</f>
        <v>平安編０１（仮）</v>
      </c>
      <c r="D41" s="64" t="str">
        <f ca="1">VLOOKUP($B41,OFFSET([2]quests!$A$1,0,0,COUNTA([2]quests!$A:$A),MATCH(D$1,[2]quests!$1:$1,0)-MATCH($B$1,[2]quests!$1:$1,0)+1),MATCH(D$1,[2]quests!$1:$1,0)-MATCH($B$1,[2]quests!$1:$1,0)+1,FALSE)</f>
        <v>平安01</v>
      </c>
      <c r="E41" s="68">
        <v>2</v>
      </c>
      <c r="F41" s="64" t="str">
        <f ca="1">VLOOKUP($B41&amp;"_"&amp;$E41,OFFSET([2]stages!$A$1,0,0,COUNTA([2]stages!$A:$A),MATCH(F$1,[2]stages!$2:$2,0)-MATCH("temp_stage",[2]stages!$2:$2,0)+1),MATCH(F$1,[2]stages!$2:$2,0)-MATCH("temp_stage",[2]stages!$2:$2,0)+1,FALSE)</f>
        <v>【中級】平安編０１（仮）</v>
      </c>
      <c r="G41" s="64" t="str">
        <f ca="1">VLOOKUP($B41&amp;"_"&amp;$E41,OFFSET([2]stages!$A$1,0,0,COUNTA([2]stages!$A:$A),MATCH(G$1,[2]stages!$2:$2,0)-MATCH("temp_stage",[2]stages!$2:$2,0)+1),MATCH(G$1,[2]stages!$2:$2,0)-MATCH("temp_stage",[2]stages!$2:$2,0)+1,FALSE)</f>
        <v>平安01</v>
      </c>
      <c r="H41" s="66">
        <v>0</v>
      </c>
      <c r="I41">
        <v>18</v>
      </c>
      <c r="J41" s="65" t="s">
        <v>197</v>
      </c>
      <c r="K41" s="75" t="str">
        <f>VLOOKUP(I41,[6]stage_hints!$A:$C,3,FALSE)</f>
        <v>マルチプレイのメリット（その2）</v>
      </c>
      <c r="L41" s="76" t="str">
        <f>VLOOKUP(I41,[6]stage_hints!$A:$D,4,FALSE)</f>
        <v>マルチプレイならリンクが2倍もらえます_x000D_リンクガチャをたくさん回しましょう</v>
      </c>
      <c r="M41" s="41" t="s">
        <v>212</v>
      </c>
    </row>
    <row r="42" spans="1:13" x14ac:dyDescent="0.15">
      <c r="A42" s="62" t="s">
        <v>200</v>
      </c>
      <c r="B42" s="63">
        <f>floors!$C$2</f>
        <v>20019</v>
      </c>
      <c r="C42" s="64" t="str">
        <f ca="1">VLOOKUP($B42,OFFSET([2]quests!$A$1,0,0,COUNTA([2]quests!$A:$A),MATCH(C$1,[2]quests!$1:$1,0)-MATCH($B$1,[2]quests!$1:$1,0)+1),MATCH(C$1,[2]quests!$1:$1,0)-MATCH($B$1,[2]quests!$1:$1,0)+1,FALSE)</f>
        <v>平安編０１（仮）</v>
      </c>
      <c r="D42" s="64" t="str">
        <f ca="1">VLOOKUP($B42,OFFSET([2]quests!$A$1,0,0,COUNTA([2]quests!$A:$A),MATCH(D$1,[2]quests!$1:$1,0)-MATCH($B$1,[2]quests!$1:$1,0)+1),MATCH(D$1,[2]quests!$1:$1,0)-MATCH($B$1,[2]quests!$1:$1,0)+1,FALSE)</f>
        <v>平安01</v>
      </c>
      <c r="E42" s="68">
        <v>2</v>
      </c>
      <c r="F42" s="64" t="str">
        <f ca="1">VLOOKUP($B42&amp;"_"&amp;$E42,OFFSET([2]stages!$A$1,0,0,COUNTA([2]stages!$A:$A),MATCH(F$1,[2]stages!$2:$2,0)-MATCH("temp_stage",[2]stages!$2:$2,0)+1),MATCH(F$1,[2]stages!$2:$2,0)-MATCH("temp_stage",[2]stages!$2:$2,0)+1,FALSE)</f>
        <v>【中級】平安編０１（仮）</v>
      </c>
      <c r="G42" s="64" t="str">
        <f ca="1">VLOOKUP($B42&amp;"_"&amp;$E42,OFFSET([2]stages!$A$1,0,0,COUNTA([2]stages!$A:$A),MATCH(G$1,[2]stages!$2:$2,0)-MATCH("temp_stage",[2]stages!$2:$2,0)+1),MATCH(G$1,[2]stages!$2:$2,0)-MATCH("temp_stage",[2]stages!$2:$2,0)+1,FALSE)</f>
        <v>平安01</v>
      </c>
      <c r="H42" s="66">
        <v>0</v>
      </c>
      <c r="I42">
        <v>19</v>
      </c>
      <c r="J42" s="65" t="s">
        <v>197</v>
      </c>
      <c r="K42" s="75" t="str">
        <f>VLOOKUP(I42,[6]stage_hints!$A:$C,3,FALSE)</f>
        <v>ソロ専用チャレンジタワー</v>
      </c>
      <c r="L42" s="76" t="str">
        <f>VLOOKUP(I42,[6]stage_hints!$A:$D,4,FALSE)</f>
        <v>ソロ専用の「チャレンジタワー」では_x000D_各フロアごとにクリア報酬がもらえます</v>
      </c>
      <c r="M42" s="41" t="s">
        <v>212</v>
      </c>
    </row>
    <row r="43" spans="1:13" x14ac:dyDescent="0.15">
      <c r="A43" s="62" t="s">
        <v>200</v>
      </c>
      <c r="B43" s="63">
        <f>floors!$C$2</f>
        <v>20019</v>
      </c>
      <c r="C43" s="64" t="str">
        <f ca="1">VLOOKUP($B43,OFFSET([2]quests!$A$1,0,0,COUNTA([2]quests!$A:$A),MATCH(C$1,[2]quests!$1:$1,0)-MATCH($B$1,[2]quests!$1:$1,0)+1),MATCH(C$1,[2]quests!$1:$1,0)-MATCH($B$1,[2]quests!$1:$1,0)+1,FALSE)</f>
        <v>平安編０１（仮）</v>
      </c>
      <c r="D43" s="64" t="str">
        <f ca="1">VLOOKUP($B43,OFFSET([2]quests!$A$1,0,0,COUNTA([2]quests!$A:$A),MATCH(D$1,[2]quests!$1:$1,0)-MATCH($B$1,[2]quests!$1:$1,0)+1),MATCH(D$1,[2]quests!$1:$1,0)-MATCH($B$1,[2]quests!$1:$1,0)+1,FALSE)</f>
        <v>平安01</v>
      </c>
      <c r="E43" s="68">
        <v>2</v>
      </c>
      <c r="F43" s="64" t="str">
        <f ca="1">VLOOKUP($B43&amp;"_"&amp;$E43,OFFSET([2]stages!$A$1,0,0,COUNTA([2]stages!$A:$A),MATCH(F$1,[2]stages!$2:$2,0)-MATCH("temp_stage",[2]stages!$2:$2,0)+1),MATCH(F$1,[2]stages!$2:$2,0)-MATCH("temp_stage",[2]stages!$2:$2,0)+1,FALSE)</f>
        <v>【中級】平安編０１（仮）</v>
      </c>
      <c r="G43" s="64" t="str">
        <f ca="1">VLOOKUP($B43&amp;"_"&amp;$E43,OFFSET([2]stages!$A$1,0,0,COUNTA([2]stages!$A:$A),MATCH(G$1,[2]stages!$2:$2,0)-MATCH("temp_stage",[2]stages!$2:$2,0)+1),MATCH(G$1,[2]stages!$2:$2,0)-MATCH("temp_stage",[2]stages!$2:$2,0)+1,FALSE)</f>
        <v>平安01</v>
      </c>
      <c r="H43" s="66">
        <v>0</v>
      </c>
      <c r="I43">
        <v>20</v>
      </c>
      <c r="J43" s="65" t="s">
        <v>197</v>
      </c>
      <c r="K43" s="75" t="str">
        <f>VLOOKUP(I43,[6]stage_hints!$A:$C,3,FALSE)</f>
        <v>マルチプレイのメリット（その3）</v>
      </c>
      <c r="L43" s="76" t="str">
        <f>VLOOKUP(I43,[6]stage_hints!$A:$D,4,FALSE)</f>
        <v>マルチプレイへの参加はエナジー消費ゼロ_x000D_いつでも好きなだけ遊ぶことができます</v>
      </c>
      <c r="M43" s="41" t="s">
        <v>212</v>
      </c>
    </row>
    <row r="44" spans="1:13" x14ac:dyDescent="0.15">
      <c r="A44" s="62" t="s">
        <v>200</v>
      </c>
      <c r="B44" s="63">
        <f>floors!$C$2</f>
        <v>20019</v>
      </c>
      <c r="C44" s="64" t="str">
        <f ca="1">VLOOKUP($B44,OFFSET([2]quests!$A$1,0,0,COUNTA([2]quests!$A:$A),MATCH(C$1,[2]quests!$1:$1,0)-MATCH($B$1,[2]quests!$1:$1,0)+1),MATCH(C$1,[2]quests!$1:$1,0)-MATCH($B$1,[2]quests!$1:$1,0)+1,FALSE)</f>
        <v>平安編０１（仮）</v>
      </c>
      <c r="D44" s="64" t="str">
        <f ca="1">VLOOKUP($B44,OFFSET([2]quests!$A$1,0,0,COUNTA([2]quests!$A:$A),MATCH(D$1,[2]quests!$1:$1,0)-MATCH($B$1,[2]quests!$1:$1,0)+1),MATCH(D$1,[2]quests!$1:$1,0)-MATCH($B$1,[2]quests!$1:$1,0)+1,FALSE)</f>
        <v>平安01</v>
      </c>
      <c r="E44" s="68">
        <v>2</v>
      </c>
      <c r="F44" s="64" t="str">
        <f ca="1">VLOOKUP($B44&amp;"_"&amp;$E44,OFFSET([2]stages!$A$1,0,0,COUNTA([2]stages!$A:$A),MATCH(F$1,[2]stages!$2:$2,0)-MATCH("temp_stage",[2]stages!$2:$2,0)+1),MATCH(F$1,[2]stages!$2:$2,0)-MATCH("temp_stage",[2]stages!$2:$2,0)+1,FALSE)</f>
        <v>【中級】平安編０１（仮）</v>
      </c>
      <c r="G44" s="64" t="str">
        <f ca="1">VLOOKUP($B44&amp;"_"&amp;$E44,OFFSET([2]stages!$A$1,0,0,COUNTA([2]stages!$A:$A),MATCH(G$1,[2]stages!$2:$2,0)-MATCH("temp_stage",[2]stages!$2:$2,0)+1),MATCH(G$1,[2]stages!$2:$2,0)-MATCH("temp_stage",[2]stages!$2:$2,0)+1,FALSE)</f>
        <v>平安01</v>
      </c>
      <c r="H44" s="66">
        <v>0</v>
      </c>
      <c r="I44">
        <v>21</v>
      </c>
      <c r="J44" s="65" t="s">
        <v>197</v>
      </c>
      <c r="K44" s="75" t="str">
        <f>VLOOKUP(I44,[6]stage_hints!$A:$C,3,FALSE)</f>
        <v>スキルを有効に</v>
      </c>
      <c r="L44" s="76" t="str">
        <f>VLOOKUP(I44,[6]stage_hints!$A:$D,4,FALSE)</f>
        <v>ターン経過でユニットのスキルが使えます_x000D_強力スキルでバトルを有利に進めましょう</v>
      </c>
      <c r="M44" s="41" t="s">
        <v>212</v>
      </c>
    </row>
    <row r="45" spans="1:13" x14ac:dyDescent="0.15">
      <c r="A45" s="62" t="s">
        <v>200</v>
      </c>
      <c r="B45" s="63">
        <f>floors!$C$2</f>
        <v>20019</v>
      </c>
      <c r="C45" s="64" t="str">
        <f ca="1">VLOOKUP($B45,OFFSET([2]quests!$A$1,0,0,COUNTA([2]quests!$A:$A),MATCH(C$1,[2]quests!$1:$1,0)-MATCH($B$1,[2]quests!$1:$1,0)+1),MATCH(C$1,[2]quests!$1:$1,0)-MATCH($B$1,[2]quests!$1:$1,0)+1,FALSE)</f>
        <v>平安編０１（仮）</v>
      </c>
      <c r="D45" s="64" t="str">
        <f ca="1">VLOOKUP($B45,OFFSET([2]quests!$A$1,0,0,COUNTA([2]quests!$A:$A),MATCH(D$1,[2]quests!$1:$1,0)-MATCH($B$1,[2]quests!$1:$1,0)+1),MATCH(D$1,[2]quests!$1:$1,0)-MATCH($B$1,[2]quests!$1:$1,0)+1,FALSE)</f>
        <v>平安01</v>
      </c>
      <c r="E45" s="68">
        <v>2</v>
      </c>
      <c r="F45" s="64" t="str">
        <f ca="1">VLOOKUP($B45&amp;"_"&amp;$E45,OFFSET([2]stages!$A$1,0,0,COUNTA([2]stages!$A:$A),MATCH(F$1,[2]stages!$2:$2,0)-MATCH("temp_stage",[2]stages!$2:$2,0)+1),MATCH(F$1,[2]stages!$2:$2,0)-MATCH("temp_stage",[2]stages!$2:$2,0)+1,FALSE)</f>
        <v>【中級】平安編０１（仮）</v>
      </c>
      <c r="G45" s="64" t="str">
        <f ca="1">VLOOKUP($B45&amp;"_"&amp;$E45,OFFSET([2]stages!$A$1,0,0,COUNTA([2]stages!$A:$A),MATCH(G$1,[2]stages!$2:$2,0)-MATCH("temp_stage",[2]stages!$2:$2,0)+1),MATCH(G$1,[2]stages!$2:$2,0)-MATCH("temp_stage",[2]stages!$2:$2,0)+1,FALSE)</f>
        <v>平安01</v>
      </c>
      <c r="H45" s="66">
        <v>0</v>
      </c>
      <c r="I45">
        <v>22</v>
      </c>
      <c r="J45" s="65" t="s">
        <v>197</v>
      </c>
      <c r="K45" s="75" t="str">
        <f>VLOOKUP(I45,[6]stage_hints!$A:$C,3,FALSE)</f>
        <v>フィーバーで一発逆転（その1）</v>
      </c>
      <c r="L45" s="76" t="str">
        <f>VLOOKUP(I45,[6]stage_hints!$A:$D,4,FALSE)</f>
        <v>フィーバーは攻撃と回復を兼ね備えます_x000D_ピンチからの一発逆転を狙いましょう</v>
      </c>
      <c r="M45" s="41" t="s">
        <v>212</v>
      </c>
    </row>
    <row r="46" spans="1:13" x14ac:dyDescent="0.15">
      <c r="A46" s="62" t="s">
        <v>200</v>
      </c>
      <c r="B46" s="63">
        <f>floors!$C$2</f>
        <v>20019</v>
      </c>
      <c r="C46" s="64" t="str">
        <f ca="1">VLOOKUP($B46,OFFSET([2]quests!$A$1,0,0,COUNTA([2]quests!$A:$A),MATCH(C$1,[2]quests!$1:$1,0)-MATCH($B$1,[2]quests!$1:$1,0)+1),MATCH(C$1,[2]quests!$1:$1,0)-MATCH($B$1,[2]quests!$1:$1,0)+1,FALSE)</f>
        <v>平安編０１（仮）</v>
      </c>
      <c r="D46" s="64" t="str">
        <f ca="1">VLOOKUP($B46,OFFSET([2]quests!$A$1,0,0,COUNTA([2]quests!$A:$A),MATCH(D$1,[2]quests!$1:$1,0)-MATCH($B$1,[2]quests!$1:$1,0)+1),MATCH(D$1,[2]quests!$1:$1,0)-MATCH($B$1,[2]quests!$1:$1,0)+1,FALSE)</f>
        <v>平安01</v>
      </c>
      <c r="E46" s="68">
        <v>2</v>
      </c>
      <c r="F46" s="64" t="str">
        <f ca="1">VLOOKUP($B46&amp;"_"&amp;$E46,OFFSET([2]stages!$A$1,0,0,COUNTA([2]stages!$A:$A),MATCH(F$1,[2]stages!$2:$2,0)-MATCH("temp_stage",[2]stages!$2:$2,0)+1),MATCH(F$1,[2]stages!$2:$2,0)-MATCH("temp_stage",[2]stages!$2:$2,0)+1,FALSE)</f>
        <v>【中級】平安編０１（仮）</v>
      </c>
      <c r="G46" s="64" t="str">
        <f ca="1">VLOOKUP($B46&amp;"_"&amp;$E46,OFFSET([2]stages!$A$1,0,0,COUNTA([2]stages!$A:$A),MATCH(G$1,[2]stages!$2:$2,0)-MATCH("temp_stage",[2]stages!$2:$2,0)+1),MATCH(G$1,[2]stages!$2:$2,0)-MATCH("temp_stage",[2]stages!$2:$2,0)+1,FALSE)</f>
        <v>平安01</v>
      </c>
      <c r="H46" s="66">
        <v>0</v>
      </c>
      <c r="I46">
        <v>23</v>
      </c>
      <c r="J46" s="65" t="s">
        <v>197</v>
      </c>
      <c r="K46" s="75" t="str">
        <f>VLOOKUP(I46,[6]stage_hints!$A:$C,3,FALSE)</f>
        <v>フィーバーで一発逆転（その2）</v>
      </c>
      <c r="L46" s="76" t="str">
        <f>VLOOKUP(I46,[6]stage_hints!$A:$D,4,FALSE)</f>
        <v>フィーバー中は虹色のボムパネルを狙って_x000D_画面上のパネルを一気に破壊しましょう</v>
      </c>
      <c r="M46" s="41" t="s">
        <v>212</v>
      </c>
    </row>
    <row r="47" spans="1:13" x14ac:dyDescent="0.15">
      <c r="A47" s="62" t="s">
        <v>200</v>
      </c>
      <c r="B47" s="63">
        <f>floors!$C$2</f>
        <v>20019</v>
      </c>
      <c r="C47" s="64" t="str">
        <f ca="1">VLOOKUP($B47,OFFSET([2]quests!$A$1,0,0,COUNTA([2]quests!$A:$A),MATCH(C$1,[2]quests!$1:$1,0)-MATCH($B$1,[2]quests!$1:$1,0)+1),MATCH(C$1,[2]quests!$1:$1,0)-MATCH($B$1,[2]quests!$1:$1,0)+1,FALSE)</f>
        <v>平安編０１（仮）</v>
      </c>
      <c r="D47" s="64" t="str">
        <f ca="1">VLOOKUP($B47,OFFSET([2]quests!$A$1,0,0,COUNTA([2]quests!$A:$A),MATCH(D$1,[2]quests!$1:$1,0)-MATCH($B$1,[2]quests!$1:$1,0)+1),MATCH(D$1,[2]quests!$1:$1,0)-MATCH($B$1,[2]quests!$1:$1,0)+1,FALSE)</f>
        <v>平安01</v>
      </c>
      <c r="E47" s="68">
        <v>2</v>
      </c>
      <c r="F47" s="64" t="str">
        <f ca="1">VLOOKUP($B47&amp;"_"&amp;$E47,OFFSET([2]stages!$A$1,0,0,COUNTA([2]stages!$A:$A),MATCH(F$1,[2]stages!$2:$2,0)-MATCH("temp_stage",[2]stages!$2:$2,0)+1),MATCH(F$1,[2]stages!$2:$2,0)-MATCH("temp_stage",[2]stages!$2:$2,0)+1,FALSE)</f>
        <v>【中級】平安編０１（仮）</v>
      </c>
      <c r="G47" s="64" t="str">
        <f ca="1">VLOOKUP($B47&amp;"_"&amp;$E47,OFFSET([2]stages!$A$1,0,0,COUNTA([2]stages!$A:$A),MATCH(G$1,[2]stages!$2:$2,0)-MATCH("temp_stage",[2]stages!$2:$2,0)+1),MATCH(G$1,[2]stages!$2:$2,0)-MATCH("temp_stage",[2]stages!$2:$2,0)+1,FALSE)</f>
        <v>平安01</v>
      </c>
      <c r="H47" s="66">
        <v>0</v>
      </c>
      <c r="I47">
        <v>24</v>
      </c>
      <c r="J47" s="65" t="s">
        <v>197</v>
      </c>
      <c r="K47" s="75" t="str">
        <f>VLOOKUP(I47,[6]stage_hints!$A:$C,3,FALSE)</f>
        <v>りんごを使って限界突破</v>
      </c>
      <c r="L47" s="76" t="str">
        <f>VLOOKUP(I47,[6]stage_hints!$A:$D,4,FALSE)</f>
        <v>赤りんご(攻撃力) 青りんご(回復力)_x000D_緑りんご(体力)をユニット強化に使うと_x000D_ステータスが限界突破します（計99個迄）</v>
      </c>
      <c r="M47" s="41" t="s">
        <v>212</v>
      </c>
    </row>
    <row r="48" spans="1:13" x14ac:dyDescent="0.15">
      <c r="A48" s="62" t="s">
        <v>200</v>
      </c>
      <c r="B48" s="63">
        <f>floors!$C$2</f>
        <v>20019</v>
      </c>
      <c r="C48" s="64" t="str">
        <f ca="1">VLOOKUP($B48,OFFSET([2]quests!$A$1,0,0,COUNTA([2]quests!$A:$A),MATCH(C$1,[2]quests!$1:$1,0)-MATCH($B$1,[2]quests!$1:$1,0)+1),MATCH(C$1,[2]quests!$1:$1,0)-MATCH($B$1,[2]quests!$1:$1,0)+1,FALSE)</f>
        <v>平安編０１（仮）</v>
      </c>
      <c r="D48" s="64" t="str">
        <f ca="1">VLOOKUP($B48,OFFSET([2]quests!$A$1,0,0,COUNTA([2]quests!$A:$A),MATCH(D$1,[2]quests!$1:$1,0)-MATCH($B$1,[2]quests!$1:$1,0)+1),MATCH(D$1,[2]quests!$1:$1,0)-MATCH($B$1,[2]quests!$1:$1,0)+1,FALSE)</f>
        <v>平安01</v>
      </c>
      <c r="E48" s="68">
        <v>2</v>
      </c>
      <c r="F48" s="64" t="str">
        <f ca="1">VLOOKUP($B48&amp;"_"&amp;$E48,OFFSET([2]stages!$A$1,0,0,COUNTA([2]stages!$A:$A),MATCH(F$1,[2]stages!$2:$2,0)-MATCH("temp_stage",[2]stages!$2:$2,0)+1),MATCH(F$1,[2]stages!$2:$2,0)-MATCH("temp_stage",[2]stages!$2:$2,0)+1,FALSE)</f>
        <v>【中級】平安編０１（仮）</v>
      </c>
      <c r="G48" s="64" t="str">
        <f ca="1">VLOOKUP($B48&amp;"_"&amp;$E48,OFFSET([2]stages!$A$1,0,0,COUNTA([2]stages!$A:$A),MATCH(G$1,[2]stages!$2:$2,0)-MATCH("temp_stage",[2]stages!$2:$2,0)+1),MATCH(G$1,[2]stages!$2:$2,0)-MATCH("temp_stage",[2]stages!$2:$2,0)+1,FALSE)</f>
        <v>平安01</v>
      </c>
      <c r="H48" s="66">
        <v>0</v>
      </c>
      <c r="I48">
        <v>25</v>
      </c>
      <c r="J48" s="65" t="s">
        <v>197</v>
      </c>
      <c r="K48" s="75" t="str">
        <f>VLOOKUP(I48,[6]stage_hints!$A:$C,3,FALSE)</f>
        <v>スキルレベルアップ</v>
      </c>
      <c r="L48" s="76" t="str">
        <f>VLOOKUP(I48,[6]stage_hints!$A:$D,4,FALSE)</f>
        <v>「クリスタルのりんご」を強化に使うと_x000D_スキルレベルを上げることができます</v>
      </c>
      <c r="M48" s="41" t="s">
        <v>212</v>
      </c>
    </row>
    <row r="49" spans="1:13" x14ac:dyDescent="0.15">
      <c r="A49" s="62" t="s">
        <v>200</v>
      </c>
      <c r="B49" s="63">
        <f>floors!$C$2</f>
        <v>20019</v>
      </c>
      <c r="C49" s="64" t="str">
        <f ca="1">VLOOKUP($B49,OFFSET([2]quests!$A$1,0,0,COUNTA([2]quests!$A:$A),MATCH(C$1,[2]quests!$1:$1,0)-MATCH($B$1,[2]quests!$1:$1,0)+1),MATCH(C$1,[2]quests!$1:$1,0)-MATCH($B$1,[2]quests!$1:$1,0)+1,FALSE)</f>
        <v>平安編０１（仮）</v>
      </c>
      <c r="D49" s="64" t="str">
        <f ca="1">VLOOKUP($B49,OFFSET([2]quests!$A$1,0,0,COUNTA([2]quests!$A:$A),MATCH(D$1,[2]quests!$1:$1,0)-MATCH($B$1,[2]quests!$1:$1,0)+1),MATCH(D$1,[2]quests!$1:$1,0)-MATCH($B$1,[2]quests!$1:$1,0)+1,FALSE)</f>
        <v>平安01</v>
      </c>
      <c r="E49" s="68">
        <v>2</v>
      </c>
      <c r="F49" s="64" t="str">
        <f ca="1">VLOOKUP($B49&amp;"_"&amp;$E49,OFFSET([2]stages!$A$1,0,0,COUNTA([2]stages!$A:$A),MATCH(F$1,[2]stages!$2:$2,0)-MATCH("temp_stage",[2]stages!$2:$2,0)+1),MATCH(F$1,[2]stages!$2:$2,0)-MATCH("temp_stage",[2]stages!$2:$2,0)+1,FALSE)</f>
        <v>【中級】平安編０１（仮）</v>
      </c>
      <c r="G49" s="64" t="str">
        <f ca="1">VLOOKUP($B49&amp;"_"&amp;$E49,OFFSET([2]stages!$A$1,0,0,COUNTA([2]stages!$A:$A),MATCH(G$1,[2]stages!$2:$2,0)-MATCH("temp_stage",[2]stages!$2:$2,0)+1),MATCH(G$1,[2]stages!$2:$2,0)-MATCH("temp_stage",[2]stages!$2:$2,0)+1,FALSE)</f>
        <v>平安01</v>
      </c>
      <c r="H49" s="66">
        <v>0</v>
      </c>
      <c r="I49">
        <v>26</v>
      </c>
      <c r="J49" s="65" t="s">
        <v>197</v>
      </c>
      <c r="K49" s="75" t="str">
        <f>VLOOKUP(I49,[6]stage_hints!$A:$C,3,FALSE)</f>
        <v>スキルレベルの効果</v>
      </c>
      <c r="L49" s="76" t="str">
        <f>VLOOKUP(I49,[6]stage_hints!$A:$D,4,FALSE)</f>
        <v>スキルレベルが上がると_x000D_短いターンでスキルを使うことができます</v>
      </c>
      <c r="M49" s="41" t="s">
        <v>212</v>
      </c>
    </row>
    <row r="50" spans="1:13" x14ac:dyDescent="0.15">
      <c r="A50" s="62" t="s">
        <v>200</v>
      </c>
      <c r="B50" s="63">
        <f>floors!$C$2</f>
        <v>20019</v>
      </c>
      <c r="C50" s="64" t="str">
        <f ca="1">VLOOKUP($B50,OFFSET([2]quests!$A$1,0,0,COUNTA([2]quests!$A:$A),MATCH(C$1,[2]quests!$1:$1,0)-MATCH($B$1,[2]quests!$1:$1,0)+1),MATCH(C$1,[2]quests!$1:$1,0)-MATCH($B$1,[2]quests!$1:$1,0)+1,FALSE)</f>
        <v>平安編０１（仮）</v>
      </c>
      <c r="D50" s="64" t="str">
        <f ca="1">VLOOKUP($B50,OFFSET([2]quests!$A$1,0,0,COUNTA([2]quests!$A:$A),MATCH(D$1,[2]quests!$1:$1,0)-MATCH($B$1,[2]quests!$1:$1,0)+1),MATCH(D$1,[2]quests!$1:$1,0)-MATCH($B$1,[2]quests!$1:$1,0)+1,FALSE)</f>
        <v>平安01</v>
      </c>
      <c r="E50" s="68">
        <v>2</v>
      </c>
      <c r="F50" s="64" t="str">
        <f ca="1">VLOOKUP($B50&amp;"_"&amp;$E50,OFFSET([2]stages!$A$1,0,0,COUNTA([2]stages!$A:$A),MATCH(F$1,[2]stages!$2:$2,0)-MATCH("temp_stage",[2]stages!$2:$2,0)+1),MATCH(F$1,[2]stages!$2:$2,0)-MATCH("temp_stage",[2]stages!$2:$2,0)+1,FALSE)</f>
        <v>【中級】平安編０１（仮）</v>
      </c>
      <c r="G50" s="64" t="str">
        <f ca="1">VLOOKUP($B50&amp;"_"&amp;$E50,OFFSET([2]stages!$A$1,0,0,COUNTA([2]stages!$A:$A),MATCH(G$1,[2]stages!$2:$2,0)-MATCH("temp_stage",[2]stages!$2:$2,0)+1),MATCH(G$1,[2]stages!$2:$2,0)-MATCH("temp_stage",[2]stages!$2:$2,0)+1,FALSE)</f>
        <v>平安01</v>
      </c>
      <c r="H50" s="66">
        <v>0</v>
      </c>
      <c r="I50">
        <v>27</v>
      </c>
      <c r="J50" s="65" t="s">
        <v>197</v>
      </c>
      <c r="K50" s="75" t="str">
        <f>VLOOKUP(I50,[6]stage_hints!$A:$C,3,FALSE)</f>
        <v>ホーム画面からデッキを編成</v>
      </c>
      <c r="L50" s="76" t="str">
        <f>VLOOKUP(I50,[6]stage_hints!$A:$D,4,FALSE)</f>
        <v>ホーム画面でユニットを長押しすると_x000D_すぐにパーティ編成に移動できます</v>
      </c>
      <c r="M50" s="41" t="s">
        <v>212</v>
      </c>
    </row>
    <row r="51" spans="1:13" x14ac:dyDescent="0.15">
      <c r="A51" s="62" t="s">
        <v>200</v>
      </c>
      <c r="B51" s="63">
        <f>floors!$C$2</f>
        <v>20019</v>
      </c>
      <c r="C51" s="64" t="str">
        <f ca="1">VLOOKUP($B51,OFFSET([2]quests!$A$1,0,0,COUNTA([2]quests!$A:$A),MATCH(C$1,[2]quests!$1:$1,0)-MATCH($B$1,[2]quests!$1:$1,0)+1),MATCH(C$1,[2]quests!$1:$1,0)-MATCH($B$1,[2]quests!$1:$1,0)+1,FALSE)</f>
        <v>平安編０１（仮）</v>
      </c>
      <c r="D51" s="64" t="str">
        <f ca="1">VLOOKUP($B51,OFFSET([2]quests!$A$1,0,0,COUNTA([2]quests!$A:$A),MATCH(D$1,[2]quests!$1:$1,0)-MATCH($B$1,[2]quests!$1:$1,0)+1),MATCH(D$1,[2]quests!$1:$1,0)-MATCH($B$1,[2]quests!$1:$1,0)+1,FALSE)</f>
        <v>平安01</v>
      </c>
      <c r="E51" s="68">
        <v>2</v>
      </c>
      <c r="F51" s="64" t="str">
        <f ca="1">VLOOKUP($B51&amp;"_"&amp;$E51,OFFSET([2]stages!$A$1,0,0,COUNTA([2]stages!$A:$A),MATCH(F$1,[2]stages!$2:$2,0)-MATCH("temp_stage",[2]stages!$2:$2,0)+1),MATCH(F$1,[2]stages!$2:$2,0)-MATCH("temp_stage",[2]stages!$2:$2,0)+1,FALSE)</f>
        <v>【中級】平安編０１（仮）</v>
      </c>
      <c r="G51" s="64" t="str">
        <f ca="1">VLOOKUP($B51&amp;"_"&amp;$E51,OFFSET([2]stages!$A$1,0,0,COUNTA([2]stages!$A:$A),MATCH(G$1,[2]stages!$2:$2,0)-MATCH("temp_stage",[2]stages!$2:$2,0)+1),MATCH(G$1,[2]stages!$2:$2,0)-MATCH("temp_stage",[2]stages!$2:$2,0)+1,FALSE)</f>
        <v>平安01</v>
      </c>
      <c r="H51" s="66">
        <v>0</v>
      </c>
      <c r="I51">
        <v>28</v>
      </c>
      <c r="J51" s="65" t="s">
        <v>197</v>
      </c>
      <c r="K51" s="75" t="str">
        <f>VLOOKUP(I51,[6]stage_hints!$A:$C,3,FALSE)</f>
        <v>ステータス情報は長押しで</v>
      </c>
      <c r="L51" s="76" t="str">
        <f>VLOOKUP(I51,[6]stage_hints!$A:$D,4,FALSE)</f>
        <v>ユニットのアイコンを長押しすると_x000D_ステータス情報を確認することができます</v>
      </c>
      <c r="M51" s="41" t="s">
        <v>212</v>
      </c>
    </row>
    <row r="52" spans="1:13" x14ac:dyDescent="0.15">
      <c r="A52" s="62" t="s">
        <v>200</v>
      </c>
      <c r="B52" s="63">
        <f>floors!$C$2</f>
        <v>20019</v>
      </c>
      <c r="C52" s="64" t="str">
        <f ca="1">VLOOKUP($B52,OFFSET([2]quests!$A$1,0,0,COUNTA([2]quests!$A:$A),MATCH(C$1,[2]quests!$1:$1,0)-MATCH($B$1,[2]quests!$1:$1,0)+1),MATCH(C$1,[2]quests!$1:$1,0)-MATCH($B$1,[2]quests!$1:$1,0)+1,FALSE)</f>
        <v>平安編０１（仮）</v>
      </c>
      <c r="D52" s="64" t="str">
        <f ca="1">VLOOKUP($B52,OFFSET([2]quests!$A$1,0,0,COUNTA([2]quests!$A:$A),MATCH(D$1,[2]quests!$1:$1,0)-MATCH($B$1,[2]quests!$1:$1,0)+1),MATCH(D$1,[2]quests!$1:$1,0)-MATCH($B$1,[2]quests!$1:$1,0)+1,FALSE)</f>
        <v>平安01</v>
      </c>
      <c r="E52" s="68">
        <v>2</v>
      </c>
      <c r="F52" s="64" t="str">
        <f ca="1">VLOOKUP($B52&amp;"_"&amp;$E52,OFFSET([2]stages!$A$1,0,0,COUNTA([2]stages!$A:$A),MATCH(F$1,[2]stages!$2:$2,0)-MATCH("temp_stage",[2]stages!$2:$2,0)+1),MATCH(F$1,[2]stages!$2:$2,0)-MATCH("temp_stage",[2]stages!$2:$2,0)+1,FALSE)</f>
        <v>【中級】平安編０１（仮）</v>
      </c>
      <c r="G52" s="64" t="str">
        <f ca="1">VLOOKUP($B52&amp;"_"&amp;$E52,OFFSET([2]stages!$A$1,0,0,COUNTA([2]stages!$A:$A),MATCH(G$1,[2]stages!$2:$2,0)-MATCH("temp_stage",[2]stages!$2:$2,0)+1),MATCH(G$1,[2]stages!$2:$2,0)-MATCH("temp_stage",[2]stages!$2:$2,0)+1,FALSE)</f>
        <v>平安01</v>
      </c>
      <c r="H52" s="66">
        <v>0</v>
      </c>
      <c r="I52">
        <v>29</v>
      </c>
      <c r="J52" s="65" t="s">
        <v>197</v>
      </c>
      <c r="K52" s="75" t="str">
        <f>VLOOKUP(I52,[6]stage_hints!$A:$C,3,FALSE)</f>
        <v>「バグ」のメリット</v>
      </c>
      <c r="L52" s="76" t="str">
        <f>VLOOKUP(I52,[6]stage_hints!$A:$D,4,FALSE)</f>
        <v>ユニットの「バグ」を増やすと_x000D_報酬をもらえる確率がアップします</v>
      </c>
      <c r="M52" s="41" t="s">
        <v>212</v>
      </c>
    </row>
    <row r="53" spans="1:13" x14ac:dyDescent="0.15">
      <c r="A53" s="62" t="s">
        <v>200</v>
      </c>
      <c r="B53" s="63">
        <f>floors!$C$2</f>
        <v>20019</v>
      </c>
      <c r="C53" s="64" t="str">
        <f ca="1">VLOOKUP($B53,OFFSET([2]quests!$A$1,0,0,COUNTA([2]quests!$A:$A),MATCH(C$1,[2]quests!$1:$1,0)-MATCH($B$1,[2]quests!$1:$1,0)+1),MATCH(C$1,[2]quests!$1:$1,0)-MATCH($B$1,[2]quests!$1:$1,0)+1,FALSE)</f>
        <v>平安編０１（仮）</v>
      </c>
      <c r="D53" s="64" t="str">
        <f ca="1">VLOOKUP($B53,OFFSET([2]quests!$A$1,0,0,COUNTA([2]quests!$A:$A),MATCH(D$1,[2]quests!$1:$1,0)-MATCH($B$1,[2]quests!$1:$1,0)+1),MATCH(D$1,[2]quests!$1:$1,0)-MATCH($B$1,[2]quests!$1:$1,0)+1,FALSE)</f>
        <v>平安01</v>
      </c>
      <c r="E53" s="68">
        <v>2</v>
      </c>
      <c r="F53" s="64" t="str">
        <f ca="1">VLOOKUP($B53&amp;"_"&amp;$E53,OFFSET([2]stages!$A$1,0,0,COUNTA([2]stages!$A:$A),MATCH(F$1,[2]stages!$2:$2,0)-MATCH("temp_stage",[2]stages!$2:$2,0)+1),MATCH(F$1,[2]stages!$2:$2,0)-MATCH("temp_stage",[2]stages!$2:$2,0)+1,FALSE)</f>
        <v>【中級】平安編０１（仮）</v>
      </c>
      <c r="G53" s="64" t="str">
        <f ca="1">VLOOKUP($B53&amp;"_"&amp;$E53,OFFSET([2]stages!$A$1,0,0,COUNTA([2]stages!$A:$A),MATCH(G$1,[2]stages!$2:$2,0)-MATCH("temp_stage",[2]stages!$2:$2,0)+1),MATCH(G$1,[2]stages!$2:$2,0)-MATCH("temp_stage",[2]stages!$2:$2,0)+1,FALSE)</f>
        <v>平安01</v>
      </c>
      <c r="H53" s="66">
        <v>0</v>
      </c>
      <c r="I53">
        <v>30</v>
      </c>
      <c r="J53" s="65" t="s">
        <v>197</v>
      </c>
      <c r="K53" s="75" t="str">
        <f>VLOOKUP(I53,[6]stage_hints!$A:$C,3,FALSE)</f>
        <v>「バグ」の増やし方</v>
      </c>
      <c r="L53" s="76" t="str">
        <f>VLOOKUP(I53,[6]stage_hints!$A:$D,4,FALSE)</f>
        <v>同じユニット同士を強化で合成すると_x000D_「バグ」を増やすことができます</v>
      </c>
      <c r="M53" s="41" t="s">
        <v>212</v>
      </c>
    </row>
    <row r="54" spans="1:13" x14ac:dyDescent="0.15">
      <c r="A54" s="62" t="s">
        <v>200</v>
      </c>
      <c r="B54" s="63">
        <f>floors!$C$2</f>
        <v>20019</v>
      </c>
      <c r="C54" s="64" t="str">
        <f ca="1">VLOOKUP($B54,OFFSET([2]quests!$A$1,0,0,COUNTA([2]quests!$A:$A),MATCH(C$1,[2]quests!$1:$1,0)-MATCH($B$1,[2]quests!$1:$1,0)+1),MATCH(C$1,[2]quests!$1:$1,0)-MATCH($B$1,[2]quests!$1:$1,0)+1,FALSE)</f>
        <v>平安編０１（仮）</v>
      </c>
      <c r="D54" s="64" t="str">
        <f ca="1">VLOOKUP($B54,OFFSET([2]quests!$A$1,0,0,COUNTA([2]quests!$A:$A),MATCH(D$1,[2]quests!$1:$1,0)-MATCH($B$1,[2]quests!$1:$1,0)+1),MATCH(D$1,[2]quests!$1:$1,0)-MATCH($B$1,[2]quests!$1:$1,0)+1,FALSE)</f>
        <v>平安01</v>
      </c>
      <c r="E54" s="68">
        <v>2</v>
      </c>
      <c r="F54" s="64" t="str">
        <f ca="1">VLOOKUP($B54&amp;"_"&amp;$E54,OFFSET([2]stages!$A$1,0,0,COUNTA([2]stages!$A:$A),MATCH(F$1,[2]stages!$2:$2,0)-MATCH("temp_stage",[2]stages!$2:$2,0)+1),MATCH(F$1,[2]stages!$2:$2,0)-MATCH("temp_stage",[2]stages!$2:$2,0)+1,FALSE)</f>
        <v>【中級】平安編０１（仮）</v>
      </c>
      <c r="G54" s="64" t="str">
        <f ca="1">VLOOKUP($B54&amp;"_"&amp;$E54,OFFSET([2]stages!$A$1,0,0,COUNTA([2]stages!$A:$A),MATCH(G$1,[2]stages!$2:$2,0)-MATCH("temp_stage",[2]stages!$2:$2,0)+1),MATCH(G$1,[2]stages!$2:$2,0)-MATCH("temp_stage",[2]stages!$2:$2,0)+1,FALSE)</f>
        <v>平安01</v>
      </c>
      <c r="H54" s="66">
        <v>0</v>
      </c>
      <c r="I54">
        <v>31</v>
      </c>
      <c r="J54" s="65" t="s">
        <v>197</v>
      </c>
      <c r="K54" s="75" t="str">
        <f>VLOOKUP(I54,[6]stage_hints!$A:$C,3,FALSE)</f>
        <v>イベントはお知らせでチェック</v>
      </c>
      <c r="L54" s="76" t="str">
        <f>VLOOKUP(I54,[6]stage_hints!$A:$D,4,FALSE)</f>
        <v>イベント限定ユニットを取り忘れないように_x000D_お知らせをこまめにチェックしましょう</v>
      </c>
      <c r="M54" s="41" t="s">
        <v>212</v>
      </c>
    </row>
    <row r="55" spans="1:13" x14ac:dyDescent="0.15">
      <c r="A55" s="62" t="s">
        <v>200</v>
      </c>
      <c r="B55" s="63">
        <f>floors!$C$2</f>
        <v>20019</v>
      </c>
      <c r="C55" s="64" t="str">
        <f ca="1">VLOOKUP($B55,OFFSET([2]quests!$A$1,0,0,COUNTA([2]quests!$A:$A),MATCH(C$1,[2]quests!$1:$1,0)-MATCH($B$1,[2]quests!$1:$1,0)+1),MATCH(C$1,[2]quests!$1:$1,0)-MATCH($B$1,[2]quests!$1:$1,0)+1,FALSE)</f>
        <v>平安編０１（仮）</v>
      </c>
      <c r="D55" s="64" t="str">
        <f ca="1">VLOOKUP($B55,OFFSET([2]quests!$A$1,0,0,COUNTA([2]quests!$A:$A),MATCH(D$1,[2]quests!$1:$1,0)-MATCH($B$1,[2]quests!$1:$1,0)+1),MATCH(D$1,[2]quests!$1:$1,0)-MATCH($B$1,[2]quests!$1:$1,0)+1,FALSE)</f>
        <v>平安01</v>
      </c>
      <c r="E55" s="68">
        <v>2</v>
      </c>
      <c r="F55" s="64" t="str">
        <f ca="1">VLOOKUP($B55&amp;"_"&amp;$E55,OFFSET([2]stages!$A$1,0,0,COUNTA([2]stages!$A:$A),MATCH(F$1,[2]stages!$2:$2,0)-MATCH("temp_stage",[2]stages!$2:$2,0)+1),MATCH(F$1,[2]stages!$2:$2,0)-MATCH("temp_stage",[2]stages!$2:$2,0)+1,FALSE)</f>
        <v>【中級】平安編０１（仮）</v>
      </c>
      <c r="G55" s="64" t="str">
        <f ca="1">VLOOKUP($B55&amp;"_"&amp;$E55,OFFSET([2]stages!$A$1,0,0,COUNTA([2]stages!$A:$A),MATCH(G$1,[2]stages!$2:$2,0)-MATCH("temp_stage",[2]stages!$2:$2,0)+1),MATCH(G$1,[2]stages!$2:$2,0)-MATCH("temp_stage",[2]stages!$2:$2,0)+1,FALSE)</f>
        <v>平安01</v>
      </c>
      <c r="H55" s="66">
        <v>0</v>
      </c>
      <c r="I55">
        <v>32</v>
      </c>
      <c r="J55" s="65" t="s">
        <v>197</v>
      </c>
      <c r="K55" s="75" t="str">
        <f>VLOOKUP(I55,[6]stage_hints!$A:$C,3,FALSE)</f>
        <v>敵の連続攻撃には</v>
      </c>
      <c r="L55" s="76" t="str">
        <f>VLOOKUP(I55,[6]stage_hints!$A:$D,4,FALSE)</f>
        <v>カウンタースキルを持つユニットがいれば_x000D_ダメージ回数分の反撃ができます</v>
      </c>
      <c r="M55" s="41" t="s">
        <v>212</v>
      </c>
    </row>
    <row r="56" spans="1:13" x14ac:dyDescent="0.15">
      <c r="A56" s="62" t="s">
        <v>200</v>
      </c>
      <c r="B56" s="63">
        <f>floors!$C$2</f>
        <v>20019</v>
      </c>
      <c r="C56" s="64" t="str">
        <f ca="1">VLOOKUP($B56,OFFSET([2]quests!$A$1,0,0,COUNTA([2]quests!$A:$A),MATCH(C$1,[2]quests!$1:$1,0)-MATCH($B$1,[2]quests!$1:$1,0)+1),MATCH(C$1,[2]quests!$1:$1,0)-MATCH($B$1,[2]quests!$1:$1,0)+1,FALSE)</f>
        <v>平安編０１（仮）</v>
      </c>
      <c r="D56" s="64" t="str">
        <f ca="1">VLOOKUP($B56,OFFSET([2]quests!$A$1,0,0,COUNTA([2]quests!$A:$A),MATCH(D$1,[2]quests!$1:$1,0)-MATCH($B$1,[2]quests!$1:$1,0)+1),MATCH(D$1,[2]quests!$1:$1,0)-MATCH($B$1,[2]quests!$1:$1,0)+1,FALSE)</f>
        <v>平安01</v>
      </c>
      <c r="E56" s="68">
        <v>2</v>
      </c>
      <c r="F56" s="64" t="str">
        <f ca="1">VLOOKUP($B56&amp;"_"&amp;$E56,OFFSET([2]stages!$A$1,0,0,COUNTA([2]stages!$A:$A),MATCH(F$1,[2]stages!$2:$2,0)-MATCH("temp_stage",[2]stages!$2:$2,0)+1),MATCH(F$1,[2]stages!$2:$2,0)-MATCH("temp_stage",[2]stages!$2:$2,0)+1,FALSE)</f>
        <v>【中級】平安編０１（仮）</v>
      </c>
      <c r="G56" s="64" t="str">
        <f ca="1">VLOOKUP($B56&amp;"_"&amp;$E56,OFFSET([2]stages!$A$1,0,0,COUNTA([2]stages!$A:$A),MATCH(G$1,[2]stages!$2:$2,0)-MATCH("temp_stage",[2]stages!$2:$2,0)+1),MATCH(G$1,[2]stages!$2:$2,0)-MATCH("temp_stage",[2]stages!$2:$2,0)+1,FALSE)</f>
        <v>平安01</v>
      </c>
      <c r="H56" s="66">
        <v>0</v>
      </c>
      <c r="I56">
        <v>33</v>
      </c>
      <c r="J56" s="65" t="s">
        <v>197</v>
      </c>
      <c r="K56" s="75" t="str">
        <f>VLOOKUP(I56,[6]stage_hints!$A:$C,3,FALSE)</f>
        <v>敵のカウンター攻撃には</v>
      </c>
      <c r="L56" s="76" t="str">
        <f>VLOOKUP(I56,[6]stage_hints!$A:$D,4,FALSE)</f>
        <v>カウンターブレイクスキルを持っていれば_x000D_敵のカウンターを解除して攻撃ができます</v>
      </c>
      <c r="M56" s="41" t="s">
        <v>212</v>
      </c>
    </row>
    <row r="57" spans="1:13" x14ac:dyDescent="0.15">
      <c r="A57" s="62" t="s">
        <v>200</v>
      </c>
      <c r="B57" s="63">
        <f>floors!$C$2</f>
        <v>20019</v>
      </c>
      <c r="C57" s="64" t="str">
        <f ca="1">VLOOKUP($B57,OFFSET([2]quests!$A$1,0,0,COUNTA([2]quests!$A:$A),MATCH(C$1,[2]quests!$1:$1,0)-MATCH($B$1,[2]quests!$1:$1,0)+1),MATCH(C$1,[2]quests!$1:$1,0)-MATCH($B$1,[2]quests!$1:$1,0)+1,FALSE)</f>
        <v>平安編０１（仮）</v>
      </c>
      <c r="D57" s="64" t="str">
        <f ca="1">VLOOKUP($B57,OFFSET([2]quests!$A$1,0,0,COUNTA([2]quests!$A:$A),MATCH(D$1,[2]quests!$1:$1,0)-MATCH($B$1,[2]quests!$1:$1,0)+1),MATCH(D$1,[2]quests!$1:$1,0)-MATCH($B$1,[2]quests!$1:$1,0)+1,FALSE)</f>
        <v>平安01</v>
      </c>
      <c r="E57" s="68">
        <v>2</v>
      </c>
      <c r="F57" s="64" t="str">
        <f ca="1">VLOOKUP($B57&amp;"_"&amp;$E57,OFFSET([2]stages!$A$1,0,0,COUNTA([2]stages!$A:$A),MATCH(F$1,[2]stages!$2:$2,0)-MATCH("temp_stage",[2]stages!$2:$2,0)+1),MATCH(F$1,[2]stages!$2:$2,0)-MATCH("temp_stage",[2]stages!$2:$2,0)+1,FALSE)</f>
        <v>【中級】平安編０１（仮）</v>
      </c>
      <c r="G57" s="64" t="str">
        <f ca="1">VLOOKUP($B57&amp;"_"&amp;$E57,OFFSET([2]stages!$A$1,0,0,COUNTA([2]stages!$A:$A),MATCH(G$1,[2]stages!$2:$2,0)-MATCH("temp_stage",[2]stages!$2:$2,0)+1),MATCH(G$1,[2]stages!$2:$2,0)-MATCH("temp_stage",[2]stages!$2:$2,0)+1,FALSE)</f>
        <v>平安01</v>
      </c>
      <c r="H57" s="66">
        <v>0</v>
      </c>
      <c r="I57">
        <v>34</v>
      </c>
      <c r="J57" s="65" t="s">
        <v>197</v>
      </c>
      <c r="K57" s="75" t="str">
        <f>VLOOKUP(I57,[6]stage_hints!$A:$C,3,FALSE)</f>
        <v>ステータスをスキルで下げられたら</v>
      </c>
      <c r="L57" s="76" t="str">
        <f>VLOOKUP(I57,[6]stage_hints!$A:$D,4,FALSE)</f>
        <v>ステータスダウンのスキルを受けたら_x000D_ステータスアップスキルで上書きしましょう</v>
      </c>
      <c r="M57" s="41" t="s">
        <v>212</v>
      </c>
    </row>
    <row r="58" spans="1:13" x14ac:dyDescent="0.15">
      <c r="A58" s="62" t="s">
        <v>200</v>
      </c>
      <c r="B58" s="63">
        <f>floors!$C$2</f>
        <v>20019</v>
      </c>
      <c r="C58" s="64" t="str">
        <f ca="1">VLOOKUP($B58,OFFSET([2]quests!$A$1,0,0,COUNTA([2]quests!$A:$A),MATCH(C$1,[2]quests!$1:$1,0)-MATCH($B$1,[2]quests!$1:$1,0)+1),MATCH(C$1,[2]quests!$1:$1,0)-MATCH($B$1,[2]quests!$1:$1,0)+1,FALSE)</f>
        <v>平安編０１（仮）</v>
      </c>
      <c r="D58" s="64" t="str">
        <f ca="1">VLOOKUP($B58,OFFSET([2]quests!$A$1,0,0,COUNTA([2]quests!$A:$A),MATCH(D$1,[2]quests!$1:$1,0)-MATCH($B$1,[2]quests!$1:$1,0)+1),MATCH(D$1,[2]quests!$1:$1,0)-MATCH($B$1,[2]quests!$1:$1,0)+1,FALSE)</f>
        <v>平安01</v>
      </c>
      <c r="E58" s="68">
        <v>2</v>
      </c>
      <c r="F58" s="64" t="str">
        <f ca="1">VLOOKUP($B58&amp;"_"&amp;$E58,OFFSET([2]stages!$A$1,0,0,COUNTA([2]stages!$A:$A),MATCH(F$1,[2]stages!$2:$2,0)-MATCH("temp_stage",[2]stages!$2:$2,0)+1),MATCH(F$1,[2]stages!$2:$2,0)-MATCH("temp_stage",[2]stages!$2:$2,0)+1,FALSE)</f>
        <v>【中級】平安編０１（仮）</v>
      </c>
      <c r="G58" s="64" t="str">
        <f ca="1">VLOOKUP($B58&amp;"_"&amp;$E58,OFFSET([2]stages!$A$1,0,0,COUNTA([2]stages!$A:$A),MATCH(G$1,[2]stages!$2:$2,0)-MATCH("temp_stage",[2]stages!$2:$2,0)+1),MATCH(G$1,[2]stages!$2:$2,0)-MATCH("temp_stage",[2]stages!$2:$2,0)+1,FALSE)</f>
        <v>平安01</v>
      </c>
      <c r="H58" s="66">
        <v>0</v>
      </c>
      <c r="I58">
        <v>35</v>
      </c>
      <c r="J58" s="65" t="s">
        <v>197</v>
      </c>
      <c r="K58" s="75" t="str">
        <f>VLOOKUP(I58,[6]stage_hints!$A:$C,3,FALSE)</f>
        <v>敵のステータスがスキルで上がったら</v>
      </c>
      <c r="L58" s="76" t="str">
        <f>VLOOKUP(I58,[6]stage_hints!$A:$D,4,FALSE)</f>
        <v>敵のステータスがスキルでアップしたときは_x000D_ステータスダウンスキルで上書きしましょう</v>
      </c>
      <c r="M58" s="41" t="s">
        <v>212</v>
      </c>
    </row>
    <row r="59" spans="1:13" x14ac:dyDescent="0.15">
      <c r="A59" s="62" t="s">
        <v>200</v>
      </c>
      <c r="B59" s="63">
        <f>floors!$C$2</f>
        <v>20019</v>
      </c>
      <c r="C59" s="64" t="str">
        <f ca="1">VLOOKUP($B59,OFFSET([2]quests!$A$1,0,0,COUNTA([2]quests!$A:$A),MATCH(C$1,[2]quests!$1:$1,0)-MATCH($B$1,[2]quests!$1:$1,0)+1),MATCH(C$1,[2]quests!$1:$1,0)-MATCH($B$1,[2]quests!$1:$1,0)+1,FALSE)</f>
        <v>平安編０１（仮）</v>
      </c>
      <c r="D59" s="64" t="str">
        <f ca="1">VLOOKUP($B59,OFFSET([2]quests!$A$1,0,0,COUNTA([2]quests!$A:$A),MATCH(D$1,[2]quests!$1:$1,0)-MATCH($B$1,[2]quests!$1:$1,0)+1),MATCH(D$1,[2]quests!$1:$1,0)-MATCH($B$1,[2]quests!$1:$1,0)+1,FALSE)</f>
        <v>平安01</v>
      </c>
      <c r="E59" s="68">
        <v>2</v>
      </c>
      <c r="F59" s="64" t="str">
        <f ca="1">VLOOKUP($B59&amp;"_"&amp;$E59,OFFSET([2]stages!$A$1,0,0,COUNTA([2]stages!$A:$A),MATCH(F$1,[2]stages!$2:$2,0)-MATCH("temp_stage",[2]stages!$2:$2,0)+1),MATCH(F$1,[2]stages!$2:$2,0)-MATCH("temp_stage",[2]stages!$2:$2,0)+1,FALSE)</f>
        <v>【中級】平安編０１（仮）</v>
      </c>
      <c r="G59" s="64" t="str">
        <f ca="1">VLOOKUP($B59&amp;"_"&amp;$E59,OFFSET([2]stages!$A$1,0,0,COUNTA([2]stages!$A:$A),MATCH(G$1,[2]stages!$2:$2,0)-MATCH("temp_stage",[2]stages!$2:$2,0)+1),MATCH(G$1,[2]stages!$2:$2,0)-MATCH("temp_stage",[2]stages!$2:$2,0)+1,FALSE)</f>
        <v>平安01</v>
      </c>
      <c r="H59" s="66">
        <v>0</v>
      </c>
      <c r="I59">
        <v>39</v>
      </c>
      <c r="J59" s="65" t="s">
        <v>197</v>
      </c>
      <c r="K59" s="75" t="str">
        <f>VLOOKUP(I59,[6]stage_hints!$A:$C,3,FALSE)</f>
        <v>システム適合者を確認</v>
      </c>
      <c r="L59" s="76" t="str">
        <f>VLOOKUP(I59,[6]stage_hints!$A:$D,4,FALSE)</f>
        <v>ALICEが 「アナタ」を呼んでいます</v>
      </c>
      <c r="M59" s="41" t="s">
        <v>212</v>
      </c>
    </row>
    <row r="60" spans="1:13" x14ac:dyDescent="0.15">
      <c r="A60" s="62" t="s">
        <v>200</v>
      </c>
      <c r="B60" s="63">
        <f>floors!$C$2</f>
        <v>20019</v>
      </c>
      <c r="C60" s="64" t="str">
        <f ca="1">VLOOKUP($B60,OFFSET([2]quests!$A$1,0,0,COUNTA([2]quests!$A:$A),MATCH(C$1,[2]quests!$1:$1,0)-MATCH($B$1,[2]quests!$1:$1,0)+1),MATCH(C$1,[2]quests!$1:$1,0)-MATCH($B$1,[2]quests!$1:$1,0)+1,FALSE)</f>
        <v>平安編０１（仮）</v>
      </c>
      <c r="D60" s="64" t="str">
        <f ca="1">VLOOKUP($B60,OFFSET([2]quests!$A$1,0,0,COUNTA([2]quests!$A:$A),MATCH(D$1,[2]quests!$1:$1,0)-MATCH($B$1,[2]quests!$1:$1,0)+1),MATCH(D$1,[2]quests!$1:$1,0)-MATCH($B$1,[2]quests!$1:$1,0)+1,FALSE)</f>
        <v>平安01</v>
      </c>
      <c r="E60" s="68">
        <v>3</v>
      </c>
      <c r="F60" s="64" t="str">
        <f ca="1">VLOOKUP($B60&amp;"_"&amp;$E60,OFFSET([2]stages!$A$1,0,0,COUNTA([2]stages!$A:$A),MATCH(F$1,[2]stages!$2:$2,0)-MATCH("temp_stage",[2]stages!$2:$2,0)+1),MATCH(F$1,[2]stages!$2:$2,0)-MATCH("temp_stage",[2]stages!$2:$2,0)+1,FALSE)</f>
        <v>【上級】平安編０１（仮）</v>
      </c>
      <c r="G60" s="64" t="str">
        <f ca="1">VLOOKUP($B60&amp;"_"&amp;$E60,OFFSET([2]stages!$A$1,0,0,COUNTA([2]stages!$A:$A),MATCH(G$1,[2]stages!$2:$2,0)-MATCH("temp_stage",[2]stages!$2:$2,0)+1),MATCH(G$1,[2]stages!$2:$2,0)-MATCH("temp_stage",[2]stages!$2:$2,0)+1,FALSE)</f>
        <v>平安01</v>
      </c>
      <c r="H60" s="66">
        <v>0</v>
      </c>
      <c r="I60" s="78">
        <v>3</v>
      </c>
      <c r="J60" s="65" t="s">
        <v>197</v>
      </c>
      <c r="K60" s="75" t="str">
        <f>VLOOKUP(I60,[6]stage_hints!$A:$C,3,FALSE)</f>
        <v>ターゲット</v>
      </c>
      <c r="L60" s="76" t="str">
        <f>VLOOKUP(I60,[6]stage_hints!$A:$D,4,FALSE)</f>
        <v>敵ユニットをタップすると_x000D_その敵を狙い撃ちできます</v>
      </c>
      <c r="M60" s="41" t="s">
        <v>212</v>
      </c>
    </row>
    <row r="61" spans="1:13" x14ac:dyDescent="0.15">
      <c r="A61" s="62" t="s">
        <v>200</v>
      </c>
      <c r="B61" s="63">
        <f>floors!$C$2</f>
        <v>20019</v>
      </c>
      <c r="C61" s="64" t="str">
        <f ca="1">VLOOKUP($B61,OFFSET([2]quests!$A$1,0,0,COUNTA([2]quests!$A:$A),MATCH(C$1,[2]quests!$1:$1,0)-MATCH($B$1,[2]quests!$1:$1,0)+1),MATCH(C$1,[2]quests!$1:$1,0)-MATCH($B$1,[2]quests!$1:$1,0)+1,FALSE)</f>
        <v>平安編０１（仮）</v>
      </c>
      <c r="D61" s="64" t="str">
        <f ca="1">VLOOKUP($B61,OFFSET([2]quests!$A$1,0,0,COUNTA([2]quests!$A:$A),MATCH(D$1,[2]quests!$1:$1,0)-MATCH($B$1,[2]quests!$1:$1,0)+1),MATCH(D$1,[2]quests!$1:$1,0)-MATCH($B$1,[2]quests!$1:$1,0)+1,FALSE)</f>
        <v>平安01</v>
      </c>
      <c r="E61" s="68">
        <v>3</v>
      </c>
      <c r="F61" s="64" t="str">
        <f ca="1">VLOOKUP($B61&amp;"_"&amp;$E61,OFFSET([2]stages!$A$1,0,0,COUNTA([2]stages!$A:$A),MATCH(F$1,[2]stages!$2:$2,0)-MATCH("temp_stage",[2]stages!$2:$2,0)+1),MATCH(F$1,[2]stages!$2:$2,0)-MATCH("temp_stage",[2]stages!$2:$2,0)+1,FALSE)</f>
        <v>【上級】平安編０１（仮）</v>
      </c>
      <c r="G61" s="64" t="str">
        <f ca="1">VLOOKUP($B61&amp;"_"&amp;$E61,OFFSET([2]stages!$A$1,0,0,COUNTA([2]stages!$A:$A),MATCH(G$1,[2]stages!$2:$2,0)-MATCH("temp_stage",[2]stages!$2:$2,0)+1),MATCH(G$1,[2]stages!$2:$2,0)-MATCH("temp_stage",[2]stages!$2:$2,0)+1,FALSE)</f>
        <v>平安01</v>
      </c>
      <c r="H61" s="66">
        <v>0</v>
      </c>
      <c r="I61" s="78">
        <v>6</v>
      </c>
      <c r="J61" s="65" t="s">
        <v>197</v>
      </c>
      <c r="K61" s="75" t="str">
        <f>VLOOKUP(I61,[6]stage_hints!$A:$C,3,FALSE)</f>
        <v>ユニット強化の属性ボーナス</v>
      </c>
      <c r="L61" s="76" t="str">
        <f>VLOOKUP(I61,[6]stage_hints!$A:$D,4,FALSE)</f>
        <v>同属性ユニットを強化素材にすると_x000D_経験値が多くもらえます</v>
      </c>
      <c r="M61" s="41" t="s">
        <v>212</v>
      </c>
    </row>
    <row r="62" spans="1:13" x14ac:dyDescent="0.15">
      <c r="A62" s="62" t="s">
        <v>200</v>
      </c>
      <c r="B62" s="63">
        <f>floors!$C$2</f>
        <v>20019</v>
      </c>
      <c r="C62" s="64" t="str">
        <f ca="1">VLOOKUP($B62,OFFSET([2]quests!$A$1,0,0,COUNTA([2]quests!$A:$A),MATCH(C$1,[2]quests!$1:$1,0)-MATCH($B$1,[2]quests!$1:$1,0)+1),MATCH(C$1,[2]quests!$1:$1,0)-MATCH($B$1,[2]quests!$1:$1,0)+1,FALSE)</f>
        <v>平安編０１（仮）</v>
      </c>
      <c r="D62" s="64" t="str">
        <f ca="1">VLOOKUP($B62,OFFSET([2]quests!$A$1,0,0,COUNTA([2]quests!$A:$A),MATCH(D$1,[2]quests!$1:$1,0)-MATCH($B$1,[2]quests!$1:$1,0)+1),MATCH(D$1,[2]quests!$1:$1,0)-MATCH($B$1,[2]quests!$1:$1,0)+1,FALSE)</f>
        <v>平安01</v>
      </c>
      <c r="E62" s="68">
        <v>3</v>
      </c>
      <c r="F62" s="64" t="str">
        <f ca="1">VLOOKUP($B62&amp;"_"&amp;$E62,OFFSET([2]stages!$A$1,0,0,COUNTA([2]stages!$A:$A),MATCH(F$1,[2]stages!$2:$2,0)-MATCH("temp_stage",[2]stages!$2:$2,0)+1),MATCH(F$1,[2]stages!$2:$2,0)-MATCH("temp_stage",[2]stages!$2:$2,0)+1,FALSE)</f>
        <v>【上級】平安編０１（仮）</v>
      </c>
      <c r="G62" s="64" t="str">
        <f ca="1">VLOOKUP($B62&amp;"_"&amp;$E62,OFFSET([2]stages!$A$1,0,0,COUNTA([2]stages!$A:$A),MATCH(G$1,[2]stages!$2:$2,0)-MATCH("temp_stage",[2]stages!$2:$2,0)+1),MATCH(G$1,[2]stages!$2:$2,0)-MATCH("temp_stage",[2]stages!$2:$2,0)+1,FALSE)</f>
        <v>平安01</v>
      </c>
      <c r="H62" s="66">
        <v>0</v>
      </c>
      <c r="I62" s="78">
        <v>7</v>
      </c>
      <c r="J62" s="65" t="s">
        <v>197</v>
      </c>
      <c r="K62" s="75" t="str">
        <f>VLOOKUP(I62,[6]stage_hints!$A:$C,3,FALSE)</f>
        <v>メタルダックで経験値を獲得</v>
      </c>
      <c r="L62" s="76" t="str">
        <f>VLOOKUP(I62,[6]stage_hints!$A:$D,4,FALSE)</f>
        <v>「メタルなアヒル」を強化素材にすると_x000D_大量の経験値がもらえます</v>
      </c>
      <c r="M62" s="41" t="s">
        <v>212</v>
      </c>
    </row>
    <row r="63" spans="1:13" x14ac:dyDescent="0.15">
      <c r="A63" s="62" t="s">
        <v>200</v>
      </c>
      <c r="B63" s="63">
        <f>floors!$C$2</f>
        <v>20019</v>
      </c>
      <c r="C63" s="64" t="str">
        <f ca="1">VLOOKUP($B63,OFFSET([2]quests!$A$1,0,0,COUNTA([2]quests!$A:$A),MATCH(C$1,[2]quests!$1:$1,0)-MATCH($B$1,[2]quests!$1:$1,0)+1),MATCH(C$1,[2]quests!$1:$1,0)-MATCH($B$1,[2]quests!$1:$1,0)+1,FALSE)</f>
        <v>平安編０１（仮）</v>
      </c>
      <c r="D63" s="64" t="str">
        <f ca="1">VLOOKUP($B63,OFFSET([2]quests!$A$1,0,0,COUNTA([2]quests!$A:$A),MATCH(D$1,[2]quests!$1:$1,0)-MATCH($B$1,[2]quests!$1:$1,0)+1),MATCH(D$1,[2]quests!$1:$1,0)-MATCH($B$1,[2]quests!$1:$1,0)+1,FALSE)</f>
        <v>平安01</v>
      </c>
      <c r="E63" s="68">
        <v>3</v>
      </c>
      <c r="F63" s="64" t="str">
        <f ca="1">VLOOKUP($B63&amp;"_"&amp;$E63,OFFSET([2]stages!$A$1,0,0,COUNTA([2]stages!$A:$A),MATCH(F$1,[2]stages!$2:$2,0)-MATCH("temp_stage",[2]stages!$2:$2,0)+1),MATCH(F$1,[2]stages!$2:$2,0)-MATCH("temp_stage",[2]stages!$2:$2,0)+1,FALSE)</f>
        <v>【上級】平安編０１（仮）</v>
      </c>
      <c r="G63" s="64" t="str">
        <f ca="1">VLOOKUP($B63&amp;"_"&amp;$E63,OFFSET([2]stages!$A$1,0,0,COUNTA([2]stages!$A:$A),MATCH(G$1,[2]stages!$2:$2,0)-MATCH("temp_stage",[2]stages!$2:$2,0)+1),MATCH(G$1,[2]stages!$2:$2,0)-MATCH("temp_stage",[2]stages!$2:$2,0)+1,FALSE)</f>
        <v>平安01</v>
      </c>
      <c r="H63" s="66">
        <v>0</v>
      </c>
      <c r="I63" s="78">
        <v>8</v>
      </c>
      <c r="J63" s="65" t="s">
        <v>197</v>
      </c>
      <c r="K63" s="75" t="str">
        <f>VLOOKUP(I63,[6]stage_hints!$A:$C,3,FALSE)</f>
        <v>ゲリラクエストは要チェック</v>
      </c>
      <c r="L63" s="76" t="str">
        <f>VLOOKUP(I63,[6]stage_hints!$A:$D,4,FALSE)</f>
        <v>時間限定の「アヒル捕獲作戦」では_x000D_経験値素材ユニットが多く手に入ります</v>
      </c>
      <c r="M63" s="41" t="s">
        <v>212</v>
      </c>
    </row>
    <row r="64" spans="1:13" x14ac:dyDescent="0.15">
      <c r="A64" s="62" t="s">
        <v>200</v>
      </c>
      <c r="B64" s="63">
        <f>floors!$C$2</f>
        <v>20019</v>
      </c>
      <c r="C64" s="64" t="str">
        <f ca="1">VLOOKUP($B64,OFFSET([2]quests!$A$1,0,0,COUNTA([2]quests!$A:$A),MATCH(C$1,[2]quests!$1:$1,0)-MATCH($B$1,[2]quests!$1:$1,0)+1),MATCH(C$1,[2]quests!$1:$1,0)-MATCH($B$1,[2]quests!$1:$1,0)+1,FALSE)</f>
        <v>平安編０１（仮）</v>
      </c>
      <c r="D64" s="64" t="str">
        <f ca="1">VLOOKUP($B64,OFFSET([2]quests!$A$1,0,0,COUNTA([2]quests!$A:$A),MATCH(D$1,[2]quests!$1:$1,0)-MATCH($B$1,[2]quests!$1:$1,0)+1),MATCH(D$1,[2]quests!$1:$1,0)-MATCH($B$1,[2]quests!$1:$1,0)+1,FALSE)</f>
        <v>平安01</v>
      </c>
      <c r="E64" s="68">
        <v>3</v>
      </c>
      <c r="F64" s="64" t="str">
        <f ca="1">VLOOKUP($B64&amp;"_"&amp;$E64,OFFSET([2]stages!$A$1,0,0,COUNTA([2]stages!$A:$A),MATCH(F$1,[2]stages!$2:$2,0)-MATCH("temp_stage",[2]stages!$2:$2,0)+1),MATCH(F$1,[2]stages!$2:$2,0)-MATCH("temp_stage",[2]stages!$2:$2,0)+1,FALSE)</f>
        <v>【上級】平安編０１（仮）</v>
      </c>
      <c r="G64" s="64" t="str">
        <f ca="1">VLOOKUP($B64&amp;"_"&amp;$E64,OFFSET([2]stages!$A$1,0,0,COUNTA([2]stages!$A:$A),MATCH(G$1,[2]stages!$2:$2,0)-MATCH("temp_stage",[2]stages!$2:$2,0)+1),MATCH(G$1,[2]stages!$2:$2,0)-MATCH("temp_stage",[2]stages!$2:$2,0)+1,FALSE)</f>
        <v>平安01</v>
      </c>
      <c r="H64" s="66">
        <v>0</v>
      </c>
      <c r="I64" s="78">
        <v>9</v>
      </c>
      <c r="J64" s="65" t="s">
        <v>197</v>
      </c>
      <c r="K64" s="75" t="str">
        <f>VLOOKUP(I64,[6]stage_hints!$A:$C,3,FALSE)</f>
        <v>ゴールドダックでビットを獲得</v>
      </c>
      <c r="L64" s="76" t="str">
        <f>VLOOKUP(I64,[6]stage_hints!$A:$D,4,FALSE)</f>
        <v>「ゴールドなアヒル」を売却すると_x000D_大量のビットがもらえます</v>
      </c>
      <c r="M64" s="41" t="s">
        <v>212</v>
      </c>
    </row>
    <row r="65" spans="1:13" x14ac:dyDescent="0.15">
      <c r="A65" s="62" t="s">
        <v>200</v>
      </c>
      <c r="B65" s="63">
        <f>floors!$C$2</f>
        <v>20019</v>
      </c>
      <c r="C65" s="64" t="str">
        <f ca="1">VLOOKUP($B65,OFFSET([2]quests!$A$1,0,0,COUNTA([2]quests!$A:$A),MATCH(C$1,[2]quests!$1:$1,0)-MATCH($B$1,[2]quests!$1:$1,0)+1),MATCH(C$1,[2]quests!$1:$1,0)-MATCH($B$1,[2]quests!$1:$1,0)+1,FALSE)</f>
        <v>平安編０１（仮）</v>
      </c>
      <c r="D65" s="64" t="str">
        <f ca="1">VLOOKUP($B65,OFFSET([2]quests!$A$1,0,0,COUNTA([2]quests!$A:$A),MATCH(D$1,[2]quests!$1:$1,0)-MATCH($B$1,[2]quests!$1:$1,0)+1),MATCH(D$1,[2]quests!$1:$1,0)-MATCH($B$1,[2]quests!$1:$1,0)+1,FALSE)</f>
        <v>平安01</v>
      </c>
      <c r="E65" s="68">
        <v>3</v>
      </c>
      <c r="F65" s="64" t="str">
        <f ca="1">VLOOKUP($B65&amp;"_"&amp;$E65,OFFSET([2]stages!$A$1,0,0,COUNTA([2]stages!$A:$A),MATCH(F$1,[2]stages!$2:$2,0)-MATCH("temp_stage",[2]stages!$2:$2,0)+1),MATCH(F$1,[2]stages!$2:$2,0)-MATCH("temp_stage",[2]stages!$2:$2,0)+1,FALSE)</f>
        <v>【上級】平安編０１（仮）</v>
      </c>
      <c r="G65" s="64" t="str">
        <f ca="1">VLOOKUP($B65&amp;"_"&amp;$E65,OFFSET([2]stages!$A$1,0,0,COUNTA([2]stages!$A:$A),MATCH(G$1,[2]stages!$2:$2,0)-MATCH("temp_stage",[2]stages!$2:$2,0)+1),MATCH(G$1,[2]stages!$2:$2,0)-MATCH("temp_stage",[2]stages!$2:$2,0)+1,FALSE)</f>
        <v>平安01</v>
      </c>
      <c r="H65" s="66">
        <v>0</v>
      </c>
      <c r="I65" s="78">
        <v>10</v>
      </c>
      <c r="J65" s="65" t="s">
        <v>197</v>
      </c>
      <c r="K65" s="75" t="str">
        <f>VLOOKUP(I65,[6]stage_hints!$A:$C,3,FALSE)</f>
        <v>土日に大量のビットを獲得</v>
      </c>
      <c r="L65" s="76" t="str">
        <f>VLOOKUP(I65,[6]stage_hints!$A:$D,4,FALSE)</f>
        <v>土日限定の「ゴールドカジノ」では_x000D_売却素材ユニットが多く手に入ります</v>
      </c>
      <c r="M65" s="41" t="s">
        <v>212</v>
      </c>
    </row>
    <row r="66" spans="1:13" x14ac:dyDescent="0.15">
      <c r="A66" s="62" t="s">
        <v>200</v>
      </c>
      <c r="B66" s="63">
        <f>floors!$C$2</f>
        <v>20019</v>
      </c>
      <c r="C66" s="64" t="str">
        <f ca="1">VLOOKUP($B66,OFFSET([2]quests!$A$1,0,0,COUNTA([2]quests!$A:$A),MATCH(C$1,[2]quests!$1:$1,0)-MATCH($B$1,[2]quests!$1:$1,0)+1),MATCH(C$1,[2]quests!$1:$1,0)-MATCH($B$1,[2]quests!$1:$1,0)+1,FALSE)</f>
        <v>平安編０１（仮）</v>
      </c>
      <c r="D66" s="64" t="str">
        <f ca="1">VLOOKUP($B66,OFFSET([2]quests!$A$1,0,0,COUNTA([2]quests!$A:$A),MATCH(D$1,[2]quests!$1:$1,0)-MATCH($B$1,[2]quests!$1:$1,0)+1),MATCH(D$1,[2]quests!$1:$1,0)-MATCH($B$1,[2]quests!$1:$1,0)+1,FALSE)</f>
        <v>平安01</v>
      </c>
      <c r="E66" s="68">
        <v>3</v>
      </c>
      <c r="F66" s="64" t="str">
        <f ca="1">VLOOKUP($B66&amp;"_"&amp;$E66,OFFSET([2]stages!$A$1,0,0,COUNTA([2]stages!$A:$A),MATCH(F$1,[2]stages!$2:$2,0)-MATCH("temp_stage",[2]stages!$2:$2,0)+1),MATCH(F$1,[2]stages!$2:$2,0)-MATCH("temp_stage",[2]stages!$2:$2,0)+1,FALSE)</f>
        <v>【上級】平安編０１（仮）</v>
      </c>
      <c r="G66" s="64" t="str">
        <f ca="1">VLOOKUP($B66&amp;"_"&amp;$E66,OFFSET([2]stages!$A$1,0,0,COUNTA([2]stages!$A:$A),MATCH(G$1,[2]stages!$2:$2,0)-MATCH("temp_stage",[2]stages!$2:$2,0)+1),MATCH(G$1,[2]stages!$2:$2,0)-MATCH("temp_stage",[2]stages!$2:$2,0)+1,FALSE)</f>
        <v>平安01</v>
      </c>
      <c r="H66" s="66">
        <v>0</v>
      </c>
      <c r="I66" s="78">
        <v>11</v>
      </c>
      <c r="J66" s="65" t="s">
        <v>197</v>
      </c>
      <c r="K66" s="75" t="str">
        <f>VLOOKUP(I66,[6]stage_hints!$A:$C,3,FALSE)</f>
        <v>ランク解放クエスト</v>
      </c>
      <c r="L66" s="76" t="str">
        <f>VLOOKUP(I66,[6]stage_hints!$A:$D,4,FALSE)</f>
        <v>一定ランクに到達すると_x000D_報酬付きのランク開放クエストが現れます</v>
      </c>
      <c r="M66" s="41" t="s">
        <v>212</v>
      </c>
    </row>
    <row r="67" spans="1:13" x14ac:dyDescent="0.15">
      <c r="A67" s="62" t="s">
        <v>200</v>
      </c>
      <c r="B67" s="63">
        <f>floors!$C$2</f>
        <v>20019</v>
      </c>
      <c r="C67" s="64" t="str">
        <f ca="1">VLOOKUP($B67,OFFSET([2]quests!$A$1,0,0,COUNTA([2]quests!$A:$A),MATCH(C$1,[2]quests!$1:$1,0)-MATCH($B$1,[2]quests!$1:$1,0)+1),MATCH(C$1,[2]quests!$1:$1,0)-MATCH($B$1,[2]quests!$1:$1,0)+1,FALSE)</f>
        <v>平安編０１（仮）</v>
      </c>
      <c r="D67" s="64" t="str">
        <f ca="1">VLOOKUP($B67,OFFSET([2]quests!$A$1,0,0,COUNTA([2]quests!$A:$A),MATCH(D$1,[2]quests!$1:$1,0)-MATCH($B$1,[2]quests!$1:$1,0)+1),MATCH(D$1,[2]quests!$1:$1,0)-MATCH($B$1,[2]quests!$1:$1,0)+1,FALSE)</f>
        <v>平安01</v>
      </c>
      <c r="E67" s="68">
        <v>3</v>
      </c>
      <c r="F67" s="64" t="str">
        <f ca="1">VLOOKUP($B67&amp;"_"&amp;$E67,OFFSET([2]stages!$A$1,0,0,COUNTA([2]stages!$A:$A),MATCH(F$1,[2]stages!$2:$2,0)-MATCH("temp_stage",[2]stages!$2:$2,0)+1),MATCH(F$1,[2]stages!$2:$2,0)-MATCH("temp_stage",[2]stages!$2:$2,0)+1,FALSE)</f>
        <v>【上級】平安編０１（仮）</v>
      </c>
      <c r="G67" s="64" t="str">
        <f ca="1">VLOOKUP($B67&amp;"_"&amp;$E67,OFFSET([2]stages!$A$1,0,0,COUNTA([2]stages!$A:$A),MATCH(G$1,[2]stages!$2:$2,0)-MATCH("temp_stage",[2]stages!$2:$2,0)+1),MATCH(G$1,[2]stages!$2:$2,0)-MATCH("temp_stage",[2]stages!$2:$2,0)+1,FALSE)</f>
        <v>平安01</v>
      </c>
      <c r="H67" s="66">
        <v>0</v>
      </c>
      <c r="I67" s="78">
        <v>12</v>
      </c>
      <c r="J67" s="65" t="s">
        <v>197</v>
      </c>
      <c r="K67" s="75" t="str">
        <f>VLOOKUP(I67,[6]stage_hints!$A:$C,3,FALSE)</f>
        <v>ユニットのお気に入り登録</v>
      </c>
      <c r="L67" s="76" t="str">
        <f>VLOOKUP(I67,[6]stage_hints!$A:$D,4,FALSE)</f>
        <v>大事なユニットを誤って消さないように_x000D_フォルダから「お気に入り登録」しましょう</v>
      </c>
      <c r="M67" s="41" t="s">
        <v>212</v>
      </c>
    </row>
    <row r="68" spans="1:13" x14ac:dyDescent="0.15">
      <c r="A68" s="62" t="s">
        <v>200</v>
      </c>
      <c r="B68" s="63">
        <f>floors!$C$2</f>
        <v>20019</v>
      </c>
      <c r="C68" s="64" t="str">
        <f ca="1">VLOOKUP($B68,OFFSET([2]quests!$A$1,0,0,COUNTA([2]quests!$A:$A),MATCH(C$1,[2]quests!$1:$1,0)-MATCH($B$1,[2]quests!$1:$1,0)+1),MATCH(C$1,[2]quests!$1:$1,0)-MATCH($B$1,[2]quests!$1:$1,0)+1,FALSE)</f>
        <v>平安編０１（仮）</v>
      </c>
      <c r="D68" s="64" t="str">
        <f ca="1">VLOOKUP($B68,OFFSET([2]quests!$A$1,0,0,COUNTA([2]quests!$A:$A),MATCH(D$1,[2]quests!$1:$1,0)-MATCH($B$1,[2]quests!$1:$1,0)+1),MATCH(D$1,[2]quests!$1:$1,0)-MATCH($B$1,[2]quests!$1:$1,0)+1,FALSE)</f>
        <v>平安01</v>
      </c>
      <c r="E68" s="68">
        <v>3</v>
      </c>
      <c r="F68" s="64" t="str">
        <f ca="1">VLOOKUP($B68&amp;"_"&amp;$E68,OFFSET([2]stages!$A$1,0,0,COUNTA([2]stages!$A:$A),MATCH(F$1,[2]stages!$2:$2,0)-MATCH("temp_stage",[2]stages!$2:$2,0)+1),MATCH(F$1,[2]stages!$2:$2,0)-MATCH("temp_stage",[2]stages!$2:$2,0)+1,FALSE)</f>
        <v>【上級】平安編０１（仮）</v>
      </c>
      <c r="G68" s="64" t="str">
        <f ca="1">VLOOKUP($B68&amp;"_"&amp;$E68,OFFSET([2]stages!$A$1,0,0,COUNTA([2]stages!$A:$A),MATCH(G$1,[2]stages!$2:$2,0)-MATCH("temp_stage",[2]stages!$2:$2,0)+1),MATCH(G$1,[2]stages!$2:$2,0)-MATCH("temp_stage",[2]stages!$2:$2,0)+1,FALSE)</f>
        <v>平安01</v>
      </c>
      <c r="H68" s="66">
        <v>0</v>
      </c>
      <c r="I68" s="78">
        <v>13</v>
      </c>
      <c r="J68" s="65" t="s">
        <v>197</v>
      </c>
      <c r="K68" s="75" t="str">
        <f>VLOOKUP(I68,[6]stage_hints!$A:$C,3,FALSE)</f>
        <v>ユニットの覚醒</v>
      </c>
      <c r="L68" s="76" t="str">
        <f>VLOOKUP(I68,[6]stage_hints!$A:$D,4,FALSE)</f>
        <v>ユニットを覚醒させると_x000D_比べものにならない強さが手に入ります</v>
      </c>
      <c r="M68" s="41" t="s">
        <v>212</v>
      </c>
    </row>
    <row r="69" spans="1:13" x14ac:dyDescent="0.15">
      <c r="A69" s="62" t="s">
        <v>200</v>
      </c>
      <c r="B69" s="63">
        <f>floors!$C$2</f>
        <v>20019</v>
      </c>
      <c r="C69" s="64" t="str">
        <f ca="1">VLOOKUP($B69,OFFSET([2]quests!$A$1,0,0,COUNTA([2]quests!$A:$A),MATCH(C$1,[2]quests!$1:$1,0)-MATCH($B$1,[2]quests!$1:$1,0)+1),MATCH(C$1,[2]quests!$1:$1,0)-MATCH($B$1,[2]quests!$1:$1,0)+1,FALSE)</f>
        <v>平安編０１（仮）</v>
      </c>
      <c r="D69" s="64" t="str">
        <f ca="1">VLOOKUP($B69,OFFSET([2]quests!$A$1,0,0,COUNTA([2]quests!$A:$A),MATCH(D$1,[2]quests!$1:$1,0)-MATCH($B$1,[2]quests!$1:$1,0)+1),MATCH(D$1,[2]quests!$1:$1,0)-MATCH($B$1,[2]quests!$1:$1,0)+1,FALSE)</f>
        <v>平安01</v>
      </c>
      <c r="E69" s="68">
        <v>3</v>
      </c>
      <c r="F69" s="64" t="str">
        <f ca="1">VLOOKUP($B69&amp;"_"&amp;$E69,OFFSET([2]stages!$A$1,0,0,COUNTA([2]stages!$A:$A),MATCH(F$1,[2]stages!$2:$2,0)-MATCH("temp_stage",[2]stages!$2:$2,0)+1),MATCH(F$1,[2]stages!$2:$2,0)-MATCH("temp_stage",[2]stages!$2:$2,0)+1,FALSE)</f>
        <v>【上級】平安編０１（仮）</v>
      </c>
      <c r="G69" s="64" t="str">
        <f ca="1">VLOOKUP($B69&amp;"_"&amp;$E69,OFFSET([2]stages!$A$1,0,0,COUNTA([2]stages!$A:$A),MATCH(G$1,[2]stages!$2:$2,0)-MATCH("temp_stage",[2]stages!$2:$2,0)+1),MATCH(G$1,[2]stages!$2:$2,0)-MATCH("temp_stage",[2]stages!$2:$2,0)+1,FALSE)</f>
        <v>平安01</v>
      </c>
      <c r="H69" s="66">
        <v>0</v>
      </c>
      <c r="I69" s="78">
        <v>14</v>
      </c>
      <c r="J69" s="65" t="s">
        <v>197</v>
      </c>
      <c r="K69" s="75" t="str">
        <f>VLOOKUP(I69,[6]stage_hints!$A:$C,3,FALSE)</f>
        <v>覚醒するにはレベルを最大に</v>
      </c>
      <c r="L69" s="76" t="str">
        <f>VLOOKUP(I69,[6]stage_hints!$A:$D,4,FALSE)</f>
        <v>覚醒するにはユニットのレベルを_x000D_最大まで上げる必要があります</v>
      </c>
      <c r="M69" s="41" t="s">
        <v>212</v>
      </c>
    </row>
    <row r="70" spans="1:13" x14ac:dyDescent="0.15">
      <c r="A70" s="62" t="s">
        <v>200</v>
      </c>
      <c r="B70" s="63">
        <f>floors!$C$2</f>
        <v>20019</v>
      </c>
      <c r="C70" s="64" t="str">
        <f ca="1">VLOOKUP($B70,OFFSET([2]quests!$A$1,0,0,COUNTA([2]quests!$A:$A),MATCH(C$1,[2]quests!$1:$1,0)-MATCH($B$1,[2]quests!$1:$1,0)+1),MATCH(C$1,[2]quests!$1:$1,0)-MATCH($B$1,[2]quests!$1:$1,0)+1,FALSE)</f>
        <v>平安編０１（仮）</v>
      </c>
      <c r="D70" s="64" t="str">
        <f ca="1">VLOOKUP($B70,OFFSET([2]quests!$A$1,0,0,COUNTA([2]quests!$A:$A),MATCH(D$1,[2]quests!$1:$1,0)-MATCH($B$1,[2]quests!$1:$1,0)+1),MATCH(D$1,[2]quests!$1:$1,0)-MATCH($B$1,[2]quests!$1:$1,0)+1,FALSE)</f>
        <v>平安01</v>
      </c>
      <c r="E70" s="68">
        <v>3</v>
      </c>
      <c r="F70" s="64" t="str">
        <f ca="1">VLOOKUP($B70&amp;"_"&amp;$E70,OFFSET([2]stages!$A$1,0,0,COUNTA([2]stages!$A:$A),MATCH(F$1,[2]stages!$2:$2,0)-MATCH("temp_stage",[2]stages!$2:$2,0)+1),MATCH(F$1,[2]stages!$2:$2,0)-MATCH("temp_stage",[2]stages!$2:$2,0)+1,FALSE)</f>
        <v>【上級】平安編０１（仮）</v>
      </c>
      <c r="G70" s="64" t="str">
        <f ca="1">VLOOKUP($B70&amp;"_"&amp;$E70,OFFSET([2]stages!$A$1,0,0,COUNTA([2]stages!$A:$A),MATCH(G$1,[2]stages!$2:$2,0)-MATCH("temp_stage",[2]stages!$2:$2,0)+1),MATCH(G$1,[2]stages!$2:$2,0)-MATCH("temp_stage",[2]stages!$2:$2,0)+1,FALSE)</f>
        <v>平安01</v>
      </c>
      <c r="H70" s="66">
        <v>0</v>
      </c>
      <c r="I70" s="78">
        <v>15</v>
      </c>
      <c r="J70" s="65" t="s">
        <v>197</v>
      </c>
      <c r="K70" s="75" t="str">
        <f>VLOOKUP(I70,[6]stage_hints!$A:$C,3,FALSE)</f>
        <v>覚醒素材を獲得</v>
      </c>
      <c r="L70" s="76" t="str">
        <f>VLOOKUP(I70,[6]stage_hints!$A:$D,4,FALSE)</f>
        <v>「曜日クエスト」では_x000D_ユニットの覚醒に必要な素材が手に入ります</v>
      </c>
      <c r="M70" s="41" t="s">
        <v>212</v>
      </c>
    </row>
    <row r="71" spans="1:13" x14ac:dyDescent="0.15">
      <c r="A71" s="62" t="s">
        <v>200</v>
      </c>
      <c r="B71" s="63">
        <f>floors!$C$2</f>
        <v>20019</v>
      </c>
      <c r="C71" s="64" t="str">
        <f ca="1">VLOOKUP($B71,OFFSET([2]quests!$A$1,0,0,COUNTA([2]quests!$A:$A),MATCH(C$1,[2]quests!$1:$1,0)-MATCH($B$1,[2]quests!$1:$1,0)+1),MATCH(C$1,[2]quests!$1:$1,0)-MATCH($B$1,[2]quests!$1:$1,0)+1,FALSE)</f>
        <v>平安編０１（仮）</v>
      </c>
      <c r="D71" s="64" t="str">
        <f ca="1">VLOOKUP($B71,OFFSET([2]quests!$A$1,0,0,COUNTA([2]quests!$A:$A),MATCH(D$1,[2]quests!$1:$1,0)-MATCH($B$1,[2]quests!$1:$1,0)+1),MATCH(D$1,[2]quests!$1:$1,0)-MATCH($B$1,[2]quests!$1:$1,0)+1,FALSE)</f>
        <v>平安01</v>
      </c>
      <c r="E71" s="68">
        <v>3</v>
      </c>
      <c r="F71" s="64" t="str">
        <f ca="1">VLOOKUP($B71&amp;"_"&amp;$E71,OFFSET([2]stages!$A$1,0,0,COUNTA([2]stages!$A:$A),MATCH(F$1,[2]stages!$2:$2,0)-MATCH("temp_stage",[2]stages!$2:$2,0)+1),MATCH(F$1,[2]stages!$2:$2,0)-MATCH("temp_stage",[2]stages!$2:$2,0)+1,FALSE)</f>
        <v>【上級】平安編０１（仮）</v>
      </c>
      <c r="G71" s="64" t="str">
        <f ca="1">VLOOKUP($B71&amp;"_"&amp;$E71,OFFSET([2]stages!$A$1,0,0,COUNTA([2]stages!$A:$A),MATCH(G$1,[2]stages!$2:$2,0)-MATCH("temp_stage",[2]stages!$2:$2,0)+1),MATCH(G$1,[2]stages!$2:$2,0)-MATCH("temp_stage",[2]stages!$2:$2,0)+1,FALSE)</f>
        <v>平安01</v>
      </c>
      <c r="H71" s="66">
        <v>0</v>
      </c>
      <c r="I71" s="78">
        <v>16</v>
      </c>
      <c r="J71" s="65" t="s">
        <v>197</v>
      </c>
      <c r="K71" s="75" t="str">
        <f>VLOOKUP(I71,[6]stage_hints!$A:$C,3,FALSE)</f>
        <v>マルチプレイのメリット（その1）</v>
      </c>
      <c r="L71" s="76" t="str">
        <f>VLOOKUP(I71,[6]stage_hints!$A:$D,4,FALSE)</f>
        <v>他のプレイヤーとマルチプレイで遊ぶと_x000D_ポリゴンがもらえます（100人まで）</v>
      </c>
      <c r="M71" s="41" t="s">
        <v>212</v>
      </c>
    </row>
    <row r="72" spans="1:13" x14ac:dyDescent="0.15">
      <c r="A72" s="62" t="s">
        <v>200</v>
      </c>
      <c r="B72" s="63">
        <f>floors!$C$2</f>
        <v>20019</v>
      </c>
      <c r="C72" s="64" t="str">
        <f ca="1">VLOOKUP($B72,OFFSET([2]quests!$A$1,0,0,COUNTA([2]quests!$A:$A),MATCH(C$1,[2]quests!$1:$1,0)-MATCH($B$1,[2]quests!$1:$1,0)+1),MATCH(C$1,[2]quests!$1:$1,0)-MATCH($B$1,[2]quests!$1:$1,0)+1,FALSE)</f>
        <v>平安編０１（仮）</v>
      </c>
      <c r="D72" s="64" t="str">
        <f ca="1">VLOOKUP($B72,OFFSET([2]quests!$A$1,0,0,COUNTA([2]quests!$A:$A),MATCH(D$1,[2]quests!$1:$1,0)-MATCH($B$1,[2]quests!$1:$1,0)+1),MATCH(D$1,[2]quests!$1:$1,0)-MATCH($B$1,[2]quests!$1:$1,0)+1,FALSE)</f>
        <v>平安01</v>
      </c>
      <c r="E72" s="68">
        <v>3</v>
      </c>
      <c r="F72" s="64" t="str">
        <f ca="1">VLOOKUP($B72&amp;"_"&amp;$E72,OFFSET([2]stages!$A$1,0,0,COUNTA([2]stages!$A:$A),MATCH(F$1,[2]stages!$2:$2,0)-MATCH("temp_stage",[2]stages!$2:$2,0)+1),MATCH(F$1,[2]stages!$2:$2,0)-MATCH("temp_stage",[2]stages!$2:$2,0)+1,FALSE)</f>
        <v>【上級】平安編０１（仮）</v>
      </c>
      <c r="G72" s="64" t="str">
        <f ca="1">VLOOKUP($B72&amp;"_"&amp;$E72,OFFSET([2]stages!$A$1,0,0,COUNTA([2]stages!$A:$A),MATCH(G$1,[2]stages!$2:$2,0)-MATCH("temp_stage",[2]stages!$2:$2,0)+1),MATCH(G$1,[2]stages!$2:$2,0)-MATCH("temp_stage",[2]stages!$2:$2,0)+1,FALSE)</f>
        <v>平安01</v>
      </c>
      <c r="H72" s="66">
        <v>0</v>
      </c>
      <c r="I72" s="78">
        <v>17</v>
      </c>
      <c r="J72" s="65" t="s">
        <v>197</v>
      </c>
      <c r="K72" s="75" t="str">
        <f>VLOOKUP(I72,[6]stage_hints!$A:$C,3,FALSE)</f>
        <v>リンクガチャ</v>
      </c>
      <c r="L72" s="76" t="str">
        <f>VLOOKUP(I72,[6]stage_hints!$A:$D,4,FALSE)</f>
        <v>無料のリンクガチャを回して_x000D_経験値素材や売却素材を獲得しましょう</v>
      </c>
      <c r="M72" s="41" t="s">
        <v>212</v>
      </c>
    </row>
    <row r="73" spans="1:13" x14ac:dyDescent="0.15">
      <c r="A73" s="62" t="s">
        <v>200</v>
      </c>
      <c r="B73" s="63">
        <f>floors!$C$2</f>
        <v>20019</v>
      </c>
      <c r="C73" s="64" t="str">
        <f ca="1">VLOOKUP($B73,OFFSET([2]quests!$A$1,0,0,COUNTA([2]quests!$A:$A),MATCH(C$1,[2]quests!$1:$1,0)-MATCH($B$1,[2]quests!$1:$1,0)+1),MATCH(C$1,[2]quests!$1:$1,0)-MATCH($B$1,[2]quests!$1:$1,0)+1,FALSE)</f>
        <v>平安編０１（仮）</v>
      </c>
      <c r="D73" s="64" t="str">
        <f ca="1">VLOOKUP($B73,OFFSET([2]quests!$A$1,0,0,COUNTA([2]quests!$A:$A),MATCH(D$1,[2]quests!$1:$1,0)-MATCH($B$1,[2]quests!$1:$1,0)+1),MATCH(D$1,[2]quests!$1:$1,0)-MATCH($B$1,[2]quests!$1:$1,0)+1,FALSE)</f>
        <v>平安01</v>
      </c>
      <c r="E73" s="68">
        <v>3</v>
      </c>
      <c r="F73" s="64" t="str">
        <f ca="1">VLOOKUP($B73&amp;"_"&amp;$E73,OFFSET([2]stages!$A$1,0,0,COUNTA([2]stages!$A:$A),MATCH(F$1,[2]stages!$2:$2,0)-MATCH("temp_stage",[2]stages!$2:$2,0)+1),MATCH(F$1,[2]stages!$2:$2,0)-MATCH("temp_stage",[2]stages!$2:$2,0)+1,FALSE)</f>
        <v>【上級】平安編０１（仮）</v>
      </c>
      <c r="G73" s="64" t="str">
        <f ca="1">VLOOKUP($B73&amp;"_"&amp;$E73,OFFSET([2]stages!$A$1,0,0,COUNTA([2]stages!$A:$A),MATCH(G$1,[2]stages!$2:$2,0)-MATCH("temp_stage",[2]stages!$2:$2,0)+1),MATCH(G$1,[2]stages!$2:$2,0)-MATCH("temp_stage",[2]stages!$2:$2,0)+1,FALSE)</f>
        <v>平安01</v>
      </c>
      <c r="H73" s="66">
        <v>0</v>
      </c>
      <c r="I73" s="78">
        <v>18</v>
      </c>
      <c r="J73" s="65" t="s">
        <v>197</v>
      </c>
      <c r="K73" s="75" t="str">
        <f>VLOOKUP(I73,[6]stage_hints!$A:$C,3,FALSE)</f>
        <v>マルチプレイのメリット（その2）</v>
      </c>
      <c r="L73" s="76" t="str">
        <f>VLOOKUP(I73,[6]stage_hints!$A:$D,4,FALSE)</f>
        <v>マルチプレイならリンクが2倍もらえます_x000D_リンクガチャをたくさん回しましょう</v>
      </c>
      <c r="M73" s="41" t="s">
        <v>212</v>
      </c>
    </row>
    <row r="74" spans="1:13" x14ac:dyDescent="0.15">
      <c r="A74" s="62" t="s">
        <v>200</v>
      </c>
      <c r="B74" s="63">
        <f>floors!$C$2</f>
        <v>20019</v>
      </c>
      <c r="C74" s="64" t="str">
        <f ca="1">VLOOKUP($B74,OFFSET([2]quests!$A$1,0,0,COUNTA([2]quests!$A:$A),MATCH(C$1,[2]quests!$1:$1,0)-MATCH($B$1,[2]quests!$1:$1,0)+1),MATCH(C$1,[2]quests!$1:$1,0)-MATCH($B$1,[2]quests!$1:$1,0)+1,FALSE)</f>
        <v>平安編０１（仮）</v>
      </c>
      <c r="D74" s="64" t="str">
        <f ca="1">VLOOKUP($B74,OFFSET([2]quests!$A$1,0,0,COUNTA([2]quests!$A:$A),MATCH(D$1,[2]quests!$1:$1,0)-MATCH($B$1,[2]quests!$1:$1,0)+1),MATCH(D$1,[2]quests!$1:$1,0)-MATCH($B$1,[2]quests!$1:$1,0)+1,FALSE)</f>
        <v>平安01</v>
      </c>
      <c r="E74" s="68">
        <v>3</v>
      </c>
      <c r="F74" s="64" t="str">
        <f ca="1">VLOOKUP($B74&amp;"_"&amp;$E74,OFFSET([2]stages!$A$1,0,0,COUNTA([2]stages!$A:$A),MATCH(F$1,[2]stages!$2:$2,0)-MATCH("temp_stage",[2]stages!$2:$2,0)+1),MATCH(F$1,[2]stages!$2:$2,0)-MATCH("temp_stage",[2]stages!$2:$2,0)+1,FALSE)</f>
        <v>【上級】平安編０１（仮）</v>
      </c>
      <c r="G74" s="64" t="str">
        <f ca="1">VLOOKUP($B74&amp;"_"&amp;$E74,OFFSET([2]stages!$A$1,0,0,COUNTA([2]stages!$A:$A),MATCH(G$1,[2]stages!$2:$2,0)-MATCH("temp_stage",[2]stages!$2:$2,0)+1),MATCH(G$1,[2]stages!$2:$2,0)-MATCH("temp_stage",[2]stages!$2:$2,0)+1,FALSE)</f>
        <v>平安01</v>
      </c>
      <c r="H74" s="66">
        <v>0</v>
      </c>
      <c r="I74" s="78">
        <v>19</v>
      </c>
      <c r="J74" s="65" t="s">
        <v>197</v>
      </c>
      <c r="K74" s="75" t="str">
        <f>VLOOKUP(I74,[6]stage_hints!$A:$C,3,FALSE)</f>
        <v>ソロ専用チャレンジタワー</v>
      </c>
      <c r="L74" s="76" t="str">
        <f>VLOOKUP(I74,[6]stage_hints!$A:$D,4,FALSE)</f>
        <v>ソロ専用の「チャレンジタワー」では_x000D_各フロアごとにクリア報酬がもらえます</v>
      </c>
      <c r="M74" s="41" t="s">
        <v>212</v>
      </c>
    </row>
    <row r="75" spans="1:13" x14ac:dyDescent="0.15">
      <c r="A75" s="62" t="s">
        <v>200</v>
      </c>
      <c r="B75" s="63">
        <f>floors!$C$2</f>
        <v>20019</v>
      </c>
      <c r="C75" s="64" t="str">
        <f ca="1">VLOOKUP($B75,OFFSET([2]quests!$A$1,0,0,COUNTA([2]quests!$A:$A),MATCH(C$1,[2]quests!$1:$1,0)-MATCH($B$1,[2]quests!$1:$1,0)+1),MATCH(C$1,[2]quests!$1:$1,0)-MATCH($B$1,[2]quests!$1:$1,0)+1,FALSE)</f>
        <v>平安編０１（仮）</v>
      </c>
      <c r="D75" s="64" t="str">
        <f ca="1">VLOOKUP($B75,OFFSET([2]quests!$A$1,0,0,COUNTA([2]quests!$A:$A),MATCH(D$1,[2]quests!$1:$1,0)-MATCH($B$1,[2]quests!$1:$1,0)+1),MATCH(D$1,[2]quests!$1:$1,0)-MATCH($B$1,[2]quests!$1:$1,0)+1,FALSE)</f>
        <v>平安01</v>
      </c>
      <c r="E75" s="68">
        <v>3</v>
      </c>
      <c r="F75" s="64" t="str">
        <f ca="1">VLOOKUP($B75&amp;"_"&amp;$E75,OFFSET([2]stages!$A$1,0,0,COUNTA([2]stages!$A:$A),MATCH(F$1,[2]stages!$2:$2,0)-MATCH("temp_stage",[2]stages!$2:$2,0)+1),MATCH(F$1,[2]stages!$2:$2,0)-MATCH("temp_stage",[2]stages!$2:$2,0)+1,FALSE)</f>
        <v>【上級】平安編０１（仮）</v>
      </c>
      <c r="G75" s="64" t="str">
        <f ca="1">VLOOKUP($B75&amp;"_"&amp;$E75,OFFSET([2]stages!$A$1,0,0,COUNTA([2]stages!$A:$A),MATCH(G$1,[2]stages!$2:$2,0)-MATCH("temp_stage",[2]stages!$2:$2,0)+1),MATCH(G$1,[2]stages!$2:$2,0)-MATCH("temp_stage",[2]stages!$2:$2,0)+1,FALSE)</f>
        <v>平安01</v>
      </c>
      <c r="H75" s="66">
        <v>0</v>
      </c>
      <c r="I75" s="78">
        <v>20</v>
      </c>
      <c r="J75" s="65" t="s">
        <v>197</v>
      </c>
      <c r="K75" s="75" t="str">
        <f>VLOOKUP(I75,[6]stage_hints!$A:$C,3,FALSE)</f>
        <v>マルチプレイのメリット（その3）</v>
      </c>
      <c r="L75" s="76" t="str">
        <f>VLOOKUP(I75,[6]stage_hints!$A:$D,4,FALSE)</f>
        <v>マルチプレイへの参加はエナジー消費ゼロ_x000D_いつでも好きなだけ遊ぶことができます</v>
      </c>
      <c r="M75" s="41" t="s">
        <v>212</v>
      </c>
    </row>
    <row r="76" spans="1:13" x14ac:dyDescent="0.15">
      <c r="A76" s="62" t="s">
        <v>200</v>
      </c>
      <c r="B76" s="63">
        <f>floors!$C$2</f>
        <v>20019</v>
      </c>
      <c r="C76" s="64" t="str">
        <f ca="1">VLOOKUP($B76,OFFSET([2]quests!$A$1,0,0,COUNTA([2]quests!$A:$A),MATCH(C$1,[2]quests!$1:$1,0)-MATCH($B$1,[2]quests!$1:$1,0)+1),MATCH(C$1,[2]quests!$1:$1,0)-MATCH($B$1,[2]quests!$1:$1,0)+1,FALSE)</f>
        <v>平安編０１（仮）</v>
      </c>
      <c r="D76" s="64" t="str">
        <f ca="1">VLOOKUP($B76,OFFSET([2]quests!$A$1,0,0,COUNTA([2]quests!$A:$A),MATCH(D$1,[2]quests!$1:$1,0)-MATCH($B$1,[2]quests!$1:$1,0)+1),MATCH(D$1,[2]quests!$1:$1,0)-MATCH($B$1,[2]quests!$1:$1,0)+1,FALSE)</f>
        <v>平安01</v>
      </c>
      <c r="E76" s="68">
        <v>3</v>
      </c>
      <c r="F76" s="64" t="str">
        <f ca="1">VLOOKUP($B76&amp;"_"&amp;$E76,OFFSET([2]stages!$A$1,0,0,COUNTA([2]stages!$A:$A),MATCH(F$1,[2]stages!$2:$2,0)-MATCH("temp_stage",[2]stages!$2:$2,0)+1),MATCH(F$1,[2]stages!$2:$2,0)-MATCH("temp_stage",[2]stages!$2:$2,0)+1,FALSE)</f>
        <v>【上級】平安編０１（仮）</v>
      </c>
      <c r="G76" s="64" t="str">
        <f ca="1">VLOOKUP($B76&amp;"_"&amp;$E76,OFFSET([2]stages!$A$1,0,0,COUNTA([2]stages!$A:$A),MATCH(G$1,[2]stages!$2:$2,0)-MATCH("temp_stage",[2]stages!$2:$2,0)+1),MATCH(G$1,[2]stages!$2:$2,0)-MATCH("temp_stage",[2]stages!$2:$2,0)+1,FALSE)</f>
        <v>平安01</v>
      </c>
      <c r="H76" s="66">
        <v>0</v>
      </c>
      <c r="I76" s="78">
        <v>21</v>
      </c>
      <c r="J76" s="65" t="s">
        <v>197</v>
      </c>
      <c r="K76" s="75" t="str">
        <f>VLOOKUP(I76,[6]stage_hints!$A:$C,3,FALSE)</f>
        <v>スキルを有効に</v>
      </c>
      <c r="L76" s="76" t="str">
        <f>VLOOKUP(I76,[6]stage_hints!$A:$D,4,FALSE)</f>
        <v>ターン経過でユニットのスキルが使えます_x000D_強力スキルでバトルを有利に進めましょう</v>
      </c>
      <c r="M76" s="41" t="s">
        <v>212</v>
      </c>
    </row>
    <row r="77" spans="1:13" x14ac:dyDescent="0.15">
      <c r="A77" s="62" t="s">
        <v>200</v>
      </c>
      <c r="B77" s="63">
        <f>floors!$C$2</f>
        <v>20019</v>
      </c>
      <c r="C77" s="64" t="str">
        <f ca="1">VLOOKUP($B77,OFFSET([2]quests!$A$1,0,0,COUNTA([2]quests!$A:$A),MATCH(C$1,[2]quests!$1:$1,0)-MATCH($B$1,[2]quests!$1:$1,0)+1),MATCH(C$1,[2]quests!$1:$1,0)-MATCH($B$1,[2]quests!$1:$1,0)+1,FALSE)</f>
        <v>平安編０１（仮）</v>
      </c>
      <c r="D77" s="64" t="str">
        <f ca="1">VLOOKUP($B77,OFFSET([2]quests!$A$1,0,0,COUNTA([2]quests!$A:$A),MATCH(D$1,[2]quests!$1:$1,0)-MATCH($B$1,[2]quests!$1:$1,0)+1),MATCH(D$1,[2]quests!$1:$1,0)-MATCH($B$1,[2]quests!$1:$1,0)+1,FALSE)</f>
        <v>平安01</v>
      </c>
      <c r="E77" s="68">
        <v>3</v>
      </c>
      <c r="F77" s="64" t="str">
        <f ca="1">VLOOKUP($B77&amp;"_"&amp;$E77,OFFSET([2]stages!$A$1,0,0,COUNTA([2]stages!$A:$A),MATCH(F$1,[2]stages!$2:$2,0)-MATCH("temp_stage",[2]stages!$2:$2,0)+1),MATCH(F$1,[2]stages!$2:$2,0)-MATCH("temp_stage",[2]stages!$2:$2,0)+1,FALSE)</f>
        <v>【上級】平安編０１（仮）</v>
      </c>
      <c r="G77" s="64" t="str">
        <f ca="1">VLOOKUP($B77&amp;"_"&amp;$E77,OFFSET([2]stages!$A$1,0,0,COUNTA([2]stages!$A:$A),MATCH(G$1,[2]stages!$2:$2,0)-MATCH("temp_stage",[2]stages!$2:$2,0)+1),MATCH(G$1,[2]stages!$2:$2,0)-MATCH("temp_stage",[2]stages!$2:$2,0)+1,FALSE)</f>
        <v>平安01</v>
      </c>
      <c r="H77" s="66">
        <v>0</v>
      </c>
      <c r="I77" s="78">
        <v>22</v>
      </c>
      <c r="J77" s="65" t="s">
        <v>197</v>
      </c>
      <c r="K77" s="75" t="str">
        <f>VLOOKUP(I77,[6]stage_hints!$A:$C,3,FALSE)</f>
        <v>フィーバーで一発逆転（その1）</v>
      </c>
      <c r="L77" s="76" t="str">
        <f>VLOOKUP(I77,[6]stage_hints!$A:$D,4,FALSE)</f>
        <v>フィーバーは攻撃と回復を兼ね備えます_x000D_ピンチからの一発逆転を狙いましょう</v>
      </c>
      <c r="M77" s="41" t="s">
        <v>212</v>
      </c>
    </row>
    <row r="78" spans="1:13" x14ac:dyDescent="0.15">
      <c r="A78" s="62" t="s">
        <v>200</v>
      </c>
      <c r="B78" s="63">
        <f>floors!$C$2</f>
        <v>20019</v>
      </c>
      <c r="C78" s="64" t="str">
        <f ca="1">VLOOKUP($B78,OFFSET([2]quests!$A$1,0,0,COUNTA([2]quests!$A:$A),MATCH(C$1,[2]quests!$1:$1,0)-MATCH($B$1,[2]quests!$1:$1,0)+1),MATCH(C$1,[2]quests!$1:$1,0)-MATCH($B$1,[2]quests!$1:$1,0)+1,FALSE)</f>
        <v>平安編０１（仮）</v>
      </c>
      <c r="D78" s="64" t="str">
        <f ca="1">VLOOKUP($B78,OFFSET([2]quests!$A$1,0,0,COUNTA([2]quests!$A:$A),MATCH(D$1,[2]quests!$1:$1,0)-MATCH($B$1,[2]quests!$1:$1,0)+1),MATCH(D$1,[2]quests!$1:$1,0)-MATCH($B$1,[2]quests!$1:$1,0)+1,FALSE)</f>
        <v>平安01</v>
      </c>
      <c r="E78" s="68">
        <v>3</v>
      </c>
      <c r="F78" s="64" t="str">
        <f ca="1">VLOOKUP($B78&amp;"_"&amp;$E78,OFFSET([2]stages!$A$1,0,0,COUNTA([2]stages!$A:$A),MATCH(F$1,[2]stages!$2:$2,0)-MATCH("temp_stage",[2]stages!$2:$2,0)+1),MATCH(F$1,[2]stages!$2:$2,0)-MATCH("temp_stage",[2]stages!$2:$2,0)+1,FALSE)</f>
        <v>【上級】平安編０１（仮）</v>
      </c>
      <c r="G78" s="64" t="str">
        <f ca="1">VLOOKUP($B78&amp;"_"&amp;$E78,OFFSET([2]stages!$A$1,0,0,COUNTA([2]stages!$A:$A),MATCH(G$1,[2]stages!$2:$2,0)-MATCH("temp_stage",[2]stages!$2:$2,0)+1),MATCH(G$1,[2]stages!$2:$2,0)-MATCH("temp_stage",[2]stages!$2:$2,0)+1,FALSE)</f>
        <v>平安01</v>
      </c>
      <c r="H78" s="66">
        <v>0</v>
      </c>
      <c r="I78" s="78">
        <v>23</v>
      </c>
      <c r="J78" s="65" t="s">
        <v>197</v>
      </c>
      <c r="K78" s="75" t="str">
        <f>VLOOKUP(I78,[6]stage_hints!$A:$C,3,FALSE)</f>
        <v>フィーバーで一発逆転（その2）</v>
      </c>
      <c r="L78" s="76" t="str">
        <f>VLOOKUP(I78,[6]stage_hints!$A:$D,4,FALSE)</f>
        <v>フィーバー中は虹色のボムパネルを狙って_x000D_画面上のパネルを一気に破壊しましょう</v>
      </c>
      <c r="M78" s="41" t="s">
        <v>212</v>
      </c>
    </row>
    <row r="79" spans="1:13" x14ac:dyDescent="0.15">
      <c r="A79" s="62" t="s">
        <v>200</v>
      </c>
      <c r="B79" s="63">
        <f>floors!$C$2</f>
        <v>20019</v>
      </c>
      <c r="C79" s="64" t="str">
        <f ca="1">VLOOKUP($B79,OFFSET([2]quests!$A$1,0,0,COUNTA([2]quests!$A:$A),MATCH(C$1,[2]quests!$1:$1,0)-MATCH($B$1,[2]quests!$1:$1,0)+1),MATCH(C$1,[2]quests!$1:$1,0)-MATCH($B$1,[2]quests!$1:$1,0)+1,FALSE)</f>
        <v>平安編０１（仮）</v>
      </c>
      <c r="D79" s="64" t="str">
        <f ca="1">VLOOKUP($B79,OFFSET([2]quests!$A$1,0,0,COUNTA([2]quests!$A:$A),MATCH(D$1,[2]quests!$1:$1,0)-MATCH($B$1,[2]quests!$1:$1,0)+1),MATCH(D$1,[2]quests!$1:$1,0)-MATCH($B$1,[2]quests!$1:$1,0)+1,FALSE)</f>
        <v>平安01</v>
      </c>
      <c r="E79" s="68">
        <v>3</v>
      </c>
      <c r="F79" s="64" t="str">
        <f ca="1">VLOOKUP($B79&amp;"_"&amp;$E79,OFFSET([2]stages!$A$1,0,0,COUNTA([2]stages!$A:$A),MATCH(F$1,[2]stages!$2:$2,0)-MATCH("temp_stage",[2]stages!$2:$2,0)+1),MATCH(F$1,[2]stages!$2:$2,0)-MATCH("temp_stage",[2]stages!$2:$2,0)+1,FALSE)</f>
        <v>【上級】平安編０１（仮）</v>
      </c>
      <c r="G79" s="64" t="str">
        <f ca="1">VLOOKUP($B79&amp;"_"&amp;$E79,OFFSET([2]stages!$A$1,0,0,COUNTA([2]stages!$A:$A),MATCH(G$1,[2]stages!$2:$2,0)-MATCH("temp_stage",[2]stages!$2:$2,0)+1),MATCH(G$1,[2]stages!$2:$2,0)-MATCH("temp_stage",[2]stages!$2:$2,0)+1,FALSE)</f>
        <v>平安01</v>
      </c>
      <c r="H79" s="66">
        <v>0</v>
      </c>
      <c r="I79" s="78">
        <v>24</v>
      </c>
      <c r="J79" s="65" t="s">
        <v>197</v>
      </c>
      <c r="K79" s="75" t="str">
        <f>VLOOKUP(I79,[6]stage_hints!$A:$C,3,FALSE)</f>
        <v>りんごを使って限界突破</v>
      </c>
      <c r="L79" s="76" t="str">
        <f>VLOOKUP(I79,[6]stage_hints!$A:$D,4,FALSE)</f>
        <v>赤りんご(攻撃力) 青りんご(回復力)_x000D_緑りんご(体力)をユニット強化に使うと_x000D_ステータスが限界突破します（計99個迄）</v>
      </c>
      <c r="M79" s="41" t="s">
        <v>212</v>
      </c>
    </row>
    <row r="80" spans="1:13" x14ac:dyDescent="0.15">
      <c r="A80" s="62" t="s">
        <v>200</v>
      </c>
      <c r="B80" s="63">
        <f>floors!$C$2</f>
        <v>20019</v>
      </c>
      <c r="C80" s="64" t="str">
        <f ca="1">VLOOKUP($B80,OFFSET([2]quests!$A$1,0,0,COUNTA([2]quests!$A:$A),MATCH(C$1,[2]quests!$1:$1,0)-MATCH($B$1,[2]quests!$1:$1,0)+1),MATCH(C$1,[2]quests!$1:$1,0)-MATCH($B$1,[2]quests!$1:$1,0)+1,FALSE)</f>
        <v>平安編０１（仮）</v>
      </c>
      <c r="D80" s="64" t="str">
        <f ca="1">VLOOKUP($B80,OFFSET([2]quests!$A$1,0,0,COUNTA([2]quests!$A:$A),MATCH(D$1,[2]quests!$1:$1,0)-MATCH($B$1,[2]quests!$1:$1,0)+1),MATCH(D$1,[2]quests!$1:$1,0)-MATCH($B$1,[2]quests!$1:$1,0)+1,FALSE)</f>
        <v>平安01</v>
      </c>
      <c r="E80" s="68">
        <v>3</v>
      </c>
      <c r="F80" s="64" t="str">
        <f ca="1">VLOOKUP($B80&amp;"_"&amp;$E80,OFFSET([2]stages!$A$1,0,0,COUNTA([2]stages!$A:$A),MATCH(F$1,[2]stages!$2:$2,0)-MATCH("temp_stage",[2]stages!$2:$2,0)+1),MATCH(F$1,[2]stages!$2:$2,0)-MATCH("temp_stage",[2]stages!$2:$2,0)+1,FALSE)</f>
        <v>【上級】平安編０１（仮）</v>
      </c>
      <c r="G80" s="64" t="str">
        <f ca="1">VLOOKUP($B80&amp;"_"&amp;$E80,OFFSET([2]stages!$A$1,0,0,COUNTA([2]stages!$A:$A),MATCH(G$1,[2]stages!$2:$2,0)-MATCH("temp_stage",[2]stages!$2:$2,0)+1),MATCH(G$1,[2]stages!$2:$2,0)-MATCH("temp_stage",[2]stages!$2:$2,0)+1,FALSE)</f>
        <v>平安01</v>
      </c>
      <c r="H80" s="66">
        <v>0</v>
      </c>
      <c r="I80" s="78">
        <v>25</v>
      </c>
      <c r="J80" s="65" t="s">
        <v>197</v>
      </c>
      <c r="K80" s="75" t="str">
        <f>VLOOKUP(I80,[6]stage_hints!$A:$C,3,FALSE)</f>
        <v>スキルレベルアップ</v>
      </c>
      <c r="L80" s="76" t="str">
        <f>VLOOKUP(I80,[6]stage_hints!$A:$D,4,FALSE)</f>
        <v>「クリスタルのりんご」を強化に使うと_x000D_スキルレベルを上げることができます</v>
      </c>
      <c r="M80" s="41" t="s">
        <v>212</v>
      </c>
    </row>
    <row r="81" spans="1:13" x14ac:dyDescent="0.15">
      <c r="A81" s="62" t="s">
        <v>200</v>
      </c>
      <c r="B81" s="63">
        <f>floors!$C$2</f>
        <v>20019</v>
      </c>
      <c r="C81" s="64" t="str">
        <f ca="1">VLOOKUP($B81,OFFSET([2]quests!$A$1,0,0,COUNTA([2]quests!$A:$A),MATCH(C$1,[2]quests!$1:$1,0)-MATCH($B$1,[2]quests!$1:$1,0)+1),MATCH(C$1,[2]quests!$1:$1,0)-MATCH($B$1,[2]quests!$1:$1,0)+1,FALSE)</f>
        <v>平安編０１（仮）</v>
      </c>
      <c r="D81" s="64" t="str">
        <f ca="1">VLOOKUP($B81,OFFSET([2]quests!$A$1,0,0,COUNTA([2]quests!$A:$A),MATCH(D$1,[2]quests!$1:$1,0)-MATCH($B$1,[2]quests!$1:$1,0)+1),MATCH(D$1,[2]quests!$1:$1,0)-MATCH($B$1,[2]quests!$1:$1,0)+1,FALSE)</f>
        <v>平安01</v>
      </c>
      <c r="E81" s="68">
        <v>3</v>
      </c>
      <c r="F81" s="64" t="str">
        <f ca="1">VLOOKUP($B81&amp;"_"&amp;$E81,OFFSET([2]stages!$A$1,0,0,COUNTA([2]stages!$A:$A),MATCH(F$1,[2]stages!$2:$2,0)-MATCH("temp_stage",[2]stages!$2:$2,0)+1),MATCH(F$1,[2]stages!$2:$2,0)-MATCH("temp_stage",[2]stages!$2:$2,0)+1,FALSE)</f>
        <v>【上級】平安編０１（仮）</v>
      </c>
      <c r="G81" s="64" t="str">
        <f ca="1">VLOOKUP($B81&amp;"_"&amp;$E81,OFFSET([2]stages!$A$1,0,0,COUNTA([2]stages!$A:$A),MATCH(G$1,[2]stages!$2:$2,0)-MATCH("temp_stage",[2]stages!$2:$2,0)+1),MATCH(G$1,[2]stages!$2:$2,0)-MATCH("temp_stage",[2]stages!$2:$2,0)+1,FALSE)</f>
        <v>平安01</v>
      </c>
      <c r="H81" s="66">
        <v>0</v>
      </c>
      <c r="I81" s="78">
        <v>26</v>
      </c>
      <c r="J81" s="65" t="s">
        <v>197</v>
      </c>
      <c r="K81" s="75" t="str">
        <f>VLOOKUP(I81,[6]stage_hints!$A:$C,3,FALSE)</f>
        <v>スキルレベルの効果</v>
      </c>
      <c r="L81" s="76" t="str">
        <f>VLOOKUP(I81,[6]stage_hints!$A:$D,4,FALSE)</f>
        <v>スキルレベルが上がると_x000D_短いターンでスキルを使うことができます</v>
      </c>
      <c r="M81" s="41" t="s">
        <v>212</v>
      </c>
    </row>
    <row r="82" spans="1:13" x14ac:dyDescent="0.15">
      <c r="A82" s="62" t="s">
        <v>200</v>
      </c>
      <c r="B82" s="63">
        <f>floors!$C$2</f>
        <v>20019</v>
      </c>
      <c r="C82" s="64" t="str">
        <f ca="1">VLOOKUP($B82,OFFSET([2]quests!$A$1,0,0,COUNTA([2]quests!$A:$A),MATCH(C$1,[2]quests!$1:$1,0)-MATCH($B$1,[2]quests!$1:$1,0)+1),MATCH(C$1,[2]quests!$1:$1,0)-MATCH($B$1,[2]quests!$1:$1,0)+1,FALSE)</f>
        <v>平安編０１（仮）</v>
      </c>
      <c r="D82" s="64" t="str">
        <f ca="1">VLOOKUP($B82,OFFSET([2]quests!$A$1,0,0,COUNTA([2]quests!$A:$A),MATCH(D$1,[2]quests!$1:$1,0)-MATCH($B$1,[2]quests!$1:$1,0)+1),MATCH(D$1,[2]quests!$1:$1,0)-MATCH($B$1,[2]quests!$1:$1,0)+1,FALSE)</f>
        <v>平安01</v>
      </c>
      <c r="E82" s="68">
        <v>3</v>
      </c>
      <c r="F82" s="64" t="str">
        <f ca="1">VLOOKUP($B82&amp;"_"&amp;$E82,OFFSET([2]stages!$A$1,0,0,COUNTA([2]stages!$A:$A),MATCH(F$1,[2]stages!$2:$2,0)-MATCH("temp_stage",[2]stages!$2:$2,0)+1),MATCH(F$1,[2]stages!$2:$2,0)-MATCH("temp_stage",[2]stages!$2:$2,0)+1,FALSE)</f>
        <v>【上級】平安編０１（仮）</v>
      </c>
      <c r="G82" s="64" t="str">
        <f ca="1">VLOOKUP($B82&amp;"_"&amp;$E82,OFFSET([2]stages!$A$1,0,0,COUNTA([2]stages!$A:$A),MATCH(G$1,[2]stages!$2:$2,0)-MATCH("temp_stage",[2]stages!$2:$2,0)+1),MATCH(G$1,[2]stages!$2:$2,0)-MATCH("temp_stage",[2]stages!$2:$2,0)+1,FALSE)</f>
        <v>平安01</v>
      </c>
      <c r="H82" s="66">
        <v>0</v>
      </c>
      <c r="I82" s="78">
        <v>27</v>
      </c>
      <c r="J82" s="65" t="s">
        <v>197</v>
      </c>
      <c r="K82" s="75" t="str">
        <f>VLOOKUP(I82,[6]stage_hints!$A:$C,3,FALSE)</f>
        <v>ホーム画面からデッキを編成</v>
      </c>
      <c r="L82" s="76" t="str">
        <f>VLOOKUP(I82,[6]stage_hints!$A:$D,4,FALSE)</f>
        <v>ホーム画面でユニットを長押しすると_x000D_すぐにパーティ編成に移動できます</v>
      </c>
      <c r="M82" s="41" t="s">
        <v>212</v>
      </c>
    </row>
    <row r="83" spans="1:13" x14ac:dyDescent="0.15">
      <c r="A83" s="62" t="s">
        <v>200</v>
      </c>
      <c r="B83" s="63">
        <f>floors!$C$2</f>
        <v>20019</v>
      </c>
      <c r="C83" s="64" t="str">
        <f ca="1">VLOOKUP($B83,OFFSET([2]quests!$A$1,0,0,COUNTA([2]quests!$A:$A),MATCH(C$1,[2]quests!$1:$1,0)-MATCH($B$1,[2]quests!$1:$1,0)+1),MATCH(C$1,[2]quests!$1:$1,0)-MATCH($B$1,[2]quests!$1:$1,0)+1,FALSE)</f>
        <v>平安編０１（仮）</v>
      </c>
      <c r="D83" s="64" t="str">
        <f ca="1">VLOOKUP($B83,OFFSET([2]quests!$A$1,0,0,COUNTA([2]quests!$A:$A),MATCH(D$1,[2]quests!$1:$1,0)-MATCH($B$1,[2]quests!$1:$1,0)+1),MATCH(D$1,[2]quests!$1:$1,0)-MATCH($B$1,[2]quests!$1:$1,0)+1,FALSE)</f>
        <v>平安01</v>
      </c>
      <c r="E83" s="68">
        <v>3</v>
      </c>
      <c r="F83" s="64" t="str">
        <f ca="1">VLOOKUP($B83&amp;"_"&amp;$E83,OFFSET([2]stages!$A$1,0,0,COUNTA([2]stages!$A:$A),MATCH(F$1,[2]stages!$2:$2,0)-MATCH("temp_stage",[2]stages!$2:$2,0)+1),MATCH(F$1,[2]stages!$2:$2,0)-MATCH("temp_stage",[2]stages!$2:$2,0)+1,FALSE)</f>
        <v>【上級】平安編０１（仮）</v>
      </c>
      <c r="G83" s="64" t="str">
        <f ca="1">VLOOKUP($B83&amp;"_"&amp;$E83,OFFSET([2]stages!$A$1,0,0,COUNTA([2]stages!$A:$A),MATCH(G$1,[2]stages!$2:$2,0)-MATCH("temp_stage",[2]stages!$2:$2,0)+1),MATCH(G$1,[2]stages!$2:$2,0)-MATCH("temp_stage",[2]stages!$2:$2,0)+1,FALSE)</f>
        <v>平安01</v>
      </c>
      <c r="H83" s="66">
        <v>0</v>
      </c>
      <c r="I83" s="78">
        <v>28</v>
      </c>
      <c r="J83" s="65" t="s">
        <v>197</v>
      </c>
      <c r="K83" s="75" t="str">
        <f>VLOOKUP(I83,[6]stage_hints!$A:$C,3,FALSE)</f>
        <v>ステータス情報は長押しで</v>
      </c>
      <c r="L83" s="76" t="str">
        <f>VLOOKUP(I83,[6]stage_hints!$A:$D,4,FALSE)</f>
        <v>ユニットのアイコンを長押しすると_x000D_ステータス情報を確認することができます</v>
      </c>
      <c r="M83" s="41" t="s">
        <v>212</v>
      </c>
    </row>
    <row r="84" spans="1:13" x14ac:dyDescent="0.15">
      <c r="A84" s="62" t="s">
        <v>200</v>
      </c>
      <c r="B84" s="63">
        <f>floors!$C$2</f>
        <v>20019</v>
      </c>
      <c r="C84" s="64" t="str">
        <f ca="1">VLOOKUP($B84,OFFSET([2]quests!$A$1,0,0,COUNTA([2]quests!$A:$A),MATCH(C$1,[2]quests!$1:$1,0)-MATCH($B$1,[2]quests!$1:$1,0)+1),MATCH(C$1,[2]quests!$1:$1,0)-MATCH($B$1,[2]quests!$1:$1,0)+1,FALSE)</f>
        <v>平安編０１（仮）</v>
      </c>
      <c r="D84" s="64" t="str">
        <f ca="1">VLOOKUP($B84,OFFSET([2]quests!$A$1,0,0,COUNTA([2]quests!$A:$A),MATCH(D$1,[2]quests!$1:$1,0)-MATCH($B$1,[2]quests!$1:$1,0)+1),MATCH(D$1,[2]quests!$1:$1,0)-MATCH($B$1,[2]quests!$1:$1,0)+1,FALSE)</f>
        <v>平安01</v>
      </c>
      <c r="E84" s="68">
        <v>3</v>
      </c>
      <c r="F84" s="64" t="str">
        <f ca="1">VLOOKUP($B84&amp;"_"&amp;$E84,OFFSET([2]stages!$A$1,0,0,COUNTA([2]stages!$A:$A),MATCH(F$1,[2]stages!$2:$2,0)-MATCH("temp_stage",[2]stages!$2:$2,0)+1),MATCH(F$1,[2]stages!$2:$2,0)-MATCH("temp_stage",[2]stages!$2:$2,0)+1,FALSE)</f>
        <v>【上級】平安編０１（仮）</v>
      </c>
      <c r="G84" s="64" t="str">
        <f ca="1">VLOOKUP($B84&amp;"_"&amp;$E84,OFFSET([2]stages!$A$1,0,0,COUNTA([2]stages!$A:$A),MATCH(G$1,[2]stages!$2:$2,0)-MATCH("temp_stage",[2]stages!$2:$2,0)+1),MATCH(G$1,[2]stages!$2:$2,0)-MATCH("temp_stage",[2]stages!$2:$2,0)+1,FALSE)</f>
        <v>平安01</v>
      </c>
      <c r="H84" s="66">
        <v>0</v>
      </c>
      <c r="I84" s="78">
        <v>29</v>
      </c>
      <c r="J84" s="65" t="s">
        <v>197</v>
      </c>
      <c r="K84" s="75" t="str">
        <f>VLOOKUP(I84,[6]stage_hints!$A:$C,3,FALSE)</f>
        <v>「バグ」のメリット</v>
      </c>
      <c r="L84" s="76" t="str">
        <f>VLOOKUP(I84,[6]stage_hints!$A:$D,4,FALSE)</f>
        <v>ユニットの「バグ」を増やすと_x000D_報酬をもらえる確率がアップします</v>
      </c>
      <c r="M84" s="41" t="s">
        <v>212</v>
      </c>
    </row>
    <row r="85" spans="1:13" x14ac:dyDescent="0.15">
      <c r="A85" s="62" t="s">
        <v>200</v>
      </c>
      <c r="B85" s="63">
        <f>floors!$C$2</f>
        <v>20019</v>
      </c>
      <c r="C85" s="64" t="str">
        <f ca="1">VLOOKUP($B85,OFFSET([2]quests!$A$1,0,0,COUNTA([2]quests!$A:$A),MATCH(C$1,[2]quests!$1:$1,0)-MATCH($B$1,[2]quests!$1:$1,0)+1),MATCH(C$1,[2]quests!$1:$1,0)-MATCH($B$1,[2]quests!$1:$1,0)+1,FALSE)</f>
        <v>平安編０１（仮）</v>
      </c>
      <c r="D85" s="64" t="str">
        <f ca="1">VLOOKUP($B85,OFFSET([2]quests!$A$1,0,0,COUNTA([2]quests!$A:$A),MATCH(D$1,[2]quests!$1:$1,0)-MATCH($B$1,[2]quests!$1:$1,0)+1),MATCH(D$1,[2]quests!$1:$1,0)-MATCH($B$1,[2]quests!$1:$1,0)+1,FALSE)</f>
        <v>平安01</v>
      </c>
      <c r="E85" s="68">
        <v>3</v>
      </c>
      <c r="F85" s="64" t="str">
        <f ca="1">VLOOKUP($B85&amp;"_"&amp;$E85,OFFSET([2]stages!$A$1,0,0,COUNTA([2]stages!$A:$A),MATCH(F$1,[2]stages!$2:$2,0)-MATCH("temp_stage",[2]stages!$2:$2,0)+1),MATCH(F$1,[2]stages!$2:$2,0)-MATCH("temp_stage",[2]stages!$2:$2,0)+1,FALSE)</f>
        <v>【上級】平安編０１（仮）</v>
      </c>
      <c r="G85" s="64" t="str">
        <f ca="1">VLOOKUP($B85&amp;"_"&amp;$E85,OFFSET([2]stages!$A$1,0,0,COUNTA([2]stages!$A:$A),MATCH(G$1,[2]stages!$2:$2,0)-MATCH("temp_stage",[2]stages!$2:$2,0)+1),MATCH(G$1,[2]stages!$2:$2,0)-MATCH("temp_stage",[2]stages!$2:$2,0)+1,FALSE)</f>
        <v>平安01</v>
      </c>
      <c r="H85" s="66">
        <v>0</v>
      </c>
      <c r="I85" s="78">
        <v>30</v>
      </c>
      <c r="J85" s="65" t="s">
        <v>197</v>
      </c>
      <c r="K85" s="75" t="str">
        <f>VLOOKUP(I85,[6]stage_hints!$A:$C,3,FALSE)</f>
        <v>「バグ」の増やし方</v>
      </c>
      <c r="L85" s="76" t="str">
        <f>VLOOKUP(I85,[6]stage_hints!$A:$D,4,FALSE)</f>
        <v>同じユニット同士を強化で合成すると_x000D_「バグ」を増やすことができます</v>
      </c>
      <c r="M85" s="41" t="s">
        <v>212</v>
      </c>
    </row>
    <row r="86" spans="1:13" x14ac:dyDescent="0.15">
      <c r="A86" s="62" t="s">
        <v>200</v>
      </c>
      <c r="B86" s="63">
        <f>floors!$C$2</f>
        <v>20019</v>
      </c>
      <c r="C86" s="64" t="str">
        <f ca="1">VLOOKUP($B86,OFFSET([2]quests!$A$1,0,0,COUNTA([2]quests!$A:$A),MATCH(C$1,[2]quests!$1:$1,0)-MATCH($B$1,[2]quests!$1:$1,0)+1),MATCH(C$1,[2]quests!$1:$1,0)-MATCH($B$1,[2]quests!$1:$1,0)+1,FALSE)</f>
        <v>平安編０１（仮）</v>
      </c>
      <c r="D86" s="64" t="str">
        <f ca="1">VLOOKUP($B86,OFFSET([2]quests!$A$1,0,0,COUNTA([2]quests!$A:$A),MATCH(D$1,[2]quests!$1:$1,0)-MATCH($B$1,[2]quests!$1:$1,0)+1),MATCH(D$1,[2]quests!$1:$1,0)-MATCH($B$1,[2]quests!$1:$1,0)+1,FALSE)</f>
        <v>平安01</v>
      </c>
      <c r="E86" s="68">
        <v>3</v>
      </c>
      <c r="F86" s="64" t="str">
        <f ca="1">VLOOKUP($B86&amp;"_"&amp;$E86,OFFSET([2]stages!$A$1,0,0,COUNTA([2]stages!$A:$A),MATCH(F$1,[2]stages!$2:$2,0)-MATCH("temp_stage",[2]stages!$2:$2,0)+1),MATCH(F$1,[2]stages!$2:$2,0)-MATCH("temp_stage",[2]stages!$2:$2,0)+1,FALSE)</f>
        <v>【上級】平安編０１（仮）</v>
      </c>
      <c r="G86" s="64" t="str">
        <f ca="1">VLOOKUP($B86&amp;"_"&amp;$E86,OFFSET([2]stages!$A$1,0,0,COUNTA([2]stages!$A:$A),MATCH(G$1,[2]stages!$2:$2,0)-MATCH("temp_stage",[2]stages!$2:$2,0)+1),MATCH(G$1,[2]stages!$2:$2,0)-MATCH("temp_stage",[2]stages!$2:$2,0)+1,FALSE)</f>
        <v>平安01</v>
      </c>
      <c r="H86" s="66">
        <v>0</v>
      </c>
      <c r="I86" s="78">
        <v>31</v>
      </c>
      <c r="J86" s="65" t="s">
        <v>197</v>
      </c>
      <c r="K86" s="75" t="str">
        <f>VLOOKUP(I86,[6]stage_hints!$A:$C,3,FALSE)</f>
        <v>イベントはお知らせでチェック</v>
      </c>
      <c r="L86" s="76" t="str">
        <f>VLOOKUP(I86,[6]stage_hints!$A:$D,4,FALSE)</f>
        <v>イベント限定ユニットを取り忘れないように_x000D_お知らせをこまめにチェックしましょう</v>
      </c>
      <c r="M86" s="41" t="s">
        <v>212</v>
      </c>
    </row>
    <row r="87" spans="1:13" x14ac:dyDescent="0.15">
      <c r="A87" s="62" t="s">
        <v>200</v>
      </c>
      <c r="B87" s="63">
        <f>floors!$C$2</f>
        <v>20019</v>
      </c>
      <c r="C87" s="64" t="str">
        <f ca="1">VLOOKUP($B87,OFFSET([2]quests!$A$1,0,0,COUNTA([2]quests!$A:$A),MATCH(C$1,[2]quests!$1:$1,0)-MATCH($B$1,[2]quests!$1:$1,0)+1),MATCH(C$1,[2]quests!$1:$1,0)-MATCH($B$1,[2]quests!$1:$1,0)+1,FALSE)</f>
        <v>平安編０１（仮）</v>
      </c>
      <c r="D87" s="64" t="str">
        <f ca="1">VLOOKUP($B87,OFFSET([2]quests!$A$1,0,0,COUNTA([2]quests!$A:$A),MATCH(D$1,[2]quests!$1:$1,0)-MATCH($B$1,[2]quests!$1:$1,0)+1),MATCH(D$1,[2]quests!$1:$1,0)-MATCH($B$1,[2]quests!$1:$1,0)+1,FALSE)</f>
        <v>平安01</v>
      </c>
      <c r="E87" s="68">
        <v>3</v>
      </c>
      <c r="F87" s="64" t="str">
        <f ca="1">VLOOKUP($B87&amp;"_"&amp;$E87,OFFSET([2]stages!$A$1,0,0,COUNTA([2]stages!$A:$A),MATCH(F$1,[2]stages!$2:$2,0)-MATCH("temp_stage",[2]stages!$2:$2,0)+1),MATCH(F$1,[2]stages!$2:$2,0)-MATCH("temp_stage",[2]stages!$2:$2,0)+1,FALSE)</f>
        <v>【上級】平安編０１（仮）</v>
      </c>
      <c r="G87" s="64" t="str">
        <f ca="1">VLOOKUP($B87&amp;"_"&amp;$E87,OFFSET([2]stages!$A$1,0,0,COUNTA([2]stages!$A:$A),MATCH(G$1,[2]stages!$2:$2,0)-MATCH("temp_stage",[2]stages!$2:$2,0)+1),MATCH(G$1,[2]stages!$2:$2,0)-MATCH("temp_stage",[2]stages!$2:$2,0)+1,FALSE)</f>
        <v>平安01</v>
      </c>
      <c r="H87" s="66">
        <v>0</v>
      </c>
      <c r="I87" s="78">
        <v>32</v>
      </c>
      <c r="J87" s="65" t="s">
        <v>197</v>
      </c>
      <c r="K87" s="75" t="str">
        <f>VLOOKUP(I87,[6]stage_hints!$A:$C,3,FALSE)</f>
        <v>敵の連続攻撃には</v>
      </c>
      <c r="L87" s="76" t="str">
        <f>VLOOKUP(I87,[6]stage_hints!$A:$D,4,FALSE)</f>
        <v>カウンタースキルを持つユニットがいれば_x000D_ダメージ回数分の反撃ができます</v>
      </c>
      <c r="M87" s="41" t="s">
        <v>212</v>
      </c>
    </row>
    <row r="88" spans="1:13" x14ac:dyDescent="0.15">
      <c r="A88" s="62" t="s">
        <v>200</v>
      </c>
      <c r="B88" s="63">
        <f>floors!$C$2</f>
        <v>20019</v>
      </c>
      <c r="C88" s="64" t="str">
        <f ca="1">VLOOKUP($B88,OFFSET([2]quests!$A$1,0,0,COUNTA([2]quests!$A:$A),MATCH(C$1,[2]quests!$1:$1,0)-MATCH($B$1,[2]quests!$1:$1,0)+1),MATCH(C$1,[2]quests!$1:$1,0)-MATCH($B$1,[2]quests!$1:$1,0)+1,FALSE)</f>
        <v>平安編０１（仮）</v>
      </c>
      <c r="D88" s="64" t="str">
        <f ca="1">VLOOKUP($B88,OFFSET([2]quests!$A$1,0,0,COUNTA([2]quests!$A:$A),MATCH(D$1,[2]quests!$1:$1,0)-MATCH($B$1,[2]quests!$1:$1,0)+1),MATCH(D$1,[2]quests!$1:$1,0)-MATCH($B$1,[2]quests!$1:$1,0)+1,FALSE)</f>
        <v>平安01</v>
      </c>
      <c r="E88" s="68">
        <v>3</v>
      </c>
      <c r="F88" s="64" t="str">
        <f ca="1">VLOOKUP($B88&amp;"_"&amp;$E88,OFFSET([2]stages!$A$1,0,0,COUNTA([2]stages!$A:$A),MATCH(F$1,[2]stages!$2:$2,0)-MATCH("temp_stage",[2]stages!$2:$2,0)+1),MATCH(F$1,[2]stages!$2:$2,0)-MATCH("temp_stage",[2]stages!$2:$2,0)+1,FALSE)</f>
        <v>【上級】平安編０１（仮）</v>
      </c>
      <c r="G88" s="64" t="str">
        <f ca="1">VLOOKUP($B88&amp;"_"&amp;$E88,OFFSET([2]stages!$A$1,0,0,COUNTA([2]stages!$A:$A),MATCH(G$1,[2]stages!$2:$2,0)-MATCH("temp_stage",[2]stages!$2:$2,0)+1),MATCH(G$1,[2]stages!$2:$2,0)-MATCH("temp_stage",[2]stages!$2:$2,0)+1,FALSE)</f>
        <v>平安01</v>
      </c>
      <c r="H88" s="66">
        <v>0</v>
      </c>
      <c r="I88" s="78">
        <v>33</v>
      </c>
      <c r="J88" s="65" t="s">
        <v>197</v>
      </c>
      <c r="K88" s="75" t="str">
        <f>VLOOKUP(I88,[6]stage_hints!$A:$C,3,FALSE)</f>
        <v>敵のカウンター攻撃には</v>
      </c>
      <c r="L88" s="76" t="str">
        <f>VLOOKUP(I88,[6]stage_hints!$A:$D,4,FALSE)</f>
        <v>カウンターブレイクスキルを持っていれば_x000D_敵のカウンターを解除して攻撃ができます</v>
      </c>
      <c r="M88" s="41" t="s">
        <v>212</v>
      </c>
    </row>
    <row r="89" spans="1:13" x14ac:dyDescent="0.15">
      <c r="A89" s="62" t="s">
        <v>200</v>
      </c>
      <c r="B89" s="63">
        <f>floors!$C$2</f>
        <v>20019</v>
      </c>
      <c r="C89" s="64" t="str">
        <f ca="1">VLOOKUP($B89,OFFSET([2]quests!$A$1,0,0,COUNTA([2]quests!$A:$A),MATCH(C$1,[2]quests!$1:$1,0)-MATCH($B$1,[2]quests!$1:$1,0)+1),MATCH(C$1,[2]quests!$1:$1,0)-MATCH($B$1,[2]quests!$1:$1,0)+1,FALSE)</f>
        <v>平安編０１（仮）</v>
      </c>
      <c r="D89" s="64" t="str">
        <f ca="1">VLOOKUP($B89,OFFSET([2]quests!$A$1,0,0,COUNTA([2]quests!$A:$A),MATCH(D$1,[2]quests!$1:$1,0)-MATCH($B$1,[2]quests!$1:$1,0)+1),MATCH(D$1,[2]quests!$1:$1,0)-MATCH($B$1,[2]quests!$1:$1,0)+1,FALSE)</f>
        <v>平安01</v>
      </c>
      <c r="E89" s="68">
        <v>3</v>
      </c>
      <c r="F89" s="64" t="str">
        <f ca="1">VLOOKUP($B89&amp;"_"&amp;$E89,OFFSET([2]stages!$A$1,0,0,COUNTA([2]stages!$A:$A),MATCH(F$1,[2]stages!$2:$2,0)-MATCH("temp_stage",[2]stages!$2:$2,0)+1),MATCH(F$1,[2]stages!$2:$2,0)-MATCH("temp_stage",[2]stages!$2:$2,0)+1,FALSE)</f>
        <v>【上級】平安編０１（仮）</v>
      </c>
      <c r="G89" s="64" t="str">
        <f ca="1">VLOOKUP($B89&amp;"_"&amp;$E89,OFFSET([2]stages!$A$1,0,0,COUNTA([2]stages!$A:$A),MATCH(G$1,[2]stages!$2:$2,0)-MATCH("temp_stage",[2]stages!$2:$2,0)+1),MATCH(G$1,[2]stages!$2:$2,0)-MATCH("temp_stage",[2]stages!$2:$2,0)+1,FALSE)</f>
        <v>平安01</v>
      </c>
      <c r="H89" s="66">
        <v>0</v>
      </c>
      <c r="I89" s="78">
        <v>34</v>
      </c>
      <c r="J89" s="65" t="s">
        <v>197</v>
      </c>
      <c r="K89" s="75" t="str">
        <f>VLOOKUP(I89,[6]stage_hints!$A:$C,3,FALSE)</f>
        <v>ステータスをスキルで下げられたら</v>
      </c>
      <c r="L89" s="76" t="str">
        <f>VLOOKUP(I89,[6]stage_hints!$A:$D,4,FALSE)</f>
        <v>ステータスダウンのスキルを受けたら_x000D_ステータスアップスキルで上書きしましょう</v>
      </c>
      <c r="M89" s="41" t="s">
        <v>212</v>
      </c>
    </row>
    <row r="90" spans="1:13" x14ac:dyDescent="0.15">
      <c r="A90" s="62" t="s">
        <v>200</v>
      </c>
      <c r="B90" s="63">
        <f>floors!$C$2</f>
        <v>20019</v>
      </c>
      <c r="C90" s="64" t="str">
        <f ca="1">VLOOKUP($B90,OFFSET([2]quests!$A$1,0,0,COUNTA([2]quests!$A:$A),MATCH(C$1,[2]quests!$1:$1,0)-MATCH($B$1,[2]quests!$1:$1,0)+1),MATCH(C$1,[2]quests!$1:$1,0)-MATCH($B$1,[2]quests!$1:$1,0)+1,FALSE)</f>
        <v>平安編０１（仮）</v>
      </c>
      <c r="D90" s="64" t="str">
        <f ca="1">VLOOKUP($B90,OFFSET([2]quests!$A$1,0,0,COUNTA([2]quests!$A:$A),MATCH(D$1,[2]quests!$1:$1,0)-MATCH($B$1,[2]quests!$1:$1,0)+1),MATCH(D$1,[2]quests!$1:$1,0)-MATCH($B$1,[2]quests!$1:$1,0)+1,FALSE)</f>
        <v>平安01</v>
      </c>
      <c r="E90" s="68">
        <v>3</v>
      </c>
      <c r="F90" s="64" t="str">
        <f ca="1">VLOOKUP($B90&amp;"_"&amp;$E90,OFFSET([2]stages!$A$1,0,0,COUNTA([2]stages!$A:$A),MATCH(F$1,[2]stages!$2:$2,0)-MATCH("temp_stage",[2]stages!$2:$2,0)+1),MATCH(F$1,[2]stages!$2:$2,0)-MATCH("temp_stage",[2]stages!$2:$2,0)+1,FALSE)</f>
        <v>【上級】平安編０１（仮）</v>
      </c>
      <c r="G90" s="64" t="str">
        <f ca="1">VLOOKUP($B90&amp;"_"&amp;$E90,OFFSET([2]stages!$A$1,0,0,COUNTA([2]stages!$A:$A),MATCH(G$1,[2]stages!$2:$2,0)-MATCH("temp_stage",[2]stages!$2:$2,0)+1),MATCH(G$1,[2]stages!$2:$2,0)-MATCH("temp_stage",[2]stages!$2:$2,0)+1,FALSE)</f>
        <v>平安01</v>
      </c>
      <c r="H90" s="66">
        <v>0</v>
      </c>
      <c r="I90" s="78">
        <v>35</v>
      </c>
      <c r="J90" s="65" t="s">
        <v>197</v>
      </c>
      <c r="K90" s="75" t="str">
        <f>VLOOKUP(I90,[6]stage_hints!$A:$C,3,FALSE)</f>
        <v>敵のステータスがスキルで上がったら</v>
      </c>
      <c r="L90" s="76" t="str">
        <f>VLOOKUP(I90,[6]stage_hints!$A:$D,4,FALSE)</f>
        <v>敵のステータスがスキルでアップしたときは_x000D_ステータスダウンスキルで上書きしましょう</v>
      </c>
      <c r="M90" s="41" t="s">
        <v>212</v>
      </c>
    </row>
    <row r="91" spans="1:13" x14ac:dyDescent="0.15">
      <c r="A91" s="62" t="s">
        <v>200</v>
      </c>
      <c r="B91" s="63">
        <f>floors!$C$2</f>
        <v>20019</v>
      </c>
      <c r="C91" s="64" t="str">
        <f ca="1">VLOOKUP($B91,OFFSET([2]quests!$A$1,0,0,COUNTA([2]quests!$A:$A),MATCH(C$1,[2]quests!$1:$1,0)-MATCH($B$1,[2]quests!$1:$1,0)+1),MATCH(C$1,[2]quests!$1:$1,0)-MATCH($B$1,[2]quests!$1:$1,0)+1,FALSE)</f>
        <v>平安編０１（仮）</v>
      </c>
      <c r="D91" s="64" t="str">
        <f ca="1">VLOOKUP($B91,OFFSET([2]quests!$A$1,0,0,COUNTA([2]quests!$A:$A),MATCH(D$1,[2]quests!$1:$1,0)-MATCH($B$1,[2]quests!$1:$1,0)+1),MATCH(D$1,[2]quests!$1:$1,0)-MATCH($B$1,[2]quests!$1:$1,0)+1,FALSE)</f>
        <v>平安01</v>
      </c>
      <c r="E91" s="68">
        <v>3</v>
      </c>
      <c r="F91" s="64" t="str">
        <f ca="1">VLOOKUP($B91&amp;"_"&amp;$E91,OFFSET([2]stages!$A$1,0,0,COUNTA([2]stages!$A:$A),MATCH(F$1,[2]stages!$2:$2,0)-MATCH("temp_stage",[2]stages!$2:$2,0)+1),MATCH(F$1,[2]stages!$2:$2,0)-MATCH("temp_stage",[2]stages!$2:$2,0)+1,FALSE)</f>
        <v>【上級】平安編０１（仮）</v>
      </c>
      <c r="G91" s="64" t="str">
        <f ca="1">VLOOKUP($B91&amp;"_"&amp;$E91,OFFSET([2]stages!$A$1,0,0,COUNTA([2]stages!$A:$A),MATCH(G$1,[2]stages!$2:$2,0)-MATCH("temp_stage",[2]stages!$2:$2,0)+1),MATCH(G$1,[2]stages!$2:$2,0)-MATCH("temp_stage",[2]stages!$2:$2,0)+1,FALSE)</f>
        <v>平安01</v>
      </c>
      <c r="H91" s="66">
        <v>0</v>
      </c>
      <c r="I91" s="78">
        <v>36</v>
      </c>
      <c r="J91" s="65" t="s">
        <v>197</v>
      </c>
      <c r="K91" s="75" t="str">
        <f>VLOOKUP(I91,[6]stage_hints!$A:$C,3,FALSE)</f>
        <v>チャレンジタワーのボス</v>
      </c>
      <c r="L91" s="76" t="str">
        <f>VLOOKUP(I91,[6]stage_hints!$A:$D,4,FALSE)</f>
        <v>チャレンジタワーでのみ登場するボスは_x000D_一定確率で獲得することができます</v>
      </c>
      <c r="M91" s="41" t="s">
        <v>212</v>
      </c>
    </row>
    <row r="92" spans="1:13" x14ac:dyDescent="0.15">
      <c r="A92" s="62" t="s">
        <v>200</v>
      </c>
      <c r="B92" s="63">
        <f>floors!$C$2</f>
        <v>20019</v>
      </c>
      <c r="C92" s="64" t="str">
        <f ca="1">VLOOKUP($B92,OFFSET([2]quests!$A$1,0,0,COUNTA([2]quests!$A:$A),MATCH(C$1,[2]quests!$1:$1,0)-MATCH($B$1,[2]quests!$1:$1,0)+1),MATCH(C$1,[2]quests!$1:$1,0)-MATCH($B$1,[2]quests!$1:$1,0)+1,FALSE)</f>
        <v>平安編０１（仮）</v>
      </c>
      <c r="D92" s="64" t="str">
        <f ca="1">VLOOKUP($B92,OFFSET([2]quests!$A$1,0,0,COUNTA([2]quests!$A:$A),MATCH(D$1,[2]quests!$1:$1,0)-MATCH($B$1,[2]quests!$1:$1,0)+1),MATCH(D$1,[2]quests!$1:$1,0)-MATCH($B$1,[2]quests!$1:$1,0)+1,FALSE)</f>
        <v>平安01</v>
      </c>
      <c r="E92" s="68">
        <v>3</v>
      </c>
      <c r="F92" s="64" t="str">
        <f ca="1">VLOOKUP($B92&amp;"_"&amp;$E92,OFFSET([2]stages!$A$1,0,0,COUNTA([2]stages!$A:$A),MATCH(F$1,[2]stages!$2:$2,0)-MATCH("temp_stage",[2]stages!$2:$2,0)+1),MATCH(F$1,[2]stages!$2:$2,0)-MATCH("temp_stage",[2]stages!$2:$2,0)+1,FALSE)</f>
        <v>【上級】平安編０１（仮）</v>
      </c>
      <c r="G92" s="64" t="str">
        <f ca="1">VLOOKUP($B92&amp;"_"&amp;$E92,OFFSET([2]stages!$A$1,0,0,COUNTA([2]stages!$A:$A),MATCH(G$1,[2]stages!$2:$2,0)-MATCH("temp_stage",[2]stages!$2:$2,0)+1),MATCH(G$1,[2]stages!$2:$2,0)-MATCH("temp_stage",[2]stages!$2:$2,0)+1,FALSE)</f>
        <v>平安01</v>
      </c>
      <c r="H92" s="66">
        <v>0</v>
      </c>
      <c r="I92" s="78">
        <v>37</v>
      </c>
      <c r="J92" s="65" t="s">
        <v>197</v>
      </c>
      <c r="K92" s="75" t="str">
        <f>VLOOKUP(I92,[6]stage_hints!$A:$C,3,FALSE)</f>
        <v>限界突破値の引き継ぎ</v>
      </c>
      <c r="L92" s="76" t="str">
        <f>VLOOKUP(I92,[6]stage_hints!$A:$D,4,FALSE)</f>
        <v>同じユニットを強化で合成すると_x000D_限界突破値を引き継げます（覚醒前後も可）</v>
      </c>
      <c r="M92" s="41" t="s">
        <v>212</v>
      </c>
    </row>
    <row r="93" spans="1:13" x14ac:dyDescent="0.15">
      <c r="A93" s="62" t="s">
        <v>200</v>
      </c>
      <c r="B93" s="63">
        <f>floors!$C$2</f>
        <v>20019</v>
      </c>
      <c r="C93" s="64" t="str">
        <f ca="1">VLOOKUP($B93,OFFSET([2]quests!$A$1,0,0,COUNTA([2]quests!$A:$A),MATCH(C$1,[2]quests!$1:$1,0)-MATCH($B$1,[2]quests!$1:$1,0)+1),MATCH(C$1,[2]quests!$1:$1,0)-MATCH($B$1,[2]quests!$1:$1,0)+1,FALSE)</f>
        <v>平安編０１（仮）</v>
      </c>
      <c r="D93" s="64" t="str">
        <f ca="1">VLOOKUP($B93,OFFSET([2]quests!$A$1,0,0,COUNTA([2]quests!$A:$A),MATCH(D$1,[2]quests!$1:$1,0)-MATCH($B$1,[2]quests!$1:$1,0)+1),MATCH(D$1,[2]quests!$1:$1,0)-MATCH($B$1,[2]quests!$1:$1,0)+1,FALSE)</f>
        <v>平安01</v>
      </c>
      <c r="E93" s="68">
        <v>3</v>
      </c>
      <c r="F93" s="64" t="str">
        <f ca="1">VLOOKUP($B93&amp;"_"&amp;$E93,OFFSET([2]stages!$A$1,0,0,COUNTA([2]stages!$A:$A),MATCH(F$1,[2]stages!$2:$2,0)-MATCH("temp_stage",[2]stages!$2:$2,0)+1),MATCH(F$1,[2]stages!$2:$2,0)-MATCH("temp_stage",[2]stages!$2:$2,0)+1,FALSE)</f>
        <v>【上級】平安編０１（仮）</v>
      </c>
      <c r="G93" s="64" t="str">
        <f ca="1">VLOOKUP($B93&amp;"_"&amp;$E93,OFFSET([2]stages!$A$1,0,0,COUNTA([2]stages!$A:$A),MATCH(G$1,[2]stages!$2:$2,0)-MATCH("temp_stage",[2]stages!$2:$2,0)+1),MATCH(G$1,[2]stages!$2:$2,0)-MATCH("temp_stage",[2]stages!$2:$2,0)+1,FALSE)</f>
        <v>平安01</v>
      </c>
      <c r="H93" s="66">
        <v>0</v>
      </c>
      <c r="I93" s="78">
        <v>39</v>
      </c>
      <c r="J93" s="65" t="s">
        <v>197</v>
      </c>
      <c r="K93" s="75" t="str">
        <f>VLOOKUP(I93,[6]stage_hints!$A:$C,3,FALSE)</f>
        <v>システム適合者を確認</v>
      </c>
      <c r="L93" s="76" t="str">
        <f>VLOOKUP(I93,[6]stage_hints!$A:$D,4,FALSE)</f>
        <v>ALICEが 「アナタ」を呼んでいます</v>
      </c>
      <c r="M93" s="41" t="s">
        <v>212</v>
      </c>
    </row>
  </sheetData>
  <phoneticPr fontId="5"/>
  <dataValidations count="1">
    <dataValidation type="list" allowBlank="1" showInputMessage="1" showErrorMessage="1" sqref="A2:A93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9"/>
  <sheetViews>
    <sheetView showGridLines="0" workbookViewId="0">
      <pane ySplit="1" topLeftCell="A2" activePane="bottomLeft" state="frozen"/>
      <selection pane="bottomLeft" activeCell="A10" sqref="A10"/>
    </sheetView>
  </sheetViews>
  <sheetFormatPr baseColWidth="12" defaultColWidth="13" defaultRowHeight="15" outlineLevelCol="1" x14ac:dyDescent="0.15"/>
  <cols>
    <col min="1" max="1" width="13" style="70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57" t="s">
        <v>187</v>
      </c>
      <c r="B1" s="54" t="s">
        <v>148</v>
      </c>
      <c r="C1" s="58" t="s">
        <v>189</v>
      </c>
      <c r="D1" s="58" t="s">
        <v>33</v>
      </c>
      <c r="E1" s="54" t="s">
        <v>190</v>
      </c>
      <c r="F1" s="58" t="s">
        <v>18</v>
      </c>
      <c r="G1" s="58" t="s">
        <v>33</v>
      </c>
      <c r="H1" s="54" t="s">
        <v>192</v>
      </c>
      <c r="I1" s="71" t="s">
        <v>193</v>
      </c>
      <c r="J1" s="73" t="s">
        <v>194</v>
      </c>
      <c r="K1" s="60" t="s">
        <v>125</v>
      </c>
      <c r="L1" s="59" t="s">
        <v>185</v>
      </c>
      <c r="M1" s="74" t="s">
        <v>184</v>
      </c>
      <c r="N1" s="61" t="s">
        <v>195</v>
      </c>
    </row>
    <row r="2" spans="1:14" x14ac:dyDescent="0.15">
      <c r="A2" s="62" t="s">
        <v>196</v>
      </c>
      <c r="B2" s="63">
        <f>floors!$C$2</f>
        <v>20019</v>
      </c>
      <c r="C2" s="64" t="str">
        <f ca="1">VLOOKUP($B2,OFFSET([2]quests!$A$1,0,0,COUNTA([2]quests!$A:$A),MATCH(C$1,[2]quests!$1:$1,0)-MATCH($B$1,[2]quests!$1:$1,0)+1),MATCH(C$1,[2]quests!$1:$1,0)-MATCH($B$1,[2]quests!$1:$1,0)+1,FALSE)</f>
        <v>平安編０１（仮）</v>
      </c>
      <c r="D2" s="64" t="str">
        <f ca="1">VLOOKUP($B2,OFFSET([2]quests!$A$1,0,0,COUNTA([2]quests!$A:$A),MATCH(D$1,[2]quests!$1:$1,0)-MATCH($B$1,[2]quests!$1:$1,0)+1),MATCH(D$1,[2]quests!$1:$1,0)-MATCH($B$1,[2]quests!$1:$1,0)+1,FALSE)</f>
        <v>平安01</v>
      </c>
      <c r="E2" s="65">
        <v>1</v>
      </c>
      <c r="F2" s="64" t="str">
        <f ca="1">VLOOKUP($B2&amp;"_"&amp;$E2,OFFSET([2]stages!$A$1,0,0,COUNTA([2]stages!$A:$A),MATCH(F$1,[2]stages!$2:$2,0)-MATCH("temp_stage",[2]stages!$2:$2,0)+1),MATCH(F$1,[2]stages!$2:$2,0)-MATCH("temp_stage",[2]stages!$2:$2,0)+1,FALSE)</f>
        <v>【初級】平安編０１（仮）</v>
      </c>
      <c r="G2" s="64" t="str">
        <f ca="1">VLOOKUP($B2&amp;"_"&amp;$E2,OFFSET([2]stages!$A$1,0,0,COUNTA([2]stages!$A:$A),MATCH(G$1,[2]stages!$2:$2,0)-MATCH("temp_stage",[2]stages!$2:$2,0)+1),MATCH(G$1,[2]stages!$2:$2,0)-MATCH("temp_stage",[2]stages!$2:$2,0)+1,FALSE)</f>
        <v>平安01</v>
      </c>
      <c r="H2" s="66">
        <v>0</v>
      </c>
      <c r="I2" s="72">
        <f t="shared" ref="I2:I9" si="0">ROW()-1</f>
        <v>1</v>
      </c>
      <c r="J2" s="67" t="str">
        <f t="shared" ref="J2:J9" si="1">B2&amp;TEXT(I2,"00")</f>
        <v>2001901</v>
      </c>
      <c r="K2" s="65" t="s">
        <v>197</v>
      </c>
      <c r="L2" s="68" t="s">
        <v>198</v>
      </c>
      <c r="M2" s="69" t="s">
        <v>201</v>
      </c>
      <c r="N2" s="41" t="s">
        <v>199</v>
      </c>
    </row>
    <row r="3" spans="1:14" x14ac:dyDescent="0.15">
      <c r="A3" s="62" t="s">
        <v>196</v>
      </c>
      <c r="B3" s="63">
        <f>floors!$C$2</f>
        <v>20019</v>
      </c>
      <c r="C3" s="64" t="str">
        <f ca="1">VLOOKUP($B3,OFFSET([2]quests!$A$1,0,0,COUNTA([2]quests!$A:$A),MATCH(C$1,[2]quests!$1:$1,0)-MATCH($B$1,[2]quests!$1:$1,0)+1),MATCH(C$1,[2]quests!$1:$1,0)-MATCH($B$1,[2]quests!$1:$1,0)+1,FALSE)</f>
        <v>平安編０１（仮）</v>
      </c>
      <c r="D3" s="64" t="str">
        <f ca="1">VLOOKUP($B3,OFFSET([2]quests!$A$1,0,0,COUNTA([2]quests!$A:$A),MATCH(D$1,[2]quests!$1:$1,0)-MATCH($B$1,[2]quests!$1:$1,0)+1),MATCH(D$1,[2]quests!$1:$1,0)-MATCH($B$1,[2]quests!$1:$1,0)+1,FALSE)</f>
        <v>平安01</v>
      </c>
      <c r="E3" s="65">
        <v>1</v>
      </c>
      <c r="F3" s="64" t="str">
        <f ca="1">VLOOKUP($B3&amp;"_"&amp;$E3,OFFSET([2]stages!$A$1,0,0,COUNTA([2]stages!$A:$A),MATCH(F$1,[2]stages!$2:$2,0)-MATCH("temp_stage",[2]stages!$2:$2,0)+1),MATCH(F$1,[2]stages!$2:$2,0)-MATCH("temp_stage",[2]stages!$2:$2,0)+1,FALSE)</f>
        <v>【初級】平安編０１（仮）</v>
      </c>
      <c r="G3" s="64" t="str">
        <f ca="1">VLOOKUP($B3&amp;"_"&amp;$E3,OFFSET([2]stages!$A$1,0,0,COUNTA([2]stages!$A:$A),MATCH(G$1,[2]stages!$2:$2,0)-MATCH("temp_stage",[2]stages!$2:$2,0)+1),MATCH(G$1,[2]stages!$2:$2,0)-MATCH("temp_stage",[2]stages!$2:$2,0)+1,FALSE)</f>
        <v>平安01</v>
      </c>
      <c r="H3" s="66">
        <v>0</v>
      </c>
      <c r="I3" s="72">
        <f t="shared" si="0"/>
        <v>2</v>
      </c>
      <c r="J3" s="67" t="str">
        <f t="shared" si="1"/>
        <v>2001902</v>
      </c>
      <c r="K3" s="65" t="s">
        <v>197</v>
      </c>
      <c r="L3" s="68" t="s">
        <v>198</v>
      </c>
      <c r="M3" s="69" t="s">
        <v>201</v>
      </c>
      <c r="N3" s="41" t="s">
        <v>199</v>
      </c>
    </row>
    <row r="4" spans="1:14" x14ac:dyDescent="0.15">
      <c r="A4" s="62" t="s">
        <v>196</v>
      </c>
      <c r="B4" s="63">
        <f>floors!$C$2</f>
        <v>20019</v>
      </c>
      <c r="C4" s="64" t="str">
        <f ca="1">VLOOKUP($B4,OFFSET([2]quests!$A$1,0,0,COUNTA([2]quests!$A:$A),MATCH(C$1,[2]quests!$1:$1,0)-MATCH($B$1,[2]quests!$1:$1,0)+1),MATCH(C$1,[2]quests!$1:$1,0)-MATCH($B$1,[2]quests!$1:$1,0)+1,FALSE)</f>
        <v>平安編０１（仮）</v>
      </c>
      <c r="D4" s="64" t="str">
        <f ca="1">VLOOKUP($B4,OFFSET([2]quests!$A$1,0,0,COUNTA([2]quests!$A:$A),MATCH(D$1,[2]quests!$1:$1,0)-MATCH($B$1,[2]quests!$1:$1,0)+1),MATCH(D$1,[2]quests!$1:$1,0)-MATCH($B$1,[2]quests!$1:$1,0)+1,FALSE)</f>
        <v>平安01</v>
      </c>
      <c r="E4" s="65">
        <v>2</v>
      </c>
      <c r="F4" s="64" t="str">
        <f ca="1">VLOOKUP($B4&amp;"_"&amp;$E4,OFFSET([2]stages!$A$1,0,0,COUNTA([2]stages!$A:$A),MATCH(F$1,[2]stages!$2:$2,0)-MATCH("temp_stage",[2]stages!$2:$2,0)+1),MATCH(F$1,[2]stages!$2:$2,0)-MATCH("temp_stage",[2]stages!$2:$2,0)+1,FALSE)</f>
        <v>【中級】平安編０１（仮）</v>
      </c>
      <c r="G4" s="64" t="str">
        <f ca="1">VLOOKUP($B4&amp;"_"&amp;$E4,OFFSET([2]stages!$A$1,0,0,COUNTA([2]stages!$A:$A),MATCH(G$1,[2]stages!$2:$2,0)-MATCH("temp_stage",[2]stages!$2:$2,0)+1),MATCH(G$1,[2]stages!$2:$2,0)-MATCH("temp_stage",[2]stages!$2:$2,0)+1,FALSE)</f>
        <v>平安01</v>
      </c>
      <c r="H4" s="66">
        <v>0</v>
      </c>
      <c r="I4" s="72">
        <f t="shared" si="0"/>
        <v>3</v>
      </c>
      <c r="J4" s="67" t="str">
        <f t="shared" si="1"/>
        <v>2001903</v>
      </c>
      <c r="K4" s="65" t="s">
        <v>197</v>
      </c>
      <c r="L4" s="68" t="s">
        <v>198</v>
      </c>
      <c r="M4" s="69" t="s">
        <v>201</v>
      </c>
      <c r="N4" s="41" t="s">
        <v>199</v>
      </c>
    </row>
    <row r="5" spans="1:14" x14ac:dyDescent="0.15">
      <c r="A5" s="62" t="s">
        <v>196</v>
      </c>
      <c r="B5" s="63">
        <f>floors!$C$2</f>
        <v>20019</v>
      </c>
      <c r="C5" s="64" t="str">
        <f ca="1">VLOOKUP($B5,OFFSET([2]quests!$A$1,0,0,COUNTA([2]quests!$A:$A),MATCH(C$1,[2]quests!$1:$1,0)-MATCH($B$1,[2]quests!$1:$1,0)+1),MATCH(C$1,[2]quests!$1:$1,0)-MATCH($B$1,[2]quests!$1:$1,0)+1,FALSE)</f>
        <v>平安編０１（仮）</v>
      </c>
      <c r="D5" s="64" t="str">
        <f ca="1">VLOOKUP($B5,OFFSET([2]quests!$A$1,0,0,COUNTA([2]quests!$A:$A),MATCH(D$1,[2]quests!$1:$1,0)-MATCH($B$1,[2]quests!$1:$1,0)+1),MATCH(D$1,[2]quests!$1:$1,0)-MATCH($B$1,[2]quests!$1:$1,0)+1,FALSE)</f>
        <v>平安01</v>
      </c>
      <c r="E5" s="65">
        <v>2</v>
      </c>
      <c r="F5" s="64" t="str">
        <f ca="1">VLOOKUP($B5&amp;"_"&amp;$E5,OFFSET([2]stages!$A$1,0,0,COUNTA([2]stages!$A:$A),MATCH(F$1,[2]stages!$2:$2,0)-MATCH("temp_stage",[2]stages!$2:$2,0)+1),MATCH(F$1,[2]stages!$2:$2,0)-MATCH("temp_stage",[2]stages!$2:$2,0)+1,FALSE)</f>
        <v>【中級】平安編０１（仮）</v>
      </c>
      <c r="G5" s="64" t="str">
        <f ca="1">VLOOKUP($B5&amp;"_"&amp;$E5,OFFSET([2]stages!$A$1,0,0,COUNTA([2]stages!$A:$A),MATCH(G$1,[2]stages!$2:$2,0)-MATCH("temp_stage",[2]stages!$2:$2,0)+1),MATCH(G$1,[2]stages!$2:$2,0)-MATCH("temp_stage",[2]stages!$2:$2,0)+1,FALSE)</f>
        <v>平安01</v>
      </c>
      <c r="H5" s="66">
        <v>0</v>
      </c>
      <c r="I5" s="72">
        <f t="shared" si="0"/>
        <v>4</v>
      </c>
      <c r="J5" s="67" t="str">
        <f t="shared" si="1"/>
        <v>2001904</v>
      </c>
      <c r="K5" s="65" t="s">
        <v>197</v>
      </c>
      <c r="L5" s="68" t="s">
        <v>198</v>
      </c>
      <c r="M5" s="69" t="s">
        <v>201</v>
      </c>
      <c r="N5" s="41" t="s">
        <v>199</v>
      </c>
    </row>
    <row r="6" spans="1:14" x14ac:dyDescent="0.15">
      <c r="A6" s="62" t="s">
        <v>196</v>
      </c>
      <c r="B6" s="63">
        <f>floors!$C$2</f>
        <v>20019</v>
      </c>
      <c r="C6" s="64" t="str">
        <f ca="1">VLOOKUP($B6,OFFSET([2]quests!$A$1,0,0,COUNTA([2]quests!$A:$A),MATCH(C$1,[2]quests!$1:$1,0)-MATCH($B$1,[2]quests!$1:$1,0)+1),MATCH(C$1,[2]quests!$1:$1,0)-MATCH($B$1,[2]quests!$1:$1,0)+1,FALSE)</f>
        <v>平安編０１（仮）</v>
      </c>
      <c r="D6" s="64" t="str">
        <f ca="1">VLOOKUP($B6,OFFSET([2]quests!$A$1,0,0,COUNTA([2]quests!$A:$A),MATCH(D$1,[2]quests!$1:$1,0)-MATCH($B$1,[2]quests!$1:$1,0)+1),MATCH(D$1,[2]quests!$1:$1,0)-MATCH($B$1,[2]quests!$1:$1,0)+1,FALSE)</f>
        <v>平安01</v>
      </c>
      <c r="E6" s="65">
        <v>3</v>
      </c>
      <c r="F6" s="64" t="str">
        <f ca="1">VLOOKUP($B6&amp;"_"&amp;$E6,OFFSET([2]stages!$A$1,0,0,COUNTA([2]stages!$A:$A),MATCH(F$1,[2]stages!$2:$2,0)-MATCH("temp_stage",[2]stages!$2:$2,0)+1),MATCH(F$1,[2]stages!$2:$2,0)-MATCH("temp_stage",[2]stages!$2:$2,0)+1,FALSE)</f>
        <v>【上級】平安編０１（仮）</v>
      </c>
      <c r="G6" s="64" t="str">
        <f ca="1">VLOOKUP($B6&amp;"_"&amp;$E6,OFFSET([2]stages!$A$1,0,0,COUNTA([2]stages!$A:$A),MATCH(G$1,[2]stages!$2:$2,0)-MATCH("temp_stage",[2]stages!$2:$2,0)+1),MATCH(G$1,[2]stages!$2:$2,0)-MATCH("temp_stage",[2]stages!$2:$2,0)+1,FALSE)</f>
        <v>平安01</v>
      </c>
      <c r="H6" s="66">
        <v>0</v>
      </c>
      <c r="I6" s="72">
        <f t="shared" si="0"/>
        <v>5</v>
      </c>
      <c r="J6" s="67" t="str">
        <f t="shared" si="1"/>
        <v>2001905</v>
      </c>
      <c r="K6" s="65" t="s">
        <v>197</v>
      </c>
      <c r="L6" s="68" t="s">
        <v>198</v>
      </c>
      <c r="M6" s="69" t="s">
        <v>201</v>
      </c>
      <c r="N6" s="41" t="s">
        <v>199</v>
      </c>
    </row>
    <row r="7" spans="1:14" x14ac:dyDescent="0.15">
      <c r="A7" s="62" t="s">
        <v>196</v>
      </c>
      <c r="B7" s="63">
        <f>floors!$C$2</f>
        <v>20019</v>
      </c>
      <c r="C7" s="64" t="str">
        <f ca="1">VLOOKUP($B7,OFFSET([2]quests!$A$1,0,0,COUNTA([2]quests!$A:$A),MATCH(C$1,[2]quests!$1:$1,0)-MATCH($B$1,[2]quests!$1:$1,0)+1),MATCH(C$1,[2]quests!$1:$1,0)-MATCH($B$1,[2]quests!$1:$1,0)+1,FALSE)</f>
        <v>平安編０１（仮）</v>
      </c>
      <c r="D7" s="64" t="str">
        <f ca="1">VLOOKUP($B7,OFFSET([2]quests!$A$1,0,0,COUNTA([2]quests!$A:$A),MATCH(D$1,[2]quests!$1:$1,0)-MATCH($B$1,[2]quests!$1:$1,0)+1),MATCH(D$1,[2]quests!$1:$1,0)-MATCH($B$1,[2]quests!$1:$1,0)+1,FALSE)</f>
        <v>平安01</v>
      </c>
      <c r="E7" s="65">
        <v>3</v>
      </c>
      <c r="F7" s="64" t="str">
        <f ca="1">VLOOKUP($B7&amp;"_"&amp;$E7,OFFSET([2]stages!$A$1,0,0,COUNTA([2]stages!$A:$A),MATCH(F$1,[2]stages!$2:$2,0)-MATCH("temp_stage",[2]stages!$2:$2,0)+1),MATCH(F$1,[2]stages!$2:$2,0)-MATCH("temp_stage",[2]stages!$2:$2,0)+1,FALSE)</f>
        <v>【上級】平安編０１（仮）</v>
      </c>
      <c r="G7" s="64" t="str">
        <f ca="1">VLOOKUP($B7&amp;"_"&amp;$E7,OFFSET([2]stages!$A$1,0,0,COUNTA([2]stages!$A:$A),MATCH(G$1,[2]stages!$2:$2,0)-MATCH("temp_stage",[2]stages!$2:$2,0)+1),MATCH(G$1,[2]stages!$2:$2,0)-MATCH("temp_stage",[2]stages!$2:$2,0)+1,FALSE)</f>
        <v>平安01</v>
      </c>
      <c r="H7" s="66">
        <v>0</v>
      </c>
      <c r="I7" s="72">
        <f t="shared" si="0"/>
        <v>6</v>
      </c>
      <c r="J7" s="67" t="str">
        <f t="shared" si="1"/>
        <v>2001906</v>
      </c>
      <c r="K7" s="65" t="s">
        <v>197</v>
      </c>
      <c r="L7" s="68" t="s">
        <v>198</v>
      </c>
      <c r="M7" s="69" t="s">
        <v>201</v>
      </c>
      <c r="N7" s="41" t="s">
        <v>199</v>
      </c>
    </row>
    <row r="8" spans="1:14" x14ac:dyDescent="0.15">
      <c r="A8" s="62" t="s">
        <v>196</v>
      </c>
      <c r="B8" s="63">
        <f>floors!$C$2</f>
        <v>20019</v>
      </c>
      <c r="C8" s="64" t="str">
        <f ca="1">VLOOKUP($B8,OFFSET([2]quests!$A$1,0,0,COUNTA([2]quests!$A:$A),MATCH(C$1,[2]quests!$1:$1,0)-MATCH($B$1,[2]quests!$1:$1,0)+1),MATCH(C$1,[2]quests!$1:$1,0)-MATCH($B$1,[2]quests!$1:$1,0)+1,FALSE)</f>
        <v>平安編０１（仮）</v>
      </c>
      <c r="D8" s="64" t="str">
        <f ca="1">VLOOKUP($B8,OFFSET([2]quests!$A$1,0,0,COUNTA([2]quests!$A:$A),MATCH(D$1,[2]quests!$1:$1,0)-MATCH($B$1,[2]quests!$1:$1,0)+1),MATCH(D$1,[2]quests!$1:$1,0)-MATCH($B$1,[2]quests!$1:$1,0)+1,FALSE)</f>
        <v>平安01</v>
      </c>
      <c r="E8" s="65">
        <v>4</v>
      </c>
      <c r="F8" s="64" t="e">
        <f ca="1">VLOOKUP($B8&amp;"_"&amp;$E8,OFFSET([2]stages!$A$1,0,0,COUNTA([2]stages!$A:$A),MATCH(F$1,[2]stages!$2:$2,0)-MATCH("temp_stage",[2]stages!$2:$2,0)+1),MATCH(F$1,[2]stages!$2:$2,0)-MATCH("temp_stage",[2]stages!$2:$2,0)+1,FALSE)</f>
        <v>#N/A</v>
      </c>
      <c r="G8" s="64" t="e">
        <f ca="1">VLOOKUP($B8&amp;"_"&amp;$E8,OFFSET([2]stages!$A$1,0,0,COUNTA([2]stages!$A:$A),MATCH(G$1,[2]stages!$2:$2,0)-MATCH("temp_stage",[2]stages!$2:$2,0)+1),MATCH(G$1,[2]stages!$2:$2,0)-MATCH("temp_stage",[2]stages!$2:$2,0)+1,FALSE)</f>
        <v>#N/A</v>
      </c>
      <c r="H8" s="66">
        <v>0</v>
      </c>
      <c r="I8" s="72">
        <f t="shared" si="0"/>
        <v>7</v>
      </c>
      <c r="J8" s="67" t="str">
        <f t="shared" si="1"/>
        <v>2001907</v>
      </c>
      <c r="K8" s="65" t="s">
        <v>197</v>
      </c>
      <c r="L8" s="68" t="s">
        <v>198</v>
      </c>
      <c r="M8" s="69" t="s">
        <v>201</v>
      </c>
      <c r="N8" s="41" t="s">
        <v>199</v>
      </c>
    </row>
    <row r="9" spans="1:14" x14ac:dyDescent="0.15">
      <c r="A9" s="62" t="s">
        <v>196</v>
      </c>
      <c r="B9" s="63">
        <f>floors!$C$2</f>
        <v>20019</v>
      </c>
      <c r="C9" s="64" t="str">
        <f ca="1">VLOOKUP($B9,OFFSET([2]quests!$A$1,0,0,COUNTA([2]quests!$A:$A),MATCH(C$1,[2]quests!$1:$1,0)-MATCH($B$1,[2]quests!$1:$1,0)+1),MATCH(C$1,[2]quests!$1:$1,0)-MATCH($B$1,[2]quests!$1:$1,0)+1,FALSE)</f>
        <v>平安編０１（仮）</v>
      </c>
      <c r="D9" s="64" t="str">
        <f ca="1">VLOOKUP($B9,OFFSET([2]quests!$A$1,0,0,COUNTA([2]quests!$A:$A),MATCH(D$1,[2]quests!$1:$1,0)-MATCH($B$1,[2]quests!$1:$1,0)+1),MATCH(D$1,[2]quests!$1:$1,0)-MATCH($B$1,[2]quests!$1:$1,0)+1,FALSE)</f>
        <v>平安01</v>
      </c>
      <c r="E9" s="65">
        <v>4</v>
      </c>
      <c r="F9" s="64" t="e">
        <f ca="1">VLOOKUP($B9&amp;"_"&amp;$E9,OFFSET([2]stages!$A$1,0,0,COUNTA([2]stages!$A:$A),MATCH(F$1,[2]stages!$2:$2,0)-MATCH("temp_stage",[2]stages!$2:$2,0)+1),MATCH(F$1,[2]stages!$2:$2,0)-MATCH("temp_stage",[2]stages!$2:$2,0)+1,FALSE)</f>
        <v>#N/A</v>
      </c>
      <c r="G9" s="64" t="e">
        <f ca="1">VLOOKUP($B9&amp;"_"&amp;$E9,OFFSET([2]stages!$A$1,0,0,COUNTA([2]stages!$A:$A),MATCH(G$1,[2]stages!$2:$2,0)-MATCH("temp_stage",[2]stages!$2:$2,0)+1),MATCH(G$1,[2]stages!$2:$2,0)-MATCH("temp_stage",[2]stages!$2:$2,0)+1,FALSE)</f>
        <v>#N/A</v>
      </c>
      <c r="H9" s="66">
        <v>0</v>
      </c>
      <c r="I9" s="72">
        <f t="shared" si="0"/>
        <v>8</v>
      </c>
      <c r="J9" s="67" t="str">
        <f t="shared" si="1"/>
        <v>2001908</v>
      </c>
      <c r="K9" s="65" t="s">
        <v>197</v>
      </c>
      <c r="L9" s="68" t="s">
        <v>198</v>
      </c>
      <c r="M9" s="69" t="s">
        <v>201</v>
      </c>
      <c r="N9" s="41" t="s">
        <v>199</v>
      </c>
    </row>
  </sheetData>
  <phoneticPr fontId="5"/>
  <dataValidations count="1">
    <dataValidation type="list" allowBlank="1" showInputMessage="1" showErrorMessage="1" sqref="A2:A9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3"/>
  <sheetViews>
    <sheetView showGridLines="0" workbookViewId="0">
      <pane ySplit="1" topLeftCell="A2" activePane="bottomLeft" state="frozen"/>
      <selection pane="bottomLeft" activeCell="A4" sqref="A4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79" t="s">
        <v>215</v>
      </c>
      <c r="B1" s="80" t="s">
        <v>216</v>
      </c>
      <c r="C1" s="58" t="s">
        <v>217</v>
      </c>
      <c r="D1" s="58" t="s">
        <v>33</v>
      </c>
      <c r="E1" s="80" t="s">
        <v>218</v>
      </c>
      <c r="F1" s="58" t="s">
        <v>219</v>
      </c>
      <c r="G1" s="58" t="s">
        <v>33</v>
      </c>
      <c r="H1" s="80" t="s">
        <v>220</v>
      </c>
      <c r="I1" s="80" t="s">
        <v>221</v>
      </c>
      <c r="J1" s="80" t="s">
        <v>222</v>
      </c>
      <c r="K1" s="54" t="s">
        <v>223</v>
      </c>
      <c r="L1" s="54" t="s">
        <v>224</v>
      </c>
      <c r="M1" s="54" t="s">
        <v>154</v>
      </c>
      <c r="N1" s="58" t="s">
        <v>16</v>
      </c>
      <c r="O1" s="54" t="s">
        <v>225</v>
      </c>
      <c r="P1" s="54" t="s">
        <v>57</v>
      </c>
      <c r="Q1" s="54" t="s">
        <v>226</v>
      </c>
      <c r="R1" s="54" t="s">
        <v>38</v>
      </c>
      <c r="S1" s="54" t="s">
        <v>40</v>
      </c>
      <c r="T1" s="54" t="s">
        <v>42</v>
      </c>
      <c r="U1" s="54" t="s">
        <v>44</v>
      </c>
      <c r="V1" s="54" t="s">
        <v>46</v>
      </c>
      <c r="W1" s="54" t="s">
        <v>227</v>
      </c>
      <c r="X1" s="54" t="s">
        <v>228</v>
      </c>
    </row>
    <row r="2" spans="1:24" x14ac:dyDescent="0.15">
      <c r="A2" s="81" t="str">
        <f>B2&amp;"_"&amp;E2&amp;"_"&amp;H2&amp;"_"&amp;I2&amp;"_"&amp;J2</f>
        <v>65535_7_everyone_clear_1</v>
      </c>
      <c r="B2" s="63">
        <v>65535</v>
      </c>
      <c r="C2" s="64" t="str">
        <f ca="1">VLOOKUP($B2,OFFSET([2]quests!$A$1,0,0,COUNTA([2]quests!$A:$A),MATCH(C$1,[2]quests!$1:$1,0)-MATCH($B$1,[2]quests!$1:$1,0)+1),MATCH(C$1,[2]quests!$1:$1,0)-MATCH($B$1,[2]quests!$1:$1,0)+1,FALSE)</f>
        <v>検証クエスト</v>
      </c>
      <c r="D2" s="64" t="str">
        <f ca="1">VLOOKUP($B2,OFFSET([2]quests!$A$1,0,0,COUNTA([2]quests!$A:$A),MATCH(D$1,[2]quests!$1:$1,0)-MATCH($B$1,[2]quests!$1:$1,0)+1),MATCH(D$1,[2]quests!$1:$1,0)-MATCH($B$1,[2]quests!$1:$1,0)+1,FALSE)</f>
        <v>検証</v>
      </c>
      <c r="E2" s="65">
        <v>7</v>
      </c>
      <c r="F2" s="64" t="str">
        <f ca="1">VLOOKUP($B2&amp;"_"&amp;$E2,OFFSET([2]stages!$A$1,0,0,COUNTA([2]stages!$A:$A),MATCH(F$1,[2]stages!$2:$2,0)-MATCH("temp_stage",[2]stages!$2:$2,0)+1),MATCH(F$1,[2]stages!$2:$2,0)-MATCH("temp_stage",[2]stages!$2:$2,0)+1,FALSE)</f>
        <v>爆風ジャンヌ</v>
      </c>
      <c r="G2" s="64" t="str">
        <f ca="1">VLOOKUP($B2&amp;"_"&amp;$E2,OFFSET([2]stages!$A$1,0,0,COUNTA([2]stages!$A:$A),MATCH(G$1,[2]stages!$2:$2,0)-MATCH("temp_stage",[2]stages!$2:$2,0)+1),MATCH(G$1,[2]stages!$2:$2,0)-MATCH("temp_stage",[2]stages!$2:$2,0)+1,FALSE)</f>
        <v>検証</v>
      </c>
      <c r="H2" s="66" t="s">
        <v>229</v>
      </c>
      <c r="I2" s="65" t="s">
        <v>230</v>
      </c>
      <c r="J2" s="65">
        <v>1</v>
      </c>
      <c r="K2" s="65">
        <v>610</v>
      </c>
      <c r="L2" s="65" t="s">
        <v>231</v>
      </c>
      <c r="M2" s="65">
        <v>334</v>
      </c>
      <c r="N2" s="82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>炎のメタルダック</v>
      </c>
      <c r="O2" s="65">
        <v>1</v>
      </c>
      <c r="P2" s="65">
        <v>1</v>
      </c>
      <c r="Q2" s="65">
        <v>1</v>
      </c>
      <c r="R2" s="65">
        <v>0</v>
      </c>
      <c r="S2" s="65">
        <v>0</v>
      </c>
      <c r="T2" s="65">
        <v>0</v>
      </c>
      <c r="U2" s="65">
        <v>0</v>
      </c>
      <c r="V2" s="65">
        <v>1</v>
      </c>
      <c r="W2" s="83" t="s">
        <v>232</v>
      </c>
      <c r="X2" s="84" t="s">
        <v>233</v>
      </c>
    </row>
    <row r="3" spans="1:24" x14ac:dyDescent="0.15">
      <c r="A3" s="81" t="str">
        <f>B3&amp;"_"&amp;E3&amp;"_"&amp;H3&amp;"_"&amp;I3&amp;"_"&amp;J3</f>
        <v>65535_7_everyone_no_continue_1</v>
      </c>
      <c r="B3" s="63">
        <v>65535</v>
      </c>
      <c r="C3" s="64" t="str">
        <f ca="1">VLOOKUP($B3,OFFSET([2]quests!$A$1,0,0,COUNTA([2]quests!$A:$A),MATCH(C$1,[2]quests!$1:$1,0)-MATCH($B$1,[2]quests!$1:$1,0)+1),MATCH(C$1,[2]quests!$1:$1,0)-MATCH($B$1,[2]quests!$1:$1,0)+1,FALSE)</f>
        <v>検証クエスト</v>
      </c>
      <c r="D3" s="64" t="str">
        <f ca="1">VLOOKUP($B3,OFFSET([2]quests!$A$1,0,0,COUNTA([2]quests!$A:$A),MATCH(D$1,[2]quests!$1:$1,0)-MATCH($B$1,[2]quests!$1:$1,0)+1),MATCH(D$1,[2]quests!$1:$1,0)-MATCH($B$1,[2]quests!$1:$1,0)+1,FALSE)</f>
        <v>検証</v>
      </c>
      <c r="E3" s="65">
        <v>7</v>
      </c>
      <c r="F3" s="64" t="str">
        <f ca="1">VLOOKUP($B3&amp;"_"&amp;$E3,OFFSET([2]stages!$A$1,0,0,COUNTA([2]stages!$A:$A),MATCH(F$1,[2]stages!$2:$2,0)-MATCH("temp_stage",[2]stages!$2:$2,0)+1),MATCH(F$1,[2]stages!$2:$2,0)-MATCH("temp_stage",[2]stages!$2:$2,0)+1,FALSE)</f>
        <v>爆風ジャンヌ</v>
      </c>
      <c r="G3" s="64" t="str">
        <f ca="1">VLOOKUP($B3&amp;"_"&amp;$E3,OFFSET([2]stages!$A$1,0,0,COUNTA([2]stages!$A:$A),MATCH(G$1,[2]stages!$2:$2,0)-MATCH("temp_stage",[2]stages!$2:$2,0)+1),MATCH(G$1,[2]stages!$2:$2,0)-MATCH("temp_stage",[2]stages!$2:$2,0)+1,FALSE)</f>
        <v>検証</v>
      </c>
      <c r="H3" s="66" t="s">
        <v>229</v>
      </c>
      <c r="I3" s="65" t="s">
        <v>234</v>
      </c>
      <c r="J3" s="65">
        <v>1</v>
      </c>
      <c r="K3" s="65">
        <v>610</v>
      </c>
      <c r="L3" s="65" t="s">
        <v>231</v>
      </c>
      <c r="M3" s="65">
        <v>334</v>
      </c>
      <c r="N3" s="82" t="str">
        <f ca="1">IF(L3="unit",VLOOKUP($M3,OFFSET([4]characters!$A$1,0,0,COUNTA([4]characters!$A:$A),MATCH(N$1,[4]characters!$1:$1,0)-MATCH("character_id",[4]characters!$1:$1,0)+1),MATCH(N$1,[4]characters!$1:$1,0)-MATCH("character_id",[4]characters!$1:$1,0)+1,FALSE),"")</f>
        <v>炎のメタルダック</v>
      </c>
      <c r="O3" s="65">
        <v>1</v>
      </c>
      <c r="P3" s="65">
        <v>1</v>
      </c>
      <c r="Q3" s="65">
        <v>1</v>
      </c>
      <c r="R3" s="65">
        <v>0</v>
      </c>
      <c r="S3" s="65">
        <v>0</v>
      </c>
      <c r="T3" s="65">
        <v>0</v>
      </c>
      <c r="U3" s="65">
        <v>0</v>
      </c>
      <c r="V3" s="65">
        <v>1</v>
      </c>
      <c r="W3" s="83" t="s">
        <v>232</v>
      </c>
      <c r="X3" s="84" t="s">
        <v>233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2016-08-05T10:39:01Z</dcterms:modified>
</cp:coreProperties>
</file>